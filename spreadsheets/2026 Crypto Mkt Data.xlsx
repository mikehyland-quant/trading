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A46C518E-4CD8-4302-B148-A6B4433C8E63}" xr6:coauthVersionLast="47" xr6:coauthVersionMax="47" xr10:uidLastSave="{00000000-0000-0000-0000-000000000000}"/>
  <bookViews>
    <workbookView xWindow="0" yWindow="360" windowWidth="29040" windowHeight="15720" tabRatio="694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D5" i="22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5" i="23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S26" i="23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S26" i="22"/>
  <c r="Q26" i="22" s="1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Q27" i="22"/>
  <c r="S27" i="22" s="1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Q27" i="23"/>
  <c r="S27" i="23" s="1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6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<sst xmlns="http://schemas.openxmlformats.org/spreadsheetml/2006/main" count="24083" uniqueCount="4071">
  <si>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</si>
  <si>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</si>
  <si>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</si>
  <si>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</si>
  <si>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</si>
  <si>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</si>
  <si>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</si>
  <si>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</si>
  <si>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</si>
  <si>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</si>
  <si>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</si>
  <si>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</si>
  <si>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</si>
  <si>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</si>
  <si>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</si>
  <si>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</si>
  <si>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</si>
  <si>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</si>
  <si>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</si>
  <si>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</si>
  <si>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</si>
  <si>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</si>
  <si>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</si>
  <si>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</si>
  <si>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</si>
  <si>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</si>
  <si>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</si>
  <si>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</si>
  <si>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</si>
  <si>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</si>
  <si>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</si>
  <si>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</si>
  <si>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</si>
  <si>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</si>
  <si>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</si>
  <si>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</si>
  <si>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</si>
  <si>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</si>
  <si>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</si>
  <si>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</si>
  <si>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</si>
  <si>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</si>
  <si>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</si>
  <si>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</si>
  <si>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</si>
  <si>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</si>
  <si>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</si>
  <si>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</si>
  <si>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</si>
  <si>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</si>
  <si>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</si>
  <si>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</si>
  <si>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</si>
  <si>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</si>
  <si>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</si>
  <si>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</si>
  <si>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</si>
  <si>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</si>
  <si>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</si>
  <si>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</si>
  <si>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</si>
  <si>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</si>
  <si>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</si>
  <si>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</si>
  <si>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</si>
  <si>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</si>
  <si>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</si>
  <si>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</si>
  <si>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</si>
  <si>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</si>
  <si>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</si>
  <si>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</si>
  <si>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</si>
  <si>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</si>
  <si>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</si>
  <si>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</si>
  <si>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</si>
  <si>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cf_unit_hit_bid</t>
  </si>
  <si>
    <t>cf_unit_hit_bid_all_in</t>
  </si>
  <si>
    <t>cf_unit_lift_ask_all_in</t>
  </si>
  <si>
    <t>cf_unit_lift_ask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</si>
  <si>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</si>
  <si>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</si>
  <si>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</si>
  <si>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</si>
  <si>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</si>
  <si>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</si>
  <si>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</si>
  <si>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</si>
  <si>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</si>
  <si>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</si>
  <si>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</si>
  <si>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</si>
  <si>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</si>
  <si>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</si>
  <si>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BTCV6</t>
  </si>
  <si>
    <t>b/o BTCX6</t>
  </si>
  <si>
    <t>b/o BTCZ6</t>
  </si>
  <si>
    <t>b/o BTCF7</t>
  </si>
  <si>
    <t>b/o BTCG7</t>
  </si>
  <si>
    <t>b/o ETHV6</t>
  </si>
  <si>
    <t>b/o ETHX6</t>
  </si>
  <si>
    <t>b/o ETHZ6</t>
  </si>
  <si>
    <t>b/o ETHF7</t>
  </si>
  <si>
    <t>b/o ETHG7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</si>
  <si>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</si>
  <si>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</si>
  <si>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</si>
  <si>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</si>
  <si>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</si>
  <si>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</si>
  <si>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</si>
  <si>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</si>
  <si>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</si>
  <si>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</si>
  <si>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</si>
  <si>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</si>
  <si>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</si>
  <si>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</si>
  <si>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</si>
  <si>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</si>
  <si>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</si>
  <si>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BTCV6</t>
  </si>
  <si>
    <t>BTCX6</t>
  </si>
  <si>
    <t>BTCZ6</t>
  </si>
  <si>
    <t>BTCF7</t>
  </si>
  <si>
    <t>BTCG7</t>
  </si>
  <si>
    <t>ETHV6</t>
  </si>
  <si>
    <t>ETHX6</t>
  </si>
  <si>
    <t>ETHZ6</t>
  </si>
  <si>
    <t>ETHF7</t>
  </si>
  <si>
    <t>ETHG7</t>
  </si>
  <si>
    <t>future_spread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</si>
  <si>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</si>
  <si>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</si>
  <si>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</si>
  <si>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</si>
  <si>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</si>
  <si>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</si>
  <si>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</si>
  <si>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</si>
  <si>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</si>
  <si>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</si>
  <si>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</si>
  <si>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</si>
  <si>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</si>
  <si>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</si>
  <si>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</si>
  <si>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</si>
  <si>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</si>
  <si>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</si>
  <si>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</si>
  <si>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</si>
  <si>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</si>
  <si>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BTCX6/BTCV6</t>
  </si>
  <si>
    <t>syn BTCZ6/BTCV6</t>
  </si>
  <si>
    <t>syn BTCF7/BTCV6</t>
  </si>
  <si>
    <t>syn BTCG7/BTCV6</t>
  </si>
  <si>
    <t>syn BTCX6/BTCZ6/BTCV6</t>
  </si>
  <si>
    <t>syn BTCX6/BTCF7/BTCV6</t>
  </si>
  <si>
    <t>syn BTCX6/BTCG7/BTCV6</t>
  </si>
  <si>
    <t>syn BTCZ6/BTCX6/BTCV6</t>
  </si>
  <si>
    <t>syn BTCZ6/BTCF7/BTCV6</t>
  </si>
  <si>
    <t>syn BTCZ6/BTCG7/BTCV6</t>
  </si>
  <si>
    <t>syn BTCF7/BTCX6/BTCV6</t>
  </si>
  <si>
    <t>syn BTCF7/BTCZ6/BTCV6</t>
  </si>
  <si>
    <t>syn BTCF7/BTCG7/BTCV6</t>
  </si>
  <si>
    <t>syn BTCG7/BTCX6/BTCV6</t>
  </si>
  <si>
    <t>syn BTCG7/BTCZ6/BTCV6</t>
  </si>
  <si>
    <t>syn BTCG7/BTCF7/BTCV6</t>
  </si>
  <si>
    <t>syn BTCX6/BTCZ6/BTCF7/BTCV6</t>
  </si>
  <si>
    <t>syn BTCX6/BTCZ6/BTCG7/BTCV6</t>
  </si>
  <si>
    <t>syn BTCX6/BTCF7/BTCZ6/BTCV6</t>
  </si>
  <si>
    <t>syn BTCX6/BTCF7/BTCG7/BTCV6</t>
  </si>
  <si>
    <t>syn BTCX6/BTCG7/BTCZ6/BTCV6</t>
  </si>
  <si>
    <t>syn BTCX6/BTCG7/BTCF7/BTCV6</t>
  </si>
  <si>
    <t>syn BTCZ6/BTCX6/BTCF7/BTCV6</t>
  </si>
  <si>
    <t>syn BTCZ6/BTCX6/BTCG7/BTCV6</t>
  </si>
  <si>
    <t>syn BTCZ6/BTCF7/BTCX6/BTCV6</t>
  </si>
  <si>
    <t>syn BTCZ6/BTCF7/BTCG7/BTCV6</t>
  </si>
  <si>
    <t>syn BTCZ6/BTCG7/BTCX6/BTCV6</t>
  </si>
  <si>
    <t>syn BTCZ6/BTCG7/BTCF7/BTCV6</t>
  </si>
  <si>
    <t>syn BTCF7/BTCX6/BTCZ6/BTCV6</t>
  </si>
  <si>
    <t>syn BTCF7/BTCX6/BTCG7/BTCV6</t>
  </si>
  <si>
    <t>syn BTCF7/BTCZ6/BTCX6/BTCV6</t>
  </si>
  <si>
    <t>syn BTCF7/BTCZ6/BTCG7/BTCV6</t>
  </si>
  <si>
    <t>syn BTCF7/BTCG7/BTCX6/BTCV6</t>
  </si>
  <si>
    <t>syn BTCF7/BTCG7/BTCZ6/BTCV6</t>
  </si>
  <si>
    <t>syn BTCG7/BTCX6/BTCZ6/BTCV6</t>
  </si>
  <si>
    <t>syn BTCG7/BTCX6/BTCF7/BTCV6</t>
  </si>
  <si>
    <t>syn BTCG7/BTCZ6/BTCX6/BTCV6</t>
  </si>
  <si>
    <t>syn BTCG7/BTCZ6/BTCF7/BTCV6</t>
  </si>
  <si>
    <t>syn BTCG7/BTCF7/BTCX6/BTCV6</t>
  </si>
  <si>
    <t>syn BTCG7/BTCF7/BTCZ6/BTCV6</t>
  </si>
  <si>
    <t>syn BTCX6/BTCZ6/BTCF7/BTCG7/BTCV6</t>
  </si>
  <si>
    <t>syn BTCX6/BTCZ6/BTCG7/BTCF7/BTCV6</t>
  </si>
  <si>
    <t>syn BTCX6/BTCF7/BTCZ6/BTCG7/BTCV6</t>
  </si>
  <si>
    <t>syn BTCX6/BTCF7/BTCG7/BTCZ6/BTCV6</t>
  </si>
  <si>
    <t>syn BTCX6/BTCG7/BTCZ6/BTCF7/BTCV6</t>
  </si>
  <si>
    <t>syn BTCX6/BTCG7/BTCF7/BTCZ6/BTCV6</t>
  </si>
  <si>
    <t>syn BTCZ6/BTCX6/BTCF7/BTCG7/BTCV6</t>
  </si>
  <si>
    <t>syn BTCZ6/BTCX6/BTCG7/BTCF7/BTCV6</t>
  </si>
  <si>
    <t>syn BTCZ6/BTCF7/BTCX6/BTCG7/BTCV6</t>
  </si>
  <si>
    <t>syn BTCZ6/BTCF7/BTCG7/BTCX6/BTCV6</t>
  </si>
  <si>
    <t>syn BTCZ6/BTCG7/BTCX6/BTCF7/BTCV6</t>
  </si>
  <si>
    <t>syn BTCZ6/BTCG7/BTCF7/BTCX6/BTCV6</t>
  </si>
  <si>
    <t>syn BTCF7/BTCX6/BTCZ6/BTCG7/BTCV6</t>
  </si>
  <si>
    <t>syn BTCF7/BTCX6/BTCG7/BTCZ6/BTCV6</t>
  </si>
  <si>
    <t>syn BTCF7/BTCZ6/BTCX6/BTCG7/BTCV6</t>
  </si>
  <si>
    <t>syn BTCF7/BTCZ6/BTCG7/BTCX6/BTCV6</t>
  </si>
  <si>
    <t>syn BTCF7/BTCG7/BTCX6/BTCZ6/BTCV6</t>
  </si>
  <si>
    <t>syn BTCF7/BTCG7/BTCZ6/BTCX6/BTCV6</t>
  </si>
  <si>
    <t>syn BTCG7/BTCX6/BTCZ6/BTCF7/BTCV6</t>
  </si>
  <si>
    <t>syn BTCG7/BTCX6/BTCF7/BTCZ6/BTCV6</t>
  </si>
  <si>
    <t>syn BTCG7/BTCZ6/BTCX6/BTCF7/BTCV6</t>
  </si>
  <si>
    <t>syn BTCG7/BTCZ6/BTCF7/BTCX6/BTCV6</t>
  </si>
  <si>
    <t>syn BTCG7/BTCF7/BTCX6/BTCZ6/BTCV6</t>
  </si>
  <si>
    <t>syn BTCG7/BTCF7/BTCZ6/BTCX6/BTCV6</t>
  </si>
  <si>
    <t>syn BTCV6/BTCX6</t>
  </si>
  <si>
    <t>syn BTCZ6/BTCX6</t>
  </si>
  <si>
    <t>syn BTCF7/BTCX6</t>
  </si>
  <si>
    <t>syn BTCG7/BTCX6</t>
  </si>
  <si>
    <t>syn BTCV6/BTCZ6/BTCX6</t>
  </si>
  <si>
    <t>syn BTCV6/BTCF7/BTCX6</t>
  </si>
  <si>
    <t>syn BTCV6/BTCG7/BTCX6</t>
  </si>
  <si>
    <t>syn BTCZ6/BTCV6/BTCX6</t>
  </si>
  <si>
    <t>syn BTCZ6/BTCF7/BTCX6</t>
  </si>
  <si>
    <t>syn BTCZ6/BTCG7/BTCX6</t>
  </si>
  <si>
    <t>syn BTCF7/BTCV6/BTCX6</t>
  </si>
  <si>
    <t>syn BTCF7/BTCZ6/BTCX6</t>
  </si>
  <si>
    <t>syn BTCF7/BTCG7/BTCX6</t>
  </si>
  <si>
    <t>syn BTCG7/BTCV6/BTCX6</t>
  </si>
  <si>
    <t>syn BTCG7/BTCZ6/BTCX6</t>
  </si>
  <si>
    <t>syn BTCG7/BTCF7/BTCX6</t>
  </si>
  <si>
    <t>syn BTCV6/BTCZ6/BTCF7/BTCX6</t>
  </si>
  <si>
    <t>syn BTCV6/BTCZ6/BTCG7/BTCX6</t>
  </si>
  <si>
    <t>syn BTCV6/BTCF7/BTCZ6/BTCX6</t>
  </si>
  <si>
    <t>syn BTCV6/BTCF7/BTCG7/BTCX6</t>
  </si>
  <si>
    <t>syn BTCV6/BTCG7/BTCZ6/BTCX6</t>
  </si>
  <si>
    <t>syn BTCV6/BTCG7/BTCF7/BTCX6</t>
  </si>
  <si>
    <t>syn BTCZ6/BTCV6/BTCF7/BTCX6</t>
  </si>
  <si>
    <t>syn BTCZ6/BTCV6/BTCG7/BTCX6</t>
  </si>
  <si>
    <t>syn BTCZ6/BTCF7/BTCV6/BTCX6</t>
  </si>
  <si>
    <t>syn BTCZ6/BTCF7/BTCG7/BTCX6</t>
  </si>
  <si>
    <t>syn BTCZ6/BTCG7/BTCV6/BTCX6</t>
  </si>
  <si>
    <t>syn BTCZ6/BTCG7/BTCF7/BTCX6</t>
  </si>
  <si>
    <t>syn BTCF7/BTCV6/BTCZ6/BTCX6</t>
  </si>
  <si>
    <t>syn BTCF7/BTCV6/BTCG7/BTCX6</t>
  </si>
  <si>
    <t>syn BTCF7/BTCZ6/BTCV6/BTCX6</t>
  </si>
  <si>
    <t>syn BTCF7/BTCZ6/BTCG7/BTCX6</t>
  </si>
  <si>
    <t>syn BTCF7/BTCG7/BTCV6/BTCX6</t>
  </si>
  <si>
    <t>syn BTCF7/BTCG7/BTCZ6/BTCX6</t>
  </si>
  <si>
    <t>syn BTCG7/BTCV6/BTCZ6/BTCX6</t>
  </si>
  <si>
    <t>syn BTCG7/BTCV6/BTCF7/BTCX6</t>
  </si>
  <si>
    <t>syn BTCG7/BTCZ6/BTCV6/BTCX6</t>
  </si>
  <si>
    <t>syn BTCG7/BTCZ6/BTCF7/BTCX6</t>
  </si>
  <si>
    <t>syn BTCG7/BTCF7/BTCV6/BTCX6</t>
  </si>
  <si>
    <t>syn BTCG7/BTCF7/BTCZ6/BTCX6</t>
  </si>
  <si>
    <t>syn BTCV6/BTCZ6/BTCF7/BTCG7/BTCX6</t>
  </si>
  <si>
    <t>syn BTCV6/BTCZ6/BTCG7/BTCF7/BTCX6</t>
  </si>
  <si>
    <t>syn BTCV6/BTCF7/BTCZ6/BTCG7/BTCX6</t>
  </si>
  <si>
    <t>syn BTCV6/BTCF7/BTCG7/BTCZ6/BTCX6</t>
  </si>
  <si>
    <t>syn BTCV6/BTCG7/BTCZ6/BTCF7/BTCX6</t>
  </si>
  <si>
    <t>syn BTCV6/BTCG7/BTCF7/BTCZ6/BTCX6</t>
  </si>
  <si>
    <t>syn BTCZ6/BTCV6/BTCF7/BTCG7/BTCX6</t>
  </si>
  <si>
    <t>syn BTCZ6/BTCV6/BTCG7/BTCF7/BTCX6</t>
  </si>
  <si>
    <t>syn BTCZ6/BTCF7/BTCV6/BTCG7/BTCX6</t>
  </si>
  <si>
    <t>syn BTCZ6/BTCF7/BTCG7/BTCV6/BTCX6</t>
  </si>
  <si>
    <t>syn BTCZ6/BTCG7/BTCV6/BTCF7/BTCX6</t>
  </si>
  <si>
    <t>syn BTCZ6/BTCG7/BTCF7/BTCV6/BTCX6</t>
  </si>
  <si>
    <t>syn BTCF7/BTCV6/BTCZ6/BTCG7/BTCX6</t>
  </si>
  <si>
    <t>syn BTCF7/BTCV6/BTCG7/BTCZ6/BTCX6</t>
  </si>
  <si>
    <t>syn BTCF7/BTCZ6/BTCV6/BTCG7/BTCX6</t>
  </si>
  <si>
    <t>syn BTCF7/BTCZ6/BTCG7/BTCV6/BTCX6</t>
  </si>
  <si>
    <t>syn BTCF7/BTCG7/BTCV6/BTCZ6/BTCX6</t>
  </si>
  <si>
    <t>syn BTCF7/BTCG7/BTCZ6/BTCV6/BTCX6</t>
  </si>
  <si>
    <t>syn BTCG7/BTCV6/BTCZ6/BTCF7/BTCX6</t>
  </si>
  <si>
    <t>syn BTCG7/BTCV6/BTCF7/BTCZ6/BTCX6</t>
  </si>
  <si>
    <t>syn BTCG7/BTCZ6/BTCV6/BTCF7/BTCX6</t>
  </si>
  <si>
    <t>syn BTCG7/BTCZ6/BTCF7/BTCV6/BTCX6</t>
  </si>
  <si>
    <t>syn BTCG7/BTCF7/BTCV6/BTCZ6/BTCX6</t>
  </si>
  <si>
    <t>syn BTCG7/BTCF7/BTCZ6/BTCV6/BTCX6</t>
  </si>
  <si>
    <t>syn BTCV6/BTCZ6</t>
  </si>
  <si>
    <t>syn BTCX6/BTCZ6</t>
  </si>
  <si>
    <t>syn BTCF7/BTCZ6</t>
  </si>
  <si>
    <t>syn BTCG7/BTCZ6</t>
  </si>
  <si>
    <t>syn BTCV6/BTCX6/BTCZ6</t>
  </si>
  <si>
    <t>syn BTCV6/BTCF7/BTCZ6</t>
  </si>
  <si>
    <t>syn BTCV6/BTCG7/BTCZ6</t>
  </si>
  <si>
    <t>syn BTCX6/BTCV6/BTCZ6</t>
  </si>
  <si>
    <t>syn BTCX6/BTCF7/BTCZ6</t>
  </si>
  <si>
    <t>syn BTCX6/BTCG7/BTCZ6</t>
  </si>
  <si>
    <t>syn BTCF7/BTCV6/BTCZ6</t>
  </si>
  <si>
    <t>syn BTCF7/BTCX6/BTCZ6</t>
  </si>
  <si>
    <t>syn BTCF7/BTCG7/BTCZ6</t>
  </si>
  <si>
    <t>syn BTCG7/BTCV6/BTCZ6</t>
  </si>
  <si>
    <t>syn BTCG7/BTCX6/BTCZ6</t>
  </si>
  <si>
    <t>syn BTCG7/BTCF7/BTCZ6</t>
  </si>
  <si>
    <t>syn BTCV6/BTCX6/BTCF7/BTCZ6</t>
  </si>
  <si>
    <t>syn BTCV6/BTCX6/BTCG7/BTCZ6</t>
  </si>
  <si>
    <t>syn BTCV6/BTCF7/BTCX6/BTCZ6</t>
  </si>
  <si>
    <t>syn BTCV6/BTCF7/BTCG7/BTCZ6</t>
  </si>
  <si>
    <t>syn BTCV6/BTCG7/BTCX6/BTCZ6</t>
  </si>
  <si>
    <t>syn BTCV6/BTCG7/BTCF7/BTCZ6</t>
  </si>
  <si>
    <t>syn BTCX6/BTCV6/BTCF7/BTCZ6</t>
  </si>
  <si>
    <t>syn BTCX6/BTCV6/BTCG7/BTCZ6</t>
  </si>
  <si>
    <t>syn BTCX6/BTCF7/BTCV6/BTCZ6</t>
  </si>
  <si>
    <t>syn BTCX6/BTCF7/BTCG7/BTCZ6</t>
  </si>
  <si>
    <t>syn BTCX6/BTCG7/BTCV6/BTCZ6</t>
  </si>
  <si>
    <t>syn BTCX6/BTCG7/BTCF7/BTCZ6</t>
  </si>
  <si>
    <t>syn BTCF7/BTCV6/BTCX6/BTCZ6</t>
  </si>
  <si>
    <t>syn BTCF7/BTCV6/BTCG7/BTCZ6</t>
  </si>
  <si>
    <t>syn BTCF7/BTCX6/BTCV6/BTCZ6</t>
  </si>
  <si>
    <t>syn BTCF7/BTCX6/BTCG7/BTCZ6</t>
  </si>
  <si>
    <t>syn BTCF7/BTCG7/BTCV6/BTCZ6</t>
  </si>
  <si>
    <t>syn BTCF7/BTCG7/BTCX6/BTCZ6</t>
  </si>
  <si>
    <t>syn BTCG7/BTCV6/BTCX6/BTCZ6</t>
  </si>
  <si>
    <t>syn BTCG7/BTCV6/BTCF7/BTCZ6</t>
  </si>
  <si>
    <t>syn BTCG7/BTCX6/BTCV6/BTCZ6</t>
  </si>
  <si>
    <t>syn BTCG7/BTCX6/BTCF7/BTCZ6</t>
  </si>
  <si>
    <t>syn BTCG7/BTCF7/BTCV6/BTCZ6</t>
  </si>
  <si>
    <t>syn BTCG7/BTCF7/BTCX6/BTCZ6</t>
  </si>
  <si>
    <t>syn BTCV6/BTCX6/BTCF7/BTCG7/BTCZ6</t>
  </si>
  <si>
    <t>syn BTCV6/BTCX6/BTCG7/BTCF7/BTCZ6</t>
  </si>
  <si>
    <t>syn BTCV6/BTCF7/BTCX6/BTCG7/BTCZ6</t>
  </si>
  <si>
    <t>syn BTCV6/BTCF7/BTCG7/BTCX6/BTCZ6</t>
  </si>
  <si>
    <t>syn BTCV6/BTCG7/BTCX6/BTCF7/BTCZ6</t>
  </si>
  <si>
    <t>syn BTCV6/BTCG7/BTCF7/BTCX6/BTCZ6</t>
  </si>
  <si>
    <t>syn BTCX6/BTCV6/BTCF7/BTCG7/BTCZ6</t>
  </si>
  <si>
    <t>syn BTCX6/BTCV6/BTCG7/BTCF7/BTCZ6</t>
  </si>
  <si>
    <t>syn BTCX6/BTCF7/BTCV6/BTCG7/BTCZ6</t>
  </si>
  <si>
    <t>syn BTCX6/BTCF7/BTCG7/BTCV6/BTCZ6</t>
  </si>
  <si>
    <t>syn BTCX6/BTCG7/BTCV6/BTCF7/BTCZ6</t>
  </si>
  <si>
    <t>syn BTCX6/BTCG7/BTCF7/BTCV6/BTCZ6</t>
  </si>
  <si>
    <t>syn BTCF7/BTCV6/BTCX6/BTCG7/BTCZ6</t>
  </si>
  <si>
    <t>syn BTCF7/BTCV6/BTCG7/BTCX6/BTCZ6</t>
  </si>
  <si>
    <t>syn BTCF7/BTCX6/BTCV6/BTCG7/BTCZ6</t>
  </si>
  <si>
    <t>syn BTCF7/BTCX6/BTCG7/BTCV6/BTCZ6</t>
  </si>
  <si>
    <t>syn BTCF7/BTCG7/BTCV6/BTCX6/BTCZ6</t>
  </si>
  <si>
    <t>syn BTCF7/BTCG7/BTCX6/BTCV6/BTCZ6</t>
  </si>
  <si>
    <t>syn BTCG7/BTCV6/BTCX6/BTCF7/BTCZ6</t>
  </si>
  <si>
    <t>syn BTCG7/BTCV6/BTCF7/BTCX6/BTCZ6</t>
  </si>
  <si>
    <t>syn BTCG7/BTCX6/BTCV6/BTCF7/BTCZ6</t>
  </si>
  <si>
    <t>syn BTCG7/BTCX6/BTCF7/BTCV6/BTCZ6</t>
  </si>
  <si>
    <t>syn BTCG7/BTCF7/BTCV6/BTCX6/BTCZ6</t>
  </si>
  <si>
    <t>syn BTCG7/BTCF7/BTCX6/BTCV6/BTCZ6</t>
  </si>
  <si>
    <t>syn BTCV6/BTCF7</t>
  </si>
  <si>
    <t>syn BTCX6/BTCF7</t>
  </si>
  <si>
    <t>syn BTCZ6/BTCF7</t>
  </si>
  <si>
    <t>syn BTCG7/BTCF7</t>
  </si>
  <si>
    <t>syn BTCV6/BTCX6/BTCF7</t>
  </si>
  <si>
    <t>syn BTCV6/BTCZ6/BTCF7</t>
  </si>
  <si>
    <t>syn BTCV6/BTCG7/BTCF7</t>
  </si>
  <si>
    <t>syn BTCX6/BTCV6/BTCF7</t>
  </si>
  <si>
    <t>syn BTCX6/BTCZ6/BTCF7</t>
  </si>
  <si>
    <t>syn BTCX6/BTCG7/BTCF7</t>
  </si>
  <si>
    <t>syn BTCZ6/BTCV6/BTCF7</t>
  </si>
  <si>
    <t>syn BTCZ6/BTCX6/BTCF7</t>
  </si>
  <si>
    <t>syn BTCZ6/BTCG7/BTCF7</t>
  </si>
  <si>
    <t>syn BTCG7/BTCV6/BTCF7</t>
  </si>
  <si>
    <t>syn BTCG7/BTCX6/BTCF7</t>
  </si>
  <si>
    <t>syn BTCG7/BTCZ6/BTCF7</t>
  </si>
  <si>
    <t>syn BTCV6/BTCX6/BTCZ6/BTCF7</t>
  </si>
  <si>
    <t>syn BTCV6/BTCX6/BTCG7/BTCF7</t>
  </si>
  <si>
    <t>syn BTCV6/BTCZ6/BTCX6/BTCF7</t>
  </si>
  <si>
    <t>syn BTCV6/BTCZ6/BTCG7/BTCF7</t>
  </si>
  <si>
    <t>syn BTCV6/BTCG7/BTCX6/BTCF7</t>
  </si>
  <si>
    <t>syn BTCV6/BTCG7/BTCZ6/BTCF7</t>
  </si>
  <si>
    <t>syn BTCX6/BTCV6/BTCZ6/BTCF7</t>
  </si>
  <si>
    <t>syn BTCX6/BTCV6/BTCG7/BTCF7</t>
  </si>
  <si>
    <t>syn BTCX6/BTCZ6/BTCV6/BTCF7</t>
  </si>
  <si>
    <t>syn BTCX6/BTCZ6/BTCG7/BTCF7</t>
  </si>
  <si>
    <t>syn BTCX6/BTCG7/BTCV6/BTCF7</t>
  </si>
  <si>
    <t>syn BTCX6/BTCG7/BTCZ6/BTCF7</t>
  </si>
  <si>
    <t>syn BTCZ6/BTCV6/BTCX6/BTCF7</t>
  </si>
  <si>
    <t>syn BTCZ6/BTCV6/BTCG7/BTCF7</t>
  </si>
  <si>
    <t>syn BTCZ6/BTCX6/BTCV6/BTCF7</t>
  </si>
  <si>
    <t>syn BTCZ6/BTCX6/BTCG7/BTCF7</t>
  </si>
  <si>
    <t>syn BTCZ6/BTCG7/BTCV6/BTCF7</t>
  </si>
  <si>
    <t>syn BTCZ6/BTCG7/BTCX6/BTCF7</t>
  </si>
  <si>
    <t>syn BTCG7/BTCV6/BTCX6/BTCF7</t>
  </si>
  <si>
    <t>syn BTCG7/BTCV6/BTCZ6/BTCF7</t>
  </si>
  <si>
    <t>syn BTCG7/BTCX6/BTCV6/BTCF7</t>
  </si>
  <si>
    <t>syn BTCG7/BTCX6/BTCZ6/BTCF7</t>
  </si>
  <si>
    <t>syn BTCG7/BTCZ6/BTCV6/BTCF7</t>
  </si>
  <si>
    <t>syn BTCG7/BTCZ6/BTCX6/BTCF7</t>
  </si>
  <si>
    <t>syn BTCV6/BTCX6/BTCZ6/BTCG7/BTCF7</t>
  </si>
  <si>
    <t>syn BTCV6/BTCX6/BTCG7/BTCZ6/BTCF7</t>
  </si>
  <si>
    <t>syn BTCV6/BTCZ6/BTCX6/BTCG7/BTCF7</t>
  </si>
  <si>
    <t>syn BTCV6/BTCZ6/BTCG7/BTCX6/BTCF7</t>
  </si>
  <si>
    <t>syn BTCV6/BTCG7/BTCX6/BTCZ6/BTCF7</t>
  </si>
  <si>
    <t>syn BTCV6/BTCG7/BTCZ6/BTCX6/BTCF7</t>
  </si>
  <si>
    <t>syn BTCX6/BTCV6/BTCZ6/BTCG7/BTCF7</t>
  </si>
  <si>
    <t>syn BTCX6/BTCV6/BTCG7/BTCZ6/BTCF7</t>
  </si>
  <si>
    <t>syn BTCX6/BTCZ6/BTCV6/BTCG7/BTCF7</t>
  </si>
  <si>
    <t>syn BTCX6/BTCZ6/BTCG7/BTCV6/BTCF7</t>
  </si>
  <si>
    <t>syn BTCX6/BTCG7/BTCV6/BTCZ6/BTCF7</t>
  </si>
  <si>
    <t>syn BTCX6/BTCG7/BTCZ6/BTCV6/BTCF7</t>
  </si>
  <si>
    <t>syn BTCZ6/BTCV6/BTCX6/BTCG7/BTCF7</t>
  </si>
  <si>
    <t>syn BTCZ6/BTCV6/BTCG7/BTCX6/BTCF7</t>
  </si>
  <si>
    <t>syn BTCZ6/BTCX6/BTCV6/BTCG7/BTCF7</t>
  </si>
  <si>
    <t>syn BTCZ6/BTCX6/BTCG7/BTCV6/BTCF7</t>
  </si>
  <si>
    <t>syn BTCZ6/BTCG7/BTCV6/BTCX6/BTCF7</t>
  </si>
  <si>
    <t>syn BTCZ6/BTCG7/BTCX6/BTCV6/BTCF7</t>
  </si>
  <si>
    <t>syn BTCG7/BTCV6/BTCX6/BTCZ6/BTCF7</t>
  </si>
  <si>
    <t>syn BTCG7/BTCV6/BTCZ6/BTCX6/BTCF7</t>
  </si>
  <si>
    <t>syn BTCG7/BTCX6/BTCV6/BTCZ6/BTCF7</t>
  </si>
  <si>
    <t>syn BTCG7/BTCX6/BTCZ6/BTCV6/BTCF7</t>
  </si>
  <si>
    <t>syn BTCG7/BTCZ6/BTCV6/BTCX6/BTCF7</t>
  </si>
  <si>
    <t>syn BTCG7/BTCZ6/BTCX6/BTCV6/BTCF7</t>
  </si>
  <si>
    <t>syn BTCV6/BTCG7</t>
  </si>
  <si>
    <t>syn BTCX6/BTCG7</t>
  </si>
  <si>
    <t>syn BTCZ6/BTCG7</t>
  </si>
  <si>
    <t>syn BTCF7/BTCG7</t>
  </si>
  <si>
    <t>syn BTCV6/BTCX6/BTCG7</t>
  </si>
  <si>
    <t>syn BTCV6/BTCZ6/BTCG7</t>
  </si>
  <si>
    <t>syn BTCV6/BTCF7/BTCG7</t>
  </si>
  <si>
    <t>syn BTCX6/BTCV6/BTCG7</t>
  </si>
  <si>
    <t>syn BTCX6/BTCZ6/BTCG7</t>
  </si>
  <si>
    <t>syn BTCX6/BTCF7/BTCG7</t>
  </si>
  <si>
    <t>syn BTCZ6/BTCV6/BTCG7</t>
  </si>
  <si>
    <t>syn BTCZ6/BTCX6/BTCG7</t>
  </si>
  <si>
    <t>syn BTCZ6/BTCF7/BTCG7</t>
  </si>
  <si>
    <t>syn BTCF7/BTCV6/BTCG7</t>
  </si>
  <si>
    <t>syn BTCF7/BTCX6/BTCG7</t>
  </si>
  <si>
    <t>syn BTCF7/BTCZ6/BTCG7</t>
  </si>
  <si>
    <t>syn BTCV6/BTCX6/BTCZ6/BTCG7</t>
  </si>
  <si>
    <t>syn BTCV6/BTCX6/BTCF7/BTCG7</t>
  </si>
  <si>
    <t>syn BTCV6/BTCZ6/BTCX6/BTCG7</t>
  </si>
  <si>
    <t>syn BTCV6/BTCZ6/BTCF7/BTCG7</t>
  </si>
  <si>
    <t>syn BTCV6/BTCF7/BTCX6/BTCG7</t>
  </si>
  <si>
    <t>syn BTCV6/BTCF7/BTCZ6/BTCG7</t>
  </si>
  <si>
    <t>syn BTCX6/BTCV6/BTCZ6/BTCG7</t>
  </si>
  <si>
    <t>syn BTCX6/BTCV6/BTCF7/BTCG7</t>
  </si>
  <si>
    <t>syn BTCX6/BTCZ6/BTCV6/BTCG7</t>
  </si>
  <si>
    <t>syn BTCX6/BTCZ6/BTCF7/BTCG7</t>
  </si>
  <si>
    <t>syn BTCX6/BTCF7/BTCV6/BTCG7</t>
  </si>
  <si>
    <t>syn BTCX6/BTCF7/BTCZ6/BTCG7</t>
  </si>
  <si>
    <t>syn BTCZ6/BTCV6/BTCX6/BTCG7</t>
  </si>
  <si>
    <t>syn BTCZ6/BTCV6/BTCF7/BTCG7</t>
  </si>
  <si>
    <t>syn BTCZ6/BTCX6/BTCV6/BTCG7</t>
  </si>
  <si>
    <t>syn BTCZ6/BTCX6/BTCF7/BTCG7</t>
  </si>
  <si>
    <t>syn BTCZ6/BTCF7/BTCV6/BTCG7</t>
  </si>
  <si>
    <t>syn BTCZ6/BTCF7/BTCX6/BTCG7</t>
  </si>
  <si>
    <t>syn BTCF7/BTCV6/BTCX6/BTCG7</t>
  </si>
  <si>
    <t>syn BTCF7/BTCV6/BTCZ6/BTCG7</t>
  </si>
  <si>
    <t>syn BTCF7/BTCX6/BTCV6/BTCG7</t>
  </si>
  <si>
    <t>syn BTCF7/BTCX6/BTCZ6/BTCG7</t>
  </si>
  <si>
    <t>syn BTCF7/BTCZ6/BTCV6/BTCG7</t>
  </si>
  <si>
    <t>syn BTCF7/BTCZ6/BTCX6/BTCG7</t>
  </si>
  <si>
    <t>syn BTCV6/BTCX6/BTCZ6/BTCF7/BTCG7</t>
  </si>
  <si>
    <t>syn BTCV6/BTCX6/BTCF7/BTCZ6/BTCG7</t>
  </si>
  <si>
    <t>syn BTCV6/BTCZ6/BTCX6/BTCF7/BTCG7</t>
  </si>
  <si>
    <t>syn BTCV6/BTCZ6/BTCF7/BTCX6/BTCG7</t>
  </si>
  <si>
    <t>syn BTCV6/BTCF7/BTCX6/BTCZ6/BTCG7</t>
  </si>
  <si>
    <t>syn BTCV6/BTCF7/BTCZ6/BTCX6/BTCG7</t>
  </si>
  <si>
    <t>syn BTCX6/BTCV6/BTCZ6/BTCF7/BTCG7</t>
  </si>
  <si>
    <t>syn BTCX6/BTCV6/BTCF7/BTCZ6/BTCG7</t>
  </si>
  <si>
    <t>syn BTCX6/BTCZ6/BTCV6/BTCF7/BTCG7</t>
  </si>
  <si>
    <t>syn BTCX6/BTCZ6/BTCF7/BTCV6/BTCG7</t>
  </si>
  <si>
    <t>syn BTCX6/BTCF7/BTCV6/BTCZ6/BTCG7</t>
  </si>
  <si>
    <t>syn BTCX6/BTCF7/BTCZ6/BTCV6/BTCG7</t>
  </si>
  <si>
    <t>syn BTCZ6/BTCV6/BTCX6/BTCF7/BTCG7</t>
  </si>
  <si>
    <t>syn BTCZ6/BTCV6/BTCF7/BTCX6/BTCG7</t>
  </si>
  <si>
    <t>syn BTCZ6/BTCX6/BTCV6/BTCF7/BTCG7</t>
  </si>
  <si>
    <t>syn BTCZ6/BTCX6/BTCF7/BTCV6/BTCG7</t>
  </si>
  <si>
    <t>syn BTCZ6/BTCF7/BTCV6/BTCX6/BTCG7</t>
  </si>
  <si>
    <t>syn BTCZ6/BTCF7/BTCX6/BTCV6/BTCG7</t>
  </si>
  <si>
    <t>syn BTCF7/BTCV6/BTCX6/BTCZ6/BTCG7</t>
  </si>
  <si>
    <t>syn BTCF7/BTCV6/BTCZ6/BTCX6/BTCG7</t>
  </si>
  <si>
    <t>syn BTCF7/BTCX6/BTCV6/BTCZ6/BTCG7</t>
  </si>
  <si>
    <t>syn BTCF7/BTCX6/BTCZ6/BTCV6/BTCG7</t>
  </si>
  <si>
    <t>syn BTCF7/BTCZ6/BTCV6/BTCX6/BTCG7</t>
  </si>
  <si>
    <t>syn BTCF7/BTCZ6/BTCX6/BTCV6/BTCG7</t>
  </si>
  <si>
    <t>syn ETHX6/ETHV6</t>
  </si>
  <si>
    <t>syn ETHZ6/ETHV6</t>
  </si>
  <si>
    <t>syn ETHF7/ETHV6</t>
  </si>
  <si>
    <t>syn ETHG7/ETHV6</t>
  </si>
  <si>
    <t>syn ETHX6/ETHZ6/ETHV6</t>
  </si>
  <si>
    <t>syn ETHX6/ETHF7/ETHV6</t>
  </si>
  <si>
    <t>syn ETHX6/ETHG7/ETHV6</t>
  </si>
  <si>
    <t>syn ETHZ6/ETHX6/ETHV6</t>
  </si>
  <si>
    <t>syn ETHZ6/ETHF7/ETHV6</t>
  </si>
  <si>
    <t>syn ETHZ6/ETHG7/ETHV6</t>
  </si>
  <si>
    <t>syn ETHF7/ETHX6/ETHV6</t>
  </si>
  <si>
    <t>syn ETHF7/ETHZ6/ETHV6</t>
  </si>
  <si>
    <t>syn ETHF7/ETHG7/ETHV6</t>
  </si>
  <si>
    <t>syn ETHG7/ETHX6/ETHV6</t>
  </si>
  <si>
    <t>syn ETHG7/ETHZ6/ETHV6</t>
  </si>
  <si>
    <t>syn ETHG7/ETHF7/ETHV6</t>
  </si>
  <si>
    <t>syn ETHX6/ETHZ6/ETHF7/ETHV6</t>
  </si>
  <si>
    <t>syn ETHX6/ETHZ6/ETHG7/ETHV6</t>
  </si>
  <si>
    <t>syn ETHX6/ETHF7/ETHZ6/ETHV6</t>
  </si>
  <si>
    <t>syn ETHX6/ETHF7/ETHG7/ETHV6</t>
  </si>
  <si>
    <t>syn ETHX6/ETHG7/ETHZ6/ETHV6</t>
  </si>
  <si>
    <t>syn ETHX6/ETHG7/ETHF7/ETHV6</t>
  </si>
  <si>
    <t>syn ETHZ6/ETHX6/ETHF7/ETHV6</t>
  </si>
  <si>
    <t>syn ETHZ6/ETHX6/ETHG7/ETHV6</t>
  </si>
  <si>
    <t>syn ETHZ6/ETHF7/ETHX6/ETHV6</t>
  </si>
  <si>
    <t>syn ETHZ6/ETHF7/ETHG7/ETHV6</t>
  </si>
  <si>
    <t>syn ETHZ6/ETHG7/ETHX6/ETHV6</t>
  </si>
  <si>
    <t>syn ETHZ6/ETHG7/ETHF7/ETHV6</t>
  </si>
  <si>
    <t>syn ETHF7/ETHX6/ETHZ6/ETHV6</t>
  </si>
  <si>
    <t>syn ETHF7/ETHX6/ETHG7/ETHV6</t>
  </si>
  <si>
    <t>syn ETHF7/ETHZ6/ETHX6/ETHV6</t>
  </si>
  <si>
    <t>syn ETHF7/ETHZ6/ETHG7/ETHV6</t>
  </si>
  <si>
    <t>syn ETHF7/ETHG7/ETHX6/ETHV6</t>
  </si>
  <si>
    <t>syn ETHF7/ETHG7/ETHZ6/ETHV6</t>
  </si>
  <si>
    <t>syn ETHG7/ETHX6/ETHZ6/ETHV6</t>
  </si>
  <si>
    <t>syn ETHG7/ETHX6/ETHF7/ETHV6</t>
  </si>
  <si>
    <t>syn ETHG7/ETHZ6/ETHX6/ETHV6</t>
  </si>
  <si>
    <t>syn ETHG7/ETHZ6/ETHF7/ETHV6</t>
  </si>
  <si>
    <t>syn ETHG7/ETHF7/ETHX6/ETHV6</t>
  </si>
  <si>
    <t>syn ETHG7/ETHF7/ETHZ6/ETHV6</t>
  </si>
  <si>
    <t>syn ETHX6/ETHZ6/ETHF7/ETHG7/ETHV6</t>
  </si>
  <si>
    <t>syn ETHX6/ETHZ6/ETHG7/ETHF7/ETHV6</t>
  </si>
  <si>
    <t>syn ETHX6/ETHF7/ETHZ6/ETHG7/ETHV6</t>
  </si>
  <si>
    <t>syn ETHX6/ETHF7/ETHG7/ETHZ6/ETHV6</t>
  </si>
  <si>
    <t>syn ETHX6/ETHG7/ETHZ6/ETHF7/ETHV6</t>
  </si>
  <si>
    <t>syn ETHX6/ETHG7/ETHF7/ETHZ6/ETHV6</t>
  </si>
  <si>
    <t>syn ETHZ6/ETHX6/ETHF7/ETHG7/ETHV6</t>
  </si>
  <si>
    <t>syn ETHZ6/ETHX6/ETHG7/ETHF7/ETHV6</t>
  </si>
  <si>
    <t>syn ETHZ6/ETHF7/ETHX6/ETHG7/ETHV6</t>
  </si>
  <si>
    <t>syn ETHZ6/ETHF7/ETHG7/ETHX6/ETHV6</t>
  </si>
  <si>
    <t>syn ETHZ6/ETHG7/ETHX6/ETHF7/ETHV6</t>
  </si>
  <si>
    <t>syn ETHZ6/ETHG7/ETHF7/ETHX6/ETHV6</t>
  </si>
  <si>
    <t>syn ETHF7/ETHX6/ETHZ6/ETHG7/ETHV6</t>
  </si>
  <si>
    <t>syn ETHF7/ETHX6/ETHG7/ETHZ6/ETHV6</t>
  </si>
  <si>
    <t>syn ETHF7/ETHZ6/ETHX6/ETHG7/ETHV6</t>
  </si>
  <si>
    <t>syn ETHF7/ETHZ6/ETHG7/ETHX6/ETHV6</t>
  </si>
  <si>
    <t>syn ETHF7/ETHG7/ETHX6/ETHZ6/ETHV6</t>
  </si>
  <si>
    <t>syn ETHF7/ETHG7/ETHZ6/ETHX6/ETHV6</t>
  </si>
  <si>
    <t>syn ETHG7/ETHX6/ETHZ6/ETHF7/ETHV6</t>
  </si>
  <si>
    <t>syn ETHG7/ETHX6/ETHF7/ETHZ6/ETHV6</t>
  </si>
  <si>
    <t>syn ETHG7/ETHZ6/ETHX6/ETHF7/ETHV6</t>
  </si>
  <si>
    <t>syn ETHG7/ETHZ6/ETHF7/ETHX6/ETHV6</t>
  </si>
  <si>
    <t>syn ETHG7/ETHF7/ETHX6/ETHZ6/ETHV6</t>
  </si>
  <si>
    <t>syn ETHG7/ETHF7/ETHZ6/ETHX6/ETHV6</t>
  </si>
  <si>
    <t>syn ETHV6/ETHX6</t>
  </si>
  <si>
    <t>syn ETHZ6/ETHX6</t>
  </si>
  <si>
    <t>syn ETHF7/ETHX6</t>
  </si>
  <si>
    <t>syn ETHG7/ETHX6</t>
  </si>
  <si>
    <t>syn ETHV6/ETHZ6/ETHX6</t>
  </si>
  <si>
    <t>syn ETHV6/ETHF7/ETHX6</t>
  </si>
  <si>
    <t>syn ETHV6/ETHG7/ETHX6</t>
  </si>
  <si>
    <t>syn ETHZ6/ETHV6/ETHX6</t>
  </si>
  <si>
    <t>syn ETHZ6/ETHF7/ETHX6</t>
  </si>
  <si>
    <t>syn ETHZ6/ETHG7/ETHX6</t>
  </si>
  <si>
    <t>syn ETHF7/ETHV6/ETHX6</t>
  </si>
  <si>
    <t>syn ETHF7/ETHZ6/ETHX6</t>
  </si>
  <si>
    <t>syn ETHF7/ETHG7/ETHX6</t>
  </si>
  <si>
    <t>syn ETHG7/ETHV6/ETHX6</t>
  </si>
  <si>
    <t>syn ETHG7/ETHZ6/ETHX6</t>
  </si>
  <si>
    <t>syn ETHG7/ETHF7/ETHX6</t>
  </si>
  <si>
    <t>syn ETHV6/ETHZ6/ETHF7/ETHX6</t>
  </si>
  <si>
    <t>syn ETHV6/ETHZ6/ETHG7/ETHX6</t>
  </si>
  <si>
    <t>syn ETHV6/ETHF7/ETHZ6/ETHX6</t>
  </si>
  <si>
    <t>syn ETHV6/ETHF7/ETHG7/ETHX6</t>
  </si>
  <si>
    <t>syn ETHV6/ETHG7/ETHZ6/ETHX6</t>
  </si>
  <si>
    <t>syn ETHV6/ETHG7/ETHF7/ETHX6</t>
  </si>
  <si>
    <t>syn ETHZ6/ETHV6/ETHF7/ETHX6</t>
  </si>
  <si>
    <t>syn ETHZ6/ETHV6/ETHG7/ETHX6</t>
  </si>
  <si>
    <t>syn ETHZ6/ETHF7/ETHV6/ETHX6</t>
  </si>
  <si>
    <t>syn ETHZ6/ETHF7/ETHG7/ETHX6</t>
  </si>
  <si>
    <t>syn ETHZ6/ETHG7/ETHV6/ETHX6</t>
  </si>
  <si>
    <t>syn ETHZ6/ETHG7/ETHF7/ETHX6</t>
  </si>
  <si>
    <t>syn ETHF7/ETHV6/ETHZ6/ETHX6</t>
  </si>
  <si>
    <t>syn ETHF7/ETHV6/ETHG7/ETHX6</t>
  </si>
  <si>
    <t>syn ETHF7/ETHZ6/ETHV6/ETHX6</t>
  </si>
  <si>
    <t>syn ETHF7/ETHZ6/ETHG7/ETHX6</t>
  </si>
  <si>
    <t>syn ETHF7/ETHG7/ETHV6/ETHX6</t>
  </si>
  <si>
    <t>syn ETHF7/ETHG7/ETHZ6/ETHX6</t>
  </si>
  <si>
    <t>syn ETHG7/ETHV6/ETHZ6/ETHX6</t>
  </si>
  <si>
    <t>syn ETHG7/ETHV6/ETHF7/ETHX6</t>
  </si>
  <si>
    <t>syn ETHG7/ETHZ6/ETHV6/ETHX6</t>
  </si>
  <si>
    <t>syn ETHG7/ETHZ6/ETHF7/ETHX6</t>
  </si>
  <si>
    <t>syn ETHG7/ETHF7/ETHV6/ETHX6</t>
  </si>
  <si>
    <t>syn ETHG7/ETHF7/ETHZ6/ETHX6</t>
  </si>
  <si>
    <t>syn ETHV6/ETHZ6/ETHF7/ETHG7/ETHX6</t>
  </si>
  <si>
    <t>syn ETHV6/ETHZ6/ETHG7/ETHF7/ETHX6</t>
  </si>
  <si>
    <t>syn ETHV6/ETHF7/ETHZ6/ETHG7/ETHX6</t>
  </si>
  <si>
    <t>syn ETHV6/ETHF7/ETHG7/ETHZ6/ETHX6</t>
  </si>
  <si>
    <t>syn ETHV6/ETHG7/ETHZ6/ETHF7/ETHX6</t>
  </si>
  <si>
    <t>syn ETHV6/ETHG7/ETHF7/ETHZ6/ETHX6</t>
  </si>
  <si>
    <t>syn ETHZ6/ETHV6/ETHF7/ETHG7/ETHX6</t>
  </si>
  <si>
    <t>syn ETHZ6/ETHV6/ETHG7/ETHF7/ETHX6</t>
  </si>
  <si>
    <t>syn ETHZ6/ETHF7/ETHV6/ETHG7/ETHX6</t>
  </si>
  <si>
    <t>syn ETHZ6/ETHF7/ETHG7/ETHV6/ETHX6</t>
  </si>
  <si>
    <t>syn ETHZ6/ETHG7/ETHV6/ETHF7/ETHX6</t>
  </si>
  <si>
    <t>syn ETHZ6/ETHG7/ETHF7/ETHV6/ETHX6</t>
  </si>
  <si>
    <t>syn ETHF7/ETHV6/ETHZ6/ETHG7/ETHX6</t>
  </si>
  <si>
    <t>syn ETHF7/ETHV6/ETHG7/ETHZ6/ETHX6</t>
  </si>
  <si>
    <t>syn ETHF7/ETHZ6/ETHV6/ETHG7/ETHX6</t>
  </si>
  <si>
    <t>syn ETHF7/ETHZ6/ETHG7/ETHV6/ETHX6</t>
  </si>
  <si>
    <t>syn ETHF7/ETHG7/ETHV6/ETHZ6/ETHX6</t>
  </si>
  <si>
    <t>syn ETHF7/ETHG7/ETHZ6/ETHV6/ETHX6</t>
  </si>
  <si>
    <t>syn ETHG7/ETHV6/ETHZ6/ETHF7/ETHX6</t>
  </si>
  <si>
    <t>syn ETHG7/ETHV6/ETHF7/ETHZ6/ETHX6</t>
  </si>
  <si>
    <t>syn ETHG7/ETHZ6/ETHV6/ETHF7/ETHX6</t>
  </si>
  <si>
    <t>syn ETHG7/ETHZ6/ETHF7/ETHV6/ETHX6</t>
  </si>
  <si>
    <t>syn ETHG7/ETHF7/ETHV6/ETHZ6/ETHX6</t>
  </si>
  <si>
    <t>syn ETHG7/ETHF7/ETHZ6/ETHV6/ETHX6</t>
  </si>
  <si>
    <t>syn ETHV6/ETHZ6</t>
  </si>
  <si>
    <t>syn ETHX6/ETHZ6</t>
  </si>
  <si>
    <t>syn ETHF7/ETHZ6</t>
  </si>
  <si>
    <t>syn ETHG7/ETHZ6</t>
  </si>
  <si>
    <t>syn ETHV6/ETHX6/ETHZ6</t>
  </si>
  <si>
    <t>syn ETHV6/ETHF7/ETHZ6</t>
  </si>
  <si>
    <t>syn ETHV6/ETHG7/ETHZ6</t>
  </si>
  <si>
    <t>syn ETHX6/ETHV6/ETHZ6</t>
  </si>
  <si>
    <t>syn ETHX6/ETHF7/ETHZ6</t>
  </si>
  <si>
    <t>syn ETHX6/ETHG7/ETHZ6</t>
  </si>
  <si>
    <t>syn ETHF7/ETHV6/ETHZ6</t>
  </si>
  <si>
    <t>syn ETHF7/ETHX6/ETHZ6</t>
  </si>
  <si>
    <t>syn ETHF7/ETHG7/ETHZ6</t>
  </si>
  <si>
    <t>syn ETHG7/ETHV6/ETHZ6</t>
  </si>
  <si>
    <t>syn ETHG7/ETHX6/ETHZ6</t>
  </si>
  <si>
    <t>syn ETHG7/ETHF7/ETHZ6</t>
  </si>
  <si>
    <t>syn ETHV6/ETHX6/ETHF7/ETHZ6</t>
  </si>
  <si>
    <t>syn ETHV6/ETHX6/ETHG7/ETHZ6</t>
  </si>
  <si>
    <t>syn ETHV6/ETHF7/ETHX6/ETHZ6</t>
  </si>
  <si>
    <t>syn ETHV6/ETHF7/ETHG7/ETHZ6</t>
  </si>
  <si>
    <t>syn ETHV6/ETHG7/ETHX6/ETHZ6</t>
  </si>
  <si>
    <t>syn ETHV6/ETHG7/ETHF7/ETHZ6</t>
  </si>
  <si>
    <t>syn ETHX6/ETHV6/ETHF7/ETHZ6</t>
  </si>
  <si>
    <t>syn ETHX6/ETHV6/ETHG7/ETHZ6</t>
  </si>
  <si>
    <t>syn ETHX6/ETHF7/ETHV6/ETHZ6</t>
  </si>
  <si>
    <t>syn ETHX6/ETHF7/ETHG7/ETHZ6</t>
  </si>
  <si>
    <t>syn ETHX6/ETHG7/ETHV6/ETHZ6</t>
  </si>
  <si>
    <t>syn ETHX6/ETHG7/ETHF7/ETHZ6</t>
  </si>
  <si>
    <t>syn ETHF7/ETHV6/ETHX6/ETHZ6</t>
  </si>
  <si>
    <t>syn ETHF7/ETHV6/ETHG7/ETHZ6</t>
  </si>
  <si>
    <t>syn ETHF7/ETHX6/ETHV6/ETHZ6</t>
  </si>
  <si>
    <t>syn ETHF7/ETHX6/ETHG7/ETHZ6</t>
  </si>
  <si>
    <t>syn ETHF7/ETHG7/ETHV6/ETHZ6</t>
  </si>
  <si>
    <t>syn ETHF7/ETHG7/ETHX6/ETHZ6</t>
  </si>
  <si>
    <t>syn ETHG7/ETHV6/ETHX6/ETHZ6</t>
  </si>
  <si>
    <t>syn ETHG7/ETHV6/ETHF7/ETHZ6</t>
  </si>
  <si>
    <t>syn ETHG7/ETHX6/ETHV6/ETHZ6</t>
  </si>
  <si>
    <t>syn ETHG7/ETHX6/ETHF7/ETHZ6</t>
  </si>
  <si>
    <t>syn ETHG7/ETHF7/ETHV6/ETHZ6</t>
  </si>
  <si>
    <t>syn ETHG7/ETHF7/ETHX6/ETHZ6</t>
  </si>
  <si>
    <t>syn ETHV6/ETHX6/ETHF7/ETHG7/ETHZ6</t>
  </si>
  <si>
    <t>syn ETHV6/ETHX6/ETHG7/ETHF7/ETHZ6</t>
  </si>
  <si>
    <t>syn ETHV6/ETHF7/ETHX6/ETHG7/ETHZ6</t>
  </si>
  <si>
    <t>syn ETHV6/ETHF7/ETHG7/ETHX6/ETHZ6</t>
  </si>
  <si>
    <t>syn ETHV6/ETHG7/ETHX6/ETHF7/ETHZ6</t>
  </si>
  <si>
    <t>syn ETHV6/ETHG7/ETHF7/ETHX6/ETHZ6</t>
  </si>
  <si>
    <t>syn ETHX6/ETHV6/ETHF7/ETHG7/ETHZ6</t>
  </si>
  <si>
    <t>syn ETHX6/ETHV6/ETHG7/ETHF7/ETHZ6</t>
  </si>
  <si>
    <t>syn ETHX6/ETHF7/ETHV6/ETHG7/ETHZ6</t>
  </si>
  <si>
    <t>syn ETHX6/ETHF7/ETHG7/ETHV6/ETHZ6</t>
  </si>
  <si>
    <t>syn ETHX6/ETHG7/ETHV6/ETHF7/ETHZ6</t>
  </si>
  <si>
    <t>syn ETHX6/ETHG7/ETHF7/ETHV6/ETHZ6</t>
  </si>
  <si>
    <t>syn ETHF7/ETHV6/ETHX6/ETHG7/ETHZ6</t>
  </si>
  <si>
    <t>syn ETHF7/ETHV6/ETHG7/ETHX6/ETHZ6</t>
  </si>
  <si>
    <t>syn ETHF7/ETHX6/ETHV6/ETHG7/ETHZ6</t>
  </si>
  <si>
    <t>syn ETHF7/ETHX6/ETHG7/ETHV6/ETHZ6</t>
  </si>
  <si>
    <t>syn ETHF7/ETHG7/ETHV6/ETHX6/ETHZ6</t>
  </si>
  <si>
    <t>syn ETHF7/ETHG7/ETHX6/ETHV6/ETHZ6</t>
  </si>
  <si>
    <t>syn ETHG7/ETHV6/ETHX6/ETHF7/ETHZ6</t>
  </si>
  <si>
    <t>syn ETHG7/ETHV6/ETHF7/ETHX6/ETHZ6</t>
  </si>
  <si>
    <t>syn ETHG7/ETHX6/ETHV6/ETHF7/ETHZ6</t>
  </si>
  <si>
    <t>syn ETHG7/ETHX6/ETHF7/ETHV6/ETHZ6</t>
  </si>
  <si>
    <t>syn ETHG7/ETHF7/ETHV6/ETHX6/ETHZ6</t>
  </si>
  <si>
    <t>syn ETHG7/ETHF7/ETHX6/ETHV6/ETHZ6</t>
  </si>
  <si>
    <t>syn ETHV6/ETHF7</t>
  </si>
  <si>
    <t>syn ETHX6/ETHF7</t>
  </si>
  <si>
    <t>syn ETHZ6/ETHF7</t>
  </si>
  <si>
    <t>syn ETHG7/ETHF7</t>
  </si>
  <si>
    <t>syn ETHV6/ETHX6/ETHF7</t>
  </si>
  <si>
    <t>syn ETHV6/ETHZ6/ETHF7</t>
  </si>
  <si>
    <t>syn ETHV6/ETHG7/ETHF7</t>
  </si>
  <si>
    <t>syn ETHX6/ETHV6/ETHF7</t>
  </si>
  <si>
    <t>syn ETHX6/ETHZ6/ETHF7</t>
  </si>
  <si>
    <t>syn ETHX6/ETHG7/ETHF7</t>
  </si>
  <si>
    <t>syn ETHZ6/ETHV6/ETHF7</t>
  </si>
  <si>
    <t>syn ETHZ6/ETHX6/ETHF7</t>
  </si>
  <si>
    <t>syn ETHZ6/ETHG7/ETHF7</t>
  </si>
  <si>
    <t>syn ETHG7/ETHV6/ETHF7</t>
  </si>
  <si>
    <t>syn ETHG7/ETHX6/ETHF7</t>
  </si>
  <si>
    <t>syn ETHG7/ETHZ6/ETHF7</t>
  </si>
  <si>
    <t>syn ETHV6/ETHX6/ETHZ6/ETHF7</t>
  </si>
  <si>
    <t>syn ETHV6/ETHX6/ETHG7/ETHF7</t>
  </si>
  <si>
    <t>syn ETHV6/ETHZ6/ETHX6/ETHF7</t>
  </si>
  <si>
    <t>syn ETHV6/ETHZ6/ETHG7/ETHF7</t>
  </si>
  <si>
    <t>syn ETHV6/ETHG7/ETHX6/ETHF7</t>
  </si>
  <si>
    <t>syn ETHV6/ETHG7/ETHZ6/ETHF7</t>
  </si>
  <si>
    <t>syn ETHX6/ETHV6/ETHZ6/ETHF7</t>
  </si>
  <si>
    <t>syn ETHX6/ETHV6/ETHG7/ETHF7</t>
  </si>
  <si>
    <t>syn ETHX6/ETHZ6/ETHV6/ETHF7</t>
  </si>
  <si>
    <t>syn ETHX6/ETHZ6/ETHG7/ETHF7</t>
  </si>
  <si>
    <t>syn ETHX6/ETHG7/ETHV6/ETHF7</t>
  </si>
  <si>
    <t>syn ETHX6/ETHG7/ETHZ6/ETHF7</t>
  </si>
  <si>
    <t>syn ETHZ6/ETHV6/ETHX6/ETHF7</t>
  </si>
  <si>
    <t>syn ETHZ6/ETHV6/ETHG7/ETHF7</t>
  </si>
  <si>
    <t>syn ETHZ6/ETHX6/ETHV6/ETHF7</t>
  </si>
  <si>
    <t>syn ETHZ6/ETHX6/ETHG7/ETHF7</t>
  </si>
  <si>
    <t>syn ETHZ6/ETHG7/ETHV6/ETHF7</t>
  </si>
  <si>
    <t>syn ETHZ6/ETHG7/ETHX6/ETHF7</t>
  </si>
  <si>
    <t>syn ETHG7/ETHV6/ETHX6/ETHF7</t>
  </si>
  <si>
    <t>syn ETHG7/ETHV6/ETHZ6/ETHF7</t>
  </si>
  <si>
    <t>syn ETHG7/ETHX6/ETHV6/ETHF7</t>
  </si>
  <si>
    <t>syn ETHG7/ETHX6/ETHZ6/ETHF7</t>
  </si>
  <si>
    <t>syn ETHG7/ETHZ6/ETHV6/ETHF7</t>
  </si>
  <si>
    <t>syn ETHG7/ETHZ6/ETHX6/ETHF7</t>
  </si>
  <si>
    <t>syn ETHV6/ETHX6/ETHZ6/ETHG7/ETHF7</t>
  </si>
  <si>
    <t>syn ETHV6/ETHX6/ETHG7/ETHZ6/ETHF7</t>
  </si>
  <si>
    <t>syn ETHV6/ETHZ6/ETHX6/ETHG7/ETHF7</t>
  </si>
  <si>
    <t>syn ETHV6/ETHZ6/ETHG7/ETHX6/ETHF7</t>
  </si>
  <si>
    <t>syn ETHV6/ETHG7/ETHX6/ETHZ6/ETHF7</t>
  </si>
  <si>
    <t>syn ETHV6/ETHG7/ETHZ6/ETHX6/ETHF7</t>
  </si>
  <si>
    <t>syn ETHX6/ETHV6/ETHZ6/ETHG7/ETHF7</t>
  </si>
  <si>
    <t>syn ETHX6/ETHV6/ETHG7/ETHZ6/ETHF7</t>
  </si>
  <si>
    <t>syn ETHX6/ETHZ6/ETHV6/ETHG7/ETHF7</t>
  </si>
  <si>
    <t>syn ETHX6/ETHZ6/ETHG7/ETHV6/ETHF7</t>
  </si>
  <si>
    <t>syn ETHX6/ETHG7/ETHV6/ETHZ6/ETHF7</t>
  </si>
  <si>
    <t>syn ETHX6/ETHG7/ETHZ6/ETHV6/ETHF7</t>
  </si>
  <si>
    <t>syn ETHZ6/ETHV6/ETHX6/ETHG7/ETHF7</t>
  </si>
  <si>
    <t>syn ETHZ6/ETHV6/ETHG7/ETHX6/ETHF7</t>
  </si>
  <si>
    <t>syn ETHZ6/ETHX6/ETHV6/ETHG7/ETHF7</t>
  </si>
  <si>
    <t>syn ETHZ6/ETHX6/ETHG7/ETHV6/ETHF7</t>
  </si>
  <si>
    <t>syn ETHZ6/ETHG7/ETHV6/ETHX6/ETHF7</t>
  </si>
  <si>
    <t>syn ETHZ6/ETHG7/ETHX6/ETHV6/ETHF7</t>
  </si>
  <si>
    <t>syn ETHG7/ETHV6/ETHX6/ETHZ6/ETHF7</t>
  </si>
  <si>
    <t>syn ETHG7/ETHV6/ETHZ6/ETHX6/ETHF7</t>
  </si>
  <si>
    <t>syn ETHG7/ETHX6/ETHV6/ETHZ6/ETHF7</t>
  </si>
  <si>
    <t>syn ETHG7/ETHX6/ETHZ6/ETHV6/ETHF7</t>
  </si>
  <si>
    <t>syn ETHG7/ETHZ6/ETHV6/ETHX6/ETHF7</t>
  </si>
  <si>
    <t>syn ETHG7/ETHZ6/ETHX6/ETHV6/ETHF7</t>
  </si>
  <si>
    <t>syn ETHV6/ETHG7</t>
  </si>
  <si>
    <t>syn ETHX6/ETHG7</t>
  </si>
  <si>
    <t>syn ETHZ6/ETHG7</t>
  </si>
  <si>
    <t>syn ETHF7/ETHG7</t>
  </si>
  <si>
    <t>syn ETHV6/ETHX6/ETHG7</t>
  </si>
  <si>
    <t>syn ETHV6/ETHZ6/ETHG7</t>
  </si>
  <si>
    <t>syn ETHV6/ETHF7/ETHG7</t>
  </si>
  <si>
    <t>syn ETHX6/ETHV6/ETHG7</t>
  </si>
  <si>
    <t>syn ETHX6/ETHZ6/ETHG7</t>
  </si>
  <si>
    <t>syn ETHX6/ETHF7/ETHG7</t>
  </si>
  <si>
    <t>syn ETHZ6/ETHV6/ETHG7</t>
  </si>
  <si>
    <t>syn ETHZ6/ETHX6/ETHG7</t>
  </si>
  <si>
    <t>syn ETHZ6/ETHF7/ETHG7</t>
  </si>
  <si>
    <t>syn ETHF7/ETHV6/ETHG7</t>
  </si>
  <si>
    <t>syn ETHF7/ETHX6/ETHG7</t>
  </si>
  <si>
    <t>syn ETHF7/ETHZ6/ETHG7</t>
  </si>
  <si>
    <t>syn ETHV6/ETHX6/ETHZ6/ETHG7</t>
  </si>
  <si>
    <t>syn ETHV6/ETHX6/ETHF7/ETHG7</t>
  </si>
  <si>
    <t>syn ETHV6/ETHZ6/ETHX6/ETHG7</t>
  </si>
  <si>
    <t>syn ETHV6/ETHZ6/ETHF7/ETHG7</t>
  </si>
  <si>
    <t>syn ETHV6/ETHF7/ETHX6/ETHG7</t>
  </si>
  <si>
    <t>syn ETHV6/ETHF7/ETHZ6/ETHG7</t>
  </si>
  <si>
    <t>syn ETHX6/ETHV6/ETHZ6/ETHG7</t>
  </si>
  <si>
    <t>syn ETHX6/ETHV6/ETHF7/ETHG7</t>
  </si>
  <si>
    <t>syn ETHX6/ETHZ6/ETHV6/ETHG7</t>
  </si>
  <si>
    <t>syn ETHX6/ETHZ6/ETHF7/ETHG7</t>
  </si>
  <si>
    <t>syn ETHX6/ETHF7/ETHV6/ETHG7</t>
  </si>
  <si>
    <t>syn ETHX6/ETHF7/ETHZ6/ETHG7</t>
  </si>
  <si>
    <t>syn ETHZ6/ETHV6/ETHX6/ETHG7</t>
  </si>
  <si>
    <t>syn ETHZ6/ETHV6/ETHF7/ETHG7</t>
  </si>
  <si>
    <t>syn ETHZ6/ETHX6/ETHV6/ETHG7</t>
  </si>
  <si>
    <t>syn ETHZ6/ETHX6/ETHF7/ETHG7</t>
  </si>
  <si>
    <t>syn ETHZ6/ETHF7/ETHV6/ETHG7</t>
  </si>
  <si>
    <t>syn ETHZ6/ETHF7/ETHX6/ETHG7</t>
  </si>
  <si>
    <t>syn ETHF7/ETHV6/ETHX6/ETHG7</t>
  </si>
  <si>
    <t>syn ETHF7/ETHV6/ETHZ6/ETHG7</t>
  </si>
  <si>
    <t>syn ETHF7/ETHX6/ETHV6/ETHG7</t>
  </si>
  <si>
    <t>syn ETHF7/ETHX6/ETHZ6/ETHG7</t>
  </si>
  <si>
    <t>syn ETHF7/ETHZ6/ETHV6/ETHG7</t>
  </si>
  <si>
    <t>syn ETHF7/ETHZ6/ETHX6/ETHG7</t>
  </si>
  <si>
    <t>syn ETHV6/ETHX6/ETHZ6/ETHF7/ETHG7</t>
  </si>
  <si>
    <t>syn ETHV6/ETHX6/ETHF7/ETHZ6/ETHG7</t>
  </si>
  <si>
    <t>syn ETHV6/ETHZ6/ETHX6/ETHF7/ETHG7</t>
  </si>
  <si>
    <t>syn ETHV6/ETHZ6/ETHF7/ETHX6/ETHG7</t>
  </si>
  <si>
    <t>syn ETHV6/ETHF7/ETHX6/ETHZ6/ETHG7</t>
  </si>
  <si>
    <t>syn ETHV6/ETHF7/ETHZ6/ETHX6/ETHG7</t>
  </si>
  <si>
    <t>syn ETHX6/ETHV6/ETHZ6/ETHF7/ETHG7</t>
  </si>
  <si>
    <t>syn ETHX6/ETHV6/ETHF7/ETHZ6/ETHG7</t>
  </si>
  <si>
    <t>syn ETHX6/ETHZ6/ETHV6/ETHF7/ETHG7</t>
  </si>
  <si>
    <t>syn ETHX6/ETHZ6/ETHF7/ETHV6/ETHG7</t>
  </si>
  <si>
    <t>syn ETHX6/ETHF7/ETHV6/ETHZ6/ETHG7</t>
  </si>
  <si>
    <t>syn ETHX6/ETHF7/ETHZ6/ETHV6/ETHG7</t>
  </si>
  <si>
    <t>syn ETHZ6/ETHV6/ETHX6/ETHF7/ETHG7</t>
  </si>
  <si>
    <t>syn ETHZ6/ETHV6/ETHF7/ETHX6/ETHG7</t>
  </si>
  <si>
    <t>syn ETHZ6/ETHX6/ETHV6/ETHF7/ETHG7</t>
  </si>
  <si>
    <t>syn ETHZ6/ETHX6/ETHF7/ETHV6/ETHG7</t>
  </si>
  <si>
    <t>syn ETHZ6/ETHF7/ETHV6/ETHX6/ETHG7</t>
  </si>
  <si>
    <t>syn ETHZ6/ETHF7/ETHX6/ETHV6/ETHG7</t>
  </si>
  <si>
    <t>syn ETHF7/ETHV6/ETHX6/ETHZ6/ETHG7</t>
  </si>
  <si>
    <t>syn ETHF7/ETHV6/ETHZ6/ETHX6/ETHG7</t>
  </si>
  <si>
    <t>syn ETHF7/ETHX6/ETHV6/ETHZ6/ETHG7</t>
  </si>
  <si>
    <t>syn ETHF7/ETHX6/ETHZ6/ETHV6/ETHG7</t>
  </si>
  <si>
    <t>syn ETHF7/ETHZ6/ETHV6/ETHX6/ETHG7</t>
  </si>
  <si>
    <t>syn ETHF7/ETHZ6/ETHX6/ETHV6/ETHG7</t>
  </si>
  <si>
    <t>cf_unit_hit_bid_comm</t>
  </si>
  <si>
    <t>cf_unit_lift_ask_comm</t>
  </si>
  <si>
    <t>b/o BTCH7</t>
  </si>
  <si>
    <t>b/o ETHH7</t>
  </si>
  <si>
    <t>BTCH7</t>
  </si>
  <si>
    <t>ETHH7</t>
  </si>
  <si>
    <t>BTCV6/BTCH7</t>
  </si>
  <si>
    <t>BTCX6/BTCH7</t>
  </si>
  <si>
    <t>BTCZ6/BTCH7</t>
  </si>
  <si>
    <t>BTCF7/BTCH7</t>
  </si>
  <si>
    <t>BTCG7/BTCH7</t>
  </si>
  <si>
    <t>ETHV6/ETHH7</t>
  </si>
  <si>
    <t>ETHX6/ETHH7</t>
  </si>
  <si>
    <t>ETHZ6/ETHH7</t>
  </si>
  <si>
    <t>ETHF7/ETHH7</t>
  </si>
  <si>
    <t>ETHG7/ETHH7</t>
  </si>
  <si>
    <t>syn BTCH7/BTCV6</t>
  </si>
  <si>
    <t>syn BTCX6/BTCH7/BTCV6</t>
  </si>
  <si>
    <t>syn BTCZ6/BTCH7/BTCV6</t>
  </si>
  <si>
    <t>syn BTCF7/BTCH7/BTCV6</t>
  </si>
  <si>
    <t>syn BTCG7/BTCH7/BTCV6</t>
  </si>
  <si>
    <t>syn BTCH7/BTCX6/BTCV6</t>
  </si>
  <si>
    <t>syn BTCH7/BTCZ6/BTCV6</t>
  </si>
  <si>
    <t>syn BTCH7/BTCF7/BTCV6</t>
  </si>
  <si>
    <t>syn BTCH7/BTCG7/BTCV6</t>
  </si>
  <si>
    <t>syn BTCX6/BTCZ6/BTCH7/BTCV6</t>
  </si>
  <si>
    <t>syn BTCX6/BTCF7/BTCH7/BTCV6</t>
  </si>
  <si>
    <t>syn BTCX6/BTCG7/BTCH7/BTCV6</t>
  </si>
  <si>
    <t>syn BTCX6/BTCH7/BTCZ6/BTCV6</t>
  </si>
  <si>
    <t>syn BTCX6/BTCH7/BTCF7/BTCV6</t>
  </si>
  <si>
    <t>syn BTCX6/BTCH7/BTCG7/BTCV6</t>
  </si>
  <si>
    <t>syn BTCZ6/BTCX6/BTCH7/BTCV6</t>
  </si>
  <si>
    <t>syn BTCZ6/BTCF7/BTCH7/BTCV6</t>
  </si>
  <si>
    <t>syn BTCZ6/BTCG7/BTCH7/BTCV6</t>
  </si>
  <si>
    <t>syn BTCZ6/BTCH7/BTCX6/BTCV6</t>
  </si>
  <si>
    <t>syn BTCZ6/BTCH7/BTCF7/BTCV6</t>
  </si>
  <si>
    <t>syn BTCZ6/BTCH7/BTCG7/BTCV6</t>
  </si>
  <si>
    <t>syn BTCF7/BTCX6/BTCH7/BTCV6</t>
  </si>
  <si>
    <t>syn BTCF7/BTCZ6/BTCH7/BTCV6</t>
  </si>
  <si>
    <t>syn BTCF7/BTCG7/BTCH7/BTCV6</t>
  </si>
  <si>
    <t>syn BTCF7/BTCH7/BTCX6/BTCV6</t>
  </si>
  <si>
    <t>syn BTCF7/BTCH7/BTCZ6/BTCV6</t>
  </si>
  <si>
    <t>syn BTCF7/BTCH7/BTCG7/BTCV6</t>
  </si>
  <si>
    <t>syn BTCG7/BTCX6/BTCH7/BTCV6</t>
  </si>
  <si>
    <t>syn BTCG7/BTCZ6/BTCH7/BTCV6</t>
  </si>
  <si>
    <t>syn BTCG7/BTCF7/BTCH7/BTCV6</t>
  </si>
  <si>
    <t>syn BTCG7/BTCH7/BTCX6/BTCV6</t>
  </si>
  <si>
    <t>syn BTCG7/BTCH7/BTCZ6/BTCV6</t>
  </si>
  <si>
    <t>syn BTCG7/BTCH7/BTCF7/BTCV6</t>
  </si>
  <si>
    <t>syn BTCH7/BTCX6/BTCZ6/BTCV6</t>
  </si>
  <si>
    <t>syn BTCH7/BTCX6/BTCF7/BTCV6</t>
  </si>
  <si>
    <t>syn BTCH7/BTCX6/BTCG7/BTCV6</t>
  </si>
  <si>
    <t>syn BTCH7/BTCZ6/BTCX6/BTCV6</t>
  </si>
  <si>
    <t>syn BTCH7/BTCZ6/BTCF7/BTCV6</t>
  </si>
  <si>
    <t>syn BTCH7/BTCZ6/BTCG7/BTCV6</t>
  </si>
  <si>
    <t>syn BTCH7/BTCF7/BTCX6/BTCV6</t>
  </si>
  <si>
    <t>syn BTCH7/BTCF7/BTCZ6/BTCV6</t>
  </si>
  <si>
    <t>syn BTCH7/BTCF7/BTCG7/BTCV6</t>
  </si>
  <si>
    <t>syn BTCH7/BTCG7/BTCX6/BTCV6</t>
  </si>
  <si>
    <t>syn BTCH7/BTCG7/BTCZ6/BTCV6</t>
  </si>
  <si>
    <t>syn BTCH7/BTCG7/BTCF7/BTCV6</t>
  </si>
  <si>
    <t>syn BTCX6/BTCZ6/BTCF7/BTCH7/BTCV6</t>
  </si>
  <si>
    <t>syn BTCX6/BTCZ6/BTCG7/BTCH7/BTCV6</t>
  </si>
  <si>
    <t>syn BTCX6/BTCZ6/BTCH7/BTCF7/BTCV6</t>
  </si>
  <si>
    <t>syn BTCX6/BTCZ6/BTCH7/BTCG7/BTCV6</t>
  </si>
  <si>
    <t>syn BTCX6/BTCF7/BTCZ6/BTCH7/BTCV6</t>
  </si>
  <si>
    <t>syn BTCX6/BTCF7/BTCG7/BTCH7/BTCV6</t>
  </si>
  <si>
    <t>syn BTCX6/BTCF7/BTCH7/BTCZ6/BTCV6</t>
  </si>
  <si>
    <t>syn BTCX6/BTCF7/BTCH7/BTCG7/BTCV6</t>
  </si>
  <si>
    <t>syn BTCX6/BTCG7/BTCZ6/BTCH7/BTCV6</t>
  </si>
  <si>
    <t>syn BTCX6/BTCG7/BTCF7/BTCH7/BTCV6</t>
  </si>
  <si>
    <t>syn BTCX6/BTCG7/BTCH7/BTCZ6/BTCV6</t>
  </si>
  <si>
    <t>syn BTCX6/BTCG7/BTCH7/BTCF7/BTCV6</t>
  </si>
  <si>
    <t>syn BTCX6/BTCH7/BTCZ6/BTCF7/BTCV6</t>
  </si>
  <si>
    <t>syn BTCX6/BTCH7/BTCZ6/BTCG7/BTCV6</t>
  </si>
  <si>
    <t>syn BTCX6/BTCH7/BTCF7/BTCZ6/BTCV6</t>
  </si>
  <si>
    <t>syn BTCX6/BTCH7/BTCF7/BTCG7/BTCV6</t>
  </si>
  <si>
    <t>syn BTCX6/BTCH7/BTCG7/BTCZ6/BTCV6</t>
  </si>
  <si>
    <t>syn BTCX6/BTCH7/BTCG7/BTCF7/BTCV6</t>
  </si>
  <si>
    <t>syn BTCZ6/BTCX6/BTCF7/BTCH7/BTCV6</t>
  </si>
  <si>
    <t>syn BTCZ6/BTCX6/BTCG7/BTCH7/BTCV6</t>
  </si>
  <si>
    <t>syn BTCZ6/BTCX6/BTCH7/BTCF7/BTCV6</t>
  </si>
  <si>
    <t>syn BTCZ6/BTCX6/BTCH7/BTCG7/BTCV6</t>
  </si>
  <si>
    <t>syn BTCZ6/BTCF7/BTCX6/BTCH7/BTCV6</t>
  </si>
  <si>
    <t>syn BTCZ6/BTCF7/BTCG7/BTCH7/BTCV6</t>
  </si>
  <si>
    <t>syn BTCZ6/BTCF7/BTCH7/BTCX6/BTCV6</t>
  </si>
  <si>
    <t>syn BTCZ6/BTCF7/BTCH7/BTCG7/BTCV6</t>
  </si>
  <si>
    <t>syn BTCZ6/BTCG7/BTCX6/BTCH7/BTCV6</t>
  </si>
  <si>
    <t>syn BTCZ6/BTCG7/BTCF7/BTCH7/BTCV6</t>
  </si>
  <si>
    <t>syn BTCZ6/BTCG7/BTCH7/BTCX6/BTCV6</t>
  </si>
  <si>
    <t>syn BTCZ6/BTCG7/BTCH7/BTCF7/BTCV6</t>
  </si>
  <si>
    <t>syn BTCZ6/BTCH7/BTCX6/BTCF7/BTCV6</t>
  </si>
  <si>
    <t>syn BTCZ6/BTCH7/BTCX6/BTCG7/BTCV6</t>
  </si>
  <si>
    <t>syn BTCZ6/BTCH7/BTCF7/BTCX6/BTCV6</t>
  </si>
  <si>
    <t>syn BTCZ6/BTCH7/BTCF7/BTCG7/BTCV6</t>
  </si>
  <si>
    <t>syn BTCZ6/BTCH7/BTCG7/BTCX6/BTCV6</t>
  </si>
  <si>
    <t>syn BTCZ6/BTCH7/BTCG7/BTCF7/BTCV6</t>
  </si>
  <si>
    <t>syn BTCF7/BTCX6/BTCZ6/BTCH7/BTCV6</t>
  </si>
  <si>
    <t>syn BTCF7/BTCX6/BTCG7/BTCH7/BTCV6</t>
  </si>
  <si>
    <t>syn BTCF7/BTCX6/BTCH7/BTCZ6/BTCV6</t>
  </si>
  <si>
    <t>syn BTCF7/BTCX6/BTCH7/BTCG7/BTCV6</t>
  </si>
  <si>
    <t>syn BTCF7/BTCZ6/BTCX6/BTCH7/BTCV6</t>
  </si>
  <si>
    <t>syn BTCF7/BTCZ6/BTCG7/BTCH7/BTCV6</t>
  </si>
  <si>
    <t>syn BTCF7/BTCZ6/BTCH7/BTCX6/BTCV6</t>
  </si>
  <si>
    <t>syn BTCF7/BTCZ6/BTCH7/BTCG7/BTCV6</t>
  </si>
  <si>
    <t>syn BTCF7/BTCG7/BTCX6/BTCH7/BTCV6</t>
  </si>
  <si>
    <t>syn BTCF7/BTCG7/BTCZ6/BTCH7/BTCV6</t>
  </si>
  <si>
    <t>syn BTCF7/BTCG7/BTCH7/BTCX6/BTCV6</t>
  </si>
  <si>
    <t>syn BTCF7/BTCG7/BTCH7/BTCZ6/BTCV6</t>
  </si>
  <si>
    <t>syn BTCF7/BTCH7/BTCX6/BTCZ6/BTCV6</t>
  </si>
  <si>
    <t>syn BTCF7/BTCH7/BTCX6/BTCG7/BTCV6</t>
  </si>
  <si>
    <t>syn BTCF7/BTCH7/BTCZ6/BTCX6/BTCV6</t>
  </si>
  <si>
    <t>syn BTCF7/BTCH7/BTCZ6/BTCG7/BTCV6</t>
  </si>
  <si>
    <t>syn BTCF7/BTCH7/BTCG7/BTCX6/BTCV6</t>
  </si>
  <si>
    <t>syn BTCF7/BTCH7/BTCG7/BTCZ6/BTCV6</t>
  </si>
  <si>
    <t>syn BTCG7/BTCX6/BTCZ6/BTCH7/BTCV6</t>
  </si>
  <si>
    <t>syn BTCG7/BTCX6/BTCF7/BTCH7/BTCV6</t>
  </si>
  <si>
    <t>syn BTCG7/BTCX6/BTCH7/BTCZ6/BTCV6</t>
  </si>
  <si>
    <t>syn BTCG7/BTCX6/BTCH7/BTCF7/BTCV6</t>
  </si>
  <si>
    <t>syn BTCG7/BTCZ6/BTCX6/BTCH7/BTCV6</t>
  </si>
  <si>
    <t>syn BTCG7/BTCZ6/BTCF7/BTCH7/BTCV6</t>
  </si>
  <si>
    <t>syn BTCG7/BTCZ6/BTCH7/BTCX6/BTCV6</t>
  </si>
  <si>
    <t>syn BTCG7/BTCZ6/BTCH7/BTCF7/BTCV6</t>
  </si>
  <si>
    <t>syn BTCG7/BTCF7/BTCX6/BTCH7/BTCV6</t>
  </si>
  <si>
    <t>syn BTCG7/BTCF7/BTCZ6/BTCH7/BTCV6</t>
  </si>
  <si>
    <t>syn BTCG7/BTCF7/BTCH7/BTCX6/BTCV6</t>
  </si>
  <si>
    <t>syn BTCG7/BTCF7/BTCH7/BTCZ6/BTCV6</t>
  </si>
  <si>
    <t>syn BTCG7/BTCH7/BTCX6/BTCZ6/BTCV6</t>
  </si>
  <si>
    <t>syn BTCG7/BTCH7/BTCX6/BTCF7/BTCV6</t>
  </si>
  <si>
    <t>syn BTCG7/BTCH7/BTCZ6/BTCX6/BTCV6</t>
  </si>
  <si>
    <t>syn BTCG7/BTCH7/BTCZ6/BTCF7/BTCV6</t>
  </si>
  <si>
    <t>syn BTCG7/BTCH7/BTCF7/BTCX6/BTCV6</t>
  </si>
  <si>
    <t>syn BTCG7/BTCH7/BTCF7/BTCZ6/BTCV6</t>
  </si>
  <si>
    <t>syn BTCH7/BTCX6/BTCZ6/BTCF7/BTCV6</t>
  </si>
  <si>
    <t>syn BTCH7/BTCX6/BTCZ6/BTCG7/BTCV6</t>
  </si>
  <si>
    <t>syn BTCH7/BTCX6/BTCF7/BTCZ6/BTCV6</t>
  </si>
  <si>
    <t>syn BTCH7/BTCX6/BTCF7/BTCG7/BTCV6</t>
  </si>
  <si>
    <t>syn BTCH7/BTCX6/BTCG7/BTCZ6/BTCV6</t>
  </si>
  <si>
    <t>syn BTCH7/BTCX6/BTCG7/BTCF7/BTCV6</t>
  </si>
  <si>
    <t>syn BTCH7/BTCZ6/BTCX6/BTCF7/BTCV6</t>
  </si>
  <si>
    <t>syn BTCH7/BTCZ6/BTCX6/BTCG7/BTCV6</t>
  </si>
  <si>
    <t>syn BTCH7/BTCZ6/BTCF7/BTCX6/BTCV6</t>
  </si>
  <si>
    <t>syn BTCH7/BTCZ6/BTCF7/BTCG7/BTCV6</t>
  </si>
  <si>
    <t>syn BTCH7/BTCZ6/BTCG7/BTCX6/BTCV6</t>
  </si>
  <si>
    <t>syn BTCH7/BTCZ6/BTCG7/BTCF7/BTCV6</t>
  </si>
  <si>
    <t>syn BTCH7/BTCF7/BTCX6/BTCZ6/BTCV6</t>
  </si>
  <si>
    <t>syn BTCH7/BTCF7/BTCX6/BTCG7/BTCV6</t>
  </si>
  <si>
    <t>syn BTCH7/BTCF7/BTCZ6/BTCX6/BTCV6</t>
  </si>
  <si>
    <t>syn BTCH7/BTCF7/BTCZ6/BTCG7/BTCV6</t>
  </si>
  <si>
    <t>syn BTCH7/BTCF7/BTCG7/BTCX6/BTCV6</t>
  </si>
  <si>
    <t>syn BTCH7/BTCF7/BTCG7/BTCZ6/BTCV6</t>
  </si>
  <si>
    <t>syn BTCH7/BTCG7/BTCX6/BTCZ6/BTCV6</t>
  </si>
  <si>
    <t>syn BTCH7/BTCG7/BTCX6/BTCF7/BTCV6</t>
  </si>
  <si>
    <t>syn BTCH7/BTCG7/BTCZ6/BTCX6/BTCV6</t>
  </si>
  <si>
    <t>syn BTCH7/BTCG7/BTCZ6/BTCF7/BTCV6</t>
  </si>
  <si>
    <t>syn BTCH7/BTCG7/BTCF7/BTCX6/BTCV6</t>
  </si>
  <si>
    <t>syn BTCH7/BTCG7/BTCF7/BTCZ6/BTCV6</t>
  </si>
  <si>
    <t>syn BTCX6/BTCZ6/BTCF7/BTCG7/BTCH7/BTCV6</t>
  </si>
  <si>
    <t>syn BTCX6/BTCZ6/BTCF7/BTCH7/BTCG7/BTCV6</t>
  </si>
  <si>
    <t>syn BTCX6/BTCZ6/BTCG7/BTCF7/BTCH7/BTCV6</t>
  </si>
  <si>
    <t>syn BTCX6/BTCZ6/BTCG7/BTCH7/BTCF7/BTCV6</t>
  </si>
  <si>
    <t>syn BTCX6/BTCZ6/BTCH7/BTCF7/BTCG7/BTCV6</t>
  </si>
  <si>
    <t>syn BTCX6/BTCZ6/BTCH7/BTCG7/BTCF7/BTCV6</t>
  </si>
  <si>
    <t>syn BTCX6/BTCF7/BTCZ6/BTCG7/BTCH7/BTCV6</t>
  </si>
  <si>
    <t>syn BTCX6/BTCF7/BTCZ6/BTCH7/BTCG7/BTCV6</t>
  </si>
  <si>
    <t>syn BTCX6/BTCF7/BTCG7/BTCZ6/BTCH7/BTCV6</t>
  </si>
  <si>
    <t>syn BTCX6/BTCF7/BTCG7/BTCH7/BTCZ6/BTCV6</t>
  </si>
  <si>
    <t>syn BTCX6/BTCF7/BTCH7/BTCZ6/BTCG7/BTCV6</t>
  </si>
  <si>
    <t>syn BTCX6/BTCF7/BTCH7/BTCG7/BTCZ6/BTCV6</t>
  </si>
  <si>
    <t>syn BTCX6/BTCG7/BTCZ6/BTCF7/BTCH7/BTCV6</t>
  </si>
  <si>
    <t>syn BTCX6/BTCG7/BTCZ6/BTCH7/BTCF7/BTCV6</t>
  </si>
  <si>
    <t>syn BTCX6/BTCG7/BTCF7/BTCZ6/BTCH7/BTCV6</t>
  </si>
  <si>
    <t>syn BTCX6/BTCG7/BTCF7/BTCH7/BTCZ6/BTCV6</t>
  </si>
  <si>
    <t>syn BTCX6/BTCG7/BTCH7/BTCZ6/BTCF7/BTCV6</t>
  </si>
  <si>
    <t>syn BTCX6/BTCG7/BTCH7/BTCF7/BTCZ6/BTCV6</t>
  </si>
  <si>
    <t>syn BTCX6/BTCH7/BTCZ6/BTCF7/BTCG7/BTCV6</t>
  </si>
  <si>
    <t>syn BTCX6/BTCH7/BTCZ6/BTCG7/BTCF7/BTCV6</t>
  </si>
  <si>
    <t>syn BTCX6/BTCH7/BTCF7/BTCZ6/BTCG7/BTCV6</t>
  </si>
  <si>
    <t>syn BTCX6/BTCH7/BTCF7/BTCG7/BTCZ6/BTCV6</t>
  </si>
  <si>
    <t>syn BTCX6/BTCH7/BTCG7/BTCZ6/BTCF7/BTCV6</t>
  </si>
  <si>
    <t>syn BTCX6/BTCH7/BTCG7/BTCF7/BTCZ6/BTCV6</t>
  </si>
  <si>
    <t>syn BTCZ6/BTCX6/BTCF7/BTCG7/BTCH7/BTCV6</t>
  </si>
  <si>
    <t>syn BTCZ6/BTCX6/BTCF7/BTCH7/BTCG7/BTCV6</t>
  </si>
  <si>
    <t>syn BTCZ6/BTCX6/BTCG7/BTCF7/BTCH7/BTCV6</t>
  </si>
  <si>
    <t>syn BTCZ6/BTCX6/BTCG7/BTCH7/BTCF7/BTCV6</t>
  </si>
  <si>
    <t>syn BTCZ6/BTCX6/BTCH7/BTCF7/BTCG7/BTCV6</t>
  </si>
  <si>
    <t>syn BTCZ6/BTCX6/BTCH7/BTCG7/BTCF7/BTCV6</t>
  </si>
  <si>
    <t>syn BTCZ6/BTCF7/BTCX6/BTCG7/BTCH7/BTCV6</t>
  </si>
  <si>
    <t>syn BTCZ6/BTCF7/BTCX6/BTCH7/BTCG7/BTCV6</t>
  </si>
  <si>
    <t>syn BTCZ6/BTCF7/BTCG7/BTCX6/BTCH7/BTCV6</t>
  </si>
  <si>
    <t>syn BTCZ6/BTCF7/BTCG7/BTCH7/BTCX6/BTCV6</t>
  </si>
  <si>
    <t>syn BTCZ6/BTCF7/BTCH7/BTCX6/BTCG7/BTCV6</t>
  </si>
  <si>
    <t>syn BTCZ6/BTCF7/BTCH7/BTCG7/BTCX6/BTCV6</t>
  </si>
  <si>
    <t>syn BTCZ6/BTCG7/BTCX6/BTCF7/BTCH7/BTCV6</t>
  </si>
  <si>
    <t>syn BTCZ6/BTCG7/BTCX6/BTCH7/BTCF7/BTCV6</t>
  </si>
  <si>
    <t>syn BTCZ6/BTCG7/BTCF7/BTCX6/BTCH7/BTCV6</t>
  </si>
  <si>
    <t>syn BTCZ6/BTCG7/BTCF7/BTCH7/BTCX6/BTCV6</t>
  </si>
  <si>
    <t>syn BTCZ6/BTCG7/BTCH7/BTCX6/BTCF7/BTCV6</t>
  </si>
  <si>
    <t>syn BTCZ6/BTCG7/BTCH7/BTCF7/BTCX6/BTCV6</t>
  </si>
  <si>
    <t>syn BTCZ6/BTCH7/BTCX6/BTCF7/BTCG7/BTCV6</t>
  </si>
  <si>
    <t>syn BTCZ6/BTCH7/BTCX6/BTCG7/BTCF7/BTCV6</t>
  </si>
  <si>
    <t>syn BTCZ6/BTCH7/BTCF7/BTCX6/BTCG7/BTCV6</t>
  </si>
  <si>
    <t>syn BTCZ6/BTCH7/BTCF7/BTCG7/BTCX6/BTCV6</t>
  </si>
  <si>
    <t>syn BTCZ6/BTCH7/BTCG7/BTCX6/BTCF7/BTCV6</t>
  </si>
  <si>
    <t>syn BTCZ6/BTCH7/BTCG7/BTCF7/BTCX6/BTCV6</t>
  </si>
  <si>
    <t>syn BTCF7/BTCX6/BTCZ6/BTCG7/BTCH7/BTCV6</t>
  </si>
  <si>
    <t>syn BTCF7/BTCX6/BTCZ6/BTCH7/BTCG7/BTCV6</t>
  </si>
  <si>
    <t>syn BTCF7/BTCX6/BTCG7/BTCZ6/BTCH7/BTCV6</t>
  </si>
  <si>
    <t>syn BTCF7/BTCX6/BTCG7/BTCH7/BTCZ6/BTCV6</t>
  </si>
  <si>
    <t>syn BTCF7/BTCX6/BTCH7/BTCZ6/BTCG7/BTCV6</t>
  </si>
  <si>
    <t>syn BTCF7/BTCX6/BTCH7/BTCG7/BTCZ6/BTCV6</t>
  </si>
  <si>
    <t>syn BTCF7/BTCZ6/BTCX6/BTCG7/BTCH7/BTCV6</t>
  </si>
  <si>
    <t>syn BTCF7/BTCZ6/BTCX6/BTCH7/BTCG7/BTCV6</t>
  </si>
  <si>
    <t>syn BTCF7/BTCZ6/BTCG7/BTCX6/BTCH7/BTCV6</t>
  </si>
  <si>
    <t>syn BTCF7/BTCZ6/BTCG7/BTCH7/BTCX6/BTCV6</t>
  </si>
  <si>
    <t>syn BTCF7/BTCZ6/BTCH7/BTCX6/BTCG7/BTCV6</t>
  </si>
  <si>
    <t>syn BTCF7/BTCZ6/BTCH7/BTCG7/BTCX6/BTCV6</t>
  </si>
  <si>
    <t>syn BTCF7/BTCG7/BTCX6/BTCZ6/BTCH7/BTCV6</t>
  </si>
  <si>
    <t>syn BTCF7/BTCG7/BTCX6/BTCH7/BTCZ6/BTCV6</t>
  </si>
  <si>
    <t>syn BTCF7/BTCG7/BTCZ6/BTCX6/BTCH7/BTCV6</t>
  </si>
  <si>
    <t>syn BTCF7/BTCG7/BTCZ6/BTCH7/BTCX6/BTCV6</t>
  </si>
  <si>
    <t>syn BTCF7/BTCG7/BTCH7/BTCX6/BTCZ6/BTCV6</t>
  </si>
  <si>
    <t>syn BTCF7/BTCG7/BTCH7/BTCZ6/BTCX6/BTCV6</t>
  </si>
  <si>
    <t>syn BTCF7/BTCH7/BTCX6/BTCZ6/BTCG7/BTCV6</t>
  </si>
  <si>
    <t>syn BTCF7/BTCH7/BTCX6/BTCG7/BTCZ6/BTCV6</t>
  </si>
  <si>
    <t>syn BTCF7/BTCH7/BTCZ6/BTCX6/BTCG7/BTCV6</t>
  </si>
  <si>
    <t>syn BTCF7/BTCH7/BTCZ6/BTCG7/BTCX6/BTCV6</t>
  </si>
  <si>
    <t>syn BTCF7/BTCH7/BTCG7/BTCX6/BTCZ6/BTCV6</t>
  </si>
  <si>
    <t>syn BTCF7/BTCH7/BTCG7/BTCZ6/BTCX6/BTCV6</t>
  </si>
  <si>
    <t>syn BTCG7/BTCX6/BTCZ6/BTCF7/BTCH7/BTCV6</t>
  </si>
  <si>
    <t>syn BTCG7/BTCX6/BTCZ6/BTCH7/BTCF7/BTCV6</t>
  </si>
  <si>
    <t>syn BTCG7/BTCX6/BTCF7/BTCZ6/BTCH7/BTCV6</t>
  </si>
  <si>
    <t>syn BTCG7/BTCX6/BTCF7/BTCH7/BTCZ6/BTCV6</t>
  </si>
  <si>
    <t>syn BTCG7/BTCX6/BTCH7/BTCZ6/BTCF7/BTCV6</t>
  </si>
  <si>
    <t>syn BTCG7/BTCX6/BTCH7/BTCF7/BTCZ6/BTCV6</t>
  </si>
  <si>
    <t>syn BTCG7/BTCZ6/BTCX6/BTCF7/BTCH7/BTCV6</t>
  </si>
  <si>
    <t>syn BTCG7/BTCZ6/BTCX6/BTCH7/BTCF7/BTCV6</t>
  </si>
  <si>
    <t>syn BTCG7/BTCZ6/BTCF7/BTCX6/BTCH7/BTCV6</t>
  </si>
  <si>
    <t>syn BTCG7/BTCZ6/BTCF7/BTCH7/BTCX6/BTCV6</t>
  </si>
  <si>
    <t>syn BTCG7/BTCZ6/BTCH7/BTCX6/BTCF7/BTCV6</t>
  </si>
  <si>
    <t>syn BTCG7/BTCZ6/BTCH7/BTCF7/BTCX6/BTCV6</t>
  </si>
  <si>
    <t>syn BTCG7/BTCF7/BTCX6/BTCZ6/BTCH7/BTCV6</t>
  </si>
  <si>
    <t>syn BTCG7/BTCF7/BTCX6/BTCH7/BTCZ6/BTCV6</t>
  </si>
  <si>
    <t>syn BTCG7/BTCF7/BTCZ6/BTCX6/BTCH7/BTCV6</t>
  </si>
  <si>
    <t>syn BTCG7/BTCF7/BTCZ6/BTCH7/BTCX6/BTCV6</t>
  </si>
  <si>
    <t>syn BTCG7/BTCF7/BTCH7/BTCX6/BTCZ6/BTCV6</t>
  </si>
  <si>
    <t>syn BTCG7/BTCF7/BTCH7/BTCZ6/BTCX6/BTCV6</t>
  </si>
  <si>
    <t>syn BTCG7/BTCH7/BTCX6/BTCZ6/BTCF7/BTCV6</t>
  </si>
  <si>
    <t>syn BTCG7/BTCH7/BTCX6/BTCF7/BTCZ6/BTCV6</t>
  </si>
  <si>
    <t>syn BTCG7/BTCH7/BTCZ6/BTCX6/BTCF7/BTCV6</t>
  </si>
  <si>
    <t>syn BTCG7/BTCH7/BTCZ6/BTCF7/BTCX6/BTCV6</t>
  </si>
  <si>
    <t>syn BTCG7/BTCH7/BTCF7/BTCX6/BTCZ6/BTCV6</t>
  </si>
  <si>
    <t>syn BTCG7/BTCH7/BTCF7/BTCZ6/BTCX6/BTCV6</t>
  </si>
  <si>
    <t>syn BTCH7/BTCX6/BTCZ6/BTCF7/BTCG7/BTCV6</t>
  </si>
  <si>
    <t>syn BTCH7/BTCX6/BTCZ6/BTCG7/BTCF7/BTCV6</t>
  </si>
  <si>
    <t>syn BTCH7/BTCX6/BTCF7/BTCZ6/BTCG7/BTCV6</t>
  </si>
  <si>
    <t>syn BTCH7/BTCX6/BTCF7/BTCG7/BTCZ6/BTCV6</t>
  </si>
  <si>
    <t>syn BTCH7/BTCX6/BTCG7/BTCZ6/BTCF7/BTCV6</t>
  </si>
  <si>
    <t>syn BTCH7/BTCX6/BTCG7/BTCF7/BTCZ6/BTCV6</t>
  </si>
  <si>
    <t>syn BTCH7/BTCZ6/BTCX6/BTCF7/BTCG7/BTCV6</t>
  </si>
  <si>
    <t>syn BTCH7/BTCZ6/BTCX6/BTCG7/BTCF7/BTCV6</t>
  </si>
  <si>
    <t>syn BTCH7/BTCZ6/BTCF7/BTCX6/BTCG7/BTCV6</t>
  </si>
  <si>
    <t>syn BTCH7/BTCZ6/BTCF7/BTCG7/BTCX6/BTCV6</t>
  </si>
  <si>
    <t>syn BTCH7/BTCZ6/BTCG7/BTCX6/BTCF7/BTCV6</t>
  </si>
  <si>
    <t>syn BTCH7/BTCZ6/BTCG7/BTCF7/BTCX6/BTCV6</t>
  </si>
  <si>
    <t>syn BTCH7/BTCF7/BTCX6/BTCZ6/BTCG7/BTCV6</t>
  </si>
  <si>
    <t>syn BTCH7/BTCF7/BTCX6/BTCG7/BTCZ6/BTCV6</t>
  </si>
  <si>
    <t>syn BTCH7/BTCF7/BTCZ6/BTCX6/BTCG7/BTCV6</t>
  </si>
  <si>
    <t>syn BTCH7/BTCF7/BTCZ6/BTCG7/BTCX6/BTCV6</t>
  </si>
  <si>
    <t>syn BTCH7/BTCF7/BTCG7/BTCX6/BTCZ6/BTCV6</t>
  </si>
  <si>
    <t>syn BTCH7/BTCF7/BTCG7/BTCZ6/BTCX6/BTCV6</t>
  </si>
  <si>
    <t>syn BTCH7/BTCG7/BTCX6/BTCZ6/BTCF7/BTCV6</t>
  </si>
  <si>
    <t>syn BTCH7/BTCG7/BTCX6/BTCF7/BTCZ6/BTCV6</t>
  </si>
  <si>
    <t>syn BTCH7/BTCG7/BTCZ6/BTCX6/BTCF7/BTCV6</t>
  </si>
  <si>
    <t>syn BTCH7/BTCG7/BTCZ6/BTCF7/BTCX6/BTCV6</t>
  </si>
  <si>
    <t>syn BTCH7/BTCG7/BTCF7/BTCX6/BTCZ6/BTCV6</t>
  </si>
  <si>
    <t>syn BTCH7/BTCG7/BTCF7/BTCZ6/BTCX6/BTCV6</t>
  </si>
  <si>
    <t>syn BTCH7/BTCX6</t>
  </si>
  <si>
    <t>syn BTCV6/BTCH7/BTCX6</t>
  </si>
  <si>
    <t>syn BTCZ6/BTCH7/BTCX6</t>
  </si>
  <si>
    <t>syn BTCF7/BTCH7/BTCX6</t>
  </si>
  <si>
    <t>syn BTCG7/BTCH7/BTCX6</t>
  </si>
  <si>
    <t>syn BTCH7/BTCV6/BTCX6</t>
  </si>
  <si>
    <t>syn BTCH7/BTCZ6/BTCX6</t>
  </si>
  <si>
    <t>syn BTCH7/BTCF7/BTCX6</t>
  </si>
  <si>
    <t>syn BTCH7/BTCG7/BTCX6</t>
  </si>
  <si>
    <t>syn BTCV6/BTCZ6/BTCH7/BTCX6</t>
  </si>
  <si>
    <t>syn BTCV6/BTCF7/BTCH7/BTCX6</t>
  </si>
  <si>
    <t>syn BTCV6/BTCG7/BTCH7/BTCX6</t>
  </si>
  <si>
    <t>syn BTCV6/BTCH7/BTCZ6/BTCX6</t>
  </si>
  <si>
    <t>syn BTCV6/BTCH7/BTCF7/BTCX6</t>
  </si>
  <si>
    <t>syn BTCV6/BTCH7/BTCG7/BTCX6</t>
  </si>
  <si>
    <t>syn BTCZ6/BTCV6/BTCH7/BTCX6</t>
  </si>
  <si>
    <t>syn BTCZ6/BTCF7/BTCH7/BTCX6</t>
  </si>
  <si>
    <t>syn BTCZ6/BTCG7/BTCH7/BTCX6</t>
  </si>
  <si>
    <t>syn BTCZ6/BTCH7/BTCV6/BTCX6</t>
  </si>
  <si>
    <t>syn BTCZ6/BTCH7/BTCF7/BTCX6</t>
  </si>
  <si>
    <t>syn BTCZ6/BTCH7/BTCG7/BTCX6</t>
  </si>
  <si>
    <t>syn BTCF7/BTCV6/BTCH7/BTCX6</t>
  </si>
  <si>
    <t>syn BTCF7/BTCZ6/BTCH7/BTCX6</t>
  </si>
  <si>
    <t>syn BTCF7/BTCG7/BTCH7/BTCX6</t>
  </si>
  <si>
    <t>syn BTCF7/BTCH7/BTCV6/BTCX6</t>
  </si>
  <si>
    <t>syn BTCF7/BTCH7/BTCZ6/BTCX6</t>
  </si>
  <si>
    <t>syn BTCF7/BTCH7/BTCG7/BTCX6</t>
  </si>
  <si>
    <t>syn BTCG7/BTCV6/BTCH7/BTCX6</t>
  </si>
  <si>
    <t>syn BTCG7/BTCZ6/BTCH7/BTCX6</t>
  </si>
  <si>
    <t>syn BTCG7/BTCF7/BTCH7/BTCX6</t>
  </si>
  <si>
    <t>syn BTCG7/BTCH7/BTCV6/BTCX6</t>
  </si>
  <si>
    <t>syn BTCG7/BTCH7/BTCZ6/BTCX6</t>
  </si>
  <si>
    <t>syn BTCG7/BTCH7/BTCF7/BTCX6</t>
  </si>
  <si>
    <t>syn BTCH7/BTCV6/BTCZ6/BTCX6</t>
  </si>
  <si>
    <t>syn BTCH7/BTCV6/BTCF7/BTCX6</t>
  </si>
  <si>
    <t>syn BTCH7/BTCV6/BTCG7/BTCX6</t>
  </si>
  <si>
    <t>syn BTCH7/BTCZ6/BTCV6/BTCX6</t>
  </si>
  <si>
    <t>syn BTCH7/BTCZ6/BTCF7/BTCX6</t>
  </si>
  <si>
    <t>syn BTCH7/BTCZ6/BTCG7/BTCX6</t>
  </si>
  <si>
    <t>syn BTCH7/BTCF7/BTCV6/BTCX6</t>
  </si>
  <si>
    <t>syn BTCH7/BTCF7/BTCZ6/BTCX6</t>
  </si>
  <si>
    <t>syn BTCH7/BTCF7/BTCG7/BTCX6</t>
  </si>
  <si>
    <t>syn BTCH7/BTCG7/BTCV6/BTCX6</t>
  </si>
  <si>
    <t>syn BTCH7/BTCG7/BTCZ6/BTCX6</t>
  </si>
  <si>
    <t>syn BTCH7/BTCG7/BTCF7/BTCX6</t>
  </si>
  <si>
    <t>syn BTCV6/BTCZ6/BTCF7/BTCH7/BTCX6</t>
  </si>
  <si>
    <t>syn BTCV6/BTCZ6/BTCG7/BTCH7/BTCX6</t>
  </si>
  <si>
    <t>syn BTCV6/BTCZ6/BTCH7/BTCF7/BTCX6</t>
  </si>
  <si>
    <t>syn BTCV6/BTCZ6/BTCH7/BTCG7/BTCX6</t>
  </si>
  <si>
    <t>syn BTCV6/BTCF7/BTCZ6/BTCH7/BTCX6</t>
  </si>
  <si>
    <t>syn BTCV6/BTCF7/BTCG7/BTCH7/BTCX6</t>
  </si>
  <si>
    <t>syn BTCV6/BTCF7/BTCH7/BTCZ6/BTCX6</t>
  </si>
  <si>
    <t>syn BTCV6/BTCF7/BTCH7/BTCG7/BTCX6</t>
  </si>
  <si>
    <t>syn BTCV6/BTCG7/BTCZ6/BTCH7/BTCX6</t>
  </si>
  <si>
    <t>syn BTCV6/BTCG7/BTCF7/BTCH7/BTCX6</t>
  </si>
  <si>
    <t>syn BTCV6/BTCG7/BTCH7/BTCZ6/BTCX6</t>
  </si>
  <si>
    <t>syn BTCV6/BTCG7/BTCH7/BTCF7/BTCX6</t>
  </si>
  <si>
    <t>syn BTCV6/BTCH7/BTCZ6/BTCF7/BTCX6</t>
  </si>
  <si>
    <t>syn BTCV6/BTCH7/BTCZ6/BTCG7/BTCX6</t>
  </si>
  <si>
    <t>syn BTCV6/BTCH7/BTCF7/BTCZ6/BTCX6</t>
  </si>
  <si>
    <t>syn BTCV6/BTCH7/BTCF7/BTCG7/BTCX6</t>
  </si>
  <si>
    <t>syn BTCV6/BTCH7/BTCG7/BTCZ6/BTCX6</t>
  </si>
  <si>
    <t>syn BTCV6/BTCH7/BTCG7/BTCF7/BTCX6</t>
  </si>
  <si>
    <t>syn BTCZ6/BTCV6/BTCF7/BTCH7/BTCX6</t>
  </si>
  <si>
    <t>syn BTCZ6/BTCV6/BTCG7/BTCH7/BTCX6</t>
  </si>
  <si>
    <t>syn BTCZ6/BTCV6/BTCH7/BTCF7/BTCX6</t>
  </si>
  <si>
    <t>syn BTCZ6/BTCV6/BTCH7/BTCG7/BTCX6</t>
  </si>
  <si>
    <t>syn BTCZ6/BTCF7/BTCV6/BTCH7/BTCX6</t>
  </si>
  <si>
    <t>syn BTCZ6/BTCF7/BTCG7/BTCH7/BTCX6</t>
  </si>
  <si>
    <t>syn BTCZ6/BTCF7/BTCH7/BTCV6/BTCX6</t>
  </si>
  <si>
    <t>syn BTCZ6/BTCF7/BTCH7/BTCG7/BTCX6</t>
  </si>
  <si>
    <t>syn BTCZ6/BTCG7/BTCV6/BTCH7/BTCX6</t>
  </si>
  <si>
    <t>syn BTCZ6/BTCG7/BTCF7/BTCH7/BTCX6</t>
  </si>
  <si>
    <t>syn BTCZ6/BTCG7/BTCH7/BTCV6/BTCX6</t>
  </si>
  <si>
    <t>syn BTCZ6/BTCG7/BTCH7/BTCF7/BTCX6</t>
  </si>
  <si>
    <t>syn BTCZ6/BTCH7/BTCV6/BTCF7/BTCX6</t>
  </si>
  <si>
    <t>syn BTCZ6/BTCH7/BTCV6/BTCG7/BTCX6</t>
  </si>
  <si>
    <t>syn BTCZ6/BTCH7/BTCF7/BTCV6/BTCX6</t>
  </si>
  <si>
    <t>syn BTCZ6/BTCH7/BTCF7/BTCG7/BTCX6</t>
  </si>
  <si>
    <t>syn BTCZ6/BTCH7/BTCG7/BTCV6/BTCX6</t>
  </si>
  <si>
    <t>syn BTCZ6/BTCH7/BTCG7/BTCF7/BTCX6</t>
  </si>
  <si>
    <t>syn BTCF7/BTCV6/BTCZ6/BTCH7/BTCX6</t>
  </si>
  <si>
    <t>syn BTCF7/BTCV6/BTCG7/BTCH7/BTCX6</t>
  </si>
  <si>
    <t>syn BTCF7/BTCV6/BTCH7/BTCZ6/BTCX6</t>
  </si>
  <si>
    <t>syn BTCF7/BTCV6/BTCH7/BTCG7/BTCX6</t>
  </si>
  <si>
    <t>syn BTCF7/BTCZ6/BTCV6/BTCH7/BTCX6</t>
  </si>
  <si>
    <t>syn BTCF7/BTCZ6/BTCG7/BTCH7/BTCX6</t>
  </si>
  <si>
    <t>syn BTCF7/BTCZ6/BTCH7/BTCV6/BTCX6</t>
  </si>
  <si>
    <t>syn BTCF7/BTCZ6/BTCH7/BTCG7/BTCX6</t>
  </si>
  <si>
    <t>syn BTCF7/BTCG7/BTCV6/BTCH7/BTCX6</t>
  </si>
  <si>
    <t>syn BTCF7/BTCG7/BTCZ6/BTCH7/BTCX6</t>
  </si>
  <si>
    <t>syn BTCF7/BTCG7/BTCH7/BTCV6/BTCX6</t>
  </si>
  <si>
    <t>syn BTCF7/BTCG7/BTCH7/BTCZ6/BTCX6</t>
  </si>
  <si>
    <t>syn BTCF7/BTCH7/BTCV6/BTCZ6/BTCX6</t>
  </si>
  <si>
    <t>syn BTCF7/BTCH7/BTCV6/BTCG7/BTCX6</t>
  </si>
  <si>
    <t>syn BTCF7/BTCH7/BTCZ6/BTCV6/BTCX6</t>
  </si>
  <si>
    <t>syn BTCF7/BTCH7/BTCZ6/BTCG7/BTCX6</t>
  </si>
  <si>
    <t>syn BTCF7/BTCH7/BTCG7/BTCV6/BTCX6</t>
  </si>
  <si>
    <t>syn BTCF7/BTCH7/BTCG7/BTCZ6/BTCX6</t>
  </si>
  <si>
    <t>syn BTCG7/BTCV6/BTCZ6/BTCH7/BTCX6</t>
  </si>
  <si>
    <t>syn BTCG7/BTCV6/BTCF7/BTCH7/BTCX6</t>
  </si>
  <si>
    <t>syn BTCG7/BTCV6/BTCH7/BTCZ6/BTCX6</t>
  </si>
  <si>
    <t>syn BTCG7/BTCV6/BTCH7/BTCF7/BTCX6</t>
  </si>
  <si>
    <t>syn BTCG7/BTCZ6/BTCV6/BTCH7/BTCX6</t>
  </si>
  <si>
    <t>syn BTCG7/BTCZ6/BTCF7/BTCH7/BTCX6</t>
  </si>
  <si>
    <t>syn BTCG7/BTCZ6/BTCH7/BTCV6/BTCX6</t>
  </si>
  <si>
    <t>syn BTCG7/BTCZ6/BTCH7/BTCF7/BTCX6</t>
  </si>
  <si>
    <t>syn BTCG7/BTCF7/BTCV6/BTCH7/BTCX6</t>
  </si>
  <si>
    <t>syn BTCG7/BTCF7/BTCZ6/BTCH7/BTCX6</t>
  </si>
  <si>
    <t>syn BTCG7/BTCF7/BTCH7/BTCV6/BTCX6</t>
  </si>
  <si>
    <t>syn BTCG7/BTCF7/BTCH7/BTCZ6/BTCX6</t>
  </si>
  <si>
    <t>syn BTCG7/BTCH7/BTCV6/BTCZ6/BTCX6</t>
  </si>
  <si>
    <t>syn BTCG7/BTCH7/BTCV6/BTCF7/BTCX6</t>
  </si>
  <si>
    <t>syn BTCG7/BTCH7/BTCZ6/BTCV6/BTCX6</t>
  </si>
  <si>
    <t>syn BTCG7/BTCH7/BTCZ6/BTCF7/BTCX6</t>
  </si>
  <si>
    <t>syn BTCG7/BTCH7/BTCF7/BTCV6/BTCX6</t>
  </si>
  <si>
    <t>syn BTCG7/BTCH7/BTCF7/BTCZ6/BTCX6</t>
  </si>
  <si>
    <t>syn BTCH7/BTCV6/BTCZ6/BTCF7/BTCX6</t>
  </si>
  <si>
    <t>syn BTCH7/BTCV6/BTCZ6/BTCG7/BTCX6</t>
  </si>
  <si>
    <t>syn BTCH7/BTCV6/BTCF7/BTCZ6/BTCX6</t>
  </si>
  <si>
    <t>syn BTCH7/BTCV6/BTCF7/BTCG7/BTCX6</t>
  </si>
  <si>
    <t>syn BTCH7/BTCV6/BTCG7/BTCZ6/BTCX6</t>
  </si>
  <si>
    <t>syn BTCH7/BTCV6/BTCG7/BTCF7/BTCX6</t>
  </si>
  <si>
    <t>syn BTCH7/BTCZ6/BTCV6/BTCF7/BTCX6</t>
  </si>
  <si>
    <t>syn BTCH7/BTCZ6/BTCV6/BTCG7/BTCX6</t>
  </si>
  <si>
    <t>syn BTCH7/BTCZ6/BTCF7/BTCV6/BTCX6</t>
  </si>
  <si>
    <t>syn BTCH7/BTCZ6/BTCF7/BTCG7/BTCX6</t>
  </si>
  <si>
    <t>syn BTCH7/BTCZ6/BTCG7/BTCV6/BTCX6</t>
  </si>
  <si>
    <t>syn BTCH7/BTCZ6/BTCG7/BTCF7/BTCX6</t>
  </si>
  <si>
    <t>syn BTCH7/BTCF7/BTCV6/BTCZ6/BTCX6</t>
  </si>
  <si>
    <t>syn BTCH7/BTCF7/BTCV6/BTCG7/BTCX6</t>
  </si>
  <si>
    <t>syn BTCH7/BTCF7/BTCZ6/BTCV6/BTCX6</t>
  </si>
  <si>
    <t>syn BTCH7/BTCF7/BTCZ6/BTCG7/BTCX6</t>
  </si>
  <si>
    <t>syn BTCH7/BTCF7/BTCG7/BTCV6/BTCX6</t>
  </si>
  <si>
    <t>syn BTCH7/BTCF7/BTCG7/BTCZ6/BTCX6</t>
  </si>
  <si>
    <t>syn BTCH7/BTCG7/BTCV6/BTCZ6/BTCX6</t>
  </si>
  <si>
    <t>syn BTCH7/BTCG7/BTCV6/BTCF7/BTCX6</t>
  </si>
  <si>
    <t>syn BTCH7/BTCG7/BTCZ6/BTCV6/BTCX6</t>
  </si>
  <si>
    <t>syn BTCH7/BTCG7/BTCZ6/BTCF7/BTCX6</t>
  </si>
  <si>
    <t>syn BTCH7/BTCG7/BTCF7/BTCV6/BTCX6</t>
  </si>
  <si>
    <t>syn BTCH7/BTCG7/BTCF7/BTCZ6/BTCX6</t>
  </si>
  <si>
    <t>syn BTCV6/BTCZ6/BTCF7/BTCG7/BTCH7/BTCX6</t>
  </si>
  <si>
    <t>syn BTCV6/BTCZ6/BTCF7/BTCH7/BTCG7/BTCX6</t>
  </si>
  <si>
    <t>syn BTCV6/BTCZ6/BTCG7/BTCF7/BTCH7/BTCX6</t>
  </si>
  <si>
    <t>syn BTCV6/BTCZ6/BTCG7/BTCH7/BTCF7/BTCX6</t>
  </si>
  <si>
    <t>syn BTCV6/BTCZ6/BTCH7/BTCF7/BTCG7/BTCX6</t>
  </si>
  <si>
    <t>syn BTCV6/BTCZ6/BTCH7/BTCG7/BTCF7/BTCX6</t>
  </si>
  <si>
    <t>syn BTCV6/BTCF7/BTCZ6/BTCG7/BTCH7/BTCX6</t>
  </si>
  <si>
    <t>syn BTCV6/BTCF7/BTCZ6/BTCH7/BTCG7/BTCX6</t>
  </si>
  <si>
    <t>syn BTCV6/BTCF7/BTCG7/BTCZ6/BTCH7/BTCX6</t>
  </si>
  <si>
    <t>syn BTCV6/BTCF7/BTCG7/BTCH7/BTCZ6/BTCX6</t>
  </si>
  <si>
    <t>syn BTCV6/BTCF7/BTCH7/BTCZ6/BTCG7/BTCX6</t>
  </si>
  <si>
    <t>syn BTCV6/BTCF7/BTCH7/BTCG7/BTCZ6/BTCX6</t>
  </si>
  <si>
    <t>syn BTCV6/BTCG7/BTCZ6/BTCF7/BTCH7/BTCX6</t>
  </si>
  <si>
    <t>syn BTCV6/BTCG7/BTCZ6/BTCH7/BTCF7/BTCX6</t>
  </si>
  <si>
    <t>syn BTCV6/BTCG7/BTCF7/BTCZ6/BTCH7/BTCX6</t>
  </si>
  <si>
    <t>syn BTCV6/BTCG7/BTCF7/BTCH7/BTCZ6/BTCX6</t>
  </si>
  <si>
    <t>syn BTCV6/BTCG7/BTCH7/BTCZ6/BTCF7/BTCX6</t>
  </si>
  <si>
    <t>syn BTCV6/BTCG7/BTCH7/BTCF7/BTCZ6/BTCX6</t>
  </si>
  <si>
    <t>syn BTCV6/BTCH7/BTCZ6/BTCF7/BTCG7/BTCX6</t>
  </si>
  <si>
    <t>syn BTCV6/BTCH7/BTCZ6/BTCG7/BTCF7/BTCX6</t>
  </si>
  <si>
    <t>syn BTCV6/BTCH7/BTCF7/BTCZ6/BTCG7/BTCX6</t>
  </si>
  <si>
    <t>syn BTCV6/BTCH7/BTCF7/BTCG7/BTCZ6/BTCX6</t>
  </si>
  <si>
    <t>syn BTCV6/BTCH7/BTCG7/BTCZ6/BTCF7/BTCX6</t>
  </si>
  <si>
    <t>syn BTCV6/BTCH7/BTCG7/BTCF7/BTCZ6/BTCX6</t>
  </si>
  <si>
    <t>syn BTCZ6/BTCV6/BTCF7/BTCG7/BTCH7/BTCX6</t>
  </si>
  <si>
    <t>syn BTCZ6/BTCV6/BTCF7/BTCH7/BTCG7/BTCX6</t>
  </si>
  <si>
    <t>syn BTCZ6/BTCV6/BTCG7/BTCF7/BTCH7/BTCX6</t>
  </si>
  <si>
    <t>syn BTCZ6/BTCV6/BTCG7/BTCH7/BTCF7/BTCX6</t>
  </si>
  <si>
    <t>syn BTCZ6/BTCV6/BTCH7/BTCF7/BTCG7/BTCX6</t>
  </si>
  <si>
    <t>syn BTCZ6/BTCV6/BTCH7/BTCG7/BTCF7/BTCX6</t>
  </si>
  <si>
    <t>syn BTCZ6/BTCF7/BTCV6/BTCG7/BTCH7/BTCX6</t>
  </si>
  <si>
    <t>syn BTCZ6/BTCF7/BTCV6/BTCH7/BTCG7/BTCX6</t>
  </si>
  <si>
    <t>syn BTCZ6/BTCF7/BTCG7/BTCV6/BTCH7/BTCX6</t>
  </si>
  <si>
    <t>syn BTCZ6/BTCF7/BTCG7/BTCH7/BTCV6/BTCX6</t>
  </si>
  <si>
    <t>syn BTCZ6/BTCF7/BTCH7/BTCV6/BTCG7/BTCX6</t>
  </si>
  <si>
    <t>syn BTCZ6/BTCF7/BTCH7/BTCG7/BTCV6/BTCX6</t>
  </si>
  <si>
    <t>syn BTCZ6/BTCG7/BTCV6/BTCF7/BTCH7/BTCX6</t>
  </si>
  <si>
    <t>syn BTCZ6/BTCG7/BTCV6/BTCH7/BTCF7/BTCX6</t>
  </si>
  <si>
    <t>syn BTCZ6/BTCG7/BTCF7/BTCV6/BTCH7/BTCX6</t>
  </si>
  <si>
    <t>syn BTCZ6/BTCG7/BTCF7/BTCH7/BTCV6/BTCX6</t>
  </si>
  <si>
    <t>syn BTCZ6/BTCG7/BTCH7/BTCV6/BTCF7/BTCX6</t>
  </si>
  <si>
    <t>syn BTCZ6/BTCG7/BTCH7/BTCF7/BTCV6/BTCX6</t>
  </si>
  <si>
    <t>syn BTCZ6/BTCH7/BTCV6/BTCF7/BTCG7/BTCX6</t>
  </si>
  <si>
    <t>syn BTCZ6/BTCH7/BTCV6/BTCG7/BTCF7/BTCX6</t>
  </si>
  <si>
    <t>syn BTCZ6/BTCH7/BTCF7/BTCV6/BTCG7/BTCX6</t>
  </si>
  <si>
    <t>syn BTCZ6/BTCH7/BTCF7/BTCG7/BTCV6/BTCX6</t>
  </si>
  <si>
    <t>syn BTCZ6/BTCH7/BTCG7/BTCV6/BTCF7/BTCX6</t>
  </si>
  <si>
    <t>syn BTCZ6/BTCH7/BTCG7/BTCF7/BTCV6/BTCX6</t>
  </si>
  <si>
    <t>syn BTCF7/BTCV6/BTCZ6/BTCG7/BTCH7/BTCX6</t>
  </si>
  <si>
    <t>syn BTCF7/BTCV6/BTCZ6/BTCH7/BTCG7/BTCX6</t>
  </si>
  <si>
    <t>syn BTCF7/BTCV6/BTCG7/BTCZ6/BTCH7/BTCX6</t>
  </si>
  <si>
    <t>syn BTCF7/BTCV6/BTCG7/BTCH7/BTCZ6/BTCX6</t>
  </si>
  <si>
    <t>syn BTCF7/BTCV6/BTCH7/BTCZ6/BTCG7/BTCX6</t>
  </si>
  <si>
    <t>syn BTCF7/BTCV6/BTCH7/BTCG7/BTCZ6/BTCX6</t>
  </si>
  <si>
    <t>syn BTCF7/BTCZ6/BTCV6/BTCG7/BTCH7/BTCX6</t>
  </si>
  <si>
    <t>syn BTCF7/BTCZ6/BTCV6/BTCH7/BTCG7/BTCX6</t>
  </si>
  <si>
    <t>syn BTCF7/BTCZ6/BTCG7/BTCV6/BTCH7/BTCX6</t>
  </si>
  <si>
    <t>syn BTCF7/BTCZ6/BTCG7/BTCH7/BTCV6/BTCX6</t>
  </si>
  <si>
    <t>syn BTCF7/BTCZ6/BTCH7/BTCV6/BTCG7/BTCX6</t>
  </si>
  <si>
    <t>syn BTCF7/BTCZ6/BTCH7/BTCG7/BTCV6/BTCX6</t>
  </si>
  <si>
    <t>syn BTCF7/BTCG7/BTCV6/BTCZ6/BTCH7/BTCX6</t>
  </si>
  <si>
    <t>syn BTCF7/BTCG7/BTCV6/BTCH7/BTCZ6/BTCX6</t>
  </si>
  <si>
    <t>syn BTCF7/BTCG7/BTCZ6/BTCV6/BTCH7/BTCX6</t>
  </si>
  <si>
    <t>syn BTCF7/BTCG7/BTCZ6/BTCH7/BTCV6/BTCX6</t>
  </si>
  <si>
    <t>syn BTCF7/BTCG7/BTCH7/BTCV6/BTCZ6/BTCX6</t>
  </si>
  <si>
    <t>syn BTCF7/BTCG7/BTCH7/BTCZ6/BTCV6/BTCX6</t>
  </si>
  <si>
    <t>syn BTCF7/BTCH7/BTCV6/BTCZ6/BTCG7/BTCX6</t>
  </si>
  <si>
    <t>syn BTCF7/BTCH7/BTCV6/BTCG7/BTCZ6/BTCX6</t>
  </si>
  <si>
    <t>syn BTCF7/BTCH7/BTCZ6/BTCV6/BTCG7/BTCX6</t>
  </si>
  <si>
    <t>syn BTCF7/BTCH7/BTCZ6/BTCG7/BTCV6/BTCX6</t>
  </si>
  <si>
    <t>syn BTCF7/BTCH7/BTCG7/BTCV6/BTCZ6/BTCX6</t>
  </si>
  <si>
    <t>syn BTCF7/BTCH7/BTCG7/BTCZ6/BTCV6/BTCX6</t>
  </si>
  <si>
    <t>syn BTCG7/BTCV6/BTCZ6/BTCF7/BTCH7/BTCX6</t>
  </si>
  <si>
    <t>syn BTCG7/BTCV6/BTCZ6/BTCH7/BTCF7/BTCX6</t>
  </si>
  <si>
    <t>syn BTCG7/BTCV6/BTCF7/BTCZ6/BTCH7/BTCX6</t>
  </si>
  <si>
    <t>syn BTCG7/BTCV6/BTCF7/BTCH7/BTCZ6/BTCX6</t>
  </si>
  <si>
    <t>syn BTCG7/BTCV6/BTCH7/BTCZ6/BTCF7/BTCX6</t>
  </si>
  <si>
    <t>syn BTCG7/BTCV6/BTCH7/BTCF7/BTCZ6/BTCX6</t>
  </si>
  <si>
    <t>syn BTCG7/BTCZ6/BTCV6/BTCF7/BTCH7/BTCX6</t>
  </si>
  <si>
    <t>syn BTCG7/BTCZ6/BTCV6/BTCH7/BTCF7/BTCX6</t>
  </si>
  <si>
    <t>syn BTCG7/BTCZ6/BTCF7/BTCV6/BTCH7/BTCX6</t>
  </si>
  <si>
    <t>syn BTCG7/BTCZ6/BTCF7/BTCH7/BTCV6/BTCX6</t>
  </si>
  <si>
    <t>syn BTCG7/BTCZ6/BTCH7/BTCV6/BTCF7/BTCX6</t>
  </si>
  <si>
    <t>syn BTCG7/BTCZ6/BTCH7/BTCF7/BTCV6/BTCX6</t>
  </si>
  <si>
    <t>syn BTCG7/BTCF7/BTCV6/BTCZ6/BTCH7/BTCX6</t>
  </si>
  <si>
    <t>syn BTCG7/BTCF7/BTCV6/BTCH7/BTCZ6/BTCX6</t>
  </si>
  <si>
    <t>syn BTCG7/BTCF7/BTCZ6/BTCV6/BTCH7/BTCX6</t>
  </si>
  <si>
    <t>syn BTCG7/BTCF7/BTCZ6/BTCH7/BTCV6/BTCX6</t>
  </si>
  <si>
    <t>syn BTCG7/BTCF7/BTCH7/BTCV6/BTCZ6/BTCX6</t>
  </si>
  <si>
    <t>syn BTCG7/BTCF7/BTCH7/BTCZ6/BTCV6/BTCX6</t>
  </si>
  <si>
    <t>syn BTCG7/BTCH7/BTCV6/BTCZ6/BTCF7/BTCX6</t>
  </si>
  <si>
    <t>syn BTCG7/BTCH7/BTCV6/BTCF7/BTCZ6/BTCX6</t>
  </si>
  <si>
    <t>syn BTCG7/BTCH7/BTCZ6/BTCV6/BTCF7/BTCX6</t>
  </si>
  <si>
    <t>syn BTCG7/BTCH7/BTCZ6/BTCF7/BTCV6/BTCX6</t>
  </si>
  <si>
    <t>syn BTCG7/BTCH7/BTCF7/BTCV6/BTCZ6/BTCX6</t>
  </si>
  <si>
    <t>syn BTCG7/BTCH7/BTCF7/BTCZ6/BTCV6/BTCX6</t>
  </si>
  <si>
    <t>syn BTCH7/BTCV6/BTCZ6/BTCF7/BTCG7/BTCX6</t>
  </si>
  <si>
    <t>syn BTCH7/BTCV6/BTCZ6/BTCG7/BTCF7/BTCX6</t>
  </si>
  <si>
    <t>syn BTCH7/BTCV6/BTCF7/BTCZ6/BTCG7/BTCX6</t>
  </si>
  <si>
    <t>syn BTCH7/BTCV6/BTCF7/BTCG7/BTCZ6/BTCX6</t>
  </si>
  <si>
    <t>syn BTCH7/BTCV6/BTCG7/BTCZ6/BTCF7/BTCX6</t>
  </si>
  <si>
    <t>syn BTCH7/BTCV6/BTCG7/BTCF7/BTCZ6/BTCX6</t>
  </si>
  <si>
    <t>syn BTCH7/BTCZ6/BTCV6/BTCF7/BTCG7/BTCX6</t>
  </si>
  <si>
    <t>syn BTCH7/BTCZ6/BTCV6/BTCG7/BTCF7/BTCX6</t>
  </si>
  <si>
    <t>syn BTCH7/BTCZ6/BTCF7/BTCV6/BTCG7/BTCX6</t>
  </si>
  <si>
    <t>syn BTCH7/BTCZ6/BTCF7/BTCG7/BTCV6/BTCX6</t>
  </si>
  <si>
    <t>syn BTCH7/BTCZ6/BTCG7/BTCV6/BTCF7/BTCX6</t>
  </si>
  <si>
    <t>syn BTCH7/BTCZ6/BTCG7/BTCF7/BTCV6/BTCX6</t>
  </si>
  <si>
    <t>syn BTCH7/BTCF7/BTCV6/BTCZ6/BTCG7/BTCX6</t>
  </si>
  <si>
    <t>syn BTCH7/BTCF7/BTCV6/BTCG7/BTCZ6/BTCX6</t>
  </si>
  <si>
    <t>syn BTCH7/BTCF7/BTCZ6/BTCV6/BTCG7/BTCX6</t>
  </si>
  <si>
    <t>syn BTCH7/BTCF7/BTCZ6/BTCG7/BTCV6/BTCX6</t>
  </si>
  <si>
    <t>syn BTCH7/BTCF7/BTCG7/BTCV6/BTCZ6/BTCX6</t>
  </si>
  <si>
    <t>syn BTCH7/BTCF7/BTCG7/BTCZ6/BTCV6/BTCX6</t>
  </si>
  <si>
    <t>syn BTCH7/BTCG7/BTCV6/BTCZ6/BTCF7/BTCX6</t>
  </si>
  <si>
    <t>syn BTCH7/BTCG7/BTCV6/BTCF7/BTCZ6/BTCX6</t>
  </si>
  <si>
    <t>syn BTCH7/BTCG7/BTCZ6/BTCV6/BTCF7/BTCX6</t>
  </si>
  <si>
    <t>syn BTCH7/BTCG7/BTCZ6/BTCF7/BTCV6/BTCX6</t>
  </si>
  <si>
    <t>syn BTCH7/BTCG7/BTCF7/BTCV6/BTCZ6/BTCX6</t>
  </si>
  <si>
    <t>syn BTCH7/BTCG7/BTCF7/BTCZ6/BTCV6/BTCX6</t>
  </si>
  <si>
    <t>syn BTCH7/BTCZ6</t>
  </si>
  <si>
    <t>syn BTCV6/BTCH7/BTCZ6</t>
  </si>
  <si>
    <t>syn BTCX6/BTCH7/BTCZ6</t>
  </si>
  <si>
    <t>syn BTCF7/BTCH7/BTCZ6</t>
  </si>
  <si>
    <t>syn BTCG7/BTCH7/BTCZ6</t>
  </si>
  <si>
    <t>syn BTCH7/BTCV6/BTCZ6</t>
  </si>
  <si>
    <t>syn BTCH7/BTCX6/BTCZ6</t>
  </si>
  <si>
    <t>syn BTCH7/BTCF7/BTCZ6</t>
  </si>
  <si>
    <t>syn BTCH7/BTCG7/BTCZ6</t>
  </si>
  <si>
    <t>syn BTCV6/BTCX6/BTCH7/BTCZ6</t>
  </si>
  <si>
    <t>syn BTCV6/BTCF7/BTCH7/BTCZ6</t>
  </si>
  <si>
    <t>syn BTCV6/BTCG7/BTCH7/BTCZ6</t>
  </si>
  <si>
    <t>syn BTCV6/BTCH7/BTCX6/BTCZ6</t>
  </si>
  <si>
    <t>syn BTCV6/BTCH7/BTCF7/BTCZ6</t>
  </si>
  <si>
    <t>syn BTCV6/BTCH7/BTCG7/BTCZ6</t>
  </si>
  <si>
    <t>syn BTCX6/BTCV6/BTCH7/BTCZ6</t>
  </si>
  <si>
    <t>syn BTCX6/BTCF7/BTCH7/BTCZ6</t>
  </si>
  <si>
    <t>syn BTCX6/BTCG7/BTCH7/BTCZ6</t>
  </si>
  <si>
    <t>syn BTCX6/BTCH7/BTCV6/BTCZ6</t>
  </si>
  <si>
    <t>syn BTCX6/BTCH7/BTCF7/BTCZ6</t>
  </si>
  <si>
    <t>syn BTCX6/BTCH7/BTCG7/BTCZ6</t>
  </si>
  <si>
    <t>syn BTCF7/BTCV6/BTCH7/BTCZ6</t>
  </si>
  <si>
    <t>syn BTCF7/BTCX6/BTCH7/BTCZ6</t>
  </si>
  <si>
    <t>syn BTCF7/BTCG7/BTCH7/BTCZ6</t>
  </si>
  <si>
    <t>syn BTCF7/BTCH7/BTCV6/BTCZ6</t>
  </si>
  <si>
    <t>syn BTCF7/BTCH7/BTCX6/BTCZ6</t>
  </si>
  <si>
    <t>syn BTCF7/BTCH7/BTCG7/BTCZ6</t>
  </si>
  <si>
    <t>syn BTCG7/BTCV6/BTCH7/BTCZ6</t>
  </si>
  <si>
    <t>syn BTCG7/BTCX6/BTCH7/BTCZ6</t>
  </si>
  <si>
    <t>syn BTCG7/BTCF7/BTCH7/BTCZ6</t>
  </si>
  <si>
    <t>syn BTCG7/BTCH7/BTCV6/BTCZ6</t>
  </si>
  <si>
    <t>syn BTCG7/BTCH7/BTCX6/BTCZ6</t>
  </si>
  <si>
    <t>syn BTCG7/BTCH7/BTCF7/BTCZ6</t>
  </si>
  <si>
    <t>syn BTCH7/BTCV6/BTCX6/BTCZ6</t>
  </si>
  <si>
    <t>syn BTCH7/BTCV6/BTCF7/BTCZ6</t>
  </si>
  <si>
    <t>syn BTCH7/BTCV6/BTCG7/BTCZ6</t>
  </si>
  <si>
    <t>syn BTCH7/BTCX6/BTCV6/BTCZ6</t>
  </si>
  <si>
    <t>syn BTCH7/BTCX6/BTCF7/BTCZ6</t>
  </si>
  <si>
    <t>syn BTCH7/BTCX6/BTCG7/BTCZ6</t>
  </si>
  <si>
    <t>syn BTCH7/BTCF7/BTCV6/BTCZ6</t>
  </si>
  <si>
    <t>syn BTCH7/BTCF7/BTCX6/BTCZ6</t>
  </si>
  <si>
    <t>syn BTCH7/BTCF7/BTCG7/BTCZ6</t>
  </si>
  <si>
    <t>syn BTCH7/BTCG7/BTCV6/BTCZ6</t>
  </si>
  <si>
    <t>syn BTCH7/BTCG7/BTCX6/BTCZ6</t>
  </si>
  <si>
    <t>syn BTCH7/BTCG7/BTCF7/BTCZ6</t>
  </si>
  <si>
    <t>syn BTCV6/BTCX6/BTCF7/BTCH7/BTCZ6</t>
  </si>
  <si>
    <t>syn BTCV6/BTCX6/BTCG7/BTCH7/BTCZ6</t>
  </si>
  <si>
    <t>syn BTCV6/BTCX6/BTCH7/BTCF7/BTCZ6</t>
  </si>
  <si>
    <t>syn BTCV6/BTCX6/BTCH7/BTCG7/BTCZ6</t>
  </si>
  <si>
    <t>syn BTCV6/BTCF7/BTCX6/BTCH7/BTCZ6</t>
  </si>
  <si>
    <t>syn BTCV6/BTCF7/BTCG7/BTCH7/BTCZ6</t>
  </si>
  <si>
    <t>syn BTCV6/BTCF7/BTCH7/BTCX6/BTCZ6</t>
  </si>
  <si>
    <t>syn BTCV6/BTCF7/BTCH7/BTCG7/BTCZ6</t>
  </si>
  <si>
    <t>syn BTCV6/BTCG7/BTCX6/BTCH7/BTCZ6</t>
  </si>
  <si>
    <t>syn BTCV6/BTCG7/BTCF7/BTCH7/BTCZ6</t>
  </si>
  <si>
    <t>syn BTCV6/BTCG7/BTCH7/BTCX6/BTCZ6</t>
  </si>
  <si>
    <t>syn BTCV6/BTCG7/BTCH7/BTCF7/BTCZ6</t>
  </si>
  <si>
    <t>syn BTCV6/BTCH7/BTCX6/BTCF7/BTCZ6</t>
  </si>
  <si>
    <t>syn BTCV6/BTCH7/BTCX6/BTCG7/BTCZ6</t>
  </si>
  <si>
    <t>syn BTCV6/BTCH7/BTCF7/BTCX6/BTCZ6</t>
  </si>
  <si>
    <t>syn BTCV6/BTCH7/BTCF7/BTCG7/BTCZ6</t>
  </si>
  <si>
    <t>syn BTCV6/BTCH7/BTCG7/BTCX6/BTCZ6</t>
  </si>
  <si>
    <t>syn BTCV6/BTCH7/BTCG7/BTCF7/BTCZ6</t>
  </si>
  <si>
    <t>syn BTCX6/BTCV6/BTCF7/BTCH7/BTCZ6</t>
  </si>
  <si>
    <t>syn BTCX6/BTCV6/BTCG7/BTCH7/BTCZ6</t>
  </si>
  <si>
    <t>syn BTCX6/BTCV6/BTCH7/BTCF7/BTCZ6</t>
  </si>
  <si>
    <t>syn BTCX6/BTCV6/BTCH7/BTCG7/BTCZ6</t>
  </si>
  <si>
    <t>syn BTCX6/BTCF7/BTCV6/BTCH7/BTCZ6</t>
  </si>
  <si>
    <t>syn BTCX6/BTCF7/BTCG7/BTCH7/BTCZ6</t>
  </si>
  <si>
    <t>syn BTCX6/BTCF7/BTCH7/BTCV6/BTCZ6</t>
  </si>
  <si>
    <t>syn BTCX6/BTCF7/BTCH7/BTCG7/BTCZ6</t>
  </si>
  <si>
    <t>syn BTCX6/BTCG7/BTCV6/BTCH7/BTCZ6</t>
  </si>
  <si>
    <t>syn BTCX6/BTCG7/BTCF7/BTCH7/BTCZ6</t>
  </si>
  <si>
    <t>syn BTCX6/BTCG7/BTCH7/BTCV6/BTCZ6</t>
  </si>
  <si>
    <t>syn BTCX6/BTCG7/BTCH7/BTCF7/BTCZ6</t>
  </si>
  <si>
    <t>syn BTCX6/BTCH7/BTCV6/BTCF7/BTCZ6</t>
  </si>
  <si>
    <t>syn BTCX6/BTCH7/BTCV6/BTCG7/BTCZ6</t>
  </si>
  <si>
    <t>syn BTCX6/BTCH7/BTCF7/BTCV6/BTCZ6</t>
  </si>
  <si>
    <t>syn BTCX6/BTCH7/BTCF7/BTCG7/BTCZ6</t>
  </si>
  <si>
    <t>syn BTCX6/BTCH7/BTCG7/BTCV6/BTCZ6</t>
  </si>
  <si>
    <t>syn BTCX6/BTCH7/BTCG7/BTCF7/BTCZ6</t>
  </si>
  <si>
    <t>syn BTCF7/BTCV6/BTCX6/BTCH7/BTCZ6</t>
  </si>
  <si>
    <t>syn BTCF7/BTCV6/BTCG7/BTCH7/BTCZ6</t>
  </si>
  <si>
    <t>syn BTCF7/BTCV6/BTCH7/BTCX6/BTCZ6</t>
  </si>
  <si>
    <t>syn BTCF7/BTCV6/BTCH7/BTCG7/BTCZ6</t>
  </si>
  <si>
    <t>syn BTCF7/BTCX6/BTCV6/BTCH7/BTCZ6</t>
  </si>
  <si>
    <t>syn BTCF7/BTCX6/BTCG7/BTCH7/BTCZ6</t>
  </si>
  <si>
    <t>syn BTCF7/BTCX6/BTCH7/BTCV6/BTCZ6</t>
  </si>
  <si>
    <t>syn BTCF7/BTCX6/BTCH7/BTCG7/BTCZ6</t>
  </si>
  <si>
    <t>syn BTCF7/BTCG7/BTCV6/BTCH7/BTCZ6</t>
  </si>
  <si>
    <t>syn BTCF7/BTCG7/BTCX6/BTCH7/BTCZ6</t>
  </si>
  <si>
    <t>syn BTCF7/BTCG7/BTCH7/BTCV6/BTCZ6</t>
  </si>
  <si>
    <t>syn BTCF7/BTCG7/BTCH7/BTCX6/BTCZ6</t>
  </si>
  <si>
    <t>syn BTCF7/BTCH7/BTCV6/BTCX6/BTCZ6</t>
  </si>
  <si>
    <t>syn BTCF7/BTCH7/BTCV6/BTCG7/BTCZ6</t>
  </si>
  <si>
    <t>syn BTCF7/BTCH7/BTCX6/BTCV6/BTCZ6</t>
  </si>
  <si>
    <t>syn BTCF7/BTCH7/BTCX6/BTCG7/BTCZ6</t>
  </si>
  <si>
    <t>syn BTCF7/BTCH7/BTCG7/BTCV6/BTCZ6</t>
  </si>
  <si>
    <t>syn BTCF7/BTCH7/BTCG7/BTCX6/BTCZ6</t>
  </si>
  <si>
    <t>syn BTCG7/BTCV6/BTCX6/BTCH7/BTCZ6</t>
  </si>
  <si>
    <t>syn BTCG7/BTCV6/BTCF7/BTCH7/BTCZ6</t>
  </si>
  <si>
    <t>syn BTCG7/BTCV6/BTCH7/BTCX6/BTCZ6</t>
  </si>
  <si>
    <t>syn BTCG7/BTCV6/BTCH7/BTCF7/BTCZ6</t>
  </si>
  <si>
    <t>syn BTCG7/BTCX6/BTCV6/BTCH7/BTCZ6</t>
  </si>
  <si>
    <t>syn BTCG7/BTCX6/BTCF7/BTCH7/BTCZ6</t>
  </si>
  <si>
    <t>syn BTCG7/BTCX6/BTCH7/BTCV6/BTCZ6</t>
  </si>
  <si>
    <t>syn BTCG7/BTCX6/BTCH7/BTCF7/BTCZ6</t>
  </si>
  <si>
    <t>syn BTCG7/BTCF7/BTCV6/BTCH7/BTCZ6</t>
  </si>
  <si>
    <t>syn BTCG7/BTCF7/BTCX6/BTCH7/BTCZ6</t>
  </si>
  <si>
    <t>syn BTCG7/BTCF7/BTCH7/BTCV6/BTCZ6</t>
  </si>
  <si>
    <t>syn BTCG7/BTCF7/BTCH7/BTCX6/BTCZ6</t>
  </si>
  <si>
    <t>syn BTCG7/BTCH7/BTCV6/BTCX6/BTCZ6</t>
  </si>
  <si>
    <t>syn BTCG7/BTCH7/BTCV6/BTCF7/BTCZ6</t>
  </si>
  <si>
    <t>syn BTCG7/BTCH7/BTCX6/BTCV6/BTCZ6</t>
  </si>
  <si>
    <t>syn BTCG7/BTCH7/BTCX6/BTCF7/BTCZ6</t>
  </si>
  <si>
    <t>syn BTCG7/BTCH7/BTCF7/BTCV6/BTCZ6</t>
  </si>
  <si>
    <t>syn BTCG7/BTCH7/BTCF7/BTCX6/BTCZ6</t>
  </si>
  <si>
    <t>syn BTCH7/BTCV6/BTCX6/BTCF7/BTCZ6</t>
  </si>
  <si>
    <t>syn BTCH7/BTCV6/BTCX6/BTCG7/BTCZ6</t>
  </si>
  <si>
    <t>syn BTCH7/BTCV6/BTCF7/BTCX6/BTCZ6</t>
  </si>
  <si>
    <t>syn BTCH7/BTCV6/BTCF7/BTCG7/BTCZ6</t>
  </si>
  <si>
    <t>syn BTCH7/BTCV6/BTCG7/BTCX6/BTCZ6</t>
  </si>
  <si>
    <t>syn BTCH7/BTCV6/BTCG7/BTCF7/BTCZ6</t>
  </si>
  <si>
    <t>syn BTCH7/BTCX6/BTCV6/BTCF7/BTCZ6</t>
  </si>
  <si>
    <t>syn BTCH7/BTCX6/BTCV6/BTCG7/BTCZ6</t>
  </si>
  <si>
    <t>syn BTCH7/BTCX6/BTCF7/BTCV6/BTCZ6</t>
  </si>
  <si>
    <t>syn BTCH7/BTCX6/BTCF7/BTCG7/BTCZ6</t>
  </si>
  <si>
    <t>syn BTCH7/BTCX6/BTCG7/BTCV6/BTCZ6</t>
  </si>
  <si>
    <t>syn BTCH7/BTCX6/BTCG7/BTCF7/BTCZ6</t>
  </si>
  <si>
    <t>syn BTCH7/BTCF7/BTCV6/BTCX6/BTCZ6</t>
  </si>
  <si>
    <t>syn BTCH7/BTCF7/BTCV6/BTCG7/BTCZ6</t>
  </si>
  <si>
    <t>syn BTCH7/BTCF7/BTCX6/BTCV6/BTCZ6</t>
  </si>
  <si>
    <t>syn BTCH7/BTCF7/BTCX6/BTCG7/BTCZ6</t>
  </si>
  <si>
    <t>syn BTCH7/BTCF7/BTCG7/BTCV6/BTCZ6</t>
  </si>
  <si>
    <t>syn BTCH7/BTCF7/BTCG7/BTCX6/BTCZ6</t>
  </si>
  <si>
    <t>syn BTCH7/BTCG7/BTCV6/BTCX6/BTCZ6</t>
  </si>
  <si>
    <t>syn BTCH7/BTCG7/BTCV6/BTCF7/BTCZ6</t>
  </si>
  <si>
    <t>syn BTCH7/BTCG7/BTCX6/BTCV6/BTCZ6</t>
  </si>
  <si>
    <t>syn BTCH7/BTCG7/BTCX6/BTCF7/BTCZ6</t>
  </si>
  <si>
    <t>syn BTCH7/BTCG7/BTCF7/BTCV6/BTCZ6</t>
  </si>
  <si>
    <t>syn BTCH7/BTCG7/BTCF7/BTCX6/BTCZ6</t>
  </si>
  <si>
    <t>syn BTCV6/BTCX6/BTCF7/BTCG7/BTCH7/BTCZ6</t>
  </si>
  <si>
    <t>syn BTCV6/BTCX6/BTCF7/BTCH7/BTCG7/BTCZ6</t>
  </si>
  <si>
    <t>syn BTCV6/BTCX6/BTCG7/BTCF7/BTCH7/BTCZ6</t>
  </si>
  <si>
    <t>syn BTCV6/BTCX6/BTCG7/BTCH7/BTCF7/BTCZ6</t>
  </si>
  <si>
    <t>syn BTCV6/BTCX6/BTCH7/BTCF7/BTCG7/BTCZ6</t>
  </si>
  <si>
    <t>syn BTCV6/BTCX6/BTCH7/BTCG7/BTCF7/BTCZ6</t>
  </si>
  <si>
    <t>syn BTCV6/BTCF7/BTCX6/BTCG7/BTCH7/BTCZ6</t>
  </si>
  <si>
    <t>syn BTCV6/BTCF7/BTCX6/BTCH7/BTCG7/BTCZ6</t>
  </si>
  <si>
    <t>syn BTCV6/BTCF7/BTCG7/BTCX6/BTCH7/BTCZ6</t>
  </si>
  <si>
    <t>syn BTCV6/BTCF7/BTCG7/BTCH7/BTCX6/BTCZ6</t>
  </si>
  <si>
    <t>syn BTCV6/BTCF7/BTCH7/BTCX6/BTCG7/BTCZ6</t>
  </si>
  <si>
    <t>syn BTCV6/BTCF7/BTCH7/BTCG7/BTCX6/BTCZ6</t>
  </si>
  <si>
    <t>syn BTCV6/BTCG7/BTCX6/BTCF7/BTCH7/BTCZ6</t>
  </si>
  <si>
    <t>syn BTCV6/BTCG7/BTCX6/BTCH7/BTCF7/BTCZ6</t>
  </si>
  <si>
    <t>syn BTCV6/BTCG7/BTCF7/BTCX6/BTCH7/BTCZ6</t>
  </si>
  <si>
    <t>syn BTCV6/BTCG7/BTCF7/BTCH7/BTCX6/BTCZ6</t>
  </si>
  <si>
    <t>syn BTCV6/BTCG7/BTCH7/BTCX6/BTCF7/BTCZ6</t>
  </si>
  <si>
    <t>syn BTCV6/BTCG7/BTCH7/BTCF7/BTCX6/BTCZ6</t>
  </si>
  <si>
    <t>syn BTCV6/BTCH7/BTCX6/BTCF7/BTCG7/BTCZ6</t>
  </si>
  <si>
    <t>syn BTCV6/BTCH7/BTCX6/BTCG7/BTCF7/BTCZ6</t>
  </si>
  <si>
    <t>syn BTCV6/BTCH7/BTCF7/BTCX6/BTCG7/BTCZ6</t>
  </si>
  <si>
    <t>syn BTCV6/BTCH7/BTCF7/BTCG7/BTCX6/BTCZ6</t>
  </si>
  <si>
    <t>syn BTCV6/BTCH7/BTCG7/BTCX6/BTCF7/BTCZ6</t>
  </si>
  <si>
    <t>syn BTCV6/BTCH7/BTCG7/BTCF7/BTCX6/BTCZ6</t>
  </si>
  <si>
    <t>syn BTCX6/BTCV6/BTCF7/BTCG7/BTCH7/BTCZ6</t>
  </si>
  <si>
    <t>syn BTCX6/BTCV6/BTCF7/BTCH7/BTCG7/BTCZ6</t>
  </si>
  <si>
    <t>syn BTCX6/BTCV6/BTCG7/BTCF7/BTCH7/BTCZ6</t>
  </si>
  <si>
    <t>syn BTCX6/BTCV6/BTCG7/BTCH7/BTCF7/BTCZ6</t>
  </si>
  <si>
    <t>syn BTCX6/BTCV6/BTCH7/BTCF7/BTCG7/BTCZ6</t>
  </si>
  <si>
    <t>syn BTCX6/BTCV6/BTCH7/BTCG7/BTCF7/BTCZ6</t>
  </si>
  <si>
    <t>syn BTCX6/BTCF7/BTCV6/BTCG7/BTCH7/BTCZ6</t>
  </si>
  <si>
    <t>syn BTCX6/BTCF7/BTCV6/BTCH7/BTCG7/BTCZ6</t>
  </si>
  <si>
    <t>syn BTCX6/BTCF7/BTCG7/BTCV6/BTCH7/BTCZ6</t>
  </si>
  <si>
    <t>syn BTCX6/BTCF7/BTCG7/BTCH7/BTCV6/BTCZ6</t>
  </si>
  <si>
    <t>syn BTCX6/BTCF7/BTCH7/BTCV6/BTCG7/BTCZ6</t>
  </si>
  <si>
    <t>syn BTCX6/BTCF7/BTCH7/BTCG7/BTCV6/BTCZ6</t>
  </si>
  <si>
    <t>syn BTCX6/BTCG7/BTCV6/BTCF7/BTCH7/BTCZ6</t>
  </si>
  <si>
    <t>syn BTCX6/BTCG7/BTCV6/BTCH7/BTCF7/BTCZ6</t>
  </si>
  <si>
    <t>syn BTCX6/BTCG7/BTCF7/BTCV6/BTCH7/BTCZ6</t>
  </si>
  <si>
    <t>syn BTCX6/BTCG7/BTCF7/BTCH7/BTCV6/BTCZ6</t>
  </si>
  <si>
    <t>syn BTCX6/BTCG7/BTCH7/BTCV6/BTCF7/BTCZ6</t>
  </si>
  <si>
    <t>syn BTCX6/BTCG7/BTCH7/BTCF7/BTCV6/BTCZ6</t>
  </si>
  <si>
    <t>syn BTCX6/BTCH7/BTCV6/BTCF7/BTCG7/BTCZ6</t>
  </si>
  <si>
    <t>syn BTCX6/BTCH7/BTCV6/BTCG7/BTCF7/BTCZ6</t>
  </si>
  <si>
    <t>syn BTCX6/BTCH7/BTCF7/BTCV6/BTCG7/BTCZ6</t>
  </si>
  <si>
    <t>syn BTCX6/BTCH7/BTCF7/BTCG7/BTCV6/BTCZ6</t>
  </si>
  <si>
    <t>syn BTCX6/BTCH7/BTCG7/BTCV6/BTCF7/BTCZ6</t>
  </si>
  <si>
    <t>syn BTCX6/BTCH7/BTCG7/BTCF7/BTCV6/BTCZ6</t>
  </si>
  <si>
    <t>syn BTCF7/BTCV6/BTCX6/BTCG7/BTCH7/BTCZ6</t>
  </si>
  <si>
    <t>syn BTCF7/BTCV6/BTCX6/BTCH7/BTCG7/BTCZ6</t>
  </si>
  <si>
    <t>syn BTCF7/BTCV6/BTCG7/BTCX6/BTCH7/BTCZ6</t>
  </si>
  <si>
    <t>syn BTCF7/BTCV6/BTCG7/BTCH7/BTCX6/BTCZ6</t>
  </si>
  <si>
    <t>syn BTCF7/BTCV6/BTCH7/BTCX6/BTCG7/BTCZ6</t>
  </si>
  <si>
    <t>syn BTCF7/BTCV6/BTCH7/BTCG7/BTCX6/BTCZ6</t>
  </si>
  <si>
    <t>syn BTCF7/BTCX6/BTCV6/BTCG7/BTCH7/BTCZ6</t>
  </si>
  <si>
    <t>syn BTCF7/BTCX6/BTCV6/BTCH7/BTCG7/BTCZ6</t>
  </si>
  <si>
    <t>syn BTCF7/BTCX6/BTCG7/BTCV6/BTCH7/BTCZ6</t>
  </si>
  <si>
    <t>syn BTCF7/BTCX6/BTCG7/BTCH7/BTCV6/BTCZ6</t>
  </si>
  <si>
    <t>syn BTCF7/BTCX6/BTCH7/BTCV6/BTCG7/BTCZ6</t>
  </si>
  <si>
    <t>syn BTCF7/BTCX6/BTCH7/BTCG7/BTCV6/BTCZ6</t>
  </si>
  <si>
    <t>syn BTCF7/BTCG7/BTCV6/BTCX6/BTCH7/BTCZ6</t>
  </si>
  <si>
    <t>syn BTCF7/BTCG7/BTCV6/BTCH7/BTCX6/BTCZ6</t>
  </si>
  <si>
    <t>syn BTCF7/BTCG7/BTCX6/BTCV6/BTCH7/BTCZ6</t>
  </si>
  <si>
    <t>syn BTCF7/BTCG7/BTCX6/BTCH7/BTCV6/BTCZ6</t>
  </si>
  <si>
    <t>syn BTCF7/BTCG7/BTCH7/BTCV6/BTCX6/BTCZ6</t>
  </si>
  <si>
    <t>syn BTCF7/BTCG7/BTCH7/BTCX6/BTCV6/BTCZ6</t>
  </si>
  <si>
    <t>syn BTCF7/BTCH7/BTCV6/BTCX6/BTCG7/BTCZ6</t>
  </si>
  <si>
    <t>syn BTCF7/BTCH7/BTCV6/BTCG7/BTCX6/BTCZ6</t>
  </si>
  <si>
    <t>syn BTCF7/BTCH7/BTCX6/BTCV6/BTCG7/BTCZ6</t>
  </si>
  <si>
    <t>syn BTCF7/BTCH7/BTCX6/BTCG7/BTCV6/BTCZ6</t>
  </si>
  <si>
    <t>syn BTCF7/BTCH7/BTCG7/BTCV6/BTCX6/BTCZ6</t>
  </si>
  <si>
    <t>syn BTCF7/BTCH7/BTCG7/BTCX6/BTCV6/BTCZ6</t>
  </si>
  <si>
    <t>syn BTCG7/BTCV6/BTCX6/BTCF7/BTCH7/BTCZ6</t>
  </si>
  <si>
    <t>syn BTCG7/BTCV6/BTCX6/BTCH7/BTCF7/BTCZ6</t>
  </si>
  <si>
    <t>syn BTCG7/BTCV6/BTCF7/BTCX6/BTCH7/BTCZ6</t>
  </si>
  <si>
    <t>syn BTCG7/BTCV6/BTCF7/BTCH7/BTCX6/BTCZ6</t>
  </si>
  <si>
    <t>syn BTCG7/BTCV6/BTCH7/BTCX6/BTCF7/BTCZ6</t>
  </si>
  <si>
    <t>syn BTCG7/BTCV6/BTCH7/BTCF7/BTCX6/BTCZ6</t>
  </si>
  <si>
    <t>syn BTCG7/BTCX6/BTCV6/BTCF7/BTCH7/BTCZ6</t>
  </si>
  <si>
    <t>syn BTCG7/BTCX6/BTCV6/BTCH7/BTCF7/BTCZ6</t>
  </si>
  <si>
    <t>syn BTCG7/BTCX6/BTCF7/BTCV6/BTCH7/BTCZ6</t>
  </si>
  <si>
    <t>syn BTCG7/BTCX6/BTCF7/BTCH7/BTCV6/BTCZ6</t>
  </si>
  <si>
    <t>syn BTCG7/BTCX6/BTCH7/BTCV6/BTCF7/BTCZ6</t>
  </si>
  <si>
    <t>syn BTCG7/BTCX6/BTCH7/BTCF7/BTCV6/BTCZ6</t>
  </si>
  <si>
    <t>syn BTCG7/BTCF7/BTCV6/BTCX6/BTCH7/BTCZ6</t>
  </si>
  <si>
    <t>syn BTCG7/BTCF7/BTCV6/BTCH7/BTCX6/BTCZ6</t>
  </si>
  <si>
    <t>syn BTCG7/BTCF7/BTCX6/BTCV6/BTCH7/BTCZ6</t>
  </si>
  <si>
    <t>syn BTCG7/BTCF7/BTCX6/BTCH7/BTCV6/BTCZ6</t>
  </si>
  <si>
    <t>syn BTCG7/BTCF7/BTCH7/BTCV6/BTCX6/BTCZ6</t>
  </si>
  <si>
    <t>syn BTCG7/BTCF7/BTCH7/BTCX6/BTCV6/BTCZ6</t>
  </si>
  <si>
    <t>syn BTCG7/BTCH7/BTCV6/BTCX6/BTCF7/BTCZ6</t>
  </si>
  <si>
    <t>syn BTCG7/BTCH7/BTCV6/BTCF7/BTCX6/BTCZ6</t>
  </si>
  <si>
    <t>syn BTCG7/BTCH7/BTCX6/BTCV6/BTCF7/BTCZ6</t>
  </si>
  <si>
    <t>syn BTCG7/BTCH7/BTCX6/BTCF7/BTCV6/BTCZ6</t>
  </si>
  <si>
    <t>syn BTCG7/BTCH7/BTCF7/BTCV6/BTCX6/BTCZ6</t>
  </si>
  <si>
    <t>syn BTCG7/BTCH7/BTCF7/BTCX6/BTCV6/BTCZ6</t>
  </si>
  <si>
    <t>syn BTCH7/BTCV6/BTCX6/BTCF7/BTCG7/BTCZ6</t>
  </si>
  <si>
    <t>syn BTCH7/BTCV6/BTCX6/BTCG7/BTCF7/BTCZ6</t>
  </si>
  <si>
    <t>syn BTCH7/BTCV6/BTCF7/BTCX6/BTCG7/BTCZ6</t>
  </si>
  <si>
    <t>syn BTCH7/BTCV6/BTCF7/BTCG7/BTCX6/BTCZ6</t>
  </si>
  <si>
    <t>syn BTCH7/BTCV6/BTCG7/BTCX6/BTCF7/BTCZ6</t>
  </si>
  <si>
    <t>syn BTCH7/BTCV6/BTCG7/BTCF7/BTCX6/BTCZ6</t>
  </si>
  <si>
    <t>syn BTCH7/BTCX6/BTCV6/BTCF7/BTCG7/BTCZ6</t>
  </si>
  <si>
    <t>syn BTCH7/BTCX6/BTCV6/BTCG7/BTCF7/BTCZ6</t>
  </si>
  <si>
    <t>syn BTCH7/BTCX6/BTCF7/BTCV6/BTCG7/BTCZ6</t>
  </si>
  <si>
    <t>syn BTCH7/BTCX6/BTCF7/BTCG7/BTCV6/BTCZ6</t>
  </si>
  <si>
    <t>syn BTCH7/BTCX6/BTCG7/BTCV6/BTCF7/BTCZ6</t>
  </si>
  <si>
    <t>syn BTCH7/BTCX6/BTCG7/BTCF7/BTCV6/BTCZ6</t>
  </si>
  <si>
    <t>syn BTCH7/BTCF7/BTCV6/BTCX6/BTCG7/BTCZ6</t>
  </si>
  <si>
    <t>syn BTCH7/BTCF7/BTCV6/BTCG7/BTCX6/BTCZ6</t>
  </si>
  <si>
    <t>syn BTCH7/BTCF7/BTCX6/BTCV6/BTCG7/BTCZ6</t>
  </si>
  <si>
    <t>syn BTCH7/BTCF7/BTCX6/BTCG7/BTCV6/BTCZ6</t>
  </si>
  <si>
    <t>syn BTCH7/BTCF7/BTCG7/BTCV6/BTCX6/BTCZ6</t>
  </si>
  <si>
    <t>syn BTCH7/BTCF7/BTCG7/BTCX6/BTCV6/BTCZ6</t>
  </si>
  <si>
    <t>syn BTCH7/BTCG7/BTCV6/BTCX6/BTCF7/BTCZ6</t>
  </si>
  <si>
    <t>syn BTCH7/BTCG7/BTCV6/BTCF7/BTCX6/BTCZ6</t>
  </si>
  <si>
    <t>syn BTCH7/BTCG7/BTCX6/BTCV6/BTCF7/BTCZ6</t>
  </si>
  <si>
    <t>syn BTCH7/BTCG7/BTCX6/BTCF7/BTCV6/BTCZ6</t>
  </si>
  <si>
    <t>syn BTCH7/BTCG7/BTCF7/BTCV6/BTCX6/BTCZ6</t>
  </si>
  <si>
    <t>syn BTCH7/BTCG7/BTCF7/BTCX6/BTCV6/BTCZ6</t>
  </si>
  <si>
    <t>syn BTCH7/BTCF7</t>
  </si>
  <si>
    <t>syn BTCV6/BTCH7/BTCF7</t>
  </si>
  <si>
    <t>syn BTCX6/BTCH7/BTCF7</t>
  </si>
  <si>
    <t>syn BTCZ6/BTCH7/BTCF7</t>
  </si>
  <si>
    <t>syn BTCG7/BTCH7/BTCF7</t>
  </si>
  <si>
    <t>syn BTCH7/BTCV6/BTCF7</t>
  </si>
  <si>
    <t>syn BTCH7/BTCX6/BTCF7</t>
  </si>
  <si>
    <t>syn BTCH7/BTCZ6/BTCF7</t>
  </si>
  <si>
    <t>syn BTCH7/BTCG7/BTCF7</t>
  </si>
  <si>
    <t>syn BTCV6/BTCX6/BTCH7/BTCF7</t>
  </si>
  <si>
    <t>syn BTCV6/BTCZ6/BTCH7/BTCF7</t>
  </si>
  <si>
    <t>syn BTCV6/BTCG7/BTCH7/BTCF7</t>
  </si>
  <si>
    <t>syn BTCV6/BTCH7/BTCX6/BTCF7</t>
  </si>
  <si>
    <t>syn BTCV6/BTCH7/BTCZ6/BTCF7</t>
  </si>
  <si>
    <t>syn BTCV6/BTCH7/BTCG7/BTCF7</t>
  </si>
  <si>
    <t>syn BTCX6/BTCV6/BTCH7/BTCF7</t>
  </si>
  <si>
    <t>syn BTCX6/BTCZ6/BTCH7/BTCF7</t>
  </si>
  <si>
    <t>syn BTCX6/BTCG7/BTCH7/BTCF7</t>
  </si>
  <si>
    <t>syn BTCX6/BTCH7/BTCV6/BTCF7</t>
  </si>
  <si>
    <t>syn BTCX6/BTCH7/BTCZ6/BTCF7</t>
  </si>
  <si>
    <t>syn BTCX6/BTCH7/BTCG7/BTCF7</t>
  </si>
  <si>
    <t>syn BTCZ6/BTCV6/BTCH7/BTCF7</t>
  </si>
  <si>
    <t>syn BTCZ6/BTCX6/BTCH7/BTCF7</t>
  </si>
  <si>
    <t>syn BTCZ6/BTCG7/BTCH7/BTCF7</t>
  </si>
  <si>
    <t>syn BTCZ6/BTCH7/BTCV6/BTCF7</t>
  </si>
  <si>
    <t>syn BTCZ6/BTCH7/BTCX6/BTCF7</t>
  </si>
  <si>
    <t>syn BTCZ6/BTCH7/BTCG7/BTCF7</t>
  </si>
  <si>
    <t>syn BTCG7/BTCV6/BTCH7/BTCF7</t>
  </si>
  <si>
    <t>syn BTCG7/BTCX6/BTCH7/BTCF7</t>
  </si>
  <si>
    <t>syn BTCG7/BTCZ6/BTCH7/BTCF7</t>
  </si>
  <si>
    <t>syn BTCG7/BTCH7/BTCV6/BTCF7</t>
  </si>
  <si>
    <t>syn BTCG7/BTCH7/BTCX6/BTCF7</t>
  </si>
  <si>
    <t>syn BTCG7/BTCH7/BTCZ6/BTCF7</t>
  </si>
  <si>
    <t>syn BTCH7/BTCV6/BTCX6/BTCF7</t>
  </si>
  <si>
    <t>syn BTCH7/BTCV6/BTCZ6/BTCF7</t>
  </si>
  <si>
    <t>syn BTCH7/BTCV6/BTCG7/BTCF7</t>
  </si>
  <si>
    <t>syn BTCH7/BTCX6/BTCV6/BTCF7</t>
  </si>
  <si>
    <t>syn BTCH7/BTCX6/BTCZ6/BTCF7</t>
  </si>
  <si>
    <t>syn BTCH7/BTCX6/BTCG7/BTCF7</t>
  </si>
  <si>
    <t>syn BTCH7/BTCZ6/BTCV6/BTCF7</t>
  </si>
  <si>
    <t>syn BTCH7/BTCZ6/BTCX6/BTCF7</t>
  </si>
  <si>
    <t>syn BTCH7/BTCZ6/BTCG7/BTCF7</t>
  </si>
  <si>
    <t>syn BTCH7/BTCG7/BTCV6/BTCF7</t>
  </si>
  <si>
    <t>syn BTCH7/BTCG7/BTCX6/BTCF7</t>
  </si>
  <si>
    <t>syn BTCH7/BTCG7/BTCZ6/BTCF7</t>
  </si>
  <si>
    <t>syn BTCV6/BTCX6/BTCZ6/BTCH7/BTCF7</t>
  </si>
  <si>
    <t>syn BTCV6/BTCX6/BTCG7/BTCH7/BTCF7</t>
  </si>
  <si>
    <t>syn BTCV6/BTCX6/BTCH7/BTCZ6/BTCF7</t>
  </si>
  <si>
    <t>syn BTCV6/BTCX6/BTCH7/BTCG7/BTCF7</t>
  </si>
  <si>
    <t>syn BTCV6/BTCZ6/BTCX6/BTCH7/BTCF7</t>
  </si>
  <si>
    <t>syn BTCV6/BTCZ6/BTCG7/BTCH7/BTCF7</t>
  </si>
  <si>
    <t>syn BTCV6/BTCZ6/BTCH7/BTCX6/BTCF7</t>
  </si>
  <si>
    <t>syn BTCV6/BTCZ6/BTCH7/BTCG7/BTCF7</t>
  </si>
  <si>
    <t>syn BTCV6/BTCG7/BTCX6/BTCH7/BTCF7</t>
  </si>
  <si>
    <t>syn BTCV6/BTCG7/BTCZ6/BTCH7/BTCF7</t>
  </si>
  <si>
    <t>syn BTCV6/BTCG7/BTCH7/BTCX6/BTCF7</t>
  </si>
  <si>
    <t>syn BTCV6/BTCG7/BTCH7/BTCZ6/BTCF7</t>
  </si>
  <si>
    <t>syn BTCV6/BTCH7/BTCX6/BTCZ6/BTCF7</t>
  </si>
  <si>
    <t>syn BTCV6/BTCH7/BTCX6/BTCG7/BTCF7</t>
  </si>
  <si>
    <t>syn BTCV6/BTCH7/BTCZ6/BTCX6/BTCF7</t>
  </si>
  <si>
    <t>syn BTCV6/BTCH7/BTCZ6/BTCG7/BTCF7</t>
  </si>
  <si>
    <t>syn BTCV6/BTCH7/BTCG7/BTCX6/BTCF7</t>
  </si>
  <si>
    <t>syn BTCV6/BTCH7/BTCG7/BTCZ6/BTCF7</t>
  </si>
  <si>
    <t>syn BTCX6/BTCV6/BTCZ6/BTCH7/BTCF7</t>
  </si>
  <si>
    <t>syn BTCX6/BTCV6/BTCG7/BTCH7/BTCF7</t>
  </si>
  <si>
    <t>syn BTCX6/BTCV6/BTCH7/BTCZ6/BTCF7</t>
  </si>
  <si>
    <t>syn BTCX6/BTCV6/BTCH7/BTCG7/BTCF7</t>
  </si>
  <si>
    <t>syn BTCX6/BTCZ6/BTCV6/BTCH7/BTCF7</t>
  </si>
  <si>
    <t>syn BTCX6/BTCZ6/BTCG7/BTCH7/BTCF7</t>
  </si>
  <si>
    <t>syn BTCX6/BTCZ6/BTCH7/BTCV6/BTCF7</t>
  </si>
  <si>
    <t>syn BTCX6/BTCZ6/BTCH7/BTCG7/BTCF7</t>
  </si>
  <si>
    <t>syn BTCX6/BTCG7/BTCV6/BTCH7/BTCF7</t>
  </si>
  <si>
    <t>syn BTCX6/BTCG7/BTCZ6/BTCH7/BTCF7</t>
  </si>
  <si>
    <t>syn BTCX6/BTCG7/BTCH7/BTCV6/BTCF7</t>
  </si>
  <si>
    <t>syn BTCX6/BTCG7/BTCH7/BTCZ6/BTCF7</t>
  </si>
  <si>
    <t>syn BTCX6/BTCH7/BTCV6/BTCZ6/BTCF7</t>
  </si>
  <si>
    <t>syn BTCX6/BTCH7/BTCV6/BTCG7/BTCF7</t>
  </si>
  <si>
    <t>syn BTCX6/BTCH7/BTCZ6/BTCV6/BTCF7</t>
  </si>
  <si>
    <t>syn BTCX6/BTCH7/BTCZ6/BTCG7/BTCF7</t>
  </si>
  <si>
    <t>syn BTCX6/BTCH7/BTCG7/BTCV6/BTCF7</t>
  </si>
  <si>
    <t>syn BTCX6/BTCH7/BTCG7/BTCZ6/BTCF7</t>
  </si>
  <si>
    <t>syn BTCZ6/BTCV6/BTCX6/BTCH7/BTCF7</t>
  </si>
  <si>
    <t>syn BTCZ6/BTCV6/BTCG7/BTCH7/BTCF7</t>
  </si>
  <si>
    <t>syn BTCZ6/BTCV6/BTCH7/BTCX6/BTCF7</t>
  </si>
  <si>
    <t>syn BTCZ6/BTCV6/BTCH7/BTCG7/BTCF7</t>
  </si>
  <si>
    <t>syn BTCZ6/BTCX6/BTCV6/BTCH7/BTCF7</t>
  </si>
  <si>
    <t>syn BTCZ6/BTCX6/BTCG7/BTCH7/BTCF7</t>
  </si>
  <si>
    <t>syn BTCZ6/BTCX6/BTCH7/BTCV6/BTCF7</t>
  </si>
  <si>
    <t>syn BTCZ6/BTCX6/BTCH7/BTCG7/BTCF7</t>
  </si>
  <si>
    <t>syn BTCZ6/BTCG7/BTCV6/BTCH7/BTCF7</t>
  </si>
  <si>
    <t>syn BTCZ6/BTCG7/BTCX6/BTCH7/BTCF7</t>
  </si>
  <si>
    <t>syn BTCZ6/BTCG7/BTCH7/BTCV6/BTCF7</t>
  </si>
  <si>
    <t>syn BTCZ6/BTCG7/BTCH7/BTCX6/BTCF7</t>
  </si>
  <si>
    <t>syn BTCZ6/BTCH7/BTCV6/BTCX6/BTCF7</t>
  </si>
  <si>
    <t>syn BTCZ6/BTCH7/BTCV6/BTCG7/BTCF7</t>
  </si>
  <si>
    <t>syn BTCZ6/BTCH7/BTCX6/BTCV6/BTCF7</t>
  </si>
  <si>
    <t>syn BTCZ6/BTCH7/BTCX6/BTCG7/BTCF7</t>
  </si>
  <si>
    <t>syn BTCZ6/BTCH7/BTCG7/BTCV6/BTCF7</t>
  </si>
  <si>
    <t>syn BTCZ6/BTCH7/BTCG7/BTCX6/BTCF7</t>
  </si>
  <si>
    <t>syn BTCG7/BTCV6/BTCX6/BTCH7/BTCF7</t>
  </si>
  <si>
    <t>syn BTCG7/BTCV6/BTCZ6/BTCH7/BTCF7</t>
  </si>
  <si>
    <t>syn BTCG7/BTCV6/BTCH7/BTCX6/BTCF7</t>
  </si>
  <si>
    <t>syn BTCG7/BTCV6/BTCH7/BTCZ6/BTCF7</t>
  </si>
  <si>
    <t>syn BTCG7/BTCX6/BTCV6/BTCH7/BTCF7</t>
  </si>
  <si>
    <t>syn BTCG7/BTCX6/BTCZ6/BTCH7/BTCF7</t>
  </si>
  <si>
    <t>syn BTCG7/BTCX6/BTCH7/BTCV6/BTCF7</t>
  </si>
  <si>
    <t>syn BTCG7/BTCX6/BTCH7/BTCZ6/BTCF7</t>
  </si>
  <si>
    <t>syn BTCG7/BTCZ6/BTCV6/BTCH7/BTCF7</t>
  </si>
  <si>
    <t>syn BTCG7/BTCZ6/BTCX6/BTCH7/BTCF7</t>
  </si>
  <si>
    <t>syn BTCG7/BTCZ6/BTCH7/BTCV6/BTCF7</t>
  </si>
  <si>
    <t>syn BTCG7/BTCZ6/BTCH7/BTCX6/BTCF7</t>
  </si>
  <si>
    <t>syn BTCG7/BTCH7/BTCV6/BTCX6/BTCF7</t>
  </si>
  <si>
    <t>syn BTCG7/BTCH7/BTCV6/BTCZ6/BTCF7</t>
  </si>
  <si>
    <t>syn BTCG7/BTCH7/BTCX6/BTCV6/BTCF7</t>
  </si>
  <si>
    <t>syn BTCG7/BTCH7/BTCX6/BTCZ6/BTCF7</t>
  </si>
  <si>
    <t>syn BTCG7/BTCH7/BTCZ6/BTCV6/BTCF7</t>
  </si>
  <si>
    <t>syn BTCG7/BTCH7/BTCZ6/BTCX6/BTCF7</t>
  </si>
  <si>
    <t>syn BTCH7/BTCV6/BTCX6/BTCZ6/BTCF7</t>
  </si>
  <si>
    <t>syn BTCH7/BTCV6/BTCX6/BTCG7/BTCF7</t>
  </si>
  <si>
    <t>syn BTCH7/BTCV6/BTCZ6/BTCX6/BTCF7</t>
  </si>
  <si>
    <t>syn BTCH7/BTCV6/BTCZ6/BTCG7/BTCF7</t>
  </si>
  <si>
    <t>syn BTCH7/BTCV6/BTCG7/BTCX6/BTCF7</t>
  </si>
  <si>
    <t>syn BTCH7/BTCV6/BTCG7/BTCZ6/BTCF7</t>
  </si>
  <si>
    <t>syn BTCH7/BTCX6/BTCV6/BTCZ6/BTCF7</t>
  </si>
  <si>
    <t>syn BTCH7/BTCX6/BTCV6/BTCG7/BTCF7</t>
  </si>
  <si>
    <t>syn BTCH7/BTCX6/BTCZ6/BTCV6/BTCF7</t>
  </si>
  <si>
    <t>syn BTCH7/BTCX6/BTCZ6/BTCG7/BTCF7</t>
  </si>
  <si>
    <t>syn BTCH7/BTCX6/BTCG7/BTCV6/BTCF7</t>
  </si>
  <si>
    <t>syn BTCH7/BTCX6/BTCG7/BTCZ6/BTCF7</t>
  </si>
  <si>
    <t>syn BTCH7/BTCZ6/BTCV6/BTCX6/BTCF7</t>
  </si>
  <si>
    <t>syn BTCH7/BTCZ6/BTCV6/BTCG7/BTCF7</t>
  </si>
  <si>
    <t>syn BTCH7/BTCZ6/BTCX6/BTCV6/BTCF7</t>
  </si>
  <si>
    <t>syn BTCH7/BTCZ6/BTCX6/BTCG7/BTCF7</t>
  </si>
  <si>
    <t>syn BTCH7/BTCZ6/BTCG7/BTCV6/BTCF7</t>
  </si>
  <si>
    <t>syn BTCH7/BTCZ6/BTCG7/BTCX6/BTCF7</t>
  </si>
  <si>
    <t>syn BTCH7/BTCG7/BTCV6/BTCX6/BTCF7</t>
  </si>
  <si>
    <t>syn BTCH7/BTCG7/BTCV6/BTCZ6/BTCF7</t>
  </si>
  <si>
    <t>syn BTCH7/BTCG7/BTCX6/BTCV6/BTCF7</t>
  </si>
  <si>
    <t>syn BTCH7/BTCG7/BTCX6/BTCZ6/BTCF7</t>
  </si>
  <si>
    <t>syn BTCH7/BTCG7/BTCZ6/BTCV6/BTCF7</t>
  </si>
  <si>
    <t>syn BTCH7/BTCG7/BTCZ6/BTCX6/BTCF7</t>
  </si>
  <si>
    <t>syn BTCV6/BTCX6/BTCZ6/BTCG7/BTCH7/BTCF7</t>
  </si>
  <si>
    <t>syn BTCV6/BTCX6/BTCZ6/BTCH7/BTCG7/BTCF7</t>
  </si>
  <si>
    <t>syn BTCV6/BTCX6/BTCG7/BTCZ6/BTCH7/BTCF7</t>
  </si>
  <si>
    <t>syn BTCV6/BTCX6/BTCG7/BTCH7/BTCZ6/BTCF7</t>
  </si>
  <si>
    <t>syn BTCV6/BTCX6/BTCH7/BTCZ6/BTCG7/BTCF7</t>
  </si>
  <si>
    <t>syn BTCV6/BTCX6/BTCH7/BTCG7/BTCZ6/BTCF7</t>
  </si>
  <si>
    <t>syn BTCV6/BTCZ6/BTCX6/BTCG7/BTCH7/BTCF7</t>
  </si>
  <si>
    <t>syn BTCV6/BTCZ6/BTCX6/BTCH7/BTCG7/BTCF7</t>
  </si>
  <si>
    <t>syn BTCV6/BTCZ6/BTCG7/BTCX6/BTCH7/BTCF7</t>
  </si>
  <si>
    <t>syn BTCV6/BTCZ6/BTCG7/BTCH7/BTCX6/BTCF7</t>
  </si>
  <si>
    <t>syn BTCV6/BTCZ6/BTCH7/BTCX6/BTCG7/BTCF7</t>
  </si>
  <si>
    <t>syn BTCV6/BTCZ6/BTCH7/BTCG7/BTCX6/BTCF7</t>
  </si>
  <si>
    <t>syn BTCV6/BTCG7/BTCX6/BTCZ6/BTCH7/BTCF7</t>
  </si>
  <si>
    <t>syn BTCV6/BTCG7/BTCX6/BTCH7/BTCZ6/BTCF7</t>
  </si>
  <si>
    <t>syn BTCV6/BTCG7/BTCZ6/BTCX6/BTCH7/BTCF7</t>
  </si>
  <si>
    <t>syn BTCV6/BTCG7/BTCZ6/BTCH7/BTCX6/BTCF7</t>
  </si>
  <si>
    <t>syn BTCV6/BTCG7/BTCH7/BTCX6/BTCZ6/BTCF7</t>
  </si>
  <si>
    <t>syn BTCV6/BTCG7/BTCH7/BTCZ6/BTCX6/BTCF7</t>
  </si>
  <si>
    <t>syn BTCV6/BTCH7/BTCX6/BTCZ6/BTCG7/BTCF7</t>
  </si>
  <si>
    <t>syn BTCV6/BTCH7/BTCX6/BTCG7/BTCZ6/BTCF7</t>
  </si>
  <si>
    <t>syn BTCV6/BTCH7/BTCZ6/BTCX6/BTCG7/BTCF7</t>
  </si>
  <si>
    <t>syn BTCV6/BTCH7/BTCZ6/BTCG7/BTCX6/BTCF7</t>
  </si>
  <si>
    <t>syn BTCV6/BTCH7/BTCG7/BTCX6/BTCZ6/BTCF7</t>
  </si>
  <si>
    <t>syn BTCV6/BTCH7/BTCG7/BTCZ6/BTCX6/BTCF7</t>
  </si>
  <si>
    <t>syn BTCX6/BTCV6/BTCZ6/BTCG7/BTCH7/BTCF7</t>
  </si>
  <si>
    <t>syn BTCX6/BTCV6/BTCZ6/BTCH7/BTCG7/BTCF7</t>
  </si>
  <si>
    <t>syn BTCX6/BTCV6/BTCG7/BTCZ6/BTCH7/BTCF7</t>
  </si>
  <si>
    <t>syn BTCX6/BTCV6/BTCG7/BTCH7/BTCZ6/BTCF7</t>
  </si>
  <si>
    <t>syn BTCX6/BTCV6/BTCH7/BTCZ6/BTCG7/BTCF7</t>
  </si>
  <si>
    <t>syn BTCX6/BTCV6/BTCH7/BTCG7/BTCZ6/BTCF7</t>
  </si>
  <si>
    <t>syn BTCX6/BTCZ6/BTCV6/BTCG7/BTCH7/BTCF7</t>
  </si>
  <si>
    <t>syn BTCX6/BTCZ6/BTCV6/BTCH7/BTCG7/BTCF7</t>
  </si>
  <si>
    <t>syn BTCX6/BTCZ6/BTCG7/BTCV6/BTCH7/BTCF7</t>
  </si>
  <si>
    <t>syn BTCX6/BTCZ6/BTCG7/BTCH7/BTCV6/BTCF7</t>
  </si>
  <si>
    <t>syn BTCX6/BTCZ6/BTCH7/BTCV6/BTCG7/BTCF7</t>
  </si>
  <si>
    <t>syn BTCX6/BTCZ6/BTCH7/BTCG7/BTCV6/BTCF7</t>
  </si>
  <si>
    <t>syn BTCX6/BTCG7/BTCV6/BTCZ6/BTCH7/BTCF7</t>
  </si>
  <si>
    <t>syn BTCX6/BTCG7/BTCV6/BTCH7/BTCZ6/BTCF7</t>
  </si>
  <si>
    <t>syn BTCX6/BTCG7/BTCZ6/BTCV6/BTCH7/BTCF7</t>
  </si>
  <si>
    <t>syn BTCX6/BTCG7/BTCZ6/BTCH7/BTCV6/BTCF7</t>
  </si>
  <si>
    <t>syn BTCX6/BTCG7/BTCH7/BTCV6/BTCZ6/BTCF7</t>
  </si>
  <si>
    <t>syn BTCX6/BTCG7/BTCH7/BTCZ6/BTCV6/BTCF7</t>
  </si>
  <si>
    <t>syn BTCX6/BTCH7/BTCV6/BTCZ6/BTCG7/BTCF7</t>
  </si>
  <si>
    <t>syn BTCX6/BTCH7/BTCV6/BTCG7/BTCZ6/BTCF7</t>
  </si>
  <si>
    <t>syn BTCX6/BTCH7/BTCZ6/BTCV6/BTCG7/BTCF7</t>
  </si>
  <si>
    <t>syn BTCX6/BTCH7/BTCZ6/BTCG7/BTCV6/BTCF7</t>
  </si>
  <si>
    <t>syn BTCX6/BTCH7/BTCG7/BTCV6/BTCZ6/BTCF7</t>
  </si>
  <si>
    <t>syn BTCX6/BTCH7/BTCG7/BTCZ6/BTCV6/BTCF7</t>
  </si>
  <si>
    <t>syn BTCZ6/BTCV6/BTCX6/BTCG7/BTCH7/BTCF7</t>
  </si>
  <si>
    <t>syn BTCZ6/BTCV6/BTCX6/BTCH7/BTCG7/BTCF7</t>
  </si>
  <si>
    <t>syn BTCZ6/BTCV6/BTCG7/BTCX6/BTCH7/BTCF7</t>
  </si>
  <si>
    <t>syn BTCZ6/BTCV6/BTCG7/BTCH7/BTCX6/BTCF7</t>
  </si>
  <si>
    <t>syn BTCZ6/BTCV6/BTCH7/BTCX6/BTCG7/BTCF7</t>
  </si>
  <si>
    <t>syn BTCZ6/BTCV6/BTCH7/BTCG7/BTCX6/BTCF7</t>
  </si>
  <si>
    <t>syn BTCZ6/BTCX6/BTCV6/BTCG7/BTCH7/BTCF7</t>
  </si>
  <si>
    <t>syn BTCZ6/BTCX6/BTCV6/BTCH7/BTCG7/BTCF7</t>
  </si>
  <si>
    <t>syn BTCZ6/BTCX6/BTCG7/BTCV6/BTCH7/BTCF7</t>
  </si>
  <si>
    <t>syn BTCZ6/BTCX6/BTCG7/BTCH7/BTCV6/BTCF7</t>
  </si>
  <si>
    <t>syn BTCZ6/BTCX6/BTCH7/BTCV6/BTCG7/BTCF7</t>
  </si>
  <si>
    <t>syn BTCZ6/BTCX6/BTCH7/BTCG7/BTCV6/BTCF7</t>
  </si>
  <si>
    <t>syn BTCZ6/BTCG7/BTCV6/BTCX6/BTCH7/BTCF7</t>
  </si>
  <si>
    <t>syn BTCZ6/BTCG7/BTCV6/BTCH7/BTCX6/BTCF7</t>
  </si>
  <si>
    <t>syn BTCZ6/BTCG7/BTCX6/BTCV6/BTCH7/BTCF7</t>
  </si>
  <si>
    <t>syn BTCZ6/BTCG7/BTCX6/BTCH7/BTCV6/BTCF7</t>
  </si>
  <si>
    <t>syn BTCZ6/BTCG7/BTCH7/BTCV6/BTCX6/BTCF7</t>
  </si>
  <si>
    <t>syn BTCZ6/BTCG7/BTCH7/BTCX6/BTCV6/BTCF7</t>
  </si>
  <si>
    <t>syn BTCZ6/BTCH7/BTCV6/BTCX6/BTCG7/BTCF7</t>
  </si>
  <si>
    <t>syn BTCZ6/BTCH7/BTCV6/BTCG7/BTCX6/BTCF7</t>
  </si>
  <si>
    <t>syn BTCZ6/BTCH7/BTCX6/BTCV6/BTCG7/BTCF7</t>
  </si>
  <si>
    <t>syn BTCZ6/BTCH7/BTCX6/BTCG7/BTCV6/BTCF7</t>
  </si>
  <si>
    <t>syn BTCZ6/BTCH7/BTCG7/BTCV6/BTCX6/BTCF7</t>
  </si>
  <si>
    <t>syn BTCZ6/BTCH7/BTCG7/BTCX6/BTCV6/BTCF7</t>
  </si>
  <si>
    <t>syn BTCG7/BTCV6/BTCX6/BTCZ6/BTCH7/BTCF7</t>
  </si>
  <si>
    <t>syn BTCG7/BTCV6/BTCX6/BTCH7/BTCZ6/BTCF7</t>
  </si>
  <si>
    <t>syn BTCG7/BTCV6/BTCZ6/BTCX6/BTCH7/BTCF7</t>
  </si>
  <si>
    <t>syn BTCG7/BTCV6/BTCZ6/BTCH7/BTCX6/BTCF7</t>
  </si>
  <si>
    <t>syn BTCG7/BTCV6/BTCH7/BTCX6/BTCZ6/BTCF7</t>
  </si>
  <si>
    <t>syn BTCG7/BTCV6/BTCH7/BTCZ6/BTCX6/BTCF7</t>
  </si>
  <si>
    <t>syn BTCG7/BTCX6/BTCV6/BTCZ6/BTCH7/BTCF7</t>
  </si>
  <si>
    <t>syn BTCG7/BTCX6/BTCV6/BTCH7/BTCZ6/BTCF7</t>
  </si>
  <si>
    <t>syn BTCG7/BTCX6/BTCZ6/BTCV6/BTCH7/BTCF7</t>
  </si>
  <si>
    <t>syn BTCG7/BTCX6/BTCZ6/BTCH7/BTCV6/BTCF7</t>
  </si>
  <si>
    <t>syn BTCG7/BTCX6/BTCH7/BTCV6/BTCZ6/BTCF7</t>
  </si>
  <si>
    <t>syn BTCG7/BTCX6/BTCH7/BTCZ6/BTCV6/BTCF7</t>
  </si>
  <si>
    <t>syn BTCG7/BTCZ6/BTCV6/BTCX6/BTCH7/BTCF7</t>
  </si>
  <si>
    <t>syn BTCG7/BTCZ6/BTCV6/BTCH7/BTCX6/BTCF7</t>
  </si>
  <si>
    <t>syn BTCG7/BTCZ6/BTCX6/BTCV6/BTCH7/BTCF7</t>
  </si>
  <si>
    <t>syn BTCG7/BTCZ6/BTCX6/BTCH7/BTCV6/BTCF7</t>
  </si>
  <si>
    <t>syn BTCG7/BTCZ6/BTCH7/BTCV6/BTCX6/BTCF7</t>
  </si>
  <si>
    <t>syn BTCG7/BTCZ6/BTCH7/BTCX6/BTCV6/BTCF7</t>
  </si>
  <si>
    <t>syn BTCG7/BTCH7/BTCV6/BTCX6/BTCZ6/BTCF7</t>
  </si>
  <si>
    <t>syn BTCG7/BTCH7/BTCV6/BTCZ6/BTCX6/BTCF7</t>
  </si>
  <si>
    <t>syn BTCG7/BTCH7/BTCX6/BTCV6/BTCZ6/BTCF7</t>
  </si>
  <si>
    <t>syn BTCG7/BTCH7/BTCX6/BTCZ6/BTCV6/BTCF7</t>
  </si>
  <si>
    <t>syn BTCG7/BTCH7/BTCZ6/BTCV6/BTCX6/BTCF7</t>
  </si>
  <si>
    <t>syn BTCG7/BTCH7/BTCZ6/BTCX6/BTCV6/BTCF7</t>
  </si>
  <si>
    <t>syn BTCH7/BTCV6/BTCX6/BTCZ6/BTCG7/BTCF7</t>
  </si>
  <si>
    <t>syn BTCH7/BTCV6/BTCX6/BTCG7/BTCZ6/BTCF7</t>
  </si>
  <si>
    <t>syn BTCH7/BTCV6/BTCZ6/BTCX6/BTCG7/BTCF7</t>
  </si>
  <si>
    <t>syn BTCH7/BTCV6/BTCZ6/BTCG7/BTCX6/BTCF7</t>
  </si>
  <si>
    <t>syn BTCH7/BTCV6/BTCG7/BTCX6/BTCZ6/BTCF7</t>
  </si>
  <si>
    <t>syn BTCH7/BTCV6/BTCG7/BTCZ6/BTCX6/BTCF7</t>
  </si>
  <si>
    <t>syn BTCH7/BTCX6/BTCV6/BTCZ6/BTCG7/BTCF7</t>
  </si>
  <si>
    <t>syn BTCH7/BTCX6/BTCV6/BTCG7/BTCZ6/BTCF7</t>
  </si>
  <si>
    <t>syn BTCH7/BTCX6/BTCZ6/BTCV6/BTCG7/BTCF7</t>
  </si>
  <si>
    <t>syn BTCH7/BTCX6/BTCZ6/BTCG7/BTCV6/BTCF7</t>
  </si>
  <si>
    <t>syn BTCH7/BTCX6/BTCG7/BTCV6/BTCZ6/BTCF7</t>
  </si>
  <si>
    <t>syn BTCH7/BTCX6/BTCG7/BTCZ6/BTCV6/BTCF7</t>
  </si>
  <si>
    <t>syn BTCH7/BTCZ6/BTCV6/BTCX6/BTCG7/BTCF7</t>
  </si>
  <si>
    <t>syn BTCH7/BTCZ6/BTCV6/BTCG7/BTCX6/BTCF7</t>
  </si>
  <si>
    <t>syn BTCH7/BTCZ6/BTCX6/BTCV6/BTCG7/BTCF7</t>
  </si>
  <si>
    <t>syn BTCH7/BTCZ6/BTCX6/BTCG7/BTCV6/BTCF7</t>
  </si>
  <si>
    <t>syn BTCH7/BTCZ6/BTCG7/BTCV6/BTCX6/BTCF7</t>
  </si>
  <si>
    <t>syn BTCH7/BTCZ6/BTCG7/BTCX6/BTCV6/BTCF7</t>
  </si>
  <si>
    <t>syn BTCH7/BTCG7/BTCV6/BTCX6/BTCZ6/BTCF7</t>
  </si>
  <si>
    <t>syn BTCH7/BTCG7/BTCV6/BTCZ6/BTCX6/BTCF7</t>
  </si>
  <si>
    <t>syn BTCH7/BTCG7/BTCX6/BTCV6/BTCZ6/BTCF7</t>
  </si>
  <si>
    <t>syn BTCH7/BTCG7/BTCX6/BTCZ6/BTCV6/BTCF7</t>
  </si>
  <si>
    <t>syn BTCH7/BTCG7/BTCZ6/BTCV6/BTCX6/BTCF7</t>
  </si>
  <si>
    <t>syn BTCH7/BTCG7/BTCZ6/BTCX6/BTCV6/BTCF7</t>
  </si>
  <si>
    <t>syn BTCH7/BTCG7</t>
  </si>
  <si>
    <t>syn BTCV6/BTCH7/BTCG7</t>
  </si>
  <si>
    <t>syn BTCX6/BTCH7/BTCG7</t>
  </si>
  <si>
    <t>syn BTCZ6/BTCH7/BTCG7</t>
  </si>
  <si>
    <t>syn BTCF7/BTCH7/BTCG7</t>
  </si>
  <si>
    <t>syn BTCH7/BTCV6/BTCG7</t>
  </si>
  <si>
    <t>syn BTCH7/BTCX6/BTCG7</t>
  </si>
  <si>
    <t>syn BTCH7/BTCZ6/BTCG7</t>
  </si>
  <si>
    <t>syn BTCH7/BTCF7/BTCG7</t>
  </si>
  <si>
    <t>syn BTCV6/BTCX6/BTCH7/BTCG7</t>
  </si>
  <si>
    <t>syn BTCV6/BTCZ6/BTCH7/BTCG7</t>
  </si>
  <si>
    <t>syn BTCV6/BTCF7/BTCH7/BTCG7</t>
  </si>
  <si>
    <t>syn BTCV6/BTCH7/BTCX6/BTCG7</t>
  </si>
  <si>
    <t>syn BTCV6/BTCH7/BTCZ6/BTCG7</t>
  </si>
  <si>
    <t>syn BTCV6/BTCH7/BTCF7/BTCG7</t>
  </si>
  <si>
    <t>syn BTCX6/BTCV6/BTCH7/BTCG7</t>
  </si>
  <si>
    <t>syn BTCX6/BTCZ6/BTCH7/BTCG7</t>
  </si>
  <si>
    <t>syn BTCX6/BTCF7/BTCH7/BTCG7</t>
  </si>
  <si>
    <t>syn BTCX6/BTCH7/BTCV6/BTCG7</t>
  </si>
  <si>
    <t>syn BTCX6/BTCH7/BTCZ6/BTCG7</t>
  </si>
  <si>
    <t>syn BTCX6/BTCH7/BTCF7/BTCG7</t>
  </si>
  <si>
    <t>syn BTCZ6/BTCV6/BTCH7/BTCG7</t>
  </si>
  <si>
    <t>syn BTCZ6/BTCX6/BTCH7/BTCG7</t>
  </si>
  <si>
    <t>syn BTCZ6/BTCF7/BTCH7/BTCG7</t>
  </si>
  <si>
    <t>syn BTCZ6/BTCH7/BTCV6/BTCG7</t>
  </si>
  <si>
    <t>syn BTCZ6/BTCH7/BTCX6/BTCG7</t>
  </si>
  <si>
    <t>syn BTCZ6/BTCH7/BTCF7/BTCG7</t>
  </si>
  <si>
    <t>syn BTCF7/BTCV6/BTCH7/BTCG7</t>
  </si>
  <si>
    <t>syn BTCF7/BTCX6/BTCH7/BTCG7</t>
  </si>
  <si>
    <t>syn BTCF7/BTCZ6/BTCH7/BTCG7</t>
  </si>
  <si>
    <t>syn BTCF7/BTCH7/BTCV6/BTCG7</t>
  </si>
  <si>
    <t>syn BTCF7/BTCH7/BTCX6/BTCG7</t>
  </si>
  <si>
    <t>syn BTCF7/BTCH7/BTCZ6/BTCG7</t>
  </si>
  <si>
    <t>syn BTCH7/BTCV6/BTCX6/BTCG7</t>
  </si>
  <si>
    <t>syn BTCH7/BTCV6/BTCZ6/BTCG7</t>
  </si>
  <si>
    <t>syn BTCH7/BTCV6/BTCF7/BTCG7</t>
  </si>
  <si>
    <t>syn BTCH7/BTCX6/BTCV6/BTCG7</t>
  </si>
  <si>
    <t>syn BTCH7/BTCX6/BTCZ6/BTCG7</t>
  </si>
  <si>
    <t>syn BTCH7/BTCX6/BTCF7/BTCG7</t>
  </si>
  <si>
    <t>syn BTCH7/BTCZ6/BTCV6/BTCG7</t>
  </si>
  <si>
    <t>syn BTCH7/BTCZ6/BTCX6/BTCG7</t>
  </si>
  <si>
    <t>syn BTCH7/BTCZ6/BTCF7/BTCG7</t>
  </si>
  <si>
    <t>syn BTCH7/BTCF7/BTCV6/BTCG7</t>
  </si>
  <si>
    <t>syn BTCH7/BTCF7/BTCX6/BTCG7</t>
  </si>
  <si>
    <t>syn BTCH7/BTCF7/BTCZ6/BTCG7</t>
  </si>
  <si>
    <t>syn BTCV6/BTCX6/BTCZ6/BTCH7/BTCG7</t>
  </si>
  <si>
    <t>syn BTCV6/BTCX6/BTCF7/BTCH7/BTCG7</t>
  </si>
  <si>
    <t>syn BTCV6/BTCX6/BTCH7/BTCZ6/BTCG7</t>
  </si>
  <si>
    <t>syn BTCV6/BTCX6/BTCH7/BTCF7/BTCG7</t>
  </si>
  <si>
    <t>syn BTCV6/BTCZ6/BTCX6/BTCH7/BTCG7</t>
  </si>
  <si>
    <t>syn BTCV6/BTCZ6/BTCF7/BTCH7/BTCG7</t>
  </si>
  <si>
    <t>syn BTCV6/BTCZ6/BTCH7/BTCX6/BTCG7</t>
  </si>
  <si>
    <t>syn BTCV6/BTCZ6/BTCH7/BTCF7/BTCG7</t>
  </si>
  <si>
    <t>syn BTCV6/BTCF7/BTCX6/BTCH7/BTCG7</t>
  </si>
  <si>
    <t>syn BTCV6/BTCF7/BTCZ6/BTCH7/BTCG7</t>
  </si>
  <si>
    <t>syn BTCV6/BTCF7/BTCH7/BTCX6/BTCG7</t>
  </si>
  <si>
    <t>syn BTCV6/BTCF7/BTCH7/BTCZ6/BTCG7</t>
  </si>
  <si>
    <t>syn BTCV6/BTCH7/BTCX6/BTCZ6/BTCG7</t>
  </si>
  <si>
    <t>syn BTCV6/BTCH7/BTCX6/BTCF7/BTCG7</t>
  </si>
  <si>
    <t>syn BTCV6/BTCH7/BTCZ6/BTCX6/BTCG7</t>
  </si>
  <si>
    <t>syn BTCV6/BTCH7/BTCZ6/BTCF7/BTCG7</t>
  </si>
  <si>
    <t>syn BTCV6/BTCH7/BTCF7/BTCX6/BTCG7</t>
  </si>
  <si>
    <t>syn BTCV6/BTCH7/BTCF7/BTCZ6/BTCG7</t>
  </si>
  <si>
    <t>syn BTCX6/BTCV6/BTCZ6/BTCH7/BTCG7</t>
  </si>
  <si>
    <t>syn BTCX6/BTCV6/BTCF7/BTCH7/BTCG7</t>
  </si>
  <si>
    <t>syn BTCX6/BTCV6/BTCH7/BTCZ6/BTCG7</t>
  </si>
  <si>
    <t>syn BTCX6/BTCV6/BTCH7/BTCF7/BTCG7</t>
  </si>
  <si>
    <t>syn BTCX6/BTCZ6/BTCV6/BTCH7/BTCG7</t>
  </si>
  <si>
    <t>syn BTCX6/BTCZ6/BTCF7/BTCH7/BTCG7</t>
  </si>
  <si>
    <t>syn BTCX6/BTCZ6/BTCH7/BTCV6/BTCG7</t>
  </si>
  <si>
    <t>syn BTCX6/BTCZ6/BTCH7/BTCF7/BTCG7</t>
  </si>
  <si>
    <t>syn BTCX6/BTCF7/BTCV6/BTCH7/BTCG7</t>
  </si>
  <si>
    <t>syn BTCX6/BTCF7/BTCZ6/BTCH7/BTCG7</t>
  </si>
  <si>
    <t>syn BTCX6/BTCF7/BTCH7/BTCV6/BTCG7</t>
  </si>
  <si>
    <t>syn BTCX6/BTCF7/BTCH7/BTCZ6/BTCG7</t>
  </si>
  <si>
    <t>syn BTCX6/BTCH7/BTCV6/BTCZ6/BTCG7</t>
  </si>
  <si>
    <t>syn BTCX6/BTCH7/BTCV6/BTCF7/BTCG7</t>
  </si>
  <si>
    <t>syn BTCX6/BTCH7/BTCZ6/BTCV6/BTCG7</t>
  </si>
  <si>
    <t>syn BTCX6/BTCH7/BTCZ6/BTCF7/BTCG7</t>
  </si>
  <si>
    <t>syn BTCX6/BTCH7/BTCF7/BTCV6/BTCG7</t>
  </si>
  <si>
    <t>syn BTCX6/BTCH7/BTCF7/BTCZ6/BTCG7</t>
  </si>
  <si>
    <t>syn BTCZ6/BTCV6/BTCX6/BTCH7/BTCG7</t>
  </si>
  <si>
    <t>syn BTCZ6/BTCV6/BTCF7/BTCH7/BTCG7</t>
  </si>
  <si>
    <t>syn BTCZ6/BTCV6/BTCH7/BTCX6/BTCG7</t>
  </si>
  <si>
    <t>syn BTCZ6/BTCV6/BTCH7/BTCF7/BTCG7</t>
  </si>
  <si>
    <t>syn BTCZ6/BTCX6/BTCV6/BTCH7/BTCG7</t>
  </si>
  <si>
    <t>syn BTCZ6/BTCX6/BTCF7/BTCH7/BTCG7</t>
  </si>
  <si>
    <t>syn BTCZ6/BTCX6/BTCH7/BTCV6/BTCG7</t>
  </si>
  <si>
    <t>syn BTCZ6/BTCX6/BTCH7/BTCF7/BTCG7</t>
  </si>
  <si>
    <t>syn BTCZ6/BTCF7/BTCV6/BTCH7/BTCG7</t>
  </si>
  <si>
    <t>syn BTCZ6/BTCF7/BTCX6/BTCH7/BTCG7</t>
  </si>
  <si>
    <t>syn BTCZ6/BTCF7/BTCH7/BTCV6/BTCG7</t>
  </si>
  <si>
    <t>syn BTCZ6/BTCF7/BTCH7/BTCX6/BTCG7</t>
  </si>
  <si>
    <t>syn BTCZ6/BTCH7/BTCV6/BTCX6/BTCG7</t>
  </si>
  <si>
    <t>syn BTCZ6/BTCH7/BTCV6/BTCF7/BTCG7</t>
  </si>
  <si>
    <t>syn BTCZ6/BTCH7/BTCX6/BTCV6/BTCG7</t>
  </si>
  <si>
    <t>syn BTCZ6/BTCH7/BTCX6/BTCF7/BTCG7</t>
  </si>
  <si>
    <t>syn BTCZ6/BTCH7/BTCF7/BTCV6/BTCG7</t>
  </si>
  <si>
    <t>syn BTCZ6/BTCH7/BTCF7/BTCX6/BTCG7</t>
  </si>
  <si>
    <t>syn BTCF7/BTCV6/BTCX6/BTCH7/BTCG7</t>
  </si>
  <si>
    <t>syn BTCF7/BTCV6/BTCZ6/BTCH7/BTCG7</t>
  </si>
  <si>
    <t>syn BTCF7/BTCV6/BTCH7/BTCX6/BTCG7</t>
  </si>
  <si>
    <t>syn BTCF7/BTCV6/BTCH7/BTCZ6/BTCG7</t>
  </si>
  <si>
    <t>syn BTCF7/BTCX6/BTCV6/BTCH7/BTCG7</t>
  </si>
  <si>
    <t>syn BTCF7/BTCX6/BTCZ6/BTCH7/BTCG7</t>
  </si>
  <si>
    <t>syn BTCF7/BTCX6/BTCH7/BTCV6/BTCG7</t>
  </si>
  <si>
    <t>syn BTCF7/BTCX6/BTCH7/BTCZ6/BTCG7</t>
  </si>
  <si>
    <t>syn BTCF7/BTCZ6/BTCV6/BTCH7/BTCG7</t>
  </si>
  <si>
    <t>syn BTCF7/BTCZ6/BTCX6/BTCH7/BTCG7</t>
  </si>
  <si>
    <t>syn BTCF7/BTCZ6/BTCH7/BTCV6/BTCG7</t>
  </si>
  <si>
    <t>syn BTCF7/BTCZ6/BTCH7/BTCX6/BTCG7</t>
  </si>
  <si>
    <t>syn BTCF7/BTCH7/BTCV6/BTCX6/BTCG7</t>
  </si>
  <si>
    <t>syn BTCF7/BTCH7/BTCV6/BTCZ6/BTCG7</t>
  </si>
  <si>
    <t>syn BTCF7/BTCH7/BTCX6/BTCV6/BTCG7</t>
  </si>
  <si>
    <t>syn BTCF7/BTCH7/BTCX6/BTCZ6/BTCG7</t>
  </si>
  <si>
    <t>syn BTCF7/BTCH7/BTCZ6/BTCV6/BTCG7</t>
  </si>
  <si>
    <t>syn BTCF7/BTCH7/BTCZ6/BTCX6/BTCG7</t>
  </si>
  <si>
    <t>syn BTCH7/BTCV6/BTCX6/BTCZ6/BTCG7</t>
  </si>
  <si>
    <t>syn BTCH7/BTCV6/BTCX6/BTCF7/BTCG7</t>
  </si>
  <si>
    <t>syn BTCH7/BTCV6/BTCZ6/BTCX6/BTCG7</t>
  </si>
  <si>
    <t>syn BTCH7/BTCV6/BTCZ6/BTCF7/BTCG7</t>
  </si>
  <si>
    <t>syn BTCH7/BTCV6/BTCF7/BTCX6/BTCG7</t>
  </si>
  <si>
    <t>syn BTCH7/BTCV6/BTCF7/BTCZ6/BTCG7</t>
  </si>
  <si>
    <t>syn BTCH7/BTCX6/BTCV6/BTCZ6/BTCG7</t>
  </si>
  <si>
    <t>syn BTCH7/BTCX6/BTCV6/BTCF7/BTCG7</t>
  </si>
  <si>
    <t>syn BTCH7/BTCX6/BTCZ6/BTCV6/BTCG7</t>
  </si>
  <si>
    <t>syn BTCH7/BTCX6/BTCZ6/BTCF7/BTCG7</t>
  </si>
  <si>
    <t>syn BTCH7/BTCX6/BTCF7/BTCV6/BTCG7</t>
  </si>
  <si>
    <t>syn BTCH7/BTCX6/BTCF7/BTCZ6/BTCG7</t>
  </si>
  <si>
    <t>syn BTCH7/BTCZ6/BTCV6/BTCX6/BTCG7</t>
  </si>
  <si>
    <t>syn BTCH7/BTCZ6/BTCV6/BTCF7/BTCG7</t>
  </si>
  <si>
    <t>syn BTCH7/BTCZ6/BTCX6/BTCV6/BTCG7</t>
  </si>
  <si>
    <t>syn BTCH7/BTCZ6/BTCX6/BTCF7/BTCG7</t>
  </si>
  <si>
    <t>syn BTCH7/BTCZ6/BTCF7/BTCV6/BTCG7</t>
  </si>
  <si>
    <t>syn BTCH7/BTCZ6/BTCF7/BTCX6/BTCG7</t>
  </si>
  <si>
    <t>syn BTCH7/BTCF7/BTCV6/BTCX6/BTCG7</t>
  </si>
  <si>
    <t>syn BTCH7/BTCF7/BTCV6/BTCZ6/BTCG7</t>
  </si>
  <si>
    <t>syn BTCH7/BTCF7/BTCX6/BTCV6/BTCG7</t>
  </si>
  <si>
    <t>syn BTCH7/BTCF7/BTCX6/BTCZ6/BTCG7</t>
  </si>
  <si>
    <t>syn BTCH7/BTCF7/BTCZ6/BTCV6/BTCG7</t>
  </si>
  <si>
    <t>syn BTCH7/BTCF7/BTCZ6/BTCX6/BTCG7</t>
  </si>
  <si>
    <t>syn BTCV6/BTCX6/BTCZ6/BTCF7/BTCH7/BTCG7</t>
  </si>
  <si>
    <t>syn BTCV6/BTCX6/BTCZ6/BTCH7/BTCF7/BTCG7</t>
  </si>
  <si>
    <t>syn BTCV6/BTCX6/BTCF7/BTCZ6/BTCH7/BTCG7</t>
  </si>
  <si>
    <t>syn BTCV6/BTCX6/BTCF7/BTCH7/BTCZ6/BTCG7</t>
  </si>
  <si>
    <t>syn BTCV6/BTCX6/BTCH7/BTCZ6/BTCF7/BTCG7</t>
  </si>
  <si>
    <t>syn BTCV6/BTCX6/BTCH7/BTCF7/BTCZ6/BTCG7</t>
  </si>
  <si>
    <t>syn BTCV6/BTCZ6/BTCX6/BTCF7/BTCH7/BTCG7</t>
  </si>
  <si>
    <t>syn BTCV6/BTCZ6/BTCX6/BTCH7/BTCF7/BTCG7</t>
  </si>
  <si>
    <t>syn BTCV6/BTCZ6/BTCF7/BTCX6/BTCH7/BTCG7</t>
  </si>
  <si>
    <t>syn BTCV6/BTCZ6/BTCF7/BTCH7/BTCX6/BTCG7</t>
  </si>
  <si>
    <t>syn BTCV6/BTCZ6/BTCH7/BTCX6/BTCF7/BTCG7</t>
  </si>
  <si>
    <t>syn BTCV6/BTCZ6/BTCH7/BTCF7/BTCX6/BTCG7</t>
  </si>
  <si>
    <t>syn BTCV6/BTCF7/BTCX6/BTCZ6/BTCH7/BTCG7</t>
  </si>
  <si>
    <t>syn BTCV6/BTCF7/BTCX6/BTCH7/BTCZ6/BTCG7</t>
  </si>
  <si>
    <t>syn BTCV6/BTCF7/BTCZ6/BTCX6/BTCH7/BTCG7</t>
  </si>
  <si>
    <t>syn BTCV6/BTCF7/BTCZ6/BTCH7/BTCX6/BTCG7</t>
  </si>
  <si>
    <t>syn BTCV6/BTCF7/BTCH7/BTCX6/BTCZ6/BTCG7</t>
  </si>
  <si>
    <t>syn BTCV6/BTCF7/BTCH7/BTCZ6/BTCX6/BTCG7</t>
  </si>
  <si>
    <t>syn BTCV6/BTCH7/BTCX6/BTCZ6/BTCF7/BTCG7</t>
  </si>
  <si>
    <t>syn BTCV6/BTCH7/BTCX6/BTCF7/BTCZ6/BTCG7</t>
  </si>
  <si>
    <t>syn BTCV6/BTCH7/BTCZ6/BTCX6/BTCF7/BTCG7</t>
  </si>
  <si>
    <t>syn BTCV6/BTCH7/BTCZ6/BTCF7/BTCX6/BTCG7</t>
  </si>
  <si>
    <t>syn BTCV6/BTCH7/BTCF7/BTCX6/BTCZ6/BTCG7</t>
  </si>
  <si>
    <t>syn BTCV6/BTCH7/BTCF7/BTCZ6/BTCX6/BTCG7</t>
  </si>
  <si>
    <t>syn BTCX6/BTCV6/BTCZ6/BTCF7/BTCH7/BTCG7</t>
  </si>
  <si>
    <t>syn BTCX6/BTCV6/BTCZ6/BTCH7/BTCF7/BTCG7</t>
  </si>
  <si>
    <t>syn BTCX6/BTCV6/BTCF7/BTCZ6/BTCH7/BTCG7</t>
  </si>
  <si>
    <t>syn BTCX6/BTCV6/BTCF7/BTCH7/BTCZ6/BTCG7</t>
  </si>
  <si>
    <t>syn BTCX6/BTCV6/BTCH7/BTCZ6/BTCF7/BTCG7</t>
  </si>
  <si>
    <t>syn BTCX6/BTCV6/BTCH7/BTCF7/BTCZ6/BTCG7</t>
  </si>
  <si>
    <t>syn BTCX6/BTCZ6/BTCV6/BTCF7/BTCH7/BTCG7</t>
  </si>
  <si>
    <t>syn BTCX6/BTCZ6/BTCV6/BTCH7/BTCF7/BTCG7</t>
  </si>
  <si>
    <t>syn BTCX6/BTCZ6/BTCF7/BTCV6/BTCH7/BTCG7</t>
  </si>
  <si>
    <t>syn BTCX6/BTCZ6/BTCF7/BTCH7/BTCV6/BTCG7</t>
  </si>
  <si>
    <t>syn BTCX6/BTCZ6/BTCH7/BTCV6/BTCF7/BTCG7</t>
  </si>
  <si>
    <t>syn BTCX6/BTCZ6/BTCH7/BTCF7/BTCV6/BTCG7</t>
  </si>
  <si>
    <t>syn BTCX6/BTCF7/BTCV6/BTCZ6/BTCH7/BTCG7</t>
  </si>
  <si>
    <t>syn BTCX6/BTCF7/BTCV6/BTCH7/BTCZ6/BTCG7</t>
  </si>
  <si>
    <t>syn BTCX6/BTCF7/BTCZ6/BTCV6/BTCH7/BTCG7</t>
  </si>
  <si>
    <t>syn BTCX6/BTCF7/BTCZ6/BTCH7/BTCV6/BTCG7</t>
  </si>
  <si>
    <t>syn BTCX6/BTCF7/BTCH7/BTCV6/BTCZ6/BTCG7</t>
  </si>
  <si>
    <t>syn BTCX6/BTCF7/BTCH7/BTCZ6/BTCV6/BTCG7</t>
  </si>
  <si>
    <t>syn BTCX6/BTCH7/BTCV6/BTCZ6/BTCF7/BTCG7</t>
  </si>
  <si>
    <t>syn BTCX6/BTCH7/BTCV6/BTCF7/BTCZ6/BTCG7</t>
  </si>
  <si>
    <t>syn BTCX6/BTCH7/BTCZ6/BTCV6/BTCF7/BTCG7</t>
  </si>
  <si>
    <t>syn BTCX6/BTCH7/BTCZ6/BTCF7/BTCV6/BTCG7</t>
  </si>
  <si>
    <t>syn BTCX6/BTCH7/BTCF7/BTCV6/BTCZ6/BTCG7</t>
  </si>
  <si>
    <t>syn BTCX6/BTCH7/BTCF7/BTCZ6/BTCV6/BTCG7</t>
  </si>
  <si>
    <t>syn BTCZ6/BTCV6/BTCX6/BTCF7/BTCH7/BTCG7</t>
  </si>
  <si>
    <t>syn BTCZ6/BTCV6/BTCX6/BTCH7/BTCF7/BTCG7</t>
  </si>
  <si>
    <t>syn BTCZ6/BTCV6/BTCF7/BTCX6/BTCH7/BTCG7</t>
  </si>
  <si>
    <t>syn BTCZ6/BTCV6/BTCF7/BTCH7/BTCX6/BTCG7</t>
  </si>
  <si>
    <t>syn BTCZ6/BTCV6/BTCH7/BTCX6/BTCF7/BTCG7</t>
  </si>
  <si>
    <t>syn BTCZ6/BTCV6/BTCH7/BTCF7/BTCX6/BTCG7</t>
  </si>
  <si>
    <t>syn BTCZ6/BTCX6/BTCV6/BTCF7/BTCH7/BTCG7</t>
  </si>
  <si>
    <t>syn BTCZ6/BTCX6/BTCV6/BTCH7/BTCF7/BTCG7</t>
  </si>
  <si>
    <t>syn BTCZ6/BTCX6/BTCF7/BTCV6/BTCH7/BTCG7</t>
  </si>
  <si>
    <t>syn BTCZ6/BTCX6/BTCF7/BTCH7/BTCV6/BTCG7</t>
  </si>
  <si>
    <t>syn BTCZ6/BTCX6/BTCH7/BTCV6/BTCF7/BTCG7</t>
  </si>
  <si>
    <t>syn BTCZ6/BTCX6/BTCH7/BTCF7/BTCV6/BTCG7</t>
  </si>
  <si>
    <t>syn BTCZ6/BTCF7/BTCV6/BTCX6/BTCH7/BTCG7</t>
  </si>
  <si>
    <t>syn BTCZ6/BTCF7/BTCV6/BTCH7/BTCX6/BTCG7</t>
  </si>
  <si>
    <t>syn BTCZ6/BTCF7/BTCX6/BTCV6/BTCH7/BTCG7</t>
  </si>
  <si>
    <t>syn BTCZ6/BTCF7/BTCX6/BTCH7/BTCV6/BTCG7</t>
  </si>
  <si>
    <t>syn BTCZ6/BTCF7/BTCH7/BTCV6/BTCX6/BTCG7</t>
  </si>
  <si>
    <t>syn BTCZ6/BTCF7/BTCH7/BTCX6/BTCV6/BTCG7</t>
  </si>
  <si>
    <t>syn BTCZ6/BTCH7/BTCV6/BTCX6/BTCF7/BTCG7</t>
  </si>
  <si>
    <t>syn BTCZ6/BTCH7/BTCV6/BTCF7/BTCX6/BTCG7</t>
  </si>
  <si>
    <t>syn BTCZ6/BTCH7/BTCX6/BTCV6/BTCF7/BTCG7</t>
  </si>
  <si>
    <t>syn BTCZ6/BTCH7/BTCX6/BTCF7/BTCV6/BTCG7</t>
  </si>
  <si>
    <t>syn BTCZ6/BTCH7/BTCF7/BTCV6/BTCX6/BTCG7</t>
  </si>
  <si>
    <t>syn BTCZ6/BTCH7/BTCF7/BTCX6/BTCV6/BTCG7</t>
  </si>
  <si>
    <t>syn BTCF7/BTCV6/BTCX6/BTCZ6/BTCH7/BTCG7</t>
  </si>
  <si>
    <t>syn BTCF7/BTCV6/BTCX6/BTCH7/BTCZ6/BTCG7</t>
  </si>
  <si>
    <t>syn BTCF7/BTCV6/BTCZ6/BTCX6/BTCH7/BTCG7</t>
  </si>
  <si>
    <t>syn BTCF7/BTCV6/BTCZ6/BTCH7/BTCX6/BTCG7</t>
  </si>
  <si>
    <t>syn BTCF7/BTCV6/BTCH7/BTCX6/BTCZ6/BTCG7</t>
  </si>
  <si>
    <t>syn BTCF7/BTCV6/BTCH7/BTCZ6/BTCX6/BTCG7</t>
  </si>
  <si>
    <t>syn BTCF7/BTCX6/BTCV6/BTCZ6/BTCH7/BTCG7</t>
  </si>
  <si>
    <t>syn BTCF7/BTCX6/BTCV6/BTCH7/BTCZ6/BTCG7</t>
  </si>
  <si>
    <t>syn BTCF7/BTCX6/BTCZ6/BTCV6/BTCH7/BTCG7</t>
  </si>
  <si>
    <t>syn BTCF7/BTCX6/BTCZ6/BTCH7/BTCV6/BTCG7</t>
  </si>
  <si>
    <t>syn BTCF7/BTCX6/BTCH7/BTCV6/BTCZ6/BTCG7</t>
  </si>
  <si>
    <t>syn BTCF7/BTCX6/BTCH7/BTCZ6/BTCV6/BTCG7</t>
  </si>
  <si>
    <t>syn BTCF7/BTCZ6/BTCV6/BTCX6/BTCH7/BTCG7</t>
  </si>
  <si>
    <t>syn BTCF7/BTCZ6/BTCV6/BTCH7/BTCX6/BTCG7</t>
  </si>
  <si>
    <t>syn BTCF7/BTCZ6/BTCX6/BTCV6/BTCH7/BTCG7</t>
  </si>
  <si>
    <t>syn BTCF7/BTCZ6/BTCX6/BTCH7/BTCV6/BTCG7</t>
  </si>
  <si>
    <t>syn BTCF7/BTCZ6/BTCH7/BTCV6/BTCX6/BTCG7</t>
  </si>
  <si>
    <t>syn BTCF7/BTCZ6/BTCH7/BTCX6/BTCV6/BTCG7</t>
  </si>
  <si>
    <t>syn BTCF7/BTCH7/BTCV6/BTCX6/BTCZ6/BTCG7</t>
  </si>
  <si>
    <t>syn BTCF7/BTCH7/BTCV6/BTCZ6/BTCX6/BTCG7</t>
  </si>
  <si>
    <t>syn BTCF7/BTCH7/BTCX6/BTCV6/BTCZ6/BTCG7</t>
  </si>
  <si>
    <t>syn BTCF7/BTCH7/BTCX6/BTCZ6/BTCV6/BTCG7</t>
  </si>
  <si>
    <t>syn BTCF7/BTCH7/BTCZ6/BTCV6/BTCX6/BTCG7</t>
  </si>
  <si>
    <t>syn BTCF7/BTCH7/BTCZ6/BTCX6/BTCV6/BTCG7</t>
  </si>
  <si>
    <t>syn BTCH7/BTCV6/BTCX6/BTCZ6/BTCF7/BTCG7</t>
  </si>
  <si>
    <t>syn BTCH7/BTCV6/BTCX6/BTCF7/BTCZ6/BTCG7</t>
  </si>
  <si>
    <t>syn BTCH7/BTCV6/BTCZ6/BTCX6/BTCF7/BTCG7</t>
  </si>
  <si>
    <t>syn BTCH7/BTCV6/BTCZ6/BTCF7/BTCX6/BTCG7</t>
  </si>
  <si>
    <t>syn BTCH7/BTCV6/BTCF7/BTCX6/BTCZ6/BTCG7</t>
  </si>
  <si>
    <t>syn BTCH7/BTCV6/BTCF7/BTCZ6/BTCX6/BTCG7</t>
  </si>
  <si>
    <t>syn BTCH7/BTCX6/BTCV6/BTCZ6/BTCF7/BTCG7</t>
  </si>
  <si>
    <t>syn BTCH7/BTCX6/BTCV6/BTCF7/BTCZ6/BTCG7</t>
  </si>
  <si>
    <t>syn BTCH7/BTCX6/BTCZ6/BTCV6/BTCF7/BTCG7</t>
  </si>
  <si>
    <t>syn BTCH7/BTCX6/BTCZ6/BTCF7/BTCV6/BTCG7</t>
  </si>
  <si>
    <t>syn BTCH7/BTCX6/BTCF7/BTCV6/BTCZ6/BTCG7</t>
  </si>
  <si>
    <t>syn BTCH7/BTCX6/BTCF7/BTCZ6/BTCV6/BTCG7</t>
  </si>
  <si>
    <t>syn BTCH7/BTCZ6/BTCV6/BTCX6/BTCF7/BTCG7</t>
  </si>
  <si>
    <t>syn BTCH7/BTCZ6/BTCV6/BTCF7/BTCX6/BTCG7</t>
  </si>
  <si>
    <t>syn BTCH7/BTCZ6/BTCX6/BTCV6/BTCF7/BTCG7</t>
  </si>
  <si>
    <t>syn BTCH7/BTCZ6/BTCX6/BTCF7/BTCV6/BTCG7</t>
  </si>
  <si>
    <t>syn BTCH7/BTCZ6/BTCF7/BTCV6/BTCX6/BTCG7</t>
  </si>
  <si>
    <t>syn BTCH7/BTCZ6/BTCF7/BTCX6/BTCV6/BTCG7</t>
  </si>
  <si>
    <t>syn BTCH7/BTCF7/BTCV6/BTCX6/BTCZ6/BTCG7</t>
  </si>
  <si>
    <t>syn BTCH7/BTCF7/BTCV6/BTCZ6/BTCX6/BTCG7</t>
  </si>
  <si>
    <t>syn BTCH7/BTCF7/BTCX6/BTCV6/BTCZ6/BTCG7</t>
  </si>
  <si>
    <t>syn BTCH7/BTCF7/BTCX6/BTCZ6/BTCV6/BTCG7</t>
  </si>
  <si>
    <t>syn BTCH7/BTCF7/BTCZ6/BTCV6/BTCX6/BTCG7</t>
  </si>
  <si>
    <t>syn BTCH7/BTCF7/BTCZ6/BTCX6/BTCV6/BTCG7</t>
  </si>
  <si>
    <t>syn BTCV6/BTCH7</t>
  </si>
  <si>
    <t>syn BTCX6/BTCH7</t>
  </si>
  <si>
    <t>syn BTCZ6/BTCH7</t>
  </si>
  <si>
    <t>syn BTCF7/BTCH7</t>
  </si>
  <si>
    <t>syn BTCG7/BTCH7</t>
  </si>
  <si>
    <t>syn BTCV6/BTCX6/BTCH7</t>
  </si>
  <si>
    <t>syn BTCV6/BTCZ6/BTCH7</t>
  </si>
  <si>
    <t>syn BTCV6/BTCF7/BTCH7</t>
  </si>
  <si>
    <t>syn BTCV6/BTCG7/BTCH7</t>
  </si>
  <si>
    <t>syn BTCX6/BTCV6/BTCH7</t>
  </si>
  <si>
    <t>syn BTCX6/BTCZ6/BTCH7</t>
  </si>
  <si>
    <t>syn BTCX6/BTCF7/BTCH7</t>
  </si>
  <si>
    <t>syn BTCX6/BTCG7/BTCH7</t>
  </si>
  <si>
    <t>syn BTCZ6/BTCV6/BTCH7</t>
  </si>
  <si>
    <t>syn BTCZ6/BTCX6/BTCH7</t>
  </si>
  <si>
    <t>syn BTCZ6/BTCF7/BTCH7</t>
  </si>
  <si>
    <t>syn BTCZ6/BTCG7/BTCH7</t>
  </si>
  <si>
    <t>syn BTCF7/BTCV6/BTCH7</t>
  </si>
  <si>
    <t>syn BTCF7/BTCX6/BTCH7</t>
  </si>
  <si>
    <t>syn BTCF7/BTCZ6/BTCH7</t>
  </si>
  <si>
    <t>syn BTCF7/BTCG7/BTCH7</t>
  </si>
  <si>
    <t>syn BTCG7/BTCV6/BTCH7</t>
  </si>
  <si>
    <t>syn BTCG7/BTCX6/BTCH7</t>
  </si>
  <si>
    <t>syn BTCG7/BTCZ6/BTCH7</t>
  </si>
  <si>
    <t>syn BTCG7/BTCF7/BTCH7</t>
  </si>
  <si>
    <t>syn BTCV6/BTCX6/BTCZ6/BTCH7</t>
  </si>
  <si>
    <t>syn BTCV6/BTCX6/BTCF7/BTCH7</t>
  </si>
  <si>
    <t>syn BTCV6/BTCX6/BTCG7/BTCH7</t>
  </si>
  <si>
    <t>syn BTCV6/BTCZ6/BTCX6/BTCH7</t>
  </si>
  <si>
    <t>syn BTCV6/BTCZ6/BTCF7/BTCH7</t>
  </si>
  <si>
    <t>syn BTCV6/BTCZ6/BTCG7/BTCH7</t>
  </si>
  <si>
    <t>syn BTCV6/BTCF7/BTCX6/BTCH7</t>
  </si>
  <si>
    <t>syn BTCV6/BTCF7/BTCZ6/BTCH7</t>
  </si>
  <si>
    <t>syn BTCV6/BTCF7/BTCG7/BTCH7</t>
  </si>
  <si>
    <t>syn BTCV6/BTCG7/BTCX6/BTCH7</t>
  </si>
  <si>
    <t>syn BTCV6/BTCG7/BTCZ6/BTCH7</t>
  </si>
  <si>
    <t>syn BTCV6/BTCG7/BTCF7/BTCH7</t>
  </si>
  <si>
    <t>syn BTCX6/BTCV6/BTCZ6/BTCH7</t>
  </si>
  <si>
    <t>syn BTCX6/BTCV6/BTCF7/BTCH7</t>
  </si>
  <si>
    <t>syn BTCX6/BTCV6/BTCG7/BTCH7</t>
  </si>
  <si>
    <t>syn BTCX6/BTCZ6/BTCV6/BTCH7</t>
  </si>
  <si>
    <t>syn BTCX6/BTCZ6/BTCF7/BTCH7</t>
  </si>
  <si>
    <t>syn BTCX6/BTCZ6/BTCG7/BTCH7</t>
  </si>
  <si>
    <t>syn BTCX6/BTCF7/BTCV6/BTCH7</t>
  </si>
  <si>
    <t>syn BTCX6/BTCF7/BTCZ6/BTCH7</t>
  </si>
  <si>
    <t>syn BTCX6/BTCF7/BTCG7/BTCH7</t>
  </si>
  <si>
    <t>syn BTCX6/BTCG7/BTCV6/BTCH7</t>
  </si>
  <si>
    <t>syn BTCX6/BTCG7/BTCZ6/BTCH7</t>
  </si>
  <si>
    <t>syn BTCX6/BTCG7/BTCF7/BTCH7</t>
  </si>
  <si>
    <t>syn BTCZ6/BTCV6/BTCX6/BTCH7</t>
  </si>
  <si>
    <t>syn BTCZ6/BTCV6/BTCF7/BTCH7</t>
  </si>
  <si>
    <t>syn BTCZ6/BTCV6/BTCG7/BTCH7</t>
  </si>
  <si>
    <t>syn BTCZ6/BTCX6/BTCV6/BTCH7</t>
  </si>
  <si>
    <t>syn BTCZ6/BTCX6/BTCF7/BTCH7</t>
  </si>
  <si>
    <t>syn BTCZ6/BTCX6/BTCG7/BTCH7</t>
  </si>
  <si>
    <t>syn BTCZ6/BTCF7/BTCV6/BTCH7</t>
  </si>
  <si>
    <t>syn BTCZ6/BTCF7/BTCX6/BTCH7</t>
  </si>
  <si>
    <t>syn BTCZ6/BTCF7/BTCG7/BTCH7</t>
  </si>
  <si>
    <t>syn BTCZ6/BTCG7/BTCV6/BTCH7</t>
  </si>
  <si>
    <t>syn BTCZ6/BTCG7/BTCX6/BTCH7</t>
  </si>
  <si>
    <t>syn BTCZ6/BTCG7/BTCF7/BTCH7</t>
  </si>
  <si>
    <t>syn BTCF7/BTCV6/BTCX6/BTCH7</t>
  </si>
  <si>
    <t>syn BTCF7/BTCV6/BTCZ6/BTCH7</t>
  </si>
  <si>
    <t>syn BTCF7/BTCV6/BTCG7/BTCH7</t>
  </si>
  <si>
    <t>syn BTCF7/BTCX6/BTCV6/BTCH7</t>
  </si>
  <si>
    <t>syn BTCF7/BTCX6/BTCZ6/BTCH7</t>
  </si>
  <si>
    <t>syn BTCF7/BTCX6/BTCG7/BTCH7</t>
  </si>
  <si>
    <t>syn BTCF7/BTCZ6/BTCV6/BTCH7</t>
  </si>
  <si>
    <t>syn BTCF7/BTCZ6/BTCX6/BTCH7</t>
  </si>
  <si>
    <t>syn BTCF7/BTCZ6/BTCG7/BTCH7</t>
  </si>
  <si>
    <t>syn BTCF7/BTCG7/BTCV6/BTCH7</t>
  </si>
  <si>
    <t>syn BTCF7/BTCG7/BTCX6/BTCH7</t>
  </si>
  <si>
    <t>syn BTCF7/BTCG7/BTCZ6/BTCH7</t>
  </si>
  <si>
    <t>syn BTCG7/BTCV6/BTCX6/BTCH7</t>
  </si>
  <si>
    <t>syn BTCG7/BTCV6/BTCZ6/BTCH7</t>
  </si>
  <si>
    <t>syn BTCG7/BTCV6/BTCF7/BTCH7</t>
  </si>
  <si>
    <t>syn BTCG7/BTCX6/BTCV6/BTCH7</t>
  </si>
  <si>
    <t>syn BTCG7/BTCX6/BTCZ6/BTCH7</t>
  </si>
  <si>
    <t>syn BTCG7/BTCX6/BTCF7/BTCH7</t>
  </si>
  <si>
    <t>syn BTCG7/BTCZ6/BTCV6/BTCH7</t>
  </si>
  <si>
    <t>syn BTCG7/BTCZ6/BTCX6/BTCH7</t>
  </si>
  <si>
    <t>syn BTCG7/BTCZ6/BTCF7/BTCH7</t>
  </si>
  <si>
    <t>syn BTCG7/BTCF7/BTCV6/BTCH7</t>
  </si>
  <si>
    <t>syn BTCG7/BTCF7/BTCX6/BTCH7</t>
  </si>
  <si>
    <t>syn BTCG7/BTCF7/BTCZ6/BTCH7</t>
  </si>
  <si>
    <t>syn BTCV6/BTCX6/BTCZ6/BTCF7/BTCH7</t>
  </si>
  <si>
    <t>syn BTCV6/BTCX6/BTCZ6/BTCG7/BTCH7</t>
  </si>
  <si>
    <t>syn BTCV6/BTCX6/BTCF7/BTCZ6/BTCH7</t>
  </si>
  <si>
    <t>syn BTCV6/BTCX6/BTCF7/BTCG7/BTCH7</t>
  </si>
  <si>
    <t>syn BTCV6/BTCX6/BTCG7/BTCZ6/BTCH7</t>
  </si>
  <si>
    <t>syn BTCV6/BTCX6/BTCG7/BTCF7/BTCH7</t>
  </si>
  <si>
    <t>syn BTCV6/BTCZ6/BTCX6/BTCF7/BTCH7</t>
  </si>
  <si>
    <t>syn BTCV6/BTCZ6/BTCX6/BTCG7/BTCH7</t>
  </si>
  <si>
    <t>syn BTCV6/BTCZ6/BTCF7/BTCX6/BTCH7</t>
  </si>
  <si>
    <t>syn BTCV6/BTCZ6/BTCF7/BTCG7/BTCH7</t>
  </si>
  <si>
    <t>syn BTCV6/BTCZ6/BTCG7/BTCX6/BTCH7</t>
  </si>
  <si>
    <t>syn BTCV6/BTCZ6/BTCG7/BTCF7/BTCH7</t>
  </si>
  <si>
    <t>syn BTCV6/BTCF7/BTCX6/BTCZ6/BTCH7</t>
  </si>
  <si>
    <t>syn BTCV6/BTCF7/BTCX6/BTCG7/BTCH7</t>
  </si>
  <si>
    <t>syn BTCV6/BTCF7/BTCZ6/BTCX6/BTCH7</t>
  </si>
  <si>
    <t>syn BTCV6/BTCF7/BTCZ6/BTCG7/BTCH7</t>
  </si>
  <si>
    <t>syn BTCV6/BTCF7/BTCG7/BTCX6/BTCH7</t>
  </si>
  <si>
    <t>syn BTCV6/BTCF7/BTCG7/BTCZ6/BTCH7</t>
  </si>
  <si>
    <t>syn BTCV6/BTCG7/BTCX6/BTCZ6/BTCH7</t>
  </si>
  <si>
    <t>syn BTCV6/BTCG7/BTCX6/BTCF7/BTCH7</t>
  </si>
  <si>
    <t>syn BTCV6/BTCG7/BTCZ6/BTCX6/BTCH7</t>
  </si>
  <si>
    <t>syn BTCV6/BTCG7/BTCZ6/BTCF7/BTCH7</t>
  </si>
  <si>
    <t>syn BTCV6/BTCG7/BTCF7/BTCX6/BTCH7</t>
  </si>
  <si>
    <t>syn BTCV6/BTCG7/BTCF7/BTCZ6/BTCH7</t>
  </si>
  <si>
    <t>syn BTCX6/BTCV6/BTCZ6/BTCF7/BTCH7</t>
  </si>
  <si>
    <t>syn BTCX6/BTCV6/BTCZ6/BTCG7/BTCH7</t>
  </si>
  <si>
    <t>syn BTCX6/BTCV6/BTCF7/BTCZ6/BTCH7</t>
  </si>
  <si>
    <t>syn BTCX6/BTCV6/BTCF7/BTCG7/BTCH7</t>
  </si>
  <si>
    <t>syn BTCX6/BTCV6/BTCG7/BTCZ6/BTCH7</t>
  </si>
  <si>
    <t>syn BTCX6/BTCV6/BTCG7/BTCF7/BTCH7</t>
  </si>
  <si>
    <t>syn BTCX6/BTCZ6/BTCV6/BTCF7/BTCH7</t>
  </si>
  <si>
    <t>syn BTCX6/BTCZ6/BTCV6/BTCG7/BTCH7</t>
  </si>
  <si>
    <t>syn BTCX6/BTCZ6/BTCF7/BTCV6/BTCH7</t>
  </si>
  <si>
    <t>syn BTCX6/BTCZ6/BTCF7/BTCG7/BTCH7</t>
  </si>
  <si>
    <t>syn BTCX6/BTCZ6/BTCG7/BTCV6/BTCH7</t>
  </si>
  <si>
    <t>syn BTCX6/BTCZ6/BTCG7/BTCF7/BTCH7</t>
  </si>
  <si>
    <t>syn BTCX6/BTCF7/BTCV6/BTCZ6/BTCH7</t>
  </si>
  <si>
    <t>syn BTCX6/BTCF7/BTCV6/BTCG7/BTCH7</t>
  </si>
  <si>
    <t>syn BTCX6/BTCF7/BTCZ6/BTCV6/BTCH7</t>
  </si>
  <si>
    <t>syn BTCX6/BTCF7/BTCZ6/BTCG7/BTCH7</t>
  </si>
  <si>
    <t>syn BTCX6/BTCF7/BTCG7/BTCV6/BTCH7</t>
  </si>
  <si>
    <t>syn BTCX6/BTCF7/BTCG7/BTCZ6/BTCH7</t>
  </si>
  <si>
    <t>syn BTCX6/BTCG7/BTCV6/BTCZ6/BTCH7</t>
  </si>
  <si>
    <t>syn BTCX6/BTCG7/BTCV6/BTCF7/BTCH7</t>
  </si>
  <si>
    <t>syn BTCX6/BTCG7/BTCZ6/BTCV6/BTCH7</t>
  </si>
  <si>
    <t>syn BTCX6/BTCG7/BTCZ6/BTCF7/BTCH7</t>
  </si>
  <si>
    <t>syn BTCX6/BTCG7/BTCF7/BTCV6/BTCH7</t>
  </si>
  <si>
    <t>syn BTCX6/BTCG7/BTCF7/BTCZ6/BTCH7</t>
  </si>
  <si>
    <t>syn BTCZ6/BTCV6/BTCX6/BTCF7/BTCH7</t>
  </si>
  <si>
    <t>syn BTCZ6/BTCV6/BTCX6/BTCG7/BTCH7</t>
  </si>
  <si>
    <t>syn BTCZ6/BTCV6/BTCF7/BTCX6/BTCH7</t>
  </si>
  <si>
    <t>syn BTCZ6/BTCV6/BTCF7/BTCG7/BTCH7</t>
  </si>
  <si>
    <t>syn BTCZ6/BTCV6/BTCG7/BTCX6/BTCH7</t>
  </si>
  <si>
    <t>syn BTCZ6/BTCV6/BTCG7/BTCF7/BTCH7</t>
  </si>
  <si>
    <t>syn BTCZ6/BTCX6/BTCV6/BTCF7/BTCH7</t>
  </si>
  <si>
    <t>syn BTCZ6/BTCX6/BTCV6/BTCG7/BTCH7</t>
  </si>
  <si>
    <t>syn BTCZ6/BTCX6/BTCF7/BTCV6/BTCH7</t>
  </si>
  <si>
    <t>syn BTCZ6/BTCX6/BTCF7/BTCG7/BTCH7</t>
  </si>
  <si>
    <t>syn BTCZ6/BTCX6/BTCG7/BTCV6/BTCH7</t>
  </si>
  <si>
    <t>syn BTCZ6/BTCX6/BTCG7/BTCF7/BTCH7</t>
  </si>
  <si>
    <t>syn BTCZ6/BTCF7/BTCV6/BTCX6/BTCH7</t>
  </si>
  <si>
    <t>syn BTCZ6/BTCF7/BTCV6/BTCG7/BTCH7</t>
  </si>
  <si>
    <t>syn BTCZ6/BTCF7/BTCX6/BTCV6/BTCH7</t>
  </si>
  <si>
    <t>syn BTCZ6/BTCF7/BTCX6/BTCG7/BTCH7</t>
  </si>
  <si>
    <t>syn BTCZ6/BTCF7/BTCG7/BTCV6/BTCH7</t>
  </si>
  <si>
    <t>syn BTCZ6/BTCF7/BTCG7/BTCX6/BTCH7</t>
  </si>
  <si>
    <t>syn BTCZ6/BTCG7/BTCV6/BTCX6/BTCH7</t>
  </si>
  <si>
    <t>syn BTCZ6/BTCG7/BTCV6/BTCF7/BTCH7</t>
  </si>
  <si>
    <t>syn BTCZ6/BTCG7/BTCX6/BTCV6/BTCH7</t>
  </si>
  <si>
    <t>syn BTCZ6/BTCG7/BTCX6/BTCF7/BTCH7</t>
  </si>
  <si>
    <t>syn BTCZ6/BTCG7/BTCF7/BTCV6/BTCH7</t>
  </si>
  <si>
    <t>syn BTCZ6/BTCG7/BTCF7/BTCX6/BTCH7</t>
  </si>
  <si>
    <t>syn BTCF7/BTCV6/BTCX6/BTCZ6/BTCH7</t>
  </si>
  <si>
    <t>syn BTCF7/BTCV6/BTCX6/BTCG7/BTCH7</t>
  </si>
  <si>
    <t>syn BTCF7/BTCV6/BTCZ6/BTCX6/BTCH7</t>
  </si>
  <si>
    <t>syn BTCF7/BTCV6/BTCZ6/BTCG7/BTCH7</t>
  </si>
  <si>
    <t>syn BTCF7/BTCV6/BTCG7/BTCX6/BTCH7</t>
  </si>
  <si>
    <t>syn BTCF7/BTCV6/BTCG7/BTCZ6/BTCH7</t>
  </si>
  <si>
    <t>syn BTCF7/BTCX6/BTCV6/BTCZ6/BTCH7</t>
  </si>
  <si>
    <t>syn BTCF7/BTCX6/BTCV6/BTCG7/BTCH7</t>
  </si>
  <si>
    <t>syn BTCF7/BTCX6/BTCZ6/BTCV6/BTCH7</t>
  </si>
  <si>
    <t>syn BTCF7/BTCX6/BTCZ6/BTCG7/BTCH7</t>
  </si>
  <si>
    <t>syn BTCF7/BTCX6/BTCG7/BTCV6/BTCH7</t>
  </si>
  <si>
    <t>syn BTCF7/BTCX6/BTCG7/BTCZ6/BTCH7</t>
  </si>
  <si>
    <t>syn BTCF7/BTCZ6/BTCV6/BTCX6/BTCH7</t>
  </si>
  <si>
    <t>syn BTCF7/BTCZ6/BTCV6/BTCG7/BTCH7</t>
  </si>
  <si>
    <t>syn BTCF7/BTCZ6/BTCX6/BTCV6/BTCH7</t>
  </si>
  <si>
    <t>syn BTCF7/BTCZ6/BTCX6/BTCG7/BTCH7</t>
  </si>
  <si>
    <t>syn BTCF7/BTCZ6/BTCG7/BTCV6/BTCH7</t>
  </si>
  <si>
    <t>syn BTCF7/BTCZ6/BTCG7/BTCX6/BTCH7</t>
  </si>
  <si>
    <t>syn BTCF7/BTCG7/BTCV6/BTCX6/BTCH7</t>
  </si>
  <si>
    <t>syn BTCF7/BTCG7/BTCV6/BTCZ6/BTCH7</t>
  </si>
  <si>
    <t>syn BTCF7/BTCG7/BTCX6/BTCV6/BTCH7</t>
  </si>
  <si>
    <t>syn BTCF7/BTCG7/BTCX6/BTCZ6/BTCH7</t>
  </si>
  <si>
    <t>syn BTCF7/BTCG7/BTCZ6/BTCV6/BTCH7</t>
  </si>
  <si>
    <t>syn BTCF7/BTCG7/BTCZ6/BTCX6/BTCH7</t>
  </si>
  <si>
    <t>syn BTCG7/BTCV6/BTCX6/BTCZ6/BTCH7</t>
  </si>
  <si>
    <t>syn BTCG7/BTCV6/BTCX6/BTCF7/BTCH7</t>
  </si>
  <si>
    <t>syn BTCG7/BTCV6/BTCZ6/BTCX6/BTCH7</t>
  </si>
  <si>
    <t>syn BTCG7/BTCV6/BTCZ6/BTCF7/BTCH7</t>
  </si>
  <si>
    <t>syn BTCG7/BTCV6/BTCF7/BTCX6/BTCH7</t>
  </si>
  <si>
    <t>syn BTCG7/BTCV6/BTCF7/BTCZ6/BTCH7</t>
  </si>
  <si>
    <t>syn BTCG7/BTCX6/BTCV6/BTCZ6/BTCH7</t>
  </si>
  <si>
    <t>syn BTCG7/BTCX6/BTCV6/BTCF7/BTCH7</t>
  </si>
  <si>
    <t>syn BTCG7/BTCX6/BTCZ6/BTCV6/BTCH7</t>
  </si>
  <si>
    <t>syn BTCG7/BTCX6/BTCZ6/BTCF7/BTCH7</t>
  </si>
  <si>
    <t>syn BTCG7/BTCX6/BTCF7/BTCV6/BTCH7</t>
  </si>
  <si>
    <t>syn BTCG7/BTCX6/BTCF7/BTCZ6/BTCH7</t>
  </si>
  <si>
    <t>syn BTCG7/BTCZ6/BTCV6/BTCX6/BTCH7</t>
  </si>
  <si>
    <t>syn BTCG7/BTCZ6/BTCV6/BTCF7/BTCH7</t>
  </si>
  <si>
    <t>syn BTCG7/BTCZ6/BTCX6/BTCV6/BTCH7</t>
  </si>
  <si>
    <t>syn BTCG7/BTCZ6/BTCX6/BTCF7/BTCH7</t>
  </si>
  <si>
    <t>syn BTCG7/BTCZ6/BTCF7/BTCV6/BTCH7</t>
  </si>
  <si>
    <t>syn BTCG7/BTCZ6/BTCF7/BTCX6/BTCH7</t>
  </si>
  <si>
    <t>syn BTCG7/BTCF7/BTCV6/BTCX6/BTCH7</t>
  </si>
  <si>
    <t>syn BTCG7/BTCF7/BTCV6/BTCZ6/BTCH7</t>
  </si>
  <si>
    <t>syn BTCG7/BTCF7/BTCX6/BTCV6/BTCH7</t>
  </si>
  <si>
    <t>syn BTCG7/BTCF7/BTCX6/BTCZ6/BTCH7</t>
  </si>
  <si>
    <t>syn BTCG7/BTCF7/BTCZ6/BTCV6/BTCH7</t>
  </si>
  <si>
    <t>syn BTCG7/BTCF7/BTCZ6/BTCX6/BTCH7</t>
  </si>
  <si>
    <t>syn BTCV6/BTCX6/BTCZ6/BTCF7/BTCG7/BTCH7</t>
  </si>
  <si>
    <t>syn BTCV6/BTCX6/BTCZ6/BTCG7/BTCF7/BTCH7</t>
  </si>
  <si>
    <t>syn BTCV6/BTCX6/BTCF7/BTCZ6/BTCG7/BTCH7</t>
  </si>
  <si>
    <t>syn BTCV6/BTCX6/BTCF7/BTCG7/BTCZ6/BTCH7</t>
  </si>
  <si>
    <t>syn BTCV6/BTCX6/BTCG7/BTCZ6/BTCF7/BTCH7</t>
  </si>
  <si>
    <t>syn BTCV6/BTCX6/BTCG7/BTCF7/BTCZ6/BTCH7</t>
  </si>
  <si>
    <t>syn BTCV6/BTCZ6/BTCX6/BTCF7/BTCG7/BTCH7</t>
  </si>
  <si>
    <t>syn BTCV6/BTCZ6/BTCX6/BTCG7/BTCF7/BTCH7</t>
  </si>
  <si>
    <t>syn BTCV6/BTCZ6/BTCF7/BTCX6/BTCG7/BTCH7</t>
  </si>
  <si>
    <t>syn BTCV6/BTCZ6/BTCF7/BTCG7/BTCX6/BTCH7</t>
  </si>
  <si>
    <t>syn BTCV6/BTCZ6/BTCG7/BTCX6/BTCF7/BTCH7</t>
  </si>
  <si>
    <t>syn BTCV6/BTCZ6/BTCG7/BTCF7/BTCX6/BTCH7</t>
  </si>
  <si>
    <t>syn BTCV6/BTCF7/BTCX6/BTCZ6/BTCG7/BTCH7</t>
  </si>
  <si>
    <t>syn BTCV6/BTCF7/BTCX6/BTCG7/BTCZ6/BTCH7</t>
  </si>
  <si>
    <t>syn BTCV6/BTCF7/BTCZ6/BTCX6/BTCG7/BTCH7</t>
  </si>
  <si>
    <t>syn BTCV6/BTCF7/BTCZ6/BTCG7/BTCX6/BTCH7</t>
  </si>
  <si>
    <t>syn BTCV6/BTCF7/BTCG7/BTCX6/BTCZ6/BTCH7</t>
  </si>
  <si>
    <t>syn BTCV6/BTCF7/BTCG7/BTCZ6/BTCX6/BTCH7</t>
  </si>
  <si>
    <t>syn BTCV6/BTCG7/BTCX6/BTCZ6/BTCF7/BTCH7</t>
  </si>
  <si>
    <t>syn BTCV6/BTCG7/BTCX6/BTCF7/BTCZ6/BTCH7</t>
  </si>
  <si>
    <t>syn BTCV6/BTCG7/BTCZ6/BTCX6/BTCF7/BTCH7</t>
  </si>
  <si>
    <t>syn BTCV6/BTCG7/BTCZ6/BTCF7/BTCX6/BTCH7</t>
  </si>
  <si>
    <t>syn BTCV6/BTCG7/BTCF7/BTCX6/BTCZ6/BTCH7</t>
  </si>
  <si>
    <t>syn BTCV6/BTCG7/BTCF7/BTCZ6/BTCX6/BTCH7</t>
  </si>
  <si>
    <t>syn BTCX6/BTCV6/BTCZ6/BTCF7/BTCG7/BTCH7</t>
  </si>
  <si>
    <t>syn BTCX6/BTCV6/BTCZ6/BTCG7/BTCF7/BTCH7</t>
  </si>
  <si>
    <t>syn BTCX6/BTCV6/BTCF7/BTCZ6/BTCG7/BTCH7</t>
  </si>
  <si>
    <t>syn BTCX6/BTCV6/BTCF7/BTCG7/BTCZ6/BTCH7</t>
  </si>
  <si>
    <t>syn BTCX6/BTCV6/BTCG7/BTCZ6/BTCF7/BTCH7</t>
  </si>
  <si>
    <t>syn BTCX6/BTCV6/BTCG7/BTCF7/BTCZ6/BTCH7</t>
  </si>
  <si>
    <t>syn BTCX6/BTCZ6/BTCV6/BTCF7/BTCG7/BTCH7</t>
  </si>
  <si>
    <t>syn BTCX6/BTCZ6/BTCV6/BTCG7/BTCF7/BTCH7</t>
  </si>
  <si>
    <t>syn BTCX6/BTCZ6/BTCF7/BTCV6/BTCG7/BTCH7</t>
  </si>
  <si>
    <t>syn BTCX6/BTCZ6/BTCF7/BTCG7/BTCV6/BTCH7</t>
  </si>
  <si>
    <t>syn BTCX6/BTCZ6/BTCG7/BTCV6/BTCF7/BTCH7</t>
  </si>
  <si>
    <t>syn BTCX6/BTCZ6/BTCG7/BTCF7/BTCV6/BTCH7</t>
  </si>
  <si>
    <t>syn BTCX6/BTCF7/BTCV6/BTCZ6/BTCG7/BTCH7</t>
  </si>
  <si>
    <t>syn BTCX6/BTCF7/BTCV6/BTCG7/BTCZ6/BTCH7</t>
  </si>
  <si>
    <t>syn BTCX6/BTCF7/BTCZ6/BTCV6/BTCG7/BTCH7</t>
  </si>
  <si>
    <t>syn BTCX6/BTCF7/BTCZ6/BTCG7/BTCV6/BTCH7</t>
  </si>
  <si>
    <t>syn BTCX6/BTCF7/BTCG7/BTCV6/BTCZ6/BTCH7</t>
  </si>
  <si>
    <t>syn BTCX6/BTCF7/BTCG7/BTCZ6/BTCV6/BTCH7</t>
  </si>
  <si>
    <t>syn BTCX6/BTCG7/BTCV6/BTCZ6/BTCF7/BTCH7</t>
  </si>
  <si>
    <t>syn BTCX6/BTCG7/BTCV6/BTCF7/BTCZ6/BTCH7</t>
  </si>
  <si>
    <t>syn BTCX6/BTCG7/BTCZ6/BTCV6/BTCF7/BTCH7</t>
  </si>
  <si>
    <t>syn BTCX6/BTCG7/BTCZ6/BTCF7/BTCV6/BTCH7</t>
  </si>
  <si>
    <t>syn BTCX6/BTCG7/BTCF7/BTCV6/BTCZ6/BTCH7</t>
  </si>
  <si>
    <t>syn BTCX6/BTCG7/BTCF7/BTCZ6/BTCV6/BTCH7</t>
  </si>
  <si>
    <t>syn BTCZ6/BTCV6/BTCX6/BTCF7/BTCG7/BTCH7</t>
  </si>
  <si>
    <t>syn BTCZ6/BTCV6/BTCX6/BTCG7/BTCF7/BTCH7</t>
  </si>
  <si>
    <t>syn BTCZ6/BTCV6/BTCF7/BTCX6/BTCG7/BTCH7</t>
  </si>
  <si>
    <t>syn BTCZ6/BTCV6/BTCF7/BTCG7/BTCX6/BTCH7</t>
  </si>
  <si>
    <t>syn BTCZ6/BTCV6/BTCG7/BTCX6/BTCF7/BTCH7</t>
  </si>
  <si>
    <t>syn BTCZ6/BTCV6/BTCG7/BTCF7/BTCX6/BTCH7</t>
  </si>
  <si>
    <t>syn BTCZ6/BTCX6/BTCV6/BTCF7/BTCG7/BTCH7</t>
  </si>
  <si>
    <t>syn BTCZ6/BTCX6/BTCV6/BTCG7/BTCF7/BTCH7</t>
  </si>
  <si>
    <t>syn BTCZ6/BTCX6/BTCF7/BTCV6/BTCG7/BTCH7</t>
  </si>
  <si>
    <t>syn BTCZ6/BTCX6/BTCF7/BTCG7/BTCV6/BTCH7</t>
  </si>
  <si>
    <t>syn BTCZ6/BTCX6/BTCG7/BTCV6/BTCF7/BTCH7</t>
  </si>
  <si>
    <t>syn BTCZ6/BTCX6/BTCG7/BTCF7/BTCV6/BTCH7</t>
  </si>
  <si>
    <t>syn BTCZ6/BTCF7/BTCV6/BTCX6/BTCG7/BTCH7</t>
  </si>
  <si>
    <t>syn BTCZ6/BTCF7/BTCV6/BTCG7/BTCX6/BTCH7</t>
  </si>
  <si>
    <t>syn BTCZ6/BTCF7/BTCX6/BTCV6/BTCG7/BTCH7</t>
  </si>
  <si>
    <t>syn BTCZ6/BTCF7/BTCX6/BTCG7/BTCV6/BTCH7</t>
  </si>
  <si>
    <t>syn BTCZ6/BTCF7/BTCG7/BTCV6/BTCX6/BTCH7</t>
  </si>
  <si>
    <t>syn BTCZ6/BTCF7/BTCG7/BTCX6/BTCV6/BTCH7</t>
  </si>
  <si>
    <t>syn BTCZ6/BTCG7/BTCV6/BTCX6/BTCF7/BTCH7</t>
  </si>
  <si>
    <t>syn BTCZ6/BTCG7/BTCV6/BTCF7/BTCX6/BTCH7</t>
  </si>
  <si>
    <t>syn BTCZ6/BTCG7/BTCX6/BTCV6/BTCF7/BTCH7</t>
  </si>
  <si>
    <t>syn BTCZ6/BTCG7/BTCX6/BTCF7/BTCV6/BTCH7</t>
  </si>
  <si>
    <t>syn BTCZ6/BTCG7/BTCF7/BTCV6/BTCX6/BTCH7</t>
  </si>
  <si>
    <t>syn BTCZ6/BTCG7/BTCF7/BTCX6/BTCV6/BTCH7</t>
  </si>
  <si>
    <t>syn BTCF7/BTCV6/BTCX6/BTCZ6/BTCG7/BTCH7</t>
  </si>
  <si>
    <t>syn BTCF7/BTCV6/BTCX6/BTCG7/BTCZ6/BTCH7</t>
  </si>
  <si>
    <t>syn BTCF7/BTCV6/BTCZ6/BTCX6/BTCG7/BTCH7</t>
  </si>
  <si>
    <t>syn BTCF7/BTCV6/BTCZ6/BTCG7/BTCX6/BTCH7</t>
  </si>
  <si>
    <t>syn BTCF7/BTCV6/BTCG7/BTCX6/BTCZ6/BTCH7</t>
  </si>
  <si>
    <t>syn BTCF7/BTCV6/BTCG7/BTCZ6/BTCX6/BTCH7</t>
  </si>
  <si>
    <t>syn BTCF7/BTCX6/BTCV6/BTCZ6/BTCG7/BTCH7</t>
  </si>
  <si>
    <t>syn BTCF7/BTCX6/BTCV6/BTCG7/BTCZ6/BTCH7</t>
  </si>
  <si>
    <t>syn BTCF7/BTCX6/BTCZ6/BTCV6/BTCG7/BTCH7</t>
  </si>
  <si>
    <t>syn BTCF7/BTCX6/BTCZ6/BTCG7/BTCV6/BTCH7</t>
  </si>
  <si>
    <t>syn BTCF7/BTCX6/BTCG7/BTCV6/BTCZ6/BTCH7</t>
  </si>
  <si>
    <t>syn BTCF7/BTCX6/BTCG7/BTCZ6/BTCV6/BTCH7</t>
  </si>
  <si>
    <t>syn BTCF7/BTCZ6/BTCV6/BTCX6/BTCG7/BTCH7</t>
  </si>
  <si>
    <t>syn BTCF7/BTCZ6/BTCV6/BTCG7/BTCX6/BTCH7</t>
  </si>
  <si>
    <t>syn BTCF7/BTCZ6/BTCX6/BTCV6/BTCG7/BTCH7</t>
  </si>
  <si>
    <t>syn BTCF7/BTCZ6/BTCX6/BTCG7/BTCV6/BTCH7</t>
  </si>
  <si>
    <t>syn BTCF7/BTCZ6/BTCG7/BTCV6/BTCX6/BTCH7</t>
  </si>
  <si>
    <t>syn BTCF7/BTCZ6/BTCG7/BTCX6/BTCV6/BTCH7</t>
  </si>
  <si>
    <t>syn BTCF7/BTCG7/BTCV6/BTCX6/BTCZ6/BTCH7</t>
  </si>
  <si>
    <t>syn BTCF7/BTCG7/BTCV6/BTCZ6/BTCX6/BTCH7</t>
  </si>
  <si>
    <t>syn BTCF7/BTCG7/BTCX6/BTCV6/BTCZ6/BTCH7</t>
  </si>
  <si>
    <t>syn BTCF7/BTCG7/BTCX6/BTCZ6/BTCV6/BTCH7</t>
  </si>
  <si>
    <t>syn BTCF7/BTCG7/BTCZ6/BTCV6/BTCX6/BTCH7</t>
  </si>
  <si>
    <t>syn BTCF7/BTCG7/BTCZ6/BTCX6/BTCV6/BTCH7</t>
  </si>
  <si>
    <t>syn BTCG7/BTCV6/BTCX6/BTCZ6/BTCF7/BTCH7</t>
  </si>
  <si>
    <t>syn BTCG7/BTCV6/BTCX6/BTCF7/BTCZ6/BTCH7</t>
  </si>
  <si>
    <t>syn BTCG7/BTCV6/BTCZ6/BTCX6/BTCF7/BTCH7</t>
  </si>
  <si>
    <t>syn BTCG7/BTCV6/BTCZ6/BTCF7/BTCX6/BTCH7</t>
  </si>
  <si>
    <t>syn BTCG7/BTCV6/BTCF7/BTCX6/BTCZ6/BTCH7</t>
  </si>
  <si>
    <t>syn BTCG7/BTCV6/BTCF7/BTCZ6/BTCX6/BTCH7</t>
  </si>
  <si>
    <t>syn BTCG7/BTCX6/BTCV6/BTCZ6/BTCF7/BTCH7</t>
  </si>
  <si>
    <t>syn BTCG7/BTCX6/BTCV6/BTCF7/BTCZ6/BTCH7</t>
  </si>
  <si>
    <t>syn BTCG7/BTCX6/BTCZ6/BTCV6/BTCF7/BTCH7</t>
  </si>
  <si>
    <t>syn BTCG7/BTCX6/BTCZ6/BTCF7/BTCV6/BTCH7</t>
  </si>
  <si>
    <t>syn BTCG7/BTCX6/BTCF7/BTCV6/BTCZ6/BTCH7</t>
  </si>
  <si>
    <t>syn BTCG7/BTCX6/BTCF7/BTCZ6/BTCV6/BTCH7</t>
  </si>
  <si>
    <t>syn BTCG7/BTCZ6/BTCV6/BTCX6/BTCF7/BTCH7</t>
  </si>
  <si>
    <t>syn BTCG7/BTCZ6/BTCV6/BTCF7/BTCX6/BTCH7</t>
  </si>
  <si>
    <t>syn BTCG7/BTCZ6/BTCX6/BTCV6/BTCF7/BTCH7</t>
  </si>
  <si>
    <t>syn BTCG7/BTCZ6/BTCX6/BTCF7/BTCV6/BTCH7</t>
  </si>
  <si>
    <t>syn BTCG7/BTCZ6/BTCF7/BTCV6/BTCX6/BTCH7</t>
  </si>
  <si>
    <t>syn BTCG7/BTCZ6/BTCF7/BTCX6/BTCV6/BTCH7</t>
  </si>
  <si>
    <t>syn BTCG7/BTCF7/BTCV6/BTCX6/BTCZ6/BTCH7</t>
  </si>
  <si>
    <t>syn BTCG7/BTCF7/BTCV6/BTCZ6/BTCX6/BTCH7</t>
  </si>
  <si>
    <t>syn BTCG7/BTCF7/BTCX6/BTCV6/BTCZ6/BTCH7</t>
  </si>
  <si>
    <t>syn BTCG7/BTCF7/BTCX6/BTCZ6/BTCV6/BTCH7</t>
  </si>
  <si>
    <t>syn BTCG7/BTCF7/BTCZ6/BTCV6/BTCX6/BTCH7</t>
  </si>
  <si>
    <t>syn BTCG7/BTCF7/BTCZ6/BTCX6/BTCV6/BTCH7</t>
  </si>
  <si>
    <t>syn ETHH7/ETHV6</t>
  </si>
  <si>
    <t>syn ETHX6/ETHH7/ETHV6</t>
  </si>
  <si>
    <t>syn ETHZ6/ETHH7/ETHV6</t>
  </si>
  <si>
    <t>syn ETHF7/ETHH7/ETHV6</t>
  </si>
  <si>
    <t>syn ETHG7/ETHH7/ETHV6</t>
  </si>
  <si>
    <t>syn ETHH7/ETHX6/ETHV6</t>
  </si>
  <si>
    <t>syn ETHH7/ETHZ6/ETHV6</t>
  </si>
  <si>
    <t>syn ETHH7/ETHF7/ETHV6</t>
  </si>
  <si>
    <t>syn ETHH7/ETHG7/ETHV6</t>
  </si>
  <si>
    <t>syn ETHX6/ETHZ6/ETHH7/ETHV6</t>
  </si>
  <si>
    <t>syn ETHX6/ETHF7/ETHH7/ETHV6</t>
  </si>
  <si>
    <t>syn ETHX6/ETHG7/ETHH7/ETHV6</t>
  </si>
  <si>
    <t>syn ETHX6/ETHH7/ETHZ6/ETHV6</t>
  </si>
  <si>
    <t>syn ETHX6/ETHH7/ETHF7/ETHV6</t>
  </si>
  <si>
    <t>syn ETHX6/ETHH7/ETHG7/ETHV6</t>
  </si>
  <si>
    <t>syn ETHZ6/ETHX6/ETHH7/ETHV6</t>
  </si>
  <si>
    <t>syn ETHZ6/ETHF7/ETHH7/ETHV6</t>
  </si>
  <si>
    <t>syn ETHZ6/ETHG7/ETHH7/ETHV6</t>
  </si>
  <si>
    <t>syn ETHZ6/ETHH7/ETHX6/ETHV6</t>
  </si>
  <si>
    <t>syn ETHZ6/ETHH7/ETHF7/ETHV6</t>
  </si>
  <si>
    <t>syn ETHZ6/ETHH7/ETHG7/ETHV6</t>
  </si>
  <si>
    <t>syn ETHF7/ETHX6/ETHH7/ETHV6</t>
  </si>
  <si>
    <t>syn ETHF7/ETHZ6/ETHH7/ETHV6</t>
  </si>
  <si>
    <t>syn ETHF7/ETHG7/ETHH7/ETHV6</t>
  </si>
  <si>
    <t>syn ETHF7/ETHH7/ETHX6/ETHV6</t>
  </si>
  <si>
    <t>syn ETHF7/ETHH7/ETHZ6/ETHV6</t>
  </si>
  <si>
    <t>syn ETHF7/ETHH7/ETHG7/ETHV6</t>
  </si>
  <si>
    <t>syn ETHG7/ETHX6/ETHH7/ETHV6</t>
  </si>
  <si>
    <t>syn ETHG7/ETHZ6/ETHH7/ETHV6</t>
  </si>
  <si>
    <t>syn ETHG7/ETHF7/ETHH7/ETHV6</t>
  </si>
  <si>
    <t>syn ETHG7/ETHH7/ETHX6/ETHV6</t>
  </si>
  <si>
    <t>syn ETHG7/ETHH7/ETHZ6/ETHV6</t>
  </si>
  <si>
    <t>syn ETHG7/ETHH7/ETHF7/ETHV6</t>
  </si>
  <si>
    <t>syn ETHH7/ETHX6/ETHZ6/ETHV6</t>
  </si>
  <si>
    <t>syn ETHH7/ETHX6/ETHF7/ETHV6</t>
  </si>
  <si>
    <t>syn ETHH7/ETHX6/ETHG7/ETHV6</t>
  </si>
  <si>
    <t>syn ETHH7/ETHZ6/ETHX6/ETHV6</t>
  </si>
  <si>
    <t>syn ETHH7/ETHZ6/ETHF7/ETHV6</t>
  </si>
  <si>
    <t>syn ETHH7/ETHZ6/ETHG7/ETHV6</t>
  </si>
  <si>
    <t>syn ETHH7/ETHF7/ETHX6/ETHV6</t>
  </si>
  <si>
    <t>syn ETHH7/ETHF7/ETHZ6/ETHV6</t>
  </si>
  <si>
    <t>syn ETHH7/ETHF7/ETHG7/ETHV6</t>
  </si>
  <si>
    <t>syn ETHH7/ETHG7/ETHX6/ETHV6</t>
  </si>
  <si>
    <t>syn ETHH7/ETHG7/ETHZ6/ETHV6</t>
  </si>
  <si>
    <t>syn ETHH7/ETHG7/ETHF7/ETHV6</t>
  </si>
  <si>
    <t>syn ETHX6/ETHZ6/ETHF7/ETHH7/ETHV6</t>
  </si>
  <si>
    <t>syn ETHX6/ETHZ6/ETHG7/ETHH7/ETHV6</t>
  </si>
  <si>
    <t>syn ETHX6/ETHZ6/ETHH7/ETHF7/ETHV6</t>
  </si>
  <si>
    <t>syn ETHX6/ETHZ6/ETHH7/ETHG7/ETHV6</t>
  </si>
  <si>
    <t>syn ETHX6/ETHF7/ETHZ6/ETHH7/ETHV6</t>
  </si>
  <si>
    <t>syn ETHX6/ETHF7/ETHG7/ETHH7/ETHV6</t>
  </si>
  <si>
    <t>syn ETHX6/ETHF7/ETHH7/ETHZ6/ETHV6</t>
  </si>
  <si>
    <t>syn ETHX6/ETHF7/ETHH7/ETHG7/ETHV6</t>
  </si>
  <si>
    <t>syn ETHX6/ETHG7/ETHZ6/ETHH7/ETHV6</t>
  </si>
  <si>
    <t>syn ETHX6/ETHG7/ETHF7/ETHH7/ETHV6</t>
  </si>
  <si>
    <t>syn ETHX6/ETHG7/ETHH7/ETHZ6/ETHV6</t>
  </si>
  <si>
    <t>syn ETHX6/ETHG7/ETHH7/ETHF7/ETHV6</t>
  </si>
  <si>
    <t>syn ETHX6/ETHH7/ETHZ6/ETHF7/ETHV6</t>
  </si>
  <si>
    <t>syn ETHX6/ETHH7/ETHZ6/ETHG7/ETHV6</t>
  </si>
  <si>
    <t>syn ETHX6/ETHH7/ETHF7/ETHZ6/ETHV6</t>
  </si>
  <si>
    <t>syn ETHX6/ETHH7/ETHF7/ETHG7/ETHV6</t>
  </si>
  <si>
    <t>syn ETHX6/ETHH7/ETHG7/ETHZ6/ETHV6</t>
  </si>
  <si>
    <t>syn ETHX6/ETHH7/ETHG7/ETHF7/ETHV6</t>
  </si>
  <si>
    <t>syn ETHZ6/ETHX6/ETHF7/ETHH7/ETHV6</t>
  </si>
  <si>
    <t>syn ETHZ6/ETHX6/ETHG7/ETHH7/ETHV6</t>
  </si>
  <si>
    <t>syn ETHZ6/ETHX6/ETHH7/ETHF7/ETHV6</t>
  </si>
  <si>
    <t>syn ETHZ6/ETHX6/ETHH7/ETHG7/ETHV6</t>
  </si>
  <si>
    <t>syn ETHZ6/ETHF7/ETHX6/ETHH7/ETHV6</t>
  </si>
  <si>
    <t>syn ETHZ6/ETHF7/ETHG7/ETHH7/ETHV6</t>
  </si>
  <si>
    <t>syn ETHZ6/ETHF7/ETHH7/ETHX6/ETHV6</t>
  </si>
  <si>
    <t>syn ETHZ6/ETHF7/ETHH7/ETHG7/ETHV6</t>
  </si>
  <si>
    <t>syn ETHZ6/ETHG7/ETHX6/ETHH7/ETHV6</t>
  </si>
  <si>
    <t>syn ETHZ6/ETHG7/ETHF7/ETHH7/ETHV6</t>
  </si>
  <si>
    <t>syn ETHZ6/ETHG7/ETHH7/ETHX6/ETHV6</t>
  </si>
  <si>
    <t>syn ETHZ6/ETHG7/ETHH7/ETHF7/ETHV6</t>
  </si>
  <si>
    <t>syn ETHZ6/ETHH7/ETHX6/ETHF7/ETHV6</t>
  </si>
  <si>
    <t>syn ETHZ6/ETHH7/ETHX6/ETHG7/ETHV6</t>
  </si>
  <si>
    <t>syn ETHZ6/ETHH7/ETHF7/ETHX6/ETHV6</t>
  </si>
  <si>
    <t>syn ETHZ6/ETHH7/ETHF7/ETHG7/ETHV6</t>
  </si>
  <si>
    <t>syn ETHZ6/ETHH7/ETHG7/ETHX6/ETHV6</t>
  </si>
  <si>
    <t>syn ETHZ6/ETHH7/ETHG7/ETHF7/ETHV6</t>
  </si>
  <si>
    <t>syn ETHF7/ETHX6/ETHZ6/ETHH7/ETHV6</t>
  </si>
  <si>
    <t>syn ETHF7/ETHX6/ETHG7/ETHH7/ETHV6</t>
  </si>
  <si>
    <t>syn ETHF7/ETHX6/ETHH7/ETHZ6/ETHV6</t>
  </si>
  <si>
    <t>syn ETHF7/ETHX6/ETHH7/ETHG7/ETHV6</t>
  </si>
  <si>
    <t>syn ETHF7/ETHZ6/ETHX6/ETHH7/ETHV6</t>
  </si>
  <si>
    <t>syn ETHF7/ETHZ6/ETHG7/ETHH7/ETHV6</t>
  </si>
  <si>
    <t>syn ETHF7/ETHZ6/ETHH7/ETHX6/ETHV6</t>
  </si>
  <si>
    <t>syn ETHF7/ETHZ6/ETHH7/ETHG7/ETHV6</t>
  </si>
  <si>
    <t>syn ETHF7/ETHG7/ETHX6/ETHH7/ETHV6</t>
  </si>
  <si>
    <t>syn ETHF7/ETHG7/ETHZ6/ETHH7/ETHV6</t>
  </si>
  <si>
    <t>syn ETHF7/ETHG7/ETHH7/ETHX6/ETHV6</t>
  </si>
  <si>
    <t>syn ETHF7/ETHG7/ETHH7/ETHZ6/ETHV6</t>
  </si>
  <si>
    <t>syn ETHF7/ETHH7/ETHX6/ETHZ6/ETHV6</t>
  </si>
  <si>
    <t>syn ETHF7/ETHH7/ETHX6/ETHG7/ETHV6</t>
  </si>
  <si>
    <t>syn ETHF7/ETHH7/ETHZ6/ETHX6/ETHV6</t>
  </si>
  <si>
    <t>syn ETHF7/ETHH7/ETHZ6/ETHG7/ETHV6</t>
  </si>
  <si>
    <t>syn ETHF7/ETHH7/ETHG7/ETHX6/ETHV6</t>
  </si>
  <si>
    <t>syn ETHF7/ETHH7/ETHG7/ETHZ6/ETHV6</t>
  </si>
  <si>
    <t>syn ETHG7/ETHX6/ETHZ6/ETHH7/ETHV6</t>
  </si>
  <si>
    <t>syn ETHG7/ETHX6/ETHF7/ETHH7/ETHV6</t>
  </si>
  <si>
    <t>syn ETHG7/ETHX6/ETHH7/ETHZ6/ETHV6</t>
  </si>
  <si>
    <t>syn ETHG7/ETHX6/ETHH7/ETHF7/ETHV6</t>
  </si>
  <si>
    <t>syn ETHG7/ETHZ6/ETHX6/ETHH7/ETHV6</t>
  </si>
  <si>
    <t>syn ETHG7/ETHZ6/ETHF7/ETHH7/ETHV6</t>
  </si>
  <si>
    <t>syn ETHG7/ETHZ6/ETHH7/ETHX6/ETHV6</t>
  </si>
  <si>
    <t>syn ETHG7/ETHZ6/ETHH7/ETHF7/ETHV6</t>
  </si>
  <si>
    <t>syn ETHG7/ETHF7/ETHX6/ETHH7/ETHV6</t>
  </si>
  <si>
    <t>syn ETHG7/ETHF7/ETHZ6/ETHH7/ETHV6</t>
  </si>
  <si>
    <t>syn ETHG7/ETHF7/ETHH7/ETHX6/ETHV6</t>
  </si>
  <si>
    <t>syn ETHG7/ETHF7/ETHH7/ETHZ6/ETHV6</t>
  </si>
  <si>
    <t>syn ETHG7/ETHH7/ETHX6/ETHZ6/ETHV6</t>
  </si>
  <si>
    <t>syn ETHG7/ETHH7/ETHX6/ETHF7/ETHV6</t>
  </si>
  <si>
    <t>syn ETHG7/ETHH7/ETHZ6/ETHX6/ETHV6</t>
  </si>
  <si>
    <t>syn ETHG7/ETHH7/ETHZ6/ETHF7/ETHV6</t>
  </si>
  <si>
    <t>syn ETHG7/ETHH7/ETHF7/ETHX6/ETHV6</t>
  </si>
  <si>
    <t>syn ETHG7/ETHH7/ETHF7/ETHZ6/ETHV6</t>
  </si>
  <si>
    <t>syn ETHH7/ETHX6/ETHZ6/ETHF7/ETHV6</t>
  </si>
  <si>
    <t>syn ETHH7/ETHX6/ETHZ6/ETHG7/ETHV6</t>
  </si>
  <si>
    <t>syn ETHH7/ETHX6/ETHF7/ETHZ6/ETHV6</t>
  </si>
  <si>
    <t>syn ETHH7/ETHX6/ETHF7/ETHG7/ETHV6</t>
  </si>
  <si>
    <t>syn ETHH7/ETHX6/ETHG7/ETHZ6/ETHV6</t>
  </si>
  <si>
    <t>syn ETHH7/ETHX6/ETHG7/ETHF7/ETHV6</t>
  </si>
  <si>
    <t>syn ETHH7/ETHZ6/ETHX6/ETHF7/ETHV6</t>
  </si>
  <si>
    <t>syn ETHH7/ETHZ6/ETHX6/ETHG7/ETHV6</t>
  </si>
  <si>
    <t>syn ETHH7/ETHZ6/ETHF7/ETHX6/ETHV6</t>
  </si>
  <si>
    <t>syn ETHH7/ETHZ6/ETHF7/ETHG7/ETHV6</t>
  </si>
  <si>
    <t>syn ETHH7/ETHZ6/ETHG7/ETHX6/ETHV6</t>
  </si>
  <si>
    <t>syn ETHH7/ETHZ6/ETHG7/ETHF7/ETHV6</t>
  </si>
  <si>
    <t>syn ETHH7/ETHF7/ETHX6/ETHZ6/ETHV6</t>
  </si>
  <si>
    <t>syn ETHH7/ETHF7/ETHX6/ETHG7/ETHV6</t>
  </si>
  <si>
    <t>syn ETHH7/ETHF7/ETHZ6/ETHX6/ETHV6</t>
  </si>
  <si>
    <t>syn ETHH7/ETHF7/ETHZ6/ETHG7/ETHV6</t>
  </si>
  <si>
    <t>syn ETHH7/ETHF7/ETHG7/ETHX6/ETHV6</t>
  </si>
  <si>
    <t>syn ETHH7/ETHF7/ETHG7/ETHZ6/ETHV6</t>
  </si>
  <si>
    <t>syn ETHH7/ETHG7/ETHX6/ETHZ6/ETHV6</t>
  </si>
  <si>
    <t>syn ETHH7/ETHG7/ETHX6/ETHF7/ETHV6</t>
  </si>
  <si>
    <t>syn ETHH7/ETHG7/ETHZ6/ETHX6/ETHV6</t>
  </si>
  <si>
    <t>syn ETHH7/ETHG7/ETHZ6/ETHF7/ETHV6</t>
  </si>
  <si>
    <t>syn ETHH7/ETHG7/ETHF7/ETHX6/ETHV6</t>
  </si>
  <si>
    <t>syn ETHH7/ETHG7/ETHF7/ETHZ6/ETHV6</t>
  </si>
  <si>
    <t>syn ETHX6/ETHZ6/ETHF7/ETHG7/ETHH7/ETHV6</t>
  </si>
  <si>
    <t>syn ETHX6/ETHZ6/ETHF7/ETHH7/ETHG7/ETHV6</t>
  </si>
  <si>
    <t>syn ETHX6/ETHZ6/ETHG7/ETHF7/ETHH7/ETHV6</t>
  </si>
  <si>
    <t>syn ETHX6/ETHZ6/ETHG7/ETHH7/ETHF7/ETHV6</t>
  </si>
  <si>
    <t>syn ETHX6/ETHZ6/ETHH7/ETHF7/ETHG7/ETHV6</t>
  </si>
  <si>
    <t>syn ETHX6/ETHZ6/ETHH7/ETHG7/ETHF7/ETHV6</t>
  </si>
  <si>
    <t>syn ETHX6/ETHF7/ETHZ6/ETHG7/ETHH7/ETHV6</t>
  </si>
  <si>
    <t>syn ETHX6/ETHF7/ETHZ6/ETHH7/ETHG7/ETHV6</t>
  </si>
  <si>
    <t>syn ETHX6/ETHF7/ETHG7/ETHZ6/ETHH7/ETHV6</t>
  </si>
  <si>
    <t>syn ETHX6/ETHF7/ETHG7/ETHH7/ETHZ6/ETHV6</t>
  </si>
  <si>
    <t>syn ETHX6/ETHF7/ETHH7/ETHZ6/ETHG7/ETHV6</t>
  </si>
  <si>
    <t>syn ETHX6/ETHF7/ETHH7/ETHG7/ETHZ6/ETHV6</t>
  </si>
  <si>
    <t>syn ETHX6/ETHG7/ETHZ6/ETHF7/ETHH7/ETHV6</t>
  </si>
  <si>
    <t>syn ETHX6/ETHG7/ETHZ6/ETHH7/ETHF7/ETHV6</t>
  </si>
  <si>
    <t>syn ETHX6/ETHG7/ETHF7/ETHZ6/ETHH7/ETHV6</t>
  </si>
  <si>
    <t>syn ETHX6/ETHG7/ETHF7/ETHH7/ETHZ6/ETHV6</t>
  </si>
  <si>
    <t>syn ETHX6/ETHG7/ETHH7/ETHZ6/ETHF7/ETHV6</t>
  </si>
  <si>
    <t>syn ETHX6/ETHG7/ETHH7/ETHF7/ETHZ6/ETHV6</t>
  </si>
  <si>
    <t>syn ETHX6/ETHH7/ETHZ6/ETHF7/ETHG7/ETHV6</t>
  </si>
  <si>
    <t>syn ETHX6/ETHH7/ETHZ6/ETHG7/ETHF7/ETHV6</t>
  </si>
  <si>
    <t>syn ETHX6/ETHH7/ETHF7/ETHZ6/ETHG7/ETHV6</t>
  </si>
  <si>
    <t>syn ETHX6/ETHH7/ETHF7/ETHG7/ETHZ6/ETHV6</t>
  </si>
  <si>
    <t>syn ETHX6/ETHH7/ETHG7/ETHZ6/ETHF7/ETHV6</t>
  </si>
  <si>
    <t>syn ETHX6/ETHH7/ETHG7/ETHF7/ETHZ6/ETHV6</t>
  </si>
  <si>
    <t>syn ETHZ6/ETHX6/ETHF7/ETHG7/ETHH7/ETHV6</t>
  </si>
  <si>
    <t>syn ETHZ6/ETHX6/ETHF7/ETHH7/ETHG7/ETHV6</t>
  </si>
  <si>
    <t>syn ETHZ6/ETHX6/ETHG7/ETHF7/ETHH7/ETHV6</t>
  </si>
  <si>
    <t>syn ETHZ6/ETHX6/ETHG7/ETHH7/ETHF7/ETHV6</t>
  </si>
  <si>
    <t>syn ETHZ6/ETHX6/ETHH7/ETHF7/ETHG7/ETHV6</t>
  </si>
  <si>
    <t>syn ETHZ6/ETHX6/ETHH7/ETHG7/ETHF7/ETHV6</t>
  </si>
  <si>
    <t>syn ETHZ6/ETHF7/ETHX6/ETHG7/ETHH7/ETHV6</t>
  </si>
  <si>
    <t>syn ETHZ6/ETHF7/ETHX6/ETHH7/ETHG7/ETHV6</t>
  </si>
  <si>
    <t>syn ETHZ6/ETHF7/ETHG7/ETHX6/ETHH7/ETHV6</t>
  </si>
  <si>
    <t>syn ETHZ6/ETHF7/ETHG7/ETHH7/ETHX6/ETHV6</t>
  </si>
  <si>
    <t>syn ETHZ6/ETHF7/ETHH7/ETHX6/ETHG7/ETHV6</t>
  </si>
  <si>
    <t>syn ETHZ6/ETHF7/ETHH7/ETHG7/ETHX6/ETHV6</t>
  </si>
  <si>
    <t>syn ETHZ6/ETHG7/ETHX6/ETHF7/ETHH7/ETHV6</t>
  </si>
  <si>
    <t>syn ETHZ6/ETHG7/ETHX6/ETHH7/ETHF7/ETHV6</t>
  </si>
  <si>
    <t>syn ETHZ6/ETHG7/ETHF7/ETHX6/ETHH7/ETHV6</t>
  </si>
  <si>
    <t>syn ETHZ6/ETHG7/ETHF7/ETHH7/ETHX6/ETHV6</t>
  </si>
  <si>
    <t>syn ETHZ6/ETHG7/ETHH7/ETHX6/ETHF7/ETHV6</t>
  </si>
  <si>
    <t>syn ETHZ6/ETHG7/ETHH7/ETHF7/ETHX6/ETHV6</t>
  </si>
  <si>
    <t>syn ETHZ6/ETHH7/ETHX6/ETHF7/ETHG7/ETHV6</t>
  </si>
  <si>
    <t>syn ETHZ6/ETHH7/ETHX6/ETHG7/ETHF7/ETHV6</t>
  </si>
  <si>
    <t>syn ETHZ6/ETHH7/ETHF7/ETHX6/ETHG7/ETHV6</t>
  </si>
  <si>
    <t>syn ETHZ6/ETHH7/ETHF7/ETHG7/ETHX6/ETHV6</t>
  </si>
  <si>
    <t>syn ETHZ6/ETHH7/ETHG7/ETHX6/ETHF7/ETHV6</t>
  </si>
  <si>
    <t>syn ETHZ6/ETHH7/ETHG7/ETHF7/ETHX6/ETHV6</t>
  </si>
  <si>
    <t>syn ETHF7/ETHX6/ETHZ6/ETHG7/ETHH7/ETHV6</t>
  </si>
  <si>
    <t>syn ETHF7/ETHX6/ETHZ6/ETHH7/ETHG7/ETHV6</t>
  </si>
  <si>
    <t>syn ETHF7/ETHX6/ETHG7/ETHZ6/ETHH7/ETHV6</t>
  </si>
  <si>
    <t>syn ETHF7/ETHX6/ETHG7/ETHH7/ETHZ6/ETHV6</t>
  </si>
  <si>
    <t>syn ETHF7/ETHX6/ETHH7/ETHZ6/ETHG7/ETHV6</t>
  </si>
  <si>
    <t>syn ETHF7/ETHX6/ETHH7/ETHG7/ETHZ6/ETHV6</t>
  </si>
  <si>
    <t>syn ETHF7/ETHZ6/ETHX6/ETHG7/ETHH7/ETHV6</t>
  </si>
  <si>
    <t>syn ETHF7/ETHZ6/ETHX6/ETHH7/ETHG7/ETHV6</t>
  </si>
  <si>
    <t>syn ETHF7/ETHZ6/ETHG7/ETHX6/ETHH7/ETHV6</t>
  </si>
  <si>
    <t>syn ETHF7/ETHZ6/ETHG7/ETHH7/ETHX6/ETHV6</t>
  </si>
  <si>
    <t>syn ETHF7/ETHZ6/ETHH7/ETHX6/ETHG7/ETHV6</t>
  </si>
  <si>
    <t>syn ETHF7/ETHZ6/ETHH7/ETHG7/ETHX6/ETHV6</t>
  </si>
  <si>
    <t>syn ETHF7/ETHG7/ETHX6/ETHZ6/ETHH7/ETHV6</t>
  </si>
  <si>
    <t>syn ETHF7/ETHG7/ETHX6/ETHH7/ETHZ6/ETHV6</t>
  </si>
  <si>
    <t>syn ETHF7/ETHG7/ETHZ6/ETHX6/ETHH7/ETHV6</t>
  </si>
  <si>
    <t>syn ETHF7/ETHG7/ETHZ6/ETHH7/ETHX6/ETHV6</t>
  </si>
  <si>
    <t>syn ETHF7/ETHG7/ETHH7/ETHX6/ETHZ6/ETHV6</t>
  </si>
  <si>
    <t>syn ETHF7/ETHG7/ETHH7/ETHZ6/ETHX6/ETHV6</t>
  </si>
  <si>
    <t>syn ETHF7/ETHH7/ETHX6/ETHZ6/ETHG7/ETHV6</t>
  </si>
  <si>
    <t>syn ETHF7/ETHH7/ETHX6/ETHG7/ETHZ6/ETHV6</t>
  </si>
  <si>
    <t>syn ETHF7/ETHH7/ETHZ6/ETHX6/ETHG7/ETHV6</t>
  </si>
  <si>
    <t>syn ETHF7/ETHH7/ETHZ6/ETHG7/ETHX6/ETHV6</t>
  </si>
  <si>
    <t>syn ETHF7/ETHH7/ETHG7/ETHX6/ETHZ6/ETHV6</t>
  </si>
  <si>
    <t>syn ETHF7/ETHH7/ETHG7/ETHZ6/ETHX6/ETHV6</t>
  </si>
  <si>
    <t>syn ETHG7/ETHX6/ETHZ6/ETHF7/ETHH7/ETHV6</t>
  </si>
  <si>
    <t>syn ETHG7/ETHX6/ETHZ6/ETHH7/ETHF7/ETHV6</t>
  </si>
  <si>
    <t>syn ETHG7/ETHX6/ETHF7/ETHZ6/ETHH7/ETHV6</t>
  </si>
  <si>
    <t>syn ETHG7/ETHX6/ETHF7/ETHH7/ETHZ6/ETHV6</t>
  </si>
  <si>
    <t>syn ETHG7/ETHX6/ETHH7/ETHZ6/ETHF7/ETHV6</t>
  </si>
  <si>
    <t>syn ETHG7/ETHX6/ETHH7/ETHF7/ETHZ6/ETHV6</t>
  </si>
  <si>
    <t>syn ETHG7/ETHZ6/ETHX6/ETHF7/ETHH7/ETHV6</t>
  </si>
  <si>
    <t>syn ETHG7/ETHZ6/ETHX6/ETHH7/ETHF7/ETHV6</t>
  </si>
  <si>
    <t>syn ETHG7/ETHZ6/ETHF7/ETHX6/ETHH7/ETHV6</t>
  </si>
  <si>
    <t>syn ETHG7/ETHZ6/ETHF7/ETHH7/ETHX6/ETHV6</t>
  </si>
  <si>
    <t>syn ETHG7/ETHZ6/ETHH7/ETHX6/ETHF7/ETHV6</t>
  </si>
  <si>
    <t>syn ETHG7/ETHZ6/ETHH7/ETHF7/ETHX6/ETHV6</t>
  </si>
  <si>
    <t>syn ETHG7/ETHF7/ETHX6/ETHZ6/ETHH7/ETHV6</t>
  </si>
  <si>
    <t>syn ETHG7/ETHF7/ETHX6/ETHH7/ETHZ6/ETHV6</t>
  </si>
  <si>
    <t>syn ETHG7/ETHF7/ETHZ6/ETHX6/ETHH7/ETHV6</t>
  </si>
  <si>
    <t>syn ETHG7/ETHF7/ETHZ6/ETHH7/ETHX6/ETHV6</t>
  </si>
  <si>
    <t>syn ETHG7/ETHF7/ETHH7/ETHX6/ETHZ6/ETHV6</t>
  </si>
  <si>
    <t>syn ETHG7/ETHF7/ETHH7/ETHZ6/ETHX6/ETHV6</t>
  </si>
  <si>
    <t>syn ETHG7/ETHH7/ETHX6/ETHZ6/ETHF7/ETHV6</t>
  </si>
  <si>
    <t>syn ETHG7/ETHH7/ETHX6/ETHF7/ETHZ6/ETHV6</t>
  </si>
  <si>
    <t>syn ETHG7/ETHH7/ETHZ6/ETHX6/ETHF7/ETHV6</t>
  </si>
  <si>
    <t>syn ETHG7/ETHH7/ETHZ6/ETHF7/ETHX6/ETHV6</t>
  </si>
  <si>
    <t>syn ETHG7/ETHH7/ETHF7/ETHX6/ETHZ6/ETHV6</t>
  </si>
  <si>
    <t>syn ETHG7/ETHH7/ETHF7/ETHZ6/ETHX6/ETHV6</t>
  </si>
  <si>
    <t>syn ETHH7/ETHX6/ETHZ6/ETHF7/ETHG7/ETHV6</t>
  </si>
  <si>
    <t>syn ETHH7/ETHX6/ETHZ6/ETHG7/ETHF7/ETHV6</t>
  </si>
  <si>
    <t>syn ETHH7/ETHX6/ETHF7/ETHZ6/ETHG7/ETHV6</t>
  </si>
  <si>
    <t>syn ETHH7/ETHX6/ETHF7/ETHG7/ETHZ6/ETHV6</t>
  </si>
  <si>
    <t>syn ETHH7/ETHX6/ETHG7/ETHZ6/ETHF7/ETHV6</t>
  </si>
  <si>
    <t>syn ETHH7/ETHX6/ETHG7/ETHF7/ETHZ6/ETHV6</t>
  </si>
  <si>
    <t>syn ETHH7/ETHZ6/ETHX6/ETHF7/ETHG7/ETHV6</t>
  </si>
  <si>
    <t>syn ETHH7/ETHZ6/ETHX6/ETHG7/ETHF7/ETHV6</t>
  </si>
  <si>
    <t>syn ETHH7/ETHZ6/ETHF7/ETHX6/ETHG7/ETHV6</t>
  </si>
  <si>
    <t>syn ETHH7/ETHZ6/ETHF7/ETHG7/ETHX6/ETHV6</t>
  </si>
  <si>
    <t>syn ETHH7/ETHZ6/ETHG7/ETHX6/ETHF7/ETHV6</t>
  </si>
  <si>
    <t>syn ETHH7/ETHZ6/ETHG7/ETHF7/ETHX6/ETHV6</t>
  </si>
  <si>
    <t>syn ETHH7/ETHF7/ETHX6/ETHZ6/ETHG7/ETHV6</t>
  </si>
  <si>
    <t>syn ETHH7/ETHF7/ETHX6/ETHG7/ETHZ6/ETHV6</t>
  </si>
  <si>
    <t>syn ETHH7/ETHF7/ETHZ6/ETHX6/ETHG7/ETHV6</t>
  </si>
  <si>
    <t>syn ETHH7/ETHF7/ETHZ6/ETHG7/ETHX6/ETHV6</t>
  </si>
  <si>
    <t>syn ETHH7/ETHF7/ETHG7/ETHX6/ETHZ6/ETHV6</t>
  </si>
  <si>
    <t>syn ETHH7/ETHF7/ETHG7/ETHZ6/ETHX6/ETHV6</t>
  </si>
  <si>
    <t>syn ETHH7/ETHG7/ETHX6/ETHZ6/ETHF7/ETHV6</t>
  </si>
  <si>
    <t>syn ETHH7/ETHG7/ETHX6/ETHF7/ETHZ6/ETHV6</t>
  </si>
  <si>
    <t>syn ETHH7/ETHG7/ETHZ6/ETHX6/ETHF7/ETHV6</t>
  </si>
  <si>
    <t>syn ETHH7/ETHG7/ETHZ6/ETHF7/ETHX6/ETHV6</t>
  </si>
  <si>
    <t>syn ETHH7/ETHG7/ETHF7/ETHX6/ETHZ6/ETHV6</t>
  </si>
  <si>
    <t>syn ETHH7/ETHG7/ETHF7/ETHZ6/ETHX6/ETHV6</t>
  </si>
  <si>
    <t>syn ETHH7/ETHX6</t>
  </si>
  <si>
    <t>syn ETHV6/ETHH7/ETHX6</t>
  </si>
  <si>
    <t>syn ETHZ6/ETHH7/ETHX6</t>
  </si>
  <si>
    <t>syn ETHF7/ETHH7/ETHX6</t>
  </si>
  <si>
    <t>syn ETHG7/ETHH7/ETHX6</t>
  </si>
  <si>
    <t>syn ETHH7/ETHV6/ETHX6</t>
  </si>
  <si>
    <t>syn ETHH7/ETHZ6/ETHX6</t>
  </si>
  <si>
    <t>syn ETHH7/ETHF7/ETHX6</t>
  </si>
  <si>
    <t>syn ETHH7/ETHG7/ETHX6</t>
  </si>
  <si>
    <t>syn ETHV6/ETHZ6/ETHH7/ETHX6</t>
  </si>
  <si>
    <t>syn ETHV6/ETHF7/ETHH7/ETHX6</t>
  </si>
  <si>
    <t>syn ETHV6/ETHG7/ETHH7/ETHX6</t>
  </si>
  <si>
    <t>syn ETHV6/ETHH7/ETHZ6/ETHX6</t>
  </si>
  <si>
    <t>syn ETHV6/ETHH7/ETHF7/ETHX6</t>
  </si>
  <si>
    <t>syn ETHV6/ETHH7/ETHG7/ETHX6</t>
  </si>
  <si>
    <t>syn ETHZ6/ETHV6/ETHH7/ETHX6</t>
  </si>
  <si>
    <t>syn ETHZ6/ETHF7/ETHH7/ETHX6</t>
  </si>
  <si>
    <t>syn ETHZ6/ETHG7/ETHH7/ETHX6</t>
  </si>
  <si>
    <t>syn ETHZ6/ETHH7/ETHV6/ETHX6</t>
  </si>
  <si>
    <t>syn ETHZ6/ETHH7/ETHF7/ETHX6</t>
  </si>
  <si>
    <t>syn ETHZ6/ETHH7/ETHG7/ETHX6</t>
  </si>
  <si>
    <t>syn ETHF7/ETHV6/ETHH7/ETHX6</t>
  </si>
  <si>
    <t>syn ETHF7/ETHZ6/ETHH7/ETHX6</t>
  </si>
  <si>
    <t>syn ETHF7/ETHG7/ETHH7/ETHX6</t>
  </si>
  <si>
    <t>syn ETHF7/ETHH7/ETHV6/ETHX6</t>
  </si>
  <si>
    <t>syn ETHF7/ETHH7/ETHZ6/ETHX6</t>
  </si>
  <si>
    <t>syn ETHF7/ETHH7/ETHG7/ETHX6</t>
  </si>
  <si>
    <t>syn ETHG7/ETHV6/ETHH7/ETHX6</t>
  </si>
  <si>
    <t>syn ETHG7/ETHZ6/ETHH7/ETHX6</t>
  </si>
  <si>
    <t>syn ETHG7/ETHF7/ETHH7/ETHX6</t>
  </si>
  <si>
    <t>syn ETHG7/ETHH7/ETHV6/ETHX6</t>
  </si>
  <si>
    <t>syn ETHG7/ETHH7/ETHZ6/ETHX6</t>
  </si>
  <si>
    <t>syn ETHG7/ETHH7/ETHF7/ETHX6</t>
  </si>
  <si>
    <t>syn ETHH7/ETHV6/ETHZ6/ETHX6</t>
  </si>
  <si>
    <t>syn ETHH7/ETHV6/ETHF7/ETHX6</t>
  </si>
  <si>
    <t>syn ETHH7/ETHV6/ETHG7/ETHX6</t>
  </si>
  <si>
    <t>syn ETHH7/ETHZ6/ETHV6/ETHX6</t>
  </si>
  <si>
    <t>syn ETHH7/ETHZ6/ETHF7/ETHX6</t>
  </si>
  <si>
    <t>syn ETHH7/ETHZ6/ETHG7/ETHX6</t>
  </si>
  <si>
    <t>syn ETHH7/ETHF7/ETHV6/ETHX6</t>
  </si>
  <si>
    <t>syn ETHH7/ETHF7/ETHZ6/ETHX6</t>
  </si>
  <si>
    <t>syn ETHH7/ETHF7/ETHG7/ETHX6</t>
  </si>
  <si>
    <t>syn ETHH7/ETHG7/ETHV6/ETHX6</t>
  </si>
  <si>
    <t>syn ETHH7/ETHG7/ETHZ6/ETHX6</t>
  </si>
  <si>
    <t>syn ETHH7/ETHG7/ETHF7/ETHX6</t>
  </si>
  <si>
    <t>syn ETHV6/ETHZ6/ETHF7/ETHH7/ETHX6</t>
  </si>
  <si>
    <t>syn ETHV6/ETHZ6/ETHG7/ETHH7/ETHX6</t>
  </si>
  <si>
    <t>syn ETHV6/ETHZ6/ETHH7/ETHF7/ETHX6</t>
  </si>
  <si>
    <t>syn ETHV6/ETHZ6/ETHH7/ETHG7/ETHX6</t>
  </si>
  <si>
    <t>syn ETHV6/ETHF7/ETHZ6/ETHH7/ETHX6</t>
  </si>
  <si>
    <t>syn ETHV6/ETHF7/ETHG7/ETHH7/ETHX6</t>
  </si>
  <si>
    <t>syn ETHV6/ETHF7/ETHH7/ETHZ6/ETHX6</t>
  </si>
  <si>
    <t>syn ETHV6/ETHF7/ETHH7/ETHG7/ETHX6</t>
  </si>
  <si>
    <t>syn ETHV6/ETHG7/ETHZ6/ETHH7/ETHX6</t>
  </si>
  <si>
    <t>syn ETHV6/ETHG7/ETHF7/ETHH7/ETHX6</t>
  </si>
  <si>
    <t>syn ETHV6/ETHG7/ETHH7/ETHZ6/ETHX6</t>
  </si>
  <si>
    <t>syn ETHV6/ETHG7/ETHH7/ETHF7/ETHX6</t>
  </si>
  <si>
    <t>syn ETHV6/ETHH7/ETHZ6/ETHF7/ETHX6</t>
  </si>
  <si>
    <t>syn ETHV6/ETHH7/ETHZ6/ETHG7/ETHX6</t>
  </si>
  <si>
    <t>syn ETHV6/ETHH7/ETHF7/ETHZ6/ETHX6</t>
  </si>
  <si>
    <t>syn ETHV6/ETHH7/ETHF7/ETHG7/ETHX6</t>
  </si>
  <si>
    <t>syn ETHV6/ETHH7/ETHG7/ETHZ6/ETHX6</t>
  </si>
  <si>
    <t>syn ETHV6/ETHH7/ETHG7/ETHF7/ETHX6</t>
  </si>
  <si>
    <t>syn ETHZ6/ETHV6/ETHF7/ETHH7/ETHX6</t>
  </si>
  <si>
    <t>syn ETHZ6/ETHV6/ETHG7/ETHH7/ETHX6</t>
  </si>
  <si>
    <t>syn ETHZ6/ETHV6/ETHH7/ETHF7/ETHX6</t>
  </si>
  <si>
    <t>syn ETHZ6/ETHV6/ETHH7/ETHG7/ETHX6</t>
  </si>
  <si>
    <t>syn ETHZ6/ETHF7/ETHV6/ETHH7/ETHX6</t>
  </si>
  <si>
    <t>syn ETHZ6/ETHF7/ETHG7/ETHH7/ETHX6</t>
  </si>
  <si>
    <t>syn ETHZ6/ETHF7/ETHH7/ETHV6/ETHX6</t>
  </si>
  <si>
    <t>syn ETHZ6/ETHF7/ETHH7/ETHG7/ETHX6</t>
  </si>
  <si>
    <t>syn ETHZ6/ETHG7/ETHV6/ETHH7/ETHX6</t>
  </si>
  <si>
    <t>syn ETHZ6/ETHG7/ETHF7/ETHH7/ETHX6</t>
  </si>
  <si>
    <t>syn ETHZ6/ETHG7/ETHH7/ETHV6/ETHX6</t>
  </si>
  <si>
    <t>syn ETHZ6/ETHG7/ETHH7/ETHF7/ETHX6</t>
  </si>
  <si>
    <t>syn ETHZ6/ETHH7/ETHV6/ETHF7/ETHX6</t>
  </si>
  <si>
    <t>syn ETHZ6/ETHH7/ETHV6/ETHG7/ETHX6</t>
  </si>
  <si>
    <t>syn ETHZ6/ETHH7/ETHF7/ETHV6/ETHX6</t>
  </si>
  <si>
    <t>syn ETHZ6/ETHH7/ETHF7/ETHG7/ETHX6</t>
  </si>
  <si>
    <t>syn ETHZ6/ETHH7/ETHG7/ETHV6/ETHX6</t>
  </si>
  <si>
    <t>syn ETHZ6/ETHH7/ETHG7/ETHF7/ETHX6</t>
  </si>
  <si>
    <t>syn ETHF7/ETHV6/ETHZ6/ETHH7/ETHX6</t>
  </si>
  <si>
    <t>syn ETHF7/ETHV6/ETHG7/ETHH7/ETHX6</t>
  </si>
  <si>
    <t>syn ETHF7/ETHV6/ETHH7/ETHZ6/ETHX6</t>
  </si>
  <si>
    <t>syn ETHF7/ETHV6/ETHH7/ETHG7/ETHX6</t>
  </si>
  <si>
    <t>syn ETHF7/ETHZ6/ETHV6/ETHH7/ETHX6</t>
  </si>
  <si>
    <t>syn ETHF7/ETHZ6/ETHG7/ETHH7/ETHX6</t>
  </si>
  <si>
    <t>syn ETHF7/ETHZ6/ETHH7/ETHV6/ETHX6</t>
  </si>
  <si>
    <t>syn ETHF7/ETHZ6/ETHH7/ETHG7/ETHX6</t>
  </si>
  <si>
    <t>syn ETHF7/ETHG7/ETHV6/ETHH7/ETHX6</t>
  </si>
  <si>
    <t>syn ETHF7/ETHG7/ETHZ6/ETHH7/ETHX6</t>
  </si>
  <si>
    <t>syn ETHF7/ETHG7/ETHH7/ETHV6/ETHX6</t>
  </si>
  <si>
    <t>syn ETHF7/ETHG7/ETHH7/ETHZ6/ETHX6</t>
  </si>
  <si>
    <t>syn ETHF7/ETHH7/ETHV6/ETHZ6/ETHX6</t>
  </si>
  <si>
    <t>syn ETHF7/ETHH7/ETHV6/ETHG7/ETHX6</t>
  </si>
  <si>
    <t>syn ETHF7/ETHH7/ETHZ6/ETHV6/ETHX6</t>
  </si>
  <si>
    <t>syn ETHF7/ETHH7/ETHZ6/ETHG7/ETHX6</t>
  </si>
  <si>
    <t>syn ETHF7/ETHH7/ETHG7/ETHV6/ETHX6</t>
  </si>
  <si>
    <t>syn ETHF7/ETHH7/ETHG7/ETHZ6/ETHX6</t>
  </si>
  <si>
    <t>syn ETHG7/ETHV6/ETHZ6/ETHH7/ETHX6</t>
  </si>
  <si>
    <t>syn ETHG7/ETHV6/ETHF7/ETHH7/ETHX6</t>
  </si>
  <si>
    <t>syn ETHG7/ETHV6/ETHH7/ETHZ6/ETHX6</t>
  </si>
  <si>
    <t>syn ETHG7/ETHV6/ETHH7/ETHF7/ETHX6</t>
  </si>
  <si>
    <t>syn ETHG7/ETHZ6/ETHV6/ETHH7/ETHX6</t>
  </si>
  <si>
    <t>syn ETHG7/ETHZ6/ETHF7/ETHH7/ETHX6</t>
  </si>
  <si>
    <t>syn ETHG7/ETHZ6/ETHH7/ETHV6/ETHX6</t>
  </si>
  <si>
    <t>syn ETHG7/ETHZ6/ETHH7/ETHF7/ETHX6</t>
  </si>
  <si>
    <t>syn ETHG7/ETHF7/ETHV6/ETHH7/ETHX6</t>
  </si>
  <si>
    <t>syn ETHG7/ETHF7/ETHZ6/ETHH7/ETHX6</t>
  </si>
  <si>
    <t>syn ETHG7/ETHF7/ETHH7/ETHV6/ETHX6</t>
  </si>
  <si>
    <t>syn ETHG7/ETHF7/ETHH7/ETHZ6/ETHX6</t>
  </si>
  <si>
    <t>syn ETHG7/ETHH7/ETHV6/ETHZ6/ETHX6</t>
  </si>
  <si>
    <t>syn ETHG7/ETHH7/ETHV6/ETHF7/ETHX6</t>
  </si>
  <si>
    <t>syn ETHG7/ETHH7/ETHZ6/ETHV6/ETHX6</t>
  </si>
  <si>
    <t>syn ETHG7/ETHH7/ETHZ6/ETHF7/ETHX6</t>
  </si>
  <si>
    <t>syn ETHG7/ETHH7/ETHF7/ETHV6/ETHX6</t>
  </si>
  <si>
    <t>syn ETHG7/ETHH7/ETHF7/ETHZ6/ETHX6</t>
  </si>
  <si>
    <t>syn ETHH7/ETHV6/ETHZ6/ETHF7/ETHX6</t>
  </si>
  <si>
    <t>syn ETHH7/ETHV6/ETHZ6/ETHG7/ETHX6</t>
  </si>
  <si>
    <t>syn ETHH7/ETHV6/ETHF7/ETHZ6/ETHX6</t>
  </si>
  <si>
    <t>syn ETHH7/ETHV6/ETHF7/ETHG7/ETHX6</t>
  </si>
  <si>
    <t>syn ETHH7/ETHV6/ETHG7/ETHZ6/ETHX6</t>
  </si>
  <si>
    <t>syn ETHH7/ETHV6/ETHG7/ETHF7/ETHX6</t>
  </si>
  <si>
    <t>syn ETHH7/ETHZ6/ETHV6/ETHF7/ETHX6</t>
  </si>
  <si>
    <t>syn ETHH7/ETHZ6/ETHV6/ETHG7/ETHX6</t>
  </si>
  <si>
    <t>syn ETHH7/ETHZ6/ETHF7/ETHV6/ETHX6</t>
  </si>
  <si>
    <t>syn ETHH7/ETHZ6/ETHF7/ETHG7/ETHX6</t>
  </si>
  <si>
    <t>syn ETHH7/ETHZ6/ETHG7/ETHV6/ETHX6</t>
  </si>
  <si>
    <t>syn ETHH7/ETHZ6/ETHG7/ETHF7/ETHX6</t>
  </si>
  <si>
    <t>syn ETHH7/ETHF7/ETHV6/ETHZ6/ETHX6</t>
  </si>
  <si>
    <t>syn ETHH7/ETHF7/ETHV6/ETHG7/ETHX6</t>
  </si>
  <si>
    <t>syn ETHH7/ETHF7/ETHZ6/ETHV6/ETHX6</t>
  </si>
  <si>
    <t>syn ETHH7/ETHF7/ETHZ6/ETHG7/ETHX6</t>
  </si>
  <si>
    <t>syn ETHH7/ETHF7/ETHG7/ETHV6/ETHX6</t>
  </si>
  <si>
    <t>syn ETHH7/ETHF7/ETHG7/ETHZ6/ETHX6</t>
  </si>
  <si>
    <t>syn ETHH7/ETHG7/ETHV6/ETHZ6/ETHX6</t>
  </si>
  <si>
    <t>syn ETHH7/ETHG7/ETHV6/ETHF7/ETHX6</t>
  </si>
  <si>
    <t>syn ETHH7/ETHG7/ETHZ6/ETHV6/ETHX6</t>
  </si>
  <si>
    <t>syn ETHH7/ETHG7/ETHZ6/ETHF7/ETHX6</t>
  </si>
  <si>
    <t>syn ETHH7/ETHG7/ETHF7/ETHV6/ETHX6</t>
  </si>
  <si>
    <t>syn ETHH7/ETHG7/ETHF7/ETHZ6/ETHX6</t>
  </si>
  <si>
    <t>syn ETHV6/ETHZ6/ETHF7/ETHG7/ETHH7/ETHX6</t>
  </si>
  <si>
    <t>syn ETHV6/ETHZ6/ETHF7/ETHH7/ETHG7/ETHX6</t>
  </si>
  <si>
    <t>syn ETHV6/ETHZ6/ETHG7/ETHF7/ETHH7/ETHX6</t>
  </si>
  <si>
    <t>syn ETHV6/ETHZ6/ETHG7/ETHH7/ETHF7/ETHX6</t>
  </si>
  <si>
    <t>syn ETHV6/ETHZ6/ETHH7/ETHF7/ETHG7/ETHX6</t>
  </si>
  <si>
    <t>syn ETHV6/ETHZ6/ETHH7/ETHG7/ETHF7/ETHX6</t>
  </si>
  <si>
    <t>syn ETHV6/ETHF7/ETHZ6/ETHG7/ETHH7/ETHX6</t>
  </si>
  <si>
    <t>syn ETHV6/ETHF7/ETHZ6/ETHH7/ETHG7/ETHX6</t>
  </si>
  <si>
    <t>syn ETHV6/ETHF7/ETHG7/ETHZ6/ETHH7/ETHX6</t>
  </si>
  <si>
    <t>syn ETHV6/ETHF7/ETHG7/ETHH7/ETHZ6/ETHX6</t>
  </si>
  <si>
    <t>syn ETHV6/ETHF7/ETHH7/ETHZ6/ETHG7/ETHX6</t>
  </si>
  <si>
    <t>syn ETHV6/ETHF7/ETHH7/ETHG7/ETHZ6/ETHX6</t>
  </si>
  <si>
    <t>syn ETHV6/ETHG7/ETHZ6/ETHF7/ETHH7/ETHX6</t>
  </si>
  <si>
    <t>syn ETHV6/ETHG7/ETHZ6/ETHH7/ETHF7/ETHX6</t>
  </si>
  <si>
    <t>syn ETHV6/ETHG7/ETHF7/ETHZ6/ETHH7/ETHX6</t>
  </si>
  <si>
    <t>syn ETHV6/ETHG7/ETHF7/ETHH7/ETHZ6/ETHX6</t>
  </si>
  <si>
    <t>syn ETHV6/ETHG7/ETHH7/ETHZ6/ETHF7/ETHX6</t>
  </si>
  <si>
    <t>syn ETHV6/ETHG7/ETHH7/ETHF7/ETHZ6/ETHX6</t>
  </si>
  <si>
    <t>syn ETHV6/ETHH7/ETHZ6/ETHF7/ETHG7/ETHX6</t>
  </si>
  <si>
    <t>syn ETHV6/ETHH7/ETHZ6/ETHG7/ETHF7/ETHX6</t>
  </si>
  <si>
    <t>syn ETHV6/ETHH7/ETHF7/ETHZ6/ETHG7/ETHX6</t>
  </si>
  <si>
    <t>syn ETHV6/ETHH7/ETHF7/ETHG7/ETHZ6/ETHX6</t>
  </si>
  <si>
    <t>syn ETHV6/ETHH7/ETHG7/ETHZ6/ETHF7/ETHX6</t>
  </si>
  <si>
    <t>syn ETHV6/ETHH7/ETHG7/ETHF7/ETHZ6/ETHX6</t>
  </si>
  <si>
    <t>syn ETHZ6/ETHV6/ETHF7/ETHG7/ETHH7/ETHX6</t>
  </si>
  <si>
    <t>syn ETHZ6/ETHV6/ETHF7/ETHH7/ETHG7/ETHX6</t>
  </si>
  <si>
    <t>syn ETHZ6/ETHV6/ETHG7/ETHF7/ETHH7/ETHX6</t>
  </si>
  <si>
    <t>syn ETHZ6/ETHV6/ETHG7/ETHH7/ETHF7/ETHX6</t>
  </si>
  <si>
    <t>syn ETHZ6/ETHV6/ETHH7/ETHF7/ETHG7/ETHX6</t>
  </si>
  <si>
    <t>syn ETHZ6/ETHV6/ETHH7/ETHG7/ETHF7/ETHX6</t>
  </si>
  <si>
    <t>syn ETHZ6/ETHF7/ETHV6/ETHG7/ETHH7/ETHX6</t>
  </si>
  <si>
    <t>syn ETHZ6/ETHF7/ETHV6/ETHH7/ETHG7/ETHX6</t>
  </si>
  <si>
    <t>syn ETHZ6/ETHF7/ETHG7/ETHV6/ETHH7/ETHX6</t>
  </si>
  <si>
    <t>syn ETHZ6/ETHF7/ETHG7/ETHH7/ETHV6/ETHX6</t>
  </si>
  <si>
    <t>syn ETHZ6/ETHF7/ETHH7/ETHV6/ETHG7/ETHX6</t>
  </si>
  <si>
    <t>syn ETHZ6/ETHF7/ETHH7/ETHG7/ETHV6/ETHX6</t>
  </si>
  <si>
    <t>syn ETHZ6/ETHG7/ETHV6/ETHF7/ETHH7/ETHX6</t>
  </si>
  <si>
    <t>syn ETHZ6/ETHG7/ETHV6/ETHH7/ETHF7/ETHX6</t>
  </si>
  <si>
    <t>syn ETHZ6/ETHG7/ETHF7/ETHV6/ETHH7/ETHX6</t>
  </si>
  <si>
    <t>syn ETHZ6/ETHG7/ETHF7/ETHH7/ETHV6/ETHX6</t>
  </si>
  <si>
    <t>syn ETHZ6/ETHG7/ETHH7/ETHV6/ETHF7/ETHX6</t>
  </si>
  <si>
    <t>syn ETHZ6/ETHG7/ETHH7/ETHF7/ETHV6/ETHX6</t>
  </si>
  <si>
    <t>syn ETHZ6/ETHH7/ETHV6/ETHF7/ETHG7/ETHX6</t>
  </si>
  <si>
    <t>syn ETHZ6/ETHH7/ETHV6/ETHG7/ETHF7/ETHX6</t>
  </si>
  <si>
    <t>syn ETHZ6/ETHH7/ETHF7/ETHV6/ETHG7/ETHX6</t>
  </si>
  <si>
    <t>syn ETHZ6/ETHH7/ETHF7/ETHG7/ETHV6/ETHX6</t>
  </si>
  <si>
    <t>syn ETHZ6/ETHH7/ETHG7/ETHV6/ETHF7/ETHX6</t>
  </si>
  <si>
    <t>syn ETHZ6/ETHH7/ETHG7/ETHF7/ETHV6/ETHX6</t>
  </si>
  <si>
    <t>syn ETHF7/ETHV6/ETHZ6/ETHG7/ETHH7/ETHX6</t>
  </si>
  <si>
    <t>syn ETHF7/ETHV6/ETHZ6/ETHH7/ETHG7/ETHX6</t>
  </si>
  <si>
    <t>syn ETHF7/ETHV6/ETHG7/ETHZ6/ETHH7/ETHX6</t>
  </si>
  <si>
    <t>syn ETHF7/ETHV6/ETHG7/ETHH7/ETHZ6/ETHX6</t>
  </si>
  <si>
    <t>syn ETHF7/ETHV6/ETHH7/ETHZ6/ETHG7/ETHX6</t>
  </si>
  <si>
    <t>syn ETHF7/ETHV6/ETHH7/ETHG7/ETHZ6/ETHX6</t>
  </si>
  <si>
    <t>syn ETHF7/ETHZ6/ETHV6/ETHG7/ETHH7/ETHX6</t>
  </si>
  <si>
    <t>syn ETHF7/ETHZ6/ETHV6/ETHH7/ETHG7/ETHX6</t>
  </si>
  <si>
    <t>syn ETHF7/ETHZ6/ETHG7/ETHV6/ETHH7/ETHX6</t>
  </si>
  <si>
    <t>syn ETHF7/ETHZ6/ETHG7/ETHH7/ETHV6/ETHX6</t>
  </si>
  <si>
    <t>syn ETHF7/ETHZ6/ETHH7/ETHV6/ETHG7/ETHX6</t>
  </si>
  <si>
    <t>syn ETHF7/ETHZ6/ETHH7/ETHG7/ETHV6/ETHX6</t>
  </si>
  <si>
    <t>syn ETHF7/ETHG7/ETHV6/ETHZ6/ETHH7/ETHX6</t>
  </si>
  <si>
    <t>syn ETHF7/ETHG7/ETHV6/ETHH7/ETHZ6/ETHX6</t>
  </si>
  <si>
    <t>syn ETHF7/ETHG7/ETHZ6/ETHV6/ETHH7/ETHX6</t>
  </si>
  <si>
    <t>syn ETHF7/ETHG7/ETHZ6/ETHH7/ETHV6/ETHX6</t>
  </si>
  <si>
    <t>syn ETHF7/ETHG7/ETHH7/ETHV6/ETHZ6/ETHX6</t>
  </si>
  <si>
    <t>syn ETHF7/ETHG7/ETHH7/ETHZ6/ETHV6/ETHX6</t>
  </si>
  <si>
    <t>syn ETHF7/ETHH7/ETHV6/ETHZ6/ETHG7/ETHX6</t>
  </si>
  <si>
    <t>syn ETHF7/ETHH7/ETHV6/ETHG7/ETHZ6/ETHX6</t>
  </si>
  <si>
    <t>syn ETHF7/ETHH7/ETHZ6/ETHV6/ETHG7/ETHX6</t>
  </si>
  <si>
    <t>syn ETHF7/ETHH7/ETHZ6/ETHG7/ETHV6/ETHX6</t>
  </si>
  <si>
    <t>syn ETHF7/ETHH7/ETHG7/ETHV6/ETHZ6/ETHX6</t>
  </si>
  <si>
    <t>syn ETHF7/ETHH7/ETHG7/ETHZ6/ETHV6/ETHX6</t>
  </si>
  <si>
    <t>syn ETHG7/ETHV6/ETHZ6/ETHF7/ETHH7/ETHX6</t>
  </si>
  <si>
    <t>syn ETHG7/ETHV6/ETHZ6/ETHH7/ETHF7/ETHX6</t>
  </si>
  <si>
    <t>syn ETHG7/ETHV6/ETHF7/ETHZ6/ETHH7/ETHX6</t>
  </si>
  <si>
    <t>syn ETHG7/ETHV6/ETHF7/ETHH7/ETHZ6/ETHX6</t>
  </si>
  <si>
    <t>syn ETHG7/ETHV6/ETHH7/ETHZ6/ETHF7/ETHX6</t>
  </si>
  <si>
    <t>syn ETHG7/ETHV6/ETHH7/ETHF7/ETHZ6/ETHX6</t>
  </si>
  <si>
    <t>syn ETHG7/ETHZ6/ETHV6/ETHF7/ETHH7/ETHX6</t>
  </si>
  <si>
    <t>syn ETHG7/ETHZ6/ETHV6/ETHH7/ETHF7/ETHX6</t>
  </si>
  <si>
    <t>syn ETHG7/ETHZ6/ETHF7/ETHV6/ETHH7/ETHX6</t>
  </si>
  <si>
    <t>syn ETHG7/ETHZ6/ETHF7/ETHH7/ETHV6/ETHX6</t>
  </si>
  <si>
    <t>syn ETHG7/ETHZ6/ETHH7/ETHV6/ETHF7/ETHX6</t>
  </si>
  <si>
    <t>syn ETHG7/ETHZ6/ETHH7/ETHF7/ETHV6/ETHX6</t>
  </si>
  <si>
    <t>syn ETHG7/ETHF7/ETHV6/ETHZ6/ETHH7/ETHX6</t>
  </si>
  <si>
    <t>syn ETHG7/ETHF7/ETHV6/ETHH7/ETHZ6/ETHX6</t>
  </si>
  <si>
    <t>syn ETHG7/ETHF7/ETHZ6/ETHV6/ETHH7/ETHX6</t>
  </si>
  <si>
    <t>syn ETHG7/ETHF7/ETHZ6/ETHH7/ETHV6/ETHX6</t>
  </si>
  <si>
    <t>syn ETHG7/ETHF7/ETHH7/ETHV6/ETHZ6/ETHX6</t>
  </si>
  <si>
    <t>syn ETHG7/ETHF7/ETHH7/ETHZ6/ETHV6/ETHX6</t>
  </si>
  <si>
    <t>syn ETHG7/ETHH7/ETHV6/ETHZ6/ETHF7/ETHX6</t>
  </si>
  <si>
    <t>syn ETHG7/ETHH7/ETHV6/ETHF7/ETHZ6/ETHX6</t>
  </si>
  <si>
    <t>syn ETHG7/ETHH7/ETHZ6/ETHV6/ETHF7/ETHX6</t>
  </si>
  <si>
    <t>syn ETHG7/ETHH7/ETHZ6/ETHF7/ETHV6/ETHX6</t>
  </si>
  <si>
    <t>syn ETHG7/ETHH7/ETHF7/ETHV6/ETHZ6/ETHX6</t>
  </si>
  <si>
    <t>syn ETHG7/ETHH7/ETHF7/ETHZ6/ETHV6/ETHX6</t>
  </si>
  <si>
    <t>syn ETHH7/ETHV6/ETHZ6/ETHF7/ETHG7/ETHX6</t>
  </si>
  <si>
    <t>syn ETHH7/ETHV6/ETHZ6/ETHG7/ETHF7/ETHX6</t>
  </si>
  <si>
    <t>syn ETHH7/ETHV6/ETHF7/ETHZ6/ETHG7/ETHX6</t>
  </si>
  <si>
    <t>syn ETHH7/ETHV6/ETHF7/ETHG7/ETHZ6/ETHX6</t>
  </si>
  <si>
    <t>syn ETHH7/ETHV6/ETHG7/ETHZ6/ETHF7/ETHX6</t>
  </si>
  <si>
    <t>syn ETHH7/ETHV6/ETHG7/ETHF7/ETHZ6/ETHX6</t>
  </si>
  <si>
    <t>syn ETHH7/ETHZ6/ETHV6/ETHF7/ETHG7/ETHX6</t>
  </si>
  <si>
    <t>syn ETHH7/ETHZ6/ETHV6/ETHG7/ETHF7/ETHX6</t>
  </si>
  <si>
    <t>syn ETHH7/ETHZ6/ETHF7/ETHV6/ETHG7/ETHX6</t>
  </si>
  <si>
    <t>syn ETHH7/ETHZ6/ETHF7/ETHG7/ETHV6/ETHX6</t>
  </si>
  <si>
    <t>syn ETHH7/ETHZ6/ETHG7/ETHV6/ETHF7/ETHX6</t>
  </si>
  <si>
    <t>syn ETHH7/ETHZ6/ETHG7/ETHF7/ETHV6/ETHX6</t>
  </si>
  <si>
    <t>syn ETHH7/ETHF7/ETHV6/ETHZ6/ETHG7/ETHX6</t>
  </si>
  <si>
    <t>syn ETHH7/ETHF7/ETHV6/ETHG7/ETHZ6/ETHX6</t>
  </si>
  <si>
    <t>syn ETHH7/ETHF7/ETHZ6/ETHV6/ETHG7/ETHX6</t>
  </si>
  <si>
    <t>syn ETHH7/ETHF7/ETHZ6/ETHG7/ETHV6/ETHX6</t>
  </si>
  <si>
    <t>syn ETHH7/ETHF7/ETHG7/ETHV6/ETHZ6/ETHX6</t>
  </si>
  <si>
    <t>syn ETHH7/ETHF7/ETHG7/ETHZ6/ETHV6/ETHX6</t>
  </si>
  <si>
    <t>syn ETHH7/ETHG7/ETHV6/ETHZ6/ETHF7/ETHX6</t>
  </si>
  <si>
    <t>syn ETHH7/ETHG7/ETHV6/ETHF7/ETHZ6/ETHX6</t>
  </si>
  <si>
    <t>syn ETHH7/ETHG7/ETHZ6/ETHV6/ETHF7/ETHX6</t>
  </si>
  <si>
    <t>syn ETHH7/ETHG7/ETHZ6/ETHF7/ETHV6/ETHX6</t>
  </si>
  <si>
    <t>syn ETHH7/ETHG7/ETHF7/ETHV6/ETHZ6/ETHX6</t>
  </si>
  <si>
    <t>syn ETHH7/ETHG7/ETHF7/ETHZ6/ETHV6/ETHX6</t>
  </si>
  <si>
    <t>syn ETHH7/ETHZ6</t>
  </si>
  <si>
    <t>syn ETHV6/ETHH7/ETHZ6</t>
  </si>
  <si>
    <t>syn ETHX6/ETHH7/ETHZ6</t>
  </si>
  <si>
    <t>syn ETHF7/ETHH7/ETHZ6</t>
  </si>
  <si>
    <t>syn ETHG7/ETHH7/ETHZ6</t>
  </si>
  <si>
    <t>syn ETHH7/ETHV6/ETHZ6</t>
  </si>
  <si>
    <t>syn ETHH7/ETHX6/ETHZ6</t>
  </si>
  <si>
    <t>syn ETHH7/ETHF7/ETHZ6</t>
  </si>
  <si>
    <t>syn ETHH7/ETHG7/ETHZ6</t>
  </si>
  <si>
    <t>syn ETHV6/ETHX6/ETHH7/ETHZ6</t>
  </si>
  <si>
    <t>syn ETHV6/ETHF7/ETHH7/ETHZ6</t>
  </si>
  <si>
    <t>syn ETHV6/ETHG7/ETHH7/ETHZ6</t>
  </si>
  <si>
    <t>syn ETHV6/ETHH7/ETHX6/ETHZ6</t>
  </si>
  <si>
    <t>syn ETHV6/ETHH7/ETHF7/ETHZ6</t>
  </si>
  <si>
    <t>syn ETHV6/ETHH7/ETHG7/ETHZ6</t>
  </si>
  <si>
    <t>syn ETHX6/ETHV6/ETHH7/ETHZ6</t>
  </si>
  <si>
    <t>syn ETHX6/ETHF7/ETHH7/ETHZ6</t>
  </si>
  <si>
    <t>syn ETHX6/ETHG7/ETHH7/ETHZ6</t>
  </si>
  <si>
    <t>syn ETHX6/ETHH7/ETHV6/ETHZ6</t>
  </si>
  <si>
    <t>syn ETHX6/ETHH7/ETHF7/ETHZ6</t>
  </si>
  <si>
    <t>syn ETHX6/ETHH7/ETHG7/ETHZ6</t>
  </si>
  <si>
    <t>syn ETHF7/ETHV6/ETHH7/ETHZ6</t>
  </si>
  <si>
    <t>syn ETHF7/ETHX6/ETHH7/ETHZ6</t>
  </si>
  <si>
    <t>syn ETHF7/ETHG7/ETHH7/ETHZ6</t>
  </si>
  <si>
    <t>syn ETHF7/ETHH7/ETHV6/ETHZ6</t>
  </si>
  <si>
    <t>syn ETHF7/ETHH7/ETHX6/ETHZ6</t>
  </si>
  <si>
    <t>syn ETHF7/ETHH7/ETHG7/ETHZ6</t>
  </si>
  <si>
    <t>syn ETHG7/ETHV6/ETHH7/ETHZ6</t>
  </si>
  <si>
    <t>syn ETHG7/ETHX6/ETHH7/ETHZ6</t>
  </si>
  <si>
    <t>syn ETHG7/ETHF7/ETHH7/ETHZ6</t>
  </si>
  <si>
    <t>syn ETHG7/ETHH7/ETHV6/ETHZ6</t>
  </si>
  <si>
    <t>syn ETHG7/ETHH7/ETHX6/ETHZ6</t>
  </si>
  <si>
    <t>syn ETHG7/ETHH7/ETHF7/ETHZ6</t>
  </si>
  <si>
    <t>syn ETHH7/ETHV6/ETHX6/ETHZ6</t>
  </si>
  <si>
    <t>syn ETHH7/ETHV6/ETHF7/ETHZ6</t>
  </si>
  <si>
    <t>syn ETHH7/ETHV6/ETHG7/ETHZ6</t>
  </si>
  <si>
    <t>syn ETHH7/ETHX6/ETHV6/ETHZ6</t>
  </si>
  <si>
    <t>syn ETHH7/ETHX6/ETHF7/ETHZ6</t>
  </si>
  <si>
    <t>syn ETHH7/ETHX6/ETHG7/ETHZ6</t>
  </si>
  <si>
    <t>syn ETHH7/ETHF7/ETHV6/ETHZ6</t>
  </si>
  <si>
    <t>syn ETHH7/ETHF7/ETHX6/ETHZ6</t>
  </si>
  <si>
    <t>syn ETHH7/ETHF7/ETHG7/ETHZ6</t>
  </si>
  <si>
    <t>syn ETHH7/ETHG7/ETHV6/ETHZ6</t>
  </si>
  <si>
    <t>syn ETHH7/ETHG7/ETHX6/ETHZ6</t>
  </si>
  <si>
    <t>syn ETHH7/ETHG7/ETHF7/ETHZ6</t>
  </si>
  <si>
    <t>syn ETHV6/ETHX6/ETHF7/ETHH7/ETHZ6</t>
  </si>
  <si>
    <t>syn ETHV6/ETHX6/ETHG7/ETHH7/ETHZ6</t>
  </si>
  <si>
    <t>syn ETHV6/ETHX6/ETHH7/ETHF7/ETHZ6</t>
  </si>
  <si>
    <t>syn ETHV6/ETHX6/ETHH7/ETHG7/ETHZ6</t>
  </si>
  <si>
    <t>syn ETHV6/ETHF7/ETHX6/ETHH7/ETHZ6</t>
  </si>
  <si>
    <t>syn ETHV6/ETHF7/ETHG7/ETHH7/ETHZ6</t>
  </si>
  <si>
    <t>syn ETHV6/ETHF7/ETHH7/ETHX6/ETHZ6</t>
  </si>
  <si>
    <t>syn ETHV6/ETHF7/ETHH7/ETHG7/ETHZ6</t>
  </si>
  <si>
    <t>syn ETHV6/ETHG7/ETHX6/ETHH7/ETHZ6</t>
  </si>
  <si>
    <t>syn ETHV6/ETHG7/ETHF7/ETHH7/ETHZ6</t>
  </si>
  <si>
    <t>syn ETHV6/ETHG7/ETHH7/ETHX6/ETHZ6</t>
  </si>
  <si>
    <t>syn ETHV6/ETHG7/ETHH7/ETHF7/ETHZ6</t>
  </si>
  <si>
    <t>syn ETHV6/ETHH7/ETHX6/ETHF7/ETHZ6</t>
  </si>
  <si>
    <t>syn ETHV6/ETHH7/ETHX6/ETHG7/ETHZ6</t>
  </si>
  <si>
    <t>syn ETHV6/ETHH7/ETHF7/ETHX6/ETHZ6</t>
  </si>
  <si>
    <t>syn ETHV6/ETHH7/ETHF7/ETHG7/ETHZ6</t>
  </si>
  <si>
    <t>syn ETHV6/ETHH7/ETHG7/ETHX6/ETHZ6</t>
  </si>
  <si>
    <t>syn ETHV6/ETHH7/ETHG7/ETHF7/ETHZ6</t>
  </si>
  <si>
    <t>syn ETHX6/ETHV6/ETHF7/ETHH7/ETHZ6</t>
  </si>
  <si>
    <t>syn ETHX6/ETHV6/ETHG7/ETHH7/ETHZ6</t>
  </si>
  <si>
    <t>syn ETHX6/ETHV6/ETHH7/ETHF7/ETHZ6</t>
  </si>
  <si>
    <t>syn ETHX6/ETHV6/ETHH7/ETHG7/ETHZ6</t>
  </si>
  <si>
    <t>syn ETHX6/ETHF7/ETHV6/ETHH7/ETHZ6</t>
  </si>
  <si>
    <t>syn ETHX6/ETHF7/ETHG7/ETHH7/ETHZ6</t>
  </si>
  <si>
    <t>syn ETHX6/ETHF7/ETHH7/ETHV6/ETHZ6</t>
  </si>
  <si>
    <t>syn ETHX6/ETHF7/ETHH7/ETHG7/ETHZ6</t>
  </si>
  <si>
    <t>syn ETHX6/ETHG7/ETHV6/ETHH7/ETHZ6</t>
  </si>
  <si>
    <t>syn ETHX6/ETHG7/ETHF7/ETHH7/ETHZ6</t>
  </si>
  <si>
    <t>syn ETHX6/ETHG7/ETHH7/ETHV6/ETHZ6</t>
  </si>
  <si>
    <t>syn ETHX6/ETHG7/ETHH7/ETHF7/ETHZ6</t>
  </si>
  <si>
    <t>syn ETHX6/ETHH7/ETHV6/ETHF7/ETHZ6</t>
  </si>
  <si>
    <t>syn ETHX6/ETHH7/ETHV6/ETHG7/ETHZ6</t>
  </si>
  <si>
    <t>syn ETHX6/ETHH7/ETHF7/ETHV6/ETHZ6</t>
  </si>
  <si>
    <t>syn ETHX6/ETHH7/ETHF7/ETHG7/ETHZ6</t>
  </si>
  <si>
    <t>syn ETHX6/ETHH7/ETHG7/ETHV6/ETHZ6</t>
  </si>
  <si>
    <t>syn ETHX6/ETHH7/ETHG7/ETHF7/ETHZ6</t>
  </si>
  <si>
    <t>syn ETHF7/ETHV6/ETHX6/ETHH7/ETHZ6</t>
  </si>
  <si>
    <t>syn ETHF7/ETHV6/ETHG7/ETHH7/ETHZ6</t>
  </si>
  <si>
    <t>syn ETHF7/ETHV6/ETHH7/ETHX6/ETHZ6</t>
  </si>
  <si>
    <t>syn ETHF7/ETHV6/ETHH7/ETHG7/ETHZ6</t>
  </si>
  <si>
    <t>syn ETHF7/ETHX6/ETHV6/ETHH7/ETHZ6</t>
  </si>
  <si>
    <t>syn ETHF7/ETHX6/ETHG7/ETHH7/ETHZ6</t>
  </si>
  <si>
    <t>syn ETHF7/ETHX6/ETHH7/ETHV6/ETHZ6</t>
  </si>
  <si>
    <t>syn ETHF7/ETHX6/ETHH7/ETHG7/ETHZ6</t>
  </si>
  <si>
    <t>syn ETHF7/ETHG7/ETHV6/ETHH7/ETHZ6</t>
  </si>
  <si>
    <t>syn ETHF7/ETHG7/ETHX6/ETHH7/ETHZ6</t>
  </si>
  <si>
    <t>syn ETHF7/ETHG7/ETHH7/ETHV6/ETHZ6</t>
  </si>
  <si>
    <t>syn ETHF7/ETHG7/ETHH7/ETHX6/ETHZ6</t>
  </si>
  <si>
    <t>syn ETHF7/ETHH7/ETHV6/ETHX6/ETHZ6</t>
  </si>
  <si>
    <t>syn ETHF7/ETHH7/ETHV6/ETHG7/ETHZ6</t>
  </si>
  <si>
    <t>syn ETHF7/ETHH7/ETHX6/ETHV6/ETHZ6</t>
  </si>
  <si>
    <t>syn ETHF7/ETHH7/ETHX6/ETHG7/ETHZ6</t>
  </si>
  <si>
    <t>syn ETHF7/ETHH7/ETHG7/ETHV6/ETHZ6</t>
  </si>
  <si>
    <t>syn ETHF7/ETHH7/ETHG7/ETHX6/ETHZ6</t>
  </si>
  <si>
    <t>syn ETHG7/ETHV6/ETHX6/ETHH7/ETHZ6</t>
  </si>
  <si>
    <t>syn ETHG7/ETHV6/ETHF7/ETHH7/ETHZ6</t>
  </si>
  <si>
    <t>syn ETHG7/ETHV6/ETHH7/ETHX6/ETHZ6</t>
  </si>
  <si>
    <t>syn ETHG7/ETHV6/ETHH7/ETHF7/ETHZ6</t>
  </si>
  <si>
    <t>syn ETHG7/ETHX6/ETHV6/ETHH7/ETHZ6</t>
  </si>
  <si>
    <t>syn ETHG7/ETHX6/ETHF7/ETHH7/ETHZ6</t>
  </si>
  <si>
    <t>syn ETHG7/ETHX6/ETHH7/ETHV6/ETHZ6</t>
  </si>
  <si>
    <t>syn ETHG7/ETHX6/ETHH7/ETHF7/ETHZ6</t>
  </si>
  <si>
    <t>syn ETHG7/ETHF7/ETHV6/ETHH7/ETHZ6</t>
  </si>
  <si>
    <t>syn ETHG7/ETHF7/ETHX6/ETHH7/ETHZ6</t>
  </si>
  <si>
    <t>syn ETHG7/ETHF7/ETHH7/ETHV6/ETHZ6</t>
  </si>
  <si>
    <t>syn ETHG7/ETHF7/ETHH7/ETHX6/ETHZ6</t>
  </si>
  <si>
    <t>syn ETHG7/ETHH7/ETHV6/ETHX6/ETHZ6</t>
  </si>
  <si>
    <t>syn ETHG7/ETHH7/ETHV6/ETHF7/ETHZ6</t>
  </si>
  <si>
    <t>syn ETHG7/ETHH7/ETHX6/ETHV6/ETHZ6</t>
  </si>
  <si>
    <t>syn ETHG7/ETHH7/ETHX6/ETHF7/ETHZ6</t>
  </si>
  <si>
    <t>syn ETHG7/ETHH7/ETHF7/ETHV6/ETHZ6</t>
  </si>
  <si>
    <t>syn ETHG7/ETHH7/ETHF7/ETHX6/ETHZ6</t>
  </si>
  <si>
    <t>syn ETHH7/ETHV6/ETHX6/ETHF7/ETHZ6</t>
  </si>
  <si>
    <t>syn ETHH7/ETHV6/ETHX6/ETHG7/ETHZ6</t>
  </si>
  <si>
    <t>syn ETHH7/ETHV6/ETHF7/ETHX6/ETHZ6</t>
  </si>
  <si>
    <t>syn ETHH7/ETHV6/ETHF7/ETHG7/ETHZ6</t>
  </si>
  <si>
    <t>syn ETHH7/ETHV6/ETHG7/ETHX6/ETHZ6</t>
  </si>
  <si>
    <t>syn ETHH7/ETHV6/ETHG7/ETHF7/ETHZ6</t>
  </si>
  <si>
    <t>syn ETHH7/ETHX6/ETHV6/ETHF7/ETHZ6</t>
  </si>
  <si>
    <t>syn ETHH7/ETHX6/ETHV6/ETHG7/ETHZ6</t>
  </si>
  <si>
    <t>syn ETHH7/ETHX6/ETHF7/ETHV6/ETHZ6</t>
  </si>
  <si>
    <t>syn ETHH7/ETHX6/ETHF7/ETHG7/ETHZ6</t>
  </si>
  <si>
    <t>syn ETHH7/ETHX6/ETHG7/ETHV6/ETHZ6</t>
  </si>
  <si>
    <t>syn ETHH7/ETHX6/ETHG7/ETHF7/ETHZ6</t>
  </si>
  <si>
    <t>syn ETHH7/ETHF7/ETHV6/ETHX6/ETHZ6</t>
  </si>
  <si>
    <t>syn ETHH7/ETHF7/ETHV6/ETHG7/ETHZ6</t>
  </si>
  <si>
    <t>syn ETHH7/ETHF7/ETHX6/ETHV6/ETHZ6</t>
  </si>
  <si>
    <t>syn ETHH7/ETHF7/ETHX6/ETHG7/ETHZ6</t>
  </si>
  <si>
    <t>syn ETHH7/ETHF7/ETHG7/ETHV6/ETHZ6</t>
  </si>
  <si>
    <t>syn ETHH7/ETHF7/ETHG7/ETHX6/ETHZ6</t>
  </si>
  <si>
    <t>syn ETHH7/ETHG7/ETHV6/ETHX6/ETHZ6</t>
  </si>
  <si>
    <t>syn ETHH7/ETHG7/ETHV6/ETHF7/ETHZ6</t>
  </si>
  <si>
    <t>syn ETHH7/ETHG7/ETHX6/ETHV6/ETHZ6</t>
  </si>
  <si>
    <t>syn ETHH7/ETHG7/ETHX6/ETHF7/ETHZ6</t>
  </si>
  <si>
    <t>syn ETHH7/ETHG7/ETHF7/ETHV6/ETHZ6</t>
  </si>
  <si>
    <t>syn ETHH7/ETHG7/ETHF7/ETHX6/ETHZ6</t>
  </si>
  <si>
    <t>syn ETHV6/ETHX6/ETHF7/ETHG7/ETHH7/ETHZ6</t>
  </si>
  <si>
    <t>syn ETHV6/ETHX6/ETHF7/ETHH7/ETHG7/ETHZ6</t>
  </si>
  <si>
    <t>syn ETHV6/ETHX6/ETHG7/ETHF7/ETHH7/ETHZ6</t>
  </si>
  <si>
    <t>syn ETHV6/ETHX6/ETHG7/ETHH7/ETHF7/ETHZ6</t>
  </si>
  <si>
    <t>syn ETHV6/ETHX6/ETHH7/ETHF7/ETHG7/ETHZ6</t>
  </si>
  <si>
    <t>syn ETHV6/ETHX6/ETHH7/ETHG7/ETHF7/ETHZ6</t>
  </si>
  <si>
    <t>syn ETHV6/ETHF7/ETHX6/ETHG7/ETHH7/ETHZ6</t>
  </si>
  <si>
    <t>syn ETHV6/ETHF7/ETHX6/ETHH7/ETHG7/ETHZ6</t>
  </si>
  <si>
    <t>syn ETHV6/ETHF7/ETHG7/ETHX6/ETHH7/ETHZ6</t>
  </si>
  <si>
    <t>syn ETHV6/ETHF7/ETHG7/ETHH7/ETHX6/ETHZ6</t>
  </si>
  <si>
    <t>syn ETHV6/ETHF7/ETHH7/ETHX6/ETHG7/ETHZ6</t>
  </si>
  <si>
    <t>syn ETHV6/ETHF7/ETHH7/ETHG7/ETHX6/ETHZ6</t>
  </si>
  <si>
    <t>syn ETHV6/ETHG7/ETHX6/ETHF7/ETHH7/ETHZ6</t>
  </si>
  <si>
    <t>syn ETHV6/ETHG7/ETHX6/ETHH7/ETHF7/ETHZ6</t>
  </si>
  <si>
    <t>syn ETHV6/ETHG7/ETHF7/ETHX6/ETHH7/ETHZ6</t>
  </si>
  <si>
    <t>syn ETHV6/ETHG7/ETHF7/ETHH7/ETHX6/ETHZ6</t>
  </si>
  <si>
    <t>syn ETHV6/ETHG7/ETHH7/ETHX6/ETHF7/ETHZ6</t>
  </si>
  <si>
    <t>syn ETHV6/ETHG7/ETHH7/ETHF7/ETHX6/ETHZ6</t>
  </si>
  <si>
    <t>syn ETHV6/ETHH7/ETHX6/ETHF7/ETHG7/ETHZ6</t>
  </si>
  <si>
    <t>syn ETHV6/ETHH7/ETHX6/ETHG7/ETHF7/ETHZ6</t>
  </si>
  <si>
    <t>syn ETHV6/ETHH7/ETHF7/ETHX6/ETHG7/ETHZ6</t>
  </si>
  <si>
    <t>syn ETHV6/ETHH7/ETHF7/ETHG7/ETHX6/ETHZ6</t>
  </si>
  <si>
    <t>syn ETHV6/ETHH7/ETHG7/ETHX6/ETHF7/ETHZ6</t>
  </si>
  <si>
    <t>syn ETHV6/ETHH7/ETHG7/ETHF7/ETHX6/ETHZ6</t>
  </si>
  <si>
    <t>syn ETHX6/ETHV6/ETHF7/ETHG7/ETHH7/ETHZ6</t>
  </si>
  <si>
    <t>syn ETHX6/ETHV6/ETHF7/ETHH7/ETHG7/ETHZ6</t>
  </si>
  <si>
    <t>syn ETHX6/ETHV6/ETHG7/ETHF7/ETHH7/ETHZ6</t>
  </si>
  <si>
    <t>syn ETHX6/ETHV6/ETHG7/ETHH7/ETHF7/ETHZ6</t>
  </si>
  <si>
    <t>syn ETHX6/ETHV6/ETHH7/ETHF7/ETHG7/ETHZ6</t>
  </si>
  <si>
    <t>syn ETHX6/ETHV6/ETHH7/ETHG7/ETHF7/ETHZ6</t>
  </si>
  <si>
    <t>syn ETHX6/ETHF7/ETHV6/ETHG7/ETHH7/ETHZ6</t>
  </si>
  <si>
    <t>syn ETHX6/ETHF7/ETHV6/ETHH7/ETHG7/ETHZ6</t>
  </si>
  <si>
    <t>syn ETHX6/ETHF7/ETHG7/ETHV6/ETHH7/ETHZ6</t>
  </si>
  <si>
    <t>syn ETHX6/ETHF7/ETHG7/ETHH7/ETHV6/ETHZ6</t>
  </si>
  <si>
    <t>syn ETHX6/ETHF7/ETHH7/ETHV6/ETHG7/ETHZ6</t>
  </si>
  <si>
    <t>syn ETHX6/ETHF7/ETHH7/ETHG7/ETHV6/ETHZ6</t>
  </si>
  <si>
    <t>syn ETHX6/ETHG7/ETHV6/ETHF7/ETHH7/ETHZ6</t>
  </si>
  <si>
    <t>syn ETHX6/ETHG7/ETHV6/ETHH7/ETHF7/ETHZ6</t>
  </si>
  <si>
    <t>syn ETHX6/ETHG7/ETHF7/ETHV6/ETHH7/ETHZ6</t>
  </si>
  <si>
    <t>syn ETHX6/ETHG7/ETHF7/ETHH7/ETHV6/ETHZ6</t>
  </si>
  <si>
    <t>syn ETHX6/ETHG7/ETHH7/ETHV6/ETHF7/ETHZ6</t>
  </si>
  <si>
    <t>syn ETHX6/ETHG7/ETHH7/ETHF7/ETHV6/ETHZ6</t>
  </si>
  <si>
    <t>syn ETHX6/ETHH7/ETHV6/ETHF7/ETHG7/ETHZ6</t>
  </si>
  <si>
    <t>syn ETHX6/ETHH7/ETHV6/ETHG7/ETHF7/ETHZ6</t>
  </si>
  <si>
    <t>syn ETHX6/ETHH7/ETHF7/ETHV6/ETHG7/ETHZ6</t>
  </si>
  <si>
    <t>syn ETHX6/ETHH7/ETHF7/ETHG7/ETHV6/ETHZ6</t>
  </si>
  <si>
    <t>syn ETHX6/ETHH7/ETHG7/ETHV6/ETHF7/ETHZ6</t>
  </si>
  <si>
    <t>syn ETHX6/ETHH7/ETHG7/ETHF7/ETHV6/ETHZ6</t>
  </si>
  <si>
    <t>syn ETHF7/ETHV6/ETHX6/ETHG7/ETHH7/ETHZ6</t>
  </si>
  <si>
    <t>syn ETHF7/ETHV6/ETHX6/ETHH7/ETHG7/ETHZ6</t>
  </si>
  <si>
    <t>syn ETHF7/ETHV6/ETHG7/ETHX6/ETHH7/ETHZ6</t>
  </si>
  <si>
    <t>syn ETHF7/ETHV6/ETHG7/ETHH7/ETHX6/ETHZ6</t>
  </si>
  <si>
    <t>syn ETHF7/ETHV6/ETHH7/ETHX6/ETHG7/ETHZ6</t>
  </si>
  <si>
    <t>syn ETHF7/ETHV6/ETHH7/ETHG7/ETHX6/ETHZ6</t>
  </si>
  <si>
    <t>syn ETHF7/ETHX6/ETHV6/ETHG7/ETHH7/ETHZ6</t>
  </si>
  <si>
    <t>syn ETHF7/ETHX6/ETHV6/ETHH7/ETHG7/ETHZ6</t>
  </si>
  <si>
    <t>syn ETHF7/ETHX6/ETHG7/ETHV6/ETHH7/ETHZ6</t>
  </si>
  <si>
    <t>syn ETHF7/ETHX6/ETHG7/ETHH7/ETHV6/ETHZ6</t>
  </si>
  <si>
    <t>syn ETHF7/ETHX6/ETHH7/ETHV6/ETHG7/ETHZ6</t>
  </si>
  <si>
    <t>syn ETHF7/ETHX6/ETHH7/ETHG7/ETHV6/ETHZ6</t>
  </si>
  <si>
    <t>syn ETHF7/ETHG7/ETHV6/ETHX6/ETHH7/ETHZ6</t>
  </si>
  <si>
    <t>syn ETHF7/ETHG7/ETHV6/ETHH7/ETHX6/ETHZ6</t>
  </si>
  <si>
    <t>syn ETHF7/ETHG7/ETHX6/ETHV6/ETHH7/ETHZ6</t>
  </si>
  <si>
    <t>syn ETHF7/ETHG7/ETHX6/ETHH7/ETHV6/ETHZ6</t>
  </si>
  <si>
    <t>syn ETHF7/ETHG7/ETHH7/ETHV6/ETHX6/ETHZ6</t>
  </si>
  <si>
    <t>syn ETHF7/ETHG7/ETHH7/ETHX6/ETHV6/ETHZ6</t>
  </si>
  <si>
    <t>syn ETHF7/ETHH7/ETHV6/ETHX6/ETHG7/ETHZ6</t>
  </si>
  <si>
    <t>syn ETHF7/ETHH7/ETHV6/ETHG7/ETHX6/ETHZ6</t>
  </si>
  <si>
    <t>syn ETHF7/ETHH7/ETHX6/ETHV6/ETHG7/ETHZ6</t>
  </si>
  <si>
    <t>syn ETHF7/ETHH7/ETHX6/ETHG7/ETHV6/ETHZ6</t>
  </si>
  <si>
    <t>syn ETHF7/ETHH7/ETHG7/ETHV6/ETHX6/ETHZ6</t>
  </si>
  <si>
    <t>syn ETHF7/ETHH7/ETHG7/ETHX6/ETHV6/ETHZ6</t>
  </si>
  <si>
    <t>syn ETHG7/ETHV6/ETHX6/ETHF7/ETHH7/ETHZ6</t>
  </si>
  <si>
    <t>syn ETHG7/ETHV6/ETHX6/ETHH7/ETHF7/ETHZ6</t>
  </si>
  <si>
    <t>syn ETHG7/ETHV6/ETHF7/ETHX6/ETHH7/ETHZ6</t>
  </si>
  <si>
    <t>syn ETHG7/ETHV6/ETHF7/ETHH7/ETHX6/ETHZ6</t>
  </si>
  <si>
    <t>syn ETHG7/ETHV6/ETHH7/ETHX6/ETHF7/ETHZ6</t>
  </si>
  <si>
    <t>syn ETHG7/ETHV6/ETHH7/ETHF7/ETHX6/ETHZ6</t>
  </si>
  <si>
    <t>syn ETHG7/ETHX6/ETHV6/ETHF7/ETHH7/ETHZ6</t>
  </si>
  <si>
    <t>syn ETHG7/ETHX6/ETHV6/ETHH7/ETHF7/ETHZ6</t>
  </si>
  <si>
    <t>syn ETHG7/ETHX6/ETHF7/ETHV6/ETHH7/ETHZ6</t>
  </si>
  <si>
    <t>syn ETHG7/ETHX6/ETHF7/ETHH7/ETHV6/ETHZ6</t>
  </si>
  <si>
    <t>syn ETHG7/ETHX6/ETHH7/ETHV6/ETHF7/ETHZ6</t>
  </si>
  <si>
    <t>syn ETHG7/ETHX6/ETHH7/ETHF7/ETHV6/ETHZ6</t>
  </si>
  <si>
    <t>syn ETHG7/ETHF7/ETHV6/ETHX6/ETHH7/ETHZ6</t>
  </si>
  <si>
    <t>syn ETHG7/ETHF7/ETHV6/ETHH7/ETHX6/ETHZ6</t>
  </si>
  <si>
    <t>syn ETHG7/ETHF7/ETHX6/ETHV6/ETHH7/ETHZ6</t>
  </si>
  <si>
    <t>syn ETHG7/ETHF7/ETHX6/ETHH7/ETHV6/ETHZ6</t>
  </si>
  <si>
    <t>syn ETHG7/ETHF7/ETHH7/ETHV6/ETHX6/ETHZ6</t>
  </si>
  <si>
    <t>syn ETHG7/ETHF7/ETHH7/ETHX6/ETHV6/ETHZ6</t>
  </si>
  <si>
    <t>syn ETHG7/ETHH7/ETHV6/ETHX6/ETHF7/ETHZ6</t>
  </si>
  <si>
    <t>syn ETHG7/ETHH7/ETHV6/ETHF7/ETHX6/ETHZ6</t>
  </si>
  <si>
    <t>syn ETHG7/ETHH7/ETHX6/ETHV6/ETHF7/ETHZ6</t>
  </si>
  <si>
    <t>syn ETHG7/ETHH7/ETHX6/ETHF7/ETHV6/ETHZ6</t>
  </si>
  <si>
    <t>syn ETHG7/ETHH7/ETHF7/ETHV6/ETHX6/ETHZ6</t>
  </si>
  <si>
    <t>syn ETHG7/ETHH7/ETHF7/ETHX6/ETHV6/ETHZ6</t>
  </si>
  <si>
    <t>syn ETHH7/ETHV6/ETHX6/ETHF7/ETHG7/ETHZ6</t>
  </si>
  <si>
    <t>syn ETHH7/ETHV6/ETHX6/ETHG7/ETHF7/ETHZ6</t>
  </si>
  <si>
    <t>syn ETHH7/ETHV6/ETHF7/ETHX6/ETHG7/ETHZ6</t>
  </si>
  <si>
    <t>syn ETHH7/ETHV6/ETHF7/ETHG7/ETHX6/ETHZ6</t>
  </si>
  <si>
    <t>syn ETHH7/ETHV6/ETHG7/ETHX6/ETHF7/ETHZ6</t>
  </si>
  <si>
    <t>syn ETHH7/ETHV6/ETHG7/ETHF7/ETHX6/ETHZ6</t>
  </si>
  <si>
    <t>syn ETHH7/ETHX6/ETHV6/ETHF7/ETHG7/ETHZ6</t>
  </si>
  <si>
    <t>syn ETHH7/ETHX6/ETHV6/ETHG7/ETHF7/ETHZ6</t>
  </si>
  <si>
    <t>syn ETHH7/ETHX6/ETHF7/ETHV6/ETHG7/ETHZ6</t>
  </si>
  <si>
    <t>syn ETHH7/ETHX6/ETHF7/ETHG7/ETHV6/ETHZ6</t>
  </si>
  <si>
    <t>syn ETHH7/ETHX6/ETHG7/ETHV6/ETHF7/ETHZ6</t>
  </si>
  <si>
    <t>syn ETHH7/ETHX6/ETHG7/ETHF7/ETHV6/ETHZ6</t>
  </si>
  <si>
    <t>syn ETHH7/ETHF7/ETHV6/ETHX6/ETHG7/ETHZ6</t>
  </si>
  <si>
    <t>syn ETHH7/ETHF7/ETHV6/ETHG7/ETHX6/ETHZ6</t>
  </si>
  <si>
    <t>syn ETHH7/ETHF7/ETHX6/ETHV6/ETHG7/ETHZ6</t>
  </si>
  <si>
    <t>syn ETHH7/ETHF7/ETHX6/ETHG7/ETHV6/ETHZ6</t>
  </si>
  <si>
    <t>syn ETHH7/ETHF7/ETHG7/ETHV6/ETHX6/ETHZ6</t>
  </si>
  <si>
    <t>syn ETHH7/ETHF7/ETHG7/ETHX6/ETHV6/ETHZ6</t>
  </si>
  <si>
    <t>syn ETHH7/ETHG7/ETHV6/ETHX6/ETHF7/ETHZ6</t>
  </si>
  <si>
    <t>syn ETHH7/ETHG7/ETHV6/ETHF7/ETHX6/ETHZ6</t>
  </si>
  <si>
    <t>syn ETHH7/ETHG7/ETHX6/ETHV6/ETHF7/ETHZ6</t>
  </si>
  <si>
    <t>syn ETHH7/ETHG7/ETHX6/ETHF7/ETHV6/ETHZ6</t>
  </si>
  <si>
    <t>syn ETHH7/ETHG7/ETHF7/ETHV6/ETHX6/ETHZ6</t>
  </si>
  <si>
    <t>syn ETHH7/ETHG7/ETHF7/ETHX6/ETHV6/ETHZ6</t>
  </si>
  <si>
    <t>syn ETHH7/ETHF7</t>
  </si>
  <si>
    <t>syn ETHV6/ETHH7/ETHF7</t>
  </si>
  <si>
    <t>syn ETHX6/ETHH7/ETHF7</t>
  </si>
  <si>
    <t>syn ETHZ6/ETHH7/ETHF7</t>
  </si>
  <si>
    <t>syn ETHG7/ETHH7/ETHF7</t>
  </si>
  <si>
    <t>syn ETHH7/ETHV6/ETHF7</t>
  </si>
  <si>
    <t>syn ETHH7/ETHX6/ETHF7</t>
  </si>
  <si>
    <t>syn ETHH7/ETHZ6/ETHF7</t>
  </si>
  <si>
    <t>syn ETHH7/ETHG7/ETHF7</t>
  </si>
  <si>
    <t>syn ETHV6/ETHX6/ETHH7/ETHF7</t>
  </si>
  <si>
    <t>syn ETHV6/ETHZ6/ETHH7/ETHF7</t>
  </si>
  <si>
    <t>syn ETHV6/ETHG7/ETHH7/ETHF7</t>
  </si>
  <si>
    <t>syn ETHV6/ETHH7/ETHX6/ETHF7</t>
  </si>
  <si>
    <t>syn ETHV6/ETHH7/ETHZ6/ETHF7</t>
  </si>
  <si>
    <t>syn ETHV6/ETHH7/ETHG7/ETHF7</t>
  </si>
  <si>
    <t>syn ETHX6/ETHV6/ETHH7/ETHF7</t>
  </si>
  <si>
    <t>syn ETHX6/ETHZ6/ETHH7/ETHF7</t>
  </si>
  <si>
    <t>syn ETHX6/ETHG7/ETHH7/ETHF7</t>
  </si>
  <si>
    <t>syn ETHX6/ETHH7/ETHV6/ETHF7</t>
  </si>
  <si>
    <t>syn ETHX6/ETHH7/ETHZ6/ETHF7</t>
  </si>
  <si>
    <t>syn ETHX6/ETHH7/ETHG7/ETHF7</t>
  </si>
  <si>
    <t>syn ETHZ6/ETHV6/ETHH7/ETHF7</t>
  </si>
  <si>
    <t>syn ETHZ6/ETHX6/ETHH7/ETHF7</t>
  </si>
  <si>
    <t>syn ETHZ6/ETHG7/ETHH7/ETHF7</t>
  </si>
  <si>
    <t>syn ETHZ6/ETHH7/ETHV6/ETHF7</t>
  </si>
  <si>
    <t>syn ETHZ6/ETHH7/ETHX6/ETHF7</t>
  </si>
  <si>
    <t>syn ETHZ6/ETHH7/ETHG7/ETHF7</t>
  </si>
  <si>
    <t>syn ETHG7/ETHV6/ETHH7/ETHF7</t>
  </si>
  <si>
    <t>syn ETHG7/ETHX6/ETHH7/ETHF7</t>
  </si>
  <si>
    <t>syn ETHG7/ETHZ6/ETHH7/ETHF7</t>
  </si>
  <si>
    <t>syn ETHG7/ETHH7/ETHV6/ETHF7</t>
  </si>
  <si>
    <t>syn ETHG7/ETHH7/ETHX6/ETHF7</t>
  </si>
  <si>
    <t>syn ETHG7/ETHH7/ETHZ6/ETHF7</t>
  </si>
  <si>
    <t>syn ETHH7/ETHV6/ETHX6/ETHF7</t>
  </si>
  <si>
    <t>syn ETHH7/ETHV6/ETHZ6/ETHF7</t>
  </si>
  <si>
    <t>syn ETHH7/ETHV6/ETHG7/ETHF7</t>
  </si>
  <si>
    <t>syn ETHH7/ETHX6/ETHV6/ETHF7</t>
  </si>
  <si>
    <t>syn ETHH7/ETHX6/ETHZ6/ETHF7</t>
  </si>
  <si>
    <t>syn ETHH7/ETHX6/ETHG7/ETHF7</t>
  </si>
  <si>
    <t>syn ETHH7/ETHZ6/ETHV6/ETHF7</t>
  </si>
  <si>
    <t>syn ETHH7/ETHZ6/ETHX6/ETHF7</t>
  </si>
  <si>
    <t>syn ETHH7/ETHZ6/ETHG7/ETHF7</t>
  </si>
  <si>
    <t>syn ETHH7/ETHG7/ETHV6/ETHF7</t>
  </si>
  <si>
    <t>syn ETHH7/ETHG7/ETHX6/ETHF7</t>
  </si>
  <si>
    <t>syn ETHH7/ETHG7/ETHZ6/ETHF7</t>
  </si>
  <si>
    <t>syn ETHV6/ETHX6/ETHZ6/ETHH7/ETHF7</t>
  </si>
  <si>
    <t>syn ETHV6/ETHX6/ETHG7/ETHH7/ETHF7</t>
  </si>
  <si>
    <t>syn ETHV6/ETHX6/ETHH7/ETHZ6/ETHF7</t>
  </si>
  <si>
    <t>syn ETHV6/ETHX6/ETHH7/ETHG7/ETHF7</t>
  </si>
  <si>
    <t>syn ETHV6/ETHZ6/ETHX6/ETHH7/ETHF7</t>
  </si>
  <si>
    <t>syn ETHV6/ETHZ6/ETHG7/ETHH7/ETHF7</t>
  </si>
  <si>
    <t>syn ETHV6/ETHZ6/ETHH7/ETHX6/ETHF7</t>
  </si>
  <si>
    <t>syn ETHV6/ETHZ6/ETHH7/ETHG7/ETHF7</t>
  </si>
  <si>
    <t>syn ETHV6/ETHG7/ETHX6/ETHH7/ETHF7</t>
  </si>
  <si>
    <t>syn ETHV6/ETHG7/ETHZ6/ETHH7/ETHF7</t>
  </si>
  <si>
    <t>syn ETHV6/ETHG7/ETHH7/ETHX6/ETHF7</t>
  </si>
  <si>
    <t>syn ETHV6/ETHG7/ETHH7/ETHZ6/ETHF7</t>
  </si>
  <si>
    <t>syn ETHV6/ETHH7/ETHX6/ETHZ6/ETHF7</t>
  </si>
  <si>
    <t>syn ETHV6/ETHH7/ETHX6/ETHG7/ETHF7</t>
  </si>
  <si>
    <t>syn ETHV6/ETHH7/ETHZ6/ETHX6/ETHF7</t>
  </si>
  <si>
    <t>syn ETHV6/ETHH7/ETHZ6/ETHG7/ETHF7</t>
  </si>
  <si>
    <t>syn ETHV6/ETHH7/ETHG7/ETHX6/ETHF7</t>
  </si>
  <si>
    <t>syn ETHV6/ETHH7/ETHG7/ETHZ6/ETHF7</t>
  </si>
  <si>
    <t>syn ETHX6/ETHV6/ETHZ6/ETHH7/ETHF7</t>
  </si>
  <si>
    <t>syn ETHX6/ETHV6/ETHG7/ETHH7/ETHF7</t>
  </si>
  <si>
    <t>syn ETHX6/ETHV6/ETHH7/ETHZ6/ETHF7</t>
  </si>
  <si>
    <t>syn ETHX6/ETHV6/ETHH7/ETHG7/ETHF7</t>
  </si>
  <si>
    <t>syn ETHX6/ETHZ6/ETHV6/ETHH7/ETHF7</t>
  </si>
  <si>
    <t>syn ETHX6/ETHZ6/ETHG7/ETHH7/ETHF7</t>
  </si>
  <si>
    <t>syn ETHX6/ETHZ6/ETHH7/ETHV6/ETHF7</t>
  </si>
  <si>
    <t>syn ETHX6/ETHZ6/ETHH7/ETHG7/ETHF7</t>
  </si>
  <si>
    <t>syn ETHX6/ETHG7/ETHV6/ETHH7/ETHF7</t>
  </si>
  <si>
    <t>syn ETHX6/ETHG7/ETHZ6/ETHH7/ETHF7</t>
  </si>
  <si>
    <t>syn ETHX6/ETHG7/ETHH7/ETHV6/ETHF7</t>
  </si>
  <si>
    <t>syn ETHX6/ETHG7/ETHH7/ETHZ6/ETHF7</t>
  </si>
  <si>
    <t>syn ETHX6/ETHH7/ETHV6/ETHZ6/ETHF7</t>
  </si>
  <si>
    <t>syn ETHX6/ETHH7/ETHV6/ETHG7/ETHF7</t>
  </si>
  <si>
    <t>syn ETHX6/ETHH7/ETHZ6/ETHV6/ETHF7</t>
  </si>
  <si>
    <t>syn ETHX6/ETHH7/ETHZ6/ETHG7/ETHF7</t>
  </si>
  <si>
    <t>syn ETHX6/ETHH7/ETHG7/ETHV6/ETHF7</t>
  </si>
  <si>
    <t>syn ETHX6/ETHH7/ETHG7/ETHZ6/ETHF7</t>
  </si>
  <si>
    <t>syn ETHZ6/ETHV6/ETHX6/ETHH7/ETHF7</t>
  </si>
  <si>
    <t>syn ETHZ6/ETHV6/ETHG7/ETHH7/ETHF7</t>
  </si>
  <si>
    <t>syn ETHZ6/ETHV6/ETHH7/ETHX6/ETHF7</t>
  </si>
  <si>
    <t>syn ETHZ6/ETHV6/ETHH7/ETHG7/ETHF7</t>
  </si>
  <si>
    <t>syn ETHZ6/ETHX6/ETHV6/ETHH7/ETHF7</t>
  </si>
  <si>
    <t>syn ETHZ6/ETHX6/ETHG7/ETHH7/ETHF7</t>
  </si>
  <si>
    <t>syn ETHZ6/ETHX6/ETHH7/ETHV6/ETHF7</t>
  </si>
  <si>
    <t>syn ETHZ6/ETHX6/ETHH7/ETHG7/ETHF7</t>
  </si>
  <si>
    <t>syn ETHZ6/ETHG7/ETHV6/ETHH7/ETHF7</t>
  </si>
  <si>
    <t>syn ETHZ6/ETHG7/ETHX6/ETHH7/ETHF7</t>
  </si>
  <si>
    <t>syn ETHZ6/ETHG7/ETHH7/ETHV6/ETHF7</t>
  </si>
  <si>
    <t>syn ETHZ6/ETHG7/ETHH7/ETHX6/ETHF7</t>
  </si>
  <si>
    <t>syn ETHZ6/ETHH7/ETHV6/ETHX6/ETHF7</t>
  </si>
  <si>
    <t>syn ETHZ6/ETHH7/ETHV6/ETHG7/ETHF7</t>
  </si>
  <si>
    <t>syn ETHZ6/ETHH7/ETHX6/ETHV6/ETHF7</t>
  </si>
  <si>
    <t>syn ETHZ6/ETHH7/ETHX6/ETHG7/ETHF7</t>
  </si>
  <si>
    <t>syn ETHZ6/ETHH7/ETHG7/ETHV6/ETHF7</t>
  </si>
  <si>
    <t>syn ETHZ6/ETHH7/ETHG7/ETHX6/ETHF7</t>
  </si>
  <si>
    <t>syn ETHG7/ETHV6/ETHX6/ETHH7/ETHF7</t>
  </si>
  <si>
    <t>syn ETHG7/ETHV6/ETHZ6/ETHH7/ETHF7</t>
  </si>
  <si>
    <t>syn ETHG7/ETHV6/ETHH7/ETHX6/ETHF7</t>
  </si>
  <si>
    <t>syn ETHG7/ETHV6/ETHH7/ETHZ6/ETHF7</t>
  </si>
  <si>
    <t>syn ETHG7/ETHX6/ETHV6/ETHH7/ETHF7</t>
  </si>
  <si>
    <t>syn ETHG7/ETHX6/ETHZ6/ETHH7/ETHF7</t>
  </si>
  <si>
    <t>syn ETHG7/ETHX6/ETHH7/ETHV6/ETHF7</t>
  </si>
  <si>
    <t>syn ETHG7/ETHX6/ETHH7/ETHZ6/ETHF7</t>
  </si>
  <si>
    <t>syn ETHG7/ETHZ6/ETHV6/ETHH7/ETHF7</t>
  </si>
  <si>
    <t>syn ETHG7/ETHZ6/ETHX6/ETHH7/ETHF7</t>
  </si>
  <si>
    <t>syn ETHG7/ETHZ6/ETHH7/ETHV6/ETHF7</t>
  </si>
  <si>
    <t>syn ETHG7/ETHZ6/ETHH7/ETHX6/ETHF7</t>
  </si>
  <si>
    <t>syn ETHG7/ETHH7/ETHV6/ETHX6/ETHF7</t>
  </si>
  <si>
    <t>syn ETHG7/ETHH7/ETHV6/ETHZ6/ETHF7</t>
  </si>
  <si>
    <t>syn ETHG7/ETHH7/ETHX6/ETHV6/ETHF7</t>
  </si>
  <si>
    <t>syn ETHG7/ETHH7/ETHX6/ETHZ6/ETHF7</t>
  </si>
  <si>
    <t>syn ETHG7/ETHH7/ETHZ6/ETHV6/ETHF7</t>
  </si>
  <si>
    <t>syn ETHG7/ETHH7/ETHZ6/ETHX6/ETHF7</t>
  </si>
  <si>
    <t>syn ETHH7/ETHV6/ETHX6/ETHZ6/ETHF7</t>
  </si>
  <si>
    <t>syn ETHH7/ETHV6/ETHX6/ETHG7/ETHF7</t>
  </si>
  <si>
    <t>syn ETHH7/ETHV6/ETHZ6/ETHX6/ETHF7</t>
  </si>
  <si>
    <t>syn ETHH7/ETHV6/ETHZ6/ETHG7/ETHF7</t>
  </si>
  <si>
    <t>syn ETHH7/ETHV6/ETHG7/ETHX6/ETHF7</t>
  </si>
  <si>
    <t>syn ETHH7/ETHV6/ETHG7/ETHZ6/ETHF7</t>
  </si>
  <si>
    <t>syn ETHH7/ETHX6/ETHV6/ETHZ6/ETHF7</t>
  </si>
  <si>
    <t>syn ETHH7/ETHX6/ETHV6/ETHG7/ETHF7</t>
  </si>
  <si>
    <t>syn ETHH7/ETHX6/ETHZ6/ETHV6/ETHF7</t>
  </si>
  <si>
    <t>syn ETHH7/ETHX6/ETHZ6/ETHG7/ETHF7</t>
  </si>
  <si>
    <t>syn ETHH7/ETHX6/ETHG7/ETHV6/ETHF7</t>
  </si>
  <si>
    <t>syn ETHH7/ETHX6/ETHG7/ETHZ6/ETHF7</t>
  </si>
  <si>
    <t>syn ETHH7/ETHZ6/ETHV6/ETHX6/ETHF7</t>
  </si>
  <si>
    <t>syn ETHH7/ETHZ6/ETHV6/ETHG7/ETHF7</t>
  </si>
  <si>
    <t>syn ETHH7/ETHZ6/ETHX6/ETHV6/ETHF7</t>
  </si>
  <si>
    <t>syn ETHH7/ETHZ6/ETHX6/ETHG7/ETHF7</t>
  </si>
  <si>
    <t>syn ETHH7/ETHZ6/ETHG7/ETHV6/ETHF7</t>
  </si>
  <si>
    <t>syn ETHH7/ETHZ6/ETHG7/ETHX6/ETHF7</t>
  </si>
  <si>
    <t>syn ETHH7/ETHG7/ETHV6/ETHX6/ETHF7</t>
  </si>
  <si>
    <t>syn ETHH7/ETHG7/ETHV6/ETHZ6/ETHF7</t>
  </si>
  <si>
    <t>syn ETHH7/ETHG7/ETHX6/ETHV6/ETHF7</t>
  </si>
  <si>
    <t>syn ETHH7/ETHG7/ETHX6/ETHZ6/ETHF7</t>
  </si>
  <si>
    <t>syn ETHH7/ETHG7/ETHZ6/ETHV6/ETHF7</t>
  </si>
  <si>
    <t>syn ETHH7/ETHG7/ETHZ6/ETHX6/ETHF7</t>
  </si>
  <si>
    <t>syn ETHV6/ETHX6/ETHZ6/ETHG7/ETHH7/ETHF7</t>
  </si>
  <si>
    <t>syn ETHV6/ETHX6/ETHZ6/ETHH7/ETHG7/ETHF7</t>
  </si>
  <si>
    <t>syn ETHV6/ETHX6/ETHG7/ETHZ6/ETHH7/ETHF7</t>
  </si>
  <si>
    <t>syn ETHV6/ETHX6/ETHG7/ETHH7/ETHZ6/ETHF7</t>
  </si>
  <si>
    <t>syn ETHV6/ETHX6/ETHH7/ETHZ6/ETHG7/ETHF7</t>
  </si>
  <si>
    <t>syn ETHV6/ETHX6/ETHH7/ETHG7/ETHZ6/ETHF7</t>
  </si>
  <si>
    <t>syn ETHV6/ETHZ6/ETHX6/ETHG7/ETHH7/ETHF7</t>
  </si>
  <si>
    <t>syn ETHV6/ETHZ6/ETHX6/ETHH7/ETHG7/ETHF7</t>
  </si>
  <si>
    <t>syn ETHV6/ETHZ6/ETHG7/ETHX6/ETHH7/ETHF7</t>
  </si>
  <si>
    <t>syn ETHV6/ETHZ6/ETHG7/ETHH7/ETHX6/ETHF7</t>
  </si>
  <si>
    <t>syn ETHV6/ETHZ6/ETHH7/ETHX6/ETHG7/ETHF7</t>
  </si>
  <si>
    <t>syn ETHV6/ETHZ6/ETHH7/ETHG7/ETHX6/ETHF7</t>
  </si>
  <si>
    <t>syn ETHV6/ETHG7/ETHX6/ETHZ6/ETHH7/ETHF7</t>
  </si>
  <si>
    <t>syn ETHV6/ETHG7/ETHX6/ETHH7/ETHZ6/ETHF7</t>
  </si>
  <si>
    <t>syn ETHV6/ETHG7/ETHZ6/ETHX6/ETHH7/ETHF7</t>
  </si>
  <si>
    <t>syn ETHV6/ETHG7/ETHZ6/ETHH7/ETHX6/ETHF7</t>
  </si>
  <si>
    <t>syn ETHV6/ETHG7/ETHH7/ETHX6/ETHZ6/ETHF7</t>
  </si>
  <si>
    <t>syn ETHV6/ETHG7/ETHH7/ETHZ6/ETHX6/ETHF7</t>
  </si>
  <si>
    <t>syn ETHV6/ETHH7/ETHX6/ETHZ6/ETHG7/ETHF7</t>
  </si>
  <si>
    <t>syn ETHV6/ETHH7/ETHX6/ETHG7/ETHZ6/ETHF7</t>
  </si>
  <si>
    <t>syn ETHV6/ETHH7/ETHZ6/ETHX6/ETHG7/ETHF7</t>
  </si>
  <si>
    <t>syn ETHV6/ETHH7/ETHZ6/ETHG7/ETHX6/ETHF7</t>
  </si>
  <si>
    <t>syn ETHV6/ETHH7/ETHG7/ETHX6/ETHZ6/ETHF7</t>
  </si>
  <si>
    <t>syn ETHV6/ETHH7/ETHG7/ETHZ6/ETHX6/ETHF7</t>
  </si>
  <si>
    <t>syn ETHX6/ETHV6/ETHZ6/ETHG7/ETHH7/ETHF7</t>
  </si>
  <si>
    <t>syn ETHX6/ETHV6/ETHZ6/ETHH7/ETHG7/ETHF7</t>
  </si>
  <si>
    <t>syn ETHX6/ETHV6/ETHG7/ETHZ6/ETHH7/ETHF7</t>
  </si>
  <si>
    <t>syn ETHX6/ETHV6/ETHG7/ETHH7/ETHZ6/ETHF7</t>
  </si>
  <si>
    <t>syn ETHX6/ETHV6/ETHH7/ETHZ6/ETHG7/ETHF7</t>
  </si>
  <si>
    <t>syn ETHX6/ETHV6/ETHH7/ETHG7/ETHZ6/ETHF7</t>
  </si>
  <si>
    <t>syn ETHX6/ETHZ6/ETHV6/ETHG7/ETHH7/ETHF7</t>
  </si>
  <si>
    <t>syn ETHX6/ETHZ6/ETHV6/ETHH7/ETHG7/ETHF7</t>
  </si>
  <si>
    <t>syn ETHX6/ETHZ6/ETHG7/ETHV6/ETHH7/ETHF7</t>
  </si>
  <si>
    <t>syn ETHX6/ETHZ6/ETHG7/ETHH7/ETHV6/ETHF7</t>
  </si>
  <si>
    <t>syn ETHX6/ETHZ6/ETHH7/ETHV6/ETHG7/ETHF7</t>
  </si>
  <si>
    <t>syn ETHX6/ETHZ6/ETHH7/ETHG7/ETHV6/ETHF7</t>
  </si>
  <si>
    <t>syn ETHX6/ETHG7/ETHV6/ETHZ6/ETHH7/ETHF7</t>
  </si>
  <si>
    <t>syn ETHX6/ETHG7/ETHV6/ETHH7/ETHZ6/ETHF7</t>
  </si>
  <si>
    <t>syn ETHX6/ETHG7/ETHZ6/ETHV6/ETHH7/ETHF7</t>
  </si>
  <si>
    <t>syn ETHX6/ETHG7/ETHZ6/ETHH7/ETHV6/ETHF7</t>
  </si>
  <si>
    <t>syn ETHX6/ETHG7/ETHH7/ETHV6/ETHZ6/ETHF7</t>
  </si>
  <si>
    <t>syn ETHX6/ETHG7/ETHH7/ETHZ6/ETHV6/ETHF7</t>
  </si>
  <si>
    <t>syn ETHX6/ETHH7/ETHV6/ETHZ6/ETHG7/ETHF7</t>
  </si>
  <si>
    <t>syn ETHX6/ETHH7/ETHV6/ETHG7/ETHZ6/ETHF7</t>
  </si>
  <si>
    <t>syn ETHX6/ETHH7/ETHZ6/ETHV6/ETHG7/ETHF7</t>
  </si>
  <si>
    <t>syn ETHX6/ETHH7/ETHZ6/ETHG7/ETHV6/ETHF7</t>
  </si>
  <si>
    <t>syn ETHX6/ETHH7/ETHG7/ETHV6/ETHZ6/ETHF7</t>
  </si>
  <si>
    <t>syn ETHX6/ETHH7/ETHG7/ETHZ6/ETHV6/ETHF7</t>
  </si>
  <si>
    <t>syn ETHZ6/ETHV6/ETHX6/ETHG7/ETHH7/ETHF7</t>
  </si>
  <si>
    <t>syn ETHZ6/ETHV6/ETHX6/ETHH7/ETHG7/ETHF7</t>
  </si>
  <si>
    <t>syn ETHZ6/ETHV6/ETHG7/ETHX6/ETHH7/ETHF7</t>
  </si>
  <si>
    <t>syn ETHZ6/ETHV6/ETHG7/ETHH7/ETHX6/ETHF7</t>
  </si>
  <si>
    <t>syn ETHZ6/ETHV6/ETHH7/ETHX6/ETHG7/ETHF7</t>
  </si>
  <si>
    <t>syn ETHZ6/ETHV6/ETHH7/ETHG7/ETHX6/ETHF7</t>
  </si>
  <si>
    <t>syn ETHZ6/ETHX6/ETHV6/ETHG7/ETHH7/ETHF7</t>
  </si>
  <si>
    <t>syn ETHZ6/ETHX6/ETHV6/ETHH7/ETHG7/ETHF7</t>
  </si>
  <si>
    <t>syn ETHZ6/ETHX6/ETHG7/ETHV6/ETHH7/ETHF7</t>
  </si>
  <si>
    <t>syn ETHZ6/ETHX6/ETHG7/ETHH7/ETHV6/ETHF7</t>
  </si>
  <si>
    <t>syn ETHZ6/ETHX6/ETHH7/ETHV6/ETHG7/ETHF7</t>
  </si>
  <si>
    <t>syn ETHZ6/ETHX6/ETHH7/ETHG7/ETHV6/ETHF7</t>
  </si>
  <si>
    <t>syn ETHZ6/ETHG7/ETHV6/ETHX6/ETHH7/ETHF7</t>
  </si>
  <si>
    <t>syn ETHZ6/ETHG7/ETHV6/ETHH7/ETHX6/ETHF7</t>
  </si>
  <si>
    <t>syn ETHZ6/ETHG7/ETHX6/ETHV6/ETHH7/ETHF7</t>
  </si>
  <si>
    <t>syn ETHZ6/ETHG7/ETHX6/ETHH7/ETHV6/ETHF7</t>
  </si>
  <si>
    <t>syn ETHZ6/ETHG7/ETHH7/ETHV6/ETHX6/ETHF7</t>
  </si>
  <si>
    <t>syn ETHZ6/ETHG7/ETHH7/ETHX6/ETHV6/ETHF7</t>
  </si>
  <si>
    <t>syn ETHZ6/ETHH7/ETHV6/ETHX6/ETHG7/ETHF7</t>
  </si>
  <si>
    <t>syn ETHZ6/ETHH7/ETHV6/ETHG7/ETHX6/ETHF7</t>
  </si>
  <si>
    <t>syn ETHZ6/ETHH7/ETHX6/ETHV6/ETHG7/ETHF7</t>
  </si>
  <si>
    <t>syn ETHZ6/ETHH7/ETHX6/ETHG7/ETHV6/ETHF7</t>
  </si>
  <si>
    <t>syn ETHZ6/ETHH7/ETHG7/ETHV6/ETHX6/ETHF7</t>
  </si>
  <si>
    <t>syn ETHZ6/ETHH7/ETHG7/ETHX6/ETHV6/ETHF7</t>
  </si>
  <si>
    <t>syn ETHG7/ETHV6/ETHX6/ETHZ6/ETHH7/ETHF7</t>
  </si>
  <si>
    <t>syn ETHG7/ETHV6/ETHX6/ETHH7/ETHZ6/ETHF7</t>
  </si>
  <si>
    <t>syn ETHG7/ETHV6/ETHZ6/ETHX6/ETHH7/ETHF7</t>
  </si>
  <si>
    <t>syn ETHG7/ETHV6/ETHZ6/ETHH7/ETHX6/ETHF7</t>
  </si>
  <si>
    <t>syn ETHG7/ETHV6/ETHH7/ETHX6/ETHZ6/ETHF7</t>
  </si>
  <si>
    <t>syn ETHG7/ETHV6/ETHH7/ETHZ6/ETHX6/ETHF7</t>
  </si>
  <si>
    <t>syn ETHG7/ETHX6/ETHV6/ETHZ6/ETHH7/ETHF7</t>
  </si>
  <si>
    <t>syn ETHG7/ETHX6/ETHV6/ETHH7/ETHZ6/ETHF7</t>
  </si>
  <si>
    <t>syn ETHG7/ETHX6/ETHZ6/ETHV6/ETHH7/ETHF7</t>
  </si>
  <si>
    <t>syn ETHG7/ETHX6/ETHZ6/ETHH7/ETHV6/ETHF7</t>
  </si>
  <si>
    <t>syn ETHG7/ETHX6/ETHH7/ETHV6/ETHZ6/ETHF7</t>
  </si>
  <si>
    <t>syn ETHG7/ETHX6/ETHH7/ETHZ6/ETHV6/ETHF7</t>
  </si>
  <si>
    <t>syn ETHG7/ETHZ6/ETHV6/ETHX6/ETHH7/ETHF7</t>
  </si>
  <si>
    <t>syn ETHG7/ETHZ6/ETHV6/ETHH7/ETHX6/ETHF7</t>
  </si>
  <si>
    <t>syn ETHG7/ETHZ6/ETHX6/ETHV6/ETHH7/ETHF7</t>
  </si>
  <si>
    <t>syn ETHG7/ETHZ6/ETHX6/ETHH7/ETHV6/ETHF7</t>
  </si>
  <si>
    <t>syn ETHG7/ETHZ6/ETHH7/ETHV6/ETHX6/ETHF7</t>
  </si>
  <si>
    <t>syn ETHG7/ETHZ6/ETHH7/ETHX6/ETHV6/ETHF7</t>
  </si>
  <si>
    <t>syn ETHG7/ETHH7/ETHV6/ETHX6/ETHZ6/ETHF7</t>
  </si>
  <si>
    <t>syn ETHG7/ETHH7/ETHV6/ETHZ6/ETHX6/ETHF7</t>
  </si>
  <si>
    <t>syn ETHG7/ETHH7/ETHX6/ETHV6/ETHZ6/ETHF7</t>
  </si>
  <si>
    <t>syn ETHG7/ETHH7/ETHX6/ETHZ6/ETHV6/ETHF7</t>
  </si>
  <si>
    <t>syn ETHG7/ETHH7/ETHZ6/ETHV6/ETHX6/ETHF7</t>
  </si>
  <si>
    <t>syn ETHG7/ETHH7/ETHZ6/ETHX6/ETHV6/ETHF7</t>
  </si>
  <si>
    <t>syn ETHH7/ETHV6/ETHX6/ETHZ6/ETHG7/ETHF7</t>
  </si>
  <si>
    <t>syn ETHH7/ETHV6/ETHX6/ETHG7/ETHZ6/ETHF7</t>
  </si>
  <si>
    <t>syn ETHH7/ETHV6/ETHZ6/ETHX6/ETHG7/ETHF7</t>
  </si>
  <si>
    <t>syn ETHH7/ETHV6/ETHZ6/ETHG7/ETHX6/ETHF7</t>
  </si>
  <si>
    <t>syn ETHH7/ETHV6/ETHG7/ETHX6/ETHZ6/ETHF7</t>
  </si>
  <si>
    <t>syn ETHH7/ETHV6/ETHG7/ETHZ6/ETHX6/ETHF7</t>
  </si>
  <si>
    <t>syn ETHH7/ETHX6/ETHV6/ETHZ6/ETHG7/ETHF7</t>
  </si>
  <si>
    <t>syn ETHH7/ETHX6/ETHV6/ETHG7/ETHZ6/ETHF7</t>
  </si>
  <si>
    <t>syn ETHH7/ETHX6/ETHZ6/ETHV6/ETHG7/ETHF7</t>
  </si>
  <si>
    <t>syn ETHH7/ETHX6/ETHZ6/ETHG7/ETHV6/ETHF7</t>
  </si>
  <si>
    <t>syn ETHH7/ETHX6/ETHG7/ETHV6/ETHZ6/ETHF7</t>
  </si>
  <si>
    <t>syn ETHH7/ETHX6/ETHG7/ETHZ6/ETHV6/ETHF7</t>
  </si>
  <si>
    <t>syn ETHH7/ETHZ6/ETHV6/ETHX6/ETHG7/ETHF7</t>
  </si>
  <si>
    <t>syn ETHH7/ETHZ6/ETHV6/ETHG7/ETHX6/ETHF7</t>
  </si>
  <si>
    <t>syn ETHH7/ETHZ6/ETHX6/ETHV6/ETHG7/ETHF7</t>
  </si>
  <si>
    <t>syn ETHH7/ETHZ6/ETHX6/ETHG7/ETHV6/ETHF7</t>
  </si>
  <si>
    <t>syn ETHH7/ETHZ6/ETHG7/ETHV6/ETHX6/ETHF7</t>
  </si>
  <si>
    <t>syn ETHH7/ETHZ6/ETHG7/ETHX6/ETHV6/ETHF7</t>
  </si>
  <si>
    <t>syn ETHH7/ETHG7/ETHV6/ETHX6/ETHZ6/ETHF7</t>
  </si>
  <si>
    <t>syn ETHH7/ETHG7/ETHV6/ETHZ6/ETHX6/ETHF7</t>
  </si>
  <si>
    <t>syn ETHH7/ETHG7/ETHX6/ETHV6/ETHZ6/ETHF7</t>
  </si>
  <si>
    <t>syn ETHH7/ETHG7/ETHX6/ETHZ6/ETHV6/ETHF7</t>
  </si>
  <si>
    <t>syn ETHH7/ETHG7/ETHZ6/ETHV6/ETHX6/ETHF7</t>
  </si>
  <si>
    <t>syn ETHH7/ETHG7/ETHZ6/ETHX6/ETHV6/ETHF7</t>
  </si>
  <si>
    <t>syn ETHH7/ETHG7</t>
  </si>
  <si>
    <t>syn ETHV6/ETHH7/ETHG7</t>
  </si>
  <si>
    <t>syn ETHX6/ETHH7/ETHG7</t>
  </si>
  <si>
    <t>syn ETHZ6/ETHH7/ETHG7</t>
  </si>
  <si>
    <t>syn ETHF7/ETHH7/ETHG7</t>
  </si>
  <si>
    <t>syn ETHH7/ETHV6/ETHG7</t>
  </si>
  <si>
    <t>syn ETHH7/ETHX6/ETHG7</t>
  </si>
  <si>
    <t>syn ETHH7/ETHZ6/ETHG7</t>
  </si>
  <si>
    <t>syn ETHH7/ETHF7/ETHG7</t>
  </si>
  <si>
    <t>syn ETHV6/ETHX6/ETHH7/ETHG7</t>
  </si>
  <si>
    <t>syn ETHV6/ETHZ6/ETHH7/ETHG7</t>
  </si>
  <si>
    <t>syn ETHV6/ETHF7/ETHH7/ETHG7</t>
  </si>
  <si>
    <t>syn ETHV6/ETHH7/ETHX6/ETHG7</t>
  </si>
  <si>
    <t>syn ETHV6/ETHH7/ETHZ6/ETHG7</t>
  </si>
  <si>
    <t>syn ETHV6/ETHH7/ETHF7/ETHG7</t>
  </si>
  <si>
    <t>syn ETHX6/ETHV6/ETHH7/ETHG7</t>
  </si>
  <si>
    <t>syn ETHX6/ETHZ6/ETHH7/ETHG7</t>
  </si>
  <si>
    <t>syn ETHX6/ETHF7/ETHH7/ETHG7</t>
  </si>
  <si>
    <t>syn ETHX6/ETHH7/ETHV6/ETHG7</t>
  </si>
  <si>
    <t>syn ETHX6/ETHH7/ETHZ6/ETHG7</t>
  </si>
  <si>
    <t>syn ETHX6/ETHH7/ETHF7/ETHG7</t>
  </si>
  <si>
    <t>syn ETHZ6/ETHV6/ETHH7/ETHG7</t>
  </si>
  <si>
    <t>syn ETHZ6/ETHX6/ETHH7/ETHG7</t>
  </si>
  <si>
    <t>syn ETHZ6/ETHF7/ETHH7/ETHG7</t>
  </si>
  <si>
    <t>syn ETHZ6/ETHH7/ETHV6/ETHG7</t>
  </si>
  <si>
    <t>syn ETHZ6/ETHH7/ETHX6/ETHG7</t>
  </si>
  <si>
    <t>syn ETHZ6/ETHH7/ETHF7/ETHG7</t>
  </si>
  <si>
    <t>syn ETHF7/ETHV6/ETHH7/ETHG7</t>
  </si>
  <si>
    <t>syn ETHF7/ETHX6/ETHH7/ETHG7</t>
  </si>
  <si>
    <t>syn ETHF7/ETHZ6/ETHH7/ETHG7</t>
  </si>
  <si>
    <t>syn ETHF7/ETHH7/ETHV6/ETHG7</t>
  </si>
  <si>
    <t>syn ETHF7/ETHH7/ETHX6/ETHG7</t>
  </si>
  <si>
    <t>syn ETHF7/ETHH7/ETHZ6/ETHG7</t>
  </si>
  <si>
    <t>syn ETHH7/ETHV6/ETHX6/ETHG7</t>
  </si>
  <si>
    <t>syn ETHH7/ETHV6/ETHZ6/ETHG7</t>
  </si>
  <si>
    <t>syn ETHH7/ETHV6/ETHF7/ETHG7</t>
  </si>
  <si>
    <t>syn ETHH7/ETHX6/ETHV6/ETHG7</t>
  </si>
  <si>
    <t>syn ETHH7/ETHX6/ETHZ6/ETHG7</t>
  </si>
  <si>
    <t>syn ETHH7/ETHX6/ETHF7/ETHG7</t>
  </si>
  <si>
    <t>syn ETHH7/ETHZ6/ETHV6/ETHG7</t>
  </si>
  <si>
    <t>syn ETHH7/ETHZ6/ETHX6/ETHG7</t>
  </si>
  <si>
    <t>syn ETHH7/ETHZ6/ETHF7/ETHG7</t>
  </si>
  <si>
    <t>syn ETHH7/ETHF7/ETHV6/ETHG7</t>
  </si>
  <si>
    <t>syn ETHH7/ETHF7/ETHX6/ETHG7</t>
  </si>
  <si>
    <t>syn ETHH7/ETHF7/ETHZ6/ETHG7</t>
  </si>
  <si>
    <t>syn ETHV6/ETHX6/ETHZ6/ETHH7/ETHG7</t>
  </si>
  <si>
    <t>syn ETHV6/ETHX6/ETHF7/ETHH7/ETHG7</t>
  </si>
  <si>
    <t>syn ETHV6/ETHX6/ETHH7/ETHZ6/ETHG7</t>
  </si>
  <si>
    <t>syn ETHV6/ETHX6/ETHH7/ETHF7/ETHG7</t>
  </si>
  <si>
    <t>syn ETHV6/ETHZ6/ETHX6/ETHH7/ETHG7</t>
  </si>
  <si>
    <t>syn ETHV6/ETHZ6/ETHF7/ETHH7/ETHG7</t>
  </si>
  <si>
    <t>syn ETHV6/ETHZ6/ETHH7/ETHX6/ETHG7</t>
  </si>
  <si>
    <t>syn ETHV6/ETHZ6/ETHH7/ETHF7/ETHG7</t>
  </si>
  <si>
    <t>syn ETHV6/ETHF7/ETHX6/ETHH7/ETHG7</t>
  </si>
  <si>
    <t>syn ETHV6/ETHF7/ETHZ6/ETHH7/ETHG7</t>
  </si>
  <si>
    <t>syn ETHV6/ETHF7/ETHH7/ETHX6/ETHG7</t>
  </si>
  <si>
    <t>syn ETHV6/ETHF7/ETHH7/ETHZ6/ETHG7</t>
  </si>
  <si>
    <t>syn ETHV6/ETHH7/ETHX6/ETHZ6/ETHG7</t>
  </si>
  <si>
    <t>syn ETHV6/ETHH7/ETHX6/ETHF7/ETHG7</t>
  </si>
  <si>
    <t>syn ETHV6/ETHH7/ETHZ6/ETHX6/ETHG7</t>
  </si>
  <si>
    <t>syn ETHV6/ETHH7/ETHZ6/ETHF7/ETHG7</t>
  </si>
  <si>
    <t>syn ETHV6/ETHH7/ETHF7/ETHX6/ETHG7</t>
  </si>
  <si>
    <t>syn ETHV6/ETHH7/ETHF7/ETHZ6/ETHG7</t>
  </si>
  <si>
    <t>syn ETHX6/ETHV6/ETHZ6/ETHH7/ETHG7</t>
  </si>
  <si>
    <t>syn ETHX6/ETHV6/ETHF7/ETHH7/ETHG7</t>
  </si>
  <si>
    <t>syn ETHX6/ETHV6/ETHH7/ETHZ6/ETHG7</t>
  </si>
  <si>
    <t>syn ETHX6/ETHV6/ETHH7/ETHF7/ETHG7</t>
  </si>
  <si>
    <t>syn ETHX6/ETHZ6/ETHV6/ETHH7/ETHG7</t>
  </si>
  <si>
    <t>syn ETHX6/ETHZ6/ETHF7/ETHH7/ETHG7</t>
  </si>
  <si>
    <t>syn ETHX6/ETHZ6/ETHH7/ETHV6/ETHG7</t>
  </si>
  <si>
    <t>syn ETHX6/ETHZ6/ETHH7/ETHF7/ETHG7</t>
  </si>
  <si>
    <t>syn ETHX6/ETHF7/ETHV6/ETHH7/ETHG7</t>
  </si>
  <si>
    <t>syn ETHX6/ETHF7/ETHZ6/ETHH7/ETHG7</t>
  </si>
  <si>
    <t>syn ETHX6/ETHF7/ETHH7/ETHV6/ETHG7</t>
  </si>
  <si>
    <t>syn ETHX6/ETHF7/ETHH7/ETHZ6/ETHG7</t>
  </si>
  <si>
    <t>syn ETHX6/ETHH7/ETHV6/ETHZ6/ETHG7</t>
  </si>
  <si>
    <t>syn ETHX6/ETHH7/ETHV6/ETHF7/ETHG7</t>
  </si>
  <si>
    <t>syn ETHX6/ETHH7/ETHZ6/ETHV6/ETHG7</t>
  </si>
  <si>
    <t>syn ETHX6/ETHH7/ETHZ6/ETHF7/ETHG7</t>
  </si>
  <si>
    <t>syn ETHX6/ETHH7/ETHF7/ETHV6/ETHG7</t>
  </si>
  <si>
    <t>syn ETHX6/ETHH7/ETHF7/ETHZ6/ETHG7</t>
  </si>
  <si>
    <t>syn ETHZ6/ETHV6/ETHX6/ETHH7/ETHG7</t>
  </si>
  <si>
    <t>syn ETHZ6/ETHV6/ETHF7/ETHH7/ETHG7</t>
  </si>
  <si>
    <t>syn ETHZ6/ETHV6/ETHH7/ETHX6/ETHG7</t>
  </si>
  <si>
    <t>syn ETHZ6/ETHV6/ETHH7/ETHF7/ETHG7</t>
  </si>
  <si>
    <t>syn ETHZ6/ETHX6/ETHV6/ETHH7/ETHG7</t>
  </si>
  <si>
    <t>syn ETHZ6/ETHX6/ETHF7/ETHH7/ETHG7</t>
  </si>
  <si>
    <t>syn ETHZ6/ETHX6/ETHH7/ETHV6/ETHG7</t>
  </si>
  <si>
    <t>syn ETHZ6/ETHX6/ETHH7/ETHF7/ETHG7</t>
  </si>
  <si>
    <t>syn ETHZ6/ETHF7/ETHV6/ETHH7/ETHG7</t>
  </si>
  <si>
    <t>syn ETHZ6/ETHF7/ETHX6/ETHH7/ETHG7</t>
  </si>
  <si>
    <t>syn ETHZ6/ETHF7/ETHH7/ETHV6/ETHG7</t>
  </si>
  <si>
    <t>syn ETHZ6/ETHF7/ETHH7/ETHX6/ETHG7</t>
  </si>
  <si>
    <t>syn ETHZ6/ETHH7/ETHV6/ETHX6/ETHG7</t>
  </si>
  <si>
    <t>syn ETHZ6/ETHH7/ETHV6/ETHF7/ETHG7</t>
  </si>
  <si>
    <t>syn ETHZ6/ETHH7/ETHX6/ETHV6/ETHG7</t>
  </si>
  <si>
    <t>syn ETHZ6/ETHH7/ETHX6/ETHF7/ETHG7</t>
  </si>
  <si>
    <t>syn ETHZ6/ETHH7/ETHF7/ETHV6/ETHG7</t>
  </si>
  <si>
    <t>syn ETHZ6/ETHH7/ETHF7/ETHX6/ETHG7</t>
  </si>
  <si>
    <t>syn ETHF7/ETHV6/ETHX6/ETHH7/ETHG7</t>
  </si>
  <si>
    <t>syn ETHF7/ETHV6/ETHZ6/ETHH7/ETHG7</t>
  </si>
  <si>
    <t>syn ETHF7/ETHV6/ETHH7/ETHX6/ETHG7</t>
  </si>
  <si>
    <t>syn ETHF7/ETHV6/ETHH7/ETHZ6/ETHG7</t>
  </si>
  <si>
    <t>syn ETHF7/ETHX6/ETHV6/ETHH7/ETHG7</t>
  </si>
  <si>
    <t>syn ETHF7/ETHX6/ETHZ6/ETHH7/ETHG7</t>
  </si>
  <si>
    <t>syn ETHF7/ETHX6/ETHH7/ETHV6/ETHG7</t>
  </si>
  <si>
    <t>syn ETHF7/ETHX6/ETHH7/ETHZ6/ETHG7</t>
  </si>
  <si>
    <t>syn ETHF7/ETHZ6/ETHV6/ETHH7/ETHG7</t>
  </si>
  <si>
    <t>syn ETHF7/ETHZ6/ETHX6/ETHH7/ETHG7</t>
  </si>
  <si>
    <t>syn ETHF7/ETHZ6/ETHH7/ETHV6/ETHG7</t>
  </si>
  <si>
    <t>syn ETHF7/ETHZ6/ETHH7/ETHX6/ETHG7</t>
  </si>
  <si>
    <t>syn ETHF7/ETHH7/ETHV6/ETHX6/ETHG7</t>
  </si>
  <si>
    <t>syn ETHF7/ETHH7/ETHV6/ETHZ6/ETHG7</t>
  </si>
  <si>
    <t>syn ETHF7/ETHH7/ETHX6/ETHV6/ETHG7</t>
  </si>
  <si>
    <t>syn ETHF7/ETHH7/ETHX6/ETHZ6/ETHG7</t>
  </si>
  <si>
    <t>syn ETHF7/ETHH7/ETHZ6/ETHV6/ETHG7</t>
  </si>
  <si>
    <t>syn ETHF7/ETHH7/ETHZ6/ETHX6/ETHG7</t>
  </si>
  <si>
    <t>syn ETHH7/ETHV6/ETHX6/ETHZ6/ETHG7</t>
  </si>
  <si>
    <t>syn ETHH7/ETHV6/ETHX6/ETHF7/ETHG7</t>
  </si>
  <si>
    <t>syn ETHH7/ETHV6/ETHZ6/ETHX6/ETHG7</t>
  </si>
  <si>
    <t>syn ETHH7/ETHV6/ETHZ6/ETHF7/ETHG7</t>
  </si>
  <si>
    <t>syn ETHH7/ETHV6/ETHF7/ETHX6/ETHG7</t>
  </si>
  <si>
    <t>syn ETHH7/ETHV6/ETHF7/ETHZ6/ETHG7</t>
  </si>
  <si>
    <t>syn ETHH7/ETHX6/ETHV6/ETHZ6/ETHG7</t>
  </si>
  <si>
    <t>syn ETHH7/ETHX6/ETHV6/ETHF7/ETHG7</t>
  </si>
  <si>
    <t>syn ETHH7/ETHX6/ETHZ6/ETHV6/ETHG7</t>
  </si>
  <si>
    <t>syn ETHH7/ETHX6/ETHZ6/ETHF7/ETHG7</t>
  </si>
  <si>
    <t>syn ETHH7/ETHX6/ETHF7/ETHV6/ETHG7</t>
  </si>
  <si>
    <t>syn ETHH7/ETHX6/ETHF7/ETHZ6/ETHG7</t>
  </si>
  <si>
    <t>syn ETHH7/ETHZ6/ETHV6/ETHX6/ETHG7</t>
  </si>
  <si>
    <t>syn ETHH7/ETHZ6/ETHV6/ETHF7/ETHG7</t>
  </si>
  <si>
    <t>syn ETHH7/ETHZ6/ETHX6/ETHV6/ETHG7</t>
  </si>
  <si>
    <t>syn ETHH7/ETHZ6/ETHX6/ETHF7/ETHG7</t>
  </si>
  <si>
    <t>syn ETHH7/ETHZ6/ETHF7/ETHV6/ETHG7</t>
  </si>
  <si>
    <t>syn ETHH7/ETHZ6/ETHF7/ETHX6/ETHG7</t>
  </si>
  <si>
    <t>syn ETHH7/ETHF7/ETHV6/ETHX6/ETHG7</t>
  </si>
  <si>
    <t>syn ETHH7/ETHF7/ETHV6/ETHZ6/ETHG7</t>
  </si>
  <si>
    <t>syn ETHH7/ETHF7/ETHX6/ETHV6/ETHG7</t>
  </si>
  <si>
    <t>syn ETHH7/ETHF7/ETHX6/ETHZ6/ETHG7</t>
  </si>
  <si>
    <t>syn ETHH7/ETHF7/ETHZ6/ETHV6/ETHG7</t>
  </si>
  <si>
    <t>syn ETHH7/ETHF7/ETHZ6/ETHX6/ETHG7</t>
  </si>
  <si>
    <t>syn ETHV6/ETHX6/ETHZ6/ETHF7/ETHH7/ETHG7</t>
  </si>
  <si>
    <t>syn ETHV6/ETHX6/ETHZ6/ETHH7/ETHF7/ETHG7</t>
  </si>
  <si>
    <t>syn ETHV6/ETHX6/ETHF7/ETHZ6/ETHH7/ETHG7</t>
  </si>
  <si>
    <t>syn ETHV6/ETHX6/ETHF7/ETHH7/ETHZ6/ETHG7</t>
  </si>
  <si>
    <t>syn ETHV6/ETHX6/ETHH7/ETHZ6/ETHF7/ETHG7</t>
  </si>
  <si>
    <t>syn ETHV6/ETHX6/ETHH7/ETHF7/ETHZ6/ETHG7</t>
  </si>
  <si>
    <t>syn ETHV6/ETHZ6/ETHX6/ETHF7/ETHH7/ETHG7</t>
  </si>
  <si>
    <t>syn ETHV6/ETHZ6/ETHX6/ETHH7/ETHF7/ETHG7</t>
  </si>
  <si>
    <t>syn ETHV6/ETHZ6/ETHF7/ETHX6/ETHH7/ETHG7</t>
  </si>
  <si>
    <t>syn ETHV6/ETHZ6/ETHF7/ETHH7/ETHX6/ETHG7</t>
  </si>
  <si>
    <t>syn ETHV6/ETHZ6/ETHH7/ETHX6/ETHF7/ETHG7</t>
  </si>
  <si>
    <t>syn ETHV6/ETHZ6/ETHH7/ETHF7/ETHX6/ETHG7</t>
  </si>
  <si>
    <t>syn ETHV6/ETHF7/ETHX6/ETHZ6/ETHH7/ETHG7</t>
  </si>
  <si>
    <t>syn ETHV6/ETHF7/ETHX6/ETHH7/ETHZ6/ETHG7</t>
  </si>
  <si>
    <t>syn ETHV6/ETHF7/ETHZ6/ETHX6/ETHH7/ETHG7</t>
  </si>
  <si>
    <t>syn ETHV6/ETHF7/ETHZ6/ETHH7/ETHX6/ETHG7</t>
  </si>
  <si>
    <t>syn ETHV6/ETHF7/ETHH7/ETHX6/ETHZ6/ETHG7</t>
  </si>
  <si>
    <t>syn ETHV6/ETHF7/ETHH7/ETHZ6/ETHX6/ETHG7</t>
  </si>
  <si>
    <t>syn ETHV6/ETHH7/ETHX6/ETHZ6/ETHF7/ETHG7</t>
  </si>
  <si>
    <t>syn ETHV6/ETHH7/ETHX6/ETHF7/ETHZ6/ETHG7</t>
  </si>
  <si>
    <t>syn ETHV6/ETHH7/ETHZ6/ETHX6/ETHF7/ETHG7</t>
  </si>
  <si>
    <t>syn ETHV6/ETHH7/ETHZ6/ETHF7/ETHX6/ETHG7</t>
  </si>
  <si>
    <t>syn ETHV6/ETHH7/ETHF7/ETHX6/ETHZ6/ETHG7</t>
  </si>
  <si>
    <t>syn ETHV6/ETHH7/ETHF7/ETHZ6/ETHX6/ETHG7</t>
  </si>
  <si>
    <t>syn ETHX6/ETHV6/ETHZ6/ETHF7/ETHH7/ETHG7</t>
  </si>
  <si>
    <t>syn ETHX6/ETHV6/ETHZ6/ETHH7/ETHF7/ETHG7</t>
  </si>
  <si>
    <t>syn ETHX6/ETHV6/ETHF7/ETHZ6/ETHH7/ETHG7</t>
  </si>
  <si>
    <t>syn ETHX6/ETHV6/ETHF7/ETHH7/ETHZ6/ETHG7</t>
  </si>
  <si>
    <t>syn ETHX6/ETHV6/ETHH7/ETHZ6/ETHF7/ETHG7</t>
  </si>
  <si>
    <t>syn ETHX6/ETHV6/ETHH7/ETHF7/ETHZ6/ETHG7</t>
  </si>
  <si>
    <t>syn ETHX6/ETHZ6/ETHV6/ETHF7/ETHH7/ETHG7</t>
  </si>
  <si>
    <t>syn ETHX6/ETHZ6/ETHV6/ETHH7/ETHF7/ETHG7</t>
  </si>
  <si>
    <t>syn ETHX6/ETHZ6/ETHF7/ETHV6/ETHH7/ETHG7</t>
  </si>
  <si>
    <t>syn ETHX6/ETHZ6/ETHF7/ETHH7/ETHV6/ETHG7</t>
  </si>
  <si>
    <t>syn ETHX6/ETHZ6/ETHH7/ETHV6/ETHF7/ETHG7</t>
  </si>
  <si>
    <t>syn ETHX6/ETHZ6/ETHH7/ETHF7/ETHV6/ETHG7</t>
  </si>
  <si>
    <t>syn ETHX6/ETHF7/ETHV6/ETHZ6/ETHH7/ETHG7</t>
  </si>
  <si>
    <t>syn ETHX6/ETHF7/ETHV6/ETHH7/ETHZ6/ETHG7</t>
  </si>
  <si>
    <t>syn ETHX6/ETHF7/ETHZ6/ETHV6/ETHH7/ETHG7</t>
  </si>
  <si>
    <t>syn ETHX6/ETHF7/ETHZ6/ETHH7/ETHV6/ETHG7</t>
  </si>
  <si>
    <t>syn ETHX6/ETHF7/ETHH7/ETHV6/ETHZ6/ETHG7</t>
  </si>
  <si>
    <t>syn ETHX6/ETHF7/ETHH7/ETHZ6/ETHV6/ETHG7</t>
  </si>
  <si>
    <t>syn ETHX6/ETHH7/ETHV6/ETHZ6/ETHF7/ETHG7</t>
  </si>
  <si>
    <t>syn ETHX6/ETHH7/ETHV6/ETHF7/ETHZ6/ETHG7</t>
  </si>
  <si>
    <t>syn ETHX6/ETHH7/ETHZ6/ETHV6/ETHF7/ETHG7</t>
  </si>
  <si>
    <t>syn ETHX6/ETHH7/ETHZ6/ETHF7/ETHV6/ETHG7</t>
  </si>
  <si>
    <t>syn ETHX6/ETHH7/ETHF7/ETHV6/ETHZ6/ETHG7</t>
  </si>
  <si>
    <t>syn ETHX6/ETHH7/ETHF7/ETHZ6/ETHV6/ETHG7</t>
  </si>
  <si>
    <t>syn ETHZ6/ETHV6/ETHX6/ETHF7/ETHH7/ETHG7</t>
  </si>
  <si>
    <t>syn ETHZ6/ETHV6/ETHX6/ETHH7/ETHF7/ETHG7</t>
  </si>
  <si>
    <t>syn ETHZ6/ETHV6/ETHF7/ETHX6/ETHH7/ETHG7</t>
  </si>
  <si>
    <t>syn ETHZ6/ETHV6/ETHF7/ETHH7/ETHX6/ETHG7</t>
  </si>
  <si>
    <t>syn ETHZ6/ETHV6/ETHH7/ETHX6/ETHF7/ETHG7</t>
  </si>
  <si>
    <t>syn ETHZ6/ETHV6/ETHH7/ETHF7/ETHX6/ETHG7</t>
  </si>
  <si>
    <t>syn ETHZ6/ETHX6/ETHV6/ETHF7/ETHH7/ETHG7</t>
  </si>
  <si>
    <t>syn ETHZ6/ETHX6/ETHV6/ETHH7/ETHF7/ETHG7</t>
  </si>
  <si>
    <t>syn ETHZ6/ETHX6/ETHF7/ETHV6/ETHH7/ETHG7</t>
  </si>
  <si>
    <t>syn ETHZ6/ETHX6/ETHF7/ETHH7/ETHV6/ETHG7</t>
  </si>
  <si>
    <t>syn ETHZ6/ETHX6/ETHH7/ETHV6/ETHF7/ETHG7</t>
  </si>
  <si>
    <t>syn ETHZ6/ETHX6/ETHH7/ETHF7/ETHV6/ETHG7</t>
  </si>
  <si>
    <t>syn ETHZ6/ETHF7/ETHV6/ETHX6/ETHH7/ETHG7</t>
  </si>
  <si>
    <t>syn ETHZ6/ETHF7/ETHV6/ETHH7/ETHX6/ETHG7</t>
  </si>
  <si>
    <t>syn ETHZ6/ETHF7/ETHX6/ETHV6/ETHH7/ETHG7</t>
  </si>
  <si>
    <t>syn ETHZ6/ETHF7/ETHX6/ETHH7/ETHV6/ETHG7</t>
  </si>
  <si>
    <t>syn ETHZ6/ETHF7/ETHH7/ETHV6/ETHX6/ETHG7</t>
  </si>
  <si>
    <t>syn ETHZ6/ETHF7/ETHH7/ETHX6/ETHV6/ETHG7</t>
  </si>
  <si>
    <t>syn ETHZ6/ETHH7/ETHV6/ETHX6/ETHF7/ETHG7</t>
  </si>
  <si>
    <t>syn ETHZ6/ETHH7/ETHV6/ETHF7/ETHX6/ETHG7</t>
  </si>
  <si>
    <t>syn ETHZ6/ETHH7/ETHX6/ETHV6/ETHF7/ETHG7</t>
  </si>
  <si>
    <t>syn ETHZ6/ETHH7/ETHX6/ETHF7/ETHV6/ETHG7</t>
  </si>
  <si>
    <t>syn ETHZ6/ETHH7/ETHF7/ETHV6/ETHX6/ETHG7</t>
  </si>
  <si>
    <t>syn ETHZ6/ETHH7/ETHF7/ETHX6/ETHV6/ETHG7</t>
  </si>
  <si>
    <t>syn ETHF7/ETHV6/ETHX6/ETHZ6/ETHH7/ETHG7</t>
  </si>
  <si>
    <t>syn ETHF7/ETHV6/ETHX6/ETHH7/ETHZ6/ETHG7</t>
  </si>
  <si>
    <t>syn ETHF7/ETHV6/ETHZ6/ETHX6/ETHH7/ETHG7</t>
  </si>
  <si>
    <t>syn ETHF7/ETHV6/ETHZ6/ETHH7/ETHX6/ETHG7</t>
  </si>
  <si>
    <t>syn ETHF7/ETHV6/ETHH7/ETHX6/ETHZ6/ETHG7</t>
  </si>
  <si>
    <t>syn ETHF7/ETHV6/ETHH7/ETHZ6/ETHX6/ETHG7</t>
  </si>
  <si>
    <t>syn ETHF7/ETHX6/ETHV6/ETHZ6/ETHH7/ETHG7</t>
  </si>
  <si>
    <t>syn ETHF7/ETHX6/ETHV6/ETHH7/ETHZ6/ETHG7</t>
  </si>
  <si>
    <t>syn ETHF7/ETHX6/ETHZ6/ETHV6/ETHH7/ETHG7</t>
  </si>
  <si>
    <t>syn ETHF7/ETHX6/ETHZ6/ETHH7/ETHV6/ETHG7</t>
  </si>
  <si>
    <t>syn ETHF7/ETHX6/ETHH7/ETHV6/ETHZ6/ETHG7</t>
  </si>
  <si>
    <t>syn ETHF7/ETHX6/ETHH7/ETHZ6/ETHV6/ETHG7</t>
  </si>
  <si>
    <t>syn ETHF7/ETHZ6/ETHV6/ETHX6/ETHH7/ETHG7</t>
  </si>
  <si>
    <t>syn ETHF7/ETHZ6/ETHV6/ETHH7/ETHX6/ETHG7</t>
  </si>
  <si>
    <t>syn ETHF7/ETHZ6/ETHX6/ETHV6/ETHH7/ETHG7</t>
  </si>
  <si>
    <t>syn ETHF7/ETHZ6/ETHX6/ETHH7/ETHV6/ETHG7</t>
  </si>
  <si>
    <t>syn ETHF7/ETHZ6/ETHH7/ETHV6/ETHX6/ETHG7</t>
  </si>
  <si>
    <t>syn ETHF7/ETHZ6/ETHH7/ETHX6/ETHV6/ETHG7</t>
  </si>
  <si>
    <t>syn ETHF7/ETHH7/ETHV6/ETHX6/ETHZ6/ETHG7</t>
  </si>
  <si>
    <t>syn ETHF7/ETHH7/ETHV6/ETHZ6/ETHX6/ETHG7</t>
  </si>
  <si>
    <t>syn ETHF7/ETHH7/ETHX6/ETHV6/ETHZ6/ETHG7</t>
  </si>
  <si>
    <t>syn ETHF7/ETHH7/ETHX6/ETHZ6/ETHV6/ETHG7</t>
  </si>
  <si>
    <t>syn ETHF7/ETHH7/ETHZ6/ETHV6/ETHX6/ETHG7</t>
  </si>
  <si>
    <t>syn ETHF7/ETHH7/ETHZ6/ETHX6/ETHV6/ETHG7</t>
  </si>
  <si>
    <t>syn ETHH7/ETHV6/ETHX6/ETHZ6/ETHF7/ETHG7</t>
  </si>
  <si>
    <t>syn ETHH7/ETHV6/ETHX6/ETHF7/ETHZ6/ETHG7</t>
  </si>
  <si>
    <t>syn ETHH7/ETHV6/ETHZ6/ETHX6/ETHF7/ETHG7</t>
  </si>
  <si>
    <t>syn ETHH7/ETHV6/ETHZ6/ETHF7/ETHX6/ETHG7</t>
  </si>
  <si>
    <t>syn ETHH7/ETHV6/ETHF7/ETHX6/ETHZ6/ETHG7</t>
  </si>
  <si>
    <t>syn ETHH7/ETHV6/ETHF7/ETHZ6/ETHX6/ETHG7</t>
  </si>
  <si>
    <t>syn ETHH7/ETHX6/ETHV6/ETHZ6/ETHF7/ETHG7</t>
  </si>
  <si>
    <t>syn ETHH7/ETHX6/ETHV6/ETHF7/ETHZ6/ETHG7</t>
  </si>
  <si>
    <t>syn ETHH7/ETHX6/ETHZ6/ETHV6/ETHF7/ETHG7</t>
  </si>
  <si>
    <t>syn ETHH7/ETHX6/ETHZ6/ETHF7/ETHV6/ETHG7</t>
  </si>
  <si>
    <t>syn ETHH7/ETHX6/ETHF7/ETHV6/ETHZ6/ETHG7</t>
  </si>
  <si>
    <t>syn ETHH7/ETHX6/ETHF7/ETHZ6/ETHV6/ETHG7</t>
  </si>
  <si>
    <t>syn ETHH7/ETHZ6/ETHV6/ETHX6/ETHF7/ETHG7</t>
  </si>
  <si>
    <t>syn ETHH7/ETHZ6/ETHV6/ETHF7/ETHX6/ETHG7</t>
  </si>
  <si>
    <t>syn ETHH7/ETHZ6/ETHX6/ETHV6/ETHF7/ETHG7</t>
  </si>
  <si>
    <t>syn ETHH7/ETHZ6/ETHX6/ETHF7/ETHV6/ETHG7</t>
  </si>
  <si>
    <t>syn ETHH7/ETHZ6/ETHF7/ETHV6/ETHX6/ETHG7</t>
  </si>
  <si>
    <t>syn ETHH7/ETHZ6/ETHF7/ETHX6/ETHV6/ETHG7</t>
  </si>
  <si>
    <t>syn ETHH7/ETHF7/ETHV6/ETHX6/ETHZ6/ETHG7</t>
  </si>
  <si>
    <t>syn ETHH7/ETHF7/ETHV6/ETHZ6/ETHX6/ETHG7</t>
  </si>
  <si>
    <t>syn ETHH7/ETHF7/ETHX6/ETHV6/ETHZ6/ETHG7</t>
  </si>
  <si>
    <t>syn ETHH7/ETHF7/ETHX6/ETHZ6/ETHV6/ETHG7</t>
  </si>
  <si>
    <t>syn ETHH7/ETHF7/ETHZ6/ETHV6/ETHX6/ETHG7</t>
  </si>
  <si>
    <t>syn ETHH7/ETHF7/ETHZ6/ETHX6/ETHV6/ETHG7</t>
  </si>
  <si>
    <t>syn ETHV6/ETHH7</t>
  </si>
  <si>
    <t>syn ETHX6/ETHH7</t>
  </si>
  <si>
    <t>syn ETHZ6/ETHH7</t>
  </si>
  <si>
    <t>syn ETHF7/ETHH7</t>
  </si>
  <si>
    <t>syn ETHG7/ETHH7</t>
  </si>
  <si>
    <t>syn ETHV6/ETHX6/ETHH7</t>
  </si>
  <si>
    <t>syn ETHV6/ETHZ6/ETHH7</t>
  </si>
  <si>
    <t>syn ETHV6/ETHF7/ETHH7</t>
  </si>
  <si>
    <t>syn ETHV6/ETHG7/ETHH7</t>
  </si>
  <si>
    <t>syn ETHX6/ETHV6/ETHH7</t>
  </si>
  <si>
    <t>syn ETHX6/ETHZ6/ETHH7</t>
  </si>
  <si>
    <t>syn ETHX6/ETHF7/ETHH7</t>
  </si>
  <si>
    <t>syn ETHX6/ETHG7/ETHH7</t>
  </si>
  <si>
    <t>syn ETHZ6/ETHV6/ETHH7</t>
  </si>
  <si>
    <t>syn ETHZ6/ETHX6/ETHH7</t>
  </si>
  <si>
    <t>syn ETHZ6/ETHF7/ETHH7</t>
  </si>
  <si>
    <t>syn ETHZ6/ETHG7/ETHH7</t>
  </si>
  <si>
    <t>syn ETHF7/ETHV6/ETHH7</t>
  </si>
  <si>
    <t>syn ETHF7/ETHX6/ETHH7</t>
  </si>
  <si>
    <t>syn ETHF7/ETHZ6/ETHH7</t>
  </si>
  <si>
    <t>syn ETHF7/ETHG7/ETHH7</t>
  </si>
  <si>
    <t>syn ETHG7/ETHV6/ETHH7</t>
  </si>
  <si>
    <t>syn ETHG7/ETHX6/ETHH7</t>
  </si>
  <si>
    <t>syn ETHG7/ETHZ6/ETHH7</t>
  </si>
  <si>
    <t>syn ETHG7/ETHF7/ETHH7</t>
  </si>
  <si>
    <t>syn ETHV6/ETHX6/ETHZ6/ETHH7</t>
  </si>
  <si>
    <t>syn ETHV6/ETHX6/ETHF7/ETHH7</t>
  </si>
  <si>
    <t>syn ETHV6/ETHX6/ETHG7/ETHH7</t>
  </si>
  <si>
    <t>syn ETHV6/ETHZ6/ETHX6/ETHH7</t>
  </si>
  <si>
    <t>syn ETHV6/ETHZ6/ETHF7/ETHH7</t>
  </si>
  <si>
    <t>syn ETHV6/ETHZ6/ETHG7/ETHH7</t>
  </si>
  <si>
    <t>syn ETHV6/ETHF7/ETHX6/ETHH7</t>
  </si>
  <si>
    <t>syn ETHV6/ETHF7/ETHZ6/ETHH7</t>
  </si>
  <si>
    <t>syn ETHV6/ETHF7/ETHG7/ETHH7</t>
  </si>
  <si>
    <t>syn ETHV6/ETHG7/ETHX6/ETHH7</t>
  </si>
  <si>
    <t>syn ETHV6/ETHG7/ETHZ6/ETHH7</t>
  </si>
  <si>
    <t>syn ETHV6/ETHG7/ETHF7/ETHH7</t>
  </si>
  <si>
    <t>syn ETHX6/ETHV6/ETHZ6/ETHH7</t>
  </si>
  <si>
    <t>syn ETHX6/ETHV6/ETHF7/ETHH7</t>
  </si>
  <si>
    <t>syn ETHX6/ETHV6/ETHG7/ETHH7</t>
  </si>
  <si>
    <t>syn ETHX6/ETHZ6/ETHV6/ETHH7</t>
  </si>
  <si>
    <t>syn ETHX6/ETHZ6/ETHF7/ETHH7</t>
  </si>
  <si>
    <t>syn ETHX6/ETHZ6/ETHG7/ETHH7</t>
  </si>
  <si>
    <t>syn ETHX6/ETHF7/ETHV6/ETHH7</t>
  </si>
  <si>
    <t>syn ETHX6/ETHF7/ETHZ6/ETHH7</t>
  </si>
  <si>
    <t>syn ETHX6/ETHF7/ETHG7/ETHH7</t>
  </si>
  <si>
    <t>syn ETHX6/ETHG7/ETHV6/ETHH7</t>
  </si>
  <si>
    <t>syn ETHX6/ETHG7/ETHZ6/ETHH7</t>
  </si>
  <si>
    <t>syn ETHX6/ETHG7/ETHF7/ETHH7</t>
  </si>
  <si>
    <t>syn ETHZ6/ETHV6/ETHX6/ETHH7</t>
  </si>
  <si>
    <t>syn ETHZ6/ETHV6/ETHF7/ETHH7</t>
  </si>
  <si>
    <t>syn ETHZ6/ETHV6/ETHG7/ETHH7</t>
  </si>
  <si>
    <t>syn ETHZ6/ETHX6/ETHV6/ETHH7</t>
  </si>
  <si>
    <t>syn ETHZ6/ETHX6/ETHF7/ETHH7</t>
  </si>
  <si>
    <t>syn ETHZ6/ETHX6/ETHG7/ETHH7</t>
  </si>
  <si>
    <t>syn ETHZ6/ETHF7/ETHV6/ETHH7</t>
  </si>
  <si>
    <t>syn ETHZ6/ETHF7/ETHX6/ETHH7</t>
  </si>
  <si>
    <t>syn ETHZ6/ETHF7/ETHG7/ETHH7</t>
  </si>
  <si>
    <t>syn ETHZ6/ETHG7/ETHV6/ETHH7</t>
  </si>
  <si>
    <t>syn ETHZ6/ETHG7/ETHX6/ETHH7</t>
  </si>
  <si>
    <t>syn ETHZ6/ETHG7/ETHF7/ETHH7</t>
  </si>
  <si>
    <t>syn ETHF7/ETHV6/ETHX6/ETHH7</t>
  </si>
  <si>
    <t>syn ETHF7/ETHV6/ETHZ6/ETHH7</t>
  </si>
  <si>
    <t>syn ETHF7/ETHV6/ETHG7/ETHH7</t>
  </si>
  <si>
    <t>syn ETHF7/ETHX6/ETHV6/ETHH7</t>
  </si>
  <si>
    <t>syn ETHF7/ETHX6/ETHZ6/ETHH7</t>
  </si>
  <si>
    <t>syn ETHF7/ETHX6/ETHG7/ETHH7</t>
  </si>
  <si>
    <t>syn ETHF7/ETHZ6/ETHV6/ETHH7</t>
  </si>
  <si>
    <t>syn ETHF7/ETHZ6/ETHX6/ETHH7</t>
  </si>
  <si>
    <t>syn ETHF7/ETHZ6/ETHG7/ETHH7</t>
  </si>
  <si>
    <t>syn ETHF7/ETHG7/ETHV6/ETHH7</t>
  </si>
  <si>
    <t>syn ETHF7/ETHG7/ETHX6/ETHH7</t>
  </si>
  <si>
    <t>syn ETHF7/ETHG7/ETHZ6/ETHH7</t>
  </si>
  <si>
    <t>syn ETHG7/ETHV6/ETHX6/ETHH7</t>
  </si>
  <si>
    <t>syn ETHG7/ETHV6/ETHZ6/ETHH7</t>
  </si>
  <si>
    <t>syn ETHG7/ETHV6/ETHF7/ETHH7</t>
  </si>
  <si>
    <t>syn ETHG7/ETHX6/ETHV6/ETHH7</t>
  </si>
  <si>
    <t>syn ETHG7/ETHX6/ETHZ6/ETHH7</t>
  </si>
  <si>
    <t>syn ETHG7/ETHX6/ETHF7/ETHH7</t>
  </si>
  <si>
    <t>syn ETHG7/ETHZ6/ETHV6/ETHH7</t>
  </si>
  <si>
    <t>syn ETHG7/ETHZ6/ETHX6/ETHH7</t>
  </si>
  <si>
    <t>syn ETHG7/ETHZ6/ETHF7/ETHH7</t>
  </si>
  <si>
    <t>syn ETHG7/ETHF7/ETHV6/ETHH7</t>
  </si>
  <si>
    <t>syn ETHG7/ETHF7/ETHX6/ETHH7</t>
  </si>
  <si>
    <t>syn ETHG7/ETHF7/ETHZ6/ETHH7</t>
  </si>
  <si>
    <t>syn ETHV6/ETHX6/ETHZ6/ETHF7/ETHH7</t>
  </si>
  <si>
    <t>syn ETHV6/ETHX6/ETHZ6/ETHG7/ETHH7</t>
  </si>
  <si>
    <t>syn ETHV6/ETHX6/ETHF7/ETHZ6/ETHH7</t>
  </si>
  <si>
    <t>syn ETHV6/ETHX6/ETHF7/ETHG7/ETHH7</t>
  </si>
  <si>
    <t>syn ETHV6/ETHX6/ETHG7/ETHZ6/ETHH7</t>
  </si>
  <si>
    <t>syn ETHV6/ETHX6/ETHG7/ETHF7/ETHH7</t>
  </si>
  <si>
    <t>syn ETHV6/ETHZ6/ETHX6/ETHF7/ETHH7</t>
  </si>
  <si>
    <t>syn ETHV6/ETHZ6/ETHX6/ETHG7/ETHH7</t>
  </si>
  <si>
    <t>syn ETHV6/ETHZ6/ETHF7/ETHX6/ETHH7</t>
  </si>
  <si>
    <t>syn ETHV6/ETHZ6/ETHF7/ETHG7/ETHH7</t>
  </si>
  <si>
    <t>syn ETHV6/ETHZ6/ETHG7/ETHX6/ETHH7</t>
  </si>
  <si>
    <t>syn ETHV6/ETHZ6/ETHG7/ETHF7/ETHH7</t>
  </si>
  <si>
    <t>syn ETHV6/ETHF7/ETHX6/ETHZ6/ETHH7</t>
  </si>
  <si>
    <t>syn ETHV6/ETHF7/ETHX6/ETHG7/ETHH7</t>
  </si>
  <si>
    <t>syn ETHV6/ETHF7/ETHZ6/ETHX6/ETHH7</t>
  </si>
  <si>
    <t>syn ETHV6/ETHF7/ETHZ6/ETHG7/ETHH7</t>
  </si>
  <si>
    <t>syn ETHV6/ETHF7/ETHG7/ETHX6/ETHH7</t>
  </si>
  <si>
    <t>syn ETHV6/ETHF7/ETHG7/ETHZ6/ETHH7</t>
  </si>
  <si>
    <t>syn ETHV6/ETHG7/ETHX6/ETHZ6/ETHH7</t>
  </si>
  <si>
    <t>syn ETHV6/ETHG7/ETHX6/ETHF7/ETHH7</t>
  </si>
  <si>
    <t>syn ETHV6/ETHG7/ETHZ6/ETHX6/ETHH7</t>
  </si>
  <si>
    <t>syn ETHV6/ETHG7/ETHZ6/ETHF7/ETHH7</t>
  </si>
  <si>
    <t>syn ETHV6/ETHG7/ETHF7/ETHX6/ETHH7</t>
  </si>
  <si>
    <t>syn ETHV6/ETHG7/ETHF7/ETHZ6/ETHH7</t>
  </si>
  <si>
    <t>syn ETHX6/ETHV6/ETHZ6/ETHF7/ETHH7</t>
  </si>
  <si>
    <t>syn ETHX6/ETHV6/ETHZ6/ETHG7/ETHH7</t>
  </si>
  <si>
    <t>syn ETHX6/ETHV6/ETHF7/ETHZ6/ETHH7</t>
  </si>
  <si>
    <t>syn ETHX6/ETHV6/ETHF7/ETHG7/ETHH7</t>
  </si>
  <si>
    <t>syn ETHX6/ETHV6/ETHG7/ETHZ6/ETHH7</t>
  </si>
  <si>
    <t>syn ETHX6/ETHV6/ETHG7/ETHF7/ETHH7</t>
  </si>
  <si>
    <t>syn ETHX6/ETHZ6/ETHV6/ETHF7/ETHH7</t>
  </si>
  <si>
    <t>syn ETHX6/ETHZ6/ETHV6/ETHG7/ETHH7</t>
  </si>
  <si>
    <t>syn ETHX6/ETHZ6/ETHF7/ETHV6/ETHH7</t>
  </si>
  <si>
    <t>syn ETHX6/ETHZ6/ETHF7/ETHG7/ETHH7</t>
  </si>
  <si>
    <t>syn ETHX6/ETHZ6/ETHG7/ETHV6/ETHH7</t>
  </si>
  <si>
    <t>syn ETHX6/ETHZ6/ETHG7/ETHF7/ETHH7</t>
  </si>
  <si>
    <t>syn ETHX6/ETHF7/ETHV6/ETHZ6/ETHH7</t>
  </si>
  <si>
    <t>syn ETHX6/ETHF7/ETHV6/ETHG7/ETHH7</t>
  </si>
  <si>
    <t>syn ETHX6/ETHF7/ETHZ6/ETHV6/ETHH7</t>
  </si>
  <si>
    <t>syn ETHX6/ETHF7/ETHZ6/ETHG7/ETHH7</t>
  </si>
  <si>
    <t>syn ETHX6/ETHF7/ETHG7/ETHV6/ETHH7</t>
  </si>
  <si>
    <t>syn ETHX6/ETHF7/ETHG7/ETHZ6/ETHH7</t>
  </si>
  <si>
    <t>syn ETHX6/ETHG7/ETHV6/ETHZ6/ETHH7</t>
  </si>
  <si>
    <t>syn ETHX6/ETHG7/ETHV6/ETHF7/ETHH7</t>
  </si>
  <si>
    <t>syn ETHX6/ETHG7/ETHZ6/ETHV6/ETHH7</t>
  </si>
  <si>
    <t>syn ETHX6/ETHG7/ETHZ6/ETHF7/ETHH7</t>
  </si>
  <si>
    <t>syn ETHX6/ETHG7/ETHF7/ETHV6/ETHH7</t>
  </si>
  <si>
    <t>syn ETHX6/ETHG7/ETHF7/ETHZ6/ETHH7</t>
  </si>
  <si>
    <t>syn ETHZ6/ETHV6/ETHX6/ETHF7/ETHH7</t>
  </si>
  <si>
    <t>syn ETHZ6/ETHV6/ETHX6/ETHG7/ETHH7</t>
  </si>
  <si>
    <t>syn ETHZ6/ETHV6/ETHF7/ETHX6/ETHH7</t>
  </si>
  <si>
    <t>syn ETHZ6/ETHV6/ETHF7/ETHG7/ETHH7</t>
  </si>
  <si>
    <t>syn ETHZ6/ETHV6/ETHG7/ETHX6/ETHH7</t>
  </si>
  <si>
    <t>syn ETHZ6/ETHV6/ETHG7/ETHF7/ETHH7</t>
  </si>
  <si>
    <t>syn ETHZ6/ETHX6/ETHV6/ETHF7/ETHH7</t>
  </si>
  <si>
    <t>syn ETHZ6/ETHX6/ETHV6/ETHG7/ETHH7</t>
  </si>
  <si>
    <t>syn ETHZ6/ETHX6/ETHF7/ETHV6/ETHH7</t>
  </si>
  <si>
    <t>syn ETHZ6/ETHX6/ETHF7/ETHG7/ETHH7</t>
  </si>
  <si>
    <t>syn ETHZ6/ETHX6/ETHG7/ETHV6/ETHH7</t>
  </si>
  <si>
    <t>syn ETHZ6/ETHX6/ETHG7/ETHF7/ETHH7</t>
  </si>
  <si>
    <t>syn ETHZ6/ETHF7/ETHV6/ETHX6/ETHH7</t>
  </si>
  <si>
    <t>syn ETHZ6/ETHF7/ETHV6/ETHG7/ETHH7</t>
  </si>
  <si>
    <t>syn ETHZ6/ETHF7/ETHX6/ETHV6/ETHH7</t>
  </si>
  <si>
    <t>syn ETHZ6/ETHF7/ETHX6/ETHG7/ETHH7</t>
  </si>
  <si>
    <t>syn ETHZ6/ETHF7/ETHG7/ETHV6/ETHH7</t>
  </si>
  <si>
    <t>syn ETHZ6/ETHF7/ETHG7/ETHX6/ETHH7</t>
  </si>
  <si>
    <t>syn ETHZ6/ETHG7/ETHV6/ETHX6/ETHH7</t>
  </si>
  <si>
    <t>syn ETHZ6/ETHG7/ETHV6/ETHF7/ETHH7</t>
  </si>
  <si>
    <t>syn ETHZ6/ETHG7/ETHX6/ETHV6/ETHH7</t>
  </si>
  <si>
    <t>syn ETHZ6/ETHG7/ETHX6/ETHF7/ETHH7</t>
  </si>
  <si>
    <t>syn ETHZ6/ETHG7/ETHF7/ETHV6/ETHH7</t>
  </si>
  <si>
    <t>syn ETHZ6/ETHG7/ETHF7/ETHX6/ETHH7</t>
  </si>
  <si>
    <t>syn ETHF7/ETHV6/ETHX6/ETHZ6/ETHH7</t>
  </si>
  <si>
    <t>syn ETHF7/ETHV6/ETHX6/ETHG7/ETHH7</t>
  </si>
  <si>
    <t>syn ETHF7/ETHV6/ETHZ6/ETHX6/ETHH7</t>
  </si>
  <si>
    <t>syn ETHF7/ETHV6/ETHZ6/ETHG7/ETHH7</t>
  </si>
  <si>
    <t>syn ETHF7/ETHV6/ETHG7/ETHX6/ETHH7</t>
  </si>
  <si>
    <t>syn ETHF7/ETHV6/ETHG7/ETHZ6/ETHH7</t>
  </si>
  <si>
    <t>syn ETHF7/ETHX6/ETHV6/ETHZ6/ETHH7</t>
  </si>
  <si>
    <t>syn ETHF7/ETHX6/ETHV6/ETHG7/ETHH7</t>
  </si>
  <si>
    <t>syn ETHF7/ETHX6/ETHZ6/ETHV6/ETHH7</t>
  </si>
  <si>
    <t>syn ETHF7/ETHX6/ETHZ6/ETHG7/ETHH7</t>
  </si>
  <si>
    <t>syn ETHF7/ETHX6/ETHG7/ETHV6/ETHH7</t>
  </si>
  <si>
    <t>syn ETHF7/ETHX6/ETHG7/ETHZ6/ETHH7</t>
  </si>
  <si>
    <t>syn ETHF7/ETHZ6/ETHV6/ETHX6/ETHH7</t>
  </si>
  <si>
    <t>syn ETHF7/ETHZ6/ETHV6/ETHG7/ETHH7</t>
  </si>
  <si>
    <t>syn ETHF7/ETHZ6/ETHX6/ETHV6/ETHH7</t>
  </si>
  <si>
    <t>syn ETHF7/ETHZ6/ETHX6/ETHG7/ETHH7</t>
  </si>
  <si>
    <t>syn ETHF7/ETHZ6/ETHG7/ETHV6/ETHH7</t>
  </si>
  <si>
    <t>syn ETHF7/ETHZ6/ETHG7/ETHX6/ETHH7</t>
  </si>
  <si>
    <t>syn ETHF7/ETHG7/ETHV6/ETHX6/ETHH7</t>
  </si>
  <si>
    <t>syn ETHF7/ETHG7/ETHV6/ETHZ6/ETHH7</t>
  </si>
  <si>
    <t>syn ETHF7/ETHG7/ETHX6/ETHV6/ETHH7</t>
  </si>
  <si>
    <t>syn ETHF7/ETHG7/ETHX6/ETHZ6/ETHH7</t>
  </si>
  <si>
    <t>syn ETHF7/ETHG7/ETHZ6/ETHV6/ETHH7</t>
  </si>
  <si>
    <t>syn ETHF7/ETHG7/ETHZ6/ETHX6/ETHH7</t>
  </si>
  <si>
    <t>syn ETHG7/ETHV6/ETHX6/ETHZ6/ETHH7</t>
  </si>
  <si>
    <t>syn ETHG7/ETHV6/ETHX6/ETHF7/ETHH7</t>
  </si>
  <si>
    <t>syn ETHG7/ETHV6/ETHZ6/ETHX6/ETHH7</t>
  </si>
  <si>
    <t>syn ETHG7/ETHV6/ETHZ6/ETHF7/ETHH7</t>
  </si>
  <si>
    <t>syn ETHG7/ETHV6/ETHF7/ETHX6/ETHH7</t>
  </si>
  <si>
    <t>syn ETHG7/ETHV6/ETHF7/ETHZ6/ETHH7</t>
  </si>
  <si>
    <t>syn ETHG7/ETHX6/ETHV6/ETHZ6/ETHH7</t>
  </si>
  <si>
    <t>syn ETHG7/ETHX6/ETHV6/ETHF7/ETHH7</t>
  </si>
  <si>
    <t>syn ETHG7/ETHX6/ETHZ6/ETHV6/ETHH7</t>
  </si>
  <si>
    <t>syn ETHG7/ETHX6/ETHZ6/ETHF7/ETHH7</t>
  </si>
  <si>
    <t>syn ETHG7/ETHX6/ETHF7/ETHV6/ETHH7</t>
  </si>
  <si>
    <t>syn ETHG7/ETHX6/ETHF7/ETHZ6/ETHH7</t>
  </si>
  <si>
    <t>syn ETHG7/ETHZ6/ETHV6/ETHX6/ETHH7</t>
  </si>
  <si>
    <t>syn ETHG7/ETHZ6/ETHV6/ETHF7/ETHH7</t>
  </si>
  <si>
    <t>syn ETHG7/ETHZ6/ETHX6/ETHV6/ETHH7</t>
  </si>
  <si>
    <t>syn ETHG7/ETHZ6/ETHX6/ETHF7/ETHH7</t>
  </si>
  <si>
    <t>syn ETHG7/ETHZ6/ETHF7/ETHV6/ETHH7</t>
  </si>
  <si>
    <t>syn ETHG7/ETHZ6/ETHF7/ETHX6/ETHH7</t>
  </si>
  <si>
    <t>syn ETHG7/ETHF7/ETHV6/ETHX6/ETHH7</t>
  </si>
  <si>
    <t>syn ETHG7/ETHF7/ETHV6/ETHZ6/ETHH7</t>
  </si>
  <si>
    <t>syn ETHG7/ETHF7/ETHX6/ETHV6/ETHH7</t>
  </si>
  <si>
    <t>syn ETHG7/ETHF7/ETHX6/ETHZ6/ETHH7</t>
  </si>
  <si>
    <t>syn ETHG7/ETHF7/ETHZ6/ETHV6/ETHH7</t>
  </si>
  <si>
    <t>syn ETHG7/ETHF7/ETHZ6/ETHX6/ETHH7</t>
  </si>
  <si>
    <t>syn ETHV6/ETHX6/ETHZ6/ETHF7/ETHG7/ETHH7</t>
  </si>
  <si>
    <t>syn ETHV6/ETHX6/ETHZ6/ETHG7/ETHF7/ETHH7</t>
  </si>
  <si>
    <t>syn ETHV6/ETHX6/ETHF7/ETHZ6/ETHG7/ETHH7</t>
  </si>
  <si>
    <t>syn ETHV6/ETHX6/ETHF7/ETHG7/ETHZ6/ETHH7</t>
  </si>
  <si>
    <t>syn ETHV6/ETHX6/ETHG7/ETHZ6/ETHF7/ETHH7</t>
  </si>
  <si>
    <t>syn ETHV6/ETHX6/ETHG7/ETHF7/ETHZ6/ETHH7</t>
  </si>
  <si>
    <t>syn ETHV6/ETHZ6/ETHX6/ETHF7/ETHG7/ETHH7</t>
  </si>
  <si>
    <t>syn ETHV6/ETHZ6/ETHX6/ETHG7/ETHF7/ETHH7</t>
  </si>
  <si>
    <t>syn ETHV6/ETHZ6/ETHF7/ETHX6/ETHG7/ETHH7</t>
  </si>
  <si>
    <t>syn ETHV6/ETHZ6/ETHF7/ETHG7/ETHX6/ETHH7</t>
  </si>
  <si>
    <t>syn ETHV6/ETHZ6/ETHG7/ETHX6/ETHF7/ETHH7</t>
  </si>
  <si>
    <t>syn ETHV6/ETHZ6/ETHG7/ETHF7/ETHX6/ETHH7</t>
  </si>
  <si>
    <t>syn ETHV6/ETHF7/ETHX6/ETHZ6/ETHG7/ETHH7</t>
  </si>
  <si>
    <t>syn ETHV6/ETHF7/ETHX6/ETHG7/ETHZ6/ETHH7</t>
  </si>
  <si>
    <t>syn ETHV6/ETHF7/ETHZ6/ETHX6/ETHG7/ETHH7</t>
  </si>
  <si>
    <t>syn ETHV6/ETHF7/ETHZ6/ETHG7/ETHX6/ETHH7</t>
  </si>
  <si>
    <t>syn ETHV6/ETHF7/ETHG7/ETHX6/ETHZ6/ETHH7</t>
  </si>
  <si>
    <t>syn ETHV6/ETHF7/ETHG7/ETHZ6/ETHX6/ETHH7</t>
  </si>
  <si>
    <t>syn ETHV6/ETHG7/ETHX6/ETHZ6/ETHF7/ETHH7</t>
  </si>
  <si>
    <t>syn ETHV6/ETHG7/ETHX6/ETHF7/ETHZ6/ETHH7</t>
  </si>
  <si>
    <t>syn ETHV6/ETHG7/ETHZ6/ETHX6/ETHF7/ETHH7</t>
  </si>
  <si>
    <t>syn ETHV6/ETHG7/ETHZ6/ETHF7/ETHX6/ETHH7</t>
  </si>
  <si>
    <t>syn ETHV6/ETHG7/ETHF7/ETHX6/ETHZ6/ETHH7</t>
  </si>
  <si>
    <t>syn ETHV6/ETHG7/ETHF7/ETHZ6/ETHX6/ETHH7</t>
  </si>
  <si>
    <t>syn ETHX6/ETHV6/ETHZ6/ETHF7/ETHG7/ETHH7</t>
  </si>
  <si>
    <t>syn ETHX6/ETHV6/ETHZ6/ETHG7/ETHF7/ETHH7</t>
  </si>
  <si>
    <t>syn ETHX6/ETHV6/ETHF7/ETHZ6/ETHG7/ETHH7</t>
  </si>
  <si>
    <t>syn ETHX6/ETHV6/ETHF7/ETHG7/ETHZ6/ETHH7</t>
  </si>
  <si>
    <t>syn ETHX6/ETHV6/ETHG7/ETHZ6/ETHF7/ETHH7</t>
  </si>
  <si>
    <t>syn ETHX6/ETHV6/ETHG7/ETHF7/ETHZ6/ETHH7</t>
  </si>
  <si>
    <t>syn ETHX6/ETHZ6/ETHV6/ETHF7/ETHG7/ETHH7</t>
  </si>
  <si>
    <t>syn ETHX6/ETHZ6/ETHV6/ETHG7/ETHF7/ETHH7</t>
  </si>
  <si>
    <t>syn ETHX6/ETHZ6/ETHF7/ETHV6/ETHG7/ETHH7</t>
  </si>
  <si>
    <t>syn ETHX6/ETHZ6/ETHF7/ETHG7/ETHV6/ETHH7</t>
  </si>
  <si>
    <t>syn ETHX6/ETHZ6/ETHG7/ETHV6/ETHF7/ETHH7</t>
  </si>
  <si>
    <t>syn ETHX6/ETHZ6/ETHG7/ETHF7/ETHV6/ETHH7</t>
  </si>
  <si>
    <t>syn ETHX6/ETHF7/ETHV6/ETHZ6/ETHG7/ETHH7</t>
  </si>
  <si>
    <t>syn ETHX6/ETHF7/ETHV6/ETHG7/ETHZ6/ETHH7</t>
  </si>
  <si>
    <t>syn ETHX6/ETHF7/ETHZ6/ETHV6/ETHG7/ETHH7</t>
  </si>
  <si>
    <t>syn ETHX6/ETHF7/ETHZ6/ETHG7/ETHV6/ETHH7</t>
  </si>
  <si>
    <t>syn ETHX6/ETHF7/ETHG7/ETHV6/ETHZ6/ETHH7</t>
  </si>
  <si>
    <t>syn ETHX6/ETHF7/ETHG7/ETHZ6/ETHV6/ETHH7</t>
  </si>
  <si>
    <t>syn ETHX6/ETHG7/ETHV6/ETHZ6/ETHF7/ETHH7</t>
  </si>
  <si>
    <t>syn ETHX6/ETHG7/ETHV6/ETHF7/ETHZ6/ETHH7</t>
  </si>
  <si>
    <t>syn ETHX6/ETHG7/ETHZ6/ETHV6/ETHF7/ETHH7</t>
  </si>
  <si>
    <t>syn ETHX6/ETHG7/ETHZ6/ETHF7/ETHV6/ETHH7</t>
  </si>
  <si>
    <t>syn ETHX6/ETHG7/ETHF7/ETHV6/ETHZ6/ETHH7</t>
  </si>
  <si>
    <t>syn ETHX6/ETHG7/ETHF7/ETHZ6/ETHV6/ETHH7</t>
  </si>
  <si>
    <t>syn ETHZ6/ETHV6/ETHX6/ETHF7/ETHG7/ETHH7</t>
  </si>
  <si>
    <t>syn ETHZ6/ETHV6/ETHX6/ETHG7/ETHF7/ETHH7</t>
  </si>
  <si>
    <t>syn ETHZ6/ETHV6/ETHF7/ETHX6/ETHG7/ETHH7</t>
  </si>
  <si>
    <t>syn ETHZ6/ETHV6/ETHF7/ETHG7/ETHX6/ETHH7</t>
  </si>
  <si>
    <t>syn ETHZ6/ETHV6/ETHG7/ETHX6/ETHF7/ETHH7</t>
  </si>
  <si>
    <t>syn ETHZ6/ETHV6/ETHG7/ETHF7/ETHX6/ETHH7</t>
  </si>
  <si>
    <t>syn ETHZ6/ETHX6/ETHV6/ETHF7/ETHG7/ETHH7</t>
  </si>
  <si>
    <t>syn ETHZ6/ETHX6/ETHV6/ETHG7/ETHF7/ETHH7</t>
  </si>
  <si>
    <t>syn ETHZ6/ETHX6/ETHF7/ETHV6/ETHG7/ETHH7</t>
  </si>
  <si>
    <t>syn ETHZ6/ETHX6/ETHF7/ETHG7/ETHV6/ETHH7</t>
  </si>
  <si>
    <t>syn ETHZ6/ETHX6/ETHG7/ETHV6/ETHF7/ETHH7</t>
  </si>
  <si>
    <t>syn ETHZ6/ETHX6/ETHG7/ETHF7/ETHV6/ETHH7</t>
  </si>
  <si>
    <t>syn ETHZ6/ETHF7/ETHV6/ETHX6/ETHG7/ETHH7</t>
  </si>
  <si>
    <t>syn ETHZ6/ETHF7/ETHV6/ETHG7/ETHX6/ETHH7</t>
  </si>
  <si>
    <t>syn ETHZ6/ETHF7/ETHX6/ETHV6/ETHG7/ETHH7</t>
  </si>
  <si>
    <t>syn ETHZ6/ETHF7/ETHX6/ETHG7/ETHV6/ETHH7</t>
  </si>
  <si>
    <t>syn ETHZ6/ETHF7/ETHG7/ETHV6/ETHX6/ETHH7</t>
  </si>
  <si>
    <t>syn ETHZ6/ETHF7/ETHG7/ETHX6/ETHV6/ETHH7</t>
  </si>
  <si>
    <t>syn ETHZ6/ETHG7/ETHV6/ETHX6/ETHF7/ETHH7</t>
  </si>
  <si>
    <t>syn ETHZ6/ETHG7/ETHV6/ETHF7/ETHX6/ETHH7</t>
  </si>
  <si>
    <t>syn ETHZ6/ETHG7/ETHX6/ETHV6/ETHF7/ETHH7</t>
  </si>
  <si>
    <t>syn ETHZ6/ETHG7/ETHX6/ETHF7/ETHV6/ETHH7</t>
  </si>
  <si>
    <t>syn ETHZ6/ETHG7/ETHF7/ETHV6/ETHX6/ETHH7</t>
  </si>
  <si>
    <t>syn ETHZ6/ETHG7/ETHF7/ETHX6/ETHV6/ETHH7</t>
  </si>
  <si>
    <t>syn ETHF7/ETHV6/ETHX6/ETHZ6/ETHG7/ETHH7</t>
  </si>
  <si>
    <t>syn ETHF7/ETHV6/ETHX6/ETHG7/ETHZ6/ETHH7</t>
  </si>
  <si>
    <t>syn ETHF7/ETHV6/ETHZ6/ETHX6/ETHG7/ETHH7</t>
  </si>
  <si>
    <t>syn ETHF7/ETHV6/ETHZ6/ETHG7/ETHX6/ETHH7</t>
  </si>
  <si>
    <t>syn ETHF7/ETHV6/ETHG7/ETHX6/ETHZ6/ETHH7</t>
  </si>
  <si>
    <t>syn ETHF7/ETHV6/ETHG7/ETHZ6/ETHX6/ETHH7</t>
  </si>
  <si>
    <t>syn ETHF7/ETHX6/ETHV6/ETHZ6/ETHG7/ETHH7</t>
  </si>
  <si>
    <t>syn ETHF7/ETHX6/ETHV6/ETHG7/ETHZ6/ETHH7</t>
  </si>
  <si>
    <t>syn ETHF7/ETHX6/ETHZ6/ETHV6/ETHG7/ETHH7</t>
  </si>
  <si>
    <t>syn ETHF7/ETHX6/ETHZ6/ETHG7/ETHV6/ETHH7</t>
  </si>
  <si>
    <t>syn ETHF7/ETHX6/ETHG7/ETHV6/ETHZ6/ETHH7</t>
  </si>
  <si>
    <t>syn ETHF7/ETHX6/ETHG7/ETHZ6/ETHV6/ETHH7</t>
  </si>
  <si>
    <t>syn ETHF7/ETHZ6/ETHV6/ETHX6/ETHG7/ETHH7</t>
  </si>
  <si>
    <t>syn ETHF7/ETHZ6/ETHV6/ETHG7/ETHX6/ETHH7</t>
  </si>
  <si>
    <t>syn ETHF7/ETHZ6/ETHX6/ETHV6/ETHG7/ETHH7</t>
  </si>
  <si>
    <t>syn ETHF7/ETHZ6/ETHX6/ETHG7/ETHV6/ETHH7</t>
  </si>
  <si>
    <t>syn ETHF7/ETHZ6/ETHG7/ETHV6/ETHX6/ETHH7</t>
  </si>
  <si>
    <t>syn ETHF7/ETHZ6/ETHG7/ETHX6/ETHV6/ETHH7</t>
  </si>
  <si>
    <t>syn ETHF7/ETHG7/ETHV6/ETHX6/ETHZ6/ETHH7</t>
  </si>
  <si>
    <t>syn ETHF7/ETHG7/ETHV6/ETHZ6/ETHX6/ETHH7</t>
  </si>
  <si>
    <t>syn ETHF7/ETHG7/ETHX6/ETHV6/ETHZ6/ETHH7</t>
  </si>
  <si>
    <t>syn ETHF7/ETHG7/ETHX6/ETHZ6/ETHV6/ETHH7</t>
  </si>
  <si>
    <t>syn ETHF7/ETHG7/ETHZ6/ETHV6/ETHX6/ETHH7</t>
  </si>
  <si>
    <t>syn ETHF7/ETHG7/ETHZ6/ETHX6/ETHV6/ETHH7</t>
  </si>
  <si>
    <t>syn ETHG7/ETHV6/ETHX6/ETHZ6/ETHF7/ETHH7</t>
  </si>
  <si>
    <t>syn ETHG7/ETHV6/ETHX6/ETHF7/ETHZ6/ETHH7</t>
  </si>
  <si>
    <t>syn ETHG7/ETHV6/ETHZ6/ETHX6/ETHF7/ETHH7</t>
  </si>
  <si>
    <t>syn ETHG7/ETHV6/ETHZ6/ETHF7/ETHX6/ETHH7</t>
  </si>
  <si>
    <t>syn ETHG7/ETHV6/ETHF7/ETHX6/ETHZ6/ETHH7</t>
  </si>
  <si>
    <t>syn ETHG7/ETHV6/ETHF7/ETHZ6/ETHX6/ETHH7</t>
  </si>
  <si>
    <t>syn ETHG7/ETHX6/ETHV6/ETHZ6/ETHF7/ETHH7</t>
  </si>
  <si>
    <t>syn ETHG7/ETHX6/ETHV6/ETHF7/ETHZ6/ETHH7</t>
  </si>
  <si>
    <t>syn ETHG7/ETHX6/ETHZ6/ETHV6/ETHF7/ETHH7</t>
  </si>
  <si>
    <t>syn ETHG7/ETHX6/ETHZ6/ETHF7/ETHV6/ETHH7</t>
  </si>
  <si>
    <t>syn ETHG7/ETHX6/ETHF7/ETHV6/ETHZ6/ETHH7</t>
  </si>
  <si>
    <t>syn ETHG7/ETHX6/ETHF7/ETHZ6/ETHV6/ETHH7</t>
  </si>
  <si>
    <t>syn ETHG7/ETHZ6/ETHV6/ETHX6/ETHF7/ETHH7</t>
  </si>
  <si>
    <t>syn ETHG7/ETHZ6/ETHV6/ETHF7/ETHX6/ETHH7</t>
  </si>
  <si>
    <t>syn ETHG7/ETHZ6/ETHX6/ETHV6/ETHF7/ETHH7</t>
  </si>
  <si>
    <t>syn ETHG7/ETHZ6/ETHX6/ETHF7/ETHV6/ETHH7</t>
  </si>
  <si>
    <t>syn ETHG7/ETHZ6/ETHF7/ETHV6/ETHX6/ETHH7</t>
  </si>
  <si>
    <t>syn ETHG7/ETHZ6/ETHF7/ETHX6/ETHV6/ETHH7</t>
  </si>
  <si>
    <t>syn ETHG7/ETHF7/ETHV6/ETHX6/ETHZ6/ETHH7</t>
  </si>
  <si>
    <t>syn ETHG7/ETHF7/ETHV6/ETHZ6/ETHX6/ETHH7</t>
  </si>
  <si>
    <t>syn ETHG7/ETHF7/ETHX6/ETHV6/ETHZ6/ETHH7</t>
  </si>
  <si>
    <t>syn ETHG7/ETHF7/ETHX6/ETHZ6/ETHV6/ETHH7</t>
  </si>
  <si>
    <t>syn ETHG7/ETHF7/ETHZ6/ETHV6/ETHX6/ETHH7</t>
  </si>
  <si>
    <t>syn ETHG7/ETHF7/ETHZ6/ETHX6/ETHV6/ETHH7</t>
  </si>
  <si>
    <t>2026-09-28_23-35-15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</si>
</sst>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6" xfId="1" applyFont="1" applyFill="1" applyBorder="1"/>
    <xf numFmtId="44" fontId="0" fillId="2" borderId="3" xfId="1" applyFont="1" applyFill="1" applyBorder="1"/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tabSelected="1" workbookViewId="0">
      <selection activeCell="X34" sqref="X3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794</v>
      </c>
      <c r="P1" s="16" t="s">
        <v>77</v>
      </c>
      <c r="Q1" s="16" t="s">
        <v>78</v>
      </c>
      <c r="R1" s="16" t="s">
        <v>79</v>
      </c>
      <c r="S1" s="16" t="s">
        <v>80</v>
      </c>
      <c r="T1" s="16" t="s">
        <v>795</v>
      </c>
      <c r="U1" s="22" t="s">
        <v>76</v>
      </c>
      <c r="V1" s="15" t="s">
        <v>81</v>
      </c>
      <c r="W1" s="15" t="s">
        <v>82</v>
      </c>
      <c r="X1" s="15" t="s">
        <v>83</v>
      </c>
      <c r="Y1" s="15" t="s">
        <v>84</v>
      </c>
      <c r="Z1" s="22" t="s">
        <v>85</v>
      </c>
      <c r="AA1" s="373" t="s">
        <v>86</v>
      </c>
      <c r="AB1" s="373" t="s">
        <v>87</v>
      </c>
      <c r="AC1" s="14" t="s">
        <v>88</v>
      </c>
    </row>
    <row r="2" spans="1:32" s="267" customFormat="1" x14ac:dyDescent="0.25">
      <c r="A2" s="266" t="s">
        <v>89</v>
      </c>
      <c r="B2" s="267" t="s">
        <v>90</v>
      </c>
      <c r="C2" s="267" t="s">
        <v>91</v>
      </c>
      <c r="D2" s="267" t="s">
        <v>92</v>
      </c>
      <c r="E2" s="267" t="s">
        <v>0</v>
      </c>
      <c r="F2" s="277"/>
      <c r="G2" s="269"/>
      <c r="H2" s="269"/>
      <c r="I2" s="278"/>
      <c r="J2" s="277">
        <v>2.5510000000000001E-2</v>
      </c>
      <c r="K2" s="269">
        <v>83171.3</v>
      </c>
      <c r="L2" s="269">
        <v>83164</v>
      </c>
      <c r="M2" s="278">
        <v>2.5699999999999998E-3</v>
      </c>
      <c r="N2" s="277">
        <v>2.5510000000000001E-2</v>
      </c>
      <c r="O2" s="271">
        <v>-83.163300000000007</v>
      </c>
      <c r="P2" s="271">
        <v>83163.3</v>
      </c>
      <c r="Q2" s="271">
        <v>83080.136700000003</v>
      </c>
      <c r="R2" s="271">
        <v>-83247.724560000002</v>
      </c>
      <c r="S2" s="271">
        <v>-83164.56</v>
      </c>
      <c r="T2" s="271">
        <v>-83.164559999999994</v>
      </c>
      <c r="U2" s="278">
        <v>2.5699999999999998E-3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89</v>
      </c>
      <c r="B3" s="9" t="s">
        <v>93</v>
      </c>
      <c r="C3" s="9" t="s">
        <v>94</v>
      </c>
      <c r="D3" s="9" t="s">
        <v>92</v>
      </c>
      <c r="E3" s="9" t="s">
        <v>0</v>
      </c>
      <c r="F3" s="27"/>
      <c r="G3" s="24"/>
      <c r="H3" s="24"/>
      <c r="I3" s="28"/>
      <c r="J3" s="279">
        <v>1.5286666612691522</v>
      </c>
      <c r="K3" s="24">
        <v>83154.819308000006</v>
      </c>
      <c r="L3" s="24">
        <v>83207.80666100001</v>
      </c>
      <c r="M3" s="25">
        <v>0.2609541143504408</v>
      </c>
      <c r="N3" s="23">
        <v>1.5286666612691522</v>
      </c>
      <c r="O3" s="10">
        <v>-9.7143480499999999</v>
      </c>
      <c r="P3" s="10">
        <v>83154.819308000006</v>
      </c>
      <c r="Q3" s="10">
        <v>83145.104959950011</v>
      </c>
      <c r="R3" s="10">
        <v>-83216.354162700009</v>
      </c>
      <c r="S3" s="10">
        <v>-83210.031212000002</v>
      </c>
      <c r="T3" s="10">
        <v>-6.3229506999999998</v>
      </c>
      <c r="U3" s="26">
        <v>0.2609541143504408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89</v>
      </c>
      <c r="B4" s="267" t="s">
        <v>95</v>
      </c>
      <c r="C4" s="267" t="s">
        <v>94</v>
      </c>
      <c r="D4" s="267" t="s">
        <v>92</v>
      </c>
      <c r="E4" s="267" t="s">
        <v>0</v>
      </c>
      <c r="F4" s="268"/>
      <c r="G4" s="269"/>
      <c r="H4" s="269"/>
      <c r="I4" s="270"/>
      <c r="J4" s="268">
        <v>10</v>
      </c>
      <c r="K4" s="269">
        <v>83535</v>
      </c>
      <c r="L4" s="269">
        <v>83565</v>
      </c>
      <c r="M4" s="270">
        <v>5</v>
      </c>
      <c r="N4" s="268">
        <v>10</v>
      </c>
      <c r="O4" s="271">
        <v>-2.504</v>
      </c>
      <c r="P4" s="271">
        <v>83535</v>
      </c>
      <c r="Q4" s="271">
        <v>83532.495999999999</v>
      </c>
      <c r="R4" s="271">
        <v>-83567.504000000001</v>
      </c>
      <c r="S4" s="271">
        <v>-83565</v>
      </c>
      <c r="T4" s="271">
        <v>-2.504</v>
      </c>
      <c r="U4" s="272">
        <v>5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89</v>
      </c>
      <c r="B5" s="267" t="s">
        <v>96</v>
      </c>
      <c r="C5" s="267" t="s">
        <v>94</v>
      </c>
      <c r="D5" s="267" t="s">
        <v>92</v>
      </c>
      <c r="E5" s="267" t="s">
        <v>0</v>
      </c>
      <c r="F5" s="268"/>
      <c r="G5" s="269"/>
      <c r="H5" s="269"/>
      <c r="I5" s="270"/>
      <c r="J5" s="268">
        <v>5</v>
      </c>
      <c r="K5" s="269">
        <v>83907</v>
      </c>
      <c r="L5" s="269">
        <v>83941</v>
      </c>
      <c r="M5" s="270">
        <v>5</v>
      </c>
      <c r="N5" s="268">
        <v>5</v>
      </c>
      <c r="O5" s="271">
        <v>-2.504</v>
      </c>
      <c r="P5" s="271">
        <v>83900</v>
      </c>
      <c r="Q5" s="271">
        <v>83897.495999999999</v>
      </c>
      <c r="R5" s="271">
        <v>-83957.504000000001</v>
      </c>
      <c r="S5" s="271">
        <v>-83955</v>
      </c>
      <c r="T5" s="271">
        <v>-2.504</v>
      </c>
      <c r="U5" s="272">
        <v>5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89</v>
      </c>
      <c r="B6" s="267" t="s">
        <v>97</v>
      </c>
      <c r="C6" s="267" t="s">
        <v>94</v>
      </c>
      <c r="D6" s="267" t="s">
        <v>92</v>
      </c>
      <c r="E6" s="267" t="s">
        <v>0</v>
      </c>
      <c r="F6" s="268"/>
      <c r="G6" s="269"/>
      <c r="H6" s="269"/>
      <c r="I6" s="270"/>
      <c r="J6" s="268">
        <v>5</v>
      </c>
      <c r="K6" s="269">
        <v>84271</v>
      </c>
      <c r="L6" s="269">
        <v>84327</v>
      </c>
      <c r="M6" s="270">
        <v>5</v>
      </c>
      <c r="N6" s="268">
        <v>5</v>
      </c>
      <c r="O6" s="271">
        <v>-2.504</v>
      </c>
      <c r="P6" s="271">
        <v>84245</v>
      </c>
      <c r="Q6" s="271">
        <v>84242.495999999999</v>
      </c>
      <c r="R6" s="271">
        <v>-84347.504000000001</v>
      </c>
      <c r="S6" s="271">
        <v>-84345</v>
      </c>
      <c r="T6" s="271">
        <v>-2.504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89</v>
      </c>
      <c r="B7" s="267" t="s">
        <v>98</v>
      </c>
      <c r="C7" s="267" t="s">
        <v>94</v>
      </c>
      <c r="D7" s="267" t="s">
        <v>92</v>
      </c>
      <c r="E7" s="267" t="s">
        <v>0</v>
      </c>
      <c r="F7" s="268"/>
      <c r="G7" s="269"/>
      <c r="H7" s="269"/>
      <c r="I7" s="270"/>
      <c r="J7" s="268">
        <v>5</v>
      </c>
      <c r="K7" s="269">
        <v>84683</v>
      </c>
      <c r="L7" s="269">
        <v>84776</v>
      </c>
      <c r="M7" s="270">
        <v>5</v>
      </c>
      <c r="N7" s="268">
        <v>5</v>
      </c>
      <c r="O7" s="271">
        <v>-2.504</v>
      </c>
      <c r="P7" s="271">
        <v>84635</v>
      </c>
      <c r="Q7" s="271">
        <v>84632.495999999999</v>
      </c>
      <c r="R7" s="271">
        <v>-84822.504000000001</v>
      </c>
      <c r="S7" s="271">
        <v>-84820</v>
      </c>
      <c r="T7" s="271">
        <v>-2.504</v>
      </c>
      <c r="U7" s="272">
        <v>5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89</v>
      </c>
      <c r="B8" s="267" t="s">
        <v>99</v>
      </c>
      <c r="C8" s="267" t="s">
        <v>94</v>
      </c>
      <c r="D8" s="267" t="s">
        <v>92</v>
      </c>
      <c r="E8" s="267" t="s">
        <v>0</v>
      </c>
      <c r="F8" s="268"/>
      <c r="G8" s="269"/>
      <c r="H8" s="269"/>
      <c r="I8" s="270"/>
      <c r="J8" s="268">
        <v>5</v>
      </c>
      <c r="K8" s="269">
        <v>84927</v>
      </c>
      <c r="L8" s="269">
        <v>85181</v>
      </c>
      <c r="M8" s="270">
        <v>5</v>
      </c>
      <c r="N8" s="268">
        <v>5</v>
      </c>
      <c r="O8" s="271">
        <v>-2.504</v>
      </c>
      <c r="P8" s="271">
        <v>84895</v>
      </c>
      <c r="Q8" s="271">
        <v>84892.495999999999</v>
      </c>
      <c r="R8" s="271">
        <v>-85227.504000000001</v>
      </c>
      <c r="S8" s="271">
        <v>-85225</v>
      </c>
      <c r="T8" s="271">
        <v>-2.504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89</v>
      </c>
      <c r="B9" s="267" t="s">
        <v>796</v>
      </c>
      <c r="C9" s="267" t="s">
        <v>94</v>
      </c>
      <c r="D9" s="267" t="s">
        <v>92</v>
      </c>
      <c r="E9" s="267" t="s">
        <v>0</v>
      </c>
      <c r="F9" s="268"/>
      <c r="G9" s="269"/>
      <c r="H9" s="269"/>
      <c r="I9" s="270"/>
      <c r="J9" s="268">
        <v>5</v>
      </c>
      <c r="K9" s="269">
        <v>85171</v>
      </c>
      <c r="L9" s="269">
        <v>85726</v>
      </c>
      <c r="M9" s="270">
        <v>5</v>
      </c>
      <c r="N9" s="268">
        <v>5</v>
      </c>
      <c r="O9" s="271">
        <v>-2.504</v>
      </c>
      <c r="P9" s="271">
        <v>85035</v>
      </c>
      <c r="Q9" s="271">
        <v>85032.495999999999</v>
      </c>
      <c r="R9" s="271">
        <v>-85777.504000000001</v>
      </c>
      <c r="S9" s="271">
        <v>-85775</v>
      </c>
      <c r="T9" s="271">
        <v>-2.504</v>
      </c>
      <c r="U9" s="272">
        <v>5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89</v>
      </c>
      <c r="B10" s="9" t="s">
        <v>100</v>
      </c>
      <c r="C10" s="9" t="s">
        <v>94</v>
      </c>
      <c r="D10" s="9" t="s">
        <v>92</v>
      </c>
      <c r="E10" s="9" t="s">
        <v>0</v>
      </c>
      <c r="F10" s="268"/>
      <c r="G10" s="269"/>
      <c r="H10" s="269"/>
      <c r="I10" s="270"/>
      <c r="J10" s="27">
        <v>100</v>
      </c>
      <c r="K10" s="24">
        <v>2678</v>
      </c>
      <c r="L10" s="24">
        <v>2679</v>
      </c>
      <c r="M10" s="28">
        <v>100</v>
      </c>
      <c r="N10" s="27">
        <v>100</v>
      </c>
      <c r="O10" s="10">
        <v>-0.1704</v>
      </c>
      <c r="P10" s="10">
        <v>2678</v>
      </c>
      <c r="Q10" s="10">
        <v>2677.8296</v>
      </c>
      <c r="R10" s="10">
        <v>-2679.1704</v>
      </c>
      <c r="S10" s="10">
        <v>-2679</v>
      </c>
      <c r="T10" s="10">
        <v>-0.1704</v>
      </c>
      <c r="U10" s="29">
        <v>100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89</v>
      </c>
      <c r="B11" s="9" t="s">
        <v>101</v>
      </c>
      <c r="C11" s="9" t="s">
        <v>94</v>
      </c>
      <c r="D11" s="9" t="s">
        <v>92</v>
      </c>
      <c r="E11" s="9" t="s">
        <v>0</v>
      </c>
      <c r="F11" s="268"/>
      <c r="G11" s="269"/>
      <c r="H11" s="269"/>
      <c r="I11" s="270"/>
      <c r="J11" s="27">
        <v>250</v>
      </c>
      <c r="K11" s="24">
        <v>2688.5</v>
      </c>
      <c r="L11" s="24">
        <v>2689.95</v>
      </c>
      <c r="M11" s="28">
        <v>150</v>
      </c>
      <c r="N11" s="27">
        <v>250</v>
      </c>
      <c r="O11" s="10">
        <v>-0.1704</v>
      </c>
      <c r="P11" s="10">
        <v>2688</v>
      </c>
      <c r="Q11" s="10">
        <v>2687.8296</v>
      </c>
      <c r="R11" s="10">
        <v>-2690.6704</v>
      </c>
      <c r="S11" s="10">
        <v>-2690.5</v>
      </c>
      <c r="T11" s="10">
        <v>-0.1704</v>
      </c>
      <c r="U11" s="29">
        <v>150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89</v>
      </c>
      <c r="B12" s="9" t="s">
        <v>102</v>
      </c>
      <c r="C12" s="9" t="s">
        <v>94</v>
      </c>
      <c r="D12" s="9" t="s">
        <v>92</v>
      </c>
      <c r="E12" s="9" t="s">
        <v>0</v>
      </c>
      <c r="F12" s="268"/>
      <c r="G12" s="269"/>
      <c r="H12" s="269"/>
      <c r="I12" s="270"/>
      <c r="J12" s="27">
        <v>50</v>
      </c>
      <c r="K12" s="24">
        <v>2698.55</v>
      </c>
      <c r="L12" s="24">
        <v>2702.0499999999997</v>
      </c>
      <c r="M12" s="28">
        <v>50</v>
      </c>
      <c r="N12" s="27">
        <v>50</v>
      </c>
      <c r="O12" s="10">
        <v>-0.1704</v>
      </c>
      <c r="P12" s="10">
        <v>2694.5</v>
      </c>
      <c r="Q12" s="10">
        <v>2694.3296</v>
      </c>
      <c r="R12" s="10">
        <v>-2705.6704</v>
      </c>
      <c r="S12" s="10">
        <v>-2705.5</v>
      </c>
      <c r="T12" s="10">
        <v>-0.1704</v>
      </c>
      <c r="U12" s="29">
        <v>50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89</v>
      </c>
      <c r="B13" s="9" t="s">
        <v>103</v>
      </c>
      <c r="C13" s="9" t="s">
        <v>94</v>
      </c>
      <c r="D13" s="9" t="s">
        <v>92</v>
      </c>
      <c r="E13" s="9" t="s">
        <v>0</v>
      </c>
      <c r="F13" s="268"/>
      <c r="G13" s="269"/>
      <c r="H13" s="269"/>
      <c r="I13" s="270"/>
      <c r="J13" s="27">
        <v>0</v>
      </c>
      <c r="K13" s="24">
        <v>-1</v>
      </c>
      <c r="L13" s="24">
        <v>-1</v>
      </c>
      <c r="M13" s="28">
        <v>0</v>
      </c>
      <c r="N13" s="27">
        <v>0</v>
      </c>
      <c r="O13" s="10">
        <v>-0.1704</v>
      </c>
      <c r="P13" s="10">
        <v>-1</v>
      </c>
      <c r="Q13" s="10">
        <v>-1.1703999999999999</v>
      </c>
      <c r="R13" s="10">
        <v>0.8296</v>
      </c>
      <c r="S13" s="10">
        <v>1</v>
      </c>
      <c r="T13" s="10">
        <v>-0.1704</v>
      </c>
      <c r="U13" s="29">
        <v>0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89</v>
      </c>
      <c r="B14" s="9" t="s">
        <v>104</v>
      </c>
      <c r="C14" s="9" t="s">
        <v>94</v>
      </c>
      <c r="D14" s="9" t="s">
        <v>92</v>
      </c>
      <c r="E14" s="9" t="s">
        <v>0</v>
      </c>
      <c r="F14" s="268"/>
      <c r="G14" s="269"/>
      <c r="H14" s="269"/>
      <c r="I14" s="270"/>
      <c r="J14" s="27">
        <v>0</v>
      </c>
      <c r="K14" s="24">
        <v>-1</v>
      </c>
      <c r="L14" s="24">
        <v>-1</v>
      </c>
      <c r="M14" s="28">
        <v>0</v>
      </c>
      <c r="N14" s="27">
        <v>0</v>
      </c>
      <c r="O14" s="10">
        <v>-0.1704</v>
      </c>
      <c r="P14" s="10">
        <v>-1</v>
      </c>
      <c r="Q14" s="10">
        <v>-1.1703999999999999</v>
      </c>
      <c r="R14" s="10">
        <v>0.8296</v>
      </c>
      <c r="S14" s="10">
        <v>1</v>
      </c>
      <c r="T14" s="10">
        <v>-0.1704</v>
      </c>
      <c r="U14" s="29">
        <v>0</v>
      </c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89</v>
      </c>
      <c r="B15" s="9" t="s">
        <v>797</v>
      </c>
      <c r="C15" s="9" t="s">
        <v>94</v>
      </c>
      <c r="D15" s="9" t="s">
        <v>92</v>
      </c>
      <c r="E15" s="9" t="s">
        <v>0</v>
      </c>
      <c r="F15" s="268"/>
      <c r="G15" s="269"/>
      <c r="H15" s="269"/>
      <c r="I15" s="270"/>
      <c r="J15" s="27">
        <v>0</v>
      </c>
      <c r="K15" s="24">
        <v>-1</v>
      </c>
      <c r="L15" s="24">
        <v>-1</v>
      </c>
      <c r="M15" s="28">
        <v>0</v>
      </c>
      <c r="N15" s="27">
        <v>0</v>
      </c>
      <c r="O15" s="10">
        <v>-0.1704</v>
      </c>
      <c r="P15" s="10">
        <v>-1</v>
      </c>
      <c r="Q15" s="10">
        <v>-1.1703999999999999</v>
      </c>
      <c r="R15" s="10">
        <v>0.8296</v>
      </c>
      <c r="S15" s="10">
        <v>1</v>
      </c>
      <c r="T15" s="10">
        <v>-0.1704</v>
      </c>
      <c r="U15" s="29">
        <v>0</v>
      </c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105</v>
      </c>
      <c r="B16" s="267" t="s">
        <v>106</v>
      </c>
      <c r="C16" s="267" t="s">
        <v>107</v>
      </c>
      <c r="D16" s="267" t="s">
        <v>92</v>
      </c>
      <c r="E16" s="267" t="s">
        <v>0</v>
      </c>
      <c r="F16" s="268">
        <v>2.5510000000000001E-2</v>
      </c>
      <c r="G16" s="269">
        <v>83163.3</v>
      </c>
      <c r="H16" s="269">
        <v>83164.56</v>
      </c>
      <c r="I16" s="270">
        <v>2.5699999999999998E-3</v>
      </c>
      <c r="J16" s="277">
        <v>2.5510000000000001E-2</v>
      </c>
      <c r="K16" s="269">
        <v>83163.3</v>
      </c>
      <c r="L16" s="269">
        <v>83164.56</v>
      </c>
      <c r="M16" s="278">
        <v>2.5699999999999998E-3</v>
      </c>
      <c r="N16" s="277">
        <v>2.5510000000000001E-2</v>
      </c>
      <c r="O16" s="271">
        <v>-83.163300000000007</v>
      </c>
      <c r="P16" s="271">
        <v>83163.3</v>
      </c>
      <c r="Q16" s="271">
        <v>83080.136700000003</v>
      </c>
      <c r="R16" s="271">
        <v>-83247.724560000002</v>
      </c>
      <c r="S16" s="271">
        <v>-83164.56</v>
      </c>
      <c r="T16" s="271">
        <v>-83.164559999999994</v>
      </c>
      <c r="U16" s="278">
        <v>2.5699999999999998E-3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105</v>
      </c>
      <c r="B17" s="267" t="s">
        <v>106</v>
      </c>
      <c r="C17" s="267" t="s">
        <v>108</v>
      </c>
      <c r="D17" s="267" t="s">
        <v>92</v>
      </c>
      <c r="E17" s="267" t="s">
        <v>0</v>
      </c>
      <c r="F17" s="268">
        <v>3.2112380000000003E-2</v>
      </c>
      <c r="G17" s="269">
        <v>83169.84</v>
      </c>
      <c r="H17" s="269">
        <v>83169.850000000006</v>
      </c>
      <c r="I17" s="270">
        <v>0.27443984999999999</v>
      </c>
      <c r="J17" s="277">
        <v>3.2112380000000003E-2</v>
      </c>
      <c r="K17" s="269">
        <v>83169.84</v>
      </c>
      <c r="L17" s="269">
        <v>83169.850000000006</v>
      </c>
      <c r="M17" s="278">
        <v>0.27443984999999999</v>
      </c>
      <c r="N17" s="277">
        <v>3.2112380000000003E-2</v>
      </c>
      <c r="O17" s="271">
        <v>-499.01903999999996</v>
      </c>
      <c r="P17" s="271">
        <v>83169.84</v>
      </c>
      <c r="Q17" s="271">
        <v>82670.820959999997</v>
      </c>
      <c r="R17" s="271">
        <v>-83668.869100000011</v>
      </c>
      <c r="S17" s="271">
        <v>-83169.850000000006</v>
      </c>
      <c r="T17" s="271">
        <v>-499.01910000000004</v>
      </c>
      <c r="U17" s="278">
        <v>0.27443984999999999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105</v>
      </c>
      <c r="B18" s="267" t="s">
        <v>106</v>
      </c>
      <c r="C18" s="267" t="s">
        <v>109</v>
      </c>
      <c r="D18" s="267" t="s">
        <v>92</v>
      </c>
      <c r="E18" s="267" t="s">
        <v>0</v>
      </c>
      <c r="F18" s="268">
        <v>0.04</v>
      </c>
      <c r="G18" s="269">
        <v>83166.009999999995</v>
      </c>
      <c r="H18" s="269">
        <v>83169.42</v>
      </c>
      <c r="I18" s="270">
        <v>1.305308E-2</v>
      </c>
      <c r="J18" s="277">
        <v>0.04</v>
      </c>
      <c r="K18" s="269">
        <v>83166.009999999995</v>
      </c>
      <c r="L18" s="269">
        <v>83169.42</v>
      </c>
      <c r="M18" s="278">
        <v>1.305308E-2</v>
      </c>
      <c r="N18" s="277">
        <v>0.04</v>
      </c>
      <c r="O18" s="271">
        <v>-332.66404</v>
      </c>
      <c r="P18" s="271">
        <v>83166.009999999995</v>
      </c>
      <c r="Q18" s="271">
        <v>82833.345959999991</v>
      </c>
      <c r="R18" s="271">
        <v>-83502.097679999992</v>
      </c>
      <c r="S18" s="271">
        <v>-83169.42</v>
      </c>
      <c r="T18" s="271">
        <v>-332.67768000000001</v>
      </c>
      <c r="U18" s="278">
        <v>1.305308E-2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105</v>
      </c>
      <c r="B19" s="267" t="s">
        <v>106</v>
      </c>
      <c r="C19" s="267" t="s">
        <v>94</v>
      </c>
      <c r="D19" s="267" t="s">
        <v>92</v>
      </c>
      <c r="E19" s="267" t="s">
        <v>0</v>
      </c>
      <c r="F19" s="268">
        <v>0</v>
      </c>
      <c r="G19" s="269">
        <v>83164</v>
      </c>
      <c r="H19" s="269">
        <v>83164</v>
      </c>
      <c r="I19" s="270">
        <v>0</v>
      </c>
      <c r="J19" s="277">
        <v>0</v>
      </c>
      <c r="K19" s="269">
        <v>83164</v>
      </c>
      <c r="L19" s="269">
        <v>83164</v>
      </c>
      <c r="M19" s="278">
        <v>0</v>
      </c>
      <c r="N19" s="277">
        <v>0</v>
      </c>
      <c r="O19" s="271">
        <v>-99.79679999999999</v>
      </c>
      <c r="P19" s="271">
        <v>83164</v>
      </c>
      <c r="Q19" s="271">
        <v>83064.203200000004</v>
      </c>
      <c r="R19" s="271">
        <v>-83263.796799999996</v>
      </c>
      <c r="S19" s="271">
        <v>-83164</v>
      </c>
      <c r="T19" s="271">
        <v>-99.79679999999999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84721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105</v>
      </c>
      <c r="B20" s="267" t="s">
        <v>106</v>
      </c>
      <c r="C20" s="267" t="s">
        <v>110</v>
      </c>
      <c r="D20" s="267" t="s">
        <v>92</v>
      </c>
      <c r="E20" s="267" t="s">
        <v>0</v>
      </c>
      <c r="F20" s="268">
        <v>1.8579760000000001E-2</v>
      </c>
      <c r="G20" s="269">
        <v>83171.3</v>
      </c>
      <c r="H20" s="269">
        <v>83171.399999999994</v>
      </c>
      <c r="I20" s="270">
        <v>2.0601103699999999</v>
      </c>
      <c r="J20" s="277">
        <v>1.8579760000000001E-2</v>
      </c>
      <c r="K20" s="269">
        <v>83171.3</v>
      </c>
      <c r="L20" s="269">
        <v>83171.399999999994</v>
      </c>
      <c r="M20" s="278">
        <v>2.0601103699999999</v>
      </c>
      <c r="N20" s="277">
        <v>1.8579760000000001E-2</v>
      </c>
      <c r="O20" s="271">
        <v>-216.24538000000001</v>
      </c>
      <c r="P20" s="271">
        <v>83171.3</v>
      </c>
      <c r="Q20" s="271">
        <v>82955.05462000001</v>
      </c>
      <c r="R20" s="271">
        <v>-83387.645639999988</v>
      </c>
      <c r="S20" s="271">
        <v>-83171.399999999994</v>
      </c>
      <c r="T20" s="271">
        <v>-216.24563999999998</v>
      </c>
      <c r="U20" s="278">
        <v>2.0601103699999999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111</v>
      </c>
      <c r="B21" s="9" t="s">
        <v>112</v>
      </c>
      <c r="C21" s="9" t="s">
        <v>94</v>
      </c>
      <c r="D21" s="9" t="s">
        <v>92</v>
      </c>
      <c r="E21" s="9" t="s">
        <v>0</v>
      </c>
      <c r="F21" s="268">
        <v>12700</v>
      </c>
      <c r="G21" s="269">
        <v>27.55</v>
      </c>
      <c r="H21" s="269">
        <v>27.59</v>
      </c>
      <c r="I21" s="270">
        <v>11800</v>
      </c>
      <c r="J21" s="279">
        <v>4.2099677317575637</v>
      </c>
      <c r="K21" s="24">
        <v>83108.713010000007</v>
      </c>
      <c r="L21" s="24">
        <v>83229.379018000007</v>
      </c>
      <c r="M21" s="25">
        <v>3.9116235617904924</v>
      </c>
      <c r="N21" s="23">
        <v>4.2099677317575637</v>
      </c>
      <c r="O21" s="10">
        <v>-16.591576099999997</v>
      </c>
      <c r="P21" s="10">
        <v>83108.713010000007</v>
      </c>
      <c r="Q21" s="10">
        <v>83092.1214339</v>
      </c>
      <c r="R21" s="10">
        <v>-83245.970594100014</v>
      </c>
      <c r="S21" s="10">
        <v>-83229.379018000007</v>
      </c>
      <c r="T21" s="10">
        <v>-16.591576099999997</v>
      </c>
      <c r="U21" s="26">
        <v>3.9116235617904924</v>
      </c>
      <c r="V21" s="11">
        <v>1</v>
      </c>
      <c r="W21" s="11">
        <v>1</v>
      </c>
      <c r="X21" s="11"/>
      <c r="Y21" s="11"/>
      <c r="Z21" s="29"/>
      <c r="AA21" s="375">
        <v>27.860001</v>
      </c>
      <c r="AB21" s="382">
        <v>0</v>
      </c>
      <c r="AC21" s="18" t="s">
        <v>4070</v>
      </c>
    </row>
    <row r="22" spans="1:30" s="9" customFormat="1" x14ac:dyDescent="0.25">
      <c r="A22" s="36" t="s">
        <v>111</v>
      </c>
      <c r="B22" s="9" t="s">
        <v>113</v>
      </c>
      <c r="C22" s="9" t="s">
        <v>94</v>
      </c>
      <c r="D22" s="9" t="s">
        <v>92</v>
      </c>
      <c r="E22" s="9" t="s">
        <v>0</v>
      </c>
      <c r="F22" s="268">
        <v>12600</v>
      </c>
      <c r="G22" s="269">
        <v>45.03</v>
      </c>
      <c r="H22" s="269">
        <v>45.18</v>
      </c>
      <c r="I22" s="270">
        <v>13800</v>
      </c>
      <c r="J22" s="279">
        <v>6.8362701895811657</v>
      </c>
      <c r="K22" s="24">
        <v>82995.256808999999</v>
      </c>
      <c r="L22" s="24">
        <v>83271.723354000002</v>
      </c>
      <c r="M22" s="25">
        <v>7.4873435409698486</v>
      </c>
      <c r="N22" s="23">
        <v>6.8362701895811657</v>
      </c>
      <c r="O22" s="10">
        <v>-10.13710665</v>
      </c>
      <c r="P22" s="10">
        <v>82995.256808999999</v>
      </c>
      <c r="Q22" s="10">
        <v>82985.119702349999</v>
      </c>
      <c r="R22" s="10">
        <v>-83281.860460650001</v>
      </c>
      <c r="S22" s="10">
        <v>-83271.723354000002</v>
      </c>
      <c r="T22" s="10">
        <v>-10.13710665</v>
      </c>
      <c r="U22" s="26">
        <v>7.4873435409698486</v>
      </c>
      <c r="V22" s="11">
        <v>1</v>
      </c>
      <c r="W22" s="11">
        <v>1</v>
      </c>
      <c r="X22" s="11"/>
      <c r="Y22" s="11"/>
      <c r="Z22" s="29"/>
      <c r="AA22" s="375">
        <v>45.57</v>
      </c>
      <c r="AB22" s="382">
        <v>0</v>
      </c>
      <c r="AC22" s="18" t="s">
        <v>4070</v>
      </c>
    </row>
    <row r="23" spans="1:30" s="9" customFormat="1" x14ac:dyDescent="0.25">
      <c r="A23" s="36" t="s">
        <v>111</v>
      </c>
      <c r="B23" s="9" t="s">
        <v>114</v>
      </c>
      <c r="C23" s="9" t="s">
        <v>94</v>
      </c>
      <c r="D23" s="9" t="s">
        <v>92</v>
      </c>
      <c r="E23" s="9" t="s">
        <v>0</v>
      </c>
      <c r="F23" s="293">
        <v>15000</v>
      </c>
      <c r="G23" s="24">
        <v>23.31</v>
      </c>
      <c r="H23" s="24">
        <v>23.57</v>
      </c>
      <c r="I23" s="294">
        <v>15000</v>
      </c>
      <c r="J23" s="279">
        <v>4.2265809166659407</v>
      </c>
      <c r="K23" s="24">
        <v>82726.441748999991</v>
      </c>
      <c r="L23" s="24">
        <v>83649.173403000008</v>
      </c>
      <c r="M23" s="25">
        <v>4.2265809166659407</v>
      </c>
      <c r="N23" s="23">
        <v>4.2265809166659407</v>
      </c>
      <c r="O23" s="10">
        <v>-19.519323449999998</v>
      </c>
      <c r="P23" s="10">
        <v>82726.441748999991</v>
      </c>
      <c r="Q23" s="10">
        <v>82706.922425549987</v>
      </c>
      <c r="R23" s="10">
        <v>-83668.692726450012</v>
      </c>
      <c r="S23" s="10">
        <v>-83649.173403000008</v>
      </c>
      <c r="T23" s="10">
        <v>-19.519323449999998</v>
      </c>
      <c r="U23" s="26">
        <v>4.2265809166659407</v>
      </c>
      <c r="V23" s="11">
        <v>1</v>
      </c>
      <c r="W23" s="11">
        <v>1</v>
      </c>
      <c r="X23" s="11"/>
      <c r="Y23" s="11"/>
      <c r="Z23" s="29"/>
      <c r="AA23" s="375">
        <v>23.677999</v>
      </c>
      <c r="AB23" s="382">
        <v>0</v>
      </c>
      <c r="AC23" s="18" t="s">
        <v>4070</v>
      </c>
    </row>
    <row r="24" spans="1:30" s="9" customFormat="1" x14ac:dyDescent="0.25">
      <c r="A24" s="36" t="s">
        <v>111</v>
      </c>
      <c r="B24" s="9" t="s">
        <v>0</v>
      </c>
      <c r="C24" s="9" t="s">
        <v>94</v>
      </c>
      <c r="D24" s="9" t="s">
        <v>92</v>
      </c>
      <c r="E24" s="9" t="s">
        <v>0</v>
      </c>
      <c r="F24" s="293">
        <v>12300</v>
      </c>
      <c r="G24" s="24">
        <v>36.659999999999997</v>
      </c>
      <c r="H24" s="24">
        <v>36.93</v>
      </c>
      <c r="I24" s="294">
        <v>13600</v>
      </c>
      <c r="J24" s="279">
        <v>5.437057658891379</v>
      </c>
      <c r="K24" s="24">
        <v>82934.19498</v>
      </c>
      <c r="L24" s="24">
        <v>83545.003290000008</v>
      </c>
      <c r="M24" s="25">
        <v>6.0117060293433138</v>
      </c>
      <c r="N24" s="23">
        <v>5.437057658891379</v>
      </c>
      <c r="O24" s="10">
        <v>-12.442391499999999</v>
      </c>
      <c r="P24" s="10">
        <v>82934.19498</v>
      </c>
      <c r="Q24" s="10">
        <v>82921.752588500007</v>
      </c>
      <c r="R24" s="10">
        <v>-83557.445681500001</v>
      </c>
      <c r="S24" s="10">
        <v>-83545.003290000008</v>
      </c>
      <c r="T24" s="10">
        <v>-12.442391499999999</v>
      </c>
      <c r="U24" s="26">
        <v>6.0117060293433138</v>
      </c>
      <c r="V24" s="11">
        <v>1</v>
      </c>
      <c r="W24" s="11">
        <v>1</v>
      </c>
      <c r="X24" s="11"/>
      <c r="Y24" s="11"/>
      <c r="Z24" s="29"/>
      <c r="AA24" s="375">
        <v>37.159999999999997</v>
      </c>
      <c r="AB24" s="382">
        <v>0</v>
      </c>
      <c r="AC24" s="18" t="s">
        <v>4070</v>
      </c>
    </row>
    <row r="25" spans="1:30" s="9" customFormat="1" x14ac:dyDescent="0.25">
      <c r="A25" s="36" t="s">
        <v>111</v>
      </c>
      <c r="B25" s="9" t="s">
        <v>115</v>
      </c>
      <c r="C25" s="9" t="s">
        <v>94</v>
      </c>
      <c r="D25" s="9" t="s">
        <v>92</v>
      </c>
      <c r="E25" s="9" t="s">
        <v>0</v>
      </c>
      <c r="F25" s="293">
        <v>3900</v>
      </c>
      <c r="G25" s="24">
        <v>87.38</v>
      </c>
      <c r="H25" s="24">
        <v>88.34</v>
      </c>
      <c r="I25" s="294">
        <v>3900</v>
      </c>
      <c r="J25" s="279">
        <v>4.1192538784887702</v>
      </c>
      <c r="K25" s="24">
        <v>82729.059691999995</v>
      </c>
      <c r="L25" s="24">
        <v>83637.962156000009</v>
      </c>
      <c r="M25" s="25">
        <v>4.1192538784887702</v>
      </c>
      <c r="N25" s="23">
        <v>4.1192538784887702</v>
      </c>
      <c r="O25" s="10">
        <v>-5.2072536999999999</v>
      </c>
      <c r="P25" s="10">
        <v>82729.059691999995</v>
      </c>
      <c r="Q25" s="10">
        <v>82723.852438299989</v>
      </c>
      <c r="R25" s="10">
        <v>-83643.169409700015</v>
      </c>
      <c r="S25" s="10">
        <v>-83637.962156000009</v>
      </c>
      <c r="T25" s="10">
        <v>-5.2072536999999999</v>
      </c>
      <c r="U25" s="26">
        <v>4.1192538784887702</v>
      </c>
      <c r="V25" s="11">
        <v>1</v>
      </c>
      <c r="W25" s="11">
        <v>1</v>
      </c>
      <c r="X25" s="11"/>
      <c r="Y25" s="11"/>
      <c r="Z25" s="29"/>
      <c r="AA25" s="375">
        <v>88.68</v>
      </c>
      <c r="AB25" s="382">
        <v>0</v>
      </c>
      <c r="AC25" s="18" t="s">
        <v>4070</v>
      </c>
    </row>
    <row r="26" spans="1:30" s="9" customFormat="1" x14ac:dyDescent="0.25">
      <c r="A26" s="36" t="s">
        <v>111</v>
      </c>
      <c r="B26" s="9" t="s">
        <v>116</v>
      </c>
      <c r="C26" s="9" t="s">
        <v>94</v>
      </c>
      <c r="D26" s="9" t="s">
        <v>92</v>
      </c>
      <c r="E26" s="9" t="s">
        <v>0</v>
      </c>
      <c r="F26" s="293">
        <v>100</v>
      </c>
      <c r="G26" s="24">
        <v>47.63</v>
      </c>
      <c r="H26" s="24">
        <v>48.56</v>
      </c>
      <c r="I26" s="294">
        <v>100</v>
      </c>
      <c r="J26" s="279">
        <v>5.7770081775861556E-2</v>
      </c>
      <c r="K26" s="24">
        <v>82447.520474000004</v>
      </c>
      <c r="L26" s="24">
        <v>84057.350288000001</v>
      </c>
      <c r="M26" s="25">
        <v>5.7770081775861556E-2</v>
      </c>
      <c r="N26" s="23">
        <v>5.7770081775861556E-2</v>
      </c>
      <c r="O26" s="10">
        <v>-9.5204988999999998</v>
      </c>
      <c r="P26" s="10">
        <v>82447.520474000004</v>
      </c>
      <c r="Q26" s="10">
        <v>82437.9999751</v>
      </c>
      <c r="R26" s="10">
        <v>-84066.870786900006</v>
      </c>
      <c r="S26" s="10">
        <v>-84057.350288000001</v>
      </c>
      <c r="T26" s="10">
        <v>-9.5204988999999998</v>
      </c>
      <c r="U26" s="26">
        <v>5.7770081775861556E-2</v>
      </c>
      <c r="V26" s="11">
        <v>1</v>
      </c>
      <c r="W26" s="11">
        <v>1</v>
      </c>
      <c r="X26" s="11"/>
      <c r="Y26" s="11"/>
      <c r="Z26" s="29"/>
      <c r="AA26" s="375">
        <v>48.540000999999997</v>
      </c>
      <c r="AB26" s="382">
        <v>0</v>
      </c>
      <c r="AC26" s="18" t="s">
        <v>4070</v>
      </c>
    </row>
    <row r="27" spans="1:30" s="9" customFormat="1" x14ac:dyDescent="0.25">
      <c r="A27" s="36" t="s">
        <v>111</v>
      </c>
      <c r="B27" s="9" t="s">
        <v>117</v>
      </c>
      <c r="C27" s="9" t="s">
        <v>94</v>
      </c>
      <c r="D27" s="9" t="s">
        <v>92</v>
      </c>
      <c r="E27" s="9" t="s">
        <v>0</v>
      </c>
      <c r="F27" s="293">
        <v>9300</v>
      </c>
      <c r="G27" s="24">
        <v>72.260000000000005</v>
      </c>
      <c r="H27" s="24">
        <v>72.38</v>
      </c>
      <c r="I27" s="294">
        <v>300</v>
      </c>
      <c r="J27" s="279">
        <v>8.0895775448636655</v>
      </c>
      <c r="K27" s="24">
        <v>83072.075924000019</v>
      </c>
      <c r="L27" s="24">
        <v>83210.031212000002</v>
      </c>
      <c r="M27" s="25">
        <v>0.2609541143504408</v>
      </c>
      <c r="N27" s="23">
        <v>8.0895775448636655</v>
      </c>
      <c r="O27" s="10">
        <v>-6.3229506999999998</v>
      </c>
      <c r="P27" s="10">
        <v>83072.075924000019</v>
      </c>
      <c r="Q27" s="10">
        <v>83065.752973300012</v>
      </c>
      <c r="R27" s="10">
        <v>-83216.354162700009</v>
      </c>
      <c r="S27" s="10">
        <v>-83210.031212000002</v>
      </c>
      <c r="T27" s="10">
        <v>-6.3229506999999998</v>
      </c>
      <c r="U27" s="26">
        <v>0.2609541143504408</v>
      </c>
      <c r="V27" s="11">
        <v>1</v>
      </c>
      <c r="W27" s="11">
        <v>1</v>
      </c>
      <c r="X27" s="11"/>
      <c r="Y27" s="11"/>
      <c r="Z27" s="29"/>
      <c r="AA27" s="375">
        <v>73.050003000000004</v>
      </c>
      <c r="AB27" s="382">
        <v>0</v>
      </c>
      <c r="AC27" s="18" t="s">
        <v>4070</v>
      </c>
    </row>
    <row r="28" spans="1:30" s="9" customFormat="1" x14ac:dyDescent="0.25">
      <c r="A28" s="36" t="s">
        <v>111</v>
      </c>
      <c r="B28" s="9" t="s">
        <v>118</v>
      </c>
      <c r="C28" s="9" t="s">
        <v>94</v>
      </c>
      <c r="D28" s="9" t="s">
        <v>92</v>
      </c>
      <c r="E28" s="9" t="s">
        <v>0</v>
      </c>
      <c r="F28" s="293">
        <v>3900</v>
      </c>
      <c r="G28" s="24">
        <v>64.25</v>
      </c>
      <c r="H28" s="24">
        <v>64.31</v>
      </c>
      <c r="I28" s="294">
        <v>3900</v>
      </c>
      <c r="J28" s="279">
        <v>3.0135319173596824</v>
      </c>
      <c r="K28" s="24">
        <v>83149.940624999988</v>
      </c>
      <c r="L28" s="24">
        <v>83227.590375</v>
      </c>
      <c r="M28" s="25">
        <v>3.0135319173596824</v>
      </c>
      <c r="N28" s="23">
        <v>3.0135319173596824</v>
      </c>
      <c r="O28" s="10">
        <v>-7.1178937499999995</v>
      </c>
      <c r="P28" s="10">
        <v>83149.940624999988</v>
      </c>
      <c r="Q28" s="10">
        <v>83142.822731249995</v>
      </c>
      <c r="R28" s="10">
        <v>-83234.708268749993</v>
      </c>
      <c r="S28" s="10">
        <v>-83227.590375</v>
      </c>
      <c r="T28" s="10">
        <v>-7.1178937499999995</v>
      </c>
      <c r="U28" s="26">
        <v>3.0135319173596824</v>
      </c>
      <c r="V28" s="11">
        <v>1</v>
      </c>
      <c r="W28" s="11">
        <v>1</v>
      </c>
      <c r="X28" s="11"/>
      <c r="Y28" s="11"/>
      <c r="Z28" s="29"/>
      <c r="AA28" s="375">
        <v>64.900002000000001</v>
      </c>
      <c r="AB28" s="382">
        <v>0</v>
      </c>
      <c r="AC28" s="18" t="s">
        <v>4070</v>
      </c>
    </row>
    <row r="29" spans="1:30" s="9" customFormat="1" x14ac:dyDescent="0.25">
      <c r="A29" s="36" t="s">
        <v>111</v>
      </c>
      <c r="B29" s="9" t="s">
        <v>119</v>
      </c>
      <c r="C29" s="9" t="s">
        <v>94</v>
      </c>
      <c r="D29" s="9" t="s">
        <v>92</v>
      </c>
      <c r="E29" s="9" t="s">
        <v>0</v>
      </c>
      <c r="F29" s="293">
        <v>22800</v>
      </c>
      <c r="G29" s="24">
        <v>23.39</v>
      </c>
      <c r="H29" s="24">
        <v>23.54</v>
      </c>
      <c r="I29" s="294">
        <v>5600</v>
      </c>
      <c r="J29" s="279">
        <v>6.4483232365695491</v>
      </c>
      <c r="K29" s="24">
        <v>82702.429831000001</v>
      </c>
      <c r="L29" s="24">
        <v>83232.800266000006</v>
      </c>
      <c r="M29" s="25">
        <v>1.5837986896837488</v>
      </c>
      <c r="N29" s="23">
        <v>6.4483232365695491</v>
      </c>
      <c r="O29" s="10">
        <v>-19.446915950000001</v>
      </c>
      <c r="P29" s="10">
        <v>82702.429831000001</v>
      </c>
      <c r="Q29" s="10">
        <v>82682.982915050001</v>
      </c>
      <c r="R29" s="10">
        <v>-83252.247181950006</v>
      </c>
      <c r="S29" s="10">
        <v>-83232.800266000006</v>
      </c>
      <c r="T29" s="10">
        <v>-19.446915950000001</v>
      </c>
      <c r="U29" s="26">
        <v>1.5837986896837488</v>
      </c>
      <c r="V29" s="11">
        <v>1</v>
      </c>
      <c r="W29" s="11">
        <v>1</v>
      </c>
      <c r="X29" s="11"/>
      <c r="Y29" s="11"/>
      <c r="Z29" s="29"/>
      <c r="AA29" s="375">
        <v>23.76</v>
      </c>
      <c r="AB29" s="382">
        <v>0</v>
      </c>
      <c r="AC29" s="18" t="s">
        <v>4070</v>
      </c>
    </row>
    <row r="30" spans="1:30" s="9" customFormat="1" x14ac:dyDescent="0.25">
      <c r="A30" s="36" t="s">
        <v>111</v>
      </c>
      <c r="B30" s="9" t="s">
        <v>120</v>
      </c>
      <c r="C30" s="9" t="s">
        <v>94</v>
      </c>
      <c r="D30" s="9" t="s">
        <v>92</v>
      </c>
      <c r="E30" s="9" t="s">
        <v>0</v>
      </c>
      <c r="F30" s="293">
        <v>2700</v>
      </c>
      <c r="G30" s="24">
        <v>47.08</v>
      </c>
      <c r="H30" s="24">
        <v>47.11</v>
      </c>
      <c r="I30" s="294">
        <v>25100</v>
      </c>
      <c r="J30" s="279">
        <v>1.5286666612691522</v>
      </c>
      <c r="K30" s="24">
        <v>83154.819308000006</v>
      </c>
      <c r="L30" s="24">
        <v>83207.80666100001</v>
      </c>
      <c r="M30" s="25">
        <v>14.210938221428044</v>
      </c>
      <c r="N30" s="23">
        <v>1.5286666612691522</v>
      </c>
      <c r="O30" s="10">
        <v>-9.7143480499999999</v>
      </c>
      <c r="P30" s="10">
        <v>83154.819308000006</v>
      </c>
      <c r="Q30" s="10">
        <v>83145.104959950011</v>
      </c>
      <c r="R30" s="10">
        <v>-83217.521009050004</v>
      </c>
      <c r="S30" s="10">
        <v>-83207.80666100001</v>
      </c>
      <c r="T30" s="10">
        <v>-9.7143480499999999</v>
      </c>
      <c r="U30" s="26">
        <v>14.210938221428044</v>
      </c>
      <c r="V30" s="11">
        <v>1</v>
      </c>
      <c r="W30" s="11">
        <v>1</v>
      </c>
      <c r="X30" s="11"/>
      <c r="Y30" s="11"/>
      <c r="Z30" s="29"/>
      <c r="AA30" s="375">
        <v>47.57</v>
      </c>
      <c r="AB30" s="382">
        <v>0</v>
      </c>
      <c r="AC30" s="18" t="s">
        <v>4070</v>
      </c>
    </row>
    <row r="31" spans="1:30" s="267" customFormat="1" x14ac:dyDescent="0.25">
      <c r="A31" s="266" t="s">
        <v>121</v>
      </c>
      <c r="B31" s="267" t="s">
        <v>122</v>
      </c>
      <c r="C31" s="267" t="s">
        <v>94</v>
      </c>
      <c r="D31" s="267" t="s">
        <v>92</v>
      </c>
      <c r="E31" s="267" t="s">
        <v>0</v>
      </c>
      <c r="F31" s="268">
        <v>2</v>
      </c>
      <c r="G31" s="269">
        <v>83535</v>
      </c>
      <c r="H31" s="269">
        <v>83565</v>
      </c>
      <c r="I31" s="270">
        <v>1</v>
      </c>
      <c r="J31" s="268">
        <v>10</v>
      </c>
      <c r="K31" s="269">
        <v>83535</v>
      </c>
      <c r="L31" s="269">
        <v>83565</v>
      </c>
      <c r="M31" s="270">
        <v>5</v>
      </c>
      <c r="N31" s="268">
        <v>10</v>
      </c>
      <c r="O31" s="271">
        <v>-2.504</v>
      </c>
      <c r="P31" s="271">
        <v>83535</v>
      </c>
      <c r="Q31" s="271">
        <v>83532.495999999999</v>
      </c>
      <c r="R31" s="271">
        <v>-83567.504000000001</v>
      </c>
      <c r="S31" s="271">
        <v>-83565</v>
      </c>
      <c r="T31" s="271">
        <v>-2.504</v>
      </c>
      <c r="U31" s="272">
        <v>5</v>
      </c>
      <c r="V31" s="273">
        <v>0</v>
      </c>
      <c r="W31" s="273">
        <v>0</v>
      </c>
      <c r="X31" s="273">
        <v>32</v>
      </c>
      <c r="Y31" s="273"/>
      <c r="Z31" s="272"/>
      <c r="AA31" s="374">
        <v>84420</v>
      </c>
      <c r="AB31" s="381">
        <v>0</v>
      </c>
      <c r="AC31" s="276" t="s">
        <v>4070</v>
      </c>
    </row>
    <row r="32" spans="1:30" s="267" customFormat="1" x14ac:dyDescent="0.25">
      <c r="A32" s="266" t="s">
        <v>121</v>
      </c>
      <c r="B32" s="267" t="s">
        <v>123</v>
      </c>
      <c r="C32" s="267" t="s">
        <v>94</v>
      </c>
      <c r="D32" s="267" t="s">
        <v>92</v>
      </c>
      <c r="E32" s="267" t="s">
        <v>0</v>
      </c>
      <c r="F32" s="268">
        <v>1</v>
      </c>
      <c r="G32" s="269">
        <v>83900</v>
      </c>
      <c r="H32" s="269">
        <v>83955</v>
      </c>
      <c r="I32" s="270">
        <v>1</v>
      </c>
      <c r="J32" s="268">
        <v>5</v>
      </c>
      <c r="K32" s="269">
        <v>83900</v>
      </c>
      <c r="L32" s="269">
        <v>83955</v>
      </c>
      <c r="M32" s="270">
        <v>5</v>
      </c>
      <c r="N32" s="268">
        <v>5</v>
      </c>
      <c r="O32" s="271">
        <v>-2.504</v>
      </c>
      <c r="P32" s="271">
        <v>83900</v>
      </c>
      <c r="Q32" s="271">
        <v>83897.495999999999</v>
      </c>
      <c r="R32" s="271">
        <v>-83957.504000000001</v>
      </c>
      <c r="S32" s="271">
        <v>-83955</v>
      </c>
      <c r="T32" s="271">
        <v>-2.504</v>
      </c>
      <c r="U32" s="272">
        <v>5</v>
      </c>
      <c r="V32" s="273">
        <v>0</v>
      </c>
      <c r="W32" s="273">
        <v>0</v>
      </c>
      <c r="X32" s="273">
        <v>60</v>
      </c>
      <c r="Y32" s="273"/>
      <c r="Z32" s="272"/>
      <c r="AA32" s="374">
        <v>84800</v>
      </c>
      <c r="AB32" s="381">
        <v>0</v>
      </c>
      <c r="AC32" s="276" t="s">
        <v>4070</v>
      </c>
    </row>
    <row r="33" spans="1:29" s="267" customFormat="1" x14ac:dyDescent="0.25">
      <c r="A33" s="266" t="s">
        <v>121</v>
      </c>
      <c r="B33" s="267" t="s">
        <v>124</v>
      </c>
      <c r="C33" s="267" t="s">
        <v>94</v>
      </c>
      <c r="D33" s="267" t="s">
        <v>92</v>
      </c>
      <c r="E33" s="267" t="s">
        <v>0</v>
      </c>
      <c r="F33" s="268">
        <v>1</v>
      </c>
      <c r="G33" s="269">
        <v>84245</v>
      </c>
      <c r="H33" s="269">
        <v>84345</v>
      </c>
      <c r="I33" s="270">
        <v>1</v>
      </c>
      <c r="J33" s="268">
        <v>5</v>
      </c>
      <c r="K33" s="269">
        <v>84245</v>
      </c>
      <c r="L33" s="269">
        <v>84345</v>
      </c>
      <c r="M33" s="270">
        <v>5</v>
      </c>
      <c r="N33" s="268">
        <v>5</v>
      </c>
      <c r="O33" s="271">
        <v>-2.504</v>
      </c>
      <c r="P33" s="271">
        <v>84245</v>
      </c>
      <c r="Q33" s="271">
        <v>84242.495999999999</v>
      </c>
      <c r="R33" s="271">
        <v>-84347.504000000001</v>
      </c>
      <c r="S33" s="271">
        <v>-84345</v>
      </c>
      <c r="T33" s="271">
        <v>-2.504</v>
      </c>
      <c r="U33" s="272">
        <v>5</v>
      </c>
      <c r="V33" s="273">
        <v>0</v>
      </c>
      <c r="W33" s="273">
        <v>0</v>
      </c>
      <c r="X33" s="273">
        <v>87</v>
      </c>
      <c r="Y33" s="273"/>
      <c r="Z33" s="272"/>
      <c r="AA33" s="374">
        <v>85175</v>
      </c>
      <c r="AB33" s="381">
        <v>0</v>
      </c>
      <c r="AC33" s="276" t="s">
        <v>4070</v>
      </c>
    </row>
    <row r="34" spans="1:29" s="267" customFormat="1" x14ac:dyDescent="0.25">
      <c r="A34" s="266" t="s">
        <v>121</v>
      </c>
      <c r="B34" s="267" t="s">
        <v>125</v>
      </c>
      <c r="C34" s="267" t="s">
        <v>94</v>
      </c>
      <c r="D34" s="267" t="s">
        <v>92</v>
      </c>
      <c r="E34" s="267" t="s">
        <v>0</v>
      </c>
      <c r="F34" s="268">
        <v>1</v>
      </c>
      <c r="G34" s="269">
        <v>84635</v>
      </c>
      <c r="H34" s="269">
        <v>84820</v>
      </c>
      <c r="I34" s="270">
        <v>1</v>
      </c>
      <c r="J34" s="268">
        <v>5</v>
      </c>
      <c r="K34" s="269">
        <v>84635</v>
      </c>
      <c r="L34" s="269">
        <v>84820</v>
      </c>
      <c r="M34" s="270">
        <v>5</v>
      </c>
      <c r="N34" s="268">
        <v>5</v>
      </c>
      <c r="O34" s="271">
        <v>-2.504</v>
      </c>
      <c r="P34" s="271">
        <v>84635</v>
      </c>
      <c r="Q34" s="271">
        <v>84632.495999999999</v>
      </c>
      <c r="R34" s="271">
        <v>-84822.504000000001</v>
      </c>
      <c r="S34" s="271">
        <v>-84820</v>
      </c>
      <c r="T34" s="271">
        <v>-2.504</v>
      </c>
      <c r="U34" s="272">
        <v>5</v>
      </c>
      <c r="V34" s="273">
        <v>0</v>
      </c>
      <c r="W34" s="273">
        <v>0</v>
      </c>
      <c r="X34" s="273">
        <v>123</v>
      </c>
      <c r="Y34" s="273"/>
      <c r="Z34" s="272"/>
      <c r="AA34" s="374">
        <v>85630</v>
      </c>
      <c r="AB34" s="381">
        <v>0</v>
      </c>
      <c r="AC34" s="276" t="s">
        <v>4070</v>
      </c>
    </row>
    <row r="35" spans="1:29" s="267" customFormat="1" x14ac:dyDescent="0.25">
      <c r="A35" s="266" t="s">
        <v>121</v>
      </c>
      <c r="B35" s="267" t="s">
        <v>126</v>
      </c>
      <c r="C35" s="267" t="s">
        <v>94</v>
      </c>
      <c r="D35" s="267" t="s">
        <v>92</v>
      </c>
      <c r="E35" s="267" t="s">
        <v>0</v>
      </c>
      <c r="F35" s="268">
        <v>1</v>
      </c>
      <c r="G35" s="269">
        <v>84895</v>
      </c>
      <c r="H35" s="269">
        <v>85225</v>
      </c>
      <c r="I35" s="270">
        <v>1</v>
      </c>
      <c r="J35" s="268">
        <v>5</v>
      </c>
      <c r="K35" s="269">
        <v>84895</v>
      </c>
      <c r="L35" s="269">
        <v>85225</v>
      </c>
      <c r="M35" s="270">
        <v>5</v>
      </c>
      <c r="N35" s="268">
        <v>5</v>
      </c>
      <c r="O35" s="271">
        <v>-2.504</v>
      </c>
      <c r="P35" s="271">
        <v>84895</v>
      </c>
      <c r="Q35" s="271">
        <v>84892.495999999999</v>
      </c>
      <c r="R35" s="271">
        <v>-85227.504000000001</v>
      </c>
      <c r="S35" s="271">
        <v>-85225</v>
      </c>
      <c r="T35" s="271">
        <v>-2.504</v>
      </c>
      <c r="U35" s="272">
        <v>5</v>
      </c>
      <c r="V35" s="273">
        <v>0</v>
      </c>
      <c r="W35" s="273">
        <v>0</v>
      </c>
      <c r="X35" s="273">
        <v>151</v>
      </c>
      <c r="Y35" s="273"/>
      <c r="Z35" s="272"/>
      <c r="AA35" s="374">
        <v>85985</v>
      </c>
      <c r="AB35" s="381">
        <v>0</v>
      </c>
      <c r="AC35" s="276" t="s">
        <v>4070</v>
      </c>
    </row>
    <row r="36" spans="1:29" s="267" customFormat="1" x14ac:dyDescent="0.25">
      <c r="A36" s="266" t="s">
        <v>121</v>
      </c>
      <c r="B36" s="267" t="s">
        <v>798</v>
      </c>
      <c r="C36" s="267" t="s">
        <v>94</v>
      </c>
      <c r="D36" s="267" t="s">
        <v>92</v>
      </c>
      <c r="E36" s="267" t="s">
        <v>0</v>
      </c>
      <c r="F36" s="268">
        <v>1</v>
      </c>
      <c r="G36" s="269">
        <v>85035</v>
      </c>
      <c r="H36" s="269">
        <v>85775</v>
      </c>
      <c r="I36" s="270">
        <v>1</v>
      </c>
      <c r="J36" s="268">
        <v>5</v>
      </c>
      <c r="K36" s="269">
        <v>85035</v>
      </c>
      <c r="L36" s="269">
        <v>85775</v>
      </c>
      <c r="M36" s="270">
        <v>5</v>
      </c>
      <c r="N36" s="268">
        <v>5</v>
      </c>
      <c r="O36" s="271">
        <v>-2.504</v>
      </c>
      <c r="P36" s="271">
        <v>85035</v>
      </c>
      <c r="Q36" s="271">
        <v>85032.495999999999</v>
      </c>
      <c r="R36" s="271">
        <v>-85777.504000000001</v>
      </c>
      <c r="S36" s="271">
        <v>-85775</v>
      </c>
      <c r="T36" s="271">
        <v>-2.504</v>
      </c>
      <c r="U36" s="272">
        <v>5</v>
      </c>
      <c r="V36" s="273">
        <v>0</v>
      </c>
      <c r="W36" s="273">
        <v>0</v>
      </c>
      <c r="X36" s="273">
        <v>178</v>
      </c>
      <c r="Y36" s="273"/>
      <c r="Z36" s="272"/>
      <c r="AA36" s="374">
        <v>86325</v>
      </c>
      <c r="AB36" s="381">
        <v>0</v>
      </c>
      <c r="AC36" s="276" t="s">
        <v>4070</v>
      </c>
    </row>
    <row r="37" spans="1:29" s="9" customFormat="1" x14ac:dyDescent="0.25">
      <c r="A37" s="36" t="s">
        <v>121</v>
      </c>
      <c r="B37" s="9" t="s">
        <v>127</v>
      </c>
      <c r="C37" s="9" t="s">
        <v>94</v>
      </c>
      <c r="D37" s="9" t="s">
        <v>92</v>
      </c>
      <c r="E37" s="9" t="s">
        <v>0</v>
      </c>
      <c r="F37" s="27">
        <v>2</v>
      </c>
      <c r="G37" s="24">
        <v>2678</v>
      </c>
      <c r="H37" s="24">
        <v>2679</v>
      </c>
      <c r="I37" s="28">
        <v>2</v>
      </c>
      <c r="J37" s="27">
        <v>100</v>
      </c>
      <c r="K37" s="24">
        <v>2678</v>
      </c>
      <c r="L37" s="24">
        <v>2679</v>
      </c>
      <c r="M37" s="28">
        <v>100</v>
      </c>
      <c r="N37" s="27">
        <v>100</v>
      </c>
      <c r="O37" s="10">
        <v>-0.1704</v>
      </c>
      <c r="P37" s="10">
        <v>2678</v>
      </c>
      <c r="Q37" s="10">
        <v>2677.8296</v>
      </c>
      <c r="R37" s="10">
        <v>-2679.1704</v>
      </c>
      <c r="S37" s="10">
        <v>-2679</v>
      </c>
      <c r="T37" s="10">
        <v>-0.1704</v>
      </c>
      <c r="U37" s="29">
        <v>100</v>
      </c>
      <c r="V37" s="11">
        <v>0</v>
      </c>
      <c r="W37" s="11">
        <v>0</v>
      </c>
      <c r="X37" s="11">
        <v>32</v>
      </c>
      <c r="Y37" s="11"/>
      <c r="Z37" s="29"/>
      <c r="AA37" s="375">
        <v>2706</v>
      </c>
      <c r="AB37" s="382">
        <v>0</v>
      </c>
      <c r="AC37" s="18" t="s">
        <v>4070</v>
      </c>
    </row>
    <row r="38" spans="1:29" s="9" customFormat="1" x14ac:dyDescent="0.25">
      <c r="A38" s="36" t="s">
        <v>121</v>
      </c>
      <c r="B38" s="9" t="s">
        <v>128</v>
      </c>
      <c r="C38" s="9" t="s">
        <v>94</v>
      </c>
      <c r="D38" s="9" t="s">
        <v>92</v>
      </c>
      <c r="E38" s="9" t="s">
        <v>0</v>
      </c>
      <c r="F38" s="27">
        <v>5</v>
      </c>
      <c r="G38" s="24">
        <v>2688</v>
      </c>
      <c r="H38" s="24">
        <v>2690.5</v>
      </c>
      <c r="I38" s="28">
        <v>3</v>
      </c>
      <c r="J38" s="27">
        <v>250</v>
      </c>
      <c r="K38" s="24">
        <v>2688</v>
      </c>
      <c r="L38" s="24">
        <v>2690.5</v>
      </c>
      <c r="M38" s="28">
        <v>150</v>
      </c>
      <c r="N38" s="27">
        <v>250</v>
      </c>
      <c r="O38" s="10">
        <v>-0.1704</v>
      </c>
      <c r="P38" s="10">
        <v>2688</v>
      </c>
      <c r="Q38" s="10">
        <v>2687.8296</v>
      </c>
      <c r="R38" s="10">
        <v>-2690.6704</v>
      </c>
      <c r="S38" s="10">
        <v>-2690.5</v>
      </c>
      <c r="T38" s="10">
        <v>-0.1704</v>
      </c>
      <c r="U38" s="29">
        <v>150</v>
      </c>
      <c r="V38" s="11">
        <v>0</v>
      </c>
      <c r="W38" s="11">
        <v>0</v>
      </c>
      <c r="X38" s="11">
        <v>60</v>
      </c>
      <c r="Y38" s="11"/>
      <c r="Z38" s="29"/>
      <c r="AA38" s="375">
        <v>2716.5</v>
      </c>
      <c r="AB38" s="382">
        <v>0</v>
      </c>
      <c r="AC38" s="18" t="s">
        <v>4070</v>
      </c>
    </row>
    <row r="39" spans="1:29" s="9" customFormat="1" x14ac:dyDescent="0.25">
      <c r="A39" s="36" t="s">
        <v>121</v>
      </c>
      <c r="B39" s="9" t="s">
        <v>129</v>
      </c>
      <c r="C39" s="9" t="s">
        <v>94</v>
      </c>
      <c r="D39" s="9" t="s">
        <v>92</v>
      </c>
      <c r="E39" s="9" t="s">
        <v>0</v>
      </c>
      <c r="F39" s="27">
        <v>1</v>
      </c>
      <c r="G39" s="24">
        <v>2694.5</v>
      </c>
      <c r="H39" s="24">
        <v>2705.5</v>
      </c>
      <c r="I39" s="28">
        <v>1</v>
      </c>
      <c r="J39" s="27">
        <v>50</v>
      </c>
      <c r="K39" s="24">
        <v>2694.5</v>
      </c>
      <c r="L39" s="24">
        <v>2705.5</v>
      </c>
      <c r="M39" s="28">
        <v>50</v>
      </c>
      <c r="N39" s="27">
        <v>50</v>
      </c>
      <c r="O39" s="10">
        <v>-0.1704</v>
      </c>
      <c r="P39" s="10">
        <v>2694.5</v>
      </c>
      <c r="Q39" s="10">
        <v>2694.3296</v>
      </c>
      <c r="R39" s="10">
        <v>-2705.6704</v>
      </c>
      <c r="S39" s="10">
        <v>-2705.5</v>
      </c>
      <c r="T39" s="10">
        <v>-0.1704</v>
      </c>
      <c r="U39" s="29">
        <v>50</v>
      </c>
      <c r="V39" s="11">
        <v>0</v>
      </c>
      <c r="W39" s="11">
        <v>0</v>
      </c>
      <c r="X39" s="11">
        <v>87</v>
      </c>
      <c r="Y39" s="11"/>
      <c r="Z39" s="29"/>
      <c r="AA39" s="375">
        <v>2728.5</v>
      </c>
      <c r="AB39" s="382">
        <v>0</v>
      </c>
      <c r="AC39" s="18" t="s">
        <v>4070</v>
      </c>
    </row>
    <row r="40" spans="1:29" s="9" customFormat="1" x14ac:dyDescent="0.25">
      <c r="A40" s="36" t="s">
        <v>121</v>
      </c>
      <c r="B40" s="9" t="s">
        <v>130</v>
      </c>
      <c r="C40" s="9" t="s">
        <v>94</v>
      </c>
      <c r="D40" s="9" t="s">
        <v>92</v>
      </c>
      <c r="E40" s="9" t="s">
        <v>0</v>
      </c>
      <c r="F40" s="27">
        <v>0</v>
      </c>
      <c r="G40" s="24">
        <v>-1</v>
      </c>
      <c r="H40" s="24">
        <v>-1</v>
      </c>
      <c r="I40" s="28">
        <v>0</v>
      </c>
      <c r="J40" s="27">
        <v>0</v>
      </c>
      <c r="K40" s="24">
        <v>-1</v>
      </c>
      <c r="L40" s="24">
        <v>-1</v>
      </c>
      <c r="M40" s="28">
        <v>0</v>
      </c>
      <c r="N40" s="27">
        <v>0</v>
      </c>
      <c r="O40" s="10">
        <v>-0.1704</v>
      </c>
      <c r="P40" s="10">
        <v>-1</v>
      </c>
      <c r="Q40" s="10">
        <v>-1.1703999999999999</v>
      </c>
      <c r="R40" s="10">
        <v>0.8296</v>
      </c>
      <c r="S40" s="10">
        <v>1</v>
      </c>
      <c r="T40" s="10">
        <v>-0.1704</v>
      </c>
      <c r="U40" s="29">
        <v>0</v>
      </c>
      <c r="V40" s="11">
        <v>0</v>
      </c>
      <c r="W40" s="11">
        <v>0</v>
      </c>
      <c r="X40" s="11">
        <v>123</v>
      </c>
      <c r="Y40" s="11"/>
      <c r="Z40" s="29"/>
      <c r="AA40" s="375">
        <v>2744.5</v>
      </c>
      <c r="AB40" s="382">
        <v>0</v>
      </c>
      <c r="AC40" s="18" t="s">
        <v>4070</v>
      </c>
    </row>
    <row r="41" spans="1:29" s="9" customFormat="1" x14ac:dyDescent="0.25">
      <c r="A41" s="36" t="s">
        <v>121</v>
      </c>
      <c r="B41" s="9" t="s">
        <v>131</v>
      </c>
      <c r="C41" s="9" t="s">
        <v>94</v>
      </c>
      <c r="D41" s="9" t="s">
        <v>92</v>
      </c>
      <c r="E41" s="9" t="s">
        <v>0</v>
      </c>
      <c r="F41" s="27">
        <v>0</v>
      </c>
      <c r="G41" s="24">
        <v>-1</v>
      </c>
      <c r="H41" s="24">
        <v>-1</v>
      </c>
      <c r="I41" s="28">
        <v>0</v>
      </c>
      <c r="J41" s="27">
        <v>0</v>
      </c>
      <c r="K41" s="24">
        <v>-1</v>
      </c>
      <c r="L41" s="24">
        <v>-1</v>
      </c>
      <c r="M41" s="28">
        <v>0</v>
      </c>
      <c r="N41" s="27">
        <v>0</v>
      </c>
      <c r="O41" s="10">
        <v>-0.1704</v>
      </c>
      <c r="P41" s="10">
        <v>-1</v>
      </c>
      <c r="Q41" s="10">
        <v>-1.1703999999999999</v>
      </c>
      <c r="R41" s="10">
        <v>0.8296</v>
      </c>
      <c r="S41" s="10">
        <v>1</v>
      </c>
      <c r="T41" s="10">
        <v>-0.1704</v>
      </c>
      <c r="U41" s="29">
        <v>0</v>
      </c>
      <c r="V41" s="11">
        <v>0</v>
      </c>
      <c r="W41" s="11">
        <v>0</v>
      </c>
      <c r="X41" s="11">
        <v>151</v>
      </c>
      <c r="Y41" s="11"/>
      <c r="Z41" s="29"/>
      <c r="AA41" s="375">
        <v>2762</v>
      </c>
      <c r="AB41" s="382">
        <v>0</v>
      </c>
      <c r="AC41" s="18" t="s">
        <v>4070</v>
      </c>
    </row>
    <row r="42" spans="1:29" s="9" customFormat="1" x14ac:dyDescent="0.25">
      <c r="A42" s="36" t="s">
        <v>121</v>
      </c>
      <c r="B42" s="9" t="s">
        <v>799</v>
      </c>
      <c r="C42" s="9" t="s">
        <v>94</v>
      </c>
      <c r="D42" s="9" t="s">
        <v>92</v>
      </c>
      <c r="E42" s="9" t="s">
        <v>0</v>
      </c>
      <c r="F42" s="27">
        <v>0</v>
      </c>
      <c r="G42" s="24">
        <v>-1</v>
      </c>
      <c r="H42" s="24">
        <v>-1</v>
      </c>
      <c r="I42" s="28">
        <v>0</v>
      </c>
      <c r="J42" s="27">
        <v>0</v>
      </c>
      <c r="K42" s="24">
        <v>-1</v>
      </c>
      <c r="L42" s="24">
        <v>-1</v>
      </c>
      <c r="M42" s="28">
        <v>0</v>
      </c>
      <c r="N42" s="27">
        <v>0</v>
      </c>
      <c r="O42" s="10">
        <v>-0.1704</v>
      </c>
      <c r="P42" s="10">
        <v>-1</v>
      </c>
      <c r="Q42" s="10">
        <v>-1.1703999999999999</v>
      </c>
      <c r="R42" s="10">
        <v>0.8296</v>
      </c>
      <c r="S42" s="10">
        <v>1</v>
      </c>
      <c r="T42" s="10">
        <v>-0.1704</v>
      </c>
      <c r="U42" s="29">
        <v>0</v>
      </c>
      <c r="V42" s="11">
        <v>0</v>
      </c>
      <c r="W42" s="11">
        <v>0</v>
      </c>
      <c r="X42" s="11">
        <v>178</v>
      </c>
      <c r="Y42" s="11"/>
      <c r="Z42" s="29"/>
      <c r="AA42" s="375">
        <v>2773.5</v>
      </c>
      <c r="AB42" s="382">
        <v>0</v>
      </c>
      <c r="AC42" s="18" t="s">
        <v>4070</v>
      </c>
    </row>
    <row r="43" spans="1:29" s="267" customFormat="1" x14ac:dyDescent="0.25">
      <c r="A43" s="266" t="s">
        <v>132</v>
      </c>
      <c r="B43" s="267" t="s">
        <v>133</v>
      </c>
      <c r="C43" s="267" t="s">
        <v>94</v>
      </c>
      <c r="D43" s="267" t="s">
        <v>92</v>
      </c>
      <c r="E43" s="267" t="s">
        <v>0</v>
      </c>
      <c r="F43" s="268">
        <v>4</v>
      </c>
      <c r="G43" s="269">
        <v>372</v>
      </c>
      <c r="H43" s="269">
        <v>376</v>
      </c>
      <c r="I43" s="270">
        <v>2</v>
      </c>
      <c r="J43" s="268">
        <v>4</v>
      </c>
      <c r="K43" s="269">
        <v>372</v>
      </c>
      <c r="L43" s="269">
        <v>376</v>
      </c>
      <c r="M43" s="270">
        <v>2</v>
      </c>
      <c r="N43" s="268">
        <v>4</v>
      </c>
      <c r="O43" s="271">
        <v>-25.04</v>
      </c>
      <c r="P43" s="271">
        <v>372</v>
      </c>
      <c r="Q43" s="271"/>
      <c r="R43" s="271"/>
      <c r="S43" s="271">
        <v>-376</v>
      </c>
      <c r="T43" s="271">
        <v>-25.04</v>
      </c>
      <c r="U43" s="272">
        <v>2</v>
      </c>
      <c r="V43" s="273">
        <v>0</v>
      </c>
      <c r="W43" s="273">
        <v>0</v>
      </c>
      <c r="X43" s="273"/>
      <c r="Y43" s="273">
        <v>32</v>
      </c>
      <c r="Z43" s="272">
        <v>60</v>
      </c>
      <c r="AA43" s="374">
        <v>380</v>
      </c>
      <c r="AB43" s="381"/>
      <c r="AC43" s="276" t="s">
        <v>4070</v>
      </c>
    </row>
    <row r="44" spans="1:29" s="267" customFormat="1" x14ac:dyDescent="0.25">
      <c r="A44" s="266" t="s">
        <v>132</v>
      </c>
      <c r="B44" s="267" t="s">
        <v>134</v>
      </c>
      <c r="C44" s="267" t="s">
        <v>94</v>
      </c>
      <c r="D44" s="267" t="s">
        <v>92</v>
      </c>
      <c r="E44" s="267" t="s">
        <v>0</v>
      </c>
      <c r="F44" s="268">
        <v>1</v>
      </c>
      <c r="G44" s="269">
        <v>731</v>
      </c>
      <c r="H44" s="269">
        <v>767</v>
      </c>
      <c r="I44" s="270">
        <v>1</v>
      </c>
      <c r="J44" s="268">
        <v>1</v>
      </c>
      <c r="K44" s="269">
        <v>731</v>
      </c>
      <c r="L44" s="269">
        <v>767</v>
      </c>
      <c r="M44" s="270">
        <v>1</v>
      </c>
      <c r="N44" s="268">
        <v>1</v>
      </c>
      <c r="O44" s="271">
        <v>-25.04</v>
      </c>
      <c r="P44" s="271">
        <v>731</v>
      </c>
      <c r="Q44" s="271"/>
      <c r="R44" s="271"/>
      <c r="S44" s="271">
        <v>-767</v>
      </c>
      <c r="T44" s="271">
        <v>-25.04</v>
      </c>
      <c r="U44" s="272">
        <v>1</v>
      </c>
      <c r="V44" s="273">
        <v>0</v>
      </c>
      <c r="W44" s="273">
        <v>0</v>
      </c>
      <c r="X44" s="273"/>
      <c r="Y44" s="273">
        <v>32</v>
      </c>
      <c r="Z44" s="272">
        <v>87</v>
      </c>
      <c r="AA44" s="374">
        <v>755</v>
      </c>
      <c r="AB44" s="381"/>
      <c r="AC44" s="276" t="s">
        <v>4070</v>
      </c>
    </row>
    <row r="45" spans="1:29" s="267" customFormat="1" x14ac:dyDescent="0.25">
      <c r="A45" s="266" t="s">
        <v>132</v>
      </c>
      <c r="B45" s="267" t="s">
        <v>135</v>
      </c>
      <c r="C45" s="267" t="s">
        <v>94</v>
      </c>
      <c r="D45" s="267" t="s">
        <v>92</v>
      </c>
      <c r="E45" s="267" t="s">
        <v>0</v>
      </c>
      <c r="F45" s="268">
        <v>1</v>
      </c>
      <c r="G45" s="269">
        <v>1086</v>
      </c>
      <c r="H45" s="269">
        <v>1239</v>
      </c>
      <c r="I45" s="270">
        <v>1</v>
      </c>
      <c r="J45" s="268">
        <v>1</v>
      </c>
      <c r="K45" s="269">
        <v>1086</v>
      </c>
      <c r="L45" s="269">
        <v>1239</v>
      </c>
      <c r="M45" s="270">
        <v>1</v>
      </c>
      <c r="N45" s="268">
        <v>1</v>
      </c>
      <c r="O45" s="271">
        <v>-25.04</v>
      </c>
      <c r="P45" s="271">
        <v>1086</v>
      </c>
      <c r="Q45" s="271"/>
      <c r="R45" s="271"/>
      <c r="S45" s="271">
        <v>-1239</v>
      </c>
      <c r="T45" s="271">
        <v>-25.04</v>
      </c>
      <c r="U45" s="272">
        <v>1</v>
      </c>
      <c r="V45" s="273">
        <v>0</v>
      </c>
      <c r="W45" s="273">
        <v>0</v>
      </c>
      <c r="X45" s="273"/>
      <c r="Y45" s="273">
        <v>32</v>
      </c>
      <c r="Z45" s="272">
        <v>123</v>
      </c>
      <c r="AA45" s="374">
        <v>1210</v>
      </c>
      <c r="AB45" s="381"/>
      <c r="AC45" s="276" t="s">
        <v>4070</v>
      </c>
    </row>
    <row r="46" spans="1:29" s="267" customFormat="1" x14ac:dyDescent="0.25">
      <c r="A46" s="266" t="s">
        <v>132</v>
      </c>
      <c r="B46" s="267" t="s">
        <v>136</v>
      </c>
      <c r="C46" s="267" t="s">
        <v>94</v>
      </c>
      <c r="D46" s="267" t="s">
        <v>92</v>
      </c>
      <c r="E46" s="267" t="s">
        <v>0</v>
      </c>
      <c r="F46" s="268">
        <v>1</v>
      </c>
      <c r="G46" s="269">
        <v>1330</v>
      </c>
      <c r="H46" s="269">
        <v>1690</v>
      </c>
      <c r="I46" s="270">
        <v>1</v>
      </c>
      <c r="J46" s="268">
        <v>1</v>
      </c>
      <c r="K46" s="269">
        <v>1330</v>
      </c>
      <c r="L46" s="269">
        <v>1690</v>
      </c>
      <c r="M46" s="270">
        <v>1</v>
      </c>
      <c r="N46" s="268">
        <v>1</v>
      </c>
      <c r="O46" s="271">
        <v>-25.04</v>
      </c>
      <c r="P46" s="271">
        <v>1330</v>
      </c>
      <c r="Q46" s="271"/>
      <c r="R46" s="271"/>
      <c r="S46" s="271">
        <v>-1690</v>
      </c>
      <c r="T46" s="271">
        <v>-25.04</v>
      </c>
      <c r="U46" s="272">
        <v>1</v>
      </c>
      <c r="V46" s="273">
        <v>0</v>
      </c>
      <c r="W46" s="273">
        <v>0</v>
      </c>
      <c r="X46" s="273"/>
      <c r="Y46" s="273">
        <v>32</v>
      </c>
      <c r="Z46" s="272">
        <v>151</v>
      </c>
      <c r="AA46" s="374">
        <v>1565</v>
      </c>
      <c r="AB46" s="381"/>
      <c r="AC46" s="276" t="s">
        <v>4070</v>
      </c>
    </row>
    <row r="47" spans="1:29" s="267" customFormat="1" x14ac:dyDescent="0.25">
      <c r="A47" s="266" t="s">
        <v>132</v>
      </c>
      <c r="B47" s="267" t="s">
        <v>800</v>
      </c>
      <c r="C47" s="267" t="s">
        <v>94</v>
      </c>
      <c r="D47" s="267" t="s">
        <v>92</v>
      </c>
      <c r="E47" s="267" t="s">
        <v>0</v>
      </c>
      <c r="F47" s="268">
        <v>1</v>
      </c>
      <c r="G47" s="269">
        <v>1470</v>
      </c>
      <c r="H47" s="269">
        <v>2240</v>
      </c>
      <c r="I47" s="270">
        <v>1</v>
      </c>
      <c r="J47" s="268">
        <v>1</v>
      </c>
      <c r="K47" s="269">
        <v>1470</v>
      </c>
      <c r="L47" s="269">
        <v>2240</v>
      </c>
      <c r="M47" s="270">
        <v>1</v>
      </c>
      <c r="N47" s="268">
        <v>1</v>
      </c>
      <c r="O47" s="271">
        <v>-25.04</v>
      </c>
      <c r="P47" s="271">
        <v>1470</v>
      </c>
      <c r="Q47" s="271"/>
      <c r="R47" s="271"/>
      <c r="S47" s="271">
        <v>-2240</v>
      </c>
      <c r="T47" s="271">
        <v>-25.04</v>
      </c>
      <c r="U47" s="272">
        <v>1</v>
      </c>
      <c r="V47" s="273">
        <v>0</v>
      </c>
      <c r="W47" s="273">
        <v>0</v>
      </c>
      <c r="X47" s="273"/>
      <c r="Y47" s="273">
        <v>32</v>
      </c>
      <c r="Z47" s="272">
        <v>178</v>
      </c>
      <c r="AA47" s="374">
        <v>1905</v>
      </c>
      <c r="AB47" s="381"/>
      <c r="AC47" s="276" t="s">
        <v>4070</v>
      </c>
    </row>
    <row r="48" spans="1:29" s="267" customFormat="1" x14ac:dyDescent="0.25">
      <c r="A48" s="266" t="s">
        <v>132</v>
      </c>
      <c r="B48" s="267" t="s">
        <v>137</v>
      </c>
      <c r="C48" s="267" t="s">
        <v>94</v>
      </c>
      <c r="D48" s="267" t="s">
        <v>92</v>
      </c>
      <c r="E48" s="267" t="s">
        <v>0</v>
      </c>
      <c r="F48" s="268">
        <v>4</v>
      </c>
      <c r="G48" s="269">
        <v>364</v>
      </c>
      <c r="H48" s="269">
        <v>386</v>
      </c>
      <c r="I48" s="270">
        <v>1</v>
      </c>
      <c r="J48" s="268">
        <v>4</v>
      </c>
      <c r="K48" s="269">
        <v>364</v>
      </c>
      <c r="L48" s="269">
        <v>386</v>
      </c>
      <c r="M48" s="270">
        <v>1</v>
      </c>
      <c r="N48" s="268">
        <v>4</v>
      </c>
      <c r="O48" s="271">
        <v>-25.04</v>
      </c>
      <c r="P48" s="271">
        <v>364</v>
      </c>
      <c r="Q48" s="271"/>
      <c r="R48" s="271"/>
      <c r="S48" s="271">
        <v>-386</v>
      </c>
      <c r="T48" s="271">
        <v>-25.04</v>
      </c>
      <c r="U48" s="272">
        <v>1</v>
      </c>
      <c r="V48" s="273">
        <v>0</v>
      </c>
      <c r="W48" s="273">
        <v>0</v>
      </c>
      <c r="X48" s="273"/>
      <c r="Y48" s="273">
        <v>60</v>
      </c>
      <c r="Z48" s="272">
        <v>87</v>
      </c>
      <c r="AA48" s="374">
        <v>375</v>
      </c>
      <c r="AB48" s="381"/>
      <c r="AC48" s="276" t="s">
        <v>4070</v>
      </c>
    </row>
    <row r="49" spans="1:29" s="267" customFormat="1" x14ac:dyDescent="0.25">
      <c r="A49" s="266" t="s">
        <v>132</v>
      </c>
      <c r="B49" s="267" t="s">
        <v>138</v>
      </c>
      <c r="C49" s="267" t="s">
        <v>94</v>
      </c>
      <c r="D49" s="267" t="s">
        <v>92</v>
      </c>
      <c r="E49" s="267" t="s">
        <v>0</v>
      </c>
      <c r="F49" s="268">
        <v>1</v>
      </c>
      <c r="G49" s="269">
        <v>736</v>
      </c>
      <c r="H49" s="269">
        <v>844</v>
      </c>
      <c r="I49" s="270">
        <v>1</v>
      </c>
      <c r="J49" s="268">
        <v>1</v>
      </c>
      <c r="K49" s="269">
        <v>736</v>
      </c>
      <c r="L49" s="269">
        <v>844</v>
      </c>
      <c r="M49" s="270">
        <v>1</v>
      </c>
      <c r="N49" s="268">
        <v>1</v>
      </c>
      <c r="O49" s="271">
        <v>-25.04</v>
      </c>
      <c r="P49" s="271">
        <v>736</v>
      </c>
      <c r="Q49" s="271"/>
      <c r="R49" s="271"/>
      <c r="S49" s="271">
        <v>-844</v>
      </c>
      <c r="T49" s="271">
        <v>-25.04</v>
      </c>
      <c r="U49" s="272">
        <v>1</v>
      </c>
      <c r="V49" s="273">
        <v>0</v>
      </c>
      <c r="W49" s="273">
        <v>0</v>
      </c>
      <c r="X49" s="273"/>
      <c r="Y49" s="273">
        <v>60</v>
      </c>
      <c r="Z49" s="272">
        <v>123</v>
      </c>
      <c r="AA49" s="374">
        <v>830</v>
      </c>
      <c r="AB49" s="381"/>
      <c r="AC49" s="276" t="s">
        <v>4070</v>
      </c>
    </row>
    <row r="50" spans="1:29" s="267" customFormat="1" x14ac:dyDescent="0.25">
      <c r="A50" s="266" t="s">
        <v>132</v>
      </c>
      <c r="B50" s="267" t="s">
        <v>139</v>
      </c>
      <c r="C50" s="267" t="s">
        <v>94</v>
      </c>
      <c r="D50" s="267" t="s">
        <v>92</v>
      </c>
      <c r="E50" s="267" t="s">
        <v>0</v>
      </c>
      <c r="F50" s="268">
        <v>1</v>
      </c>
      <c r="G50" s="269">
        <v>940</v>
      </c>
      <c r="H50" s="269">
        <v>1325</v>
      </c>
      <c r="I50" s="270">
        <v>1</v>
      </c>
      <c r="J50" s="268">
        <v>1</v>
      </c>
      <c r="K50" s="269">
        <v>940</v>
      </c>
      <c r="L50" s="269">
        <v>1325</v>
      </c>
      <c r="M50" s="270">
        <v>1</v>
      </c>
      <c r="N50" s="268">
        <v>1</v>
      </c>
      <c r="O50" s="271">
        <v>-25.04</v>
      </c>
      <c r="P50" s="271">
        <v>940</v>
      </c>
      <c r="Q50" s="271"/>
      <c r="R50" s="271"/>
      <c r="S50" s="271">
        <v>-1325</v>
      </c>
      <c r="T50" s="271">
        <v>-25.04</v>
      </c>
      <c r="U50" s="272">
        <v>1</v>
      </c>
      <c r="V50" s="273">
        <v>0</v>
      </c>
      <c r="W50" s="273">
        <v>0</v>
      </c>
      <c r="X50" s="273"/>
      <c r="Y50" s="273">
        <v>60</v>
      </c>
      <c r="Z50" s="272">
        <v>151</v>
      </c>
      <c r="AA50" s="374">
        <v>1185</v>
      </c>
      <c r="AB50" s="381"/>
      <c r="AC50" s="276" t="s">
        <v>4070</v>
      </c>
    </row>
    <row r="51" spans="1:29" s="267" customFormat="1" x14ac:dyDescent="0.25">
      <c r="A51" s="266" t="s">
        <v>132</v>
      </c>
      <c r="B51" s="267" t="s">
        <v>801</v>
      </c>
      <c r="C51" s="267" t="s">
        <v>94</v>
      </c>
      <c r="D51" s="267" t="s">
        <v>92</v>
      </c>
      <c r="E51" s="267" t="s">
        <v>0</v>
      </c>
      <c r="F51" s="268">
        <v>1</v>
      </c>
      <c r="G51" s="269">
        <v>1080</v>
      </c>
      <c r="H51" s="269">
        <v>1875</v>
      </c>
      <c r="I51" s="270">
        <v>1</v>
      </c>
      <c r="J51" s="268">
        <v>1</v>
      </c>
      <c r="K51" s="269">
        <v>1080</v>
      </c>
      <c r="L51" s="269">
        <v>1875</v>
      </c>
      <c r="M51" s="270">
        <v>1</v>
      </c>
      <c r="N51" s="268">
        <v>1</v>
      </c>
      <c r="O51" s="271">
        <v>-25.04</v>
      </c>
      <c r="P51" s="271">
        <v>1080</v>
      </c>
      <c r="Q51" s="271"/>
      <c r="R51" s="271"/>
      <c r="S51" s="271">
        <v>-1875</v>
      </c>
      <c r="T51" s="271">
        <v>-25.04</v>
      </c>
      <c r="U51" s="272">
        <v>1</v>
      </c>
      <c r="V51" s="273">
        <v>0</v>
      </c>
      <c r="W51" s="273">
        <v>0</v>
      </c>
      <c r="X51" s="273"/>
      <c r="Y51" s="273">
        <v>60</v>
      </c>
      <c r="Z51" s="272">
        <v>178</v>
      </c>
      <c r="AA51" s="374">
        <v>1525</v>
      </c>
      <c r="AB51" s="381"/>
      <c r="AC51" s="276" t="s">
        <v>4070</v>
      </c>
    </row>
    <row r="52" spans="1:29" s="267" customFormat="1" x14ac:dyDescent="0.25">
      <c r="A52" s="266" t="s">
        <v>132</v>
      </c>
      <c r="B52" s="267" t="s">
        <v>140</v>
      </c>
      <c r="C52" s="267" t="s">
        <v>94</v>
      </c>
      <c r="D52" s="267" t="s">
        <v>92</v>
      </c>
      <c r="E52" s="267" t="s">
        <v>0</v>
      </c>
      <c r="F52" s="268">
        <v>1</v>
      </c>
      <c r="G52" s="269">
        <v>412</v>
      </c>
      <c r="H52" s="269">
        <v>449</v>
      </c>
      <c r="I52" s="270">
        <v>1</v>
      </c>
      <c r="J52" s="268">
        <v>1</v>
      </c>
      <c r="K52" s="269">
        <v>412</v>
      </c>
      <c r="L52" s="269">
        <v>449</v>
      </c>
      <c r="M52" s="270">
        <v>1</v>
      </c>
      <c r="N52" s="268">
        <v>1</v>
      </c>
      <c r="O52" s="271">
        <v>-25.04</v>
      </c>
      <c r="P52" s="271">
        <v>412</v>
      </c>
      <c r="Q52" s="271"/>
      <c r="R52" s="271"/>
      <c r="S52" s="271">
        <v>-449</v>
      </c>
      <c r="T52" s="271">
        <v>-25.04</v>
      </c>
      <c r="U52" s="272">
        <v>1</v>
      </c>
      <c r="V52" s="273">
        <v>0</v>
      </c>
      <c r="W52" s="273">
        <v>0</v>
      </c>
      <c r="X52" s="273"/>
      <c r="Y52" s="273">
        <v>87</v>
      </c>
      <c r="Z52" s="272">
        <v>123</v>
      </c>
      <c r="AA52" s="374">
        <v>455</v>
      </c>
      <c r="AB52" s="381"/>
      <c r="AC52" s="276" t="s">
        <v>4070</v>
      </c>
    </row>
    <row r="53" spans="1:29" s="267" customFormat="1" x14ac:dyDescent="0.25">
      <c r="A53" s="266" t="s">
        <v>132</v>
      </c>
      <c r="B53" s="267" t="s">
        <v>141</v>
      </c>
      <c r="C53" s="267" t="s">
        <v>94</v>
      </c>
      <c r="D53" s="267" t="s">
        <v>92</v>
      </c>
      <c r="E53" s="267" t="s">
        <v>0</v>
      </c>
      <c r="F53" s="268">
        <v>1</v>
      </c>
      <c r="G53" s="269">
        <v>550</v>
      </c>
      <c r="H53" s="269">
        <v>980</v>
      </c>
      <c r="I53" s="270">
        <v>1</v>
      </c>
      <c r="J53" s="268">
        <v>1</v>
      </c>
      <c r="K53" s="269">
        <v>550</v>
      </c>
      <c r="L53" s="269">
        <v>980</v>
      </c>
      <c r="M53" s="270">
        <v>1</v>
      </c>
      <c r="N53" s="268">
        <v>1</v>
      </c>
      <c r="O53" s="271">
        <v>-25.04</v>
      </c>
      <c r="P53" s="271">
        <v>550</v>
      </c>
      <c r="Q53" s="271"/>
      <c r="R53" s="271"/>
      <c r="S53" s="271">
        <v>-980</v>
      </c>
      <c r="T53" s="271">
        <v>-25.04</v>
      </c>
      <c r="U53" s="272">
        <v>1</v>
      </c>
      <c r="V53" s="273">
        <v>0</v>
      </c>
      <c r="W53" s="273">
        <v>0</v>
      </c>
      <c r="X53" s="273"/>
      <c r="Y53" s="273">
        <v>87</v>
      </c>
      <c r="Z53" s="272">
        <v>151</v>
      </c>
      <c r="AA53" s="374">
        <v>810</v>
      </c>
      <c r="AB53" s="381"/>
      <c r="AC53" s="276" t="s">
        <v>4070</v>
      </c>
    </row>
    <row r="54" spans="1:29" s="267" customFormat="1" x14ac:dyDescent="0.25">
      <c r="A54" s="266" t="s">
        <v>132</v>
      </c>
      <c r="B54" s="267" t="s">
        <v>802</v>
      </c>
      <c r="C54" s="267" t="s">
        <v>94</v>
      </c>
      <c r="D54" s="267" t="s">
        <v>92</v>
      </c>
      <c r="E54" s="267" t="s">
        <v>0</v>
      </c>
      <c r="F54" s="268">
        <v>1</v>
      </c>
      <c r="G54" s="269">
        <v>900</v>
      </c>
      <c r="H54" s="269">
        <v>1500</v>
      </c>
      <c r="I54" s="270">
        <v>1</v>
      </c>
      <c r="J54" s="268">
        <v>1</v>
      </c>
      <c r="K54" s="269">
        <v>900</v>
      </c>
      <c r="L54" s="269">
        <v>1500</v>
      </c>
      <c r="M54" s="270">
        <v>1</v>
      </c>
      <c r="N54" s="268">
        <v>1</v>
      </c>
      <c r="O54" s="271">
        <v>-25.04</v>
      </c>
      <c r="P54" s="271">
        <v>900</v>
      </c>
      <c r="Q54" s="271"/>
      <c r="R54" s="271"/>
      <c r="S54" s="271">
        <v>-1500</v>
      </c>
      <c r="T54" s="271">
        <v>-25.04</v>
      </c>
      <c r="U54" s="272">
        <v>1</v>
      </c>
      <c r="V54" s="273">
        <v>0</v>
      </c>
      <c r="W54" s="273">
        <v>0</v>
      </c>
      <c r="X54" s="273"/>
      <c r="Y54" s="273">
        <v>87</v>
      </c>
      <c r="Z54" s="272">
        <v>178</v>
      </c>
      <c r="AA54" s="374">
        <v>1150</v>
      </c>
      <c r="AB54" s="381"/>
      <c r="AC54" s="276" t="s">
        <v>4070</v>
      </c>
    </row>
    <row r="55" spans="1:29" s="267" customFormat="1" x14ac:dyDescent="0.25">
      <c r="A55" s="266" t="s">
        <v>132</v>
      </c>
      <c r="B55" s="267" t="s">
        <v>142</v>
      </c>
      <c r="C55" s="267" t="s">
        <v>94</v>
      </c>
      <c r="D55" s="267" t="s">
        <v>92</v>
      </c>
      <c r="E55" s="267" t="s">
        <v>0</v>
      </c>
      <c r="F55" s="268">
        <v>3</v>
      </c>
      <c r="G55" s="269">
        <v>244</v>
      </c>
      <c r="H55" s="269">
        <v>405</v>
      </c>
      <c r="I55" s="270">
        <v>1</v>
      </c>
      <c r="J55" s="268">
        <v>3</v>
      </c>
      <c r="K55" s="269">
        <v>244</v>
      </c>
      <c r="L55" s="269">
        <v>405</v>
      </c>
      <c r="M55" s="270">
        <v>1</v>
      </c>
      <c r="N55" s="268">
        <v>3</v>
      </c>
      <c r="O55" s="271">
        <v>-25.04</v>
      </c>
      <c r="P55" s="271">
        <v>244</v>
      </c>
      <c r="Q55" s="271"/>
      <c r="R55" s="271"/>
      <c r="S55" s="271">
        <v>-405</v>
      </c>
      <c r="T55" s="271">
        <v>-25.04</v>
      </c>
      <c r="U55" s="272">
        <v>1</v>
      </c>
      <c r="V55" s="273">
        <v>0</v>
      </c>
      <c r="W55" s="273">
        <v>0</v>
      </c>
      <c r="X55" s="273"/>
      <c r="Y55" s="273">
        <v>123</v>
      </c>
      <c r="Z55" s="272">
        <v>151</v>
      </c>
      <c r="AA55" s="374">
        <v>355</v>
      </c>
      <c r="AB55" s="381"/>
      <c r="AC55" s="276" t="s">
        <v>4070</v>
      </c>
    </row>
    <row r="56" spans="1:29" s="267" customFormat="1" x14ac:dyDescent="0.25">
      <c r="A56" s="266" t="s">
        <v>132</v>
      </c>
      <c r="B56" s="267" t="s">
        <v>803</v>
      </c>
      <c r="C56" s="267" t="s">
        <v>94</v>
      </c>
      <c r="D56" s="267" t="s">
        <v>92</v>
      </c>
      <c r="E56" s="267" t="s">
        <v>0</v>
      </c>
      <c r="F56" s="268">
        <v>1</v>
      </c>
      <c r="G56" s="269">
        <v>215</v>
      </c>
      <c r="H56" s="269">
        <v>1140</v>
      </c>
      <c r="I56" s="270">
        <v>1</v>
      </c>
      <c r="J56" s="268">
        <v>1</v>
      </c>
      <c r="K56" s="269">
        <v>215</v>
      </c>
      <c r="L56" s="269">
        <v>1140</v>
      </c>
      <c r="M56" s="270">
        <v>1</v>
      </c>
      <c r="N56" s="268">
        <v>1</v>
      </c>
      <c r="O56" s="271">
        <v>-25.04</v>
      </c>
      <c r="P56" s="271">
        <v>215</v>
      </c>
      <c r="Q56" s="271"/>
      <c r="R56" s="271"/>
      <c r="S56" s="271">
        <v>-1140</v>
      </c>
      <c r="T56" s="271">
        <v>-25.04</v>
      </c>
      <c r="U56" s="272">
        <v>1</v>
      </c>
      <c r="V56" s="273">
        <v>0</v>
      </c>
      <c r="W56" s="273">
        <v>0</v>
      </c>
      <c r="X56" s="273"/>
      <c r="Y56" s="273">
        <v>123</v>
      </c>
      <c r="Z56" s="272">
        <v>178</v>
      </c>
      <c r="AA56" s="374">
        <v>695</v>
      </c>
      <c r="AB56" s="381"/>
      <c r="AC56" s="276" t="s">
        <v>4070</v>
      </c>
    </row>
    <row r="57" spans="1:29" s="267" customFormat="1" x14ac:dyDescent="0.25">
      <c r="A57" s="266" t="s">
        <v>132</v>
      </c>
      <c r="B57" s="267" t="s">
        <v>804</v>
      </c>
      <c r="C57" s="267" t="s">
        <v>94</v>
      </c>
      <c r="D57" s="267" t="s">
        <v>92</v>
      </c>
      <c r="E57" s="267" t="s">
        <v>0</v>
      </c>
      <c r="F57" s="268">
        <v>1</v>
      </c>
      <c r="G57" s="269">
        <v>200</v>
      </c>
      <c r="H57" s="269">
        <v>545</v>
      </c>
      <c r="I57" s="270">
        <v>1</v>
      </c>
      <c r="J57" s="268">
        <v>1</v>
      </c>
      <c r="K57" s="269">
        <v>200</v>
      </c>
      <c r="L57" s="269">
        <v>545</v>
      </c>
      <c r="M57" s="270">
        <v>1</v>
      </c>
      <c r="N57" s="268">
        <v>1</v>
      </c>
      <c r="O57" s="271">
        <v>-25.04</v>
      </c>
      <c r="P57" s="271">
        <v>200</v>
      </c>
      <c r="Q57" s="271"/>
      <c r="R57" s="271"/>
      <c r="S57" s="271">
        <v>-545</v>
      </c>
      <c r="T57" s="271">
        <v>-25.04</v>
      </c>
      <c r="U57" s="272">
        <v>1</v>
      </c>
      <c r="V57" s="273">
        <v>0</v>
      </c>
      <c r="W57" s="273">
        <v>0</v>
      </c>
      <c r="X57" s="273"/>
      <c r="Y57" s="273">
        <v>151</v>
      </c>
      <c r="Z57" s="272">
        <v>178</v>
      </c>
      <c r="AA57" s="374">
        <v>340</v>
      </c>
      <c r="AB57" s="381"/>
      <c r="AC57" s="276" t="s">
        <v>4070</v>
      </c>
    </row>
    <row r="58" spans="1:29" s="9" customFormat="1" x14ac:dyDescent="0.25">
      <c r="A58" s="36" t="s">
        <v>132</v>
      </c>
      <c r="B58" s="9" t="s">
        <v>143</v>
      </c>
      <c r="C58" s="9" t="s">
        <v>94</v>
      </c>
      <c r="D58" s="9" t="s">
        <v>92</v>
      </c>
      <c r="E58" s="9" t="s">
        <v>0</v>
      </c>
      <c r="F58" s="27">
        <v>4</v>
      </c>
      <c r="G58" s="24">
        <v>10.5</v>
      </c>
      <c r="H58" s="24">
        <v>10.95</v>
      </c>
      <c r="I58" s="28">
        <v>4</v>
      </c>
      <c r="J58" s="27">
        <v>4</v>
      </c>
      <c r="K58" s="24">
        <v>10.5</v>
      </c>
      <c r="L58" s="24">
        <v>10.95</v>
      </c>
      <c r="M58" s="28">
        <v>4</v>
      </c>
      <c r="N58" s="27">
        <v>4</v>
      </c>
      <c r="O58" s="10">
        <v>-17.04</v>
      </c>
      <c r="P58" s="10">
        <v>10.5</v>
      </c>
      <c r="Q58" s="10"/>
      <c r="R58" s="10"/>
      <c r="S58" s="10">
        <v>-10.95</v>
      </c>
      <c r="T58" s="10">
        <v>-17.04</v>
      </c>
      <c r="U58" s="29">
        <v>4</v>
      </c>
      <c r="V58" s="11">
        <v>0</v>
      </c>
      <c r="W58" s="11">
        <v>0</v>
      </c>
      <c r="X58" s="11"/>
      <c r="Y58" s="11">
        <v>32</v>
      </c>
      <c r="Z58" s="29">
        <v>60</v>
      </c>
      <c r="AA58" s="375">
        <v>10.5</v>
      </c>
      <c r="AB58" s="382"/>
      <c r="AC58" s="18" t="s">
        <v>4070</v>
      </c>
    </row>
    <row r="59" spans="1:29" s="9" customFormat="1" x14ac:dyDescent="0.25">
      <c r="A59" s="36" t="s">
        <v>132</v>
      </c>
      <c r="B59" s="9" t="s">
        <v>144</v>
      </c>
      <c r="C59" s="9" t="s">
        <v>94</v>
      </c>
      <c r="D59" s="9" t="s">
        <v>92</v>
      </c>
      <c r="E59" s="9" t="s">
        <v>0</v>
      </c>
      <c r="F59" s="27">
        <v>1</v>
      </c>
      <c r="G59" s="24">
        <v>17.3</v>
      </c>
      <c r="H59" s="24">
        <v>26.15</v>
      </c>
      <c r="I59" s="28">
        <v>2</v>
      </c>
      <c r="J59" s="27">
        <v>1</v>
      </c>
      <c r="K59" s="24">
        <v>17.3</v>
      </c>
      <c r="L59" s="24">
        <v>26.15</v>
      </c>
      <c r="M59" s="28">
        <v>2</v>
      </c>
      <c r="N59" s="27">
        <v>1</v>
      </c>
      <c r="O59" s="10">
        <v>-17.04</v>
      </c>
      <c r="P59" s="10">
        <v>17.3</v>
      </c>
      <c r="Q59" s="10"/>
      <c r="R59" s="10"/>
      <c r="S59" s="10">
        <v>-26.15</v>
      </c>
      <c r="T59" s="10">
        <v>-17.04</v>
      </c>
      <c r="U59" s="29">
        <v>2</v>
      </c>
      <c r="V59" s="11">
        <v>0</v>
      </c>
      <c r="W59" s="11">
        <v>0</v>
      </c>
      <c r="X59" s="11"/>
      <c r="Y59" s="11">
        <v>32</v>
      </c>
      <c r="Z59" s="29">
        <v>87</v>
      </c>
      <c r="AA59" s="375">
        <v>22.5</v>
      </c>
      <c r="AB59" s="382"/>
      <c r="AC59" s="18" t="s">
        <v>4070</v>
      </c>
    </row>
    <row r="60" spans="1:29" s="9" customFormat="1" x14ac:dyDescent="0.25">
      <c r="A60" s="36" t="s">
        <v>132</v>
      </c>
      <c r="B60" s="9" t="s">
        <v>145</v>
      </c>
      <c r="C60" s="9" t="s">
        <v>94</v>
      </c>
      <c r="D60" s="9" t="s">
        <v>92</v>
      </c>
      <c r="E60" s="9" t="s">
        <v>0</v>
      </c>
      <c r="F60" s="27"/>
      <c r="G60" s="24"/>
      <c r="H60" s="24"/>
      <c r="I60" s="28"/>
      <c r="J60" s="27"/>
      <c r="K60" s="24"/>
      <c r="L60" s="24"/>
      <c r="M60" s="28"/>
      <c r="N60" s="27"/>
      <c r="O60" s="10"/>
      <c r="P60" s="10"/>
      <c r="Q60" s="10"/>
      <c r="R60" s="10"/>
      <c r="S60" s="10"/>
      <c r="T60" s="10"/>
      <c r="U60" s="29"/>
      <c r="V60" s="11">
        <v>0</v>
      </c>
      <c r="W60" s="11">
        <v>0</v>
      </c>
      <c r="X60" s="11"/>
      <c r="Y60" s="11">
        <v>32</v>
      </c>
      <c r="Z60" s="29">
        <v>123</v>
      </c>
      <c r="AA60" s="375"/>
      <c r="AB60" s="382"/>
      <c r="AC60" s="18" t="s">
        <v>4070</v>
      </c>
    </row>
    <row r="61" spans="1:29" s="9" customFormat="1" x14ac:dyDescent="0.25">
      <c r="A61" s="36" t="s">
        <v>132</v>
      </c>
      <c r="B61" s="9" t="s">
        <v>146</v>
      </c>
      <c r="C61" s="9" t="s">
        <v>94</v>
      </c>
      <c r="D61" s="9" t="s">
        <v>92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32</v>
      </c>
      <c r="Z61" s="29">
        <v>151</v>
      </c>
      <c r="AA61" s="375"/>
      <c r="AB61" s="382"/>
      <c r="AC61" s="18" t="s">
        <v>4070</v>
      </c>
    </row>
    <row r="62" spans="1:29" s="9" customFormat="1" x14ac:dyDescent="0.25">
      <c r="A62" s="36" t="s">
        <v>132</v>
      </c>
      <c r="B62" s="9" t="s">
        <v>805</v>
      </c>
      <c r="C62" s="9" t="s">
        <v>94</v>
      </c>
      <c r="D62" s="9" t="s">
        <v>92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32</v>
      </c>
      <c r="Z62" s="29">
        <v>178</v>
      </c>
      <c r="AA62" s="375"/>
      <c r="AB62" s="382"/>
      <c r="AC62" s="18" t="s">
        <v>4070</v>
      </c>
    </row>
    <row r="63" spans="1:29" s="9" customFormat="1" x14ac:dyDescent="0.25">
      <c r="A63" s="36" t="s">
        <v>132</v>
      </c>
      <c r="B63" s="9" t="s">
        <v>147</v>
      </c>
      <c r="C63" s="9" t="s">
        <v>94</v>
      </c>
      <c r="D63" s="9" t="s">
        <v>92</v>
      </c>
      <c r="E63" s="9" t="s">
        <v>0</v>
      </c>
      <c r="F63" s="27">
        <v>2</v>
      </c>
      <c r="G63" s="24">
        <v>10.050000000000001</v>
      </c>
      <c r="H63" s="24">
        <v>12.1</v>
      </c>
      <c r="I63" s="28">
        <v>4</v>
      </c>
      <c r="J63" s="27">
        <v>2</v>
      </c>
      <c r="K63" s="24">
        <v>10.050000000000001</v>
      </c>
      <c r="L63" s="24">
        <v>12.1</v>
      </c>
      <c r="M63" s="28">
        <v>4</v>
      </c>
      <c r="N63" s="27">
        <v>2</v>
      </c>
      <c r="O63" s="10">
        <v>-17.04</v>
      </c>
      <c r="P63" s="10">
        <v>10.050000000000001</v>
      </c>
      <c r="Q63" s="10"/>
      <c r="R63" s="10"/>
      <c r="S63" s="10">
        <v>-12.1</v>
      </c>
      <c r="T63" s="10">
        <v>-17.04</v>
      </c>
      <c r="U63" s="29">
        <v>4</v>
      </c>
      <c r="V63" s="11">
        <v>0</v>
      </c>
      <c r="W63" s="11">
        <v>0</v>
      </c>
      <c r="X63" s="11"/>
      <c r="Y63" s="11">
        <v>60</v>
      </c>
      <c r="Z63" s="29">
        <v>87</v>
      </c>
      <c r="AA63" s="375">
        <v>12</v>
      </c>
      <c r="AB63" s="382"/>
      <c r="AC63" s="18" t="s">
        <v>4070</v>
      </c>
    </row>
    <row r="64" spans="1:29" s="9" customFormat="1" x14ac:dyDescent="0.25">
      <c r="A64" s="36" t="s">
        <v>132</v>
      </c>
      <c r="B64" s="9" t="s">
        <v>148</v>
      </c>
      <c r="C64" s="9" t="s">
        <v>94</v>
      </c>
      <c r="D64" s="9" t="s">
        <v>92</v>
      </c>
      <c r="E64" s="9" t="s">
        <v>0</v>
      </c>
      <c r="F64" s="27"/>
      <c r="G64" s="24"/>
      <c r="H64" s="24"/>
      <c r="I64" s="28"/>
      <c r="J64" s="27"/>
      <c r="K64" s="24"/>
      <c r="L64" s="24"/>
      <c r="M64" s="28"/>
      <c r="N64" s="27"/>
      <c r="O64" s="10"/>
      <c r="P64" s="10"/>
      <c r="Q64" s="10"/>
      <c r="R64" s="10"/>
      <c r="S64" s="10"/>
      <c r="T64" s="10"/>
      <c r="U64" s="29"/>
      <c r="V64" s="11">
        <v>0</v>
      </c>
      <c r="W64" s="11">
        <v>0</v>
      </c>
      <c r="X64" s="11"/>
      <c r="Y64" s="11">
        <v>60</v>
      </c>
      <c r="Z64" s="29">
        <v>123</v>
      </c>
      <c r="AA64" s="375"/>
      <c r="AB64" s="382"/>
      <c r="AC64" s="18" t="s">
        <v>4070</v>
      </c>
    </row>
    <row r="65" spans="1:29" s="9" customFormat="1" x14ac:dyDescent="0.25">
      <c r="A65" s="36" t="s">
        <v>132</v>
      </c>
      <c r="B65" s="9" t="s">
        <v>149</v>
      </c>
      <c r="C65" s="9" t="s">
        <v>94</v>
      </c>
      <c r="D65" s="9" t="s">
        <v>92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60</v>
      </c>
      <c r="Z65" s="29">
        <v>151</v>
      </c>
      <c r="AA65" s="375"/>
      <c r="AB65" s="382"/>
      <c r="AC65" s="18" t="s">
        <v>4070</v>
      </c>
    </row>
    <row r="66" spans="1:29" s="9" customFormat="1" x14ac:dyDescent="0.25">
      <c r="A66" s="36" t="s">
        <v>132</v>
      </c>
      <c r="B66" s="9" t="s">
        <v>806</v>
      </c>
      <c r="C66" s="9" t="s">
        <v>94</v>
      </c>
      <c r="D66" s="9" t="s">
        <v>92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60</v>
      </c>
      <c r="Z66" s="29">
        <v>178</v>
      </c>
      <c r="AA66" s="375"/>
      <c r="AB66" s="382"/>
      <c r="AC66" s="18" t="s">
        <v>4070</v>
      </c>
    </row>
    <row r="67" spans="1:29" s="9" customFormat="1" x14ac:dyDescent="0.25">
      <c r="A67" s="36" t="s">
        <v>132</v>
      </c>
      <c r="B67" s="9" t="s">
        <v>150</v>
      </c>
      <c r="C67" s="9" t="s">
        <v>94</v>
      </c>
      <c r="D67" s="9" t="s">
        <v>92</v>
      </c>
      <c r="E67" s="9" t="s">
        <v>0</v>
      </c>
      <c r="F67" s="27"/>
      <c r="G67" s="24"/>
      <c r="H67" s="24"/>
      <c r="I67" s="28"/>
      <c r="J67" s="27"/>
      <c r="K67" s="24"/>
      <c r="L67" s="24"/>
      <c r="M67" s="28"/>
      <c r="N67" s="27"/>
      <c r="O67" s="10"/>
      <c r="P67" s="10"/>
      <c r="Q67" s="10"/>
      <c r="R67" s="10"/>
      <c r="S67" s="10"/>
      <c r="T67" s="10"/>
      <c r="U67" s="29"/>
      <c r="V67" s="11">
        <v>0</v>
      </c>
      <c r="W67" s="11">
        <v>0</v>
      </c>
      <c r="X67" s="11"/>
      <c r="Y67" s="11">
        <v>87</v>
      </c>
      <c r="Z67" s="29">
        <v>123</v>
      </c>
      <c r="AA67" s="375"/>
      <c r="AB67" s="382"/>
      <c r="AC67" s="18" t="s">
        <v>4070</v>
      </c>
    </row>
    <row r="68" spans="1:29" s="9" customFormat="1" x14ac:dyDescent="0.25">
      <c r="A68" s="36" t="s">
        <v>132</v>
      </c>
      <c r="B68" s="9" t="s">
        <v>151</v>
      </c>
      <c r="C68" s="9" t="s">
        <v>94</v>
      </c>
      <c r="D68" s="9" t="s">
        <v>92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87</v>
      </c>
      <c r="Z68" s="29">
        <v>151</v>
      </c>
      <c r="AA68" s="375"/>
      <c r="AB68" s="382"/>
      <c r="AC68" s="18" t="s">
        <v>4070</v>
      </c>
    </row>
    <row r="69" spans="1:29" s="9" customFormat="1" x14ac:dyDescent="0.25">
      <c r="A69" s="36" t="s">
        <v>132</v>
      </c>
      <c r="B69" s="9" t="s">
        <v>807</v>
      </c>
      <c r="C69" s="9" t="s">
        <v>94</v>
      </c>
      <c r="D69" s="9" t="s">
        <v>92</v>
      </c>
      <c r="E69" s="9" t="s">
        <v>0</v>
      </c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>
        <v>0</v>
      </c>
      <c r="W69" s="11">
        <v>0</v>
      </c>
      <c r="X69" s="11"/>
      <c r="Y69" s="11">
        <v>87</v>
      </c>
      <c r="Z69" s="29">
        <v>178</v>
      </c>
      <c r="AA69" s="375"/>
      <c r="AB69" s="382"/>
      <c r="AC69" s="18" t="s">
        <v>4070</v>
      </c>
    </row>
    <row r="70" spans="1:29" s="9" customFormat="1" x14ac:dyDescent="0.25">
      <c r="A70" s="36" t="s">
        <v>132</v>
      </c>
      <c r="B70" s="9" t="s">
        <v>152</v>
      </c>
      <c r="C70" s="9" t="s">
        <v>94</v>
      </c>
      <c r="D70" s="9" t="s">
        <v>92</v>
      </c>
      <c r="E70" s="9" t="s">
        <v>0</v>
      </c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>
        <v>0</v>
      </c>
      <c r="W70" s="11">
        <v>0</v>
      </c>
      <c r="X70" s="11"/>
      <c r="Y70" s="11">
        <v>123</v>
      </c>
      <c r="Z70" s="29">
        <v>151</v>
      </c>
      <c r="AA70" s="375"/>
      <c r="AB70" s="382"/>
      <c r="AC70" s="18" t="s">
        <v>4070</v>
      </c>
    </row>
    <row r="71" spans="1:29" s="9" customFormat="1" x14ac:dyDescent="0.25">
      <c r="A71" s="36" t="s">
        <v>132</v>
      </c>
      <c r="B71" s="9" t="s">
        <v>808</v>
      </c>
      <c r="C71" s="9" t="s">
        <v>94</v>
      </c>
      <c r="D71" s="9" t="s">
        <v>92</v>
      </c>
      <c r="E71" s="9" t="s">
        <v>0</v>
      </c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>
        <v>0</v>
      </c>
      <c r="W71" s="11">
        <v>0</v>
      </c>
      <c r="X71" s="11"/>
      <c r="Y71" s="11">
        <v>123</v>
      </c>
      <c r="Z71" s="29">
        <v>178</v>
      </c>
      <c r="AA71" s="375"/>
      <c r="AB71" s="382"/>
      <c r="AC71" s="18" t="s">
        <v>4070</v>
      </c>
    </row>
    <row r="72" spans="1:29" s="9" customFormat="1" x14ac:dyDescent="0.25">
      <c r="A72" s="36" t="s">
        <v>132</v>
      </c>
      <c r="B72" s="9" t="s">
        <v>809</v>
      </c>
      <c r="C72" s="9" t="s">
        <v>94</v>
      </c>
      <c r="D72" s="9" t="s">
        <v>92</v>
      </c>
      <c r="E72" s="9" t="s">
        <v>0</v>
      </c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>
        <v>0</v>
      </c>
      <c r="W72" s="11">
        <v>0</v>
      </c>
      <c r="X72" s="11"/>
      <c r="Y72" s="11">
        <v>151</v>
      </c>
      <c r="Z72" s="29">
        <v>178</v>
      </c>
      <c r="AA72" s="375"/>
      <c r="AB72" s="382"/>
      <c r="AC72" s="18" t="s">
        <v>4070</v>
      </c>
    </row>
    <row r="73" spans="1:29" s="267" customFormat="1" x14ac:dyDescent="0.25">
      <c r="A73" s="266" t="s">
        <v>153</v>
      </c>
      <c r="B73" s="267" t="s">
        <v>154</v>
      </c>
      <c r="C73" s="267" t="s">
        <v>94</v>
      </c>
      <c r="D73" s="267" t="s">
        <v>92</v>
      </c>
      <c r="E73" s="267" t="s">
        <v>0</v>
      </c>
      <c r="F73" s="268"/>
      <c r="G73" s="269"/>
      <c r="H73" s="269"/>
      <c r="I73" s="270"/>
      <c r="J73" s="268">
        <v>2</v>
      </c>
      <c r="K73" s="269">
        <v>83524</v>
      </c>
      <c r="L73" s="269">
        <v>83583</v>
      </c>
      <c r="M73" s="270">
        <v>4</v>
      </c>
      <c r="N73" s="268">
        <v>2</v>
      </c>
      <c r="O73" s="271"/>
      <c r="P73" s="271">
        <v>83524</v>
      </c>
      <c r="Q73" s="271"/>
      <c r="R73" s="271"/>
      <c r="S73" s="271">
        <v>-83583</v>
      </c>
      <c r="T73" s="271"/>
      <c r="U73" s="272">
        <v>4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153</v>
      </c>
      <c r="B74" s="267" t="s">
        <v>155</v>
      </c>
      <c r="C74" s="267" t="s">
        <v>94</v>
      </c>
      <c r="D74" s="267" t="s">
        <v>92</v>
      </c>
      <c r="E74" s="267" t="s">
        <v>0</v>
      </c>
      <c r="F74" s="268"/>
      <c r="G74" s="269"/>
      <c r="H74" s="269"/>
      <c r="I74" s="270"/>
      <c r="J74" s="268">
        <v>1</v>
      </c>
      <c r="K74" s="269">
        <v>83478</v>
      </c>
      <c r="L74" s="269">
        <v>83614</v>
      </c>
      <c r="M74" s="270">
        <v>1</v>
      </c>
      <c r="N74" s="268">
        <v>1</v>
      </c>
      <c r="O74" s="271"/>
      <c r="P74" s="271">
        <v>83478</v>
      </c>
      <c r="Q74" s="271"/>
      <c r="R74" s="271"/>
      <c r="S74" s="271">
        <v>-83614</v>
      </c>
      <c r="T74" s="271"/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153</v>
      </c>
      <c r="B75" s="267" t="s">
        <v>156</v>
      </c>
      <c r="C75" s="267" t="s">
        <v>94</v>
      </c>
      <c r="D75" s="267" t="s">
        <v>92</v>
      </c>
      <c r="E75" s="267" t="s">
        <v>0</v>
      </c>
      <c r="F75" s="268"/>
      <c r="G75" s="269"/>
      <c r="H75" s="269"/>
      <c r="I75" s="270"/>
      <c r="J75" s="268">
        <v>1</v>
      </c>
      <c r="K75" s="269">
        <v>83396</v>
      </c>
      <c r="L75" s="269">
        <v>83734</v>
      </c>
      <c r="M75" s="270">
        <v>1</v>
      </c>
      <c r="N75" s="268">
        <v>1</v>
      </c>
      <c r="O75" s="271"/>
      <c r="P75" s="271">
        <v>83396</v>
      </c>
      <c r="Q75" s="271"/>
      <c r="R75" s="271"/>
      <c r="S75" s="271">
        <v>-83734</v>
      </c>
      <c r="T75" s="271"/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153</v>
      </c>
      <c r="B76" s="267" t="s">
        <v>157</v>
      </c>
      <c r="C76" s="267" t="s">
        <v>94</v>
      </c>
      <c r="D76" s="267" t="s">
        <v>92</v>
      </c>
      <c r="E76" s="267" t="s">
        <v>0</v>
      </c>
      <c r="F76" s="268"/>
      <c r="G76" s="269"/>
      <c r="H76" s="269"/>
      <c r="I76" s="270"/>
      <c r="J76" s="268">
        <v>1</v>
      </c>
      <c r="K76" s="269">
        <v>83205</v>
      </c>
      <c r="L76" s="269">
        <v>83895</v>
      </c>
      <c r="M76" s="270">
        <v>1</v>
      </c>
      <c r="N76" s="268">
        <v>1</v>
      </c>
      <c r="O76" s="271"/>
      <c r="P76" s="271">
        <v>83205</v>
      </c>
      <c r="Q76" s="271"/>
      <c r="R76" s="271"/>
      <c r="S76" s="271">
        <v>-83895</v>
      </c>
      <c r="T76" s="271"/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153</v>
      </c>
      <c r="B77" s="267" t="s">
        <v>810</v>
      </c>
      <c r="C77" s="267" t="s">
        <v>94</v>
      </c>
      <c r="D77" s="267" t="s">
        <v>92</v>
      </c>
      <c r="E77" s="267" t="s">
        <v>0</v>
      </c>
      <c r="F77" s="268"/>
      <c r="G77" s="269"/>
      <c r="H77" s="269"/>
      <c r="I77" s="270"/>
      <c r="J77" s="268">
        <v>1</v>
      </c>
      <c r="K77" s="269">
        <v>82795</v>
      </c>
      <c r="L77" s="269">
        <v>84305</v>
      </c>
      <c r="M77" s="270">
        <v>1</v>
      </c>
      <c r="N77" s="268">
        <v>1</v>
      </c>
      <c r="O77" s="271"/>
      <c r="P77" s="271">
        <v>82795</v>
      </c>
      <c r="Q77" s="271"/>
      <c r="R77" s="271"/>
      <c r="S77" s="271">
        <v>-84305</v>
      </c>
      <c r="T77" s="271"/>
      <c r="U77" s="272">
        <v>1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153</v>
      </c>
      <c r="B78" s="267" t="s">
        <v>158</v>
      </c>
      <c r="C78" s="267" t="s">
        <v>94</v>
      </c>
      <c r="D78" s="267" t="s">
        <v>92</v>
      </c>
      <c r="E78" s="267" t="s">
        <v>0</v>
      </c>
      <c r="F78" s="268"/>
      <c r="G78" s="269"/>
      <c r="H78" s="269"/>
      <c r="I78" s="270"/>
      <c r="J78" s="268">
        <v>1</v>
      </c>
      <c r="K78" s="269">
        <v>83497</v>
      </c>
      <c r="L78" s="269">
        <v>83610</v>
      </c>
      <c r="M78" s="270">
        <v>1</v>
      </c>
      <c r="N78" s="268">
        <v>1</v>
      </c>
      <c r="O78" s="271"/>
      <c r="P78" s="271">
        <v>83497</v>
      </c>
      <c r="Q78" s="271"/>
      <c r="R78" s="271"/>
      <c r="S78" s="271">
        <v>-83610</v>
      </c>
      <c r="T78" s="271"/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153</v>
      </c>
      <c r="B79" s="267" t="s">
        <v>159</v>
      </c>
      <c r="C79" s="267" t="s">
        <v>94</v>
      </c>
      <c r="D79" s="267" t="s">
        <v>92</v>
      </c>
      <c r="E79" s="267" t="s">
        <v>0</v>
      </c>
      <c r="F79" s="268"/>
      <c r="G79" s="269"/>
      <c r="H79" s="269"/>
      <c r="I79" s="270"/>
      <c r="J79" s="268">
        <v>1</v>
      </c>
      <c r="K79" s="269">
        <v>83397</v>
      </c>
      <c r="L79" s="269">
        <v>83713</v>
      </c>
      <c r="M79" s="270">
        <v>1</v>
      </c>
      <c r="N79" s="268">
        <v>1</v>
      </c>
      <c r="O79" s="271"/>
      <c r="P79" s="271">
        <v>83397</v>
      </c>
      <c r="Q79" s="271"/>
      <c r="R79" s="271"/>
      <c r="S79" s="271">
        <v>-83713</v>
      </c>
      <c r="T79" s="271"/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153</v>
      </c>
      <c r="B80" s="267" t="s">
        <v>160</v>
      </c>
      <c r="C80" s="267" t="s">
        <v>94</v>
      </c>
      <c r="D80" s="267" t="s">
        <v>92</v>
      </c>
      <c r="E80" s="267" t="s">
        <v>0</v>
      </c>
      <c r="F80" s="268"/>
      <c r="G80" s="269"/>
      <c r="H80" s="269"/>
      <c r="I80" s="270"/>
      <c r="J80" s="268">
        <v>1</v>
      </c>
      <c r="K80" s="269">
        <v>83150</v>
      </c>
      <c r="L80" s="269">
        <v>83950</v>
      </c>
      <c r="M80" s="270">
        <v>1</v>
      </c>
      <c r="N80" s="268">
        <v>1</v>
      </c>
      <c r="O80" s="271"/>
      <c r="P80" s="271">
        <v>83150</v>
      </c>
      <c r="Q80" s="271"/>
      <c r="R80" s="271"/>
      <c r="S80" s="271">
        <v>-83950</v>
      </c>
      <c r="T80" s="271"/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153</v>
      </c>
      <c r="B81" s="267" t="s">
        <v>811</v>
      </c>
      <c r="C81" s="267" t="s">
        <v>94</v>
      </c>
      <c r="D81" s="267" t="s">
        <v>92</v>
      </c>
      <c r="E81" s="267" t="s">
        <v>0</v>
      </c>
      <c r="F81" s="268"/>
      <c r="G81" s="269"/>
      <c r="H81" s="269"/>
      <c r="I81" s="270"/>
      <c r="J81" s="268">
        <v>1</v>
      </c>
      <c r="K81" s="269">
        <v>82740</v>
      </c>
      <c r="L81" s="269">
        <v>84360</v>
      </c>
      <c r="M81" s="270">
        <v>1</v>
      </c>
      <c r="N81" s="268">
        <v>1</v>
      </c>
      <c r="O81" s="271"/>
      <c r="P81" s="271">
        <v>82740</v>
      </c>
      <c r="Q81" s="271"/>
      <c r="R81" s="271"/>
      <c r="S81" s="271">
        <v>-84360</v>
      </c>
      <c r="T81" s="271"/>
      <c r="U81" s="272">
        <v>1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153</v>
      </c>
      <c r="B82" s="267" t="s">
        <v>161</v>
      </c>
      <c r="C82" s="267" t="s">
        <v>94</v>
      </c>
      <c r="D82" s="267" t="s">
        <v>92</v>
      </c>
      <c r="E82" s="267" t="s">
        <v>0</v>
      </c>
      <c r="F82" s="268"/>
      <c r="G82" s="269"/>
      <c r="H82" s="269"/>
      <c r="I82" s="270"/>
      <c r="J82" s="268">
        <v>1</v>
      </c>
      <c r="K82" s="269">
        <v>83483</v>
      </c>
      <c r="L82" s="269">
        <v>83609</v>
      </c>
      <c r="M82" s="270">
        <v>4</v>
      </c>
      <c r="N82" s="268">
        <v>1</v>
      </c>
      <c r="O82" s="271"/>
      <c r="P82" s="271">
        <v>83483</v>
      </c>
      <c r="Q82" s="271"/>
      <c r="R82" s="271"/>
      <c r="S82" s="271">
        <v>-83609</v>
      </c>
      <c r="T82" s="271"/>
      <c r="U82" s="272">
        <v>4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153</v>
      </c>
      <c r="B83" s="267" t="s">
        <v>162</v>
      </c>
      <c r="C83" s="267" t="s">
        <v>94</v>
      </c>
      <c r="D83" s="267" t="s">
        <v>92</v>
      </c>
      <c r="E83" s="267" t="s">
        <v>0</v>
      </c>
      <c r="F83" s="268"/>
      <c r="G83" s="269"/>
      <c r="H83" s="269"/>
      <c r="I83" s="270"/>
      <c r="J83" s="268">
        <v>1</v>
      </c>
      <c r="K83" s="269">
        <v>83418</v>
      </c>
      <c r="L83" s="269">
        <v>83708</v>
      </c>
      <c r="M83" s="270">
        <v>1</v>
      </c>
      <c r="N83" s="268">
        <v>1</v>
      </c>
      <c r="O83" s="271"/>
      <c r="P83" s="271">
        <v>83418</v>
      </c>
      <c r="Q83" s="271"/>
      <c r="R83" s="271"/>
      <c r="S83" s="271">
        <v>-83708</v>
      </c>
      <c r="T83" s="271"/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153</v>
      </c>
      <c r="B84" s="267" t="s">
        <v>163</v>
      </c>
      <c r="C84" s="267" t="s">
        <v>94</v>
      </c>
      <c r="D84" s="267" t="s">
        <v>92</v>
      </c>
      <c r="E84" s="267" t="s">
        <v>0</v>
      </c>
      <c r="F84" s="268"/>
      <c r="G84" s="269"/>
      <c r="H84" s="269"/>
      <c r="I84" s="270"/>
      <c r="J84" s="268">
        <v>1</v>
      </c>
      <c r="K84" s="269">
        <v>83105</v>
      </c>
      <c r="L84" s="269">
        <v>83995</v>
      </c>
      <c r="M84" s="270">
        <v>1</v>
      </c>
      <c r="N84" s="268">
        <v>1</v>
      </c>
      <c r="O84" s="271"/>
      <c r="P84" s="271">
        <v>83105</v>
      </c>
      <c r="Q84" s="271"/>
      <c r="R84" s="271"/>
      <c r="S84" s="271">
        <v>-83995</v>
      </c>
      <c r="T84" s="271"/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153</v>
      </c>
      <c r="B85" s="267" t="s">
        <v>812</v>
      </c>
      <c r="C85" s="267" t="s">
        <v>94</v>
      </c>
      <c r="D85" s="267" t="s">
        <v>92</v>
      </c>
      <c r="E85" s="267" t="s">
        <v>0</v>
      </c>
      <c r="F85" s="268"/>
      <c r="G85" s="269"/>
      <c r="H85" s="269"/>
      <c r="I85" s="270"/>
      <c r="J85" s="268">
        <v>1</v>
      </c>
      <c r="K85" s="269">
        <v>82905</v>
      </c>
      <c r="L85" s="269">
        <v>84375</v>
      </c>
      <c r="M85" s="270">
        <v>1</v>
      </c>
      <c r="N85" s="268">
        <v>1</v>
      </c>
      <c r="O85" s="271"/>
      <c r="P85" s="271">
        <v>82905</v>
      </c>
      <c r="Q85" s="271"/>
      <c r="R85" s="271"/>
      <c r="S85" s="271">
        <v>-84375</v>
      </c>
      <c r="T85" s="271"/>
      <c r="U85" s="272">
        <v>1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153</v>
      </c>
      <c r="B86" s="267" t="s">
        <v>164</v>
      </c>
      <c r="C86" s="267" t="s">
        <v>94</v>
      </c>
      <c r="D86" s="267" t="s">
        <v>92</v>
      </c>
      <c r="E86" s="267" t="s">
        <v>0</v>
      </c>
      <c r="F86" s="268"/>
      <c r="G86" s="269"/>
      <c r="H86" s="269"/>
      <c r="I86" s="270"/>
      <c r="J86" s="268">
        <v>1</v>
      </c>
      <c r="K86" s="269">
        <v>83415</v>
      </c>
      <c r="L86" s="269">
        <v>83712</v>
      </c>
      <c r="M86" s="270">
        <v>1</v>
      </c>
      <c r="N86" s="268">
        <v>1</v>
      </c>
      <c r="O86" s="271"/>
      <c r="P86" s="271">
        <v>83415</v>
      </c>
      <c r="Q86" s="271"/>
      <c r="R86" s="271"/>
      <c r="S86" s="271">
        <v>-83712</v>
      </c>
      <c r="T86" s="271"/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153</v>
      </c>
      <c r="B87" s="267" t="s">
        <v>165</v>
      </c>
      <c r="C87" s="267" t="s">
        <v>94</v>
      </c>
      <c r="D87" s="267" t="s">
        <v>92</v>
      </c>
      <c r="E87" s="267" t="s">
        <v>0</v>
      </c>
      <c r="F87" s="268"/>
      <c r="G87" s="269"/>
      <c r="H87" s="269"/>
      <c r="I87" s="270"/>
      <c r="J87" s="268">
        <v>1</v>
      </c>
      <c r="K87" s="269">
        <v>83419</v>
      </c>
      <c r="L87" s="269">
        <v>83677</v>
      </c>
      <c r="M87" s="270">
        <v>1</v>
      </c>
      <c r="N87" s="268">
        <v>1</v>
      </c>
      <c r="O87" s="271"/>
      <c r="P87" s="271">
        <v>83419</v>
      </c>
      <c r="Q87" s="271"/>
      <c r="R87" s="271"/>
      <c r="S87" s="271">
        <v>-83677</v>
      </c>
      <c r="T87" s="271"/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153</v>
      </c>
      <c r="B88" s="267" t="s">
        <v>166</v>
      </c>
      <c r="C88" s="267" t="s">
        <v>94</v>
      </c>
      <c r="D88" s="267" t="s">
        <v>92</v>
      </c>
      <c r="E88" s="267" t="s">
        <v>0</v>
      </c>
      <c r="F88" s="268"/>
      <c r="G88" s="269"/>
      <c r="H88" s="269"/>
      <c r="I88" s="270"/>
      <c r="J88" s="268">
        <v>1</v>
      </c>
      <c r="K88" s="269">
        <v>83189</v>
      </c>
      <c r="L88" s="269">
        <v>83895</v>
      </c>
      <c r="M88" s="270">
        <v>1</v>
      </c>
      <c r="N88" s="268">
        <v>1</v>
      </c>
      <c r="O88" s="271"/>
      <c r="P88" s="271">
        <v>83189</v>
      </c>
      <c r="Q88" s="271"/>
      <c r="R88" s="271"/>
      <c r="S88" s="271">
        <v>-83895</v>
      </c>
      <c r="T88" s="271"/>
      <c r="U88" s="272">
        <v>1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153</v>
      </c>
      <c r="B89" s="267" t="s">
        <v>813</v>
      </c>
      <c r="C89" s="267" t="s">
        <v>94</v>
      </c>
      <c r="D89" s="267" t="s">
        <v>92</v>
      </c>
      <c r="E89" s="267" t="s">
        <v>0</v>
      </c>
      <c r="F89" s="268"/>
      <c r="G89" s="269"/>
      <c r="H89" s="269"/>
      <c r="I89" s="270"/>
      <c r="J89" s="268">
        <v>1</v>
      </c>
      <c r="K89" s="269">
        <v>82610</v>
      </c>
      <c r="L89" s="269">
        <v>84490</v>
      </c>
      <c r="M89" s="270">
        <v>1</v>
      </c>
      <c r="N89" s="268">
        <v>1</v>
      </c>
      <c r="O89" s="271"/>
      <c r="P89" s="271">
        <v>82610</v>
      </c>
      <c r="Q89" s="271"/>
      <c r="R89" s="271"/>
      <c r="S89" s="271">
        <v>-84490</v>
      </c>
      <c r="T89" s="271"/>
      <c r="U89" s="272">
        <v>1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153</v>
      </c>
      <c r="B90" s="267" t="s">
        <v>167</v>
      </c>
      <c r="C90" s="267" t="s">
        <v>94</v>
      </c>
      <c r="D90" s="267" t="s">
        <v>92</v>
      </c>
      <c r="E90" s="267" t="s">
        <v>0</v>
      </c>
      <c r="F90" s="268"/>
      <c r="G90" s="269"/>
      <c r="H90" s="269"/>
      <c r="I90" s="270"/>
      <c r="J90" s="268">
        <v>1</v>
      </c>
      <c r="K90" s="269">
        <v>83194</v>
      </c>
      <c r="L90" s="269">
        <v>83913</v>
      </c>
      <c r="M90" s="270">
        <v>1</v>
      </c>
      <c r="N90" s="268">
        <v>1</v>
      </c>
      <c r="O90" s="271"/>
      <c r="P90" s="271">
        <v>83194</v>
      </c>
      <c r="Q90" s="271"/>
      <c r="R90" s="271"/>
      <c r="S90" s="271">
        <v>-83913</v>
      </c>
      <c r="T90" s="271"/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153</v>
      </c>
      <c r="B91" s="267" t="s">
        <v>168</v>
      </c>
      <c r="C91" s="267" t="s">
        <v>94</v>
      </c>
      <c r="D91" s="267" t="s">
        <v>92</v>
      </c>
      <c r="E91" s="267" t="s">
        <v>0</v>
      </c>
      <c r="F91" s="268"/>
      <c r="G91" s="269"/>
      <c r="H91" s="269"/>
      <c r="I91" s="270"/>
      <c r="J91" s="268">
        <v>1</v>
      </c>
      <c r="K91" s="269">
        <v>83148</v>
      </c>
      <c r="L91" s="269">
        <v>83944</v>
      </c>
      <c r="M91" s="270">
        <v>1</v>
      </c>
      <c r="N91" s="268">
        <v>1</v>
      </c>
      <c r="O91" s="271"/>
      <c r="P91" s="271">
        <v>83148</v>
      </c>
      <c r="Q91" s="271"/>
      <c r="R91" s="271"/>
      <c r="S91" s="271">
        <v>-83944</v>
      </c>
      <c r="T91" s="271"/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153</v>
      </c>
      <c r="B92" s="267" t="s">
        <v>169</v>
      </c>
      <c r="C92" s="267" t="s">
        <v>94</v>
      </c>
      <c r="D92" s="267" t="s">
        <v>92</v>
      </c>
      <c r="E92" s="267" t="s">
        <v>0</v>
      </c>
      <c r="F92" s="268"/>
      <c r="G92" s="269"/>
      <c r="H92" s="269"/>
      <c r="I92" s="270"/>
      <c r="J92" s="268">
        <v>1</v>
      </c>
      <c r="K92" s="269">
        <v>83251</v>
      </c>
      <c r="L92" s="269">
        <v>83895</v>
      </c>
      <c r="M92" s="270">
        <v>1</v>
      </c>
      <c r="N92" s="268">
        <v>1</v>
      </c>
      <c r="O92" s="271"/>
      <c r="P92" s="271">
        <v>83251</v>
      </c>
      <c r="Q92" s="271"/>
      <c r="R92" s="271"/>
      <c r="S92" s="271">
        <v>-83895</v>
      </c>
      <c r="T92" s="271"/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153</v>
      </c>
      <c r="B93" s="267" t="s">
        <v>814</v>
      </c>
      <c r="C93" s="267" t="s">
        <v>94</v>
      </c>
      <c r="D93" s="267" t="s">
        <v>92</v>
      </c>
      <c r="E93" s="267" t="s">
        <v>0</v>
      </c>
      <c r="F93" s="268"/>
      <c r="G93" s="269"/>
      <c r="H93" s="269"/>
      <c r="I93" s="270"/>
      <c r="J93" s="268">
        <v>1</v>
      </c>
      <c r="K93" s="269">
        <v>82855</v>
      </c>
      <c r="L93" s="269">
        <v>84300</v>
      </c>
      <c r="M93" s="270">
        <v>1</v>
      </c>
      <c r="N93" s="268">
        <v>1</v>
      </c>
      <c r="O93" s="271"/>
      <c r="P93" s="271">
        <v>82855</v>
      </c>
      <c r="Q93" s="271"/>
      <c r="R93" s="271"/>
      <c r="S93" s="271">
        <v>-84300</v>
      </c>
      <c r="T93" s="271"/>
      <c r="U93" s="272">
        <v>1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153</v>
      </c>
      <c r="B94" s="267" t="s">
        <v>815</v>
      </c>
      <c r="C94" s="267" t="s">
        <v>94</v>
      </c>
      <c r="D94" s="267" t="s">
        <v>92</v>
      </c>
      <c r="E94" s="267" t="s">
        <v>0</v>
      </c>
      <c r="F94" s="268"/>
      <c r="G94" s="269"/>
      <c r="H94" s="269"/>
      <c r="I94" s="270"/>
      <c r="J94" s="268">
        <v>1</v>
      </c>
      <c r="K94" s="269">
        <v>82784</v>
      </c>
      <c r="L94" s="269">
        <v>84323</v>
      </c>
      <c r="M94" s="270">
        <v>1</v>
      </c>
      <c r="N94" s="268">
        <v>1</v>
      </c>
      <c r="O94" s="271"/>
      <c r="P94" s="271">
        <v>82784</v>
      </c>
      <c r="Q94" s="271"/>
      <c r="R94" s="271"/>
      <c r="S94" s="271">
        <v>-84323</v>
      </c>
      <c r="T94" s="271"/>
      <c r="U94" s="272">
        <v>1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153</v>
      </c>
      <c r="B95" s="267" t="s">
        <v>816</v>
      </c>
      <c r="C95" s="267" t="s">
        <v>94</v>
      </c>
      <c r="D95" s="267" t="s">
        <v>92</v>
      </c>
      <c r="E95" s="267" t="s">
        <v>0</v>
      </c>
      <c r="F95" s="268"/>
      <c r="G95" s="269"/>
      <c r="H95" s="269"/>
      <c r="I95" s="270"/>
      <c r="J95" s="268">
        <v>1</v>
      </c>
      <c r="K95" s="269">
        <v>82768</v>
      </c>
      <c r="L95" s="269">
        <v>84144</v>
      </c>
      <c r="M95" s="270">
        <v>1</v>
      </c>
      <c r="N95" s="268">
        <v>1</v>
      </c>
      <c r="O95" s="271"/>
      <c r="P95" s="271">
        <v>82768</v>
      </c>
      <c r="Q95" s="271"/>
      <c r="R95" s="271"/>
      <c r="S95" s="271">
        <v>-84144</v>
      </c>
      <c r="T95" s="271"/>
      <c r="U95" s="272">
        <v>1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153</v>
      </c>
      <c r="B96" s="267" t="s">
        <v>817</v>
      </c>
      <c r="C96" s="267" t="s">
        <v>94</v>
      </c>
      <c r="D96" s="267" t="s">
        <v>92</v>
      </c>
      <c r="E96" s="267" t="s">
        <v>0</v>
      </c>
      <c r="F96" s="268"/>
      <c r="G96" s="269"/>
      <c r="H96" s="269"/>
      <c r="I96" s="270"/>
      <c r="J96" s="268">
        <v>1</v>
      </c>
      <c r="K96" s="269">
        <v>82656</v>
      </c>
      <c r="L96" s="269">
        <v>84474</v>
      </c>
      <c r="M96" s="270">
        <v>1</v>
      </c>
      <c r="N96" s="268">
        <v>1</v>
      </c>
      <c r="O96" s="271"/>
      <c r="P96" s="271">
        <v>82656</v>
      </c>
      <c r="Q96" s="271"/>
      <c r="R96" s="271"/>
      <c r="S96" s="271">
        <v>-84474</v>
      </c>
      <c r="T96" s="271"/>
      <c r="U96" s="272">
        <v>1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153</v>
      </c>
      <c r="B97" s="267" t="s">
        <v>818</v>
      </c>
      <c r="C97" s="267" t="s">
        <v>94</v>
      </c>
      <c r="D97" s="267" t="s">
        <v>92</v>
      </c>
      <c r="E97" s="267" t="s">
        <v>0</v>
      </c>
      <c r="F97" s="268"/>
      <c r="G97" s="269"/>
      <c r="H97" s="269"/>
      <c r="I97" s="270"/>
      <c r="J97" s="268">
        <v>1</v>
      </c>
      <c r="K97" s="269">
        <v>82800</v>
      </c>
      <c r="L97" s="269">
        <v>84245</v>
      </c>
      <c r="M97" s="270">
        <v>1</v>
      </c>
      <c r="N97" s="268">
        <v>1</v>
      </c>
      <c r="O97" s="271"/>
      <c r="P97" s="271">
        <v>82800</v>
      </c>
      <c r="Q97" s="271"/>
      <c r="R97" s="271"/>
      <c r="S97" s="271">
        <v>-84245</v>
      </c>
      <c r="T97" s="271"/>
      <c r="U97" s="272">
        <v>1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153</v>
      </c>
      <c r="B98" s="267" t="s">
        <v>170</v>
      </c>
      <c r="C98" s="267" t="s">
        <v>94</v>
      </c>
      <c r="D98" s="267" t="s">
        <v>92</v>
      </c>
      <c r="E98" s="267" t="s">
        <v>0</v>
      </c>
      <c r="F98" s="268"/>
      <c r="G98" s="269"/>
      <c r="H98" s="269"/>
      <c r="I98" s="270"/>
      <c r="J98" s="268">
        <v>1</v>
      </c>
      <c r="K98" s="269">
        <v>83437</v>
      </c>
      <c r="L98" s="269">
        <v>83704</v>
      </c>
      <c r="M98" s="270">
        <v>1</v>
      </c>
      <c r="N98" s="268">
        <v>1</v>
      </c>
      <c r="O98" s="271"/>
      <c r="P98" s="271">
        <v>83437</v>
      </c>
      <c r="Q98" s="271"/>
      <c r="R98" s="271"/>
      <c r="S98" s="271">
        <v>-83704</v>
      </c>
      <c r="T98" s="271"/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153</v>
      </c>
      <c r="B99" s="267" t="s">
        <v>171</v>
      </c>
      <c r="C99" s="267" t="s">
        <v>94</v>
      </c>
      <c r="D99" s="267" t="s">
        <v>92</v>
      </c>
      <c r="E99" s="267" t="s">
        <v>0</v>
      </c>
      <c r="F99" s="268"/>
      <c r="G99" s="269"/>
      <c r="H99" s="269"/>
      <c r="I99" s="270"/>
      <c r="J99" s="268">
        <v>1</v>
      </c>
      <c r="K99" s="269">
        <v>83124</v>
      </c>
      <c r="L99" s="269">
        <v>83991</v>
      </c>
      <c r="M99" s="270">
        <v>1</v>
      </c>
      <c r="N99" s="268">
        <v>1</v>
      </c>
      <c r="O99" s="271"/>
      <c r="P99" s="271">
        <v>83124</v>
      </c>
      <c r="Q99" s="271"/>
      <c r="R99" s="271"/>
      <c r="S99" s="271">
        <v>-83991</v>
      </c>
      <c r="T99" s="271"/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153</v>
      </c>
      <c r="B100" s="267" t="s">
        <v>819</v>
      </c>
      <c r="C100" s="267" t="s">
        <v>94</v>
      </c>
      <c r="D100" s="267" t="s">
        <v>92</v>
      </c>
      <c r="E100" s="267" t="s">
        <v>0</v>
      </c>
      <c r="F100" s="268"/>
      <c r="G100" s="269"/>
      <c r="H100" s="269"/>
      <c r="I100" s="270"/>
      <c r="J100" s="268">
        <v>1</v>
      </c>
      <c r="K100" s="269">
        <v>82924</v>
      </c>
      <c r="L100" s="269">
        <v>84371</v>
      </c>
      <c r="M100" s="270">
        <v>1</v>
      </c>
      <c r="N100" s="268">
        <v>1</v>
      </c>
      <c r="O100" s="271"/>
      <c r="P100" s="271">
        <v>82924</v>
      </c>
      <c r="Q100" s="271"/>
      <c r="R100" s="271"/>
      <c r="S100" s="271">
        <v>-84371</v>
      </c>
      <c r="T100" s="271"/>
      <c r="U100" s="272">
        <v>1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153</v>
      </c>
      <c r="B101" s="267" t="s">
        <v>172</v>
      </c>
      <c r="C101" s="267" t="s">
        <v>94</v>
      </c>
      <c r="D101" s="267" t="s">
        <v>92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83420</v>
      </c>
      <c r="L101" s="269">
        <v>83656</v>
      </c>
      <c r="M101" s="270">
        <v>1</v>
      </c>
      <c r="N101" s="268">
        <v>1</v>
      </c>
      <c r="O101" s="271"/>
      <c r="P101" s="271">
        <v>83420</v>
      </c>
      <c r="Q101" s="271"/>
      <c r="R101" s="271"/>
      <c r="S101" s="271">
        <v>-83656</v>
      </c>
      <c r="T101" s="271"/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153</v>
      </c>
      <c r="B102" s="267" t="s">
        <v>173</v>
      </c>
      <c r="C102" s="267" t="s">
        <v>94</v>
      </c>
      <c r="D102" s="267" t="s">
        <v>92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83190</v>
      </c>
      <c r="L102" s="269">
        <v>83874</v>
      </c>
      <c r="M102" s="270">
        <v>1</v>
      </c>
      <c r="N102" s="268">
        <v>1</v>
      </c>
      <c r="O102" s="271"/>
      <c r="P102" s="271">
        <v>83190</v>
      </c>
      <c r="Q102" s="271"/>
      <c r="R102" s="271"/>
      <c r="S102" s="271">
        <v>-83874</v>
      </c>
      <c r="T102" s="271"/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153</v>
      </c>
      <c r="B103" s="267" t="s">
        <v>820</v>
      </c>
      <c r="C103" s="267" t="s">
        <v>94</v>
      </c>
      <c r="D103" s="267" t="s">
        <v>92</v>
      </c>
      <c r="E103" s="267" t="s">
        <v>0</v>
      </c>
      <c r="F103" s="268"/>
      <c r="G103" s="269"/>
      <c r="H103" s="269"/>
      <c r="I103" s="270"/>
      <c r="J103" s="268">
        <v>1</v>
      </c>
      <c r="K103" s="269">
        <v>82611</v>
      </c>
      <c r="L103" s="269">
        <v>84469</v>
      </c>
      <c r="M103" s="270">
        <v>1</v>
      </c>
      <c r="N103" s="268">
        <v>1</v>
      </c>
      <c r="O103" s="271"/>
      <c r="P103" s="271">
        <v>82611</v>
      </c>
      <c r="Q103" s="271"/>
      <c r="R103" s="271"/>
      <c r="S103" s="271">
        <v>-84469</v>
      </c>
      <c r="T103" s="271"/>
      <c r="U103" s="272">
        <v>1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153</v>
      </c>
      <c r="B104" s="267" t="s">
        <v>174</v>
      </c>
      <c r="C104" s="267" t="s">
        <v>94</v>
      </c>
      <c r="D104" s="267" t="s">
        <v>92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83093</v>
      </c>
      <c r="L104" s="269">
        <v>83999</v>
      </c>
      <c r="M104" s="270">
        <v>1</v>
      </c>
      <c r="N104" s="268">
        <v>1</v>
      </c>
      <c r="O104" s="271"/>
      <c r="P104" s="271">
        <v>83093</v>
      </c>
      <c r="Q104" s="271"/>
      <c r="R104" s="271"/>
      <c r="S104" s="271">
        <v>-83999</v>
      </c>
      <c r="T104" s="271"/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153</v>
      </c>
      <c r="B105" s="267" t="s">
        <v>175</v>
      </c>
      <c r="C105" s="267" t="s">
        <v>94</v>
      </c>
      <c r="D105" s="267" t="s">
        <v>92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83196</v>
      </c>
      <c r="L105" s="269">
        <v>83950</v>
      </c>
      <c r="M105" s="270">
        <v>1</v>
      </c>
      <c r="N105" s="268">
        <v>1</v>
      </c>
      <c r="O105" s="271"/>
      <c r="P105" s="271">
        <v>83196</v>
      </c>
      <c r="Q105" s="271"/>
      <c r="R105" s="271"/>
      <c r="S105" s="271">
        <v>-83950</v>
      </c>
      <c r="T105" s="271"/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153</v>
      </c>
      <c r="B106" s="267" t="s">
        <v>821</v>
      </c>
      <c r="C106" s="267" t="s">
        <v>94</v>
      </c>
      <c r="D106" s="267" t="s">
        <v>92</v>
      </c>
      <c r="E106" s="267" t="s">
        <v>0</v>
      </c>
      <c r="F106" s="268"/>
      <c r="G106" s="269"/>
      <c r="H106" s="269"/>
      <c r="I106" s="270"/>
      <c r="J106" s="268">
        <v>1</v>
      </c>
      <c r="K106" s="269">
        <v>82800</v>
      </c>
      <c r="L106" s="269">
        <v>84355</v>
      </c>
      <c r="M106" s="270">
        <v>1</v>
      </c>
      <c r="N106" s="268">
        <v>1</v>
      </c>
      <c r="O106" s="271"/>
      <c r="P106" s="271">
        <v>82800</v>
      </c>
      <c r="Q106" s="271"/>
      <c r="R106" s="271"/>
      <c r="S106" s="271">
        <v>-84355</v>
      </c>
      <c r="T106" s="271"/>
      <c r="U106" s="272">
        <v>1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153</v>
      </c>
      <c r="B107" s="267" t="s">
        <v>822</v>
      </c>
      <c r="C107" s="267" t="s">
        <v>94</v>
      </c>
      <c r="D107" s="267" t="s">
        <v>92</v>
      </c>
      <c r="E107" s="267" t="s">
        <v>0</v>
      </c>
      <c r="F107" s="268"/>
      <c r="G107" s="269"/>
      <c r="H107" s="269"/>
      <c r="I107" s="270"/>
      <c r="J107" s="268">
        <v>1</v>
      </c>
      <c r="K107" s="269">
        <v>82713</v>
      </c>
      <c r="L107" s="269">
        <v>84199</v>
      </c>
      <c r="M107" s="270">
        <v>1</v>
      </c>
      <c r="N107" s="268">
        <v>1</v>
      </c>
      <c r="O107" s="271"/>
      <c r="P107" s="271">
        <v>82713</v>
      </c>
      <c r="Q107" s="271"/>
      <c r="R107" s="271"/>
      <c r="S107" s="271">
        <v>-84199</v>
      </c>
      <c r="T107" s="271"/>
      <c r="U107" s="272">
        <v>1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153</v>
      </c>
      <c r="B108" s="267" t="s">
        <v>823</v>
      </c>
      <c r="C108" s="267" t="s">
        <v>94</v>
      </c>
      <c r="D108" s="267" t="s">
        <v>92</v>
      </c>
      <c r="E108" s="267" t="s">
        <v>0</v>
      </c>
      <c r="F108" s="268"/>
      <c r="G108" s="269"/>
      <c r="H108" s="269"/>
      <c r="I108" s="270"/>
      <c r="J108" s="268">
        <v>1</v>
      </c>
      <c r="K108" s="269">
        <v>82601</v>
      </c>
      <c r="L108" s="269">
        <v>84529</v>
      </c>
      <c r="M108" s="270">
        <v>1</v>
      </c>
      <c r="N108" s="268">
        <v>1</v>
      </c>
      <c r="O108" s="271"/>
      <c r="P108" s="271">
        <v>82601</v>
      </c>
      <c r="Q108" s="271"/>
      <c r="R108" s="271"/>
      <c r="S108" s="271">
        <v>-84529</v>
      </c>
      <c r="T108" s="271"/>
      <c r="U108" s="272">
        <v>1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153</v>
      </c>
      <c r="B109" s="267" t="s">
        <v>824</v>
      </c>
      <c r="C109" s="267" t="s">
        <v>94</v>
      </c>
      <c r="D109" s="267" t="s">
        <v>92</v>
      </c>
      <c r="E109" s="267" t="s">
        <v>0</v>
      </c>
      <c r="F109" s="268"/>
      <c r="G109" s="269"/>
      <c r="H109" s="269"/>
      <c r="I109" s="270"/>
      <c r="J109" s="268">
        <v>1</v>
      </c>
      <c r="K109" s="269">
        <v>82745</v>
      </c>
      <c r="L109" s="269">
        <v>84300</v>
      </c>
      <c r="M109" s="270">
        <v>1</v>
      </c>
      <c r="N109" s="268">
        <v>1</v>
      </c>
      <c r="O109" s="271"/>
      <c r="P109" s="271">
        <v>82745</v>
      </c>
      <c r="Q109" s="271"/>
      <c r="R109" s="271"/>
      <c r="S109" s="271">
        <v>-84300</v>
      </c>
      <c r="T109" s="271"/>
      <c r="U109" s="272">
        <v>1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153</v>
      </c>
      <c r="B110" s="267" t="s">
        <v>176</v>
      </c>
      <c r="C110" s="267" t="s">
        <v>94</v>
      </c>
      <c r="D110" s="267" t="s">
        <v>92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83356</v>
      </c>
      <c r="L110" s="269">
        <v>83739</v>
      </c>
      <c r="M110" s="270">
        <v>1</v>
      </c>
      <c r="N110" s="268">
        <v>1</v>
      </c>
      <c r="O110" s="271"/>
      <c r="P110" s="271">
        <v>83356</v>
      </c>
      <c r="Q110" s="271"/>
      <c r="R110" s="271"/>
      <c r="S110" s="271">
        <v>-83739</v>
      </c>
      <c r="T110" s="271"/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153</v>
      </c>
      <c r="B111" s="267" t="s">
        <v>177</v>
      </c>
      <c r="C111" s="267" t="s">
        <v>94</v>
      </c>
      <c r="D111" s="267" t="s">
        <v>92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83109</v>
      </c>
      <c r="L111" s="269">
        <v>83976</v>
      </c>
      <c r="M111" s="270">
        <v>1</v>
      </c>
      <c r="N111" s="268">
        <v>1</v>
      </c>
      <c r="O111" s="271"/>
      <c r="P111" s="271">
        <v>83109</v>
      </c>
      <c r="Q111" s="271"/>
      <c r="R111" s="271"/>
      <c r="S111" s="271">
        <v>-83976</v>
      </c>
      <c r="T111" s="271"/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153</v>
      </c>
      <c r="B112" s="267" t="s">
        <v>825</v>
      </c>
      <c r="C112" s="267" t="s">
        <v>94</v>
      </c>
      <c r="D112" s="267" t="s">
        <v>92</v>
      </c>
      <c r="E112" s="267" t="s">
        <v>0</v>
      </c>
      <c r="F112" s="268"/>
      <c r="G112" s="269"/>
      <c r="H112" s="269"/>
      <c r="I112" s="270"/>
      <c r="J112" s="268">
        <v>1</v>
      </c>
      <c r="K112" s="269">
        <v>82699</v>
      </c>
      <c r="L112" s="269">
        <v>84386</v>
      </c>
      <c r="M112" s="270">
        <v>1</v>
      </c>
      <c r="N112" s="268">
        <v>1</v>
      </c>
      <c r="O112" s="271"/>
      <c r="P112" s="271">
        <v>82699</v>
      </c>
      <c r="Q112" s="271"/>
      <c r="R112" s="271"/>
      <c r="S112" s="271">
        <v>-84386</v>
      </c>
      <c r="T112" s="271"/>
      <c r="U112" s="272">
        <v>1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153</v>
      </c>
      <c r="B113" s="267" t="s">
        <v>178</v>
      </c>
      <c r="C113" s="267" t="s">
        <v>94</v>
      </c>
      <c r="D113" s="267" t="s">
        <v>92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83437</v>
      </c>
      <c r="L113" s="269">
        <v>83686</v>
      </c>
      <c r="M113" s="270">
        <v>1</v>
      </c>
      <c r="N113" s="268">
        <v>1</v>
      </c>
      <c r="O113" s="271"/>
      <c r="P113" s="271">
        <v>83437</v>
      </c>
      <c r="Q113" s="271"/>
      <c r="R113" s="271"/>
      <c r="S113" s="271">
        <v>-83686</v>
      </c>
      <c r="T113" s="271"/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153</v>
      </c>
      <c r="B114" s="267" t="s">
        <v>179</v>
      </c>
      <c r="C114" s="267" t="s">
        <v>94</v>
      </c>
      <c r="D114" s="267" t="s">
        <v>92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83211</v>
      </c>
      <c r="L114" s="269">
        <v>83869</v>
      </c>
      <c r="M114" s="270">
        <v>1</v>
      </c>
      <c r="N114" s="268">
        <v>1</v>
      </c>
      <c r="O114" s="271"/>
      <c r="P114" s="271">
        <v>83211</v>
      </c>
      <c r="Q114" s="271"/>
      <c r="R114" s="271"/>
      <c r="S114" s="271">
        <v>-83869</v>
      </c>
      <c r="T114" s="271"/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153</v>
      </c>
      <c r="B115" s="267" t="s">
        <v>826</v>
      </c>
      <c r="C115" s="267" t="s">
        <v>94</v>
      </c>
      <c r="D115" s="267" t="s">
        <v>92</v>
      </c>
      <c r="E115" s="267" t="s">
        <v>0</v>
      </c>
      <c r="F115" s="268"/>
      <c r="G115" s="269"/>
      <c r="H115" s="269"/>
      <c r="I115" s="270"/>
      <c r="J115" s="268">
        <v>1</v>
      </c>
      <c r="K115" s="269">
        <v>82632</v>
      </c>
      <c r="L115" s="269">
        <v>84464</v>
      </c>
      <c r="M115" s="270">
        <v>1</v>
      </c>
      <c r="N115" s="268">
        <v>1</v>
      </c>
      <c r="O115" s="271"/>
      <c r="P115" s="271">
        <v>82632</v>
      </c>
      <c r="Q115" s="271"/>
      <c r="R115" s="271"/>
      <c r="S115" s="271">
        <v>-84464</v>
      </c>
      <c r="T115" s="271"/>
      <c r="U115" s="272">
        <v>1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153</v>
      </c>
      <c r="B116" s="267" t="s">
        <v>180</v>
      </c>
      <c r="C116" s="267" t="s">
        <v>94</v>
      </c>
      <c r="D116" s="267" t="s">
        <v>92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83094</v>
      </c>
      <c r="L116" s="269">
        <v>84013</v>
      </c>
      <c r="M116" s="270">
        <v>1</v>
      </c>
      <c r="N116" s="268">
        <v>1</v>
      </c>
      <c r="O116" s="271"/>
      <c r="P116" s="271">
        <v>83094</v>
      </c>
      <c r="Q116" s="271"/>
      <c r="R116" s="271"/>
      <c r="S116" s="271">
        <v>-84013</v>
      </c>
      <c r="T116" s="271"/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153</v>
      </c>
      <c r="B117" s="267" t="s">
        <v>181</v>
      </c>
      <c r="C117" s="267" t="s">
        <v>94</v>
      </c>
      <c r="D117" s="267" t="s">
        <v>92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83151</v>
      </c>
      <c r="L117" s="269">
        <v>83995</v>
      </c>
      <c r="M117" s="270">
        <v>1</v>
      </c>
      <c r="N117" s="268">
        <v>1</v>
      </c>
      <c r="O117" s="271"/>
      <c r="P117" s="271">
        <v>83151</v>
      </c>
      <c r="Q117" s="271"/>
      <c r="R117" s="271"/>
      <c r="S117" s="271">
        <v>-83995</v>
      </c>
      <c r="T117" s="271"/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153</v>
      </c>
      <c r="B118" s="267" t="s">
        <v>827</v>
      </c>
      <c r="C118" s="267" t="s">
        <v>94</v>
      </c>
      <c r="D118" s="267" t="s">
        <v>92</v>
      </c>
      <c r="E118" s="267" t="s">
        <v>0</v>
      </c>
      <c r="F118" s="268"/>
      <c r="G118" s="269"/>
      <c r="H118" s="269"/>
      <c r="I118" s="270"/>
      <c r="J118" s="268">
        <v>1</v>
      </c>
      <c r="K118" s="269">
        <v>82755</v>
      </c>
      <c r="L118" s="269">
        <v>84400</v>
      </c>
      <c r="M118" s="270">
        <v>1</v>
      </c>
      <c r="N118" s="268">
        <v>1</v>
      </c>
      <c r="O118" s="271"/>
      <c r="P118" s="271">
        <v>82755</v>
      </c>
      <c r="Q118" s="271"/>
      <c r="R118" s="271"/>
      <c r="S118" s="271">
        <v>-84400</v>
      </c>
      <c r="T118" s="271"/>
      <c r="U118" s="272">
        <v>1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153</v>
      </c>
      <c r="B119" s="267" t="s">
        <v>828</v>
      </c>
      <c r="C119" s="267" t="s">
        <v>94</v>
      </c>
      <c r="D119" s="267" t="s">
        <v>92</v>
      </c>
      <c r="E119" s="267" t="s">
        <v>0</v>
      </c>
      <c r="F119" s="268"/>
      <c r="G119" s="269"/>
      <c r="H119" s="269"/>
      <c r="I119" s="270"/>
      <c r="J119" s="268">
        <v>1</v>
      </c>
      <c r="K119" s="269">
        <v>82894</v>
      </c>
      <c r="L119" s="269">
        <v>84393</v>
      </c>
      <c r="M119" s="270">
        <v>1</v>
      </c>
      <c r="N119" s="268">
        <v>1</v>
      </c>
      <c r="O119" s="271"/>
      <c r="P119" s="271">
        <v>82894</v>
      </c>
      <c r="Q119" s="271"/>
      <c r="R119" s="271"/>
      <c r="S119" s="271">
        <v>-84393</v>
      </c>
      <c r="T119" s="271"/>
      <c r="U119" s="272">
        <v>1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153</v>
      </c>
      <c r="B120" s="267" t="s">
        <v>829</v>
      </c>
      <c r="C120" s="267" t="s">
        <v>94</v>
      </c>
      <c r="D120" s="267" t="s">
        <v>92</v>
      </c>
      <c r="E120" s="267" t="s">
        <v>0</v>
      </c>
      <c r="F120" s="268"/>
      <c r="G120" s="269"/>
      <c r="H120" s="269"/>
      <c r="I120" s="270"/>
      <c r="J120" s="268">
        <v>1</v>
      </c>
      <c r="K120" s="269">
        <v>82766</v>
      </c>
      <c r="L120" s="269">
        <v>84544</v>
      </c>
      <c r="M120" s="270">
        <v>1</v>
      </c>
      <c r="N120" s="268">
        <v>1</v>
      </c>
      <c r="O120" s="271"/>
      <c r="P120" s="271">
        <v>82766</v>
      </c>
      <c r="Q120" s="271"/>
      <c r="R120" s="271"/>
      <c r="S120" s="271">
        <v>-84544</v>
      </c>
      <c r="T120" s="271"/>
      <c r="U120" s="272">
        <v>1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153</v>
      </c>
      <c r="B121" s="267" t="s">
        <v>830</v>
      </c>
      <c r="C121" s="267" t="s">
        <v>94</v>
      </c>
      <c r="D121" s="267" t="s">
        <v>92</v>
      </c>
      <c r="E121" s="267" t="s">
        <v>0</v>
      </c>
      <c r="F121" s="268"/>
      <c r="G121" s="269"/>
      <c r="H121" s="269"/>
      <c r="I121" s="270"/>
      <c r="J121" s="268">
        <v>1</v>
      </c>
      <c r="K121" s="269">
        <v>82910</v>
      </c>
      <c r="L121" s="269">
        <v>84315</v>
      </c>
      <c r="M121" s="270">
        <v>1</v>
      </c>
      <c r="N121" s="268">
        <v>1</v>
      </c>
      <c r="O121" s="271"/>
      <c r="P121" s="271">
        <v>82910</v>
      </c>
      <c r="Q121" s="271"/>
      <c r="R121" s="271"/>
      <c r="S121" s="271">
        <v>-84315</v>
      </c>
      <c r="T121" s="271"/>
      <c r="U121" s="272">
        <v>1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153</v>
      </c>
      <c r="B122" s="267" t="s">
        <v>182</v>
      </c>
      <c r="C122" s="267" t="s">
        <v>94</v>
      </c>
      <c r="D122" s="267" t="s">
        <v>92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83388</v>
      </c>
      <c r="L122" s="269">
        <v>83739</v>
      </c>
      <c r="M122" s="270">
        <v>1</v>
      </c>
      <c r="N122" s="268">
        <v>1</v>
      </c>
      <c r="O122" s="271"/>
      <c r="P122" s="271">
        <v>83388</v>
      </c>
      <c r="Q122" s="271"/>
      <c r="R122" s="271"/>
      <c r="S122" s="271">
        <v>-83739</v>
      </c>
      <c r="T122" s="271"/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153</v>
      </c>
      <c r="B123" s="267" t="s">
        <v>183</v>
      </c>
      <c r="C123" s="267" t="s">
        <v>94</v>
      </c>
      <c r="D123" s="267" t="s">
        <v>92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83041</v>
      </c>
      <c r="L123" s="269">
        <v>84079</v>
      </c>
      <c r="M123" s="270">
        <v>1</v>
      </c>
      <c r="N123" s="268">
        <v>1</v>
      </c>
      <c r="O123" s="271"/>
      <c r="P123" s="271">
        <v>83041</v>
      </c>
      <c r="Q123" s="271"/>
      <c r="R123" s="271"/>
      <c r="S123" s="271">
        <v>-84079</v>
      </c>
      <c r="T123" s="271"/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153</v>
      </c>
      <c r="B124" s="267" t="s">
        <v>831</v>
      </c>
      <c r="C124" s="267" t="s">
        <v>94</v>
      </c>
      <c r="D124" s="267" t="s">
        <v>92</v>
      </c>
      <c r="E124" s="267" t="s">
        <v>0</v>
      </c>
      <c r="F124" s="268"/>
      <c r="G124" s="269"/>
      <c r="H124" s="269"/>
      <c r="I124" s="270"/>
      <c r="J124" s="268">
        <v>1</v>
      </c>
      <c r="K124" s="269">
        <v>82631</v>
      </c>
      <c r="L124" s="269">
        <v>84489</v>
      </c>
      <c r="M124" s="270">
        <v>1</v>
      </c>
      <c r="N124" s="268">
        <v>1</v>
      </c>
      <c r="O124" s="271"/>
      <c r="P124" s="271">
        <v>82631</v>
      </c>
      <c r="Q124" s="271"/>
      <c r="R124" s="271"/>
      <c r="S124" s="271">
        <v>-84489</v>
      </c>
      <c r="T124" s="271"/>
      <c r="U124" s="272">
        <v>1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153</v>
      </c>
      <c r="B125" s="267" t="s">
        <v>184</v>
      </c>
      <c r="C125" s="267" t="s">
        <v>94</v>
      </c>
      <c r="D125" s="267" t="s">
        <v>92</v>
      </c>
      <c r="E125" s="267" t="s">
        <v>0</v>
      </c>
      <c r="F125" s="268"/>
      <c r="G125" s="269"/>
      <c r="H125" s="269"/>
      <c r="I125" s="270"/>
      <c r="J125" s="268">
        <v>1</v>
      </c>
      <c r="K125" s="269">
        <v>83424</v>
      </c>
      <c r="L125" s="269">
        <v>83672</v>
      </c>
      <c r="M125" s="270">
        <v>1</v>
      </c>
      <c r="N125" s="268">
        <v>1</v>
      </c>
      <c r="O125" s="271"/>
      <c r="P125" s="271">
        <v>83424</v>
      </c>
      <c r="Q125" s="271"/>
      <c r="R125" s="271"/>
      <c r="S125" s="271">
        <v>-83672</v>
      </c>
      <c r="T125" s="271"/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153</v>
      </c>
      <c r="B126" s="267" t="s">
        <v>185</v>
      </c>
      <c r="C126" s="267" t="s">
        <v>94</v>
      </c>
      <c r="D126" s="267" t="s">
        <v>92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83046</v>
      </c>
      <c r="L126" s="269">
        <v>84058</v>
      </c>
      <c r="M126" s="270">
        <v>1</v>
      </c>
      <c r="N126" s="268">
        <v>1</v>
      </c>
      <c r="O126" s="271"/>
      <c r="P126" s="271">
        <v>83046</v>
      </c>
      <c r="Q126" s="271"/>
      <c r="R126" s="271"/>
      <c r="S126" s="271">
        <v>-84058</v>
      </c>
      <c r="T126" s="271"/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153</v>
      </c>
      <c r="B127" s="267" t="s">
        <v>832</v>
      </c>
      <c r="C127" s="267" t="s">
        <v>94</v>
      </c>
      <c r="D127" s="267" t="s">
        <v>92</v>
      </c>
      <c r="E127" s="267" t="s">
        <v>0</v>
      </c>
      <c r="F127" s="268"/>
      <c r="G127" s="269"/>
      <c r="H127" s="269"/>
      <c r="I127" s="270"/>
      <c r="J127" s="268">
        <v>1</v>
      </c>
      <c r="K127" s="269">
        <v>82846</v>
      </c>
      <c r="L127" s="269">
        <v>84438</v>
      </c>
      <c r="M127" s="270">
        <v>1</v>
      </c>
      <c r="N127" s="268">
        <v>1</v>
      </c>
      <c r="O127" s="271"/>
      <c r="P127" s="271">
        <v>82846</v>
      </c>
      <c r="Q127" s="271"/>
      <c r="R127" s="271"/>
      <c r="S127" s="271">
        <v>-84438</v>
      </c>
      <c r="T127" s="271"/>
      <c r="U127" s="272">
        <v>1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153</v>
      </c>
      <c r="B128" s="267" t="s">
        <v>186</v>
      </c>
      <c r="C128" s="267" t="s">
        <v>94</v>
      </c>
      <c r="D128" s="267" t="s">
        <v>92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83178</v>
      </c>
      <c r="L128" s="269">
        <v>83913</v>
      </c>
      <c r="M128" s="270">
        <v>1</v>
      </c>
      <c r="N128" s="268">
        <v>1</v>
      </c>
      <c r="O128" s="271"/>
      <c r="P128" s="271">
        <v>83178</v>
      </c>
      <c r="Q128" s="271"/>
      <c r="R128" s="271"/>
      <c r="S128" s="271">
        <v>-83913</v>
      </c>
      <c r="T128" s="271"/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153</v>
      </c>
      <c r="B129" s="267" t="s">
        <v>187</v>
      </c>
      <c r="C129" s="267" t="s">
        <v>94</v>
      </c>
      <c r="D129" s="267" t="s">
        <v>92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83132</v>
      </c>
      <c r="L129" s="269">
        <v>83944</v>
      </c>
      <c r="M129" s="270">
        <v>1</v>
      </c>
      <c r="N129" s="268">
        <v>1</v>
      </c>
      <c r="O129" s="271"/>
      <c r="P129" s="271">
        <v>83132</v>
      </c>
      <c r="Q129" s="271"/>
      <c r="R129" s="271"/>
      <c r="S129" s="271">
        <v>-83944</v>
      </c>
      <c r="T129" s="271"/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153</v>
      </c>
      <c r="B130" s="267" t="s">
        <v>833</v>
      </c>
      <c r="C130" s="267" t="s">
        <v>94</v>
      </c>
      <c r="D130" s="267" t="s">
        <v>92</v>
      </c>
      <c r="E130" s="267" t="s">
        <v>0</v>
      </c>
      <c r="F130" s="268"/>
      <c r="G130" s="269"/>
      <c r="H130" s="269"/>
      <c r="I130" s="270"/>
      <c r="J130" s="268">
        <v>1</v>
      </c>
      <c r="K130" s="269">
        <v>82839</v>
      </c>
      <c r="L130" s="269">
        <v>84300</v>
      </c>
      <c r="M130" s="270">
        <v>1</v>
      </c>
      <c r="N130" s="268">
        <v>1</v>
      </c>
      <c r="O130" s="271"/>
      <c r="P130" s="271">
        <v>82839</v>
      </c>
      <c r="Q130" s="271"/>
      <c r="R130" s="271"/>
      <c r="S130" s="271">
        <v>-84300</v>
      </c>
      <c r="T130" s="271"/>
      <c r="U130" s="272">
        <v>1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153</v>
      </c>
      <c r="B131" s="267" t="s">
        <v>834</v>
      </c>
      <c r="C131" s="267" t="s">
        <v>94</v>
      </c>
      <c r="D131" s="267" t="s">
        <v>92</v>
      </c>
      <c r="E131" s="267" t="s">
        <v>0</v>
      </c>
      <c r="F131" s="268"/>
      <c r="G131" s="269"/>
      <c r="H131" s="269"/>
      <c r="I131" s="270"/>
      <c r="J131" s="268">
        <v>1</v>
      </c>
      <c r="K131" s="269">
        <v>82599</v>
      </c>
      <c r="L131" s="269">
        <v>84508</v>
      </c>
      <c r="M131" s="270">
        <v>1</v>
      </c>
      <c r="N131" s="268">
        <v>1</v>
      </c>
      <c r="O131" s="271"/>
      <c r="P131" s="271">
        <v>82599</v>
      </c>
      <c r="Q131" s="271"/>
      <c r="R131" s="271"/>
      <c r="S131" s="271">
        <v>-84508</v>
      </c>
      <c r="T131" s="271"/>
      <c r="U131" s="272">
        <v>1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153</v>
      </c>
      <c r="B132" s="267" t="s">
        <v>835</v>
      </c>
      <c r="C132" s="267" t="s">
        <v>94</v>
      </c>
      <c r="D132" s="267" t="s">
        <v>92</v>
      </c>
      <c r="E132" s="267" t="s">
        <v>0</v>
      </c>
      <c r="F132" s="268"/>
      <c r="G132" s="269"/>
      <c r="H132" s="269"/>
      <c r="I132" s="270"/>
      <c r="J132" s="268">
        <v>1</v>
      </c>
      <c r="K132" s="269">
        <v>82583</v>
      </c>
      <c r="L132" s="269">
        <v>84329</v>
      </c>
      <c r="M132" s="270">
        <v>1</v>
      </c>
      <c r="N132" s="268">
        <v>1</v>
      </c>
      <c r="O132" s="271"/>
      <c r="P132" s="271">
        <v>82583</v>
      </c>
      <c r="Q132" s="271"/>
      <c r="R132" s="271"/>
      <c r="S132" s="271">
        <v>-84329</v>
      </c>
      <c r="T132" s="271"/>
      <c r="U132" s="272">
        <v>1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153</v>
      </c>
      <c r="B133" s="267" t="s">
        <v>836</v>
      </c>
      <c r="C133" s="267" t="s">
        <v>94</v>
      </c>
      <c r="D133" s="267" t="s">
        <v>92</v>
      </c>
      <c r="E133" s="267" t="s">
        <v>0</v>
      </c>
      <c r="F133" s="268"/>
      <c r="G133" s="269"/>
      <c r="H133" s="269"/>
      <c r="I133" s="270"/>
      <c r="J133" s="268">
        <v>1</v>
      </c>
      <c r="K133" s="269">
        <v>82615</v>
      </c>
      <c r="L133" s="269">
        <v>84430</v>
      </c>
      <c r="M133" s="270">
        <v>1</v>
      </c>
      <c r="N133" s="268">
        <v>1</v>
      </c>
      <c r="O133" s="271"/>
      <c r="P133" s="271">
        <v>82615</v>
      </c>
      <c r="Q133" s="271"/>
      <c r="R133" s="271"/>
      <c r="S133" s="271">
        <v>-84430</v>
      </c>
      <c r="T133" s="271"/>
      <c r="U133" s="272">
        <v>1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153</v>
      </c>
      <c r="B134" s="267" t="s">
        <v>188</v>
      </c>
      <c r="C134" s="267" t="s">
        <v>94</v>
      </c>
      <c r="D134" s="267" t="s">
        <v>92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83167</v>
      </c>
      <c r="L134" s="269">
        <v>83940</v>
      </c>
      <c r="M134" s="270">
        <v>1</v>
      </c>
      <c r="N134" s="268">
        <v>1</v>
      </c>
      <c r="O134" s="271"/>
      <c r="P134" s="271">
        <v>83167</v>
      </c>
      <c r="Q134" s="271"/>
      <c r="R134" s="271"/>
      <c r="S134" s="271">
        <v>-83940</v>
      </c>
      <c r="T134" s="271"/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153</v>
      </c>
      <c r="B135" s="267" t="s">
        <v>189</v>
      </c>
      <c r="C135" s="267" t="s">
        <v>94</v>
      </c>
      <c r="D135" s="267" t="s">
        <v>92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83067</v>
      </c>
      <c r="L135" s="269">
        <v>84043</v>
      </c>
      <c r="M135" s="270">
        <v>1</v>
      </c>
      <c r="N135" s="268">
        <v>1</v>
      </c>
      <c r="O135" s="271"/>
      <c r="P135" s="271">
        <v>83067</v>
      </c>
      <c r="Q135" s="271"/>
      <c r="R135" s="271"/>
      <c r="S135" s="271">
        <v>-84043</v>
      </c>
      <c r="T135" s="271"/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153</v>
      </c>
      <c r="B136" s="267" t="s">
        <v>837</v>
      </c>
      <c r="C136" s="267" t="s">
        <v>94</v>
      </c>
      <c r="D136" s="267" t="s">
        <v>92</v>
      </c>
      <c r="E136" s="267" t="s">
        <v>0</v>
      </c>
      <c r="F136" s="268"/>
      <c r="G136" s="269"/>
      <c r="H136" s="269"/>
      <c r="I136" s="270"/>
      <c r="J136" s="268">
        <v>1</v>
      </c>
      <c r="K136" s="269">
        <v>82410</v>
      </c>
      <c r="L136" s="269">
        <v>84690</v>
      </c>
      <c r="M136" s="270">
        <v>1</v>
      </c>
      <c r="N136" s="268">
        <v>1</v>
      </c>
      <c r="O136" s="271"/>
      <c r="P136" s="271">
        <v>82410</v>
      </c>
      <c r="Q136" s="271"/>
      <c r="R136" s="271"/>
      <c r="S136" s="271">
        <v>-84690</v>
      </c>
      <c r="T136" s="271"/>
      <c r="U136" s="272">
        <v>1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153</v>
      </c>
      <c r="B137" s="267" t="s">
        <v>190</v>
      </c>
      <c r="C137" s="267" t="s">
        <v>94</v>
      </c>
      <c r="D137" s="267" t="s">
        <v>92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83153</v>
      </c>
      <c r="L137" s="269">
        <v>83939</v>
      </c>
      <c r="M137" s="270">
        <v>1</v>
      </c>
      <c r="N137" s="268">
        <v>1</v>
      </c>
      <c r="O137" s="271"/>
      <c r="P137" s="271">
        <v>83153</v>
      </c>
      <c r="Q137" s="271"/>
      <c r="R137" s="271"/>
      <c r="S137" s="271">
        <v>-83939</v>
      </c>
      <c r="T137" s="271"/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153</v>
      </c>
      <c r="B138" s="267" t="s">
        <v>191</v>
      </c>
      <c r="C138" s="267" t="s">
        <v>94</v>
      </c>
      <c r="D138" s="267" t="s">
        <v>92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83088</v>
      </c>
      <c r="L138" s="269">
        <v>84038</v>
      </c>
      <c r="M138" s="270">
        <v>1</v>
      </c>
      <c r="N138" s="268">
        <v>1</v>
      </c>
      <c r="O138" s="271"/>
      <c r="P138" s="271">
        <v>83088</v>
      </c>
      <c r="Q138" s="271"/>
      <c r="R138" s="271"/>
      <c r="S138" s="271">
        <v>-84038</v>
      </c>
      <c r="T138" s="271"/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153</v>
      </c>
      <c r="B139" s="267" t="s">
        <v>838</v>
      </c>
      <c r="C139" s="267" t="s">
        <v>94</v>
      </c>
      <c r="D139" s="267" t="s">
        <v>92</v>
      </c>
      <c r="E139" s="267" t="s">
        <v>0</v>
      </c>
      <c r="F139" s="268"/>
      <c r="G139" s="269"/>
      <c r="H139" s="269"/>
      <c r="I139" s="270"/>
      <c r="J139" s="268">
        <v>1</v>
      </c>
      <c r="K139" s="269">
        <v>82575</v>
      </c>
      <c r="L139" s="269">
        <v>84705</v>
      </c>
      <c r="M139" s="270">
        <v>1</v>
      </c>
      <c r="N139" s="268">
        <v>1</v>
      </c>
      <c r="O139" s="271"/>
      <c r="P139" s="271">
        <v>82575</v>
      </c>
      <c r="Q139" s="271"/>
      <c r="R139" s="271"/>
      <c r="S139" s="271">
        <v>-84705</v>
      </c>
      <c r="T139" s="271"/>
      <c r="U139" s="272">
        <v>1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153</v>
      </c>
      <c r="B140" s="267" t="s">
        <v>192</v>
      </c>
      <c r="C140" s="267" t="s">
        <v>94</v>
      </c>
      <c r="D140" s="267" t="s">
        <v>92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83270</v>
      </c>
      <c r="L140" s="269">
        <v>83873</v>
      </c>
      <c r="M140" s="270">
        <v>1</v>
      </c>
      <c r="N140" s="268">
        <v>1</v>
      </c>
      <c r="O140" s="271"/>
      <c r="P140" s="271">
        <v>83270</v>
      </c>
      <c r="Q140" s="271"/>
      <c r="R140" s="271"/>
      <c r="S140" s="271">
        <v>-83873</v>
      </c>
      <c r="T140" s="271"/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153</v>
      </c>
      <c r="B141" s="267" t="s">
        <v>193</v>
      </c>
      <c r="C141" s="267" t="s">
        <v>94</v>
      </c>
      <c r="D141" s="267" t="s">
        <v>92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83274</v>
      </c>
      <c r="L141" s="269">
        <v>83838</v>
      </c>
      <c r="M141" s="270">
        <v>1</v>
      </c>
      <c r="N141" s="268">
        <v>1</v>
      </c>
      <c r="O141" s="271"/>
      <c r="P141" s="271">
        <v>83274</v>
      </c>
      <c r="Q141" s="271"/>
      <c r="R141" s="271"/>
      <c r="S141" s="271">
        <v>-83838</v>
      </c>
      <c r="T141" s="271"/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153</v>
      </c>
      <c r="B142" s="267" t="s">
        <v>839</v>
      </c>
      <c r="C142" s="267" t="s">
        <v>94</v>
      </c>
      <c r="D142" s="267" t="s">
        <v>92</v>
      </c>
      <c r="E142" s="267" t="s">
        <v>0</v>
      </c>
      <c r="F142" s="268"/>
      <c r="G142" s="269"/>
      <c r="H142" s="269"/>
      <c r="I142" s="270"/>
      <c r="J142" s="268">
        <v>1</v>
      </c>
      <c r="K142" s="269">
        <v>82465</v>
      </c>
      <c r="L142" s="269">
        <v>84651</v>
      </c>
      <c r="M142" s="270">
        <v>1</v>
      </c>
      <c r="N142" s="268">
        <v>1</v>
      </c>
      <c r="O142" s="271"/>
      <c r="P142" s="271">
        <v>82465</v>
      </c>
      <c r="Q142" s="271"/>
      <c r="R142" s="271"/>
      <c r="S142" s="271">
        <v>-84651</v>
      </c>
      <c r="T142" s="271"/>
      <c r="U142" s="272">
        <v>1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153</v>
      </c>
      <c r="B143" s="267" t="s">
        <v>840</v>
      </c>
      <c r="C143" s="267" t="s">
        <v>94</v>
      </c>
      <c r="D143" s="267" t="s">
        <v>92</v>
      </c>
      <c r="E143" s="267" t="s">
        <v>0</v>
      </c>
      <c r="F143" s="268"/>
      <c r="G143" s="269"/>
      <c r="H143" s="269"/>
      <c r="I143" s="270"/>
      <c r="J143" s="268">
        <v>1</v>
      </c>
      <c r="K143" s="269">
        <v>82844</v>
      </c>
      <c r="L143" s="269">
        <v>84318</v>
      </c>
      <c r="M143" s="270">
        <v>1</v>
      </c>
      <c r="N143" s="268">
        <v>1</v>
      </c>
      <c r="O143" s="271"/>
      <c r="P143" s="271">
        <v>82844</v>
      </c>
      <c r="Q143" s="271"/>
      <c r="R143" s="271"/>
      <c r="S143" s="271">
        <v>-84318</v>
      </c>
      <c r="T143" s="271"/>
      <c r="U143" s="272">
        <v>1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153</v>
      </c>
      <c r="B144" s="267" t="s">
        <v>841</v>
      </c>
      <c r="C144" s="267" t="s">
        <v>94</v>
      </c>
      <c r="D144" s="267" t="s">
        <v>92</v>
      </c>
      <c r="E144" s="267" t="s">
        <v>0</v>
      </c>
      <c r="F144" s="268"/>
      <c r="G144" s="269"/>
      <c r="H144" s="269"/>
      <c r="I144" s="270"/>
      <c r="J144" s="268">
        <v>1</v>
      </c>
      <c r="K144" s="269">
        <v>82828</v>
      </c>
      <c r="L144" s="269">
        <v>84139</v>
      </c>
      <c r="M144" s="270">
        <v>1</v>
      </c>
      <c r="N144" s="268">
        <v>1</v>
      </c>
      <c r="O144" s="271"/>
      <c r="P144" s="271">
        <v>82828</v>
      </c>
      <c r="Q144" s="271"/>
      <c r="R144" s="271"/>
      <c r="S144" s="271">
        <v>-84139</v>
      </c>
      <c r="T144" s="271"/>
      <c r="U144" s="272">
        <v>1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153</v>
      </c>
      <c r="B145" s="267" t="s">
        <v>842</v>
      </c>
      <c r="C145" s="267" t="s">
        <v>94</v>
      </c>
      <c r="D145" s="267" t="s">
        <v>92</v>
      </c>
      <c r="E145" s="267" t="s">
        <v>0</v>
      </c>
      <c r="F145" s="268"/>
      <c r="G145" s="269"/>
      <c r="H145" s="269"/>
      <c r="I145" s="270"/>
      <c r="J145" s="268">
        <v>1</v>
      </c>
      <c r="K145" s="269">
        <v>82716</v>
      </c>
      <c r="L145" s="269">
        <v>84469</v>
      </c>
      <c r="M145" s="270">
        <v>1</v>
      </c>
      <c r="N145" s="268">
        <v>1</v>
      </c>
      <c r="O145" s="271"/>
      <c r="P145" s="271">
        <v>82716</v>
      </c>
      <c r="Q145" s="271"/>
      <c r="R145" s="271"/>
      <c r="S145" s="271">
        <v>-84469</v>
      </c>
      <c r="T145" s="271"/>
      <c r="U145" s="272">
        <v>1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153</v>
      </c>
      <c r="B146" s="267" t="s">
        <v>843</v>
      </c>
      <c r="C146" s="267" t="s">
        <v>94</v>
      </c>
      <c r="D146" s="267" t="s">
        <v>92</v>
      </c>
      <c r="E146" s="267" t="s">
        <v>0</v>
      </c>
      <c r="F146" s="268"/>
      <c r="G146" s="269"/>
      <c r="H146" s="269"/>
      <c r="I146" s="270"/>
      <c r="J146" s="268">
        <v>1</v>
      </c>
      <c r="K146" s="269">
        <v>82757</v>
      </c>
      <c r="L146" s="269">
        <v>84350</v>
      </c>
      <c r="M146" s="270">
        <v>1</v>
      </c>
      <c r="N146" s="268">
        <v>1</v>
      </c>
      <c r="O146" s="271"/>
      <c r="P146" s="271">
        <v>82757</v>
      </c>
      <c r="Q146" s="271"/>
      <c r="R146" s="271"/>
      <c r="S146" s="271">
        <v>-84350</v>
      </c>
      <c r="T146" s="271"/>
      <c r="U146" s="272">
        <v>1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153</v>
      </c>
      <c r="B147" s="267" t="s">
        <v>844</v>
      </c>
      <c r="C147" s="267" t="s">
        <v>94</v>
      </c>
      <c r="D147" s="267" t="s">
        <v>92</v>
      </c>
      <c r="E147" s="267" t="s">
        <v>0</v>
      </c>
      <c r="F147" s="268"/>
      <c r="G147" s="269"/>
      <c r="H147" s="269"/>
      <c r="I147" s="270"/>
      <c r="J147" s="268">
        <v>1</v>
      </c>
      <c r="K147" s="269">
        <v>82657</v>
      </c>
      <c r="L147" s="269">
        <v>84453</v>
      </c>
      <c r="M147" s="270">
        <v>1</v>
      </c>
      <c r="N147" s="268">
        <v>1</v>
      </c>
      <c r="O147" s="271"/>
      <c r="P147" s="271">
        <v>82657</v>
      </c>
      <c r="Q147" s="271"/>
      <c r="R147" s="271"/>
      <c r="S147" s="271">
        <v>-84453</v>
      </c>
      <c r="T147" s="271"/>
      <c r="U147" s="272">
        <v>1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153</v>
      </c>
      <c r="B148" s="267" t="s">
        <v>845</v>
      </c>
      <c r="C148" s="267" t="s">
        <v>94</v>
      </c>
      <c r="D148" s="267" t="s">
        <v>92</v>
      </c>
      <c r="E148" s="267" t="s">
        <v>0</v>
      </c>
      <c r="F148" s="268"/>
      <c r="G148" s="269"/>
      <c r="H148" s="269"/>
      <c r="I148" s="270"/>
      <c r="J148" s="268">
        <v>1</v>
      </c>
      <c r="K148" s="269">
        <v>82410</v>
      </c>
      <c r="L148" s="269">
        <v>84690</v>
      </c>
      <c r="M148" s="270">
        <v>1</v>
      </c>
      <c r="N148" s="268">
        <v>1</v>
      </c>
      <c r="O148" s="271"/>
      <c r="P148" s="271">
        <v>82410</v>
      </c>
      <c r="Q148" s="271"/>
      <c r="R148" s="271"/>
      <c r="S148" s="271">
        <v>-84690</v>
      </c>
      <c r="T148" s="271"/>
      <c r="U148" s="272">
        <v>1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153</v>
      </c>
      <c r="B149" s="267" t="s">
        <v>846</v>
      </c>
      <c r="C149" s="267" t="s">
        <v>94</v>
      </c>
      <c r="D149" s="267" t="s">
        <v>92</v>
      </c>
      <c r="E149" s="267" t="s">
        <v>0</v>
      </c>
      <c r="F149" s="268"/>
      <c r="G149" s="269"/>
      <c r="H149" s="269"/>
      <c r="I149" s="270"/>
      <c r="J149" s="268">
        <v>1</v>
      </c>
      <c r="K149" s="269">
        <v>82773</v>
      </c>
      <c r="L149" s="269">
        <v>84139</v>
      </c>
      <c r="M149" s="270">
        <v>1</v>
      </c>
      <c r="N149" s="268">
        <v>1</v>
      </c>
      <c r="O149" s="271"/>
      <c r="P149" s="271">
        <v>82773</v>
      </c>
      <c r="Q149" s="271"/>
      <c r="R149" s="271"/>
      <c r="S149" s="271">
        <v>-84139</v>
      </c>
      <c r="T149" s="271"/>
      <c r="U149" s="272">
        <v>1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153</v>
      </c>
      <c r="B150" s="267" t="s">
        <v>847</v>
      </c>
      <c r="C150" s="267" t="s">
        <v>94</v>
      </c>
      <c r="D150" s="267" t="s">
        <v>92</v>
      </c>
      <c r="E150" s="267" t="s">
        <v>0</v>
      </c>
      <c r="F150" s="268"/>
      <c r="G150" s="269"/>
      <c r="H150" s="269"/>
      <c r="I150" s="270"/>
      <c r="J150" s="268">
        <v>1</v>
      </c>
      <c r="K150" s="269">
        <v>82708</v>
      </c>
      <c r="L150" s="269">
        <v>84238</v>
      </c>
      <c r="M150" s="270">
        <v>1</v>
      </c>
      <c r="N150" s="268">
        <v>1</v>
      </c>
      <c r="O150" s="271"/>
      <c r="P150" s="271">
        <v>82708</v>
      </c>
      <c r="Q150" s="271"/>
      <c r="R150" s="271"/>
      <c r="S150" s="271">
        <v>-84238</v>
      </c>
      <c r="T150" s="271"/>
      <c r="U150" s="272">
        <v>1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153</v>
      </c>
      <c r="B151" s="267" t="s">
        <v>848</v>
      </c>
      <c r="C151" s="267" t="s">
        <v>94</v>
      </c>
      <c r="D151" s="267" t="s">
        <v>92</v>
      </c>
      <c r="E151" s="267" t="s">
        <v>0</v>
      </c>
      <c r="F151" s="268"/>
      <c r="G151" s="269"/>
      <c r="H151" s="269"/>
      <c r="I151" s="270"/>
      <c r="J151" s="268">
        <v>1</v>
      </c>
      <c r="K151" s="269">
        <v>82395</v>
      </c>
      <c r="L151" s="269">
        <v>84525</v>
      </c>
      <c r="M151" s="270">
        <v>1</v>
      </c>
      <c r="N151" s="268">
        <v>1</v>
      </c>
      <c r="O151" s="271"/>
      <c r="P151" s="271">
        <v>82395</v>
      </c>
      <c r="Q151" s="271"/>
      <c r="R151" s="271"/>
      <c r="S151" s="271">
        <v>-84525</v>
      </c>
      <c r="T151" s="271"/>
      <c r="U151" s="272">
        <v>1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153</v>
      </c>
      <c r="B152" s="267" t="s">
        <v>849</v>
      </c>
      <c r="C152" s="267" t="s">
        <v>94</v>
      </c>
      <c r="D152" s="267" t="s">
        <v>92</v>
      </c>
      <c r="E152" s="267" t="s">
        <v>0</v>
      </c>
      <c r="F152" s="268"/>
      <c r="G152" s="269"/>
      <c r="H152" s="269"/>
      <c r="I152" s="270"/>
      <c r="J152" s="268">
        <v>1</v>
      </c>
      <c r="K152" s="269">
        <v>82675</v>
      </c>
      <c r="L152" s="269">
        <v>84452</v>
      </c>
      <c r="M152" s="270">
        <v>1</v>
      </c>
      <c r="N152" s="268">
        <v>1</v>
      </c>
      <c r="O152" s="271"/>
      <c r="P152" s="271">
        <v>82675</v>
      </c>
      <c r="Q152" s="271"/>
      <c r="R152" s="271"/>
      <c r="S152" s="271">
        <v>-84452</v>
      </c>
      <c r="T152" s="271"/>
      <c r="U152" s="272">
        <v>1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153</v>
      </c>
      <c r="B153" s="267" t="s">
        <v>850</v>
      </c>
      <c r="C153" s="267" t="s">
        <v>94</v>
      </c>
      <c r="D153" s="267" t="s">
        <v>92</v>
      </c>
      <c r="E153" s="267" t="s">
        <v>0</v>
      </c>
      <c r="F153" s="268"/>
      <c r="G153" s="269"/>
      <c r="H153" s="269"/>
      <c r="I153" s="270"/>
      <c r="J153" s="268">
        <v>1</v>
      </c>
      <c r="K153" s="269">
        <v>82679</v>
      </c>
      <c r="L153" s="269">
        <v>84417</v>
      </c>
      <c r="M153" s="270">
        <v>1</v>
      </c>
      <c r="N153" s="268">
        <v>1</v>
      </c>
      <c r="O153" s="271"/>
      <c r="P153" s="271">
        <v>82679</v>
      </c>
      <c r="Q153" s="271"/>
      <c r="R153" s="271"/>
      <c r="S153" s="271">
        <v>-84417</v>
      </c>
      <c r="T153" s="271"/>
      <c r="U153" s="272">
        <v>1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153</v>
      </c>
      <c r="B154" s="267" t="s">
        <v>851</v>
      </c>
      <c r="C154" s="267" t="s">
        <v>94</v>
      </c>
      <c r="D154" s="267" t="s">
        <v>92</v>
      </c>
      <c r="E154" s="267" t="s">
        <v>0</v>
      </c>
      <c r="F154" s="268"/>
      <c r="G154" s="269"/>
      <c r="H154" s="269"/>
      <c r="I154" s="270"/>
      <c r="J154" s="268">
        <v>1</v>
      </c>
      <c r="K154" s="269">
        <v>82449</v>
      </c>
      <c r="L154" s="269">
        <v>84635</v>
      </c>
      <c r="M154" s="270">
        <v>1</v>
      </c>
      <c r="N154" s="268">
        <v>1</v>
      </c>
      <c r="O154" s="271"/>
      <c r="P154" s="271">
        <v>82449</v>
      </c>
      <c r="Q154" s="271"/>
      <c r="R154" s="271"/>
      <c r="S154" s="271">
        <v>-84635</v>
      </c>
      <c r="T154" s="271"/>
      <c r="U154" s="272">
        <v>1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153</v>
      </c>
      <c r="B155" s="267" t="s">
        <v>852</v>
      </c>
      <c r="C155" s="267" t="s">
        <v>94</v>
      </c>
      <c r="D155" s="267" t="s">
        <v>92</v>
      </c>
      <c r="E155" s="267" t="s">
        <v>0</v>
      </c>
      <c r="F155" s="268"/>
      <c r="G155" s="269"/>
      <c r="H155" s="269"/>
      <c r="I155" s="270"/>
      <c r="J155" s="268">
        <v>1</v>
      </c>
      <c r="K155" s="269">
        <v>82789</v>
      </c>
      <c r="L155" s="269">
        <v>84263</v>
      </c>
      <c r="M155" s="270">
        <v>1</v>
      </c>
      <c r="N155" s="268">
        <v>1</v>
      </c>
      <c r="O155" s="271"/>
      <c r="P155" s="271">
        <v>82789</v>
      </c>
      <c r="Q155" s="271"/>
      <c r="R155" s="271"/>
      <c r="S155" s="271">
        <v>-84263</v>
      </c>
      <c r="T155" s="271"/>
      <c r="U155" s="272">
        <v>1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153</v>
      </c>
      <c r="B156" s="267" t="s">
        <v>853</v>
      </c>
      <c r="C156" s="267" t="s">
        <v>94</v>
      </c>
      <c r="D156" s="267" t="s">
        <v>92</v>
      </c>
      <c r="E156" s="267" t="s">
        <v>0</v>
      </c>
      <c r="F156" s="268"/>
      <c r="G156" s="269"/>
      <c r="H156" s="269"/>
      <c r="I156" s="270"/>
      <c r="J156" s="268">
        <v>1</v>
      </c>
      <c r="K156" s="269">
        <v>82743</v>
      </c>
      <c r="L156" s="269">
        <v>84294</v>
      </c>
      <c r="M156" s="270">
        <v>1</v>
      </c>
      <c r="N156" s="268">
        <v>1</v>
      </c>
      <c r="O156" s="271"/>
      <c r="P156" s="271">
        <v>82743</v>
      </c>
      <c r="Q156" s="271"/>
      <c r="R156" s="271"/>
      <c r="S156" s="271">
        <v>-84294</v>
      </c>
      <c r="T156" s="271"/>
      <c r="U156" s="272">
        <v>1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153</v>
      </c>
      <c r="B157" s="267" t="s">
        <v>854</v>
      </c>
      <c r="C157" s="267" t="s">
        <v>94</v>
      </c>
      <c r="D157" s="267" t="s">
        <v>92</v>
      </c>
      <c r="E157" s="267" t="s">
        <v>0</v>
      </c>
      <c r="F157" s="268"/>
      <c r="G157" s="269"/>
      <c r="H157" s="269"/>
      <c r="I157" s="270"/>
      <c r="J157" s="268">
        <v>1</v>
      </c>
      <c r="K157" s="269">
        <v>82846</v>
      </c>
      <c r="L157" s="269">
        <v>84245</v>
      </c>
      <c r="M157" s="270">
        <v>1</v>
      </c>
      <c r="N157" s="268">
        <v>1</v>
      </c>
      <c r="O157" s="271"/>
      <c r="P157" s="271">
        <v>82846</v>
      </c>
      <c r="Q157" s="271"/>
      <c r="R157" s="271"/>
      <c r="S157" s="271">
        <v>-84245</v>
      </c>
      <c r="T157" s="271"/>
      <c r="U157" s="272">
        <v>1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153</v>
      </c>
      <c r="B158" s="267" t="s">
        <v>194</v>
      </c>
      <c r="C158" s="267" t="s">
        <v>94</v>
      </c>
      <c r="D158" s="267" t="s">
        <v>92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83230</v>
      </c>
      <c r="L158" s="269">
        <v>83865</v>
      </c>
      <c r="M158" s="270">
        <v>1</v>
      </c>
      <c r="N158" s="268">
        <v>1</v>
      </c>
      <c r="O158" s="271"/>
      <c r="P158" s="271">
        <v>83230</v>
      </c>
      <c r="Q158" s="271"/>
      <c r="R158" s="271"/>
      <c r="S158" s="271">
        <v>-83865</v>
      </c>
      <c r="T158" s="271"/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153</v>
      </c>
      <c r="B159" s="267" t="s">
        <v>855</v>
      </c>
      <c r="C159" s="267" t="s">
        <v>94</v>
      </c>
      <c r="D159" s="267" t="s">
        <v>92</v>
      </c>
      <c r="E159" s="267" t="s">
        <v>0</v>
      </c>
      <c r="F159" s="268"/>
      <c r="G159" s="269"/>
      <c r="H159" s="269"/>
      <c r="I159" s="270"/>
      <c r="J159" s="268">
        <v>1</v>
      </c>
      <c r="K159" s="269">
        <v>82651</v>
      </c>
      <c r="L159" s="269">
        <v>84460</v>
      </c>
      <c r="M159" s="270">
        <v>1</v>
      </c>
      <c r="N159" s="268">
        <v>1</v>
      </c>
      <c r="O159" s="271"/>
      <c r="P159" s="271">
        <v>82651</v>
      </c>
      <c r="Q159" s="271"/>
      <c r="R159" s="271"/>
      <c r="S159" s="271">
        <v>-84460</v>
      </c>
      <c r="T159" s="271"/>
      <c r="U159" s="272">
        <v>1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153</v>
      </c>
      <c r="B160" s="267" t="s">
        <v>195</v>
      </c>
      <c r="C160" s="267" t="s">
        <v>94</v>
      </c>
      <c r="D160" s="267" t="s">
        <v>92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83170</v>
      </c>
      <c r="L160" s="269">
        <v>83991</v>
      </c>
      <c r="M160" s="270">
        <v>1</v>
      </c>
      <c r="N160" s="268">
        <v>1</v>
      </c>
      <c r="O160" s="271"/>
      <c r="P160" s="271">
        <v>83170</v>
      </c>
      <c r="Q160" s="271"/>
      <c r="R160" s="271"/>
      <c r="S160" s="271">
        <v>-83991</v>
      </c>
      <c r="T160" s="271"/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153</v>
      </c>
      <c r="B161" s="267" t="s">
        <v>856</v>
      </c>
      <c r="C161" s="267" t="s">
        <v>94</v>
      </c>
      <c r="D161" s="267" t="s">
        <v>92</v>
      </c>
      <c r="E161" s="267" t="s">
        <v>0</v>
      </c>
      <c r="F161" s="268"/>
      <c r="G161" s="269"/>
      <c r="H161" s="269"/>
      <c r="I161" s="270"/>
      <c r="J161" s="268">
        <v>1</v>
      </c>
      <c r="K161" s="269">
        <v>82774</v>
      </c>
      <c r="L161" s="269">
        <v>84396</v>
      </c>
      <c r="M161" s="270">
        <v>1</v>
      </c>
      <c r="N161" s="268">
        <v>1</v>
      </c>
      <c r="O161" s="271"/>
      <c r="P161" s="271">
        <v>82774</v>
      </c>
      <c r="Q161" s="271"/>
      <c r="R161" s="271"/>
      <c r="S161" s="271">
        <v>-84396</v>
      </c>
      <c r="T161" s="271"/>
      <c r="U161" s="272">
        <v>1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153</v>
      </c>
      <c r="B162" s="267" t="s">
        <v>857</v>
      </c>
      <c r="C162" s="267" t="s">
        <v>94</v>
      </c>
      <c r="D162" s="267" t="s">
        <v>92</v>
      </c>
      <c r="E162" s="267" t="s">
        <v>0</v>
      </c>
      <c r="F162" s="268"/>
      <c r="G162" s="269"/>
      <c r="H162" s="269"/>
      <c r="I162" s="270"/>
      <c r="J162" s="268">
        <v>1</v>
      </c>
      <c r="K162" s="269">
        <v>82785</v>
      </c>
      <c r="L162" s="269">
        <v>84540</v>
      </c>
      <c r="M162" s="270">
        <v>1</v>
      </c>
      <c r="N162" s="268">
        <v>1</v>
      </c>
      <c r="O162" s="271"/>
      <c r="P162" s="271">
        <v>82785</v>
      </c>
      <c r="Q162" s="271"/>
      <c r="R162" s="271"/>
      <c r="S162" s="271">
        <v>-84540</v>
      </c>
      <c r="T162" s="271"/>
      <c r="U162" s="272">
        <v>1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153</v>
      </c>
      <c r="B163" s="267" t="s">
        <v>858</v>
      </c>
      <c r="C163" s="267" t="s">
        <v>94</v>
      </c>
      <c r="D163" s="267" t="s">
        <v>92</v>
      </c>
      <c r="E163" s="267" t="s">
        <v>0</v>
      </c>
      <c r="F163" s="268"/>
      <c r="G163" s="269"/>
      <c r="H163" s="269"/>
      <c r="I163" s="270"/>
      <c r="J163" s="268">
        <v>1</v>
      </c>
      <c r="K163" s="269">
        <v>82929</v>
      </c>
      <c r="L163" s="269">
        <v>84311</v>
      </c>
      <c r="M163" s="270">
        <v>1</v>
      </c>
      <c r="N163" s="268">
        <v>1</v>
      </c>
      <c r="O163" s="271"/>
      <c r="P163" s="271">
        <v>82929</v>
      </c>
      <c r="Q163" s="271"/>
      <c r="R163" s="271"/>
      <c r="S163" s="271">
        <v>-84311</v>
      </c>
      <c r="T163" s="271"/>
      <c r="U163" s="272">
        <v>1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153</v>
      </c>
      <c r="B164" s="267" t="s">
        <v>196</v>
      </c>
      <c r="C164" s="267" t="s">
        <v>94</v>
      </c>
      <c r="D164" s="267" t="s">
        <v>92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83047</v>
      </c>
      <c r="L164" s="269">
        <v>84037</v>
      </c>
      <c r="M164" s="270">
        <v>1</v>
      </c>
      <c r="N164" s="268">
        <v>1</v>
      </c>
      <c r="O164" s="271"/>
      <c r="P164" s="271">
        <v>83047</v>
      </c>
      <c r="Q164" s="271"/>
      <c r="R164" s="271"/>
      <c r="S164" s="271">
        <v>-84037</v>
      </c>
      <c r="T164" s="271"/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153</v>
      </c>
      <c r="B165" s="267" t="s">
        <v>859</v>
      </c>
      <c r="C165" s="267" t="s">
        <v>94</v>
      </c>
      <c r="D165" s="267" t="s">
        <v>92</v>
      </c>
      <c r="E165" s="267" t="s">
        <v>0</v>
      </c>
      <c r="F165" s="268"/>
      <c r="G165" s="269"/>
      <c r="H165" s="269"/>
      <c r="I165" s="270"/>
      <c r="J165" s="268">
        <v>1</v>
      </c>
      <c r="K165" s="269">
        <v>82847</v>
      </c>
      <c r="L165" s="269">
        <v>84417</v>
      </c>
      <c r="M165" s="270">
        <v>1</v>
      </c>
      <c r="N165" s="268">
        <v>1</v>
      </c>
      <c r="O165" s="271"/>
      <c r="P165" s="271">
        <v>82847</v>
      </c>
      <c r="Q165" s="271"/>
      <c r="R165" s="271"/>
      <c r="S165" s="271">
        <v>-84417</v>
      </c>
      <c r="T165" s="271"/>
      <c r="U165" s="272">
        <v>1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153</v>
      </c>
      <c r="B166" s="267" t="s">
        <v>197</v>
      </c>
      <c r="C166" s="267" t="s">
        <v>94</v>
      </c>
      <c r="D166" s="267" t="s">
        <v>92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83133</v>
      </c>
      <c r="L166" s="269">
        <v>83923</v>
      </c>
      <c r="M166" s="270">
        <v>1</v>
      </c>
      <c r="N166" s="268">
        <v>1</v>
      </c>
      <c r="O166" s="271"/>
      <c r="P166" s="271">
        <v>83133</v>
      </c>
      <c r="Q166" s="271"/>
      <c r="R166" s="271"/>
      <c r="S166" s="271">
        <v>-83923</v>
      </c>
      <c r="T166" s="271"/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153</v>
      </c>
      <c r="B167" s="267" t="s">
        <v>860</v>
      </c>
      <c r="C167" s="267" t="s">
        <v>94</v>
      </c>
      <c r="D167" s="267" t="s">
        <v>92</v>
      </c>
      <c r="E167" s="267" t="s">
        <v>0</v>
      </c>
      <c r="F167" s="268"/>
      <c r="G167" s="269"/>
      <c r="H167" s="269"/>
      <c r="I167" s="270"/>
      <c r="J167" s="268">
        <v>1</v>
      </c>
      <c r="K167" s="269">
        <v>82840</v>
      </c>
      <c r="L167" s="269">
        <v>84279</v>
      </c>
      <c r="M167" s="270">
        <v>1</v>
      </c>
      <c r="N167" s="268">
        <v>1</v>
      </c>
      <c r="O167" s="271"/>
      <c r="P167" s="271">
        <v>82840</v>
      </c>
      <c r="Q167" s="271"/>
      <c r="R167" s="271"/>
      <c r="S167" s="271">
        <v>-84279</v>
      </c>
      <c r="T167" s="271"/>
      <c r="U167" s="272">
        <v>1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153</v>
      </c>
      <c r="B168" s="267" t="s">
        <v>861</v>
      </c>
      <c r="C168" s="267" t="s">
        <v>94</v>
      </c>
      <c r="D168" s="267" t="s">
        <v>92</v>
      </c>
      <c r="E168" s="267" t="s">
        <v>0</v>
      </c>
      <c r="F168" s="268"/>
      <c r="G168" s="269"/>
      <c r="H168" s="269"/>
      <c r="I168" s="270"/>
      <c r="J168" s="268">
        <v>1</v>
      </c>
      <c r="K168" s="269">
        <v>82584</v>
      </c>
      <c r="L168" s="269">
        <v>84308</v>
      </c>
      <c r="M168" s="270">
        <v>1</v>
      </c>
      <c r="N168" s="268">
        <v>1</v>
      </c>
      <c r="O168" s="271"/>
      <c r="P168" s="271">
        <v>82584</v>
      </c>
      <c r="Q168" s="271"/>
      <c r="R168" s="271"/>
      <c r="S168" s="271">
        <v>-84308</v>
      </c>
      <c r="T168" s="271"/>
      <c r="U168" s="272">
        <v>1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153</v>
      </c>
      <c r="B169" s="267" t="s">
        <v>862</v>
      </c>
      <c r="C169" s="267" t="s">
        <v>94</v>
      </c>
      <c r="D169" s="267" t="s">
        <v>92</v>
      </c>
      <c r="E169" s="267" t="s">
        <v>0</v>
      </c>
      <c r="F169" s="268"/>
      <c r="G169" s="269"/>
      <c r="H169" s="269"/>
      <c r="I169" s="270"/>
      <c r="J169" s="268">
        <v>1</v>
      </c>
      <c r="K169" s="269">
        <v>82616</v>
      </c>
      <c r="L169" s="269">
        <v>84409</v>
      </c>
      <c r="M169" s="270">
        <v>1</v>
      </c>
      <c r="N169" s="268">
        <v>1</v>
      </c>
      <c r="O169" s="271"/>
      <c r="P169" s="271">
        <v>82616</v>
      </c>
      <c r="Q169" s="271"/>
      <c r="R169" s="271"/>
      <c r="S169" s="271">
        <v>-84409</v>
      </c>
      <c r="T169" s="271"/>
      <c r="U169" s="272">
        <v>1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153</v>
      </c>
      <c r="B170" s="267" t="s">
        <v>198</v>
      </c>
      <c r="C170" s="267" t="s">
        <v>94</v>
      </c>
      <c r="D170" s="267" t="s">
        <v>92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83033</v>
      </c>
      <c r="L170" s="269">
        <v>84093</v>
      </c>
      <c r="M170" s="270">
        <v>1</v>
      </c>
      <c r="N170" s="268">
        <v>1</v>
      </c>
      <c r="O170" s="271"/>
      <c r="P170" s="271">
        <v>83033</v>
      </c>
      <c r="Q170" s="271"/>
      <c r="R170" s="271"/>
      <c r="S170" s="271">
        <v>-84093</v>
      </c>
      <c r="T170" s="271"/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153</v>
      </c>
      <c r="B171" s="267" t="s">
        <v>863</v>
      </c>
      <c r="C171" s="267" t="s">
        <v>94</v>
      </c>
      <c r="D171" s="267" t="s">
        <v>92</v>
      </c>
      <c r="E171" s="267" t="s">
        <v>0</v>
      </c>
      <c r="F171" s="268"/>
      <c r="G171" s="269"/>
      <c r="H171" s="269"/>
      <c r="I171" s="270"/>
      <c r="J171" s="268">
        <v>1</v>
      </c>
      <c r="K171" s="269">
        <v>82520</v>
      </c>
      <c r="L171" s="269">
        <v>84760</v>
      </c>
      <c r="M171" s="270">
        <v>1</v>
      </c>
      <c r="N171" s="268">
        <v>1</v>
      </c>
      <c r="O171" s="271"/>
      <c r="P171" s="271">
        <v>82520</v>
      </c>
      <c r="Q171" s="271"/>
      <c r="R171" s="271"/>
      <c r="S171" s="271">
        <v>-84760</v>
      </c>
      <c r="T171" s="271"/>
      <c r="U171" s="272">
        <v>1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153</v>
      </c>
      <c r="B172" s="267" t="s">
        <v>199</v>
      </c>
      <c r="C172" s="267" t="s">
        <v>94</v>
      </c>
      <c r="D172" s="267" t="s">
        <v>92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83219</v>
      </c>
      <c r="L172" s="269">
        <v>83893</v>
      </c>
      <c r="M172" s="270">
        <v>1</v>
      </c>
      <c r="N172" s="268">
        <v>1</v>
      </c>
      <c r="O172" s="271"/>
      <c r="P172" s="271">
        <v>83219</v>
      </c>
      <c r="Q172" s="271"/>
      <c r="R172" s="271"/>
      <c r="S172" s="271">
        <v>-83893</v>
      </c>
      <c r="T172" s="271"/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153</v>
      </c>
      <c r="B173" s="267" t="s">
        <v>864</v>
      </c>
      <c r="C173" s="267" t="s">
        <v>94</v>
      </c>
      <c r="D173" s="267" t="s">
        <v>92</v>
      </c>
      <c r="E173" s="267" t="s">
        <v>0</v>
      </c>
      <c r="F173" s="268"/>
      <c r="G173" s="269"/>
      <c r="H173" s="269"/>
      <c r="I173" s="270"/>
      <c r="J173" s="268">
        <v>1</v>
      </c>
      <c r="K173" s="269">
        <v>82410</v>
      </c>
      <c r="L173" s="269">
        <v>84706</v>
      </c>
      <c r="M173" s="270">
        <v>1</v>
      </c>
      <c r="N173" s="268">
        <v>1</v>
      </c>
      <c r="O173" s="271"/>
      <c r="P173" s="271">
        <v>82410</v>
      </c>
      <c r="Q173" s="271"/>
      <c r="R173" s="271"/>
      <c r="S173" s="271">
        <v>-84706</v>
      </c>
      <c r="T173" s="271"/>
      <c r="U173" s="272">
        <v>1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153</v>
      </c>
      <c r="B174" s="267" t="s">
        <v>865</v>
      </c>
      <c r="C174" s="267" t="s">
        <v>94</v>
      </c>
      <c r="D174" s="267" t="s">
        <v>92</v>
      </c>
      <c r="E174" s="267" t="s">
        <v>0</v>
      </c>
      <c r="F174" s="268"/>
      <c r="G174" s="269"/>
      <c r="H174" s="269"/>
      <c r="I174" s="270"/>
      <c r="J174" s="268">
        <v>1</v>
      </c>
      <c r="K174" s="269">
        <v>82773</v>
      </c>
      <c r="L174" s="269">
        <v>84194</v>
      </c>
      <c r="M174" s="270">
        <v>1</v>
      </c>
      <c r="N174" s="268">
        <v>1</v>
      </c>
      <c r="O174" s="271"/>
      <c r="P174" s="271">
        <v>82773</v>
      </c>
      <c r="Q174" s="271"/>
      <c r="R174" s="271"/>
      <c r="S174" s="271">
        <v>-84194</v>
      </c>
      <c r="T174" s="271"/>
      <c r="U174" s="272">
        <v>1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153</v>
      </c>
      <c r="B175" s="267" t="s">
        <v>866</v>
      </c>
      <c r="C175" s="267" t="s">
        <v>94</v>
      </c>
      <c r="D175" s="267" t="s">
        <v>92</v>
      </c>
      <c r="E175" s="267" t="s">
        <v>0</v>
      </c>
      <c r="F175" s="268"/>
      <c r="G175" s="269"/>
      <c r="H175" s="269"/>
      <c r="I175" s="270"/>
      <c r="J175" s="268">
        <v>1</v>
      </c>
      <c r="K175" s="269">
        <v>82661</v>
      </c>
      <c r="L175" s="269">
        <v>84524</v>
      </c>
      <c r="M175" s="270">
        <v>1</v>
      </c>
      <c r="N175" s="268">
        <v>1</v>
      </c>
      <c r="O175" s="271"/>
      <c r="P175" s="271">
        <v>82661</v>
      </c>
      <c r="Q175" s="271"/>
      <c r="R175" s="271"/>
      <c r="S175" s="271">
        <v>-84524</v>
      </c>
      <c r="T175" s="271"/>
      <c r="U175" s="272">
        <v>1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153</v>
      </c>
      <c r="B176" s="267" t="s">
        <v>867</v>
      </c>
      <c r="C176" s="267" t="s">
        <v>94</v>
      </c>
      <c r="D176" s="267" t="s">
        <v>92</v>
      </c>
      <c r="E176" s="267" t="s">
        <v>0</v>
      </c>
      <c r="F176" s="268"/>
      <c r="G176" s="269"/>
      <c r="H176" s="269"/>
      <c r="I176" s="270"/>
      <c r="J176" s="268">
        <v>1</v>
      </c>
      <c r="K176" s="269">
        <v>82653</v>
      </c>
      <c r="L176" s="269">
        <v>84293</v>
      </c>
      <c r="M176" s="270">
        <v>1</v>
      </c>
      <c r="N176" s="268">
        <v>1</v>
      </c>
      <c r="O176" s="271"/>
      <c r="P176" s="271">
        <v>82653</v>
      </c>
      <c r="Q176" s="271"/>
      <c r="R176" s="271"/>
      <c r="S176" s="271">
        <v>-84293</v>
      </c>
      <c r="T176" s="271"/>
      <c r="U176" s="272">
        <v>1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153</v>
      </c>
      <c r="B177" s="267" t="s">
        <v>868</v>
      </c>
      <c r="C177" s="267" t="s">
        <v>94</v>
      </c>
      <c r="D177" s="267" t="s">
        <v>92</v>
      </c>
      <c r="E177" s="267" t="s">
        <v>0</v>
      </c>
      <c r="F177" s="268"/>
      <c r="G177" s="269"/>
      <c r="H177" s="269"/>
      <c r="I177" s="270"/>
      <c r="J177" s="268">
        <v>1</v>
      </c>
      <c r="K177" s="269">
        <v>82340</v>
      </c>
      <c r="L177" s="269">
        <v>84580</v>
      </c>
      <c r="M177" s="270">
        <v>1</v>
      </c>
      <c r="N177" s="268">
        <v>1</v>
      </c>
      <c r="O177" s="271"/>
      <c r="P177" s="271">
        <v>82340</v>
      </c>
      <c r="Q177" s="271"/>
      <c r="R177" s="271"/>
      <c r="S177" s="271">
        <v>-84580</v>
      </c>
      <c r="T177" s="271"/>
      <c r="U177" s="272">
        <v>1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153</v>
      </c>
      <c r="B178" s="267" t="s">
        <v>869</v>
      </c>
      <c r="C178" s="267" t="s">
        <v>94</v>
      </c>
      <c r="D178" s="267" t="s">
        <v>92</v>
      </c>
      <c r="E178" s="267" t="s">
        <v>0</v>
      </c>
      <c r="F178" s="268"/>
      <c r="G178" s="269"/>
      <c r="H178" s="269"/>
      <c r="I178" s="270"/>
      <c r="J178" s="268">
        <v>1</v>
      </c>
      <c r="K178" s="269">
        <v>82624</v>
      </c>
      <c r="L178" s="269">
        <v>84472</v>
      </c>
      <c r="M178" s="270">
        <v>1</v>
      </c>
      <c r="N178" s="268">
        <v>1</v>
      </c>
      <c r="O178" s="271"/>
      <c r="P178" s="271">
        <v>82624</v>
      </c>
      <c r="Q178" s="271"/>
      <c r="R178" s="271"/>
      <c r="S178" s="271">
        <v>-84472</v>
      </c>
      <c r="T178" s="271"/>
      <c r="U178" s="272">
        <v>1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153</v>
      </c>
      <c r="B179" s="267" t="s">
        <v>870</v>
      </c>
      <c r="C179" s="267" t="s">
        <v>94</v>
      </c>
      <c r="D179" s="267" t="s">
        <v>92</v>
      </c>
      <c r="E179" s="267" t="s">
        <v>0</v>
      </c>
      <c r="F179" s="268"/>
      <c r="G179" s="269"/>
      <c r="H179" s="269"/>
      <c r="I179" s="270"/>
      <c r="J179" s="268">
        <v>1</v>
      </c>
      <c r="K179" s="269">
        <v>82394</v>
      </c>
      <c r="L179" s="269">
        <v>84690</v>
      </c>
      <c r="M179" s="270">
        <v>1</v>
      </c>
      <c r="N179" s="268">
        <v>1</v>
      </c>
      <c r="O179" s="271"/>
      <c r="P179" s="271">
        <v>82394</v>
      </c>
      <c r="Q179" s="271"/>
      <c r="R179" s="271"/>
      <c r="S179" s="271">
        <v>-84690</v>
      </c>
      <c r="T179" s="271"/>
      <c r="U179" s="272">
        <v>1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153</v>
      </c>
      <c r="B180" s="267" t="s">
        <v>871</v>
      </c>
      <c r="C180" s="267" t="s">
        <v>94</v>
      </c>
      <c r="D180" s="267" t="s">
        <v>92</v>
      </c>
      <c r="E180" s="267" t="s">
        <v>0</v>
      </c>
      <c r="F180" s="268"/>
      <c r="G180" s="269"/>
      <c r="H180" s="269"/>
      <c r="I180" s="270"/>
      <c r="J180" s="268">
        <v>1</v>
      </c>
      <c r="K180" s="269">
        <v>82688</v>
      </c>
      <c r="L180" s="269">
        <v>84349</v>
      </c>
      <c r="M180" s="270">
        <v>1</v>
      </c>
      <c r="N180" s="268">
        <v>1</v>
      </c>
      <c r="O180" s="271"/>
      <c r="P180" s="271">
        <v>82688</v>
      </c>
      <c r="Q180" s="271"/>
      <c r="R180" s="271"/>
      <c r="S180" s="271">
        <v>-84349</v>
      </c>
      <c r="T180" s="271"/>
      <c r="U180" s="272">
        <v>1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153</v>
      </c>
      <c r="B181" s="267" t="s">
        <v>872</v>
      </c>
      <c r="C181" s="267" t="s">
        <v>94</v>
      </c>
      <c r="D181" s="267" t="s">
        <v>92</v>
      </c>
      <c r="E181" s="267" t="s">
        <v>0</v>
      </c>
      <c r="F181" s="268"/>
      <c r="G181" s="269"/>
      <c r="H181" s="269"/>
      <c r="I181" s="270"/>
      <c r="J181" s="268">
        <v>1</v>
      </c>
      <c r="K181" s="269">
        <v>82791</v>
      </c>
      <c r="L181" s="269">
        <v>84300</v>
      </c>
      <c r="M181" s="270">
        <v>1</v>
      </c>
      <c r="N181" s="268">
        <v>1</v>
      </c>
      <c r="O181" s="271"/>
      <c r="P181" s="271">
        <v>82791</v>
      </c>
      <c r="Q181" s="271"/>
      <c r="R181" s="271"/>
      <c r="S181" s="271">
        <v>-84300</v>
      </c>
      <c r="T181" s="271"/>
      <c r="U181" s="272">
        <v>1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153</v>
      </c>
      <c r="B182" s="267" t="s">
        <v>200</v>
      </c>
      <c r="C182" s="267" t="s">
        <v>94</v>
      </c>
      <c r="D182" s="267" t="s">
        <v>92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83149</v>
      </c>
      <c r="L182" s="269">
        <v>83900</v>
      </c>
      <c r="M182" s="270">
        <v>1</v>
      </c>
      <c r="N182" s="268">
        <v>1</v>
      </c>
      <c r="O182" s="271"/>
      <c r="P182" s="271">
        <v>83149</v>
      </c>
      <c r="Q182" s="271"/>
      <c r="R182" s="271"/>
      <c r="S182" s="271">
        <v>-83900</v>
      </c>
      <c r="T182" s="271"/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153</v>
      </c>
      <c r="B183" s="267" t="s">
        <v>873</v>
      </c>
      <c r="C183" s="267" t="s">
        <v>94</v>
      </c>
      <c r="D183" s="267" t="s">
        <v>92</v>
      </c>
      <c r="E183" s="267" t="s">
        <v>0</v>
      </c>
      <c r="F183" s="268"/>
      <c r="G183" s="269"/>
      <c r="H183" s="269"/>
      <c r="I183" s="270"/>
      <c r="J183" s="268">
        <v>1</v>
      </c>
      <c r="K183" s="269">
        <v>82570</v>
      </c>
      <c r="L183" s="269">
        <v>84495</v>
      </c>
      <c r="M183" s="270">
        <v>1</v>
      </c>
      <c r="N183" s="268">
        <v>1</v>
      </c>
      <c r="O183" s="271"/>
      <c r="P183" s="271">
        <v>82570</v>
      </c>
      <c r="Q183" s="271"/>
      <c r="R183" s="271"/>
      <c r="S183" s="271">
        <v>-84495</v>
      </c>
      <c r="T183" s="271"/>
      <c r="U183" s="272">
        <v>1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153</v>
      </c>
      <c r="B184" s="267" t="s">
        <v>201</v>
      </c>
      <c r="C184" s="267" t="s">
        <v>94</v>
      </c>
      <c r="D184" s="267" t="s">
        <v>92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83155</v>
      </c>
      <c r="L184" s="269">
        <v>83976</v>
      </c>
      <c r="M184" s="270">
        <v>1</v>
      </c>
      <c r="N184" s="268">
        <v>1</v>
      </c>
      <c r="O184" s="271"/>
      <c r="P184" s="271">
        <v>83155</v>
      </c>
      <c r="Q184" s="271"/>
      <c r="R184" s="271"/>
      <c r="S184" s="271">
        <v>-83976</v>
      </c>
      <c r="T184" s="271"/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153</v>
      </c>
      <c r="B185" s="267" t="s">
        <v>874</v>
      </c>
      <c r="C185" s="267" t="s">
        <v>94</v>
      </c>
      <c r="D185" s="267" t="s">
        <v>92</v>
      </c>
      <c r="E185" s="267" t="s">
        <v>0</v>
      </c>
      <c r="F185" s="268"/>
      <c r="G185" s="269"/>
      <c r="H185" s="269"/>
      <c r="I185" s="270"/>
      <c r="J185" s="268">
        <v>1</v>
      </c>
      <c r="K185" s="269">
        <v>82759</v>
      </c>
      <c r="L185" s="269">
        <v>84381</v>
      </c>
      <c r="M185" s="270">
        <v>1</v>
      </c>
      <c r="N185" s="268">
        <v>1</v>
      </c>
      <c r="O185" s="271"/>
      <c r="P185" s="271">
        <v>82759</v>
      </c>
      <c r="Q185" s="271"/>
      <c r="R185" s="271"/>
      <c r="S185" s="271">
        <v>-84381</v>
      </c>
      <c r="T185" s="271"/>
      <c r="U185" s="272">
        <v>1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153</v>
      </c>
      <c r="B186" s="267" t="s">
        <v>875</v>
      </c>
      <c r="C186" s="267" t="s">
        <v>94</v>
      </c>
      <c r="D186" s="267" t="s">
        <v>92</v>
      </c>
      <c r="E186" s="267" t="s">
        <v>0</v>
      </c>
      <c r="F186" s="268"/>
      <c r="G186" s="269"/>
      <c r="H186" s="269"/>
      <c r="I186" s="270"/>
      <c r="J186" s="268">
        <v>1</v>
      </c>
      <c r="K186" s="269">
        <v>82560</v>
      </c>
      <c r="L186" s="269">
        <v>84555</v>
      </c>
      <c r="M186" s="270">
        <v>1</v>
      </c>
      <c r="N186" s="268">
        <v>1</v>
      </c>
      <c r="O186" s="271"/>
      <c r="P186" s="271">
        <v>82560</v>
      </c>
      <c r="Q186" s="271"/>
      <c r="R186" s="271"/>
      <c r="S186" s="271">
        <v>-84555</v>
      </c>
      <c r="T186" s="271"/>
      <c r="U186" s="272">
        <v>1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153</v>
      </c>
      <c r="B187" s="267" t="s">
        <v>876</v>
      </c>
      <c r="C187" s="267" t="s">
        <v>94</v>
      </c>
      <c r="D187" s="267" t="s">
        <v>92</v>
      </c>
      <c r="E187" s="267" t="s">
        <v>0</v>
      </c>
      <c r="F187" s="268"/>
      <c r="G187" s="269"/>
      <c r="H187" s="269"/>
      <c r="I187" s="270"/>
      <c r="J187" s="268">
        <v>1</v>
      </c>
      <c r="K187" s="269">
        <v>82704</v>
      </c>
      <c r="L187" s="269">
        <v>84326</v>
      </c>
      <c r="M187" s="270">
        <v>1</v>
      </c>
      <c r="N187" s="268">
        <v>1</v>
      </c>
      <c r="O187" s="271"/>
      <c r="P187" s="271">
        <v>82704</v>
      </c>
      <c r="Q187" s="271"/>
      <c r="R187" s="271"/>
      <c r="S187" s="271">
        <v>-84326</v>
      </c>
      <c r="T187" s="271"/>
      <c r="U187" s="272">
        <v>1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153</v>
      </c>
      <c r="B188" s="267" t="s">
        <v>202</v>
      </c>
      <c r="C188" s="267" t="s">
        <v>94</v>
      </c>
      <c r="D188" s="267" t="s">
        <v>92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83063</v>
      </c>
      <c r="L188" s="269">
        <v>84053</v>
      </c>
      <c r="M188" s="270">
        <v>1</v>
      </c>
      <c r="N188" s="268">
        <v>1</v>
      </c>
      <c r="O188" s="271"/>
      <c r="P188" s="271">
        <v>83063</v>
      </c>
      <c r="Q188" s="271"/>
      <c r="R188" s="271"/>
      <c r="S188" s="271">
        <v>-84053</v>
      </c>
      <c r="T188" s="271"/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153</v>
      </c>
      <c r="B189" s="267" t="s">
        <v>877</v>
      </c>
      <c r="C189" s="267" t="s">
        <v>94</v>
      </c>
      <c r="D189" s="267" t="s">
        <v>92</v>
      </c>
      <c r="E189" s="267" t="s">
        <v>0</v>
      </c>
      <c r="F189" s="268"/>
      <c r="G189" s="269"/>
      <c r="H189" s="269"/>
      <c r="I189" s="270"/>
      <c r="J189" s="268">
        <v>1</v>
      </c>
      <c r="K189" s="269">
        <v>82653</v>
      </c>
      <c r="L189" s="269">
        <v>84463</v>
      </c>
      <c r="M189" s="270">
        <v>1</v>
      </c>
      <c r="N189" s="268">
        <v>1</v>
      </c>
      <c r="O189" s="271"/>
      <c r="P189" s="271">
        <v>82653</v>
      </c>
      <c r="Q189" s="271"/>
      <c r="R189" s="271"/>
      <c r="S189" s="271">
        <v>-84463</v>
      </c>
      <c r="T189" s="271"/>
      <c r="U189" s="272">
        <v>1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153</v>
      </c>
      <c r="B190" s="267" t="s">
        <v>203</v>
      </c>
      <c r="C190" s="267" t="s">
        <v>94</v>
      </c>
      <c r="D190" s="267" t="s">
        <v>92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83200</v>
      </c>
      <c r="L190" s="269">
        <v>83887</v>
      </c>
      <c r="M190" s="270">
        <v>1</v>
      </c>
      <c r="N190" s="268">
        <v>1</v>
      </c>
      <c r="O190" s="271"/>
      <c r="P190" s="271">
        <v>83200</v>
      </c>
      <c r="Q190" s="271"/>
      <c r="R190" s="271"/>
      <c r="S190" s="271">
        <v>-83887</v>
      </c>
      <c r="T190" s="271"/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153</v>
      </c>
      <c r="B191" s="267" t="s">
        <v>878</v>
      </c>
      <c r="C191" s="267" t="s">
        <v>94</v>
      </c>
      <c r="D191" s="267" t="s">
        <v>92</v>
      </c>
      <c r="E191" s="267" t="s">
        <v>0</v>
      </c>
      <c r="F191" s="268"/>
      <c r="G191" s="269"/>
      <c r="H191" s="269"/>
      <c r="I191" s="270"/>
      <c r="J191" s="268">
        <v>1</v>
      </c>
      <c r="K191" s="269">
        <v>82861</v>
      </c>
      <c r="L191" s="269">
        <v>84274</v>
      </c>
      <c r="M191" s="270">
        <v>1</v>
      </c>
      <c r="N191" s="268">
        <v>1</v>
      </c>
      <c r="O191" s="271"/>
      <c r="P191" s="271">
        <v>82861</v>
      </c>
      <c r="Q191" s="271"/>
      <c r="R191" s="271"/>
      <c r="S191" s="271">
        <v>-84274</v>
      </c>
      <c r="T191" s="271"/>
      <c r="U191" s="272">
        <v>1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153</v>
      </c>
      <c r="B192" s="267" t="s">
        <v>879</v>
      </c>
      <c r="C192" s="267" t="s">
        <v>94</v>
      </c>
      <c r="D192" s="267" t="s">
        <v>92</v>
      </c>
      <c r="E192" s="267" t="s">
        <v>0</v>
      </c>
      <c r="F192" s="268"/>
      <c r="G192" s="269"/>
      <c r="H192" s="269"/>
      <c r="I192" s="270"/>
      <c r="J192" s="268">
        <v>1</v>
      </c>
      <c r="K192" s="269">
        <v>82621</v>
      </c>
      <c r="L192" s="269">
        <v>84482</v>
      </c>
      <c r="M192" s="270">
        <v>1</v>
      </c>
      <c r="N192" s="268">
        <v>1</v>
      </c>
      <c r="O192" s="271"/>
      <c r="P192" s="271">
        <v>82621</v>
      </c>
      <c r="Q192" s="271"/>
      <c r="R192" s="271"/>
      <c r="S192" s="271">
        <v>-84482</v>
      </c>
      <c r="T192" s="271"/>
      <c r="U192" s="272">
        <v>1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153</v>
      </c>
      <c r="B193" s="267" t="s">
        <v>880</v>
      </c>
      <c r="C193" s="267" t="s">
        <v>94</v>
      </c>
      <c r="D193" s="267" t="s">
        <v>92</v>
      </c>
      <c r="E193" s="267" t="s">
        <v>0</v>
      </c>
      <c r="F193" s="268"/>
      <c r="G193" s="269"/>
      <c r="H193" s="269"/>
      <c r="I193" s="270"/>
      <c r="J193" s="268">
        <v>1</v>
      </c>
      <c r="K193" s="269">
        <v>82637</v>
      </c>
      <c r="L193" s="269">
        <v>84404</v>
      </c>
      <c r="M193" s="270">
        <v>1</v>
      </c>
      <c r="N193" s="268">
        <v>1</v>
      </c>
      <c r="O193" s="271"/>
      <c r="P193" s="271">
        <v>82637</v>
      </c>
      <c r="Q193" s="271"/>
      <c r="R193" s="271"/>
      <c r="S193" s="271">
        <v>-84404</v>
      </c>
      <c r="T193" s="271"/>
      <c r="U193" s="272">
        <v>1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153</v>
      </c>
      <c r="B194" s="267" t="s">
        <v>204</v>
      </c>
      <c r="C194" s="267" t="s">
        <v>94</v>
      </c>
      <c r="D194" s="267" t="s">
        <v>92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82967</v>
      </c>
      <c r="L194" s="269">
        <v>84143</v>
      </c>
      <c r="M194" s="270">
        <v>1</v>
      </c>
      <c r="N194" s="268">
        <v>1</v>
      </c>
      <c r="O194" s="271"/>
      <c r="P194" s="271">
        <v>82967</v>
      </c>
      <c r="Q194" s="271"/>
      <c r="R194" s="271"/>
      <c r="S194" s="271">
        <v>-84143</v>
      </c>
      <c r="T194" s="271"/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153</v>
      </c>
      <c r="B195" s="267" t="s">
        <v>881</v>
      </c>
      <c r="C195" s="267" t="s">
        <v>94</v>
      </c>
      <c r="D195" s="267" t="s">
        <v>92</v>
      </c>
      <c r="E195" s="267" t="s">
        <v>0</v>
      </c>
      <c r="F195" s="268"/>
      <c r="G195" s="269"/>
      <c r="H195" s="269"/>
      <c r="I195" s="270"/>
      <c r="J195" s="268">
        <v>1</v>
      </c>
      <c r="K195" s="269">
        <v>82310</v>
      </c>
      <c r="L195" s="269">
        <v>84790</v>
      </c>
      <c r="M195" s="270">
        <v>1</v>
      </c>
      <c r="N195" s="268">
        <v>1</v>
      </c>
      <c r="O195" s="271"/>
      <c r="P195" s="271">
        <v>82310</v>
      </c>
      <c r="Q195" s="271"/>
      <c r="R195" s="271"/>
      <c r="S195" s="271">
        <v>-84790</v>
      </c>
      <c r="T195" s="271"/>
      <c r="U195" s="272">
        <v>1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153</v>
      </c>
      <c r="B196" s="267" t="s">
        <v>205</v>
      </c>
      <c r="C196" s="267" t="s">
        <v>94</v>
      </c>
      <c r="D196" s="267" t="s">
        <v>92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83170</v>
      </c>
      <c r="L196" s="269">
        <v>83973</v>
      </c>
      <c r="M196" s="270">
        <v>1</v>
      </c>
      <c r="N196" s="268">
        <v>1</v>
      </c>
      <c r="O196" s="271"/>
      <c r="P196" s="271">
        <v>83170</v>
      </c>
      <c r="Q196" s="271"/>
      <c r="R196" s="271"/>
      <c r="S196" s="271">
        <v>-83973</v>
      </c>
      <c r="T196" s="271"/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153</v>
      </c>
      <c r="B197" s="267" t="s">
        <v>882</v>
      </c>
      <c r="C197" s="267" t="s">
        <v>94</v>
      </c>
      <c r="D197" s="267" t="s">
        <v>92</v>
      </c>
      <c r="E197" s="267" t="s">
        <v>0</v>
      </c>
      <c r="F197" s="268"/>
      <c r="G197" s="269"/>
      <c r="H197" s="269"/>
      <c r="I197" s="270"/>
      <c r="J197" s="268">
        <v>1</v>
      </c>
      <c r="K197" s="269">
        <v>82365</v>
      </c>
      <c r="L197" s="269">
        <v>84751</v>
      </c>
      <c r="M197" s="270">
        <v>1</v>
      </c>
      <c r="N197" s="268">
        <v>1</v>
      </c>
      <c r="O197" s="271"/>
      <c r="P197" s="271">
        <v>82365</v>
      </c>
      <c r="Q197" s="271"/>
      <c r="R197" s="271"/>
      <c r="S197" s="271">
        <v>-84751</v>
      </c>
      <c r="T197" s="271"/>
      <c r="U197" s="272">
        <v>1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153</v>
      </c>
      <c r="B198" s="267" t="s">
        <v>883</v>
      </c>
      <c r="C198" s="267" t="s">
        <v>94</v>
      </c>
      <c r="D198" s="267" t="s">
        <v>92</v>
      </c>
      <c r="E198" s="267" t="s">
        <v>0</v>
      </c>
      <c r="F198" s="268"/>
      <c r="G198" s="269"/>
      <c r="H198" s="269"/>
      <c r="I198" s="270"/>
      <c r="J198" s="268">
        <v>1</v>
      </c>
      <c r="K198" s="269">
        <v>82744</v>
      </c>
      <c r="L198" s="269">
        <v>84418</v>
      </c>
      <c r="M198" s="270">
        <v>1</v>
      </c>
      <c r="N198" s="268">
        <v>1</v>
      </c>
      <c r="O198" s="271"/>
      <c r="P198" s="271">
        <v>82744</v>
      </c>
      <c r="Q198" s="271"/>
      <c r="R198" s="271"/>
      <c r="S198" s="271">
        <v>-84418</v>
      </c>
      <c r="T198" s="271"/>
      <c r="U198" s="272">
        <v>1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153</v>
      </c>
      <c r="B199" s="267" t="s">
        <v>884</v>
      </c>
      <c r="C199" s="267" t="s">
        <v>94</v>
      </c>
      <c r="D199" s="267" t="s">
        <v>92</v>
      </c>
      <c r="E199" s="267" t="s">
        <v>0</v>
      </c>
      <c r="F199" s="268"/>
      <c r="G199" s="269"/>
      <c r="H199" s="269"/>
      <c r="I199" s="270"/>
      <c r="J199" s="268">
        <v>1</v>
      </c>
      <c r="K199" s="269">
        <v>82616</v>
      </c>
      <c r="L199" s="269">
        <v>84569</v>
      </c>
      <c r="M199" s="270">
        <v>1</v>
      </c>
      <c r="N199" s="268">
        <v>1</v>
      </c>
      <c r="O199" s="271"/>
      <c r="P199" s="271">
        <v>82616</v>
      </c>
      <c r="Q199" s="271"/>
      <c r="R199" s="271"/>
      <c r="S199" s="271">
        <v>-84569</v>
      </c>
      <c r="T199" s="271"/>
      <c r="U199" s="272">
        <v>1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153</v>
      </c>
      <c r="B200" s="267" t="s">
        <v>885</v>
      </c>
      <c r="C200" s="267" t="s">
        <v>94</v>
      </c>
      <c r="D200" s="267" t="s">
        <v>92</v>
      </c>
      <c r="E200" s="267" t="s">
        <v>0</v>
      </c>
      <c r="F200" s="268"/>
      <c r="G200" s="269"/>
      <c r="H200" s="269"/>
      <c r="I200" s="270"/>
      <c r="J200" s="268">
        <v>1</v>
      </c>
      <c r="K200" s="269">
        <v>82767</v>
      </c>
      <c r="L200" s="269">
        <v>84523</v>
      </c>
      <c r="M200" s="270">
        <v>1</v>
      </c>
      <c r="N200" s="268">
        <v>1</v>
      </c>
      <c r="O200" s="271"/>
      <c r="P200" s="271">
        <v>82767</v>
      </c>
      <c r="Q200" s="271"/>
      <c r="R200" s="271"/>
      <c r="S200" s="271">
        <v>-84523</v>
      </c>
      <c r="T200" s="271"/>
      <c r="U200" s="272">
        <v>1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153</v>
      </c>
      <c r="B201" s="267" t="s">
        <v>886</v>
      </c>
      <c r="C201" s="267" t="s">
        <v>94</v>
      </c>
      <c r="D201" s="267" t="s">
        <v>92</v>
      </c>
      <c r="E201" s="267" t="s">
        <v>0</v>
      </c>
      <c r="F201" s="268"/>
      <c r="G201" s="269"/>
      <c r="H201" s="269"/>
      <c r="I201" s="270"/>
      <c r="J201" s="268">
        <v>1</v>
      </c>
      <c r="K201" s="269">
        <v>82520</v>
      </c>
      <c r="L201" s="269">
        <v>84760</v>
      </c>
      <c r="M201" s="270">
        <v>1</v>
      </c>
      <c r="N201" s="268">
        <v>1</v>
      </c>
      <c r="O201" s="271"/>
      <c r="P201" s="271">
        <v>82520</v>
      </c>
      <c r="Q201" s="271"/>
      <c r="R201" s="271"/>
      <c r="S201" s="271">
        <v>-84760</v>
      </c>
      <c r="T201" s="271"/>
      <c r="U201" s="272">
        <v>1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153</v>
      </c>
      <c r="B202" s="267" t="s">
        <v>887</v>
      </c>
      <c r="C202" s="267" t="s">
        <v>94</v>
      </c>
      <c r="D202" s="267" t="s">
        <v>92</v>
      </c>
      <c r="E202" s="267" t="s">
        <v>0</v>
      </c>
      <c r="F202" s="268"/>
      <c r="G202" s="269"/>
      <c r="H202" s="269"/>
      <c r="I202" s="270"/>
      <c r="J202" s="268">
        <v>1</v>
      </c>
      <c r="K202" s="269">
        <v>82785</v>
      </c>
      <c r="L202" s="269">
        <v>84522</v>
      </c>
      <c r="M202" s="270">
        <v>1</v>
      </c>
      <c r="N202" s="268">
        <v>1</v>
      </c>
      <c r="O202" s="271"/>
      <c r="P202" s="271">
        <v>82785</v>
      </c>
      <c r="Q202" s="271"/>
      <c r="R202" s="271"/>
      <c r="S202" s="271">
        <v>-84522</v>
      </c>
      <c r="T202" s="271"/>
      <c r="U202" s="272">
        <v>1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153</v>
      </c>
      <c r="B203" s="267" t="s">
        <v>888</v>
      </c>
      <c r="C203" s="267" t="s">
        <v>94</v>
      </c>
      <c r="D203" s="267" t="s">
        <v>92</v>
      </c>
      <c r="E203" s="267" t="s">
        <v>0</v>
      </c>
      <c r="F203" s="268"/>
      <c r="G203" s="269"/>
      <c r="H203" s="269"/>
      <c r="I203" s="270"/>
      <c r="J203" s="268">
        <v>1</v>
      </c>
      <c r="K203" s="269">
        <v>82559</v>
      </c>
      <c r="L203" s="269">
        <v>84705</v>
      </c>
      <c r="M203" s="270">
        <v>1</v>
      </c>
      <c r="N203" s="268">
        <v>1</v>
      </c>
      <c r="O203" s="271"/>
      <c r="P203" s="271">
        <v>82559</v>
      </c>
      <c r="Q203" s="271"/>
      <c r="R203" s="271"/>
      <c r="S203" s="271">
        <v>-84705</v>
      </c>
      <c r="T203" s="271"/>
      <c r="U203" s="272">
        <v>1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153</v>
      </c>
      <c r="B204" s="267" t="s">
        <v>889</v>
      </c>
      <c r="C204" s="267" t="s">
        <v>94</v>
      </c>
      <c r="D204" s="267" t="s">
        <v>92</v>
      </c>
      <c r="E204" s="267" t="s">
        <v>0</v>
      </c>
      <c r="F204" s="268"/>
      <c r="G204" s="269"/>
      <c r="H204" s="269"/>
      <c r="I204" s="270"/>
      <c r="J204" s="268">
        <v>1</v>
      </c>
      <c r="K204" s="269">
        <v>82899</v>
      </c>
      <c r="L204" s="269">
        <v>84333</v>
      </c>
      <c r="M204" s="270">
        <v>1</v>
      </c>
      <c r="N204" s="268">
        <v>1</v>
      </c>
      <c r="O204" s="271"/>
      <c r="P204" s="271">
        <v>82899</v>
      </c>
      <c r="Q204" s="271"/>
      <c r="R204" s="271"/>
      <c r="S204" s="271">
        <v>-84333</v>
      </c>
      <c r="T204" s="271"/>
      <c r="U204" s="272">
        <v>1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153</v>
      </c>
      <c r="B205" s="267" t="s">
        <v>890</v>
      </c>
      <c r="C205" s="267" t="s">
        <v>94</v>
      </c>
      <c r="D205" s="267" t="s">
        <v>92</v>
      </c>
      <c r="E205" s="267" t="s">
        <v>0</v>
      </c>
      <c r="F205" s="268"/>
      <c r="G205" s="269"/>
      <c r="H205" s="269"/>
      <c r="I205" s="270"/>
      <c r="J205" s="268">
        <v>1</v>
      </c>
      <c r="K205" s="269">
        <v>82956</v>
      </c>
      <c r="L205" s="269">
        <v>84315</v>
      </c>
      <c r="M205" s="270">
        <v>1</v>
      </c>
      <c r="N205" s="268">
        <v>1</v>
      </c>
      <c r="O205" s="271"/>
      <c r="P205" s="271">
        <v>82956</v>
      </c>
      <c r="Q205" s="271"/>
      <c r="R205" s="271"/>
      <c r="S205" s="271">
        <v>-84315</v>
      </c>
      <c r="T205" s="271"/>
      <c r="U205" s="272">
        <v>1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153</v>
      </c>
      <c r="B206" s="267" t="s">
        <v>206</v>
      </c>
      <c r="C206" s="267" t="s">
        <v>94</v>
      </c>
      <c r="D206" s="267" t="s">
        <v>92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83015</v>
      </c>
      <c r="L206" s="269">
        <v>84120</v>
      </c>
      <c r="M206" s="270">
        <v>1</v>
      </c>
      <c r="N206" s="268">
        <v>1</v>
      </c>
      <c r="O206" s="271"/>
      <c r="P206" s="271">
        <v>83015</v>
      </c>
      <c r="Q206" s="271"/>
      <c r="R206" s="271"/>
      <c r="S206" s="271">
        <v>-84120</v>
      </c>
      <c r="T206" s="271"/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153</v>
      </c>
      <c r="B207" s="267" t="s">
        <v>891</v>
      </c>
      <c r="C207" s="267" t="s">
        <v>94</v>
      </c>
      <c r="D207" s="267" t="s">
        <v>92</v>
      </c>
      <c r="E207" s="267" t="s">
        <v>0</v>
      </c>
      <c r="F207" s="268"/>
      <c r="G207" s="269"/>
      <c r="H207" s="269"/>
      <c r="I207" s="270"/>
      <c r="J207" s="268">
        <v>1</v>
      </c>
      <c r="K207" s="269">
        <v>82815</v>
      </c>
      <c r="L207" s="269">
        <v>84500</v>
      </c>
      <c r="M207" s="270">
        <v>1</v>
      </c>
      <c r="N207" s="268">
        <v>1</v>
      </c>
      <c r="O207" s="271"/>
      <c r="P207" s="271">
        <v>82815</v>
      </c>
      <c r="Q207" s="271"/>
      <c r="R207" s="271"/>
      <c r="S207" s="271">
        <v>-84500</v>
      </c>
      <c r="T207" s="271"/>
      <c r="U207" s="272">
        <v>1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153</v>
      </c>
      <c r="B208" s="267" t="s">
        <v>207</v>
      </c>
      <c r="C208" s="267" t="s">
        <v>94</v>
      </c>
      <c r="D208" s="267" t="s">
        <v>92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82984</v>
      </c>
      <c r="L208" s="269">
        <v>84128</v>
      </c>
      <c r="M208" s="270">
        <v>1</v>
      </c>
      <c r="N208" s="268">
        <v>1</v>
      </c>
      <c r="O208" s="271"/>
      <c r="P208" s="271">
        <v>82984</v>
      </c>
      <c r="Q208" s="271"/>
      <c r="R208" s="271"/>
      <c r="S208" s="271">
        <v>-84128</v>
      </c>
      <c r="T208" s="271"/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153</v>
      </c>
      <c r="B209" s="267" t="s">
        <v>892</v>
      </c>
      <c r="C209" s="267" t="s">
        <v>94</v>
      </c>
      <c r="D209" s="267" t="s">
        <v>92</v>
      </c>
      <c r="E209" s="267" t="s">
        <v>0</v>
      </c>
      <c r="F209" s="268"/>
      <c r="G209" s="269"/>
      <c r="H209" s="269"/>
      <c r="I209" s="270"/>
      <c r="J209" s="268">
        <v>1</v>
      </c>
      <c r="K209" s="269">
        <v>82691</v>
      </c>
      <c r="L209" s="269">
        <v>84484</v>
      </c>
      <c r="M209" s="270">
        <v>1</v>
      </c>
      <c r="N209" s="268">
        <v>1</v>
      </c>
      <c r="O209" s="271"/>
      <c r="P209" s="271">
        <v>82691</v>
      </c>
      <c r="Q209" s="271"/>
      <c r="R209" s="271"/>
      <c r="S209" s="271">
        <v>-84484</v>
      </c>
      <c r="T209" s="271"/>
      <c r="U209" s="272">
        <v>1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153</v>
      </c>
      <c r="B210" s="267" t="s">
        <v>893</v>
      </c>
      <c r="C210" s="267" t="s">
        <v>94</v>
      </c>
      <c r="D210" s="267" t="s">
        <v>92</v>
      </c>
      <c r="E210" s="267" t="s">
        <v>0</v>
      </c>
      <c r="F210" s="268"/>
      <c r="G210" s="269"/>
      <c r="H210" s="269"/>
      <c r="I210" s="270"/>
      <c r="J210" s="268">
        <v>1</v>
      </c>
      <c r="K210" s="269">
        <v>82604</v>
      </c>
      <c r="L210" s="269">
        <v>84328</v>
      </c>
      <c r="M210" s="270">
        <v>1</v>
      </c>
      <c r="N210" s="268">
        <v>1</v>
      </c>
      <c r="O210" s="271"/>
      <c r="P210" s="271">
        <v>82604</v>
      </c>
      <c r="Q210" s="271"/>
      <c r="R210" s="271"/>
      <c r="S210" s="271">
        <v>-84328</v>
      </c>
      <c r="T210" s="271"/>
      <c r="U210" s="272">
        <v>1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153</v>
      </c>
      <c r="B211" s="267" t="s">
        <v>894</v>
      </c>
      <c r="C211" s="267" t="s">
        <v>94</v>
      </c>
      <c r="D211" s="267" t="s">
        <v>92</v>
      </c>
      <c r="E211" s="267" t="s">
        <v>0</v>
      </c>
      <c r="F211" s="268"/>
      <c r="G211" s="269"/>
      <c r="H211" s="269"/>
      <c r="I211" s="270"/>
      <c r="J211" s="268">
        <v>1</v>
      </c>
      <c r="K211" s="269">
        <v>82636</v>
      </c>
      <c r="L211" s="269">
        <v>84429</v>
      </c>
      <c r="M211" s="270">
        <v>1</v>
      </c>
      <c r="N211" s="268">
        <v>1</v>
      </c>
      <c r="O211" s="271"/>
      <c r="P211" s="271">
        <v>82636</v>
      </c>
      <c r="Q211" s="271"/>
      <c r="R211" s="271"/>
      <c r="S211" s="271">
        <v>-84429</v>
      </c>
      <c r="T211" s="271"/>
      <c r="U211" s="272">
        <v>1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153</v>
      </c>
      <c r="B212" s="267" t="s">
        <v>208</v>
      </c>
      <c r="C212" s="267" t="s">
        <v>94</v>
      </c>
      <c r="D212" s="267" t="s">
        <v>92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83050</v>
      </c>
      <c r="L212" s="269">
        <v>84039</v>
      </c>
      <c r="M212" s="270">
        <v>1</v>
      </c>
      <c r="N212" s="268">
        <v>1</v>
      </c>
      <c r="O212" s="271"/>
      <c r="P212" s="271">
        <v>83050</v>
      </c>
      <c r="Q212" s="271"/>
      <c r="R212" s="271"/>
      <c r="S212" s="271">
        <v>-84039</v>
      </c>
      <c r="T212" s="271"/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153</v>
      </c>
      <c r="B213" s="267" t="s">
        <v>895</v>
      </c>
      <c r="C213" s="267" t="s">
        <v>94</v>
      </c>
      <c r="D213" s="267" t="s">
        <v>92</v>
      </c>
      <c r="E213" s="267" t="s">
        <v>0</v>
      </c>
      <c r="F213" s="268"/>
      <c r="G213" s="269"/>
      <c r="H213" s="269"/>
      <c r="I213" s="270"/>
      <c r="J213" s="268">
        <v>1</v>
      </c>
      <c r="K213" s="269">
        <v>82640</v>
      </c>
      <c r="L213" s="269">
        <v>84449</v>
      </c>
      <c r="M213" s="270">
        <v>1</v>
      </c>
      <c r="N213" s="268">
        <v>1</v>
      </c>
      <c r="O213" s="271"/>
      <c r="P213" s="271">
        <v>82640</v>
      </c>
      <c r="Q213" s="271"/>
      <c r="R213" s="271"/>
      <c r="S213" s="271">
        <v>-84449</v>
      </c>
      <c r="T213" s="271"/>
      <c r="U213" s="272">
        <v>1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153</v>
      </c>
      <c r="B214" s="267" t="s">
        <v>209</v>
      </c>
      <c r="C214" s="267" t="s">
        <v>94</v>
      </c>
      <c r="D214" s="267" t="s">
        <v>92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83035</v>
      </c>
      <c r="L214" s="269">
        <v>84076</v>
      </c>
      <c r="M214" s="270">
        <v>1</v>
      </c>
      <c r="N214" s="268">
        <v>1</v>
      </c>
      <c r="O214" s="271"/>
      <c r="P214" s="271">
        <v>83035</v>
      </c>
      <c r="Q214" s="271"/>
      <c r="R214" s="271"/>
      <c r="S214" s="271">
        <v>-84076</v>
      </c>
      <c r="T214" s="271"/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153</v>
      </c>
      <c r="B215" s="267" t="s">
        <v>896</v>
      </c>
      <c r="C215" s="267" t="s">
        <v>94</v>
      </c>
      <c r="D215" s="267" t="s">
        <v>92</v>
      </c>
      <c r="E215" s="267" t="s">
        <v>0</v>
      </c>
      <c r="F215" s="268"/>
      <c r="G215" s="269"/>
      <c r="H215" s="269"/>
      <c r="I215" s="270"/>
      <c r="J215" s="268">
        <v>1</v>
      </c>
      <c r="K215" s="269">
        <v>82696</v>
      </c>
      <c r="L215" s="269">
        <v>84463</v>
      </c>
      <c r="M215" s="270">
        <v>1</v>
      </c>
      <c r="N215" s="268">
        <v>1</v>
      </c>
      <c r="O215" s="271"/>
      <c r="P215" s="271">
        <v>82696</v>
      </c>
      <c r="Q215" s="271"/>
      <c r="R215" s="271"/>
      <c r="S215" s="271">
        <v>-84463</v>
      </c>
      <c r="T215" s="271"/>
      <c r="U215" s="272">
        <v>1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153</v>
      </c>
      <c r="B216" s="267" t="s">
        <v>897</v>
      </c>
      <c r="C216" s="267" t="s">
        <v>94</v>
      </c>
      <c r="D216" s="267" t="s">
        <v>92</v>
      </c>
      <c r="E216" s="267" t="s">
        <v>0</v>
      </c>
      <c r="F216" s="268"/>
      <c r="G216" s="269"/>
      <c r="H216" s="269"/>
      <c r="I216" s="270"/>
      <c r="J216" s="268">
        <v>1</v>
      </c>
      <c r="K216" s="269">
        <v>82835</v>
      </c>
      <c r="L216" s="269">
        <v>84456</v>
      </c>
      <c r="M216" s="270">
        <v>1</v>
      </c>
      <c r="N216" s="268">
        <v>1</v>
      </c>
      <c r="O216" s="271"/>
      <c r="P216" s="271">
        <v>82835</v>
      </c>
      <c r="Q216" s="271"/>
      <c r="R216" s="271"/>
      <c r="S216" s="271">
        <v>-84456</v>
      </c>
      <c r="T216" s="271"/>
      <c r="U216" s="272">
        <v>1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153</v>
      </c>
      <c r="B217" s="267" t="s">
        <v>898</v>
      </c>
      <c r="C217" s="267" t="s">
        <v>94</v>
      </c>
      <c r="D217" s="267" t="s">
        <v>92</v>
      </c>
      <c r="E217" s="267" t="s">
        <v>0</v>
      </c>
      <c r="F217" s="268"/>
      <c r="G217" s="269"/>
      <c r="H217" s="269"/>
      <c r="I217" s="270"/>
      <c r="J217" s="268">
        <v>1</v>
      </c>
      <c r="K217" s="269">
        <v>82851</v>
      </c>
      <c r="L217" s="269">
        <v>84378</v>
      </c>
      <c r="M217" s="270">
        <v>1</v>
      </c>
      <c r="N217" s="268">
        <v>1</v>
      </c>
      <c r="O217" s="271"/>
      <c r="P217" s="271">
        <v>82851</v>
      </c>
      <c r="Q217" s="271"/>
      <c r="R217" s="271"/>
      <c r="S217" s="271">
        <v>-84378</v>
      </c>
      <c r="T217" s="271"/>
      <c r="U217" s="272">
        <v>1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153</v>
      </c>
      <c r="B218" s="267" t="s">
        <v>210</v>
      </c>
      <c r="C218" s="267" t="s">
        <v>94</v>
      </c>
      <c r="D218" s="267" t="s">
        <v>92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83151</v>
      </c>
      <c r="L218" s="269">
        <v>83940</v>
      </c>
      <c r="M218" s="270">
        <v>1</v>
      </c>
      <c r="N218" s="268">
        <v>1</v>
      </c>
      <c r="O218" s="271"/>
      <c r="P218" s="271">
        <v>83151</v>
      </c>
      <c r="Q218" s="271"/>
      <c r="R218" s="271"/>
      <c r="S218" s="271">
        <v>-83940</v>
      </c>
      <c r="T218" s="271"/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153</v>
      </c>
      <c r="B219" s="267" t="s">
        <v>899</v>
      </c>
      <c r="C219" s="267" t="s">
        <v>94</v>
      </c>
      <c r="D219" s="267" t="s">
        <v>92</v>
      </c>
      <c r="E219" s="267" t="s">
        <v>0</v>
      </c>
      <c r="F219" s="268"/>
      <c r="G219" s="269"/>
      <c r="H219" s="269"/>
      <c r="I219" s="270"/>
      <c r="J219" s="268">
        <v>1</v>
      </c>
      <c r="K219" s="269">
        <v>82394</v>
      </c>
      <c r="L219" s="269">
        <v>84690</v>
      </c>
      <c r="M219" s="270">
        <v>1</v>
      </c>
      <c r="N219" s="268">
        <v>1</v>
      </c>
      <c r="O219" s="271"/>
      <c r="P219" s="271">
        <v>82394</v>
      </c>
      <c r="Q219" s="271"/>
      <c r="R219" s="271"/>
      <c r="S219" s="271">
        <v>-84690</v>
      </c>
      <c r="T219" s="271"/>
      <c r="U219" s="272">
        <v>1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153</v>
      </c>
      <c r="B220" s="267" t="s">
        <v>211</v>
      </c>
      <c r="C220" s="267" t="s">
        <v>94</v>
      </c>
      <c r="D220" s="267" t="s">
        <v>92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83137</v>
      </c>
      <c r="L220" s="269">
        <v>83939</v>
      </c>
      <c r="M220" s="270">
        <v>1</v>
      </c>
      <c r="N220" s="268">
        <v>1</v>
      </c>
      <c r="O220" s="271"/>
      <c r="P220" s="271">
        <v>83137</v>
      </c>
      <c r="Q220" s="271"/>
      <c r="R220" s="271"/>
      <c r="S220" s="271">
        <v>-83939</v>
      </c>
      <c r="T220" s="271"/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153</v>
      </c>
      <c r="B221" s="267" t="s">
        <v>900</v>
      </c>
      <c r="C221" s="267" t="s">
        <v>94</v>
      </c>
      <c r="D221" s="267" t="s">
        <v>92</v>
      </c>
      <c r="E221" s="267" t="s">
        <v>0</v>
      </c>
      <c r="F221" s="268"/>
      <c r="G221" s="269"/>
      <c r="H221" s="269"/>
      <c r="I221" s="270"/>
      <c r="J221" s="268">
        <v>1</v>
      </c>
      <c r="K221" s="269">
        <v>82559</v>
      </c>
      <c r="L221" s="269">
        <v>84705</v>
      </c>
      <c r="M221" s="270">
        <v>1</v>
      </c>
      <c r="N221" s="268">
        <v>1</v>
      </c>
      <c r="O221" s="271"/>
      <c r="P221" s="271">
        <v>82559</v>
      </c>
      <c r="Q221" s="271"/>
      <c r="R221" s="271"/>
      <c r="S221" s="271">
        <v>-84705</v>
      </c>
      <c r="T221" s="271"/>
      <c r="U221" s="272">
        <v>1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153</v>
      </c>
      <c r="B222" s="267" t="s">
        <v>901</v>
      </c>
      <c r="C222" s="267" t="s">
        <v>94</v>
      </c>
      <c r="D222" s="267" t="s">
        <v>92</v>
      </c>
      <c r="E222" s="267" t="s">
        <v>0</v>
      </c>
      <c r="F222" s="268"/>
      <c r="G222" s="269"/>
      <c r="H222" s="269"/>
      <c r="I222" s="270"/>
      <c r="J222" s="268">
        <v>1</v>
      </c>
      <c r="K222" s="269">
        <v>82828</v>
      </c>
      <c r="L222" s="269">
        <v>84318</v>
      </c>
      <c r="M222" s="270">
        <v>1</v>
      </c>
      <c r="N222" s="268">
        <v>1</v>
      </c>
      <c r="O222" s="271"/>
      <c r="P222" s="271">
        <v>82828</v>
      </c>
      <c r="Q222" s="271"/>
      <c r="R222" s="271"/>
      <c r="S222" s="271">
        <v>-84318</v>
      </c>
      <c r="T222" s="271"/>
      <c r="U222" s="272">
        <v>1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153</v>
      </c>
      <c r="B223" s="267" t="s">
        <v>902</v>
      </c>
      <c r="C223" s="267" t="s">
        <v>94</v>
      </c>
      <c r="D223" s="267" t="s">
        <v>92</v>
      </c>
      <c r="E223" s="267" t="s">
        <v>0</v>
      </c>
      <c r="F223" s="268"/>
      <c r="G223" s="269"/>
      <c r="H223" s="269"/>
      <c r="I223" s="270"/>
      <c r="J223" s="268">
        <v>1</v>
      </c>
      <c r="K223" s="269">
        <v>82812</v>
      </c>
      <c r="L223" s="269">
        <v>84139</v>
      </c>
      <c r="M223" s="270">
        <v>1</v>
      </c>
      <c r="N223" s="268">
        <v>1</v>
      </c>
      <c r="O223" s="271"/>
      <c r="P223" s="271">
        <v>82812</v>
      </c>
      <c r="Q223" s="271"/>
      <c r="R223" s="271"/>
      <c r="S223" s="271">
        <v>-84139</v>
      </c>
      <c r="T223" s="271"/>
      <c r="U223" s="272">
        <v>1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153</v>
      </c>
      <c r="B224" s="267" t="s">
        <v>903</v>
      </c>
      <c r="C224" s="267" t="s">
        <v>94</v>
      </c>
      <c r="D224" s="267" t="s">
        <v>92</v>
      </c>
      <c r="E224" s="267" t="s">
        <v>0</v>
      </c>
      <c r="F224" s="268"/>
      <c r="G224" s="269"/>
      <c r="H224" s="269"/>
      <c r="I224" s="270"/>
      <c r="J224" s="268">
        <v>1</v>
      </c>
      <c r="K224" s="269">
        <v>82572</v>
      </c>
      <c r="L224" s="269">
        <v>84535</v>
      </c>
      <c r="M224" s="270">
        <v>1</v>
      </c>
      <c r="N224" s="268">
        <v>1</v>
      </c>
      <c r="O224" s="271"/>
      <c r="P224" s="271">
        <v>82572</v>
      </c>
      <c r="Q224" s="271"/>
      <c r="R224" s="271"/>
      <c r="S224" s="271">
        <v>-84535</v>
      </c>
      <c r="T224" s="271"/>
      <c r="U224" s="272">
        <v>1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153</v>
      </c>
      <c r="B225" s="267" t="s">
        <v>904</v>
      </c>
      <c r="C225" s="267" t="s">
        <v>94</v>
      </c>
      <c r="D225" s="267" t="s">
        <v>92</v>
      </c>
      <c r="E225" s="267" t="s">
        <v>0</v>
      </c>
      <c r="F225" s="268"/>
      <c r="G225" s="269"/>
      <c r="H225" s="269"/>
      <c r="I225" s="270"/>
      <c r="J225" s="268">
        <v>1</v>
      </c>
      <c r="K225" s="269">
        <v>82225</v>
      </c>
      <c r="L225" s="269">
        <v>84875</v>
      </c>
      <c r="M225" s="270">
        <v>1</v>
      </c>
      <c r="N225" s="268">
        <v>1</v>
      </c>
      <c r="O225" s="271"/>
      <c r="P225" s="271">
        <v>82225</v>
      </c>
      <c r="Q225" s="271"/>
      <c r="R225" s="271"/>
      <c r="S225" s="271">
        <v>-84875</v>
      </c>
      <c r="T225" s="271"/>
      <c r="U225" s="272">
        <v>1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153</v>
      </c>
      <c r="B226" s="267" t="s">
        <v>905</v>
      </c>
      <c r="C226" s="267" t="s">
        <v>94</v>
      </c>
      <c r="D226" s="267" t="s">
        <v>92</v>
      </c>
      <c r="E226" s="267" t="s">
        <v>0</v>
      </c>
      <c r="F226" s="268"/>
      <c r="G226" s="269"/>
      <c r="H226" s="269"/>
      <c r="I226" s="270"/>
      <c r="J226" s="268">
        <v>1</v>
      </c>
      <c r="K226" s="269">
        <v>82588</v>
      </c>
      <c r="L226" s="269">
        <v>84324</v>
      </c>
      <c r="M226" s="270">
        <v>1</v>
      </c>
      <c r="N226" s="268">
        <v>1</v>
      </c>
      <c r="O226" s="271"/>
      <c r="P226" s="271">
        <v>82588</v>
      </c>
      <c r="Q226" s="271"/>
      <c r="R226" s="271"/>
      <c r="S226" s="271">
        <v>-84324</v>
      </c>
      <c r="T226" s="271"/>
      <c r="U226" s="272">
        <v>1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153</v>
      </c>
      <c r="B227" s="267" t="s">
        <v>906</v>
      </c>
      <c r="C227" s="267" t="s">
        <v>94</v>
      </c>
      <c r="D227" s="267" t="s">
        <v>92</v>
      </c>
      <c r="E227" s="267" t="s">
        <v>0</v>
      </c>
      <c r="F227" s="268"/>
      <c r="G227" s="269"/>
      <c r="H227" s="269"/>
      <c r="I227" s="270"/>
      <c r="J227" s="268">
        <v>1</v>
      </c>
      <c r="K227" s="269">
        <v>82210</v>
      </c>
      <c r="L227" s="269">
        <v>84710</v>
      </c>
      <c r="M227" s="270">
        <v>1</v>
      </c>
      <c r="N227" s="268">
        <v>1</v>
      </c>
      <c r="O227" s="271"/>
      <c r="P227" s="271">
        <v>82210</v>
      </c>
      <c r="Q227" s="271"/>
      <c r="R227" s="271"/>
      <c r="S227" s="271">
        <v>-84710</v>
      </c>
      <c r="T227" s="271"/>
      <c r="U227" s="272">
        <v>1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153</v>
      </c>
      <c r="B228" s="267" t="s">
        <v>907</v>
      </c>
      <c r="C228" s="267" t="s">
        <v>94</v>
      </c>
      <c r="D228" s="267" t="s">
        <v>92</v>
      </c>
      <c r="E228" s="267" t="s">
        <v>0</v>
      </c>
      <c r="F228" s="268"/>
      <c r="G228" s="269"/>
      <c r="H228" s="269"/>
      <c r="I228" s="270"/>
      <c r="J228" s="268">
        <v>1</v>
      </c>
      <c r="K228" s="269">
        <v>82604</v>
      </c>
      <c r="L228" s="269">
        <v>84448</v>
      </c>
      <c r="M228" s="270">
        <v>1</v>
      </c>
      <c r="N228" s="268">
        <v>1</v>
      </c>
      <c r="O228" s="271"/>
      <c r="P228" s="271">
        <v>82604</v>
      </c>
      <c r="Q228" s="271"/>
      <c r="R228" s="271"/>
      <c r="S228" s="271">
        <v>-84448</v>
      </c>
      <c r="T228" s="271"/>
      <c r="U228" s="272">
        <v>1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153</v>
      </c>
      <c r="B229" s="267" t="s">
        <v>908</v>
      </c>
      <c r="C229" s="267" t="s">
        <v>94</v>
      </c>
      <c r="D229" s="267" t="s">
        <v>92</v>
      </c>
      <c r="E229" s="267" t="s">
        <v>0</v>
      </c>
      <c r="F229" s="268"/>
      <c r="G229" s="269"/>
      <c r="H229" s="269"/>
      <c r="I229" s="270"/>
      <c r="J229" s="268">
        <v>1</v>
      </c>
      <c r="K229" s="269">
        <v>82558</v>
      </c>
      <c r="L229" s="269">
        <v>84479</v>
      </c>
      <c r="M229" s="270">
        <v>1</v>
      </c>
      <c r="N229" s="268">
        <v>1</v>
      </c>
      <c r="O229" s="271"/>
      <c r="P229" s="271">
        <v>82558</v>
      </c>
      <c r="Q229" s="271"/>
      <c r="R229" s="271"/>
      <c r="S229" s="271">
        <v>-84479</v>
      </c>
      <c r="T229" s="271"/>
      <c r="U229" s="272">
        <v>1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153</v>
      </c>
      <c r="B230" s="267" t="s">
        <v>212</v>
      </c>
      <c r="C230" s="267" t="s">
        <v>94</v>
      </c>
      <c r="D230" s="267" t="s">
        <v>92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83107</v>
      </c>
      <c r="L230" s="269">
        <v>84034</v>
      </c>
      <c r="M230" s="270">
        <v>1</v>
      </c>
      <c r="N230" s="268">
        <v>1</v>
      </c>
      <c r="O230" s="271"/>
      <c r="P230" s="271">
        <v>83107</v>
      </c>
      <c r="Q230" s="271"/>
      <c r="R230" s="271"/>
      <c r="S230" s="271">
        <v>-84034</v>
      </c>
      <c r="T230" s="271"/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153</v>
      </c>
      <c r="B231" s="267" t="s">
        <v>909</v>
      </c>
      <c r="C231" s="267" t="s">
        <v>94</v>
      </c>
      <c r="D231" s="267" t="s">
        <v>92</v>
      </c>
      <c r="E231" s="267" t="s">
        <v>0</v>
      </c>
      <c r="F231" s="268"/>
      <c r="G231" s="269"/>
      <c r="H231" s="269"/>
      <c r="I231" s="270"/>
      <c r="J231" s="268">
        <v>1</v>
      </c>
      <c r="K231" s="269">
        <v>82594</v>
      </c>
      <c r="L231" s="269">
        <v>84701</v>
      </c>
      <c r="M231" s="270">
        <v>1</v>
      </c>
      <c r="N231" s="268">
        <v>1</v>
      </c>
      <c r="O231" s="271"/>
      <c r="P231" s="271">
        <v>82594</v>
      </c>
      <c r="Q231" s="271"/>
      <c r="R231" s="271"/>
      <c r="S231" s="271">
        <v>-84701</v>
      </c>
      <c r="T231" s="271"/>
      <c r="U231" s="272">
        <v>1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153</v>
      </c>
      <c r="B232" s="267" t="s">
        <v>213</v>
      </c>
      <c r="C232" s="267" t="s">
        <v>94</v>
      </c>
      <c r="D232" s="267" t="s">
        <v>92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83090</v>
      </c>
      <c r="L232" s="269">
        <v>83986</v>
      </c>
      <c r="M232" s="270">
        <v>1</v>
      </c>
      <c r="N232" s="268">
        <v>1</v>
      </c>
      <c r="O232" s="271"/>
      <c r="P232" s="271">
        <v>83090</v>
      </c>
      <c r="Q232" s="271"/>
      <c r="R232" s="271"/>
      <c r="S232" s="271">
        <v>-83986</v>
      </c>
      <c r="T232" s="271"/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153</v>
      </c>
      <c r="B233" s="267" t="s">
        <v>910</v>
      </c>
      <c r="C233" s="267" t="s">
        <v>94</v>
      </c>
      <c r="D233" s="267" t="s">
        <v>92</v>
      </c>
      <c r="E233" s="267" t="s">
        <v>0</v>
      </c>
      <c r="F233" s="268"/>
      <c r="G233" s="269"/>
      <c r="H233" s="269"/>
      <c r="I233" s="270"/>
      <c r="J233" s="268">
        <v>1</v>
      </c>
      <c r="K233" s="269">
        <v>82281</v>
      </c>
      <c r="L233" s="269">
        <v>84799</v>
      </c>
      <c r="M233" s="270">
        <v>1</v>
      </c>
      <c r="N233" s="268">
        <v>1</v>
      </c>
      <c r="O233" s="271"/>
      <c r="P233" s="271">
        <v>82281</v>
      </c>
      <c r="Q233" s="271"/>
      <c r="R233" s="271"/>
      <c r="S233" s="271">
        <v>-84799</v>
      </c>
      <c r="T233" s="271"/>
      <c r="U233" s="272">
        <v>1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153</v>
      </c>
      <c r="B234" s="267" t="s">
        <v>911</v>
      </c>
      <c r="C234" s="267" t="s">
        <v>94</v>
      </c>
      <c r="D234" s="267" t="s">
        <v>92</v>
      </c>
      <c r="E234" s="267" t="s">
        <v>0</v>
      </c>
      <c r="F234" s="268"/>
      <c r="G234" s="269"/>
      <c r="H234" s="269"/>
      <c r="I234" s="270"/>
      <c r="J234" s="268">
        <v>1</v>
      </c>
      <c r="K234" s="269">
        <v>82383</v>
      </c>
      <c r="L234" s="269">
        <v>84529</v>
      </c>
      <c r="M234" s="270">
        <v>1</v>
      </c>
      <c r="N234" s="268">
        <v>1</v>
      </c>
      <c r="O234" s="271"/>
      <c r="P234" s="271">
        <v>82383</v>
      </c>
      <c r="Q234" s="271"/>
      <c r="R234" s="271"/>
      <c r="S234" s="271">
        <v>-84529</v>
      </c>
      <c r="T234" s="271"/>
      <c r="U234" s="272">
        <v>1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153</v>
      </c>
      <c r="B235" s="267" t="s">
        <v>912</v>
      </c>
      <c r="C235" s="267" t="s">
        <v>94</v>
      </c>
      <c r="D235" s="267" t="s">
        <v>92</v>
      </c>
      <c r="E235" s="267" t="s">
        <v>0</v>
      </c>
      <c r="F235" s="268"/>
      <c r="G235" s="269"/>
      <c r="H235" s="269"/>
      <c r="I235" s="270"/>
      <c r="J235" s="268">
        <v>1</v>
      </c>
      <c r="K235" s="269">
        <v>82271</v>
      </c>
      <c r="L235" s="269">
        <v>84859</v>
      </c>
      <c r="M235" s="270">
        <v>1</v>
      </c>
      <c r="N235" s="268">
        <v>1</v>
      </c>
      <c r="O235" s="271"/>
      <c r="P235" s="271">
        <v>82271</v>
      </c>
      <c r="Q235" s="271"/>
      <c r="R235" s="271"/>
      <c r="S235" s="271">
        <v>-84859</v>
      </c>
      <c r="T235" s="271"/>
      <c r="U235" s="272">
        <v>1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153</v>
      </c>
      <c r="B236" s="267" t="s">
        <v>214</v>
      </c>
      <c r="C236" s="267" t="s">
        <v>94</v>
      </c>
      <c r="D236" s="267" t="s">
        <v>92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83026</v>
      </c>
      <c r="L236" s="269">
        <v>84069</v>
      </c>
      <c r="M236" s="270">
        <v>1</v>
      </c>
      <c r="N236" s="268">
        <v>1</v>
      </c>
      <c r="O236" s="271"/>
      <c r="P236" s="271">
        <v>83026</v>
      </c>
      <c r="Q236" s="271"/>
      <c r="R236" s="271"/>
      <c r="S236" s="271">
        <v>-84069</v>
      </c>
      <c r="T236" s="271"/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153</v>
      </c>
      <c r="B237" s="267" t="s">
        <v>913</v>
      </c>
      <c r="C237" s="267" t="s">
        <v>94</v>
      </c>
      <c r="D237" s="267" t="s">
        <v>92</v>
      </c>
      <c r="E237" s="267" t="s">
        <v>0</v>
      </c>
      <c r="F237" s="268"/>
      <c r="G237" s="269"/>
      <c r="H237" s="269"/>
      <c r="I237" s="270"/>
      <c r="J237" s="268">
        <v>1</v>
      </c>
      <c r="K237" s="269">
        <v>82369</v>
      </c>
      <c r="L237" s="269">
        <v>84716</v>
      </c>
      <c r="M237" s="270">
        <v>1</v>
      </c>
      <c r="N237" s="268">
        <v>1</v>
      </c>
      <c r="O237" s="271"/>
      <c r="P237" s="271">
        <v>82369</v>
      </c>
      <c r="Q237" s="271"/>
      <c r="R237" s="271"/>
      <c r="S237" s="271">
        <v>-84716</v>
      </c>
      <c r="T237" s="271"/>
      <c r="U237" s="272">
        <v>1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153</v>
      </c>
      <c r="B238" s="267" t="s">
        <v>215</v>
      </c>
      <c r="C238" s="267" t="s">
        <v>94</v>
      </c>
      <c r="D238" s="267" t="s">
        <v>92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83107</v>
      </c>
      <c r="L238" s="269">
        <v>84016</v>
      </c>
      <c r="M238" s="270">
        <v>1</v>
      </c>
      <c r="N238" s="268">
        <v>1</v>
      </c>
      <c r="O238" s="271"/>
      <c r="P238" s="271">
        <v>83107</v>
      </c>
      <c r="Q238" s="271"/>
      <c r="R238" s="271"/>
      <c r="S238" s="271">
        <v>-84016</v>
      </c>
      <c r="T238" s="271"/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153</v>
      </c>
      <c r="B239" s="267" t="s">
        <v>914</v>
      </c>
      <c r="C239" s="267" t="s">
        <v>94</v>
      </c>
      <c r="D239" s="267" t="s">
        <v>92</v>
      </c>
      <c r="E239" s="267" t="s">
        <v>0</v>
      </c>
      <c r="F239" s="268"/>
      <c r="G239" s="269"/>
      <c r="H239" s="269"/>
      <c r="I239" s="270"/>
      <c r="J239" s="268">
        <v>1</v>
      </c>
      <c r="K239" s="269">
        <v>82302</v>
      </c>
      <c r="L239" s="269">
        <v>84794</v>
      </c>
      <c r="M239" s="270">
        <v>1</v>
      </c>
      <c r="N239" s="268">
        <v>1</v>
      </c>
      <c r="O239" s="271"/>
      <c r="P239" s="271">
        <v>82302</v>
      </c>
      <c r="Q239" s="271"/>
      <c r="R239" s="271"/>
      <c r="S239" s="271">
        <v>-84794</v>
      </c>
      <c r="T239" s="271"/>
      <c r="U239" s="272">
        <v>1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153</v>
      </c>
      <c r="B240" s="267" t="s">
        <v>915</v>
      </c>
      <c r="C240" s="267" t="s">
        <v>94</v>
      </c>
      <c r="D240" s="267" t="s">
        <v>92</v>
      </c>
      <c r="E240" s="267" t="s">
        <v>0</v>
      </c>
      <c r="F240" s="268"/>
      <c r="G240" s="269"/>
      <c r="H240" s="269"/>
      <c r="I240" s="270"/>
      <c r="J240" s="268">
        <v>1</v>
      </c>
      <c r="K240" s="269">
        <v>82564</v>
      </c>
      <c r="L240" s="269">
        <v>84723</v>
      </c>
      <c r="M240" s="270">
        <v>1</v>
      </c>
      <c r="N240" s="268">
        <v>1</v>
      </c>
      <c r="O240" s="271"/>
      <c r="P240" s="271">
        <v>82564</v>
      </c>
      <c r="Q240" s="271"/>
      <c r="R240" s="271"/>
      <c r="S240" s="271">
        <v>-84723</v>
      </c>
      <c r="T240" s="271"/>
      <c r="U240" s="272">
        <v>1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153</v>
      </c>
      <c r="B241" s="267" t="s">
        <v>916</v>
      </c>
      <c r="C241" s="267" t="s">
        <v>94</v>
      </c>
      <c r="D241" s="267" t="s">
        <v>92</v>
      </c>
      <c r="E241" s="267" t="s">
        <v>0</v>
      </c>
      <c r="F241" s="268"/>
      <c r="G241" s="269"/>
      <c r="H241" s="269"/>
      <c r="I241" s="270"/>
      <c r="J241" s="268">
        <v>1</v>
      </c>
      <c r="K241" s="269">
        <v>82436</v>
      </c>
      <c r="L241" s="269">
        <v>84874</v>
      </c>
      <c r="M241" s="270">
        <v>1</v>
      </c>
      <c r="N241" s="268">
        <v>1</v>
      </c>
      <c r="O241" s="271"/>
      <c r="P241" s="271">
        <v>82436</v>
      </c>
      <c r="Q241" s="271"/>
      <c r="R241" s="271"/>
      <c r="S241" s="271">
        <v>-84874</v>
      </c>
      <c r="T241" s="271"/>
      <c r="U241" s="272">
        <v>1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153</v>
      </c>
      <c r="B242" s="267" t="s">
        <v>216</v>
      </c>
      <c r="C242" s="267" t="s">
        <v>94</v>
      </c>
      <c r="D242" s="267" t="s">
        <v>92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83243</v>
      </c>
      <c r="L242" s="269">
        <v>83900</v>
      </c>
      <c r="M242" s="270">
        <v>1</v>
      </c>
      <c r="N242" s="268">
        <v>1</v>
      </c>
      <c r="O242" s="271"/>
      <c r="P242" s="271">
        <v>83243</v>
      </c>
      <c r="Q242" s="271"/>
      <c r="R242" s="271"/>
      <c r="S242" s="271">
        <v>-83900</v>
      </c>
      <c r="T242" s="271"/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153</v>
      </c>
      <c r="B243" s="267" t="s">
        <v>917</v>
      </c>
      <c r="C243" s="267" t="s">
        <v>94</v>
      </c>
      <c r="D243" s="267" t="s">
        <v>92</v>
      </c>
      <c r="E243" s="267" t="s">
        <v>0</v>
      </c>
      <c r="F243" s="268"/>
      <c r="G243" s="269"/>
      <c r="H243" s="269"/>
      <c r="I243" s="270"/>
      <c r="J243" s="268">
        <v>1</v>
      </c>
      <c r="K243" s="269">
        <v>82486</v>
      </c>
      <c r="L243" s="269">
        <v>84650</v>
      </c>
      <c r="M243" s="270">
        <v>1</v>
      </c>
      <c r="N243" s="268">
        <v>1</v>
      </c>
      <c r="O243" s="271"/>
      <c r="P243" s="271">
        <v>82486</v>
      </c>
      <c r="Q243" s="271"/>
      <c r="R243" s="271"/>
      <c r="S243" s="271">
        <v>-84650</v>
      </c>
      <c r="T243" s="271"/>
      <c r="U243" s="272">
        <v>1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153</v>
      </c>
      <c r="B244" s="267" t="s">
        <v>217</v>
      </c>
      <c r="C244" s="267" t="s">
        <v>94</v>
      </c>
      <c r="D244" s="267" t="s">
        <v>92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83279</v>
      </c>
      <c r="L244" s="269">
        <v>83833</v>
      </c>
      <c r="M244" s="270">
        <v>1</v>
      </c>
      <c r="N244" s="268">
        <v>1</v>
      </c>
      <c r="O244" s="271"/>
      <c r="P244" s="271">
        <v>83279</v>
      </c>
      <c r="Q244" s="271"/>
      <c r="R244" s="271"/>
      <c r="S244" s="271">
        <v>-83833</v>
      </c>
      <c r="T244" s="271"/>
      <c r="U244" s="272">
        <v>1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153</v>
      </c>
      <c r="B245" s="267" t="s">
        <v>918</v>
      </c>
      <c r="C245" s="267" t="s">
        <v>94</v>
      </c>
      <c r="D245" s="267" t="s">
        <v>92</v>
      </c>
      <c r="E245" s="267" t="s">
        <v>0</v>
      </c>
      <c r="F245" s="268"/>
      <c r="G245" s="269"/>
      <c r="H245" s="269"/>
      <c r="I245" s="270"/>
      <c r="J245" s="268">
        <v>1</v>
      </c>
      <c r="K245" s="269">
        <v>82701</v>
      </c>
      <c r="L245" s="269">
        <v>84599</v>
      </c>
      <c r="M245" s="270">
        <v>1</v>
      </c>
      <c r="N245" s="268">
        <v>1</v>
      </c>
      <c r="O245" s="271"/>
      <c r="P245" s="271">
        <v>82701</v>
      </c>
      <c r="Q245" s="271"/>
      <c r="R245" s="271"/>
      <c r="S245" s="271">
        <v>-84599</v>
      </c>
      <c r="T245" s="271"/>
      <c r="U245" s="272">
        <v>1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153</v>
      </c>
      <c r="B246" s="267" t="s">
        <v>919</v>
      </c>
      <c r="C246" s="267" t="s">
        <v>94</v>
      </c>
      <c r="D246" s="267" t="s">
        <v>92</v>
      </c>
      <c r="E246" s="267" t="s">
        <v>0</v>
      </c>
      <c r="F246" s="268"/>
      <c r="G246" s="269"/>
      <c r="H246" s="269"/>
      <c r="I246" s="270"/>
      <c r="J246" s="268">
        <v>1</v>
      </c>
      <c r="K246" s="269">
        <v>82454</v>
      </c>
      <c r="L246" s="269">
        <v>84669</v>
      </c>
      <c r="M246" s="270">
        <v>1</v>
      </c>
      <c r="N246" s="268">
        <v>1</v>
      </c>
      <c r="O246" s="271"/>
      <c r="P246" s="271">
        <v>82454</v>
      </c>
      <c r="Q246" s="271"/>
      <c r="R246" s="271"/>
      <c r="S246" s="271">
        <v>-84669</v>
      </c>
      <c r="T246" s="271"/>
      <c r="U246" s="272">
        <v>1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153</v>
      </c>
      <c r="B247" s="267" t="s">
        <v>920</v>
      </c>
      <c r="C247" s="267" t="s">
        <v>94</v>
      </c>
      <c r="D247" s="267" t="s">
        <v>92</v>
      </c>
      <c r="E247" s="267" t="s">
        <v>0</v>
      </c>
      <c r="F247" s="268"/>
      <c r="G247" s="269"/>
      <c r="H247" s="269"/>
      <c r="I247" s="270"/>
      <c r="J247" s="268">
        <v>1</v>
      </c>
      <c r="K247" s="269">
        <v>82438</v>
      </c>
      <c r="L247" s="269">
        <v>84490</v>
      </c>
      <c r="M247" s="270">
        <v>1</v>
      </c>
      <c r="N247" s="268">
        <v>1</v>
      </c>
      <c r="O247" s="271"/>
      <c r="P247" s="271">
        <v>82438</v>
      </c>
      <c r="Q247" s="271"/>
      <c r="R247" s="271"/>
      <c r="S247" s="271">
        <v>-84490</v>
      </c>
      <c r="T247" s="271"/>
      <c r="U247" s="272">
        <v>1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153</v>
      </c>
      <c r="B248" s="267" t="s">
        <v>921</v>
      </c>
      <c r="C248" s="267" t="s">
        <v>94</v>
      </c>
      <c r="D248" s="267" t="s">
        <v>92</v>
      </c>
      <c r="E248" s="267" t="s">
        <v>0</v>
      </c>
      <c r="F248" s="268"/>
      <c r="G248" s="269"/>
      <c r="H248" s="269"/>
      <c r="I248" s="270"/>
      <c r="J248" s="268">
        <v>1</v>
      </c>
      <c r="K248" s="269">
        <v>82817</v>
      </c>
      <c r="L248" s="269">
        <v>84345</v>
      </c>
      <c r="M248" s="270">
        <v>1</v>
      </c>
      <c r="N248" s="268">
        <v>1</v>
      </c>
      <c r="O248" s="271"/>
      <c r="P248" s="271">
        <v>82817</v>
      </c>
      <c r="Q248" s="271"/>
      <c r="R248" s="271"/>
      <c r="S248" s="271">
        <v>-84345</v>
      </c>
      <c r="T248" s="271"/>
      <c r="U248" s="272">
        <v>1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153</v>
      </c>
      <c r="B249" s="267" t="s">
        <v>922</v>
      </c>
      <c r="C249" s="267" t="s">
        <v>94</v>
      </c>
      <c r="D249" s="267" t="s">
        <v>92</v>
      </c>
      <c r="E249" s="267" t="s">
        <v>0</v>
      </c>
      <c r="F249" s="268"/>
      <c r="G249" s="269"/>
      <c r="H249" s="269"/>
      <c r="I249" s="270"/>
      <c r="J249" s="268">
        <v>1</v>
      </c>
      <c r="K249" s="269">
        <v>82717</v>
      </c>
      <c r="L249" s="269">
        <v>84448</v>
      </c>
      <c r="M249" s="270">
        <v>1</v>
      </c>
      <c r="N249" s="268">
        <v>1</v>
      </c>
      <c r="O249" s="271"/>
      <c r="P249" s="271">
        <v>82717</v>
      </c>
      <c r="Q249" s="271"/>
      <c r="R249" s="271"/>
      <c r="S249" s="271">
        <v>-84448</v>
      </c>
      <c r="T249" s="271"/>
      <c r="U249" s="272">
        <v>1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153</v>
      </c>
      <c r="B250" s="267" t="s">
        <v>923</v>
      </c>
      <c r="C250" s="267" t="s">
        <v>94</v>
      </c>
      <c r="D250" s="267" t="s">
        <v>92</v>
      </c>
      <c r="E250" s="267" t="s">
        <v>0</v>
      </c>
      <c r="F250" s="268"/>
      <c r="G250" s="269"/>
      <c r="H250" s="269"/>
      <c r="I250" s="270"/>
      <c r="J250" s="268">
        <v>1</v>
      </c>
      <c r="K250" s="269">
        <v>82833</v>
      </c>
      <c r="L250" s="269">
        <v>84134</v>
      </c>
      <c r="M250" s="270">
        <v>1</v>
      </c>
      <c r="N250" s="268">
        <v>1</v>
      </c>
      <c r="O250" s="271"/>
      <c r="P250" s="271">
        <v>82833</v>
      </c>
      <c r="Q250" s="271"/>
      <c r="R250" s="271"/>
      <c r="S250" s="271">
        <v>-84134</v>
      </c>
      <c r="T250" s="271"/>
      <c r="U250" s="272">
        <v>1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153</v>
      </c>
      <c r="B251" s="267" t="s">
        <v>924</v>
      </c>
      <c r="C251" s="267" t="s">
        <v>94</v>
      </c>
      <c r="D251" s="267" t="s">
        <v>92</v>
      </c>
      <c r="E251" s="267" t="s">
        <v>0</v>
      </c>
      <c r="F251" s="268"/>
      <c r="G251" s="269"/>
      <c r="H251" s="269"/>
      <c r="I251" s="270"/>
      <c r="J251" s="268">
        <v>1</v>
      </c>
      <c r="K251" s="269">
        <v>82768</v>
      </c>
      <c r="L251" s="269">
        <v>84233</v>
      </c>
      <c r="M251" s="270">
        <v>1</v>
      </c>
      <c r="N251" s="268">
        <v>1</v>
      </c>
      <c r="O251" s="271"/>
      <c r="P251" s="271">
        <v>82768</v>
      </c>
      <c r="Q251" s="271"/>
      <c r="R251" s="271"/>
      <c r="S251" s="271">
        <v>-84233</v>
      </c>
      <c r="T251" s="271"/>
      <c r="U251" s="272">
        <v>1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153</v>
      </c>
      <c r="B252" s="267" t="s">
        <v>925</v>
      </c>
      <c r="C252" s="267" t="s">
        <v>94</v>
      </c>
      <c r="D252" s="267" t="s">
        <v>92</v>
      </c>
      <c r="E252" s="267" t="s">
        <v>0</v>
      </c>
      <c r="F252" s="268"/>
      <c r="G252" s="269"/>
      <c r="H252" s="269"/>
      <c r="I252" s="270"/>
      <c r="J252" s="268">
        <v>1</v>
      </c>
      <c r="K252" s="269">
        <v>82735</v>
      </c>
      <c r="L252" s="269">
        <v>84447</v>
      </c>
      <c r="M252" s="270">
        <v>1</v>
      </c>
      <c r="N252" s="268">
        <v>1</v>
      </c>
      <c r="O252" s="271"/>
      <c r="P252" s="271">
        <v>82735</v>
      </c>
      <c r="Q252" s="271"/>
      <c r="R252" s="271"/>
      <c r="S252" s="271">
        <v>-84447</v>
      </c>
      <c r="T252" s="271"/>
      <c r="U252" s="272">
        <v>1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153</v>
      </c>
      <c r="B253" s="267" t="s">
        <v>926</v>
      </c>
      <c r="C253" s="267" t="s">
        <v>94</v>
      </c>
      <c r="D253" s="267" t="s">
        <v>92</v>
      </c>
      <c r="E253" s="267" t="s">
        <v>0</v>
      </c>
      <c r="F253" s="268"/>
      <c r="G253" s="269"/>
      <c r="H253" s="269"/>
      <c r="I253" s="270"/>
      <c r="J253" s="268">
        <v>1</v>
      </c>
      <c r="K253" s="269">
        <v>82739</v>
      </c>
      <c r="L253" s="269">
        <v>84412</v>
      </c>
      <c r="M253" s="270">
        <v>1</v>
      </c>
      <c r="N253" s="268">
        <v>1</v>
      </c>
      <c r="O253" s="271"/>
      <c r="P253" s="271">
        <v>82739</v>
      </c>
      <c r="Q253" s="271"/>
      <c r="R253" s="271"/>
      <c r="S253" s="271">
        <v>-84412</v>
      </c>
      <c r="T253" s="271"/>
      <c r="U253" s="272">
        <v>1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153</v>
      </c>
      <c r="B254" s="267" t="s">
        <v>927</v>
      </c>
      <c r="C254" s="267" t="s">
        <v>94</v>
      </c>
      <c r="D254" s="267" t="s">
        <v>92</v>
      </c>
      <c r="E254" s="267" t="s">
        <v>0</v>
      </c>
      <c r="F254" s="268"/>
      <c r="G254" s="269"/>
      <c r="H254" s="269"/>
      <c r="I254" s="270"/>
      <c r="J254" s="268">
        <v>1</v>
      </c>
      <c r="K254" s="269">
        <v>82697</v>
      </c>
      <c r="L254" s="269">
        <v>84444</v>
      </c>
      <c r="M254" s="270">
        <v>1</v>
      </c>
      <c r="N254" s="268">
        <v>1</v>
      </c>
      <c r="O254" s="271"/>
      <c r="P254" s="271">
        <v>82697</v>
      </c>
      <c r="Q254" s="271"/>
      <c r="R254" s="271"/>
      <c r="S254" s="271">
        <v>-84444</v>
      </c>
      <c r="T254" s="271"/>
      <c r="U254" s="272">
        <v>1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153</v>
      </c>
      <c r="B255" s="267" t="s">
        <v>928</v>
      </c>
      <c r="C255" s="267" t="s">
        <v>94</v>
      </c>
      <c r="D255" s="267" t="s">
        <v>92</v>
      </c>
      <c r="E255" s="267" t="s">
        <v>0</v>
      </c>
      <c r="F255" s="268"/>
      <c r="G255" s="269"/>
      <c r="H255" s="269"/>
      <c r="I255" s="270"/>
      <c r="J255" s="268">
        <v>1</v>
      </c>
      <c r="K255" s="269">
        <v>82384</v>
      </c>
      <c r="L255" s="269">
        <v>84731</v>
      </c>
      <c r="M255" s="270">
        <v>1</v>
      </c>
      <c r="N255" s="268">
        <v>1</v>
      </c>
      <c r="O255" s="271"/>
      <c r="P255" s="271">
        <v>82384</v>
      </c>
      <c r="Q255" s="271"/>
      <c r="R255" s="271"/>
      <c r="S255" s="271">
        <v>-84731</v>
      </c>
      <c r="T255" s="271"/>
      <c r="U255" s="272">
        <v>1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153</v>
      </c>
      <c r="B256" s="267" t="s">
        <v>929</v>
      </c>
      <c r="C256" s="267" t="s">
        <v>94</v>
      </c>
      <c r="D256" s="267" t="s">
        <v>92</v>
      </c>
      <c r="E256" s="267" t="s">
        <v>0</v>
      </c>
      <c r="F256" s="268"/>
      <c r="G256" s="269"/>
      <c r="H256" s="269"/>
      <c r="I256" s="270"/>
      <c r="J256" s="268">
        <v>1</v>
      </c>
      <c r="K256" s="269">
        <v>82680</v>
      </c>
      <c r="L256" s="269">
        <v>84396</v>
      </c>
      <c r="M256" s="270">
        <v>1</v>
      </c>
      <c r="N256" s="268">
        <v>1</v>
      </c>
      <c r="O256" s="271"/>
      <c r="P256" s="271">
        <v>82680</v>
      </c>
      <c r="Q256" s="271"/>
      <c r="R256" s="271"/>
      <c r="S256" s="271">
        <v>-84396</v>
      </c>
      <c r="T256" s="271"/>
      <c r="U256" s="272">
        <v>1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153</v>
      </c>
      <c r="B257" s="267" t="s">
        <v>930</v>
      </c>
      <c r="C257" s="267" t="s">
        <v>94</v>
      </c>
      <c r="D257" s="267" t="s">
        <v>92</v>
      </c>
      <c r="E257" s="267" t="s">
        <v>0</v>
      </c>
      <c r="F257" s="268"/>
      <c r="G257" s="269"/>
      <c r="H257" s="269"/>
      <c r="I257" s="270"/>
      <c r="J257" s="268">
        <v>1</v>
      </c>
      <c r="K257" s="269">
        <v>82450</v>
      </c>
      <c r="L257" s="269">
        <v>84614</v>
      </c>
      <c r="M257" s="270">
        <v>1</v>
      </c>
      <c r="N257" s="268">
        <v>1</v>
      </c>
      <c r="O257" s="271"/>
      <c r="P257" s="271">
        <v>82450</v>
      </c>
      <c r="Q257" s="271"/>
      <c r="R257" s="271"/>
      <c r="S257" s="271">
        <v>-84614</v>
      </c>
      <c r="T257" s="271"/>
      <c r="U257" s="272">
        <v>1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153</v>
      </c>
      <c r="B258" s="267" t="s">
        <v>931</v>
      </c>
      <c r="C258" s="267" t="s">
        <v>94</v>
      </c>
      <c r="D258" s="267" t="s">
        <v>92</v>
      </c>
      <c r="E258" s="267" t="s">
        <v>0</v>
      </c>
      <c r="F258" s="268"/>
      <c r="G258" s="269"/>
      <c r="H258" s="269"/>
      <c r="I258" s="270"/>
      <c r="J258" s="268">
        <v>1</v>
      </c>
      <c r="K258" s="269">
        <v>82353</v>
      </c>
      <c r="L258" s="269">
        <v>84739</v>
      </c>
      <c r="M258" s="270">
        <v>1</v>
      </c>
      <c r="N258" s="268">
        <v>1</v>
      </c>
      <c r="O258" s="271"/>
      <c r="P258" s="271">
        <v>82353</v>
      </c>
      <c r="Q258" s="271"/>
      <c r="R258" s="271"/>
      <c r="S258" s="271">
        <v>-84739</v>
      </c>
      <c r="T258" s="271"/>
      <c r="U258" s="272">
        <v>1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153</v>
      </c>
      <c r="B259" s="267" t="s">
        <v>932</v>
      </c>
      <c r="C259" s="267" t="s">
        <v>94</v>
      </c>
      <c r="D259" s="267" t="s">
        <v>92</v>
      </c>
      <c r="E259" s="267" t="s">
        <v>0</v>
      </c>
      <c r="F259" s="268"/>
      <c r="G259" s="269"/>
      <c r="H259" s="269"/>
      <c r="I259" s="270"/>
      <c r="J259" s="268">
        <v>1</v>
      </c>
      <c r="K259" s="269">
        <v>82456</v>
      </c>
      <c r="L259" s="269">
        <v>84690</v>
      </c>
      <c r="M259" s="270">
        <v>1</v>
      </c>
      <c r="N259" s="268">
        <v>1</v>
      </c>
      <c r="O259" s="271"/>
      <c r="P259" s="271">
        <v>82456</v>
      </c>
      <c r="Q259" s="271"/>
      <c r="R259" s="271"/>
      <c r="S259" s="271">
        <v>-84690</v>
      </c>
      <c r="T259" s="271"/>
      <c r="U259" s="272">
        <v>1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153</v>
      </c>
      <c r="B260" s="267" t="s">
        <v>933</v>
      </c>
      <c r="C260" s="267" t="s">
        <v>94</v>
      </c>
      <c r="D260" s="267" t="s">
        <v>92</v>
      </c>
      <c r="E260" s="267" t="s">
        <v>0</v>
      </c>
      <c r="F260" s="268"/>
      <c r="G260" s="269"/>
      <c r="H260" s="269"/>
      <c r="I260" s="270"/>
      <c r="J260" s="268">
        <v>1</v>
      </c>
      <c r="K260" s="269">
        <v>82646</v>
      </c>
      <c r="L260" s="269">
        <v>84269</v>
      </c>
      <c r="M260" s="270">
        <v>1</v>
      </c>
      <c r="N260" s="268">
        <v>1</v>
      </c>
      <c r="O260" s="271"/>
      <c r="P260" s="271">
        <v>82646</v>
      </c>
      <c r="Q260" s="271"/>
      <c r="R260" s="271"/>
      <c r="S260" s="271">
        <v>-84269</v>
      </c>
      <c r="T260" s="271"/>
      <c r="U260" s="272">
        <v>1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153</v>
      </c>
      <c r="B261" s="267" t="s">
        <v>934</v>
      </c>
      <c r="C261" s="267" t="s">
        <v>94</v>
      </c>
      <c r="D261" s="267" t="s">
        <v>92</v>
      </c>
      <c r="E261" s="267" t="s">
        <v>0</v>
      </c>
      <c r="F261" s="268"/>
      <c r="G261" s="269"/>
      <c r="H261" s="269"/>
      <c r="I261" s="270"/>
      <c r="J261" s="268">
        <v>1</v>
      </c>
      <c r="K261" s="269">
        <v>82399</v>
      </c>
      <c r="L261" s="269">
        <v>84506</v>
      </c>
      <c r="M261" s="270">
        <v>1</v>
      </c>
      <c r="N261" s="268">
        <v>1</v>
      </c>
      <c r="O261" s="271"/>
      <c r="P261" s="271">
        <v>82399</v>
      </c>
      <c r="Q261" s="271"/>
      <c r="R261" s="271"/>
      <c r="S261" s="271">
        <v>-84506</v>
      </c>
      <c r="T261" s="271"/>
      <c r="U261" s="272">
        <v>1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153</v>
      </c>
      <c r="B262" s="267" t="s">
        <v>935</v>
      </c>
      <c r="C262" s="267" t="s">
        <v>94</v>
      </c>
      <c r="D262" s="267" t="s">
        <v>92</v>
      </c>
      <c r="E262" s="267" t="s">
        <v>0</v>
      </c>
      <c r="F262" s="268"/>
      <c r="G262" s="269"/>
      <c r="H262" s="269"/>
      <c r="I262" s="270"/>
      <c r="J262" s="268">
        <v>1</v>
      </c>
      <c r="K262" s="269">
        <v>82727</v>
      </c>
      <c r="L262" s="269">
        <v>84216</v>
      </c>
      <c r="M262" s="270">
        <v>1</v>
      </c>
      <c r="N262" s="268">
        <v>1</v>
      </c>
      <c r="O262" s="271"/>
      <c r="P262" s="271">
        <v>82727</v>
      </c>
      <c r="Q262" s="271"/>
      <c r="R262" s="271"/>
      <c r="S262" s="271">
        <v>-84216</v>
      </c>
      <c r="T262" s="271"/>
      <c r="U262" s="272">
        <v>1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153</v>
      </c>
      <c r="B263" s="267" t="s">
        <v>936</v>
      </c>
      <c r="C263" s="267" t="s">
        <v>94</v>
      </c>
      <c r="D263" s="267" t="s">
        <v>92</v>
      </c>
      <c r="E263" s="267" t="s">
        <v>0</v>
      </c>
      <c r="F263" s="268"/>
      <c r="G263" s="269"/>
      <c r="H263" s="269"/>
      <c r="I263" s="270"/>
      <c r="J263" s="268">
        <v>1</v>
      </c>
      <c r="K263" s="269">
        <v>82501</v>
      </c>
      <c r="L263" s="269">
        <v>84399</v>
      </c>
      <c r="M263" s="270">
        <v>1</v>
      </c>
      <c r="N263" s="268">
        <v>1</v>
      </c>
      <c r="O263" s="271"/>
      <c r="P263" s="271">
        <v>82501</v>
      </c>
      <c r="Q263" s="271"/>
      <c r="R263" s="271"/>
      <c r="S263" s="271">
        <v>-84399</v>
      </c>
      <c r="T263" s="271"/>
      <c r="U263" s="272">
        <v>1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153</v>
      </c>
      <c r="B264" s="267" t="s">
        <v>937</v>
      </c>
      <c r="C264" s="267" t="s">
        <v>94</v>
      </c>
      <c r="D264" s="267" t="s">
        <v>92</v>
      </c>
      <c r="E264" s="267" t="s">
        <v>0</v>
      </c>
      <c r="F264" s="268"/>
      <c r="G264" s="269"/>
      <c r="H264" s="269"/>
      <c r="I264" s="270"/>
      <c r="J264" s="268">
        <v>1</v>
      </c>
      <c r="K264" s="269">
        <v>82384</v>
      </c>
      <c r="L264" s="269">
        <v>84543</v>
      </c>
      <c r="M264" s="270">
        <v>1</v>
      </c>
      <c r="N264" s="268">
        <v>1</v>
      </c>
      <c r="O264" s="271"/>
      <c r="P264" s="271">
        <v>82384</v>
      </c>
      <c r="Q264" s="271"/>
      <c r="R264" s="271"/>
      <c r="S264" s="271">
        <v>-84543</v>
      </c>
      <c r="T264" s="271"/>
      <c r="U264" s="272">
        <v>1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153</v>
      </c>
      <c r="B265" s="267" t="s">
        <v>938</v>
      </c>
      <c r="C265" s="267" t="s">
        <v>94</v>
      </c>
      <c r="D265" s="267" t="s">
        <v>92</v>
      </c>
      <c r="E265" s="267" t="s">
        <v>0</v>
      </c>
      <c r="F265" s="268"/>
      <c r="G265" s="269"/>
      <c r="H265" s="269"/>
      <c r="I265" s="270"/>
      <c r="J265" s="268">
        <v>1</v>
      </c>
      <c r="K265" s="269">
        <v>82441</v>
      </c>
      <c r="L265" s="269">
        <v>84525</v>
      </c>
      <c r="M265" s="270">
        <v>1</v>
      </c>
      <c r="N265" s="268">
        <v>1</v>
      </c>
      <c r="O265" s="271"/>
      <c r="P265" s="271">
        <v>82441</v>
      </c>
      <c r="Q265" s="271"/>
      <c r="R265" s="271"/>
      <c r="S265" s="271">
        <v>-84525</v>
      </c>
      <c r="T265" s="271"/>
      <c r="U265" s="272">
        <v>1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153</v>
      </c>
      <c r="B266" s="267" t="s">
        <v>939</v>
      </c>
      <c r="C266" s="267" t="s">
        <v>94</v>
      </c>
      <c r="D266" s="267" t="s">
        <v>92</v>
      </c>
      <c r="E266" s="267" t="s">
        <v>0</v>
      </c>
      <c r="F266" s="268"/>
      <c r="G266" s="269"/>
      <c r="H266" s="269"/>
      <c r="I266" s="270"/>
      <c r="J266" s="268">
        <v>1</v>
      </c>
      <c r="K266" s="269">
        <v>82648</v>
      </c>
      <c r="L266" s="269">
        <v>84479</v>
      </c>
      <c r="M266" s="270">
        <v>1</v>
      </c>
      <c r="N266" s="268">
        <v>1</v>
      </c>
      <c r="O266" s="271"/>
      <c r="P266" s="271">
        <v>82648</v>
      </c>
      <c r="Q266" s="271"/>
      <c r="R266" s="271"/>
      <c r="S266" s="271">
        <v>-84479</v>
      </c>
      <c r="T266" s="271"/>
      <c r="U266" s="272">
        <v>1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153</v>
      </c>
      <c r="B267" s="267" t="s">
        <v>940</v>
      </c>
      <c r="C267" s="267" t="s">
        <v>94</v>
      </c>
      <c r="D267" s="267" t="s">
        <v>92</v>
      </c>
      <c r="E267" s="267" t="s">
        <v>0</v>
      </c>
      <c r="F267" s="268"/>
      <c r="G267" s="269"/>
      <c r="H267" s="269"/>
      <c r="I267" s="270"/>
      <c r="J267" s="268">
        <v>1</v>
      </c>
      <c r="K267" s="269">
        <v>82301</v>
      </c>
      <c r="L267" s="269">
        <v>84819</v>
      </c>
      <c r="M267" s="270">
        <v>1</v>
      </c>
      <c r="N267" s="268">
        <v>1</v>
      </c>
      <c r="O267" s="271"/>
      <c r="P267" s="271">
        <v>82301</v>
      </c>
      <c r="Q267" s="271"/>
      <c r="R267" s="271"/>
      <c r="S267" s="271">
        <v>-84819</v>
      </c>
      <c r="T267" s="271"/>
      <c r="U267" s="272">
        <v>1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153</v>
      </c>
      <c r="B268" s="267" t="s">
        <v>941</v>
      </c>
      <c r="C268" s="267" t="s">
        <v>94</v>
      </c>
      <c r="D268" s="267" t="s">
        <v>92</v>
      </c>
      <c r="E268" s="267" t="s">
        <v>0</v>
      </c>
      <c r="F268" s="268"/>
      <c r="G268" s="269"/>
      <c r="H268" s="269"/>
      <c r="I268" s="270"/>
      <c r="J268" s="268">
        <v>1</v>
      </c>
      <c r="K268" s="269">
        <v>82684</v>
      </c>
      <c r="L268" s="269">
        <v>84412</v>
      </c>
      <c r="M268" s="270">
        <v>1</v>
      </c>
      <c r="N268" s="268">
        <v>1</v>
      </c>
      <c r="O268" s="271"/>
      <c r="P268" s="271">
        <v>82684</v>
      </c>
      <c r="Q268" s="271"/>
      <c r="R268" s="271"/>
      <c r="S268" s="271">
        <v>-84412</v>
      </c>
      <c r="T268" s="271"/>
      <c r="U268" s="272">
        <v>1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153</v>
      </c>
      <c r="B269" s="267" t="s">
        <v>942</v>
      </c>
      <c r="C269" s="267" t="s">
        <v>94</v>
      </c>
      <c r="D269" s="267" t="s">
        <v>92</v>
      </c>
      <c r="E269" s="267" t="s">
        <v>0</v>
      </c>
      <c r="F269" s="268"/>
      <c r="G269" s="269"/>
      <c r="H269" s="269"/>
      <c r="I269" s="270"/>
      <c r="J269" s="268">
        <v>1</v>
      </c>
      <c r="K269" s="269">
        <v>82306</v>
      </c>
      <c r="L269" s="269">
        <v>84798</v>
      </c>
      <c r="M269" s="270">
        <v>1</v>
      </c>
      <c r="N269" s="268">
        <v>1</v>
      </c>
      <c r="O269" s="271"/>
      <c r="P269" s="271">
        <v>82306</v>
      </c>
      <c r="Q269" s="271"/>
      <c r="R269" s="271"/>
      <c r="S269" s="271">
        <v>-84798</v>
      </c>
      <c r="T269" s="271"/>
      <c r="U269" s="272">
        <v>1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153</v>
      </c>
      <c r="B270" s="267" t="s">
        <v>943</v>
      </c>
      <c r="C270" s="267" t="s">
        <v>94</v>
      </c>
      <c r="D270" s="267" t="s">
        <v>92</v>
      </c>
      <c r="E270" s="267" t="s">
        <v>0</v>
      </c>
      <c r="F270" s="268"/>
      <c r="G270" s="269"/>
      <c r="H270" s="269"/>
      <c r="I270" s="270"/>
      <c r="J270" s="268">
        <v>1</v>
      </c>
      <c r="K270" s="269">
        <v>82438</v>
      </c>
      <c r="L270" s="269">
        <v>84653</v>
      </c>
      <c r="M270" s="270">
        <v>1</v>
      </c>
      <c r="N270" s="268">
        <v>1</v>
      </c>
      <c r="O270" s="271"/>
      <c r="P270" s="271">
        <v>82438</v>
      </c>
      <c r="Q270" s="271"/>
      <c r="R270" s="271"/>
      <c r="S270" s="271">
        <v>-84653</v>
      </c>
      <c r="T270" s="271"/>
      <c r="U270" s="272">
        <v>1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153</v>
      </c>
      <c r="B271" s="267" t="s">
        <v>944</v>
      </c>
      <c r="C271" s="267" t="s">
        <v>94</v>
      </c>
      <c r="D271" s="267" t="s">
        <v>92</v>
      </c>
      <c r="E271" s="267" t="s">
        <v>0</v>
      </c>
      <c r="F271" s="268"/>
      <c r="G271" s="269"/>
      <c r="H271" s="269"/>
      <c r="I271" s="270"/>
      <c r="J271" s="268">
        <v>1</v>
      </c>
      <c r="K271" s="269">
        <v>82392</v>
      </c>
      <c r="L271" s="269">
        <v>84684</v>
      </c>
      <c r="M271" s="270">
        <v>1</v>
      </c>
      <c r="N271" s="268">
        <v>1</v>
      </c>
      <c r="O271" s="271"/>
      <c r="P271" s="271">
        <v>82392</v>
      </c>
      <c r="Q271" s="271"/>
      <c r="R271" s="271"/>
      <c r="S271" s="271">
        <v>-84684</v>
      </c>
      <c r="T271" s="271"/>
      <c r="U271" s="272">
        <v>1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153</v>
      </c>
      <c r="B272" s="267" t="s">
        <v>945</v>
      </c>
      <c r="C272" s="267" t="s">
        <v>94</v>
      </c>
      <c r="D272" s="267" t="s">
        <v>92</v>
      </c>
      <c r="E272" s="267" t="s">
        <v>0</v>
      </c>
      <c r="F272" s="268"/>
      <c r="G272" s="269"/>
      <c r="H272" s="269"/>
      <c r="I272" s="270"/>
      <c r="J272" s="268">
        <v>1</v>
      </c>
      <c r="K272" s="269">
        <v>82762</v>
      </c>
      <c r="L272" s="269">
        <v>84290</v>
      </c>
      <c r="M272" s="270">
        <v>1</v>
      </c>
      <c r="N272" s="268">
        <v>1</v>
      </c>
      <c r="O272" s="271"/>
      <c r="P272" s="271">
        <v>82762</v>
      </c>
      <c r="Q272" s="271"/>
      <c r="R272" s="271"/>
      <c r="S272" s="271">
        <v>-84290</v>
      </c>
      <c r="T272" s="271"/>
      <c r="U272" s="272">
        <v>1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153</v>
      </c>
      <c r="B273" s="267" t="s">
        <v>946</v>
      </c>
      <c r="C273" s="267" t="s">
        <v>94</v>
      </c>
      <c r="D273" s="267" t="s">
        <v>92</v>
      </c>
      <c r="E273" s="267" t="s">
        <v>0</v>
      </c>
      <c r="F273" s="268"/>
      <c r="G273" s="269"/>
      <c r="H273" s="269"/>
      <c r="I273" s="270"/>
      <c r="J273" s="268">
        <v>1</v>
      </c>
      <c r="K273" s="269">
        <v>82662</v>
      </c>
      <c r="L273" s="269">
        <v>84393</v>
      </c>
      <c r="M273" s="270">
        <v>1</v>
      </c>
      <c r="N273" s="268">
        <v>1</v>
      </c>
      <c r="O273" s="271"/>
      <c r="P273" s="271">
        <v>82662</v>
      </c>
      <c r="Q273" s="271"/>
      <c r="R273" s="271"/>
      <c r="S273" s="271">
        <v>-84393</v>
      </c>
      <c r="T273" s="271"/>
      <c r="U273" s="272">
        <v>1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153</v>
      </c>
      <c r="B274" s="267" t="s">
        <v>947</v>
      </c>
      <c r="C274" s="267" t="s">
        <v>94</v>
      </c>
      <c r="D274" s="267" t="s">
        <v>92</v>
      </c>
      <c r="E274" s="267" t="s">
        <v>0</v>
      </c>
      <c r="F274" s="268"/>
      <c r="G274" s="269"/>
      <c r="H274" s="269"/>
      <c r="I274" s="270"/>
      <c r="J274" s="268">
        <v>1</v>
      </c>
      <c r="K274" s="269">
        <v>82748</v>
      </c>
      <c r="L274" s="269">
        <v>84289</v>
      </c>
      <c r="M274" s="270">
        <v>1</v>
      </c>
      <c r="N274" s="268">
        <v>1</v>
      </c>
      <c r="O274" s="271"/>
      <c r="P274" s="271">
        <v>82748</v>
      </c>
      <c r="Q274" s="271"/>
      <c r="R274" s="271"/>
      <c r="S274" s="271">
        <v>-84289</v>
      </c>
      <c r="T274" s="271"/>
      <c r="U274" s="272">
        <v>1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153</v>
      </c>
      <c r="B275" s="267" t="s">
        <v>948</v>
      </c>
      <c r="C275" s="267" t="s">
        <v>94</v>
      </c>
      <c r="D275" s="267" t="s">
        <v>92</v>
      </c>
      <c r="E275" s="267" t="s">
        <v>0</v>
      </c>
      <c r="F275" s="268"/>
      <c r="G275" s="269"/>
      <c r="H275" s="269"/>
      <c r="I275" s="270"/>
      <c r="J275" s="268">
        <v>1</v>
      </c>
      <c r="K275" s="269">
        <v>82683</v>
      </c>
      <c r="L275" s="269">
        <v>84388</v>
      </c>
      <c r="M275" s="270">
        <v>1</v>
      </c>
      <c r="N275" s="268">
        <v>1</v>
      </c>
      <c r="O275" s="271"/>
      <c r="P275" s="271">
        <v>82683</v>
      </c>
      <c r="Q275" s="271"/>
      <c r="R275" s="271"/>
      <c r="S275" s="271">
        <v>-84388</v>
      </c>
      <c r="T275" s="271"/>
      <c r="U275" s="272">
        <v>1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153</v>
      </c>
      <c r="B276" s="267" t="s">
        <v>949</v>
      </c>
      <c r="C276" s="267" t="s">
        <v>94</v>
      </c>
      <c r="D276" s="267" t="s">
        <v>92</v>
      </c>
      <c r="E276" s="267" t="s">
        <v>0</v>
      </c>
      <c r="F276" s="268"/>
      <c r="G276" s="269"/>
      <c r="H276" s="269"/>
      <c r="I276" s="270"/>
      <c r="J276" s="268">
        <v>1</v>
      </c>
      <c r="K276" s="269">
        <v>82865</v>
      </c>
      <c r="L276" s="269">
        <v>84223</v>
      </c>
      <c r="M276" s="270">
        <v>1</v>
      </c>
      <c r="N276" s="268">
        <v>1</v>
      </c>
      <c r="O276" s="271"/>
      <c r="P276" s="271">
        <v>82865</v>
      </c>
      <c r="Q276" s="271"/>
      <c r="R276" s="271"/>
      <c r="S276" s="271">
        <v>-84223</v>
      </c>
      <c r="T276" s="271"/>
      <c r="U276" s="272">
        <v>1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153</v>
      </c>
      <c r="B277" s="267" t="s">
        <v>950</v>
      </c>
      <c r="C277" s="267" t="s">
        <v>94</v>
      </c>
      <c r="D277" s="267" t="s">
        <v>92</v>
      </c>
      <c r="E277" s="267" t="s">
        <v>0</v>
      </c>
      <c r="F277" s="268"/>
      <c r="G277" s="269"/>
      <c r="H277" s="269"/>
      <c r="I277" s="270"/>
      <c r="J277" s="268">
        <v>1</v>
      </c>
      <c r="K277" s="269">
        <v>82869</v>
      </c>
      <c r="L277" s="269">
        <v>84188</v>
      </c>
      <c r="M277" s="270">
        <v>1</v>
      </c>
      <c r="N277" s="268">
        <v>1</v>
      </c>
      <c r="O277" s="271"/>
      <c r="P277" s="271">
        <v>82869</v>
      </c>
      <c r="Q277" s="271"/>
      <c r="R277" s="271"/>
      <c r="S277" s="271">
        <v>-84188</v>
      </c>
      <c r="T277" s="271"/>
      <c r="U277" s="272">
        <v>1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153</v>
      </c>
      <c r="B278" s="267" t="s">
        <v>951</v>
      </c>
      <c r="C278" s="267" t="s">
        <v>94</v>
      </c>
      <c r="D278" s="267" t="s">
        <v>92</v>
      </c>
      <c r="E278" s="267" t="s">
        <v>0</v>
      </c>
      <c r="F278" s="268"/>
      <c r="G278" s="269"/>
      <c r="H278" s="269"/>
      <c r="I278" s="270"/>
      <c r="J278" s="268">
        <v>1</v>
      </c>
      <c r="K278" s="269">
        <v>82880</v>
      </c>
      <c r="L278" s="269">
        <v>84270</v>
      </c>
      <c r="M278" s="270">
        <v>1</v>
      </c>
      <c r="N278" s="268">
        <v>1</v>
      </c>
      <c r="O278" s="271"/>
      <c r="P278" s="271">
        <v>82880</v>
      </c>
      <c r="Q278" s="271"/>
      <c r="R278" s="271"/>
      <c r="S278" s="271">
        <v>-84270</v>
      </c>
      <c r="T278" s="271"/>
      <c r="U278" s="272">
        <v>1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153</v>
      </c>
      <c r="B279" s="267" t="s">
        <v>952</v>
      </c>
      <c r="C279" s="267" t="s">
        <v>94</v>
      </c>
      <c r="D279" s="267" t="s">
        <v>92</v>
      </c>
      <c r="E279" s="267" t="s">
        <v>0</v>
      </c>
      <c r="F279" s="268"/>
      <c r="G279" s="269"/>
      <c r="H279" s="269"/>
      <c r="I279" s="270"/>
      <c r="J279" s="268">
        <v>1</v>
      </c>
      <c r="K279" s="269">
        <v>82656</v>
      </c>
      <c r="L279" s="269">
        <v>84400</v>
      </c>
      <c r="M279" s="270">
        <v>1</v>
      </c>
      <c r="N279" s="268">
        <v>1</v>
      </c>
      <c r="O279" s="271"/>
      <c r="P279" s="271">
        <v>82656</v>
      </c>
      <c r="Q279" s="271"/>
      <c r="R279" s="271"/>
      <c r="S279" s="271">
        <v>-84400</v>
      </c>
      <c r="T279" s="271"/>
      <c r="U279" s="272">
        <v>1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153</v>
      </c>
      <c r="B280" s="267" t="s">
        <v>953</v>
      </c>
      <c r="C280" s="267" t="s">
        <v>94</v>
      </c>
      <c r="D280" s="267" t="s">
        <v>92</v>
      </c>
      <c r="E280" s="267" t="s">
        <v>0</v>
      </c>
      <c r="F280" s="268"/>
      <c r="G280" s="269"/>
      <c r="H280" s="269"/>
      <c r="I280" s="270"/>
      <c r="J280" s="268">
        <v>1</v>
      </c>
      <c r="K280" s="269">
        <v>82384</v>
      </c>
      <c r="L280" s="269">
        <v>84747</v>
      </c>
      <c r="M280" s="270">
        <v>1</v>
      </c>
      <c r="N280" s="268">
        <v>1</v>
      </c>
      <c r="O280" s="271"/>
      <c r="P280" s="271">
        <v>82384</v>
      </c>
      <c r="Q280" s="271"/>
      <c r="R280" s="271"/>
      <c r="S280" s="271">
        <v>-84747</v>
      </c>
      <c r="T280" s="271"/>
      <c r="U280" s="272">
        <v>1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153</v>
      </c>
      <c r="B281" s="267" t="s">
        <v>954</v>
      </c>
      <c r="C281" s="267" t="s">
        <v>94</v>
      </c>
      <c r="D281" s="267" t="s">
        <v>92</v>
      </c>
      <c r="E281" s="267" t="s">
        <v>0</v>
      </c>
      <c r="F281" s="268"/>
      <c r="G281" s="269"/>
      <c r="H281" s="269"/>
      <c r="I281" s="270"/>
      <c r="J281" s="268">
        <v>1</v>
      </c>
      <c r="K281" s="269">
        <v>82635</v>
      </c>
      <c r="L281" s="269">
        <v>84565</v>
      </c>
      <c r="M281" s="270">
        <v>1</v>
      </c>
      <c r="N281" s="268">
        <v>1</v>
      </c>
      <c r="O281" s="271"/>
      <c r="P281" s="271">
        <v>82635</v>
      </c>
      <c r="Q281" s="271"/>
      <c r="R281" s="271"/>
      <c r="S281" s="271">
        <v>-84565</v>
      </c>
      <c r="T281" s="271"/>
      <c r="U281" s="272">
        <v>1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153</v>
      </c>
      <c r="B282" s="267" t="s">
        <v>955</v>
      </c>
      <c r="C282" s="267" t="s">
        <v>94</v>
      </c>
      <c r="D282" s="267" t="s">
        <v>92</v>
      </c>
      <c r="E282" s="267" t="s">
        <v>0</v>
      </c>
      <c r="F282" s="268"/>
      <c r="G282" s="269"/>
      <c r="H282" s="269"/>
      <c r="I282" s="270"/>
      <c r="J282" s="268">
        <v>1</v>
      </c>
      <c r="K282" s="269">
        <v>82578</v>
      </c>
      <c r="L282" s="269">
        <v>84701</v>
      </c>
      <c r="M282" s="270">
        <v>1</v>
      </c>
      <c r="N282" s="268">
        <v>1</v>
      </c>
      <c r="O282" s="271"/>
      <c r="P282" s="271">
        <v>82578</v>
      </c>
      <c r="Q282" s="271"/>
      <c r="R282" s="271"/>
      <c r="S282" s="271">
        <v>-84701</v>
      </c>
      <c r="T282" s="271"/>
      <c r="U282" s="272">
        <v>1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153</v>
      </c>
      <c r="B283" s="267" t="s">
        <v>956</v>
      </c>
      <c r="C283" s="267" t="s">
        <v>94</v>
      </c>
      <c r="D283" s="267" t="s">
        <v>92</v>
      </c>
      <c r="E283" s="267" t="s">
        <v>0</v>
      </c>
      <c r="F283" s="268"/>
      <c r="G283" s="269"/>
      <c r="H283" s="269"/>
      <c r="I283" s="270"/>
      <c r="J283" s="268">
        <v>1</v>
      </c>
      <c r="K283" s="269">
        <v>82975</v>
      </c>
      <c r="L283" s="269">
        <v>84311</v>
      </c>
      <c r="M283" s="270">
        <v>1</v>
      </c>
      <c r="N283" s="268">
        <v>1</v>
      </c>
      <c r="O283" s="271"/>
      <c r="P283" s="271">
        <v>82975</v>
      </c>
      <c r="Q283" s="271"/>
      <c r="R283" s="271"/>
      <c r="S283" s="271">
        <v>-84311</v>
      </c>
      <c r="T283" s="271"/>
      <c r="U283" s="272">
        <v>1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153</v>
      </c>
      <c r="B284" s="267" t="s">
        <v>957</v>
      </c>
      <c r="C284" s="267" t="s">
        <v>94</v>
      </c>
      <c r="D284" s="267" t="s">
        <v>92</v>
      </c>
      <c r="E284" s="267" t="s">
        <v>0</v>
      </c>
      <c r="F284" s="268"/>
      <c r="G284" s="269"/>
      <c r="H284" s="269"/>
      <c r="I284" s="270"/>
      <c r="J284" s="268">
        <v>1</v>
      </c>
      <c r="K284" s="269">
        <v>82697</v>
      </c>
      <c r="L284" s="269">
        <v>84442</v>
      </c>
      <c r="M284" s="270">
        <v>1</v>
      </c>
      <c r="N284" s="268">
        <v>1</v>
      </c>
      <c r="O284" s="271"/>
      <c r="P284" s="271">
        <v>82697</v>
      </c>
      <c r="Q284" s="271"/>
      <c r="R284" s="271"/>
      <c r="S284" s="271">
        <v>-84442</v>
      </c>
      <c r="T284" s="271"/>
      <c r="U284" s="272">
        <v>1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153</v>
      </c>
      <c r="B285" s="267" t="s">
        <v>958</v>
      </c>
      <c r="C285" s="267" t="s">
        <v>94</v>
      </c>
      <c r="D285" s="267" t="s">
        <v>92</v>
      </c>
      <c r="E285" s="267" t="s">
        <v>0</v>
      </c>
      <c r="F285" s="268"/>
      <c r="G285" s="269"/>
      <c r="H285" s="269"/>
      <c r="I285" s="270"/>
      <c r="J285" s="268">
        <v>1</v>
      </c>
      <c r="K285" s="269">
        <v>82852</v>
      </c>
      <c r="L285" s="269">
        <v>84357</v>
      </c>
      <c r="M285" s="270">
        <v>1</v>
      </c>
      <c r="N285" s="268">
        <v>1</v>
      </c>
      <c r="O285" s="271"/>
      <c r="P285" s="271">
        <v>82852</v>
      </c>
      <c r="Q285" s="271"/>
      <c r="R285" s="271"/>
      <c r="S285" s="271">
        <v>-84357</v>
      </c>
      <c r="T285" s="271"/>
      <c r="U285" s="272">
        <v>1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153</v>
      </c>
      <c r="B286" s="267" t="s">
        <v>959</v>
      </c>
      <c r="C286" s="267" t="s">
        <v>94</v>
      </c>
      <c r="D286" s="267" t="s">
        <v>92</v>
      </c>
      <c r="E286" s="267" t="s">
        <v>0</v>
      </c>
      <c r="F286" s="268"/>
      <c r="G286" s="269"/>
      <c r="H286" s="269"/>
      <c r="I286" s="270"/>
      <c r="J286" s="268">
        <v>1</v>
      </c>
      <c r="K286" s="269">
        <v>82560</v>
      </c>
      <c r="L286" s="269">
        <v>84684</v>
      </c>
      <c r="M286" s="270">
        <v>1</v>
      </c>
      <c r="N286" s="268">
        <v>1</v>
      </c>
      <c r="O286" s="271"/>
      <c r="P286" s="271">
        <v>82560</v>
      </c>
      <c r="Q286" s="271"/>
      <c r="R286" s="271"/>
      <c r="S286" s="271">
        <v>-84684</v>
      </c>
      <c r="T286" s="271"/>
      <c r="U286" s="272">
        <v>1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153</v>
      </c>
      <c r="B287" s="267" t="s">
        <v>960</v>
      </c>
      <c r="C287" s="267" t="s">
        <v>94</v>
      </c>
      <c r="D287" s="267" t="s">
        <v>92</v>
      </c>
      <c r="E287" s="267" t="s">
        <v>0</v>
      </c>
      <c r="F287" s="268"/>
      <c r="G287" s="269"/>
      <c r="H287" s="269"/>
      <c r="I287" s="270"/>
      <c r="J287" s="268">
        <v>1</v>
      </c>
      <c r="K287" s="269">
        <v>82813</v>
      </c>
      <c r="L287" s="269">
        <v>84118</v>
      </c>
      <c r="M287" s="270">
        <v>1</v>
      </c>
      <c r="N287" s="268">
        <v>1</v>
      </c>
      <c r="O287" s="271"/>
      <c r="P287" s="271">
        <v>82813</v>
      </c>
      <c r="Q287" s="271"/>
      <c r="R287" s="271"/>
      <c r="S287" s="271">
        <v>-84118</v>
      </c>
      <c r="T287" s="271"/>
      <c r="U287" s="272">
        <v>1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153</v>
      </c>
      <c r="B288" s="267" t="s">
        <v>961</v>
      </c>
      <c r="C288" s="267" t="s">
        <v>94</v>
      </c>
      <c r="D288" s="267" t="s">
        <v>92</v>
      </c>
      <c r="E288" s="267" t="s">
        <v>0</v>
      </c>
      <c r="F288" s="268"/>
      <c r="G288" s="269"/>
      <c r="H288" s="269"/>
      <c r="I288" s="270"/>
      <c r="J288" s="268">
        <v>1</v>
      </c>
      <c r="K288" s="269">
        <v>82211</v>
      </c>
      <c r="L288" s="269">
        <v>84689</v>
      </c>
      <c r="M288" s="270">
        <v>1</v>
      </c>
      <c r="N288" s="268">
        <v>1</v>
      </c>
      <c r="O288" s="271"/>
      <c r="P288" s="271">
        <v>82211</v>
      </c>
      <c r="Q288" s="271"/>
      <c r="R288" s="271"/>
      <c r="S288" s="271">
        <v>-84689</v>
      </c>
      <c r="T288" s="271"/>
      <c r="U288" s="272">
        <v>1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153</v>
      </c>
      <c r="B289" s="267" t="s">
        <v>962</v>
      </c>
      <c r="C289" s="267" t="s">
        <v>94</v>
      </c>
      <c r="D289" s="267" t="s">
        <v>92</v>
      </c>
      <c r="E289" s="267" t="s">
        <v>0</v>
      </c>
      <c r="F289" s="268"/>
      <c r="G289" s="269"/>
      <c r="H289" s="269"/>
      <c r="I289" s="270"/>
      <c r="J289" s="268">
        <v>1</v>
      </c>
      <c r="K289" s="269">
        <v>82559</v>
      </c>
      <c r="L289" s="269">
        <v>84458</v>
      </c>
      <c r="M289" s="270">
        <v>1</v>
      </c>
      <c r="N289" s="268">
        <v>1</v>
      </c>
      <c r="O289" s="271"/>
      <c r="P289" s="271">
        <v>82559</v>
      </c>
      <c r="Q289" s="271"/>
      <c r="R289" s="271"/>
      <c r="S289" s="271">
        <v>-84458</v>
      </c>
      <c r="T289" s="271"/>
      <c r="U289" s="272">
        <v>1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153</v>
      </c>
      <c r="B290" s="267" t="s">
        <v>963</v>
      </c>
      <c r="C290" s="267" t="s">
        <v>94</v>
      </c>
      <c r="D290" s="267" t="s">
        <v>92</v>
      </c>
      <c r="E290" s="267" t="s">
        <v>0</v>
      </c>
      <c r="F290" s="268"/>
      <c r="G290" s="269"/>
      <c r="H290" s="269"/>
      <c r="I290" s="270"/>
      <c r="J290" s="268">
        <v>1</v>
      </c>
      <c r="K290" s="269">
        <v>82247</v>
      </c>
      <c r="L290" s="269">
        <v>84849</v>
      </c>
      <c r="M290" s="270">
        <v>1</v>
      </c>
      <c r="N290" s="268">
        <v>1</v>
      </c>
      <c r="O290" s="271"/>
      <c r="P290" s="271">
        <v>82247</v>
      </c>
      <c r="Q290" s="271"/>
      <c r="R290" s="271"/>
      <c r="S290" s="271">
        <v>-84849</v>
      </c>
      <c r="T290" s="271"/>
      <c r="U290" s="272">
        <v>1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153</v>
      </c>
      <c r="B291" s="267" t="s">
        <v>964</v>
      </c>
      <c r="C291" s="267" t="s">
        <v>94</v>
      </c>
      <c r="D291" s="267" t="s">
        <v>92</v>
      </c>
      <c r="E291" s="267" t="s">
        <v>0</v>
      </c>
      <c r="F291" s="268"/>
      <c r="G291" s="269"/>
      <c r="H291" s="269"/>
      <c r="I291" s="270"/>
      <c r="J291" s="268">
        <v>1</v>
      </c>
      <c r="K291" s="269">
        <v>82381</v>
      </c>
      <c r="L291" s="269">
        <v>84929</v>
      </c>
      <c r="M291" s="270">
        <v>1</v>
      </c>
      <c r="N291" s="268">
        <v>1</v>
      </c>
      <c r="O291" s="271"/>
      <c r="P291" s="271">
        <v>82381</v>
      </c>
      <c r="Q291" s="271"/>
      <c r="R291" s="271"/>
      <c r="S291" s="271">
        <v>-84929</v>
      </c>
      <c r="T291" s="271"/>
      <c r="U291" s="272">
        <v>1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153</v>
      </c>
      <c r="B292" s="267" t="s">
        <v>965</v>
      </c>
      <c r="C292" s="267" t="s">
        <v>94</v>
      </c>
      <c r="D292" s="267" t="s">
        <v>92</v>
      </c>
      <c r="E292" s="267" t="s">
        <v>0</v>
      </c>
      <c r="F292" s="268"/>
      <c r="G292" s="269"/>
      <c r="H292" s="269"/>
      <c r="I292" s="270"/>
      <c r="J292" s="268">
        <v>1</v>
      </c>
      <c r="K292" s="269">
        <v>82646</v>
      </c>
      <c r="L292" s="269">
        <v>84654</v>
      </c>
      <c r="M292" s="270">
        <v>1</v>
      </c>
      <c r="N292" s="268">
        <v>1</v>
      </c>
      <c r="O292" s="271"/>
      <c r="P292" s="271">
        <v>82646</v>
      </c>
      <c r="Q292" s="271"/>
      <c r="R292" s="271"/>
      <c r="S292" s="271">
        <v>-84654</v>
      </c>
      <c r="T292" s="271"/>
      <c r="U292" s="272">
        <v>1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153</v>
      </c>
      <c r="B293" s="267" t="s">
        <v>966</v>
      </c>
      <c r="C293" s="267" t="s">
        <v>94</v>
      </c>
      <c r="D293" s="267" t="s">
        <v>92</v>
      </c>
      <c r="E293" s="267" t="s">
        <v>0</v>
      </c>
      <c r="F293" s="268"/>
      <c r="G293" s="269"/>
      <c r="H293" s="269"/>
      <c r="I293" s="270"/>
      <c r="J293" s="268">
        <v>1</v>
      </c>
      <c r="K293" s="269">
        <v>82383</v>
      </c>
      <c r="L293" s="269">
        <v>84545</v>
      </c>
      <c r="M293" s="270">
        <v>1</v>
      </c>
      <c r="N293" s="268">
        <v>1</v>
      </c>
      <c r="O293" s="271"/>
      <c r="P293" s="271">
        <v>82383</v>
      </c>
      <c r="Q293" s="271"/>
      <c r="R293" s="271"/>
      <c r="S293" s="271">
        <v>-84545</v>
      </c>
      <c r="T293" s="271"/>
      <c r="U293" s="272">
        <v>1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153</v>
      </c>
      <c r="B294" s="267" t="s">
        <v>967</v>
      </c>
      <c r="C294" s="267" t="s">
        <v>94</v>
      </c>
      <c r="D294" s="267" t="s">
        <v>92</v>
      </c>
      <c r="E294" s="267" t="s">
        <v>0</v>
      </c>
      <c r="F294" s="268"/>
      <c r="G294" s="269"/>
      <c r="H294" s="269"/>
      <c r="I294" s="270"/>
      <c r="J294" s="268">
        <v>1</v>
      </c>
      <c r="K294" s="269">
        <v>82713</v>
      </c>
      <c r="L294" s="269">
        <v>84288</v>
      </c>
      <c r="M294" s="270">
        <v>1</v>
      </c>
      <c r="N294" s="268">
        <v>1</v>
      </c>
      <c r="O294" s="271"/>
      <c r="P294" s="271">
        <v>82713</v>
      </c>
      <c r="Q294" s="271"/>
      <c r="R294" s="271"/>
      <c r="S294" s="271">
        <v>-84288</v>
      </c>
      <c r="T294" s="271"/>
      <c r="U294" s="272">
        <v>1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153</v>
      </c>
      <c r="B295" s="267" t="s">
        <v>968</v>
      </c>
      <c r="C295" s="267" t="s">
        <v>94</v>
      </c>
      <c r="D295" s="267" t="s">
        <v>92</v>
      </c>
      <c r="E295" s="267" t="s">
        <v>0</v>
      </c>
      <c r="F295" s="268"/>
      <c r="G295" s="269"/>
      <c r="H295" s="269"/>
      <c r="I295" s="270"/>
      <c r="J295" s="268">
        <v>1</v>
      </c>
      <c r="K295" s="269">
        <v>82684</v>
      </c>
      <c r="L295" s="269">
        <v>84467</v>
      </c>
      <c r="M295" s="270">
        <v>1</v>
      </c>
      <c r="N295" s="268">
        <v>1</v>
      </c>
      <c r="O295" s="271"/>
      <c r="P295" s="271">
        <v>82684</v>
      </c>
      <c r="Q295" s="271"/>
      <c r="R295" s="271"/>
      <c r="S295" s="271">
        <v>-84467</v>
      </c>
      <c r="T295" s="271"/>
      <c r="U295" s="272">
        <v>1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153</v>
      </c>
      <c r="B296" s="267" t="s">
        <v>969</v>
      </c>
      <c r="C296" s="267" t="s">
        <v>94</v>
      </c>
      <c r="D296" s="267" t="s">
        <v>92</v>
      </c>
      <c r="E296" s="267" t="s">
        <v>0</v>
      </c>
      <c r="F296" s="268"/>
      <c r="G296" s="269"/>
      <c r="H296" s="269"/>
      <c r="I296" s="270"/>
      <c r="J296" s="268">
        <v>1</v>
      </c>
      <c r="K296" s="269">
        <v>82446</v>
      </c>
      <c r="L296" s="269">
        <v>84454</v>
      </c>
      <c r="M296" s="270">
        <v>1</v>
      </c>
      <c r="N296" s="268">
        <v>1</v>
      </c>
      <c r="O296" s="271"/>
      <c r="P296" s="271">
        <v>82446</v>
      </c>
      <c r="Q296" s="271"/>
      <c r="R296" s="271"/>
      <c r="S296" s="271">
        <v>-84454</v>
      </c>
      <c r="T296" s="271"/>
      <c r="U296" s="272">
        <v>1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153</v>
      </c>
      <c r="B297" s="267" t="s">
        <v>970</v>
      </c>
      <c r="C297" s="267" t="s">
        <v>94</v>
      </c>
      <c r="D297" s="267" t="s">
        <v>92</v>
      </c>
      <c r="E297" s="267" t="s">
        <v>0</v>
      </c>
      <c r="F297" s="268"/>
      <c r="G297" s="269"/>
      <c r="H297" s="269"/>
      <c r="I297" s="270"/>
      <c r="J297" s="268">
        <v>1</v>
      </c>
      <c r="K297" s="269">
        <v>82386</v>
      </c>
      <c r="L297" s="269">
        <v>84580</v>
      </c>
      <c r="M297" s="270">
        <v>1</v>
      </c>
      <c r="N297" s="268">
        <v>1</v>
      </c>
      <c r="O297" s="271"/>
      <c r="P297" s="271">
        <v>82386</v>
      </c>
      <c r="Q297" s="271"/>
      <c r="R297" s="271"/>
      <c r="S297" s="271">
        <v>-84580</v>
      </c>
      <c r="T297" s="271"/>
      <c r="U297" s="272">
        <v>1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153</v>
      </c>
      <c r="B298" s="267" t="s">
        <v>971</v>
      </c>
      <c r="C298" s="267" t="s">
        <v>94</v>
      </c>
      <c r="D298" s="267" t="s">
        <v>92</v>
      </c>
      <c r="E298" s="267" t="s">
        <v>0</v>
      </c>
      <c r="F298" s="268"/>
      <c r="G298" s="269"/>
      <c r="H298" s="269"/>
      <c r="I298" s="270"/>
      <c r="J298" s="268">
        <v>1</v>
      </c>
      <c r="K298" s="269">
        <v>82251</v>
      </c>
      <c r="L298" s="269">
        <v>84853</v>
      </c>
      <c r="M298" s="270">
        <v>1</v>
      </c>
      <c r="N298" s="268">
        <v>1</v>
      </c>
      <c r="O298" s="271"/>
      <c r="P298" s="271">
        <v>82251</v>
      </c>
      <c r="Q298" s="271"/>
      <c r="R298" s="271"/>
      <c r="S298" s="271">
        <v>-84853</v>
      </c>
      <c r="T298" s="271"/>
      <c r="U298" s="272">
        <v>1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153</v>
      </c>
      <c r="B299" s="267" t="s">
        <v>972</v>
      </c>
      <c r="C299" s="267" t="s">
        <v>94</v>
      </c>
      <c r="D299" s="267" t="s">
        <v>92</v>
      </c>
      <c r="E299" s="267" t="s">
        <v>0</v>
      </c>
      <c r="F299" s="268"/>
      <c r="G299" s="269"/>
      <c r="H299" s="269"/>
      <c r="I299" s="270"/>
      <c r="J299" s="268">
        <v>1</v>
      </c>
      <c r="K299" s="269">
        <v>82337</v>
      </c>
      <c r="L299" s="269">
        <v>84739</v>
      </c>
      <c r="M299" s="270">
        <v>1</v>
      </c>
      <c r="N299" s="268">
        <v>1</v>
      </c>
      <c r="O299" s="271"/>
      <c r="P299" s="271">
        <v>82337</v>
      </c>
      <c r="Q299" s="271"/>
      <c r="R299" s="271"/>
      <c r="S299" s="271">
        <v>-84739</v>
      </c>
      <c r="T299" s="271"/>
      <c r="U299" s="272">
        <v>1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153</v>
      </c>
      <c r="B300" s="267" t="s">
        <v>973</v>
      </c>
      <c r="C300" s="267" t="s">
        <v>94</v>
      </c>
      <c r="D300" s="267" t="s">
        <v>92</v>
      </c>
      <c r="E300" s="267" t="s">
        <v>0</v>
      </c>
      <c r="F300" s="268"/>
      <c r="G300" s="269"/>
      <c r="H300" s="269"/>
      <c r="I300" s="270"/>
      <c r="J300" s="268">
        <v>1</v>
      </c>
      <c r="K300" s="269">
        <v>82628</v>
      </c>
      <c r="L300" s="269">
        <v>84443</v>
      </c>
      <c r="M300" s="270">
        <v>1</v>
      </c>
      <c r="N300" s="268">
        <v>1</v>
      </c>
      <c r="O300" s="271"/>
      <c r="P300" s="271">
        <v>82628</v>
      </c>
      <c r="Q300" s="271"/>
      <c r="R300" s="271"/>
      <c r="S300" s="271">
        <v>-84443</v>
      </c>
      <c r="T300" s="271"/>
      <c r="U300" s="272">
        <v>1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153</v>
      </c>
      <c r="B301" s="267" t="s">
        <v>974</v>
      </c>
      <c r="C301" s="267" t="s">
        <v>94</v>
      </c>
      <c r="D301" s="267" t="s">
        <v>92</v>
      </c>
      <c r="E301" s="267" t="s">
        <v>0</v>
      </c>
      <c r="F301" s="268"/>
      <c r="G301" s="269"/>
      <c r="H301" s="269"/>
      <c r="I301" s="270"/>
      <c r="J301" s="268">
        <v>1</v>
      </c>
      <c r="K301" s="269">
        <v>82814</v>
      </c>
      <c r="L301" s="269">
        <v>84243</v>
      </c>
      <c r="M301" s="270">
        <v>1</v>
      </c>
      <c r="N301" s="268">
        <v>1</v>
      </c>
      <c r="O301" s="271"/>
      <c r="P301" s="271">
        <v>82814</v>
      </c>
      <c r="Q301" s="271"/>
      <c r="R301" s="271"/>
      <c r="S301" s="271">
        <v>-84243</v>
      </c>
      <c r="T301" s="271"/>
      <c r="U301" s="272">
        <v>1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153</v>
      </c>
      <c r="B302" s="267" t="s">
        <v>975</v>
      </c>
      <c r="C302" s="267" t="s">
        <v>94</v>
      </c>
      <c r="D302" s="267" t="s">
        <v>92</v>
      </c>
      <c r="E302" s="267" t="s">
        <v>0</v>
      </c>
      <c r="F302" s="268"/>
      <c r="G302" s="269"/>
      <c r="H302" s="269"/>
      <c r="I302" s="270"/>
      <c r="J302" s="268">
        <v>1</v>
      </c>
      <c r="K302" s="269">
        <v>82799</v>
      </c>
      <c r="L302" s="269">
        <v>84305</v>
      </c>
      <c r="M302" s="270">
        <v>1</v>
      </c>
      <c r="N302" s="268">
        <v>1</v>
      </c>
      <c r="O302" s="271"/>
      <c r="P302" s="271">
        <v>82799</v>
      </c>
      <c r="Q302" s="271"/>
      <c r="R302" s="271"/>
      <c r="S302" s="271">
        <v>-84305</v>
      </c>
      <c r="T302" s="271"/>
      <c r="U302" s="272">
        <v>1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153</v>
      </c>
      <c r="B303" s="267" t="s">
        <v>976</v>
      </c>
      <c r="C303" s="267" t="s">
        <v>94</v>
      </c>
      <c r="D303" s="267" t="s">
        <v>92</v>
      </c>
      <c r="E303" s="267" t="s">
        <v>0</v>
      </c>
      <c r="F303" s="268"/>
      <c r="G303" s="269"/>
      <c r="H303" s="269"/>
      <c r="I303" s="270"/>
      <c r="J303" s="268">
        <v>1</v>
      </c>
      <c r="K303" s="269">
        <v>82575</v>
      </c>
      <c r="L303" s="269">
        <v>84435</v>
      </c>
      <c r="M303" s="270">
        <v>1</v>
      </c>
      <c r="N303" s="268">
        <v>1</v>
      </c>
      <c r="O303" s="271"/>
      <c r="P303" s="271">
        <v>82575</v>
      </c>
      <c r="Q303" s="271"/>
      <c r="R303" s="271"/>
      <c r="S303" s="271">
        <v>-84435</v>
      </c>
      <c r="T303" s="271"/>
      <c r="U303" s="272">
        <v>1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153</v>
      </c>
      <c r="B304" s="267" t="s">
        <v>977</v>
      </c>
      <c r="C304" s="267" t="s">
        <v>94</v>
      </c>
      <c r="D304" s="267" t="s">
        <v>92</v>
      </c>
      <c r="E304" s="267" t="s">
        <v>0</v>
      </c>
      <c r="F304" s="268"/>
      <c r="G304" s="269"/>
      <c r="H304" s="269"/>
      <c r="I304" s="270"/>
      <c r="J304" s="268">
        <v>1</v>
      </c>
      <c r="K304" s="269">
        <v>82369</v>
      </c>
      <c r="L304" s="269">
        <v>84732</v>
      </c>
      <c r="M304" s="270">
        <v>1</v>
      </c>
      <c r="N304" s="268">
        <v>1</v>
      </c>
      <c r="O304" s="271"/>
      <c r="P304" s="271">
        <v>82369</v>
      </c>
      <c r="Q304" s="271"/>
      <c r="R304" s="271"/>
      <c r="S304" s="271">
        <v>-84732</v>
      </c>
      <c r="T304" s="271"/>
      <c r="U304" s="272">
        <v>1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153</v>
      </c>
      <c r="B305" s="267" t="s">
        <v>978</v>
      </c>
      <c r="C305" s="267" t="s">
        <v>94</v>
      </c>
      <c r="D305" s="267" t="s">
        <v>92</v>
      </c>
      <c r="E305" s="267" t="s">
        <v>0</v>
      </c>
      <c r="F305" s="268"/>
      <c r="G305" s="269"/>
      <c r="H305" s="269"/>
      <c r="I305" s="270"/>
      <c r="J305" s="268">
        <v>1</v>
      </c>
      <c r="K305" s="269">
        <v>82620</v>
      </c>
      <c r="L305" s="269">
        <v>84550</v>
      </c>
      <c r="M305" s="270">
        <v>1</v>
      </c>
      <c r="N305" s="268">
        <v>1</v>
      </c>
      <c r="O305" s="271"/>
      <c r="P305" s="271">
        <v>82620</v>
      </c>
      <c r="Q305" s="271"/>
      <c r="R305" s="271"/>
      <c r="S305" s="271">
        <v>-84550</v>
      </c>
      <c r="T305" s="271"/>
      <c r="U305" s="272">
        <v>1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153</v>
      </c>
      <c r="B306" s="267" t="s">
        <v>979</v>
      </c>
      <c r="C306" s="267" t="s">
        <v>94</v>
      </c>
      <c r="D306" s="267" t="s">
        <v>92</v>
      </c>
      <c r="E306" s="267" t="s">
        <v>0</v>
      </c>
      <c r="F306" s="268"/>
      <c r="G306" s="269"/>
      <c r="H306" s="269"/>
      <c r="I306" s="270"/>
      <c r="J306" s="268">
        <v>1</v>
      </c>
      <c r="K306" s="269">
        <v>82353</v>
      </c>
      <c r="L306" s="269">
        <v>84716</v>
      </c>
      <c r="M306" s="270">
        <v>1</v>
      </c>
      <c r="N306" s="268">
        <v>1</v>
      </c>
      <c r="O306" s="271"/>
      <c r="P306" s="271">
        <v>82353</v>
      </c>
      <c r="Q306" s="271"/>
      <c r="R306" s="271"/>
      <c r="S306" s="271">
        <v>-84716</v>
      </c>
      <c r="T306" s="271"/>
      <c r="U306" s="272">
        <v>1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153</v>
      </c>
      <c r="B307" s="267" t="s">
        <v>980</v>
      </c>
      <c r="C307" s="267" t="s">
        <v>94</v>
      </c>
      <c r="D307" s="267" t="s">
        <v>92</v>
      </c>
      <c r="E307" s="267" t="s">
        <v>0</v>
      </c>
      <c r="F307" s="268"/>
      <c r="G307" s="269"/>
      <c r="H307" s="269"/>
      <c r="I307" s="270"/>
      <c r="J307" s="268">
        <v>1</v>
      </c>
      <c r="K307" s="269">
        <v>82750</v>
      </c>
      <c r="L307" s="269">
        <v>84326</v>
      </c>
      <c r="M307" s="270">
        <v>1</v>
      </c>
      <c r="N307" s="268">
        <v>1</v>
      </c>
      <c r="O307" s="271"/>
      <c r="P307" s="271">
        <v>82750</v>
      </c>
      <c r="Q307" s="271"/>
      <c r="R307" s="271"/>
      <c r="S307" s="271">
        <v>-84326</v>
      </c>
      <c r="T307" s="271"/>
      <c r="U307" s="272">
        <v>1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153</v>
      </c>
      <c r="B308" s="267" t="s">
        <v>981</v>
      </c>
      <c r="C308" s="267" t="s">
        <v>94</v>
      </c>
      <c r="D308" s="267" t="s">
        <v>92</v>
      </c>
      <c r="E308" s="267" t="s">
        <v>0</v>
      </c>
      <c r="F308" s="268"/>
      <c r="G308" s="269"/>
      <c r="H308" s="269"/>
      <c r="I308" s="270"/>
      <c r="J308" s="268">
        <v>1</v>
      </c>
      <c r="K308" s="269">
        <v>82713</v>
      </c>
      <c r="L308" s="269">
        <v>84458</v>
      </c>
      <c r="M308" s="270">
        <v>1</v>
      </c>
      <c r="N308" s="268">
        <v>1</v>
      </c>
      <c r="O308" s="271"/>
      <c r="P308" s="271">
        <v>82713</v>
      </c>
      <c r="Q308" s="271"/>
      <c r="R308" s="271"/>
      <c r="S308" s="271">
        <v>-84458</v>
      </c>
      <c r="T308" s="271"/>
      <c r="U308" s="272">
        <v>1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153</v>
      </c>
      <c r="B309" s="267" t="s">
        <v>982</v>
      </c>
      <c r="C309" s="267" t="s">
        <v>94</v>
      </c>
      <c r="D309" s="267" t="s">
        <v>92</v>
      </c>
      <c r="E309" s="267" t="s">
        <v>0</v>
      </c>
      <c r="F309" s="268"/>
      <c r="G309" s="269"/>
      <c r="H309" s="269"/>
      <c r="I309" s="270"/>
      <c r="J309" s="268">
        <v>1</v>
      </c>
      <c r="K309" s="269">
        <v>82658</v>
      </c>
      <c r="L309" s="269">
        <v>84403</v>
      </c>
      <c r="M309" s="270">
        <v>1</v>
      </c>
      <c r="N309" s="268">
        <v>1</v>
      </c>
      <c r="O309" s="271"/>
      <c r="P309" s="271">
        <v>82658</v>
      </c>
      <c r="Q309" s="271"/>
      <c r="R309" s="271"/>
      <c r="S309" s="271">
        <v>-84403</v>
      </c>
      <c r="T309" s="271"/>
      <c r="U309" s="272">
        <v>1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153</v>
      </c>
      <c r="B310" s="267" t="s">
        <v>983</v>
      </c>
      <c r="C310" s="267" t="s">
        <v>94</v>
      </c>
      <c r="D310" s="267" t="s">
        <v>92</v>
      </c>
      <c r="E310" s="267" t="s">
        <v>0</v>
      </c>
      <c r="F310" s="268"/>
      <c r="G310" s="269"/>
      <c r="H310" s="269"/>
      <c r="I310" s="270"/>
      <c r="J310" s="268">
        <v>1</v>
      </c>
      <c r="K310" s="269">
        <v>82416</v>
      </c>
      <c r="L310" s="269">
        <v>84664</v>
      </c>
      <c r="M310" s="270">
        <v>1</v>
      </c>
      <c r="N310" s="268">
        <v>1</v>
      </c>
      <c r="O310" s="271"/>
      <c r="P310" s="271">
        <v>82416</v>
      </c>
      <c r="Q310" s="271"/>
      <c r="R310" s="271"/>
      <c r="S310" s="271">
        <v>-84664</v>
      </c>
      <c r="T310" s="271"/>
      <c r="U310" s="272">
        <v>1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153</v>
      </c>
      <c r="B311" s="267" t="s">
        <v>984</v>
      </c>
      <c r="C311" s="267" t="s">
        <v>94</v>
      </c>
      <c r="D311" s="267" t="s">
        <v>92</v>
      </c>
      <c r="E311" s="267" t="s">
        <v>0</v>
      </c>
      <c r="F311" s="268"/>
      <c r="G311" s="269"/>
      <c r="H311" s="269"/>
      <c r="I311" s="270"/>
      <c r="J311" s="268">
        <v>1</v>
      </c>
      <c r="K311" s="269">
        <v>82850</v>
      </c>
      <c r="L311" s="269">
        <v>84292</v>
      </c>
      <c r="M311" s="270">
        <v>1</v>
      </c>
      <c r="N311" s="268">
        <v>1</v>
      </c>
      <c r="O311" s="271"/>
      <c r="P311" s="271">
        <v>82850</v>
      </c>
      <c r="Q311" s="271"/>
      <c r="R311" s="271"/>
      <c r="S311" s="271">
        <v>-84292</v>
      </c>
      <c r="T311" s="271"/>
      <c r="U311" s="272">
        <v>1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153</v>
      </c>
      <c r="B312" s="267" t="s">
        <v>985</v>
      </c>
      <c r="C312" s="267" t="s">
        <v>94</v>
      </c>
      <c r="D312" s="267" t="s">
        <v>92</v>
      </c>
      <c r="E312" s="267" t="s">
        <v>0</v>
      </c>
      <c r="F312" s="268"/>
      <c r="G312" s="269"/>
      <c r="H312" s="269"/>
      <c r="I312" s="270"/>
      <c r="J312" s="268">
        <v>1</v>
      </c>
      <c r="K312" s="269">
        <v>82247</v>
      </c>
      <c r="L312" s="269">
        <v>84849</v>
      </c>
      <c r="M312" s="270">
        <v>1</v>
      </c>
      <c r="N312" s="268">
        <v>1</v>
      </c>
      <c r="O312" s="271"/>
      <c r="P312" s="271">
        <v>82247</v>
      </c>
      <c r="Q312" s="271"/>
      <c r="R312" s="271"/>
      <c r="S312" s="271">
        <v>-84849</v>
      </c>
      <c r="T312" s="271"/>
      <c r="U312" s="272">
        <v>1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153</v>
      </c>
      <c r="B313" s="267" t="s">
        <v>986</v>
      </c>
      <c r="C313" s="267" t="s">
        <v>94</v>
      </c>
      <c r="D313" s="267" t="s">
        <v>92</v>
      </c>
      <c r="E313" s="267" t="s">
        <v>0</v>
      </c>
      <c r="F313" s="268"/>
      <c r="G313" s="269"/>
      <c r="H313" s="269"/>
      <c r="I313" s="270"/>
      <c r="J313" s="268">
        <v>1</v>
      </c>
      <c r="K313" s="269">
        <v>82626</v>
      </c>
      <c r="L313" s="269">
        <v>84422</v>
      </c>
      <c r="M313" s="270">
        <v>1</v>
      </c>
      <c r="N313" s="268">
        <v>1</v>
      </c>
      <c r="O313" s="271"/>
      <c r="P313" s="271">
        <v>82626</v>
      </c>
      <c r="Q313" s="271"/>
      <c r="R313" s="271"/>
      <c r="S313" s="271">
        <v>-84422</v>
      </c>
      <c r="T313" s="271"/>
      <c r="U313" s="272">
        <v>1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153</v>
      </c>
      <c r="B314" s="267" t="s">
        <v>987</v>
      </c>
      <c r="C314" s="267" t="s">
        <v>94</v>
      </c>
      <c r="D314" s="267" t="s">
        <v>92</v>
      </c>
      <c r="E314" s="267" t="s">
        <v>0</v>
      </c>
      <c r="F314" s="268"/>
      <c r="G314" s="269"/>
      <c r="H314" s="269"/>
      <c r="I314" s="270"/>
      <c r="J314" s="268">
        <v>1</v>
      </c>
      <c r="K314" s="269">
        <v>82181</v>
      </c>
      <c r="L314" s="269">
        <v>84899</v>
      </c>
      <c r="M314" s="270">
        <v>1</v>
      </c>
      <c r="N314" s="268">
        <v>1</v>
      </c>
      <c r="O314" s="271"/>
      <c r="P314" s="271">
        <v>82181</v>
      </c>
      <c r="Q314" s="271"/>
      <c r="R314" s="271"/>
      <c r="S314" s="271">
        <v>-84899</v>
      </c>
      <c r="T314" s="271"/>
      <c r="U314" s="272">
        <v>1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153</v>
      </c>
      <c r="B315" s="267" t="s">
        <v>988</v>
      </c>
      <c r="C315" s="267" t="s">
        <v>94</v>
      </c>
      <c r="D315" s="267" t="s">
        <v>92</v>
      </c>
      <c r="E315" s="267" t="s">
        <v>0</v>
      </c>
      <c r="F315" s="268"/>
      <c r="G315" s="269"/>
      <c r="H315" s="269"/>
      <c r="I315" s="270"/>
      <c r="J315" s="268">
        <v>1</v>
      </c>
      <c r="K315" s="269">
        <v>82171</v>
      </c>
      <c r="L315" s="269">
        <v>84959</v>
      </c>
      <c r="M315" s="270">
        <v>1</v>
      </c>
      <c r="N315" s="268">
        <v>1</v>
      </c>
      <c r="O315" s="271"/>
      <c r="P315" s="271">
        <v>82171</v>
      </c>
      <c r="Q315" s="271"/>
      <c r="R315" s="271"/>
      <c r="S315" s="271">
        <v>-84959</v>
      </c>
      <c r="T315" s="271"/>
      <c r="U315" s="272">
        <v>1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153</v>
      </c>
      <c r="B316" s="267" t="s">
        <v>989</v>
      </c>
      <c r="C316" s="267" t="s">
        <v>94</v>
      </c>
      <c r="D316" s="267" t="s">
        <v>92</v>
      </c>
      <c r="E316" s="267" t="s">
        <v>0</v>
      </c>
      <c r="F316" s="268"/>
      <c r="G316" s="269"/>
      <c r="H316" s="269"/>
      <c r="I316" s="270"/>
      <c r="J316" s="268">
        <v>1</v>
      </c>
      <c r="K316" s="269">
        <v>82386</v>
      </c>
      <c r="L316" s="269">
        <v>84750</v>
      </c>
      <c r="M316" s="270">
        <v>1</v>
      </c>
      <c r="N316" s="268">
        <v>1</v>
      </c>
      <c r="O316" s="271"/>
      <c r="P316" s="271">
        <v>82386</v>
      </c>
      <c r="Q316" s="271"/>
      <c r="R316" s="271"/>
      <c r="S316" s="271">
        <v>-84750</v>
      </c>
      <c r="T316" s="271"/>
      <c r="U316" s="272">
        <v>1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153</v>
      </c>
      <c r="B317" s="267" t="s">
        <v>990</v>
      </c>
      <c r="C317" s="267" t="s">
        <v>94</v>
      </c>
      <c r="D317" s="267" t="s">
        <v>92</v>
      </c>
      <c r="E317" s="267" t="s">
        <v>0</v>
      </c>
      <c r="F317" s="268"/>
      <c r="G317" s="269"/>
      <c r="H317" s="269"/>
      <c r="I317" s="270"/>
      <c r="J317" s="268">
        <v>1</v>
      </c>
      <c r="K317" s="269">
        <v>82354</v>
      </c>
      <c r="L317" s="269">
        <v>84769</v>
      </c>
      <c r="M317" s="270">
        <v>1</v>
      </c>
      <c r="N317" s="268">
        <v>1</v>
      </c>
      <c r="O317" s="271"/>
      <c r="P317" s="271">
        <v>82354</v>
      </c>
      <c r="Q317" s="271"/>
      <c r="R317" s="271"/>
      <c r="S317" s="271">
        <v>-84769</v>
      </c>
      <c r="T317" s="271"/>
      <c r="U317" s="272">
        <v>1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153</v>
      </c>
      <c r="B318" s="267" t="s">
        <v>991</v>
      </c>
      <c r="C318" s="267" t="s">
        <v>94</v>
      </c>
      <c r="D318" s="267" t="s">
        <v>92</v>
      </c>
      <c r="E318" s="267" t="s">
        <v>0</v>
      </c>
      <c r="F318" s="268"/>
      <c r="G318" s="269"/>
      <c r="H318" s="269"/>
      <c r="I318" s="270"/>
      <c r="J318" s="268">
        <v>1</v>
      </c>
      <c r="K318" s="269">
        <v>82617</v>
      </c>
      <c r="L318" s="269">
        <v>84548</v>
      </c>
      <c r="M318" s="270">
        <v>1</v>
      </c>
      <c r="N318" s="268">
        <v>1</v>
      </c>
      <c r="O318" s="271"/>
      <c r="P318" s="271">
        <v>82617</v>
      </c>
      <c r="Q318" s="271"/>
      <c r="R318" s="271"/>
      <c r="S318" s="271">
        <v>-84548</v>
      </c>
      <c r="T318" s="271"/>
      <c r="U318" s="272">
        <v>1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153</v>
      </c>
      <c r="B319" s="267" t="s">
        <v>992</v>
      </c>
      <c r="C319" s="267" t="s">
        <v>94</v>
      </c>
      <c r="D319" s="267" t="s">
        <v>92</v>
      </c>
      <c r="E319" s="267" t="s">
        <v>0</v>
      </c>
      <c r="F319" s="268"/>
      <c r="G319" s="269"/>
      <c r="H319" s="269"/>
      <c r="I319" s="270"/>
      <c r="J319" s="268">
        <v>1</v>
      </c>
      <c r="K319" s="269">
        <v>82635</v>
      </c>
      <c r="L319" s="269">
        <v>84547</v>
      </c>
      <c r="M319" s="270">
        <v>1</v>
      </c>
      <c r="N319" s="268">
        <v>1</v>
      </c>
      <c r="O319" s="271"/>
      <c r="P319" s="271">
        <v>82635</v>
      </c>
      <c r="Q319" s="271"/>
      <c r="R319" s="271"/>
      <c r="S319" s="271">
        <v>-84547</v>
      </c>
      <c r="T319" s="271"/>
      <c r="U319" s="272">
        <v>1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153</v>
      </c>
      <c r="B320" s="267" t="s">
        <v>993</v>
      </c>
      <c r="C320" s="267" t="s">
        <v>94</v>
      </c>
      <c r="D320" s="267" t="s">
        <v>92</v>
      </c>
      <c r="E320" s="267" t="s">
        <v>0</v>
      </c>
      <c r="F320" s="268"/>
      <c r="G320" s="269"/>
      <c r="H320" s="269"/>
      <c r="I320" s="270"/>
      <c r="J320" s="268">
        <v>1</v>
      </c>
      <c r="K320" s="269">
        <v>82560</v>
      </c>
      <c r="L320" s="269">
        <v>84684</v>
      </c>
      <c r="M320" s="270">
        <v>1</v>
      </c>
      <c r="N320" s="268">
        <v>1</v>
      </c>
      <c r="O320" s="271"/>
      <c r="P320" s="271">
        <v>82560</v>
      </c>
      <c r="Q320" s="271"/>
      <c r="R320" s="271"/>
      <c r="S320" s="271">
        <v>-84684</v>
      </c>
      <c r="T320" s="271"/>
      <c r="U320" s="272">
        <v>1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153</v>
      </c>
      <c r="B321" s="267" t="s">
        <v>994</v>
      </c>
      <c r="C321" s="267" t="s">
        <v>94</v>
      </c>
      <c r="D321" s="267" t="s">
        <v>92</v>
      </c>
      <c r="E321" s="267" t="s">
        <v>0</v>
      </c>
      <c r="F321" s="268"/>
      <c r="G321" s="269"/>
      <c r="H321" s="269"/>
      <c r="I321" s="270"/>
      <c r="J321" s="268">
        <v>1</v>
      </c>
      <c r="K321" s="269">
        <v>82566</v>
      </c>
      <c r="L321" s="269">
        <v>84760</v>
      </c>
      <c r="M321" s="270">
        <v>1</v>
      </c>
      <c r="N321" s="268">
        <v>1</v>
      </c>
      <c r="O321" s="271"/>
      <c r="P321" s="271">
        <v>82566</v>
      </c>
      <c r="Q321" s="271"/>
      <c r="R321" s="271"/>
      <c r="S321" s="271">
        <v>-84760</v>
      </c>
      <c r="T321" s="271"/>
      <c r="U321" s="272">
        <v>1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153</v>
      </c>
      <c r="B322" s="267" t="s">
        <v>995</v>
      </c>
      <c r="C322" s="267" t="s">
        <v>94</v>
      </c>
      <c r="D322" s="267" t="s">
        <v>92</v>
      </c>
      <c r="E322" s="267" t="s">
        <v>0</v>
      </c>
      <c r="F322" s="268"/>
      <c r="G322" s="269"/>
      <c r="H322" s="269"/>
      <c r="I322" s="270"/>
      <c r="J322" s="268">
        <v>1</v>
      </c>
      <c r="K322" s="269">
        <v>82411</v>
      </c>
      <c r="L322" s="269">
        <v>84889</v>
      </c>
      <c r="M322" s="270">
        <v>1</v>
      </c>
      <c r="N322" s="268">
        <v>1</v>
      </c>
      <c r="O322" s="271"/>
      <c r="P322" s="271">
        <v>82411</v>
      </c>
      <c r="Q322" s="271"/>
      <c r="R322" s="271"/>
      <c r="S322" s="271">
        <v>-84889</v>
      </c>
      <c r="T322" s="271"/>
      <c r="U322" s="272">
        <v>1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153</v>
      </c>
      <c r="B323" s="267" t="s">
        <v>996</v>
      </c>
      <c r="C323" s="267" t="s">
        <v>94</v>
      </c>
      <c r="D323" s="267" t="s">
        <v>92</v>
      </c>
      <c r="E323" s="267" t="s">
        <v>0</v>
      </c>
      <c r="F323" s="268"/>
      <c r="G323" s="269"/>
      <c r="H323" s="269"/>
      <c r="I323" s="270"/>
      <c r="J323" s="268">
        <v>1</v>
      </c>
      <c r="K323" s="269">
        <v>82548</v>
      </c>
      <c r="L323" s="269">
        <v>84723</v>
      </c>
      <c r="M323" s="270">
        <v>1</v>
      </c>
      <c r="N323" s="268">
        <v>1</v>
      </c>
      <c r="O323" s="271"/>
      <c r="P323" s="271">
        <v>82548</v>
      </c>
      <c r="Q323" s="271"/>
      <c r="R323" s="271"/>
      <c r="S323" s="271">
        <v>-84723</v>
      </c>
      <c r="T323" s="271"/>
      <c r="U323" s="272">
        <v>1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153</v>
      </c>
      <c r="B324" s="267" t="s">
        <v>997</v>
      </c>
      <c r="C324" s="267" t="s">
        <v>94</v>
      </c>
      <c r="D324" s="267" t="s">
        <v>92</v>
      </c>
      <c r="E324" s="267" t="s">
        <v>0</v>
      </c>
      <c r="F324" s="268"/>
      <c r="G324" s="269"/>
      <c r="H324" s="269"/>
      <c r="I324" s="270"/>
      <c r="J324" s="268">
        <v>1</v>
      </c>
      <c r="K324" s="269">
        <v>82772</v>
      </c>
      <c r="L324" s="269">
        <v>84463</v>
      </c>
      <c r="M324" s="270">
        <v>1</v>
      </c>
      <c r="N324" s="268">
        <v>1</v>
      </c>
      <c r="O324" s="271"/>
      <c r="P324" s="271">
        <v>82772</v>
      </c>
      <c r="Q324" s="271"/>
      <c r="R324" s="271"/>
      <c r="S324" s="271">
        <v>-84463</v>
      </c>
      <c r="T324" s="271"/>
      <c r="U324" s="272">
        <v>1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153</v>
      </c>
      <c r="B325" s="267" t="s">
        <v>998</v>
      </c>
      <c r="C325" s="267" t="s">
        <v>94</v>
      </c>
      <c r="D325" s="267" t="s">
        <v>92</v>
      </c>
      <c r="E325" s="267" t="s">
        <v>0</v>
      </c>
      <c r="F325" s="268"/>
      <c r="G325" s="269"/>
      <c r="H325" s="269"/>
      <c r="I325" s="270"/>
      <c r="J325" s="268">
        <v>1</v>
      </c>
      <c r="K325" s="269">
        <v>82975</v>
      </c>
      <c r="L325" s="269">
        <v>84293</v>
      </c>
      <c r="M325" s="270">
        <v>1</v>
      </c>
      <c r="N325" s="268">
        <v>1</v>
      </c>
      <c r="O325" s="271"/>
      <c r="P325" s="271">
        <v>82975</v>
      </c>
      <c r="Q325" s="271"/>
      <c r="R325" s="271"/>
      <c r="S325" s="271">
        <v>-84293</v>
      </c>
      <c r="T325" s="271"/>
      <c r="U325" s="272">
        <v>1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153</v>
      </c>
      <c r="B326" s="267" t="s">
        <v>999</v>
      </c>
      <c r="C326" s="267" t="s">
        <v>94</v>
      </c>
      <c r="D326" s="267" t="s">
        <v>92</v>
      </c>
      <c r="E326" s="267" t="s">
        <v>0</v>
      </c>
      <c r="F326" s="268"/>
      <c r="G326" s="269"/>
      <c r="H326" s="269"/>
      <c r="I326" s="270"/>
      <c r="J326" s="268">
        <v>1</v>
      </c>
      <c r="K326" s="269">
        <v>82665</v>
      </c>
      <c r="L326" s="269">
        <v>84525</v>
      </c>
      <c r="M326" s="270">
        <v>1</v>
      </c>
      <c r="N326" s="268">
        <v>1</v>
      </c>
      <c r="O326" s="271"/>
      <c r="P326" s="271">
        <v>82665</v>
      </c>
      <c r="Q326" s="271"/>
      <c r="R326" s="271"/>
      <c r="S326" s="271">
        <v>-84525</v>
      </c>
      <c r="T326" s="271"/>
      <c r="U326" s="272">
        <v>1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153</v>
      </c>
      <c r="B327" s="267" t="s">
        <v>1000</v>
      </c>
      <c r="C327" s="267" t="s">
        <v>94</v>
      </c>
      <c r="D327" s="267" t="s">
        <v>92</v>
      </c>
      <c r="E327" s="267" t="s">
        <v>0</v>
      </c>
      <c r="F327" s="268"/>
      <c r="G327" s="269"/>
      <c r="H327" s="269"/>
      <c r="I327" s="270"/>
      <c r="J327" s="268">
        <v>1</v>
      </c>
      <c r="K327" s="269">
        <v>82820</v>
      </c>
      <c r="L327" s="269">
        <v>84440</v>
      </c>
      <c r="M327" s="270">
        <v>1</v>
      </c>
      <c r="N327" s="268">
        <v>1</v>
      </c>
      <c r="O327" s="271"/>
      <c r="P327" s="271">
        <v>82820</v>
      </c>
      <c r="Q327" s="271"/>
      <c r="R327" s="271"/>
      <c r="S327" s="271">
        <v>-84440</v>
      </c>
      <c r="T327" s="271"/>
      <c r="U327" s="272">
        <v>1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153</v>
      </c>
      <c r="B328" s="267" t="s">
        <v>1001</v>
      </c>
      <c r="C328" s="267" t="s">
        <v>94</v>
      </c>
      <c r="D328" s="267" t="s">
        <v>92</v>
      </c>
      <c r="E328" s="267" t="s">
        <v>0</v>
      </c>
      <c r="F328" s="268"/>
      <c r="G328" s="269"/>
      <c r="H328" s="269"/>
      <c r="I328" s="270"/>
      <c r="J328" s="268">
        <v>1</v>
      </c>
      <c r="K328" s="269">
        <v>82411</v>
      </c>
      <c r="L328" s="269">
        <v>84889</v>
      </c>
      <c r="M328" s="270">
        <v>1</v>
      </c>
      <c r="N328" s="268">
        <v>1</v>
      </c>
      <c r="O328" s="271"/>
      <c r="P328" s="271">
        <v>82411</v>
      </c>
      <c r="Q328" s="271"/>
      <c r="R328" s="271"/>
      <c r="S328" s="271">
        <v>-84889</v>
      </c>
      <c r="T328" s="271"/>
      <c r="U328" s="272">
        <v>1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153</v>
      </c>
      <c r="B329" s="267" t="s">
        <v>1002</v>
      </c>
      <c r="C329" s="267" t="s">
        <v>94</v>
      </c>
      <c r="D329" s="267" t="s">
        <v>92</v>
      </c>
      <c r="E329" s="267" t="s">
        <v>0</v>
      </c>
      <c r="F329" s="268"/>
      <c r="G329" s="269"/>
      <c r="H329" s="269"/>
      <c r="I329" s="270"/>
      <c r="J329" s="268">
        <v>1</v>
      </c>
      <c r="K329" s="269">
        <v>82664</v>
      </c>
      <c r="L329" s="269">
        <v>84323</v>
      </c>
      <c r="M329" s="270">
        <v>1</v>
      </c>
      <c r="N329" s="268">
        <v>1</v>
      </c>
      <c r="O329" s="271"/>
      <c r="P329" s="271">
        <v>82664</v>
      </c>
      <c r="Q329" s="271"/>
      <c r="R329" s="271"/>
      <c r="S329" s="271">
        <v>-84323</v>
      </c>
      <c r="T329" s="271"/>
      <c r="U329" s="272">
        <v>1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153</v>
      </c>
      <c r="B330" s="267" t="s">
        <v>1003</v>
      </c>
      <c r="C330" s="267" t="s">
        <v>94</v>
      </c>
      <c r="D330" s="267" t="s">
        <v>92</v>
      </c>
      <c r="E330" s="267" t="s">
        <v>0</v>
      </c>
      <c r="F330" s="268"/>
      <c r="G330" s="269"/>
      <c r="H330" s="269"/>
      <c r="I330" s="270"/>
      <c r="J330" s="268">
        <v>1</v>
      </c>
      <c r="K330" s="269">
        <v>82231</v>
      </c>
      <c r="L330" s="269">
        <v>84709</v>
      </c>
      <c r="M330" s="270">
        <v>1</v>
      </c>
      <c r="N330" s="268">
        <v>1</v>
      </c>
      <c r="O330" s="271"/>
      <c r="P330" s="271">
        <v>82231</v>
      </c>
      <c r="Q330" s="271"/>
      <c r="R330" s="271"/>
      <c r="S330" s="271">
        <v>-84709</v>
      </c>
      <c r="T330" s="271"/>
      <c r="U330" s="272">
        <v>1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153</v>
      </c>
      <c r="B331" s="267" t="s">
        <v>1004</v>
      </c>
      <c r="C331" s="267" t="s">
        <v>94</v>
      </c>
      <c r="D331" s="267" t="s">
        <v>92</v>
      </c>
      <c r="E331" s="267" t="s">
        <v>0</v>
      </c>
      <c r="F331" s="268"/>
      <c r="G331" s="269"/>
      <c r="H331" s="269"/>
      <c r="I331" s="270"/>
      <c r="J331" s="268">
        <v>1</v>
      </c>
      <c r="K331" s="269">
        <v>82579</v>
      </c>
      <c r="L331" s="269">
        <v>84478</v>
      </c>
      <c r="M331" s="270">
        <v>1</v>
      </c>
      <c r="N331" s="268">
        <v>1</v>
      </c>
      <c r="O331" s="271"/>
      <c r="P331" s="271">
        <v>82579</v>
      </c>
      <c r="Q331" s="271"/>
      <c r="R331" s="271"/>
      <c r="S331" s="271">
        <v>-84478</v>
      </c>
      <c r="T331" s="271"/>
      <c r="U331" s="272">
        <v>1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153</v>
      </c>
      <c r="B332" s="267" t="s">
        <v>1005</v>
      </c>
      <c r="C332" s="267" t="s">
        <v>94</v>
      </c>
      <c r="D332" s="267" t="s">
        <v>92</v>
      </c>
      <c r="E332" s="267" t="s">
        <v>0</v>
      </c>
      <c r="F332" s="268"/>
      <c r="G332" s="269"/>
      <c r="H332" s="269"/>
      <c r="I332" s="270"/>
      <c r="J332" s="268">
        <v>1</v>
      </c>
      <c r="K332" s="269">
        <v>82700</v>
      </c>
      <c r="L332" s="269">
        <v>84444</v>
      </c>
      <c r="M332" s="270">
        <v>1</v>
      </c>
      <c r="N332" s="268">
        <v>1</v>
      </c>
      <c r="O332" s="271"/>
      <c r="P332" s="271">
        <v>82700</v>
      </c>
      <c r="Q332" s="271"/>
      <c r="R332" s="271"/>
      <c r="S332" s="271">
        <v>-84444</v>
      </c>
      <c r="T332" s="271"/>
      <c r="U332" s="272">
        <v>1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153</v>
      </c>
      <c r="B333" s="267" t="s">
        <v>1006</v>
      </c>
      <c r="C333" s="267" t="s">
        <v>94</v>
      </c>
      <c r="D333" s="267" t="s">
        <v>92</v>
      </c>
      <c r="E333" s="267" t="s">
        <v>0</v>
      </c>
      <c r="F333" s="268"/>
      <c r="G333" s="269"/>
      <c r="H333" s="269"/>
      <c r="I333" s="270"/>
      <c r="J333" s="268">
        <v>1</v>
      </c>
      <c r="K333" s="269">
        <v>82645</v>
      </c>
      <c r="L333" s="269">
        <v>84389</v>
      </c>
      <c r="M333" s="270">
        <v>1</v>
      </c>
      <c r="N333" s="268">
        <v>1</v>
      </c>
      <c r="O333" s="271"/>
      <c r="P333" s="271">
        <v>82645</v>
      </c>
      <c r="Q333" s="271"/>
      <c r="R333" s="271"/>
      <c r="S333" s="271">
        <v>-84389</v>
      </c>
      <c r="T333" s="271"/>
      <c r="U333" s="272">
        <v>1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153</v>
      </c>
      <c r="B334" s="267" t="s">
        <v>1007</v>
      </c>
      <c r="C334" s="267" t="s">
        <v>94</v>
      </c>
      <c r="D334" s="267" t="s">
        <v>92</v>
      </c>
      <c r="E334" s="267" t="s">
        <v>0</v>
      </c>
      <c r="F334" s="268"/>
      <c r="G334" s="269"/>
      <c r="H334" s="269"/>
      <c r="I334" s="270"/>
      <c r="J334" s="268">
        <v>1</v>
      </c>
      <c r="K334" s="269">
        <v>82251</v>
      </c>
      <c r="L334" s="269">
        <v>84853</v>
      </c>
      <c r="M334" s="270">
        <v>1</v>
      </c>
      <c r="N334" s="268">
        <v>1</v>
      </c>
      <c r="O334" s="271"/>
      <c r="P334" s="271">
        <v>82251</v>
      </c>
      <c r="Q334" s="271"/>
      <c r="R334" s="271"/>
      <c r="S334" s="271">
        <v>-84853</v>
      </c>
      <c r="T334" s="271"/>
      <c r="U334" s="272">
        <v>1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153</v>
      </c>
      <c r="B335" s="267" t="s">
        <v>1008</v>
      </c>
      <c r="C335" s="267" t="s">
        <v>94</v>
      </c>
      <c r="D335" s="267" t="s">
        <v>92</v>
      </c>
      <c r="E335" s="267" t="s">
        <v>0</v>
      </c>
      <c r="F335" s="268"/>
      <c r="G335" s="269"/>
      <c r="H335" s="269"/>
      <c r="I335" s="270"/>
      <c r="J335" s="268">
        <v>1</v>
      </c>
      <c r="K335" s="269">
        <v>82685</v>
      </c>
      <c r="L335" s="269">
        <v>84481</v>
      </c>
      <c r="M335" s="270">
        <v>1</v>
      </c>
      <c r="N335" s="268">
        <v>1</v>
      </c>
      <c r="O335" s="271"/>
      <c r="P335" s="271">
        <v>82685</v>
      </c>
      <c r="Q335" s="271"/>
      <c r="R335" s="271"/>
      <c r="S335" s="271">
        <v>-84481</v>
      </c>
      <c r="T335" s="271"/>
      <c r="U335" s="272">
        <v>1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153</v>
      </c>
      <c r="B336" s="267" t="s">
        <v>1009</v>
      </c>
      <c r="C336" s="267" t="s">
        <v>94</v>
      </c>
      <c r="D336" s="267" t="s">
        <v>92</v>
      </c>
      <c r="E336" s="267" t="s">
        <v>0</v>
      </c>
      <c r="F336" s="268"/>
      <c r="G336" s="269"/>
      <c r="H336" s="269"/>
      <c r="I336" s="270"/>
      <c r="J336" s="268">
        <v>1</v>
      </c>
      <c r="K336" s="269">
        <v>82461</v>
      </c>
      <c r="L336" s="269">
        <v>84823</v>
      </c>
      <c r="M336" s="270">
        <v>1</v>
      </c>
      <c r="N336" s="268">
        <v>1</v>
      </c>
      <c r="O336" s="271"/>
      <c r="P336" s="271">
        <v>82461</v>
      </c>
      <c r="Q336" s="271"/>
      <c r="R336" s="271"/>
      <c r="S336" s="271">
        <v>-84823</v>
      </c>
      <c r="T336" s="271"/>
      <c r="U336" s="272">
        <v>1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153</v>
      </c>
      <c r="B337" s="267" t="s">
        <v>1010</v>
      </c>
      <c r="C337" s="267" t="s">
        <v>94</v>
      </c>
      <c r="D337" s="267" t="s">
        <v>92</v>
      </c>
      <c r="E337" s="267" t="s">
        <v>0</v>
      </c>
      <c r="F337" s="268"/>
      <c r="G337" s="269"/>
      <c r="H337" s="269"/>
      <c r="I337" s="270"/>
      <c r="J337" s="268">
        <v>1</v>
      </c>
      <c r="K337" s="269">
        <v>82840</v>
      </c>
      <c r="L337" s="269">
        <v>84396</v>
      </c>
      <c r="M337" s="270">
        <v>1</v>
      </c>
      <c r="N337" s="268">
        <v>1</v>
      </c>
      <c r="O337" s="271"/>
      <c r="P337" s="271">
        <v>82840</v>
      </c>
      <c r="Q337" s="271"/>
      <c r="R337" s="271"/>
      <c r="S337" s="271">
        <v>-84396</v>
      </c>
      <c r="T337" s="271"/>
      <c r="U337" s="272">
        <v>1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153</v>
      </c>
      <c r="B338" s="267" t="s">
        <v>1011</v>
      </c>
      <c r="C338" s="267" t="s">
        <v>94</v>
      </c>
      <c r="D338" s="267" t="s">
        <v>92</v>
      </c>
      <c r="E338" s="267" t="s">
        <v>0</v>
      </c>
      <c r="F338" s="268"/>
      <c r="G338" s="269"/>
      <c r="H338" s="269"/>
      <c r="I338" s="270"/>
      <c r="J338" s="268">
        <v>1</v>
      </c>
      <c r="K338" s="269">
        <v>82578</v>
      </c>
      <c r="L338" s="269">
        <v>84701</v>
      </c>
      <c r="M338" s="270">
        <v>1</v>
      </c>
      <c r="N338" s="268">
        <v>1</v>
      </c>
      <c r="O338" s="271"/>
      <c r="P338" s="271">
        <v>82578</v>
      </c>
      <c r="Q338" s="271"/>
      <c r="R338" s="271"/>
      <c r="S338" s="271">
        <v>-84701</v>
      </c>
      <c r="T338" s="271"/>
      <c r="U338" s="272">
        <v>1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153</v>
      </c>
      <c r="B339" s="267" t="s">
        <v>1012</v>
      </c>
      <c r="C339" s="267" t="s">
        <v>94</v>
      </c>
      <c r="D339" s="267" t="s">
        <v>92</v>
      </c>
      <c r="E339" s="267" t="s">
        <v>0</v>
      </c>
      <c r="F339" s="268"/>
      <c r="G339" s="269"/>
      <c r="H339" s="269"/>
      <c r="I339" s="270"/>
      <c r="J339" s="268">
        <v>1</v>
      </c>
      <c r="K339" s="269">
        <v>82367</v>
      </c>
      <c r="L339" s="269">
        <v>84529</v>
      </c>
      <c r="M339" s="270">
        <v>1</v>
      </c>
      <c r="N339" s="268">
        <v>1</v>
      </c>
      <c r="O339" s="271"/>
      <c r="P339" s="271">
        <v>82367</v>
      </c>
      <c r="Q339" s="271"/>
      <c r="R339" s="271"/>
      <c r="S339" s="271">
        <v>-84529</v>
      </c>
      <c r="T339" s="271"/>
      <c r="U339" s="272">
        <v>1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153</v>
      </c>
      <c r="B340" s="267" t="s">
        <v>1013</v>
      </c>
      <c r="C340" s="267" t="s">
        <v>94</v>
      </c>
      <c r="D340" s="267" t="s">
        <v>92</v>
      </c>
      <c r="E340" s="267" t="s">
        <v>0</v>
      </c>
      <c r="F340" s="268"/>
      <c r="G340" s="269"/>
      <c r="H340" s="269"/>
      <c r="I340" s="270"/>
      <c r="J340" s="268">
        <v>1</v>
      </c>
      <c r="K340" s="269">
        <v>82353</v>
      </c>
      <c r="L340" s="269">
        <v>84716</v>
      </c>
      <c r="M340" s="270">
        <v>1</v>
      </c>
      <c r="N340" s="268">
        <v>1</v>
      </c>
      <c r="O340" s="271"/>
      <c r="P340" s="271">
        <v>82353</v>
      </c>
      <c r="Q340" s="271"/>
      <c r="R340" s="271"/>
      <c r="S340" s="271">
        <v>-84716</v>
      </c>
      <c r="T340" s="271"/>
      <c r="U340" s="272">
        <v>1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153</v>
      </c>
      <c r="B341" s="267" t="s">
        <v>1014</v>
      </c>
      <c r="C341" s="267" t="s">
        <v>94</v>
      </c>
      <c r="D341" s="267" t="s">
        <v>92</v>
      </c>
      <c r="E341" s="267" t="s">
        <v>0</v>
      </c>
      <c r="F341" s="268"/>
      <c r="G341" s="269"/>
      <c r="H341" s="269"/>
      <c r="I341" s="270"/>
      <c r="J341" s="268">
        <v>1</v>
      </c>
      <c r="K341" s="269">
        <v>82548</v>
      </c>
      <c r="L341" s="269">
        <v>84723</v>
      </c>
      <c r="M341" s="270">
        <v>1</v>
      </c>
      <c r="N341" s="268">
        <v>1</v>
      </c>
      <c r="O341" s="271"/>
      <c r="P341" s="271">
        <v>82548</v>
      </c>
      <c r="Q341" s="271"/>
      <c r="R341" s="271"/>
      <c r="S341" s="271">
        <v>-84723</v>
      </c>
      <c r="T341" s="271"/>
      <c r="U341" s="272">
        <v>1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153</v>
      </c>
      <c r="B342" s="267" t="s">
        <v>1015</v>
      </c>
      <c r="C342" s="267" t="s">
        <v>94</v>
      </c>
      <c r="D342" s="267" t="s">
        <v>92</v>
      </c>
      <c r="E342" s="267" t="s">
        <v>0</v>
      </c>
      <c r="F342" s="268"/>
      <c r="G342" s="269"/>
      <c r="H342" s="269"/>
      <c r="I342" s="270"/>
      <c r="J342" s="268">
        <v>1</v>
      </c>
      <c r="K342" s="269">
        <v>82801</v>
      </c>
      <c r="L342" s="269">
        <v>84345</v>
      </c>
      <c r="M342" s="270">
        <v>1</v>
      </c>
      <c r="N342" s="268">
        <v>1</v>
      </c>
      <c r="O342" s="271"/>
      <c r="P342" s="271">
        <v>82801</v>
      </c>
      <c r="Q342" s="271"/>
      <c r="R342" s="271"/>
      <c r="S342" s="271">
        <v>-84345</v>
      </c>
      <c r="T342" s="271"/>
      <c r="U342" s="272">
        <v>1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153</v>
      </c>
      <c r="B343" s="267" t="s">
        <v>1016</v>
      </c>
      <c r="C343" s="267" t="s">
        <v>94</v>
      </c>
      <c r="D343" s="267" t="s">
        <v>92</v>
      </c>
      <c r="E343" s="267" t="s">
        <v>0</v>
      </c>
      <c r="F343" s="268"/>
      <c r="G343" s="269"/>
      <c r="H343" s="269"/>
      <c r="I343" s="270"/>
      <c r="J343" s="268">
        <v>1</v>
      </c>
      <c r="K343" s="269">
        <v>82817</v>
      </c>
      <c r="L343" s="269">
        <v>84134</v>
      </c>
      <c r="M343" s="270">
        <v>1</v>
      </c>
      <c r="N343" s="268">
        <v>1</v>
      </c>
      <c r="O343" s="271"/>
      <c r="P343" s="271">
        <v>82817</v>
      </c>
      <c r="Q343" s="271"/>
      <c r="R343" s="271"/>
      <c r="S343" s="271">
        <v>-84134</v>
      </c>
      <c r="T343" s="271"/>
      <c r="U343" s="272">
        <v>1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153</v>
      </c>
      <c r="B344" s="267" t="s">
        <v>1017</v>
      </c>
      <c r="C344" s="267" t="s">
        <v>94</v>
      </c>
      <c r="D344" s="267" t="s">
        <v>92</v>
      </c>
      <c r="E344" s="267" t="s">
        <v>0</v>
      </c>
      <c r="F344" s="268"/>
      <c r="G344" s="269"/>
      <c r="H344" s="269"/>
      <c r="I344" s="270"/>
      <c r="J344" s="268">
        <v>1</v>
      </c>
      <c r="K344" s="269">
        <v>82199</v>
      </c>
      <c r="L344" s="269">
        <v>84916</v>
      </c>
      <c r="M344" s="270">
        <v>1</v>
      </c>
      <c r="N344" s="268">
        <v>1</v>
      </c>
      <c r="O344" s="271"/>
      <c r="P344" s="271">
        <v>82199</v>
      </c>
      <c r="Q344" s="271"/>
      <c r="R344" s="271"/>
      <c r="S344" s="271">
        <v>-84916</v>
      </c>
      <c r="T344" s="271"/>
      <c r="U344" s="272">
        <v>1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153</v>
      </c>
      <c r="B345" s="267" t="s">
        <v>1018</v>
      </c>
      <c r="C345" s="267" t="s">
        <v>94</v>
      </c>
      <c r="D345" s="267" t="s">
        <v>92</v>
      </c>
      <c r="E345" s="267" t="s">
        <v>0</v>
      </c>
      <c r="F345" s="268"/>
      <c r="G345" s="269"/>
      <c r="H345" s="269"/>
      <c r="I345" s="270"/>
      <c r="J345" s="268">
        <v>1</v>
      </c>
      <c r="K345" s="269">
        <v>82168</v>
      </c>
      <c r="L345" s="269">
        <v>84924</v>
      </c>
      <c r="M345" s="270">
        <v>1</v>
      </c>
      <c r="N345" s="268">
        <v>1</v>
      </c>
      <c r="O345" s="271"/>
      <c r="P345" s="271">
        <v>82168</v>
      </c>
      <c r="Q345" s="271"/>
      <c r="R345" s="271"/>
      <c r="S345" s="271">
        <v>-84924</v>
      </c>
      <c r="T345" s="271"/>
      <c r="U345" s="272">
        <v>1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153</v>
      </c>
      <c r="B346" s="267" t="s">
        <v>1019</v>
      </c>
      <c r="C346" s="267" t="s">
        <v>94</v>
      </c>
      <c r="D346" s="267" t="s">
        <v>92</v>
      </c>
      <c r="E346" s="267" t="s">
        <v>0</v>
      </c>
      <c r="F346" s="268"/>
      <c r="G346" s="269"/>
      <c r="H346" s="269"/>
      <c r="I346" s="270"/>
      <c r="J346" s="268">
        <v>1</v>
      </c>
      <c r="K346" s="269">
        <v>82214</v>
      </c>
      <c r="L346" s="269">
        <v>84691</v>
      </c>
      <c r="M346" s="270">
        <v>1</v>
      </c>
      <c r="N346" s="268">
        <v>1</v>
      </c>
      <c r="O346" s="271"/>
      <c r="P346" s="271">
        <v>82214</v>
      </c>
      <c r="Q346" s="271"/>
      <c r="R346" s="271"/>
      <c r="S346" s="271">
        <v>-84691</v>
      </c>
      <c r="T346" s="271"/>
      <c r="U346" s="272">
        <v>1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153</v>
      </c>
      <c r="B347" s="267" t="s">
        <v>1020</v>
      </c>
      <c r="C347" s="267" t="s">
        <v>94</v>
      </c>
      <c r="D347" s="267" t="s">
        <v>92</v>
      </c>
      <c r="E347" s="267" t="s">
        <v>0</v>
      </c>
      <c r="F347" s="268"/>
      <c r="G347" s="269"/>
      <c r="H347" s="269"/>
      <c r="I347" s="270"/>
      <c r="J347" s="268">
        <v>1</v>
      </c>
      <c r="K347" s="269">
        <v>82199</v>
      </c>
      <c r="L347" s="269">
        <v>84728</v>
      </c>
      <c r="M347" s="270">
        <v>1</v>
      </c>
      <c r="N347" s="268">
        <v>1</v>
      </c>
      <c r="O347" s="271"/>
      <c r="P347" s="271">
        <v>82199</v>
      </c>
      <c r="Q347" s="271"/>
      <c r="R347" s="271"/>
      <c r="S347" s="271">
        <v>-84728</v>
      </c>
      <c r="T347" s="271"/>
      <c r="U347" s="272">
        <v>1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153</v>
      </c>
      <c r="B348" s="267" t="s">
        <v>1021</v>
      </c>
      <c r="C348" s="267" t="s">
        <v>94</v>
      </c>
      <c r="D348" s="267" t="s">
        <v>92</v>
      </c>
      <c r="E348" s="267" t="s">
        <v>0</v>
      </c>
      <c r="F348" s="268"/>
      <c r="G348" s="269"/>
      <c r="H348" s="269"/>
      <c r="I348" s="270"/>
      <c r="J348" s="268">
        <v>1</v>
      </c>
      <c r="K348" s="269">
        <v>82577</v>
      </c>
      <c r="L348" s="269">
        <v>84475</v>
      </c>
      <c r="M348" s="270">
        <v>1</v>
      </c>
      <c r="N348" s="268">
        <v>1</v>
      </c>
      <c r="O348" s="271"/>
      <c r="P348" s="271">
        <v>82577</v>
      </c>
      <c r="Q348" s="271"/>
      <c r="R348" s="271"/>
      <c r="S348" s="271">
        <v>-84475</v>
      </c>
      <c r="T348" s="271"/>
      <c r="U348" s="272">
        <v>1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153</v>
      </c>
      <c r="B349" s="267" t="s">
        <v>1022</v>
      </c>
      <c r="C349" s="267" t="s">
        <v>94</v>
      </c>
      <c r="D349" s="267" t="s">
        <v>92</v>
      </c>
      <c r="E349" s="267" t="s">
        <v>0</v>
      </c>
      <c r="F349" s="268"/>
      <c r="G349" s="269"/>
      <c r="H349" s="269"/>
      <c r="I349" s="270"/>
      <c r="J349" s="268">
        <v>1</v>
      </c>
      <c r="K349" s="269">
        <v>82563</v>
      </c>
      <c r="L349" s="269">
        <v>84474</v>
      </c>
      <c r="M349" s="270">
        <v>1</v>
      </c>
      <c r="N349" s="268">
        <v>1</v>
      </c>
      <c r="O349" s="271"/>
      <c r="P349" s="271">
        <v>82563</v>
      </c>
      <c r="Q349" s="271"/>
      <c r="R349" s="271"/>
      <c r="S349" s="271">
        <v>-84474</v>
      </c>
      <c r="T349" s="271"/>
      <c r="U349" s="272">
        <v>1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153</v>
      </c>
      <c r="B350" s="267" t="s">
        <v>1023</v>
      </c>
      <c r="C350" s="267" t="s">
        <v>94</v>
      </c>
      <c r="D350" s="267" t="s">
        <v>92</v>
      </c>
      <c r="E350" s="267" t="s">
        <v>0</v>
      </c>
      <c r="F350" s="268"/>
      <c r="G350" s="269"/>
      <c r="H350" s="269"/>
      <c r="I350" s="270"/>
      <c r="J350" s="268">
        <v>1</v>
      </c>
      <c r="K350" s="269">
        <v>82321</v>
      </c>
      <c r="L350" s="269">
        <v>84790</v>
      </c>
      <c r="M350" s="270">
        <v>1</v>
      </c>
      <c r="N350" s="268">
        <v>1</v>
      </c>
      <c r="O350" s="271"/>
      <c r="P350" s="271">
        <v>82321</v>
      </c>
      <c r="Q350" s="271"/>
      <c r="R350" s="271"/>
      <c r="S350" s="271">
        <v>-84790</v>
      </c>
      <c r="T350" s="271"/>
      <c r="U350" s="272">
        <v>1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153</v>
      </c>
      <c r="B351" s="267" t="s">
        <v>1024</v>
      </c>
      <c r="C351" s="267" t="s">
        <v>94</v>
      </c>
      <c r="D351" s="267" t="s">
        <v>92</v>
      </c>
      <c r="E351" s="267" t="s">
        <v>0</v>
      </c>
      <c r="F351" s="268"/>
      <c r="G351" s="269"/>
      <c r="H351" s="269"/>
      <c r="I351" s="270"/>
      <c r="J351" s="268">
        <v>1</v>
      </c>
      <c r="K351" s="269">
        <v>82455</v>
      </c>
      <c r="L351" s="269">
        <v>84870</v>
      </c>
      <c r="M351" s="270">
        <v>1</v>
      </c>
      <c r="N351" s="268">
        <v>1</v>
      </c>
      <c r="O351" s="271"/>
      <c r="P351" s="271">
        <v>82455</v>
      </c>
      <c r="Q351" s="271"/>
      <c r="R351" s="271"/>
      <c r="S351" s="271">
        <v>-84870</v>
      </c>
      <c r="T351" s="271"/>
      <c r="U351" s="272">
        <v>1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153</v>
      </c>
      <c r="B352" s="267" t="s">
        <v>1025</v>
      </c>
      <c r="C352" s="267" t="s">
        <v>94</v>
      </c>
      <c r="D352" s="267" t="s">
        <v>92</v>
      </c>
      <c r="E352" s="267" t="s">
        <v>0</v>
      </c>
      <c r="F352" s="268"/>
      <c r="G352" s="269"/>
      <c r="H352" s="269"/>
      <c r="I352" s="270"/>
      <c r="J352" s="268">
        <v>1</v>
      </c>
      <c r="K352" s="269">
        <v>82517</v>
      </c>
      <c r="L352" s="269">
        <v>84747</v>
      </c>
      <c r="M352" s="270">
        <v>1</v>
      </c>
      <c r="N352" s="268">
        <v>1</v>
      </c>
      <c r="O352" s="271"/>
      <c r="P352" s="271">
        <v>82517</v>
      </c>
      <c r="Q352" s="271"/>
      <c r="R352" s="271"/>
      <c r="S352" s="271">
        <v>-84747</v>
      </c>
      <c r="T352" s="271"/>
      <c r="U352" s="272">
        <v>1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153</v>
      </c>
      <c r="B353" s="267" t="s">
        <v>1026</v>
      </c>
      <c r="C353" s="267" t="s">
        <v>94</v>
      </c>
      <c r="D353" s="267" t="s">
        <v>92</v>
      </c>
      <c r="E353" s="267" t="s">
        <v>0</v>
      </c>
      <c r="F353" s="268"/>
      <c r="G353" s="269"/>
      <c r="H353" s="269"/>
      <c r="I353" s="270"/>
      <c r="J353" s="268">
        <v>1</v>
      </c>
      <c r="K353" s="269">
        <v>82254</v>
      </c>
      <c r="L353" s="269">
        <v>84638</v>
      </c>
      <c r="M353" s="270">
        <v>1</v>
      </c>
      <c r="N353" s="268">
        <v>1</v>
      </c>
      <c r="O353" s="271"/>
      <c r="P353" s="271">
        <v>82254</v>
      </c>
      <c r="Q353" s="271"/>
      <c r="R353" s="271"/>
      <c r="S353" s="271">
        <v>-84638</v>
      </c>
      <c r="T353" s="271"/>
      <c r="U353" s="272">
        <v>1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153</v>
      </c>
      <c r="B354" s="267" t="s">
        <v>1027</v>
      </c>
      <c r="C354" s="267" t="s">
        <v>94</v>
      </c>
      <c r="D354" s="267" t="s">
        <v>92</v>
      </c>
      <c r="E354" s="267" t="s">
        <v>0</v>
      </c>
      <c r="F354" s="268"/>
      <c r="G354" s="269"/>
      <c r="H354" s="269"/>
      <c r="I354" s="270"/>
      <c r="J354" s="268">
        <v>1</v>
      </c>
      <c r="K354" s="269">
        <v>82323</v>
      </c>
      <c r="L354" s="269">
        <v>84623</v>
      </c>
      <c r="M354" s="270">
        <v>1</v>
      </c>
      <c r="N354" s="268">
        <v>1</v>
      </c>
      <c r="O354" s="271"/>
      <c r="P354" s="271">
        <v>82323</v>
      </c>
      <c r="Q354" s="271"/>
      <c r="R354" s="271"/>
      <c r="S354" s="271">
        <v>-84623</v>
      </c>
      <c r="T354" s="271"/>
      <c r="U354" s="272">
        <v>1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153</v>
      </c>
      <c r="B355" s="267" t="s">
        <v>1028</v>
      </c>
      <c r="C355" s="267" t="s">
        <v>94</v>
      </c>
      <c r="D355" s="267" t="s">
        <v>92</v>
      </c>
      <c r="E355" s="267" t="s">
        <v>0</v>
      </c>
      <c r="F355" s="268"/>
      <c r="G355" s="269"/>
      <c r="H355" s="269"/>
      <c r="I355" s="270"/>
      <c r="J355" s="268">
        <v>1</v>
      </c>
      <c r="K355" s="269">
        <v>82294</v>
      </c>
      <c r="L355" s="269">
        <v>84802</v>
      </c>
      <c r="M355" s="270">
        <v>1</v>
      </c>
      <c r="N355" s="268">
        <v>1</v>
      </c>
      <c r="O355" s="271"/>
      <c r="P355" s="271">
        <v>82294</v>
      </c>
      <c r="Q355" s="271"/>
      <c r="R355" s="271"/>
      <c r="S355" s="271">
        <v>-84802</v>
      </c>
      <c r="T355" s="271"/>
      <c r="U355" s="272">
        <v>1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153</v>
      </c>
      <c r="B356" s="267" t="s">
        <v>1029</v>
      </c>
      <c r="C356" s="267" t="s">
        <v>94</v>
      </c>
      <c r="D356" s="267" t="s">
        <v>92</v>
      </c>
      <c r="E356" s="267" t="s">
        <v>0</v>
      </c>
      <c r="F356" s="268"/>
      <c r="G356" s="269"/>
      <c r="H356" s="269"/>
      <c r="I356" s="270"/>
      <c r="J356" s="268">
        <v>1</v>
      </c>
      <c r="K356" s="269">
        <v>82240</v>
      </c>
      <c r="L356" s="269">
        <v>84825</v>
      </c>
      <c r="M356" s="270">
        <v>1</v>
      </c>
      <c r="N356" s="268">
        <v>1</v>
      </c>
      <c r="O356" s="271"/>
      <c r="P356" s="271">
        <v>82240</v>
      </c>
      <c r="Q356" s="271"/>
      <c r="R356" s="271"/>
      <c r="S356" s="271">
        <v>-84825</v>
      </c>
      <c r="T356" s="271"/>
      <c r="U356" s="272">
        <v>1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153</v>
      </c>
      <c r="B357" s="267" t="s">
        <v>1030</v>
      </c>
      <c r="C357" s="267" t="s">
        <v>94</v>
      </c>
      <c r="D357" s="267" t="s">
        <v>92</v>
      </c>
      <c r="E357" s="267" t="s">
        <v>0</v>
      </c>
      <c r="F357" s="268"/>
      <c r="G357" s="269"/>
      <c r="H357" s="269"/>
      <c r="I357" s="270"/>
      <c r="J357" s="268">
        <v>1</v>
      </c>
      <c r="K357" s="269">
        <v>82230</v>
      </c>
      <c r="L357" s="269">
        <v>84885</v>
      </c>
      <c r="M357" s="270">
        <v>1</v>
      </c>
      <c r="N357" s="268">
        <v>1</v>
      </c>
      <c r="O357" s="271"/>
      <c r="P357" s="271">
        <v>82230</v>
      </c>
      <c r="Q357" s="271"/>
      <c r="R357" s="271"/>
      <c r="S357" s="271">
        <v>-84885</v>
      </c>
      <c r="T357" s="271"/>
      <c r="U357" s="272">
        <v>1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153</v>
      </c>
      <c r="B358" s="267" t="s">
        <v>1031</v>
      </c>
      <c r="C358" s="267" t="s">
        <v>94</v>
      </c>
      <c r="D358" s="267" t="s">
        <v>92</v>
      </c>
      <c r="E358" s="267" t="s">
        <v>0</v>
      </c>
      <c r="F358" s="268"/>
      <c r="G358" s="269"/>
      <c r="H358" s="269"/>
      <c r="I358" s="270"/>
      <c r="J358" s="268">
        <v>1</v>
      </c>
      <c r="K358" s="269">
        <v>82323</v>
      </c>
      <c r="L358" s="269">
        <v>84793</v>
      </c>
      <c r="M358" s="270">
        <v>1</v>
      </c>
      <c r="N358" s="268">
        <v>1</v>
      </c>
      <c r="O358" s="271"/>
      <c r="P358" s="271">
        <v>82323</v>
      </c>
      <c r="Q358" s="271"/>
      <c r="R358" s="271"/>
      <c r="S358" s="271">
        <v>-84793</v>
      </c>
      <c r="T358" s="271"/>
      <c r="U358" s="272">
        <v>1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153</v>
      </c>
      <c r="B359" s="267" t="s">
        <v>1032</v>
      </c>
      <c r="C359" s="267" t="s">
        <v>94</v>
      </c>
      <c r="D359" s="267" t="s">
        <v>92</v>
      </c>
      <c r="E359" s="267" t="s">
        <v>0</v>
      </c>
      <c r="F359" s="268"/>
      <c r="G359" s="269"/>
      <c r="H359" s="269"/>
      <c r="I359" s="270"/>
      <c r="J359" s="268">
        <v>1</v>
      </c>
      <c r="K359" s="269">
        <v>82291</v>
      </c>
      <c r="L359" s="269">
        <v>84812</v>
      </c>
      <c r="M359" s="270">
        <v>1</v>
      </c>
      <c r="N359" s="268">
        <v>1</v>
      </c>
      <c r="O359" s="271"/>
      <c r="P359" s="271">
        <v>82291</v>
      </c>
      <c r="Q359" s="271"/>
      <c r="R359" s="271"/>
      <c r="S359" s="271">
        <v>-84812</v>
      </c>
      <c r="T359" s="271"/>
      <c r="U359" s="272">
        <v>1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153</v>
      </c>
      <c r="B360" s="267" t="s">
        <v>1033</v>
      </c>
      <c r="C360" s="267" t="s">
        <v>94</v>
      </c>
      <c r="D360" s="267" t="s">
        <v>92</v>
      </c>
      <c r="E360" s="267" t="s">
        <v>0</v>
      </c>
      <c r="F360" s="268"/>
      <c r="G360" s="269"/>
      <c r="H360" s="269"/>
      <c r="I360" s="270"/>
      <c r="J360" s="268">
        <v>1</v>
      </c>
      <c r="K360" s="269">
        <v>82437</v>
      </c>
      <c r="L360" s="269">
        <v>84853</v>
      </c>
      <c r="M360" s="270">
        <v>1</v>
      </c>
      <c r="N360" s="268">
        <v>1</v>
      </c>
      <c r="O360" s="271"/>
      <c r="P360" s="271">
        <v>82437</v>
      </c>
      <c r="Q360" s="271"/>
      <c r="R360" s="271"/>
      <c r="S360" s="271">
        <v>-84853</v>
      </c>
      <c r="T360" s="271"/>
      <c r="U360" s="272">
        <v>1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153</v>
      </c>
      <c r="B361" s="267" t="s">
        <v>1034</v>
      </c>
      <c r="C361" s="267" t="s">
        <v>94</v>
      </c>
      <c r="D361" s="267" t="s">
        <v>92</v>
      </c>
      <c r="E361" s="267" t="s">
        <v>0</v>
      </c>
      <c r="F361" s="268"/>
      <c r="G361" s="269"/>
      <c r="H361" s="269"/>
      <c r="I361" s="270"/>
      <c r="J361" s="268">
        <v>1</v>
      </c>
      <c r="K361" s="269">
        <v>82455</v>
      </c>
      <c r="L361" s="269">
        <v>84852</v>
      </c>
      <c r="M361" s="270">
        <v>1</v>
      </c>
      <c r="N361" s="268">
        <v>1</v>
      </c>
      <c r="O361" s="271"/>
      <c r="P361" s="271">
        <v>82455</v>
      </c>
      <c r="Q361" s="271"/>
      <c r="R361" s="271"/>
      <c r="S361" s="271">
        <v>-84852</v>
      </c>
      <c r="T361" s="271"/>
      <c r="U361" s="272">
        <v>1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153</v>
      </c>
      <c r="B362" s="267" t="s">
        <v>1035</v>
      </c>
      <c r="C362" s="267" t="s">
        <v>94</v>
      </c>
      <c r="D362" s="267" t="s">
        <v>92</v>
      </c>
      <c r="E362" s="267" t="s">
        <v>0</v>
      </c>
      <c r="F362" s="268"/>
      <c r="G362" s="269"/>
      <c r="H362" s="269"/>
      <c r="I362" s="270"/>
      <c r="J362" s="268">
        <v>1</v>
      </c>
      <c r="K362" s="269">
        <v>82670</v>
      </c>
      <c r="L362" s="269">
        <v>84661</v>
      </c>
      <c r="M362" s="270">
        <v>1</v>
      </c>
      <c r="N362" s="268">
        <v>1</v>
      </c>
      <c r="O362" s="271"/>
      <c r="P362" s="271">
        <v>82670</v>
      </c>
      <c r="Q362" s="271"/>
      <c r="R362" s="271"/>
      <c r="S362" s="271">
        <v>-84661</v>
      </c>
      <c r="T362" s="271"/>
      <c r="U362" s="272">
        <v>1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153</v>
      </c>
      <c r="B363" s="267" t="s">
        <v>1036</v>
      </c>
      <c r="C363" s="267" t="s">
        <v>94</v>
      </c>
      <c r="D363" s="267" t="s">
        <v>92</v>
      </c>
      <c r="E363" s="267" t="s">
        <v>0</v>
      </c>
      <c r="F363" s="268"/>
      <c r="G363" s="269"/>
      <c r="H363" s="269"/>
      <c r="I363" s="270"/>
      <c r="J363" s="268">
        <v>1</v>
      </c>
      <c r="K363" s="269">
        <v>82459</v>
      </c>
      <c r="L363" s="269">
        <v>84489</v>
      </c>
      <c r="M363" s="270">
        <v>1</v>
      </c>
      <c r="N363" s="268">
        <v>1</v>
      </c>
      <c r="O363" s="271"/>
      <c r="P363" s="271">
        <v>82459</v>
      </c>
      <c r="Q363" s="271"/>
      <c r="R363" s="271"/>
      <c r="S363" s="271">
        <v>-84489</v>
      </c>
      <c r="T363" s="271"/>
      <c r="U363" s="272">
        <v>1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153</v>
      </c>
      <c r="B364" s="267" t="s">
        <v>1037</v>
      </c>
      <c r="C364" s="267" t="s">
        <v>94</v>
      </c>
      <c r="D364" s="267" t="s">
        <v>92</v>
      </c>
      <c r="E364" s="267" t="s">
        <v>0</v>
      </c>
      <c r="F364" s="268"/>
      <c r="G364" s="269"/>
      <c r="H364" s="269"/>
      <c r="I364" s="270"/>
      <c r="J364" s="268">
        <v>1</v>
      </c>
      <c r="K364" s="269">
        <v>82495</v>
      </c>
      <c r="L364" s="269">
        <v>84610</v>
      </c>
      <c r="M364" s="270">
        <v>1</v>
      </c>
      <c r="N364" s="268">
        <v>1</v>
      </c>
      <c r="O364" s="271"/>
      <c r="P364" s="271">
        <v>82495</v>
      </c>
      <c r="Q364" s="271"/>
      <c r="R364" s="271"/>
      <c r="S364" s="271">
        <v>-84610</v>
      </c>
      <c r="T364" s="271"/>
      <c r="U364" s="272">
        <v>1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153</v>
      </c>
      <c r="B365" s="267" t="s">
        <v>1038</v>
      </c>
      <c r="C365" s="267" t="s">
        <v>94</v>
      </c>
      <c r="D365" s="267" t="s">
        <v>92</v>
      </c>
      <c r="E365" s="267" t="s">
        <v>0</v>
      </c>
      <c r="F365" s="268"/>
      <c r="G365" s="269"/>
      <c r="H365" s="269"/>
      <c r="I365" s="270"/>
      <c r="J365" s="268">
        <v>1</v>
      </c>
      <c r="K365" s="269">
        <v>82690</v>
      </c>
      <c r="L365" s="269">
        <v>84617</v>
      </c>
      <c r="M365" s="270">
        <v>1</v>
      </c>
      <c r="N365" s="268">
        <v>1</v>
      </c>
      <c r="O365" s="271"/>
      <c r="P365" s="271">
        <v>82690</v>
      </c>
      <c r="Q365" s="271"/>
      <c r="R365" s="271"/>
      <c r="S365" s="271">
        <v>-84617</v>
      </c>
      <c r="T365" s="271"/>
      <c r="U365" s="272">
        <v>1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153</v>
      </c>
      <c r="B366" s="267" t="s">
        <v>1039</v>
      </c>
      <c r="C366" s="267" t="s">
        <v>94</v>
      </c>
      <c r="D366" s="267" t="s">
        <v>92</v>
      </c>
      <c r="E366" s="267" t="s">
        <v>0</v>
      </c>
      <c r="F366" s="268"/>
      <c r="G366" s="269"/>
      <c r="H366" s="269"/>
      <c r="I366" s="270"/>
      <c r="J366" s="268">
        <v>1</v>
      </c>
      <c r="K366" s="269">
        <v>82427</v>
      </c>
      <c r="L366" s="269">
        <v>84696</v>
      </c>
      <c r="M366" s="270">
        <v>1</v>
      </c>
      <c r="N366" s="268">
        <v>1</v>
      </c>
      <c r="O366" s="271"/>
      <c r="P366" s="271">
        <v>82427</v>
      </c>
      <c r="Q366" s="271"/>
      <c r="R366" s="271"/>
      <c r="S366" s="271">
        <v>-84696</v>
      </c>
      <c r="T366" s="271"/>
      <c r="U366" s="272">
        <v>1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153</v>
      </c>
      <c r="B367" s="267" t="s">
        <v>1040</v>
      </c>
      <c r="C367" s="267" t="s">
        <v>94</v>
      </c>
      <c r="D367" s="267" t="s">
        <v>92</v>
      </c>
      <c r="E367" s="267" t="s">
        <v>0</v>
      </c>
      <c r="F367" s="268"/>
      <c r="G367" s="269"/>
      <c r="H367" s="269"/>
      <c r="I367" s="270"/>
      <c r="J367" s="268">
        <v>1</v>
      </c>
      <c r="K367" s="269">
        <v>82443</v>
      </c>
      <c r="L367" s="269">
        <v>84485</v>
      </c>
      <c r="M367" s="270">
        <v>1</v>
      </c>
      <c r="N367" s="268">
        <v>1</v>
      </c>
      <c r="O367" s="271"/>
      <c r="P367" s="271">
        <v>82443</v>
      </c>
      <c r="Q367" s="271"/>
      <c r="R367" s="271"/>
      <c r="S367" s="271">
        <v>-84485</v>
      </c>
      <c r="T367" s="271"/>
      <c r="U367" s="272">
        <v>1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153</v>
      </c>
      <c r="B368" s="267" t="s">
        <v>1041</v>
      </c>
      <c r="C368" s="267" t="s">
        <v>94</v>
      </c>
      <c r="D368" s="267" t="s">
        <v>92</v>
      </c>
      <c r="E368" s="267" t="s">
        <v>0</v>
      </c>
      <c r="F368" s="268"/>
      <c r="G368" s="269"/>
      <c r="H368" s="269"/>
      <c r="I368" s="270"/>
      <c r="J368" s="268">
        <v>1</v>
      </c>
      <c r="K368" s="269">
        <v>82757</v>
      </c>
      <c r="L368" s="269">
        <v>84439</v>
      </c>
      <c r="M368" s="270">
        <v>1</v>
      </c>
      <c r="N368" s="268">
        <v>1</v>
      </c>
      <c r="O368" s="271"/>
      <c r="P368" s="271">
        <v>82757</v>
      </c>
      <c r="Q368" s="271"/>
      <c r="R368" s="271"/>
      <c r="S368" s="271">
        <v>-84439</v>
      </c>
      <c r="T368" s="271"/>
      <c r="U368" s="272">
        <v>1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153</v>
      </c>
      <c r="B369" s="267" t="s">
        <v>1042</v>
      </c>
      <c r="C369" s="267" t="s">
        <v>94</v>
      </c>
      <c r="D369" s="267" t="s">
        <v>92</v>
      </c>
      <c r="E369" s="267" t="s">
        <v>0</v>
      </c>
      <c r="F369" s="268"/>
      <c r="G369" s="269"/>
      <c r="H369" s="269"/>
      <c r="I369" s="270"/>
      <c r="J369" s="268">
        <v>1</v>
      </c>
      <c r="K369" s="269">
        <v>82740</v>
      </c>
      <c r="L369" s="269">
        <v>84391</v>
      </c>
      <c r="M369" s="270">
        <v>1</v>
      </c>
      <c r="N369" s="268">
        <v>1</v>
      </c>
      <c r="O369" s="271"/>
      <c r="P369" s="271">
        <v>82740</v>
      </c>
      <c r="Q369" s="271"/>
      <c r="R369" s="271"/>
      <c r="S369" s="271">
        <v>-84391</v>
      </c>
      <c r="T369" s="271"/>
      <c r="U369" s="272">
        <v>1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153</v>
      </c>
      <c r="B370" s="267" t="s">
        <v>1043</v>
      </c>
      <c r="C370" s="267" t="s">
        <v>94</v>
      </c>
      <c r="D370" s="267" t="s">
        <v>92</v>
      </c>
      <c r="E370" s="267" t="s">
        <v>0</v>
      </c>
      <c r="F370" s="268"/>
      <c r="G370" s="269"/>
      <c r="H370" s="269"/>
      <c r="I370" s="270"/>
      <c r="J370" s="268">
        <v>1</v>
      </c>
      <c r="K370" s="269">
        <v>82706</v>
      </c>
      <c r="L370" s="269">
        <v>84264</v>
      </c>
      <c r="M370" s="270">
        <v>1</v>
      </c>
      <c r="N370" s="268">
        <v>1</v>
      </c>
      <c r="O370" s="271"/>
      <c r="P370" s="271">
        <v>82706</v>
      </c>
      <c r="Q370" s="271"/>
      <c r="R370" s="271"/>
      <c r="S370" s="271">
        <v>-84264</v>
      </c>
      <c r="T370" s="271"/>
      <c r="U370" s="272">
        <v>1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153</v>
      </c>
      <c r="B371" s="267" t="s">
        <v>1044</v>
      </c>
      <c r="C371" s="267" t="s">
        <v>94</v>
      </c>
      <c r="D371" s="267" t="s">
        <v>92</v>
      </c>
      <c r="E371" s="267" t="s">
        <v>0</v>
      </c>
      <c r="F371" s="268"/>
      <c r="G371" s="269"/>
      <c r="H371" s="269"/>
      <c r="I371" s="270"/>
      <c r="J371" s="268">
        <v>1</v>
      </c>
      <c r="K371" s="269">
        <v>82787</v>
      </c>
      <c r="L371" s="269">
        <v>84211</v>
      </c>
      <c r="M371" s="270">
        <v>1</v>
      </c>
      <c r="N371" s="268">
        <v>1</v>
      </c>
      <c r="O371" s="271"/>
      <c r="P371" s="271">
        <v>82787</v>
      </c>
      <c r="Q371" s="271"/>
      <c r="R371" s="271"/>
      <c r="S371" s="271">
        <v>-84211</v>
      </c>
      <c r="T371" s="271"/>
      <c r="U371" s="272">
        <v>1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153</v>
      </c>
      <c r="B372" s="267" t="s">
        <v>1045</v>
      </c>
      <c r="C372" s="267" t="s">
        <v>94</v>
      </c>
      <c r="D372" s="267" t="s">
        <v>92</v>
      </c>
      <c r="E372" s="267" t="s">
        <v>0</v>
      </c>
      <c r="F372" s="268"/>
      <c r="G372" s="269"/>
      <c r="H372" s="269"/>
      <c r="I372" s="270"/>
      <c r="J372" s="268">
        <v>1</v>
      </c>
      <c r="K372" s="269">
        <v>82708</v>
      </c>
      <c r="L372" s="269">
        <v>84474</v>
      </c>
      <c r="M372" s="270">
        <v>1</v>
      </c>
      <c r="N372" s="268">
        <v>1</v>
      </c>
      <c r="O372" s="271"/>
      <c r="P372" s="271">
        <v>82708</v>
      </c>
      <c r="Q372" s="271"/>
      <c r="R372" s="271"/>
      <c r="S372" s="271">
        <v>-84474</v>
      </c>
      <c r="T372" s="271"/>
      <c r="U372" s="272">
        <v>1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153</v>
      </c>
      <c r="B373" s="267" t="s">
        <v>1046</v>
      </c>
      <c r="C373" s="267" t="s">
        <v>94</v>
      </c>
      <c r="D373" s="267" t="s">
        <v>92</v>
      </c>
      <c r="E373" s="267" t="s">
        <v>0</v>
      </c>
      <c r="F373" s="268"/>
      <c r="G373" s="269"/>
      <c r="H373" s="269"/>
      <c r="I373" s="270"/>
      <c r="J373" s="268">
        <v>1</v>
      </c>
      <c r="K373" s="269">
        <v>82744</v>
      </c>
      <c r="L373" s="269">
        <v>84407</v>
      </c>
      <c r="M373" s="270">
        <v>1</v>
      </c>
      <c r="N373" s="268">
        <v>1</v>
      </c>
      <c r="O373" s="271"/>
      <c r="P373" s="271">
        <v>82744</v>
      </c>
      <c r="Q373" s="271"/>
      <c r="R373" s="271"/>
      <c r="S373" s="271">
        <v>-84407</v>
      </c>
      <c r="T373" s="271"/>
      <c r="U373" s="272">
        <v>1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153</v>
      </c>
      <c r="B374" s="267" t="s">
        <v>1047</v>
      </c>
      <c r="C374" s="267" t="s">
        <v>94</v>
      </c>
      <c r="D374" s="267" t="s">
        <v>92</v>
      </c>
      <c r="E374" s="267" t="s">
        <v>0</v>
      </c>
      <c r="F374" s="268"/>
      <c r="G374" s="269"/>
      <c r="H374" s="269"/>
      <c r="I374" s="270"/>
      <c r="J374" s="268">
        <v>1</v>
      </c>
      <c r="K374" s="269">
        <v>82490</v>
      </c>
      <c r="L374" s="269">
        <v>84605</v>
      </c>
      <c r="M374" s="270">
        <v>1</v>
      </c>
      <c r="N374" s="268">
        <v>1</v>
      </c>
      <c r="O374" s="271"/>
      <c r="P374" s="271">
        <v>82490</v>
      </c>
      <c r="Q374" s="271"/>
      <c r="R374" s="271"/>
      <c r="S374" s="271">
        <v>-84605</v>
      </c>
      <c r="T374" s="271"/>
      <c r="U374" s="272">
        <v>1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153</v>
      </c>
      <c r="B375" s="267" t="s">
        <v>1048</v>
      </c>
      <c r="C375" s="267" t="s">
        <v>94</v>
      </c>
      <c r="D375" s="267" t="s">
        <v>92</v>
      </c>
      <c r="E375" s="267" t="s">
        <v>0</v>
      </c>
      <c r="F375" s="268"/>
      <c r="G375" s="269"/>
      <c r="H375" s="269"/>
      <c r="I375" s="270"/>
      <c r="J375" s="268">
        <v>1</v>
      </c>
      <c r="K375" s="269">
        <v>82430</v>
      </c>
      <c r="L375" s="269">
        <v>84731</v>
      </c>
      <c r="M375" s="270">
        <v>1</v>
      </c>
      <c r="N375" s="268">
        <v>1</v>
      </c>
      <c r="O375" s="271"/>
      <c r="P375" s="271">
        <v>82430</v>
      </c>
      <c r="Q375" s="271"/>
      <c r="R375" s="271"/>
      <c r="S375" s="271">
        <v>-84731</v>
      </c>
      <c r="T375" s="271"/>
      <c r="U375" s="272">
        <v>1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153</v>
      </c>
      <c r="B376" s="267" t="s">
        <v>1049</v>
      </c>
      <c r="C376" s="267" t="s">
        <v>94</v>
      </c>
      <c r="D376" s="267" t="s">
        <v>92</v>
      </c>
      <c r="E376" s="267" t="s">
        <v>0</v>
      </c>
      <c r="F376" s="268"/>
      <c r="G376" s="269"/>
      <c r="H376" s="269"/>
      <c r="I376" s="270"/>
      <c r="J376" s="268">
        <v>1</v>
      </c>
      <c r="K376" s="269">
        <v>82307</v>
      </c>
      <c r="L376" s="269">
        <v>84777</v>
      </c>
      <c r="M376" s="270">
        <v>1</v>
      </c>
      <c r="N376" s="268">
        <v>1</v>
      </c>
      <c r="O376" s="271"/>
      <c r="P376" s="271">
        <v>82307</v>
      </c>
      <c r="Q376" s="271"/>
      <c r="R376" s="271"/>
      <c r="S376" s="271">
        <v>-84777</v>
      </c>
      <c r="T376" s="271"/>
      <c r="U376" s="272">
        <v>1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153</v>
      </c>
      <c r="B377" s="267" t="s">
        <v>1050</v>
      </c>
      <c r="C377" s="267" t="s">
        <v>94</v>
      </c>
      <c r="D377" s="267" t="s">
        <v>92</v>
      </c>
      <c r="E377" s="267" t="s">
        <v>0</v>
      </c>
      <c r="F377" s="268"/>
      <c r="G377" s="269"/>
      <c r="H377" s="269"/>
      <c r="I377" s="270"/>
      <c r="J377" s="268">
        <v>1</v>
      </c>
      <c r="K377" s="269">
        <v>82393</v>
      </c>
      <c r="L377" s="269">
        <v>84663</v>
      </c>
      <c r="M377" s="270">
        <v>1</v>
      </c>
      <c r="N377" s="268">
        <v>1</v>
      </c>
      <c r="O377" s="271"/>
      <c r="P377" s="271">
        <v>82393</v>
      </c>
      <c r="Q377" s="271"/>
      <c r="R377" s="271"/>
      <c r="S377" s="271">
        <v>-84663</v>
      </c>
      <c r="T377" s="271"/>
      <c r="U377" s="272">
        <v>1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153</v>
      </c>
      <c r="B378" s="267" t="s">
        <v>1051</v>
      </c>
      <c r="C378" s="267" t="s">
        <v>94</v>
      </c>
      <c r="D378" s="267" t="s">
        <v>92</v>
      </c>
      <c r="E378" s="267" t="s">
        <v>0</v>
      </c>
      <c r="F378" s="268"/>
      <c r="G378" s="269"/>
      <c r="H378" s="269"/>
      <c r="I378" s="270"/>
      <c r="J378" s="268">
        <v>1</v>
      </c>
      <c r="K378" s="269">
        <v>82293</v>
      </c>
      <c r="L378" s="269">
        <v>84833</v>
      </c>
      <c r="M378" s="270">
        <v>1</v>
      </c>
      <c r="N378" s="268">
        <v>1</v>
      </c>
      <c r="O378" s="271"/>
      <c r="P378" s="271">
        <v>82293</v>
      </c>
      <c r="Q378" s="271"/>
      <c r="R378" s="271"/>
      <c r="S378" s="271">
        <v>-84833</v>
      </c>
      <c r="T378" s="271"/>
      <c r="U378" s="272">
        <v>1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153</v>
      </c>
      <c r="B379" s="267" t="s">
        <v>1052</v>
      </c>
      <c r="C379" s="267" t="s">
        <v>94</v>
      </c>
      <c r="D379" s="267" t="s">
        <v>92</v>
      </c>
      <c r="E379" s="267" t="s">
        <v>0</v>
      </c>
      <c r="F379" s="268"/>
      <c r="G379" s="269"/>
      <c r="H379" s="269"/>
      <c r="I379" s="270"/>
      <c r="J379" s="268">
        <v>1</v>
      </c>
      <c r="K379" s="269">
        <v>82479</v>
      </c>
      <c r="L379" s="269">
        <v>84633</v>
      </c>
      <c r="M379" s="270">
        <v>1</v>
      </c>
      <c r="N379" s="268">
        <v>1</v>
      </c>
      <c r="O379" s="271"/>
      <c r="P379" s="271">
        <v>82479</v>
      </c>
      <c r="Q379" s="271"/>
      <c r="R379" s="271"/>
      <c r="S379" s="271">
        <v>-84633</v>
      </c>
      <c r="T379" s="271"/>
      <c r="U379" s="272">
        <v>1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153</v>
      </c>
      <c r="B380" s="267" t="s">
        <v>1053</v>
      </c>
      <c r="C380" s="267" t="s">
        <v>94</v>
      </c>
      <c r="D380" s="267" t="s">
        <v>92</v>
      </c>
      <c r="E380" s="267" t="s">
        <v>0</v>
      </c>
      <c r="F380" s="268"/>
      <c r="G380" s="269"/>
      <c r="H380" s="269"/>
      <c r="I380" s="270"/>
      <c r="J380" s="268">
        <v>1</v>
      </c>
      <c r="K380" s="269">
        <v>82439</v>
      </c>
      <c r="L380" s="269">
        <v>84430</v>
      </c>
      <c r="M380" s="270">
        <v>1</v>
      </c>
      <c r="N380" s="268">
        <v>1</v>
      </c>
      <c r="O380" s="271"/>
      <c r="P380" s="271">
        <v>82439</v>
      </c>
      <c r="Q380" s="271"/>
      <c r="R380" s="271"/>
      <c r="S380" s="271">
        <v>-84430</v>
      </c>
      <c r="T380" s="271"/>
      <c r="U380" s="272">
        <v>1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153</v>
      </c>
      <c r="B381" s="267" t="s">
        <v>1054</v>
      </c>
      <c r="C381" s="267" t="s">
        <v>94</v>
      </c>
      <c r="D381" s="267" t="s">
        <v>92</v>
      </c>
      <c r="E381" s="267" t="s">
        <v>0</v>
      </c>
      <c r="F381" s="268"/>
      <c r="G381" s="269"/>
      <c r="H381" s="269"/>
      <c r="I381" s="270"/>
      <c r="J381" s="268">
        <v>1</v>
      </c>
      <c r="K381" s="269">
        <v>82445</v>
      </c>
      <c r="L381" s="269">
        <v>84506</v>
      </c>
      <c r="M381" s="270">
        <v>1</v>
      </c>
      <c r="N381" s="268">
        <v>1</v>
      </c>
      <c r="O381" s="271"/>
      <c r="P381" s="271">
        <v>82445</v>
      </c>
      <c r="Q381" s="271"/>
      <c r="R381" s="271"/>
      <c r="S381" s="271">
        <v>-84506</v>
      </c>
      <c r="T381" s="271"/>
      <c r="U381" s="272">
        <v>1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153</v>
      </c>
      <c r="B382" s="267" t="s">
        <v>1055</v>
      </c>
      <c r="C382" s="267" t="s">
        <v>94</v>
      </c>
      <c r="D382" s="267" t="s">
        <v>92</v>
      </c>
      <c r="E382" s="267" t="s">
        <v>0</v>
      </c>
      <c r="F382" s="268"/>
      <c r="G382" s="269"/>
      <c r="H382" s="269"/>
      <c r="I382" s="270"/>
      <c r="J382" s="268">
        <v>1</v>
      </c>
      <c r="K382" s="269">
        <v>82353</v>
      </c>
      <c r="L382" s="269">
        <v>84583</v>
      </c>
      <c r="M382" s="270">
        <v>1</v>
      </c>
      <c r="N382" s="268">
        <v>1</v>
      </c>
      <c r="O382" s="271"/>
      <c r="P382" s="271">
        <v>82353</v>
      </c>
      <c r="Q382" s="271"/>
      <c r="R382" s="271"/>
      <c r="S382" s="271">
        <v>-84583</v>
      </c>
      <c r="T382" s="271"/>
      <c r="U382" s="272">
        <v>1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153</v>
      </c>
      <c r="B383" s="267" t="s">
        <v>1056</v>
      </c>
      <c r="C383" s="267" t="s">
        <v>94</v>
      </c>
      <c r="D383" s="267" t="s">
        <v>92</v>
      </c>
      <c r="E383" s="267" t="s">
        <v>0</v>
      </c>
      <c r="F383" s="268"/>
      <c r="G383" s="269"/>
      <c r="H383" s="269"/>
      <c r="I383" s="270"/>
      <c r="J383" s="268">
        <v>1</v>
      </c>
      <c r="K383" s="269">
        <v>82490</v>
      </c>
      <c r="L383" s="269">
        <v>84417</v>
      </c>
      <c r="M383" s="270">
        <v>1</v>
      </c>
      <c r="N383" s="268">
        <v>1</v>
      </c>
      <c r="O383" s="271"/>
      <c r="P383" s="271">
        <v>82490</v>
      </c>
      <c r="Q383" s="271"/>
      <c r="R383" s="271"/>
      <c r="S383" s="271">
        <v>-84417</v>
      </c>
      <c r="T383" s="271"/>
      <c r="U383" s="272">
        <v>1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153</v>
      </c>
      <c r="B384" s="267" t="s">
        <v>1057</v>
      </c>
      <c r="C384" s="267" t="s">
        <v>94</v>
      </c>
      <c r="D384" s="267" t="s">
        <v>92</v>
      </c>
      <c r="E384" s="267" t="s">
        <v>0</v>
      </c>
      <c r="F384" s="268"/>
      <c r="G384" s="269"/>
      <c r="H384" s="269"/>
      <c r="I384" s="270"/>
      <c r="J384" s="268">
        <v>1</v>
      </c>
      <c r="K384" s="269">
        <v>82257</v>
      </c>
      <c r="L384" s="269">
        <v>84673</v>
      </c>
      <c r="M384" s="270">
        <v>1</v>
      </c>
      <c r="N384" s="268">
        <v>1</v>
      </c>
      <c r="O384" s="271"/>
      <c r="P384" s="271">
        <v>82257</v>
      </c>
      <c r="Q384" s="271"/>
      <c r="R384" s="271"/>
      <c r="S384" s="271">
        <v>-84673</v>
      </c>
      <c r="T384" s="271"/>
      <c r="U384" s="272">
        <v>1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153</v>
      </c>
      <c r="B385" s="267" t="s">
        <v>1058</v>
      </c>
      <c r="C385" s="267" t="s">
        <v>94</v>
      </c>
      <c r="D385" s="267" t="s">
        <v>92</v>
      </c>
      <c r="E385" s="267" t="s">
        <v>0</v>
      </c>
      <c r="F385" s="268"/>
      <c r="G385" s="269"/>
      <c r="H385" s="269"/>
      <c r="I385" s="270"/>
      <c r="J385" s="268">
        <v>1</v>
      </c>
      <c r="K385" s="269">
        <v>82460</v>
      </c>
      <c r="L385" s="269">
        <v>84503</v>
      </c>
      <c r="M385" s="270">
        <v>1</v>
      </c>
      <c r="N385" s="268">
        <v>1</v>
      </c>
      <c r="O385" s="271"/>
      <c r="P385" s="271">
        <v>82460</v>
      </c>
      <c r="Q385" s="271"/>
      <c r="R385" s="271"/>
      <c r="S385" s="271">
        <v>-84503</v>
      </c>
      <c r="T385" s="271"/>
      <c r="U385" s="272">
        <v>1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153</v>
      </c>
      <c r="B386" s="267" t="s">
        <v>1059</v>
      </c>
      <c r="C386" s="267" t="s">
        <v>94</v>
      </c>
      <c r="D386" s="267" t="s">
        <v>92</v>
      </c>
      <c r="E386" s="267" t="s">
        <v>0</v>
      </c>
      <c r="F386" s="268"/>
      <c r="G386" s="269"/>
      <c r="H386" s="269"/>
      <c r="I386" s="270"/>
      <c r="J386" s="268">
        <v>1</v>
      </c>
      <c r="K386" s="269">
        <v>82275</v>
      </c>
      <c r="L386" s="269">
        <v>84860</v>
      </c>
      <c r="M386" s="270">
        <v>1</v>
      </c>
      <c r="N386" s="268">
        <v>1</v>
      </c>
      <c r="O386" s="271"/>
      <c r="P386" s="271">
        <v>82275</v>
      </c>
      <c r="Q386" s="271"/>
      <c r="R386" s="271"/>
      <c r="S386" s="271">
        <v>-84860</v>
      </c>
      <c r="T386" s="271"/>
      <c r="U386" s="272">
        <v>1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153</v>
      </c>
      <c r="B387" s="267" t="s">
        <v>1060</v>
      </c>
      <c r="C387" s="267" t="s">
        <v>94</v>
      </c>
      <c r="D387" s="267" t="s">
        <v>92</v>
      </c>
      <c r="E387" s="267" t="s">
        <v>0</v>
      </c>
      <c r="F387" s="268"/>
      <c r="G387" s="269"/>
      <c r="H387" s="269"/>
      <c r="I387" s="270"/>
      <c r="J387" s="268">
        <v>1</v>
      </c>
      <c r="K387" s="269">
        <v>82244</v>
      </c>
      <c r="L387" s="269">
        <v>84868</v>
      </c>
      <c r="M387" s="270">
        <v>1</v>
      </c>
      <c r="N387" s="268">
        <v>1</v>
      </c>
      <c r="O387" s="271"/>
      <c r="P387" s="271">
        <v>82244</v>
      </c>
      <c r="Q387" s="271"/>
      <c r="R387" s="271"/>
      <c r="S387" s="271">
        <v>-84868</v>
      </c>
      <c r="T387" s="271"/>
      <c r="U387" s="272">
        <v>1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153</v>
      </c>
      <c r="B388" s="267" t="s">
        <v>1061</v>
      </c>
      <c r="C388" s="267" t="s">
        <v>94</v>
      </c>
      <c r="D388" s="267" t="s">
        <v>92</v>
      </c>
      <c r="E388" s="267" t="s">
        <v>0</v>
      </c>
      <c r="F388" s="268"/>
      <c r="G388" s="269"/>
      <c r="H388" s="269"/>
      <c r="I388" s="270"/>
      <c r="J388" s="268">
        <v>1</v>
      </c>
      <c r="K388" s="269">
        <v>82310</v>
      </c>
      <c r="L388" s="269">
        <v>84779</v>
      </c>
      <c r="M388" s="270">
        <v>1</v>
      </c>
      <c r="N388" s="268">
        <v>1</v>
      </c>
      <c r="O388" s="271"/>
      <c r="P388" s="271">
        <v>82310</v>
      </c>
      <c r="Q388" s="271"/>
      <c r="R388" s="271"/>
      <c r="S388" s="271">
        <v>-84779</v>
      </c>
      <c r="T388" s="271"/>
      <c r="U388" s="272">
        <v>1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153</v>
      </c>
      <c r="B389" s="267" t="s">
        <v>1062</v>
      </c>
      <c r="C389" s="267" t="s">
        <v>94</v>
      </c>
      <c r="D389" s="267" t="s">
        <v>92</v>
      </c>
      <c r="E389" s="267" t="s">
        <v>0</v>
      </c>
      <c r="F389" s="268"/>
      <c r="G389" s="269"/>
      <c r="H389" s="269"/>
      <c r="I389" s="270"/>
      <c r="J389" s="268">
        <v>1</v>
      </c>
      <c r="K389" s="269">
        <v>82295</v>
      </c>
      <c r="L389" s="269">
        <v>84816</v>
      </c>
      <c r="M389" s="270">
        <v>1</v>
      </c>
      <c r="N389" s="268">
        <v>1</v>
      </c>
      <c r="O389" s="271"/>
      <c r="P389" s="271">
        <v>82295</v>
      </c>
      <c r="Q389" s="271"/>
      <c r="R389" s="271"/>
      <c r="S389" s="271">
        <v>-84816</v>
      </c>
      <c r="T389" s="271"/>
      <c r="U389" s="272">
        <v>1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153</v>
      </c>
      <c r="B390" s="267" t="s">
        <v>1063</v>
      </c>
      <c r="C390" s="267" t="s">
        <v>94</v>
      </c>
      <c r="D390" s="267" t="s">
        <v>92</v>
      </c>
      <c r="E390" s="267" t="s">
        <v>0</v>
      </c>
      <c r="F390" s="268"/>
      <c r="G390" s="269"/>
      <c r="H390" s="269"/>
      <c r="I390" s="270"/>
      <c r="J390" s="268">
        <v>1</v>
      </c>
      <c r="K390" s="269">
        <v>82411</v>
      </c>
      <c r="L390" s="269">
        <v>84680</v>
      </c>
      <c r="M390" s="270">
        <v>1</v>
      </c>
      <c r="N390" s="268">
        <v>1</v>
      </c>
      <c r="O390" s="271"/>
      <c r="P390" s="271">
        <v>82411</v>
      </c>
      <c r="Q390" s="271"/>
      <c r="R390" s="271"/>
      <c r="S390" s="271">
        <v>-84680</v>
      </c>
      <c r="T390" s="271"/>
      <c r="U390" s="272">
        <v>1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153</v>
      </c>
      <c r="B391" s="267" t="s">
        <v>1064</v>
      </c>
      <c r="C391" s="267" t="s">
        <v>94</v>
      </c>
      <c r="D391" s="267" t="s">
        <v>92</v>
      </c>
      <c r="E391" s="267" t="s">
        <v>0</v>
      </c>
      <c r="F391" s="268"/>
      <c r="G391" s="269"/>
      <c r="H391" s="269"/>
      <c r="I391" s="270"/>
      <c r="J391" s="268">
        <v>1</v>
      </c>
      <c r="K391" s="269">
        <v>82397</v>
      </c>
      <c r="L391" s="269">
        <v>84679</v>
      </c>
      <c r="M391" s="270">
        <v>1</v>
      </c>
      <c r="N391" s="268">
        <v>1</v>
      </c>
      <c r="O391" s="271"/>
      <c r="P391" s="271">
        <v>82397</v>
      </c>
      <c r="Q391" s="271"/>
      <c r="R391" s="271"/>
      <c r="S391" s="271">
        <v>-84679</v>
      </c>
      <c r="T391" s="271"/>
      <c r="U391" s="272">
        <v>1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153</v>
      </c>
      <c r="B392" s="267" t="s">
        <v>1065</v>
      </c>
      <c r="C392" s="267" t="s">
        <v>94</v>
      </c>
      <c r="D392" s="267" t="s">
        <v>92</v>
      </c>
      <c r="E392" s="267" t="s">
        <v>0</v>
      </c>
      <c r="F392" s="268"/>
      <c r="G392" s="269"/>
      <c r="H392" s="269"/>
      <c r="I392" s="270"/>
      <c r="J392" s="268">
        <v>1</v>
      </c>
      <c r="K392" s="269">
        <v>82702</v>
      </c>
      <c r="L392" s="269">
        <v>84384</v>
      </c>
      <c r="M392" s="270">
        <v>1</v>
      </c>
      <c r="N392" s="268">
        <v>1</v>
      </c>
      <c r="O392" s="271"/>
      <c r="P392" s="271">
        <v>82702</v>
      </c>
      <c r="Q392" s="271"/>
      <c r="R392" s="271"/>
      <c r="S392" s="271">
        <v>-84384</v>
      </c>
      <c r="T392" s="271"/>
      <c r="U392" s="272">
        <v>1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153</v>
      </c>
      <c r="B393" s="267" t="s">
        <v>1066</v>
      </c>
      <c r="C393" s="267" t="s">
        <v>94</v>
      </c>
      <c r="D393" s="267" t="s">
        <v>92</v>
      </c>
      <c r="E393" s="267" t="s">
        <v>0</v>
      </c>
      <c r="F393" s="268"/>
      <c r="G393" s="269"/>
      <c r="H393" s="269"/>
      <c r="I393" s="270"/>
      <c r="J393" s="268">
        <v>1</v>
      </c>
      <c r="K393" s="269">
        <v>82685</v>
      </c>
      <c r="L393" s="269">
        <v>84336</v>
      </c>
      <c r="M393" s="270">
        <v>1</v>
      </c>
      <c r="N393" s="268">
        <v>1</v>
      </c>
      <c r="O393" s="271"/>
      <c r="P393" s="271">
        <v>82685</v>
      </c>
      <c r="Q393" s="271"/>
      <c r="R393" s="271"/>
      <c r="S393" s="271">
        <v>-84336</v>
      </c>
      <c r="T393" s="271"/>
      <c r="U393" s="272">
        <v>1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153</v>
      </c>
      <c r="B394" s="267" t="s">
        <v>1067</v>
      </c>
      <c r="C394" s="267" t="s">
        <v>94</v>
      </c>
      <c r="D394" s="267" t="s">
        <v>92</v>
      </c>
      <c r="E394" s="267" t="s">
        <v>0</v>
      </c>
      <c r="F394" s="268"/>
      <c r="G394" s="269"/>
      <c r="H394" s="269"/>
      <c r="I394" s="270"/>
      <c r="J394" s="268">
        <v>1</v>
      </c>
      <c r="K394" s="269">
        <v>82621</v>
      </c>
      <c r="L394" s="269">
        <v>84419</v>
      </c>
      <c r="M394" s="270">
        <v>1</v>
      </c>
      <c r="N394" s="268">
        <v>1</v>
      </c>
      <c r="O394" s="271"/>
      <c r="P394" s="271">
        <v>82621</v>
      </c>
      <c r="Q394" s="271"/>
      <c r="R394" s="271"/>
      <c r="S394" s="271">
        <v>-84419</v>
      </c>
      <c r="T394" s="271"/>
      <c r="U394" s="272">
        <v>1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153</v>
      </c>
      <c r="B395" s="267" t="s">
        <v>1068</v>
      </c>
      <c r="C395" s="267" t="s">
        <v>94</v>
      </c>
      <c r="D395" s="267" t="s">
        <v>92</v>
      </c>
      <c r="E395" s="267" t="s">
        <v>0</v>
      </c>
      <c r="F395" s="268"/>
      <c r="G395" s="269"/>
      <c r="H395" s="269"/>
      <c r="I395" s="270"/>
      <c r="J395" s="268">
        <v>1</v>
      </c>
      <c r="K395" s="269">
        <v>82702</v>
      </c>
      <c r="L395" s="269">
        <v>84366</v>
      </c>
      <c r="M395" s="270">
        <v>1</v>
      </c>
      <c r="N395" s="268">
        <v>1</v>
      </c>
      <c r="O395" s="271"/>
      <c r="P395" s="271">
        <v>82702</v>
      </c>
      <c r="Q395" s="271"/>
      <c r="R395" s="271"/>
      <c r="S395" s="271">
        <v>-84366</v>
      </c>
      <c r="T395" s="271"/>
      <c r="U395" s="272">
        <v>1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153</v>
      </c>
      <c r="B396" s="267" t="s">
        <v>1069</v>
      </c>
      <c r="C396" s="267" t="s">
        <v>94</v>
      </c>
      <c r="D396" s="267" t="s">
        <v>92</v>
      </c>
      <c r="E396" s="267" t="s">
        <v>0</v>
      </c>
      <c r="F396" s="268"/>
      <c r="G396" s="269"/>
      <c r="H396" s="269"/>
      <c r="I396" s="270"/>
      <c r="J396" s="268">
        <v>1</v>
      </c>
      <c r="K396" s="269">
        <v>82838</v>
      </c>
      <c r="L396" s="269">
        <v>84250</v>
      </c>
      <c r="M396" s="270">
        <v>1</v>
      </c>
      <c r="N396" s="268">
        <v>1</v>
      </c>
      <c r="O396" s="271"/>
      <c r="P396" s="271">
        <v>82838</v>
      </c>
      <c r="Q396" s="271"/>
      <c r="R396" s="271"/>
      <c r="S396" s="271">
        <v>-84250</v>
      </c>
      <c r="T396" s="271"/>
      <c r="U396" s="272">
        <v>1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153</v>
      </c>
      <c r="B397" s="267" t="s">
        <v>1070</v>
      </c>
      <c r="C397" s="267" t="s">
        <v>94</v>
      </c>
      <c r="D397" s="267" t="s">
        <v>92</v>
      </c>
      <c r="E397" s="267" t="s">
        <v>0</v>
      </c>
      <c r="F397" s="268"/>
      <c r="G397" s="269"/>
      <c r="H397" s="269"/>
      <c r="I397" s="270"/>
      <c r="J397" s="268">
        <v>1</v>
      </c>
      <c r="K397" s="269">
        <v>82874</v>
      </c>
      <c r="L397" s="269">
        <v>84183</v>
      </c>
      <c r="M397" s="270">
        <v>1</v>
      </c>
      <c r="N397" s="268">
        <v>1</v>
      </c>
      <c r="O397" s="271"/>
      <c r="P397" s="271">
        <v>82874</v>
      </c>
      <c r="Q397" s="271"/>
      <c r="R397" s="271"/>
      <c r="S397" s="271">
        <v>-84183</v>
      </c>
      <c r="T397" s="271"/>
      <c r="U397" s="272">
        <v>1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153</v>
      </c>
      <c r="B398" s="267" t="s">
        <v>218</v>
      </c>
      <c r="C398" s="267" t="s">
        <v>94</v>
      </c>
      <c r="D398" s="267" t="s">
        <v>92</v>
      </c>
      <c r="E398" s="267" t="s">
        <v>0</v>
      </c>
      <c r="F398" s="268"/>
      <c r="G398" s="269"/>
      <c r="H398" s="269"/>
      <c r="I398" s="270"/>
      <c r="J398" s="268">
        <v>4</v>
      </c>
      <c r="K398" s="269">
        <v>83907</v>
      </c>
      <c r="L398" s="269">
        <v>83941</v>
      </c>
      <c r="M398" s="270">
        <v>2</v>
      </c>
      <c r="N398" s="268">
        <v>4</v>
      </c>
      <c r="O398" s="271"/>
      <c r="P398" s="271">
        <v>83907</v>
      </c>
      <c r="Q398" s="271"/>
      <c r="R398" s="271"/>
      <c r="S398" s="271">
        <v>-83941</v>
      </c>
      <c r="T398" s="271"/>
      <c r="U398" s="272">
        <v>2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153</v>
      </c>
      <c r="B399" s="267" t="s">
        <v>219</v>
      </c>
      <c r="C399" s="267" t="s">
        <v>94</v>
      </c>
      <c r="D399" s="267" t="s">
        <v>92</v>
      </c>
      <c r="E399" s="267" t="s">
        <v>0</v>
      </c>
      <c r="F399" s="268"/>
      <c r="G399" s="269"/>
      <c r="H399" s="269"/>
      <c r="I399" s="270"/>
      <c r="J399" s="268">
        <v>1</v>
      </c>
      <c r="K399" s="269">
        <v>83859</v>
      </c>
      <c r="L399" s="269">
        <v>83981</v>
      </c>
      <c r="M399" s="270">
        <v>4</v>
      </c>
      <c r="N399" s="268">
        <v>1</v>
      </c>
      <c r="O399" s="271"/>
      <c r="P399" s="271">
        <v>83859</v>
      </c>
      <c r="Q399" s="271"/>
      <c r="R399" s="271"/>
      <c r="S399" s="271">
        <v>-83981</v>
      </c>
      <c r="T399" s="271"/>
      <c r="U399" s="272">
        <v>4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153</v>
      </c>
      <c r="B400" s="267" t="s">
        <v>220</v>
      </c>
      <c r="C400" s="267" t="s">
        <v>94</v>
      </c>
      <c r="D400" s="267" t="s">
        <v>92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83791</v>
      </c>
      <c r="L400" s="269">
        <v>84084</v>
      </c>
      <c r="M400" s="270">
        <v>1</v>
      </c>
      <c r="N400" s="268">
        <v>1</v>
      </c>
      <c r="O400" s="271"/>
      <c r="P400" s="271">
        <v>83791</v>
      </c>
      <c r="Q400" s="271"/>
      <c r="R400" s="271"/>
      <c r="S400" s="271">
        <v>-84084</v>
      </c>
      <c r="T400" s="271"/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153</v>
      </c>
      <c r="B401" s="267" t="s">
        <v>221</v>
      </c>
      <c r="C401" s="267" t="s">
        <v>94</v>
      </c>
      <c r="D401" s="267" t="s">
        <v>92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83570</v>
      </c>
      <c r="L401" s="269">
        <v>84285</v>
      </c>
      <c r="M401" s="270">
        <v>1</v>
      </c>
      <c r="N401" s="268">
        <v>1</v>
      </c>
      <c r="O401" s="271"/>
      <c r="P401" s="271">
        <v>83570</v>
      </c>
      <c r="Q401" s="271"/>
      <c r="R401" s="271"/>
      <c r="S401" s="271">
        <v>-84285</v>
      </c>
      <c r="T401" s="271"/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153</v>
      </c>
      <c r="B402" s="267" t="s">
        <v>1071</v>
      </c>
      <c r="C402" s="267" t="s">
        <v>94</v>
      </c>
      <c r="D402" s="267" t="s">
        <v>92</v>
      </c>
      <c r="E402" s="267" t="s">
        <v>0</v>
      </c>
      <c r="F402" s="268"/>
      <c r="G402" s="269"/>
      <c r="H402" s="269"/>
      <c r="I402" s="270"/>
      <c r="J402" s="268">
        <v>1</v>
      </c>
      <c r="K402" s="269">
        <v>83160</v>
      </c>
      <c r="L402" s="269">
        <v>84695</v>
      </c>
      <c r="M402" s="270">
        <v>1</v>
      </c>
      <c r="N402" s="268">
        <v>1</v>
      </c>
      <c r="O402" s="271"/>
      <c r="P402" s="271">
        <v>83160</v>
      </c>
      <c r="Q402" s="271"/>
      <c r="R402" s="271"/>
      <c r="S402" s="271">
        <v>-84695</v>
      </c>
      <c r="T402" s="271"/>
      <c r="U402" s="272">
        <v>1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153</v>
      </c>
      <c r="B403" s="267" t="s">
        <v>222</v>
      </c>
      <c r="C403" s="267" t="s">
        <v>94</v>
      </c>
      <c r="D403" s="267" t="s">
        <v>92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83880</v>
      </c>
      <c r="L403" s="269">
        <v>83968</v>
      </c>
      <c r="M403" s="270">
        <v>1</v>
      </c>
      <c r="N403" s="268">
        <v>1</v>
      </c>
      <c r="O403" s="271"/>
      <c r="P403" s="271">
        <v>83880</v>
      </c>
      <c r="Q403" s="271"/>
      <c r="R403" s="271"/>
      <c r="S403" s="271">
        <v>-83968</v>
      </c>
      <c r="T403" s="271"/>
      <c r="U403" s="272">
        <v>1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153</v>
      </c>
      <c r="B404" s="267" t="s">
        <v>223</v>
      </c>
      <c r="C404" s="267" t="s">
        <v>94</v>
      </c>
      <c r="D404" s="267" t="s">
        <v>92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83777</v>
      </c>
      <c r="L404" s="269">
        <v>84068</v>
      </c>
      <c r="M404" s="270">
        <v>1</v>
      </c>
      <c r="N404" s="268">
        <v>1</v>
      </c>
      <c r="O404" s="271"/>
      <c r="P404" s="271">
        <v>83777</v>
      </c>
      <c r="Q404" s="271"/>
      <c r="R404" s="271"/>
      <c r="S404" s="271">
        <v>-84068</v>
      </c>
      <c r="T404" s="271"/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153</v>
      </c>
      <c r="B405" s="267" t="s">
        <v>224</v>
      </c>
      <c r="C405" s="267" t="s">
        <v>94</v>
      </c>
      <c r="D405" s="267" t="s">
        <v>92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83540</v>
      </c>
      <c r="L405" s="269">
        <v>84315</v>
      </c>
      <c r="M405" s="270">
        <v>1</v>
      </c>
      <c r="N405" s="268">
        <v>1</v>
      </c>
      <c r="O405" s="271"/>
      <c r="P405" s="271">
        <v>83540</v>
      </c>
      <c r="Q405" s="271"/>
      <c r="R405" s="271"/>
      <c r="S405" s="271">
        <v>-84315</v>
      </c>
      <c r="T405" s="271"/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153</v>
      </c>
      <c r="B406" s="267" t="s">
        <v>1072</v>
      </c>
      <c r="C406" s="267" t="s">
        <v>94</v>
      </c>
      <c r="D406" s="267" t="s">
        <v>92</v>
      </c>
      <c r="E406" s="267" t="s">
        <v>0</v>
      </c>
      <c r="F406" s="268"/>
      <c r="G406" s="269"/>
      <c r="H406" s="269"/>
      <c r="I406" s="270"/>
      <c r="J406" s="268">
        <v>1</v>
      </c>
      <c r="K406" s="269">
        <v>83130</v>
      </c>
      <c r="L406" s="269">
        <v>84725</v>
      </c>
      <c r="M406" s="270">
        <v>1</v>
      </c>
      <c r="N406" s="268">
        <v>1</v>
      </c>
      <c r="O406" s="271"/>
      <c r="P406" s="271">
        <v>83130</v>
      </c>
      <c r="Q406" s="271"/>
      <c r="R406" s="271"/>
      <c r="S406" s="271">
        <v>-84725</v>
      </c>
      <c r="T406" s="271"/>
      <c r="U406" s="272">
        <v>1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153</v>
      </c>
      <c r="B407" s="267" t="s">
        <v>225</v>
      </c>
      <c r="C407" s="267" t="s">
        <v>94</v>
      </c>
      <c r="D407" s="267" t="s">
        <v>92</v>
      </c>
      <c r="E407" s="267" t="s">
        <v>0</v>
      </c>
      <c r="F407" s="268"/>
      <c r="G407" s="269"/>
      <c r="H407" s="269"/>
      <c r="I407" s="270"/>
      <c r="J407" s="268">
        <v>1</v>
      </c>
      <c r="K407" s="269">
        <v>83850</v>
      </c>
      <c r="L407" s="269">
        <v>83990</v>
      </c>
      <c r="M407" s="270">
        <v>1</v>
      </c>
      <c r="N407" s="268">
        <v>1</v>
      </c>
      <c r="O407" s="271"/>
      <c r="P407" s="271">
        <v>83850</v>
      </c>
      <c r="Q407" s="271"/>
      <c r="R407" s="271"/>
      <c r="S407" s="271">
        <v>-83990</v>
      </c>
      <c r="T407" s="271"/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153</v>
      </c>
      <c r="B408" s="267" t="s">
        <v>226</v>
      </c>
      <c r="C408" s="267" t="s">
        <v>94</v>
      </c>
      <c r="D408" s="267" t="s">
        <v>92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83813</v>
      </c>
      <c r="L408" s="269">
        <v>84058</v>
      </c>
      <c r="M408" s="270">
        <v>1</v>
      </c>
      <c r="N408" s="268">
        <v>1</v>
      </c>
      <c r="O408" s="271"/>
      <c r="P408" s="271">
        <v>83813</v>
      </c>
      <c r="Q408" s="271"/>
      <c r="R408" s="271"/>
      <c r="S408" s="271">
        <v>-84058</v>
      </c>
      <c r="T408" s="271"/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153</v>
      </c>
      <c r="B409" s="267" t="s">
        <v>227</v>
      </c>
      <c r="C409" s="267" t="s">
        <v>94</v>
      </c>
      <c r="D409" s="267" t="s">
        <v>92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83470</v>
      </c>
      <c r="L409" s="269">
        <v>84385</v>
      </c>
      <c r="M409" s="270">
        <v>1</v>
      </c>
      <c r="N409" s="268">
        <v>1</v>
      </c>
      <c r="O409" s="271"/>
      <c r="P409" s="271">
        <v>83470</v>
      </c>
      <c r="Q409" s="271"/>
      <c r="R409" s="271"/>
      <c r="S409" s="271">
        <v>-84385</v>
      </c>
      <c r="T409" s="271"/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153</v>
      </c>
      <c r="B410" s="267" t="s">
        <v>1073</v>
      </c>
      <c r="C410" s="267" t="s">
        <v>94</v>
      </c>
      <c r="D410" s="267" t="s">
        <v>92</v>
      </c>
      <c r="E410" s="267" t="s">
        <v>0</v>
      </c>
      <c r="F410" s="268"/>
      <c r="G410" s="269"/>
      <c r="H410" s="269"/>
      <c r="I410" s="270"/>
      <c r="J410" s="268">
        <v>1</v>
      </c>
      <c r="K410" s="269">
        <v>83270</v>
      </c>
      <c r="L410" s="269">
        <v>84765</v>
      </c>
      <c r="M410" s="270">
        <v>1</v>
      </c>
      <c r="N410" s="268">
        <v>1</v>
      </c>
      <c r="O410" s="271"/>
      <c r="P410" s="271">
        <v>83270</v>
      </c>
      <c r="Q410" s="271"/>
      <c r="R410" s="271"/>
      <c r="S410" s="271">
        <v>-84765</v>
      </c>
      <c r="T410" s="271"/>
      <c r="U410" s="272">
        <v>1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153</v>
      </c>
      <c r="B411" s="267" t="s">
        <v>228</v>
      </c>
      <c r="C411" s="267" t="s">
        <v>94</v>
      </c>
      <c r="D411" s="267" t="s">
        <v>92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83768</v>
      </c>
      <c r="L411" s="269">
        <v>84110</v>
      </c>
      <c r="M411" s="270">
        <v>1</v>
      </c>
      <c r="N411" s="268">
        <v>1</v>
      </c>
      <c r="O411" s="271"/>
      <c r="P411" s="271">
        <v>83768</v>
      </c>
      <c r="Q411" s="271"/>
      <c r="R411" s="271"/>
      <c r="S411" s="271">
        <v>-84110</v>
      </c>
      <c r="T411" s="271"/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153</v>
      </c>
      <c r="B412" s="267" t="s">
        <v>229</v>
      </c>
      <c r="C412" s="267" t="s">
        <v>94</v>
      </c>
      <c r="D412" s="267" t="s">
        <v>92</v>
      </c>
      <c r="E412" s="267" t="s">
        <v>0</v>
      </c>
      <c r="F412" s="268"/>
      <c r="G412" s="269"/>
      <c r="H412" s="269"/>
      <c r="I412" s="270"/>
      <c r="J412" s="268">
        <v>1</v>
      </c>
      <c r="K412" s="269">
        <v>83800</v>
      </c>
      <c r="L412" s="269">
        <v>84044</v>
      </c>
      <c r="M412" s="270">
        <v>1</v>
      </c>
      <c r="N412" s="268">
        <v>1</v>
      </c>
      <c r="O412" s="271"/>
      <c r="P412" s="271">
        <v>83800</v>
      </c>
      <c r="Q412" s="271"/>
      <c r="R412" s="271"/>
      <c r="S412" s="271">
        <v>-84044</v>
      </c>
      <c r="T412" s="271"/>
      <c r="U412" s="272">
        <v>1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153</v>
      </c>
      <c r="B413" s="267" t="s">
        <v>230</v>
      </c>
      <c r="C413" s="267" t="s">
        <v>94</v>
      </c>
      <c r="D413" s="267" t="s">
        <v>92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83554</v>
      </c>
      <c r="L413" s="269">
        <v>84285</v>
      </c>
      <c r="M413" s="270">
        <v>1</v>
      </c>
      <c r="N413" s="268">
        <v>1</v>
      </c>
      <c r="O413" s="271"/>
      <c r="P413" s="271">
        <v>83554</v>
      </c>
      <c r="Q413" s="271"/>
      <c r="R413" s="271"/>
      <c r="S413" s="271">
        <v>-84285</v>
      </c>
      <c r="T413" s="271"/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153</v>
      </c>
      <c r="B414" s="267" t="s">
        <v>1074</v>
      </c>
      <c r="C414" s="267" t="s">
        <v>94</v>
      </c>
      <c r="D414" s="267" t="s">
        <v>92</v>
      </c>
      <c r="E414" s="267" t="s">
        <v>0</v>
      </c>
      <c r="F414" s="268"/>
      <c r="G414" s="269"/>
      <c r="H414" s="269"/>
      <c r="I414" s="270"/>
      <c r="J414" s="268">
        <v>1</v>
      </c>
      <c r="K414" s="269">
        <v>82975</v>
      </c>
      <c r="L414" s="269">
        <v>84880</v>
      </c>
      <c r="M414" s="270">
        <v>1</v>
      </c>
      <c r="N414" s="268">
        <v>1</v>
      </c>
      <c r="O414" s="271"/>
      <c r="P414" s="271">
        <v>82975</v>
      </c>
      <c r="Q414" s="271"/>
      <c r="R414" s="271"/>
      <c r="S414" s="271">
        <v>-84880</v>
      </c>
      <c r="T414" s="271"/>
      <c r="U414" s="272">
        <v>1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153</v>
      </c>
      <c r="B415" s="267" t="s">
        <v>231</v>
      </c>
      <c r="C415" s="267" t="s">
        <v>94</v>
      </c>
      <c r="D415" s="267" t="s">
        <v>92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83577</v>
      </c>
      <c r="L415" s="269">
        <v>84271</v>
      </c>
      <c r="M415" s="270">
        <v>1</v>
      </c>
      <c r="N415" s="268">
        <v>1</v>
      </c>
      <c r="O415" s="271"/>
      <c r="P415" s="271">
        <v>83577</v>
      </c>
      <c r="Q415" s="271"/>
      <c r="R415" s="271"/>
      <c r="S415" s="271">
        <v>-84271</v>
      </c>
      <c r="T415" s="271"/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153</v>
      </c>
      <c r="B416" s="267" t="s">
        <v>232</v>
      </c>
      <c r="C416" s="267" t="s">
        <v>94</v>
      </c>
      <c r="D416" s="267" t="s">
        <v>92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83529</v>
      </c>
      <c r="L416" s="269">
        <v>84311</v>
      </c>
      <c r="M416" s="270">
        <v>1</v>
      </c>
      <c r="N416" s="268">
        <v>1</v>
      </c>
      <c r="O416" s="271"/>
      <c r="P416" s="271">
        <v>83529</v>
      </c>
      <c r="Q416" s="271"/>
      <c r="R416" s="271"/>
      <c r="S416" s="271">
        <v>-84311</v>
      </c>
      <c r="T416" s="271"/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153</v>
      </c>
      <c r="B417" s="267" t="s">
        <v>233</v>
      </c>
      <c r="C417" s="267" t="s">
        <v>94</v>
      </c>
      <c r="D417" s="267" t="s">
        <v>92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83646</v>
      </c>
      <c r="L417" s="269">
        <v>84245</v>
      </c>
      <c r="M417" s="270">
        <v>1</v>
      </c>
      <c r="N417" s="268">
        <v>1</v>
      </c>
      <c r="O417" s="271"/>
      <c r="P417" s="271">
        <v>83646</v>
      </c>
      <c r="Q417" s="271"/>
      <c r="R417" s="271"/>
      <c r="S417" s="271">
        <v>-84245</v>
      </c>
      <c r="T417" s="271"/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153</v>
      </c>
      <c r="B418" s="267" t="s">
        <v>1075</v>
      </c>
      <c r="C418" s="267" t="s">
        <v>94</v>
      </c>
      <c r="D418" s="267" t="s">
        <v>92</v>
      </c>
      <c r="E418" s="267" t="s">
        <v>0</v>
      </c>
      <c r="F418" s="268"/>
      <c r="G418" s="269"/>
      <c r="H418" s="269"/>
      <c r="I418" s="270"/>
      <c r="J418" s="268">
        <v>1</v>
      </c>
      <c r="K418" s="269">
        <v>83220</v>
      </c>
      <c r="L418" s="269">
        <v>84690</v>
      </c>
      <c r="M418" s="270">
        <v>1</v>
      </c>
      <c r="N418" s="268">
        <v>1</v>
      </c>
      <c r="O418" s="271"/>
      <c r="P418" s="271">
        <v>83220</v>
      </c>
      <c r="Q418" s="271"/>
      <c r="R418" s="271"/>
      <c r="S418" s="271">
        <v>-84690</v>
      </c>
      <c r="T418" s="271"/>
      <c r="U418" s="272">
        <v>1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153</v>
      </c>
      <c r="B419" s="267" t="s">
        <v>1076</v>
      </c>
      <c r="C419" s="267" t="s">
        <v>94</v>
      </c>
      <c r="D419" s="267" t="s">
        <v>92</v>
      </c>
      <c r="E419" s="267" t="s">
        <v>0</v>
      </c>
      <c r="F419" s="268"/>
      <c r="G419" s="269"/>
      <c r="H419" s="269"/>
      <c r="I419" s="270"/>
      <c r="J419" s="268">
        <v>1</v>
      </c>
      <c r="K419" s="269">
        <v>83167</v>
      </c>
      <c r="L419" s="269">
        <v>84681</v>
      </c>
      <c r="M419" s="270">
        <v>1</v>
      </c>
      <c r="N419" s="268">
        <v>1</v>
      </c>
      <c r="O419" s="271"/>
      <c r="P419" s="271">
        <v>83167</v>
      </c>
      <c r="Q419" s="271"/>
      <c r="R419" s="271"/>
      <c r="S419" s="271">
        <v>-84681</v>
      </c>
      <c r="T419" s="271"/>
      <c r="U419" s="272">
        <v>1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153</v>
      </c>
      <c r="B420" s="267" t="s">
        <v>1077</v>
      </c>
      <c r="C420" s="267" t="s">
        <v>94</v>
      </c>
      <c r="D420" s="267" t="s">
        <v>92</v>
      </c>
      <c r="E420" s="267" t="s">
        <v>0</v>
      </c>
      <c r="F420" s="268"/>
      <c r="G420" s="269"/>
      <c r="H420" s="269"/>
      <c r="I420" s="270"/>
      <c r="J420" s="268">
        <v>1</v>
      </c>
      <c r="K420" s="269">
        <v>83149</v>
      </c>
      <c r="L420" s="269">
        <v>84511</v>
      </c>
      <c r="M420" s="270">
        <v>1</v>
      </c>
      <c r="N420" s="268">
        <v>1</v>
      </c>
      <c r="O420" s="271"/>
      <c r="P420" s="271">
        <v>83149</v>
      </c>
      <c r="Q420" s="271"/>
      <c r="R420" s="271"/>
      <c r="S420" s="271">
        <v>-84511</v>
      </c>
      <c r="T420" s="271"/>
      <c r="U420" s="272">
        <v>1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153</v>
      </c>
      <c r="B421" s="267" t="s">
        <v>1078</v>
      </c>
      <c r="C421" s="267" t="s">
        <v>94</v>
      </c>
      <c r="D421" s="267" t="s">
        <v>92</v>
      </c>
      <c r="E421" s="267" t="s">
        <v>0</v>
      </c>
      <c r="F421" s="268"/>
      <c r="G421" s="269"/>
      <c r="H421" s="269"/>
      <c r="I421" s="270"/>
      <c r="J421" s="268">
        <v>1</v>
      </c>
      <c r="K421" s="269">
        <v>83051</v>
      </c>
      <c r="L421" s="269">
        <v>84824</v>
      </c>
      <c r="M421" s="270">
        <v>1</v>
      </c>
      <c r="N421" s="268">
        <v>1</v>
      </c>
      <c r="O421" s="271"/>
      <c r="P421" s="271">
        <v>83051</v>
      </c>
      <c r="Q421" s="271"/>
      <c r="R421" s="271"/>
      <c r="S421" s="271">
        <v>-84824</v>
      </c>
      <c r="T421" s="271"/>
      <c r="U421" s="272">
        <v>1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153</v>
      </c>
      <c r="B422" s="267" t="s">
        <v>1079</v>
      </c>
      <c r="C422" s="267" t="s">
        <v>94</v>
      </c>
      <c r="D422" s="267" t="s">
        <v>92</v>
      </c>
      <c r="E422" s="267" t="s">
        <v>0</v>
      </c>
      <c r="F422" s="268"/>
      <c r="G422" s="269"/>
      <c r="H422" s="269"/>
      <c r="I422" s="270"/>
      <c r="J422" s="268">
        <v>1</v>
      </c>
      <c r="K422" s="269">
        <v>83165</v>
      </c>
      <c r="L422" s="269">
        <v>84635</v>
      </c>
      <c r="M422" s="270">
        <v>1</v>
      </c>
      <c r="N422" s="268">
        <v>1</v>
      </c>
      <c r="O422" s="271"/>
      <c r="P422" s="271">
        <v>83165</v>
      </c>
      <c r="Q422" s="271"/>
      <c r="R422" s="271"/>
      <c r="S422" s="271">
        <v>-84635</v>
      </c>
      <c r="T422" s="271"/>
      <c r="U422" s="272">
        <v>1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153</v>
      </c>
      <c r="B423" s="267" t="s">
        <v>234</v>
      </c>
      <c r="C423" s="267" t="s">
        <v>94</v>
      </c>
      <c r="D423" s="267" t="s">
        <v>92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83834</v>
      </c>
      <c r="L423" s="269">
        <v>84045</v>
      </c>
      <c r="M423" s="270">
        <v>1</v>
      </c>
      <c r="N423" s="268">
        <v>1</v>
      </c>
      <c r="O423" s="271"/>
      <c r="P423" s="271">
        <v>83834</v>
      </c>
      <c r="Q423" s="271"/>
      <c r="R423" s="271"/>
      <c r="S423" s="271">
        <v>-84045</v>
      </c>
      <c r="T423" s="271"/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153</v>
      </c>
      <c r="B424" s="267" t="s">
        <v>235</v>
      </c>
      <c r="C424" s="267" t="s">
        <v>94</v>
      </c>
      <c r="D424" s="267" t="s">
        <v>92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83491</v>
      </c>
      <c r="L424" s="269">
        <v>84372</v>
      </c>
      <c r="M424" s="270">
        <v>1</v>
      </c>
      <c r="N424" s="268">
        <v>1</v>
      </c>
      <c r="O424" s="271"/>
      <c r="P424" s="271">
        <v>83491</v>
      </c>
      <c r="Q424" s="271"/>
      <c r="R424" s="271"/>
      <c r="S424" s="271">
        <v>-84372</v>
      </c>
      <c r="T424" s="271"/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153</v>
      </c>
      <c r="B425" s="267" t="s">
        <v>1080</v>
      </c>
      <c r="C425" s="267" t="s">
        <v>94</v>
      </c>
      <c r="D425" s="267" t="s">
        <v>92</v>
      </c>
      <c r="E425" s="267" t="s">
        <v>0</v>
      </c>
      <c r="F425" s="268"/>
      <c r="G425" s="269"/>
      <c r="H425" s="269"/>
      <c r="I425" s="270"/>
      <c r="J425" s="268">
        <v>1</v>
      </c>
      <c r="K425" s="269">
        <v>83291</v>
      </c>
      <c r="L425" s="269">
        <v>84752</v>
      </c>
      <c r="M425" s="270">
        <v>1</v>
      </c>
      <c r="N425" s="268">
        <v>1</v>
      </c>
      <c r="O425" s="271"/>
      <c r="P425" s="271">
        <v>83291</v>
      </c>
      <c r="Q425" s="271"/>
      <c r="R425" s="271"/>
      <c r="S425" s="271">
        <v>-84752</v>
      </c>
      <c r="T425" s="271"/>
      <c r="U425" s="272">
        <v>1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153</v>
      </c>
      <c r="B426" s="267" t="s">
        <v>236</v>
      </c>
      <c r="C426" s="267" t="s">
        <v>94</v>
      </c>
      <c r="D426" s="267" t="s">
        <v>92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83786</v>
      </c>
      <c r="L426" s="269">
        <v>84028</v>
      </c>
      <c r="M426" s="270">
        <v>1</v>
      </c>
      <c r="N426" s="268">
        <v>1</v>
      </c>
      <c r="O426" s="271"/>
      <c r="P426" s="271">
        <v>83786</v>
      </c>
      <c r="Q426" s="271"/>
      <c r="R426" s="271"/>
      <c r="S426" s="271">
        <v>-84028</v>
      </c>
      <c r="T426" s="271"/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153</v>
      </c>
      <c r="B427" s="267" t="s">
        <v>237</v>
      </c>
      <c r="C427" s="267" t="s">
        <v>94</v>
      </c>
      <c r="D427" s="267" t="s">
        <v>92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83540</v>
      </c>
      <c r="L427" s="269">
        <v>84269</v>
      </c>
      <c r="M427" s="270">
        <v>1</v>
      </c>
      <c r="N427" s="268">
        <v>1</v>
      </c>
      <c r="O427" s="271"/>
      <c r="P427" s="271">
        <v>83540</v>
      </c>
      <c r="Q427" s="271"/>
      <c r="R427" s="271"/>
      <c r="S427" s="271">
        <v>-84269</v>
      </c>
      <c r="T427" s="271"/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153</v>
      </c>
      <c r="B428" s="267" t="s">
        <v>1081</v>
      </c>
      <c r="C428" s="267" t="s">
        <v>94</v>
      </c>
      <c r="D428" s="267" t="s">
        <v>92</v>
      </c>
      <c r="E428" s="267" t="s">
        <v>0</v>
      </c>
      <c r="F428" s="268"/>
      <c r="G428" s="269"/>
      <c r="H428" s="269"/>
      <c r="I428" s="270"/>
      <c r="J428" s="268">
        <v>1</v>
      </c>
      <c r="K428" s="269">
        <v>82961</v>
      </c>
      <c r="L428" s="269">
        <v>84864</v>
      </c>
      <c r="M428" s="270">
        <v>1</v>
      </c>
      <c r="N428" s="268">
        <v>1</v>
      </c>
      <c r="O428" s="271"/>
      <c r="P428" s="271">
        <v>82961</v>
      </c>
      <c r="Q428" s="271"/>
      <c r="R428" s="271"/>
      <c r="S428" s="271">
        <v>-84864</v>
      </c>
      <c r="T428" s="271"/>
      <c r="U428" s="272">
        <v>1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153</v>
      </c>
      <c r="B429" s="267" t="s">
        <v>238</v>
      </c>
      <c r="C429" s="267" t="s">
        <v>94</v>
      </c>
      <c r="D429" s="267" t="s">
        <v>92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83499</v>
      </c>
      <c r="L429" s="269">
        <v>84341</v>
      </c>
      <c r="M429" s="270">
        <v>1</v>
      </c>
      <c r="N429" s="268">
        <v>1</v>
      </c>
      <c r="O429" s="271"/>
      <c r="P429" s="271">
        <v>83499</v>
      </c>
      <c r="Q429" s="271"/>
      <c r="R429" s="271"/>
      <c r="S429" s="271">
        <v>-84341</v>
      </c>
      <c r="T429" s="271"/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153</v>
      </c>
      <c r="B430" s="267" t="s">
        <v>239</v>
      </c>
      <c r="C430" s="267" t="s">
        <v>94</v>
      </c>
      <c r="D430" s="267" t="s">
        <v>92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83616</v>
      </c>
      <c r="L430" s="269">
        <v>84275</v>
      </c>
      <c r="M430" s="270">
        <v>1</v>
      </c>
      <c r="N430" s="268">
        <v>1</v>
      </c>
      <c r="O430" s="271"/>
      <c r="P430" s="271">
        <v>83616</v>
      </c>
      <c r="Q430" s="271"/>
      <c r="R430" s="271"/>
      <c r="S430" s="271">
        <v>-84275</v>
      </c>
      <c r="T430" s="271"/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153</v>
      </c>
      <c r="B431" s="267" t="s">
        <v>1082</v>
      </c>
      <c r="C431" s="267" t="s">
        <v>94</v>
      </c>
      <c r="D431" s="267" t="s">
        <v>92</v>
      </c>
      <c r="E431" s="267" t="s">
        <v>0</v>
      </c>
      <c r="F431" s="268"/>
      <c r="G431" s="269"/>
      <c r="H431" s="269"/>
      <c r="I431" s="270"/>
      <c r="J431" s="268">
        <v>1</v>
      </c>
      <c r="K431" s="269">
        <v>83190</v>
      </c>
      <c r="L431" s="269">
        <v>84720</v>
      </c>
      <c r="M431" s="270">
        <v>1</v>
      </c>
      <c r="N431" s="268">
        <v>1</v>
      </c>
      <c r="O431" s="271"/>
      <c r="P431" s="271">
        <v>83190</v>
      </c>
      <c r="Q431" s="271"/>
      <c r="R431" s="271"/>
      <c r="S431" s="271">
        <v>-84720</v>
      </c>
      <c r="T431" s="271"/>
      <c r="U431" s="272">
        <v>1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153</v>
      </c>
      <c r="B432" s="267" t="s">
        <v>1083</v>
      </c>
      <c r="C432" s="267" t="s">
        <v>94</v>
      </c>
      <c r="D432" s="267" t="s">
        <v>92</v>
      </c>
      <c r="E432" s="267" t="s">
        <v>0</v>
      </c>
      <c r="F432" s="268"/>
      <c r="G432" s="269"/>
      <c r="H432" s="269"/>
      <c r="I432" s="270"/>
      <c r="J432" s="268">
        <v>1</v>
      </c>
      <c r="K432" s="269">
        <v>83119</v>
      </c>
      <c r="L432" s="269">
        <v>84541</v>
      </c>
      <c r="M432" s="270">
        <v>1</v>
      </c>
      <c r="N432" s="268">
        <v>1</v>
      </c>
      <c r="O432" s="271"/>
      <c r="P432" s="271">
        <v>83119</v>
      </c>
      <c r="Q432" s="271"/>
      <c r="R432" s="271"/>
      <c r="S432" s="271">
        <v>-84541</v>
      </c>
      <c r="T432" s="271"/>
      <c r="U432" s="272">
        <v>1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153</v>
      </c>
      <c r="B433" s="267" t="s">
        <v>1084</v>
      </c>
      <c r="C433" s="267" t="s">
        <v>94</v>
      </c>
      <c r="D433" s="267" t="s">
        <v>92</v>
      </c>
      <c r="E433" s="267" t="s">
        <v>0</v>
      </c>
      <c r="F433" s="268"/>
      <c r="G433" s="269"/>
      <c r="H433" s="269"/>
      <c r="I433" s="270"/>
      <c r="J433" s="268">
        <v>1</v>
      </c>
      <c r="K433" s="269">
        <v>83021</v>
      </c>
      <c r="L433" s="269">
        <v>84854</v>
      </c>
      <c r="M433" s="270">
        <v>1</v>
      </c>
      <c r="N433" s="268">
        <v>1</v>
      </c>
      <c r="O433" s="271"/>
      <c r="P433" s="271">
        <v>83021</v>
      </c>
      <c r="Q433" s="271"/>
      <c r="R433" s="271"/>
      <c r="S433" s="271">
        <v>-84854</v>
      </c>
      <c r="T433" s="271"/>
      <c r="U433" s="272">
        <v>1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153</v>
      </c>
      <c r="B434" s="267" t="s">
        <v>1085</v>
      </c>
      <c r="C434" s="267" t="s">
        <v>94</v>
      </c>
      <c r="D434" s="267" t="s">
        <v>92</v>
      </c>
      <c r="E434" s="267" t="s">
        <v>0</v>
      </c>
      <c r="F434" s="268"/>
      <c r="G434" s="269"/>
      <c r="H434" s="269"/>
      <c r="I434" s="270"/>
      <c r="J434" s="268">
        <v>1</v>
      </c>
      <c r="K434" s="269">
        <v>83135</v>
      </c>
      <c r="L434" s="269">
        <v>84665</v>
      </c>
      <c r="M434" s="270">
        <v>1</v>
      </c>
      <c r="N434" s="268">
        <v>1</v>
      </c>
      <c r="O434" s="271"/>
      <c r="P434" s="271">
        <v>83135</v>
      </c>
      <c r="Q434" s="271"/>
      <c r="R434" s="271"/>
      <c r="S434" s="271">
        <v>-84665</v>
      </c>
      <c r="T434" s="271"/>
      <c r="U434" s="272">
        <v>1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153</v>
      </c>
      <c r="B435" s="267" t="s">
        <v>240</v>
      </c>
      <c r="C435" s="267" t="s">
        <v>94</v>
      </c>
      <c r="D435" s="267" t="s">
        <v>92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83720</v>
      </c>
      <c r="L435" s="269">
        <v>84117</v>
      </c>
      <c r="M435" s="270">
        <v>1</v>
      </c>
      <c r="N435" s="268">
        <v>1</v>
      </c>
      <c r="O435" s="271"/>
      <c r="P435" s="271">
        <v>83720</v>
      </c>
      <c r="Q435" s="271"/>
      <c r="R435" s="271"/>
      <c r="S435" s="271">
        <v>-84117</v>
      </c>
      <c r="T435" s="271"/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153</v>
      </c>
      <c r="B436" s="267" t="s">
        <v>241</v>
      </c>
      <c r="C436" s="267" t="s">
        <v>94</v>
      </c>
      <c r="D436" s="267" t="s">
        <v>92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83483</v>
      </c>
      <c r="L436" s="269">
        <v>84364</v>
      </c>
      <c r="M436" s="270">
        <v>1</v>
      </c>
      <c r="N436" s="268">
        <v>1</v>
      </c>
      <c r="O436" s="271"/>
      <c r="P436" s="271">
        <v>83483</v>
      </c>
      <c r="Q436" s="271"/>
      <c r="R436" s="271"/>
      <c r="S436" s="271">
        <v>-84364</v>
      </c>
      <c r="T436" s="271"/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153</v>
      </c>
      <c r="B437" s="267" t="s">
        <v>1086</v>
      </c>
      <c r="C437" s="267" t="s">
        <v>94</v>
      </c>
      <c r="D437" s="267" t="s">
        <v>92</v>
      </c>
      <c r="E437" s="267" t="s">
        <v>0</v>
      </c>
      <c r="F437" s="268"/>
      <c r="G437" s="269"/>
      <c r="H437" s="269"/>
      <c r="I437" s="270"/>
      <c r="J437" s="268">
        <v>1</v>
      </c>
      <c r="K437" s="269">
        <v>83073</v>
      </c>
      <c r="L437" s="269">
        <v>84774</v>
      </c>
      <c r="M437" s="270">
        <v>1</v>
      </c>
      <c r="N437" s="268">
        <v>1</v>
      </c>
      <c r="O437" s="271"/>
      <c r="P437" s="271">
        <v>83073</v>
      </c>
      <c r="Q437" s="271"/>
      <c r="R437" s="271"/>
      <c r="S437" s="271">
        <v>-84774</v>
      </c>
      <c r="T437" s="271"/>
      <c r="U437" s="272">
        <v>1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153</v>
      </c>
      <c r="B438" s="267" t="s">
        <v>242</v>
      </c>
      <c r="C438" s="267" t="s">
        <v>94</v>
      </c>
      <c r="D438" s="267" t="s">
        <v>92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83790</v>
      </c>
      <c r="L438" s="269">
        <v>84084</v>
      </c>
      <c r="M438" s="270">
        <v>1</v>
      </c>
      <c r="N438" s="268">
        <v>1</v>
      </c>
      <c r="O438" s="271"/>
      <c r="P438" s="271">
        <v>83790</v>
      </c>
      <c r="Q438" s="271"/>
      <c r="R438" s="271"/>
      <c r="S438" s="271">
        <v>-84084</v>
      </c>
      <c r="T438" s="271"/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153</v>
      </c>
      <c r="B439" s="267" t="s">
        <v>243</v>
      </c>
      <c r="C439" s="267" t="s">
        <v>94</v>
      </c>
      <c r="D439" s="267" t="s">
        <v>92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83576</v>
      </c>
      <c r="L439" s="269">
        <v>84259</v>
      </c>
      <c r="M439" s="270">
        <v>1</v>
      </c>
      <c r="N439" s="268">
        <v>1</v>
      </c>
      <c r="O439" s="271"/>
      <c r="P439" s="271">
        <v>83576</v>
      </c>
      <c r="Q439" s="271"/>
      <c r="R439" s="271"/>
      <c r="S439" s="271">
        <v>-84259</v>
      </c>
      <c r="T439" s="271"/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153</v>
      </c>
      <c r="B440" s="267" t="s">
        <v>1087</v>
      </c>
      <c r="C440" s="267" t="s">
        <v>94</v>
      </c>
      <c r="D440" s="267" t="s">
        <v>92</v>
      </c>
      <c r="E440" s="267" t="s">
        <v>0</v>
      </c>
      <c r="F440" s="268"/>
      <c r="G440" s="269"/>
      <c r="H440" s="269"/>
      <c r="I440" s="270"/>
      <c r="J440" s="268">
        <v>1</v>
      </c>
      <c r="K440" s="269">
        <v>82997</v>
      </c>
      <c r="L440" s="269">
        <v>84854</v>
      </c>
      <c r="M440" s="270">
        <v>1</v>
      </c>
      <c r="N440" s="268">
        <v>1</v>
      </c>
      <c r="O440" s="271"/>
      <c r="P440" s="271">
        <v>82997</v>
      </c>
      <c r="Q440" s="271"/>
      <c r="R440" s="271"/>
      <c r="S440" s="271">
        <v>-84854</v>
      </c>
      <c r="T440" s="271"/>
      <c r="U440" s="272">
        <v>1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153</v>
      </c>
      <c r="B441" s="267" t="s">
        <v>244</v>
      </c>
      <c r="C441" s="267" t="s">
        <v>94</v>
      </c>
      <c r="D441" s="267" t="s">
        <v>92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83477</v>
      </c>
      <c r="L441" s="269">
        <v>84371</v>
      </c>
      <c r="M441" s="270">
        <v>1</v>
      </c>
      <c r="N441" s="268">
        <v>1</v>
      </c>
      <c r="O441" s="271"/>
      <c r="P441" s="271">
        <v>83477</v>
      </c>
      <c r="Q441" s="271"/>
      <c r="R441" s="271"/>
      <c r="S441" s="271">
        <v>-84371</v>
      </c>
      <c r="T441" s="271"/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153</v>
      </c>
      <c r="B442" s="267" t="s">
        <v>245</v>
      </c>
      <c r="C442" s="267" t="s">
        <v>94</v>
      </c>
      <c r="D442" s="267" t="s">
        <v>92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83546</v>
      </c>
      <c r="L442" s="269">
        <v>84345</v>
      </c>
      <c r="M442" s="270">
        <v>1</v>
      </c>
      <c r="N442" s="268">
        <v>1</v>
      </c>
      <c r="O442" s="271"/>
      <c r="P442" s="271">
        <v>83546</v>
      </c>
      <c r="Q442" s="271"/>
      <c r="R442" s="271"/>
      <c r="S442" s="271">
        <v>-84345</v>
      </c>
      <c r="T442" s="271"/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153</v>
      </c>
      <c r="B443" s="267" t="s">
        <v>1088</v>
      </c>
      <c r="C443" s="267" t="s">
        <v>94</v>
      </c>
      <c r="D443" s="267" t="s">
        <v>92</v>
      </c>
      <c r="E443" s="267" t="s">
        <v>0</v>
      </c>
      <c r="F443" s="268"/>
      <c r="G443" s="269"/>
      <c r="H443" s="269"/>
      <c r="I443" s="270"/>
      <c r="J443" s="268">
        <v>1</v>
      </c>
      <c r="K443" s="269">
        <v>83120</v>
      </c>
      <c r="L443" s="269">
        <v>84790</v>
      </c>
      <c r="M443" s="270">
        <v>1</v>
      </c>
      <c r="N443" s="268">
        <v>1</v>
      </c>
      <c r="O443" s="271"/>
      <c r="P443" s="271">
        <v>83120</v>
      </c>
      <c r="Q443" s="271"/>
      <c r="R443" s="271"/>
      <c r="S443" s="271">
        <v>-84790</v>
      </c>
      <c r="T443" s="271"/>
      <c r="U443" s="272">
        <v>1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153</v>
      </c>
      <c r="B444" s="267" t="s">
        <v>1089</v>
      </c>
      <c r="C444" s="267" t="s">
        <v>94</v>
      </c>
      <c r="D444" s="267" t="s">
        <v>92</v>
      </c>
      <c r="E444" s="267" t="s">
        <v>0</v>
      </c>
      <c r="F444" s="268"/>
      <c r="G444" s="269"/>
      <c r="H444" s="269"/>
      <c r="I444" s="270"/>
      <c r="J444" s="268">
        <v>1</v>
      </c>
      <c r="K444" s="269">
        <v>83277</v>
      </c>
      <c r="L444" s="269">
        <v>84751</v>
      </c>
      <c r="M444" s="270">
        <v>1</v>
      </c>
      <c r="N444" s="268">
        <v>1</v>
      </c>
      <c r="O444" s="271"/>
      <c r="P444" s="271">
        <v>83277</v>
      </c>
      <c r="Q444" s="271"/>
      <c r="R444" s="271"/>
      <c r="S444" s="271">
        <v>-84751</v>
      </c>
      <c r="T444" s="271"/>
      <c r="U444" s="272">
        <v>1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153</v>
      </c>
      <c r="B445" s="267" t="s">
        <v>1090</v>
      </c>
      <c r="C445" s="267" t="s">
        <v>94</v>
      </c>
      <c r="D445" s="267" t="s">
        <v>92</v>
      </c>
      <c r="E445" s="267" t="s">
        <v>0</v>
      </c>
      <c r="F445" s="268"/>
      <c r="G445" s="269"/>
      <c r="H445" s="269"/>
      <c r="I445" s="270"/>
      <c r="J445" s="268">
        <v>1</v>
      </c>
      <c r="K445" s="269">
        <v>83161</v>
      </c>
      <c r="L445" s="269">
        <v>84894</v>
      </c>
      <c r="M445" s="270">
        <v>1</v>
      </c>
      <c r="N445" s="268">
        <v>1</v>
      </c>
      <c r="O445" s="271"/>
      <c r="P445" s="271">
        <v>83161</v>
      </c>
      <c r="Q445" s="271"/>
      <c r="R445" s="271"/>
      <c r="S445" s="271">
        <v>-84894</v>
      </c>
      <c r="T445" s="271"/>
      <c r="U445" s="272">
        <v>1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153</v>
      </c>
      <c r="B446" s="267" t="s">
        <v>1091</v>
      </c>
      <c r="C446" s="267" t="s">
        <v>94</v>
      </c>
      <c r="D446" s="267" t="s">
        <v>92</v>
      </c>
      <c r="E446" s="267" t="s">
        <v>0</v>
      </c>
      <c r="F446" s="268"/>
      <c r="G446" s="269"/>
      <c r="H446" s="269"/>
      <c r="I446" s="270"/>
      <c r="J446" s="268">
        <v>1</v>
      </c>
      <c r="K446" s="269">
        <v>83275</v>
      </c>
      <c r="L446" s="269">
        <v>84705</v>
      </c>
      <c r="M446" s="270">
        <v>1</v>
      </c>
      <c r="N446" s="268">
        <v>1</v>
      </c>
      <c r="O446" s="271"/>
      <c r="P446" s="271">
        <v>83275</v>
      </c>
      <c r="Q446" s="271"/>
      <c r="R446" s="271"/>
      <c r="S446" s="271">
        <v>-84705</v>
      </c>
      <c r="T446" s="271"/>
      <c r="U446" s="272">
        <v>1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153</v>
      </c>
      <c r="B447" s="267" t="s">
        <v>246</v>
      </c>
      <c r="C447" s="267" t="s">
        <v>94</v>
      </c>
      <c r="D447" s="267" t="s">
        <v>92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83741</v>
      </c>
      <c r="L447" s="269">
        <v>84137</v>
      </c>
      <c r="M447" s="270">
        <v>1</v>
      </c>
      <c r="N447" s="268">
        <v>1</v>
      </c>
      <c r="O447" s="271"/>
      <c r="P447" s="271">
        <v>83741</v>
      </c>
      <c r="Q447" s="271"/>
      <c r="R447" s="271"/>
      <c r="S447" s="271">
        <v>-84137</v>
      </c>
      <c r="T447" s="271"/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153</v>
      </c>
      <c r="B448" s="267" t="s">
        <v>247</v>
      </c>
      <c r="C448" s="267" t="s">
        <v>94</v>
      </c>
      <c r="D448" s="267" t="s">
        <v>92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83401</v>
      </c>
      <c r="L448" s="269">
        <v>84484</v>
      </c>
      <c r="M448" s="270">
        <v>1</v>
      </c>
      <c r="N448" s="268">
        <v>1</v>
      </c>
      <c r="O448" s="271"/>
      <c r="P448" s="271">
        <v>83401</v>
      </c>
      <c r="Q448" s="271"/>
      <c r="R448" s="271"/>
      <c r="S448" s="271">
        <v>-84484</v>
      </c>
      <c r="T448" s="271"/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153</v>
      </c>
      <c r="B449" s="267" t="s">
        <v>1092</v>
      </c>
      <c r="C449" s="267" t="s">
        <v>94</v>
      </c>
      <c r="D449" s="267" t="s">
        <v>92</v>
      </c>
      <c r="E449" s="267" t="s">
        <v>0</v>
      </c>
      <c r="F449" s="268"/>
      <c r="G449" s="269"/>
      <c r="H449" s="269"/>
      <c r="I449" s="270"/>
      <c r="J449" s="268">
        <v>1</v>
      </c>
      <c r="K449" s="269">
        <v>82991</v>
      </c>
      <c r="L449" s="269">
        <v>84894</v>
      </c>
      <c r="M449" s="270">
        <v>1</v>
      </c>
      <c r="N449" s="268">
        <v>1</v>
      </c>
      <c r="O449" s="271"/>
      <c r="P449" s="271">
        <v>82991</v>
      </c>
      <c r="Q449" s="271"/>
      <c r="R449" s="271"/>
      <c r="S449" s="271">
        <v>-84894</v>
      </c>
      <c r="T449" s="271"/>
      <c r="U449" s="272">
        <v>1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153</v>
      </c>
      <c r="B450" s="267" t="s">
        <v>248</v>
      </c>
      <c r="C450" s="267" t="s">
        <v>94</v>
      </c>
      <c r="D450" s="267" t="s">
        <v>92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83791</v>
      </c>
      <c r="L450" s="269">
        <v>84053</v>
      </c>
      <c r="M450" s="270">
        <v>1</v>
      </c>
      <c r="N450" s="268">
        <v>1</v>
      </c>
      <c r="O450" s="271"/>
      <c r="P450" s="271">
        <v>83791</v>
      </c>
      <c r="Q450" s="271"/>
      <c r="R450" s="271"/>
      <c r="S450" s="271">
        <v>-84053</v>
      </c>
      <c r="T450" s="271"/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153</v>
      </c>
      <c r="B451" s="267" t="s">
        <v>249</v>
      </c>
      <c r="C451" s="267" t="s">
        <v>94</v>
      </c>
      <c r="D451" s="267" t="s">
        <v>92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83411</v>
      </c>
      <c r="L451" s="269">
        <v>84448</v>
      </c>
      <c r="M451" s="270">
        <v>1</v>
      </c>
      <c r="N451" s="268">
        <v>1</v>
      </c>
      <c r="O451" s="271"/>
      <c r="P451" s="271">
        <v>83411</v>
      </c>
      <c r="Q451" s="271"/>
      <c r="R451" s="271"/>
      <c r="S451" s="271">
        <v>-84448</v>
      </c>
      <c r="T451" s="271"/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153</v>
      </c>
      <c r="B452" s="267" t="s">
        <v>1093</v>
      </c>
      <c r="C452" s="267" t="s">
        <v>94</v>
      </c>
      <c r="D452" s="267" t="s">
        <v>92</v>
      </c>
      <c r="E452" s="267" t="s">
        <v>0</v>
      </c>
      <c r="F452" s="268"/>
      <c r="G452" s="269"/>
      <c r="H452" s="269"/>
      <c r="I452" s="270"/>
      <c r="J452" s="268">
        <v>1</v>
      </c>
      <c r="K452" s="269">
        <v>83211</v>
      </c>
      <c r="L452" s="269">
        <v>84828</v>
      </c>
      <c r="M452" s="270">
        <v>1</v>
      </c>
      <c r="N452" s="268">
        <v>1</v>
      </c>
      <c r="O452" s="271"/>
      <c r="P452" s="271">
        <v>83211</v>
      </c>
      <c r="Q452" s="271"/>
      <c r="R452" s="271"/>
      <c r="S452" s="271">
        <v>-84828</v>
      </c>
      <c r="T452" s="271"/>
      <c r="U452" s="272">
        <v>1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153</v>
      </c>
      <c r="B453" s="267" t="s">
        <v>250</v>
      </c>
      <c r="C453" s="267" t="s">
        <v>94</v>
      </c>
      <c r="D453" s="267" t="s">
        <v>92</v>
      </c>
      <c r="E453" s="267" t="s">
        <v>0</v>
      </c>
      <c r="F453" s="268"/>
      <c r="G453" s="269"/>
      <c r="H453" s="269"/>
      <c r="I453" s="270"/>
      <c r="J453" s="268">
        <v>1</v>
      </c>
      <c r="K453" s="269">
        <v>83561</v>
      </c>
      <c r="L453" s="269">
        <v>84271</v>
      </c>
      <c r="M453" s="270">
        <v>1</v>
      </c>
      <c r="N453" s="268">
        <v>1</v>
      </c>
      <c r="O453" s="271"/>
      <c r="P453" s="271">
        <v>83561</v>
      </c>
      <c r="Q453" s="271"/>
      <c r="R453" s="271"/>
      <c r="S453" s="271">
        <v>-84271</v>
      </c>
      <c r="T453" s="271"/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153</v>
      </c>
      <c r="B454" s="267" t="s">
        <v>251</v>
      </c>
      <c r="C454" s="267" t="s">
        <v>94</v>
      </c>
      <c r="D454" s="267" t="s">
        <v>92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83513</v>
      </c>
      <c r="L454" s="269">
        <v>84311</v>
      </c>
      <c r="M454" s="270">
        <v>1</v>
      </c>
      <c r="N454" s="268">
        <v>1</v>
      </c>
      <c r="O454" s="271"/>
      <c r="P454" s="271">
        <v>83513</v>
      </c>
      <c r="Q454" s="271"/>
      <c r="R454" s="271"/>
      <c r="S454" s="271">
        <v>-84311</v>
      </c>
      <c r="T454" s="271"/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153</v>
      </c>
      <c r="B455" s="267" t="s">
        <v>1094</v>
      </c>
      <c r="C455" s="267" t="s">
        <v>94</v>
      </c>
      <c r="D455" s="267" t="s">
        <v>92</v>
      </c>
      <c r="E455" s="267" t="s">
        <v>0</v>
      </c>
      <c r="F455" s="268"/>
      <c r="G455" s="269"/>
      <c r="H455" s="269"/>
      <c r="I455" s="270"/>
      <c r="J455" s="268">
        <v>1</v>
      </c>
      <c r="K455" s="269">
        <v>83204</v>
      </c>
      <c r="L455" s="269">
        <v>84690</v>
      </c>
      <c r="M455" s="270">
        <v>1</v>
      </c>
      <c r="N455" s="268">
        <v>1</v>
      </c>
      <c r="O455" s="271"/>
      <c r="P455" s="271">
        <v>83204</v>
      </c>
      <c r="Q455" s="271"/>
      <c r="R455" s="271"/>
      <c r="S455" s="271">
        <v>-84690</v>
      </c>
      <c r="T455" s="271"/>
      <c r="U455" s="272">
        <v>1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153</v>
      </c>
      <c r="B456" s="267" t="s">
        <v>1095</v>
      </c>
      <c r="C456" s="267" t="s">
        <v>94</v>
      </c>
      <c r="D456" s="267" t="s">
        <v>92</v>
      </c>
      <c r="E456" s="267" t="s">
        <v>0</v>
      </c>
      <c r="F456" s="268"/>
      <c r="G456" s="269"/>
      <c r="H456" s="269"/>
      <c r="I456" s="270"/>
      <c r="J456" s="268">
        <v>1</v>
      </c>
      <c r="K456" s="269">
        <v>82982</v>
      </c>
      <c r="L456" s="269">
        <v>84866</v>
      </c>
      <c r="M456" s="270">
        <v>1</v>
      </c>
      <c r="N456" s="268">
        <v>1</v>
      </c>
      <c r="O456" s="271"/>
      <c r="P456" s="271">
        <v>82982</v>
      </c>
      <c r="Q456" s="271"/>
      <c r="R456" s="271"/>
      <c r="S456" s="271">
        <v>-84866</v>
      </c>
      <c r="T456" s="271"/>
      <c r="U456" s="272">
        <v>1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153</v>
      </c>
      <c r="B457" s="267" t="s">
        <v>1096</v>
      </c>
      <c r="C457" s="267" t="s">
        <v>94</v>
      </c>
      <c r="D457" s="267" t="s">
        <v>92</v>
      </c>
      <c r="E457" s="267" t="s">
        <v>0</v>
      </c>
      <c r="F457" s="268"/>
      <c r="G457" s="269"/>
      <c r="H457" s="269"/>
      <c r="I457" s="270"/>
      <c r="J457" s="268">
        <v>1</v>
      </c>
      <c r="K457" s="269">
        <v>82964</v>
      </c>
      <c r="L457" s="269">
        <v>84696</v>
      </c>
      <c r="M457" s="270">
        <v>1</v>
      </c>
      <c r="N457" s="268">
        <v>1</v>
      </c>
      <c r="O457" s="271"/>
      <c r="P457" s="271">
        <v>82964</v>
      </c>
      <c r="Q457" s="271"/>
      <c r="R457" s="271"/>
      <c r="S457" s="271">
        <v>-84696</v>
      </c>
      <c r="T457" s="271"/>
      <c r="U457" s="272">
        <v>1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153</v>
      </c>
      <c r="B458" s="267" t="s">
        <v>1097</v>
      </c>
      <c r="C458" s="267" t="s">
        <v>94</v>
      </c>
      <c r="D458" s="267" t="s">
        <v>92</v>
      </c>
      <c r="E458" s="267" t="s">
        <v>0</v>
      </c>
      <c r="F458" s="268"/>
      <c r="G458" s="269"/>
      <c r="H458" s="269"/>
      <c r="I458" s="270"/>
      <c r="J458" s="268">
        <v>1</v>
      </c>
      <c r="K458" s="269">
        <v>82980</v>
      </c>
      <c r="L458" s="269">
        <v>84820</v>
      </c>
      <c r="M458" s="270">
        <v>1</v>
      </c>
      <c r="N458" s="268">
        <v>1</v>
      </c>
      <c r="O458" s="271"/>
      <c r="P458" s="271">
        <v>82980</v>
      </c>
      <c r="Q458" s="271"/>
      <c r="R458" s="271"/>
      <c r="S458" s="271">
        <v>-84820</v>
      </c>
      <c r="T458" s="271"/>
      <c r="U458" s="272">
        <v>1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153</v>
      </c>
      <c r="B459" s="267" t="s">
        <v>252</v>
      </c>
      <c r="C459" s="267" t="s">
        <v>94</v>
      </c>
      <c r="D459" s="267" t="s">
        <v>92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83550</v>
      </c>
      <c r="L459" s="269">
        <v>84298</v>
      </c>
      <c r="M459" s="270">
        <v>1</v>
      </c>
      <c r="N459" s="268">
        <v>1</v>
      </c>
      <c r="O459" s="271"/>
      <c r="P459" s="271">
        <v>83550</v>
      </c>
      <c r="Q459" s="271"/>
      <c r="R459" s="271"/>
      <c r="S459" s="271">
        <v>-84298</v>
      </c>
      <c r="T459" s="271"/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153</v>
      </c>
      <c r="B460" s="267" t="s">
        <v>253</v>
      </c>
      <c r="C460" s="267" t="s">
        <v>94</v>
      </c>
      <c r="D460" s="267" t="s">
        <v>92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83447</v>
      </c>
      <c r="L460" s="269">
        <v>84398</v>
      </c>
      <c r="M460" s="270">
        <v>1</v>
      </c>
      <c r="N460" s="268">
        <v>1</v>
      </c>
      <c r="O460" s="271"/>
      <c r="P460" s="271">
        <v>83447</v>
      </c>
      <c r="Q460" s="271"/>
      <c r="R460" s="271"/>
      <c r="S460" s="271">
        <v>-84398</v>
      </c>
      <c r="T460" s="271"/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153</v>
      </c>
      <c r="B461" s="267" t="s">
        <v>1098</v>
      </c>
      <c r="C461" s="267" t="s">
        <v>94</v>
      </c>
      <c r="D461" s="267" t="s">
        <v>92</v>
      </c>
      <c r="E461" s="267" t="s">
        <v>0</v>
      </c>
      <c r="F461" s="268"/>
      <c r="G461" s="269"/>
      <c r="H461" s="269"/>
      <c r="I461" s="270"/>
      <c r="J461" s="268">
        <v>1</v>
      </c>
      <c r="K461" s="269">
        <v>82800</v>
      </c>
      <c r="L461" s="269">
        <v>85055</v>
      </c>
      <c r="M461" s="270">
        <v>1</v>
      </c>
      <c r="N461" s="268">
        <v>1</v>
      </c>
      <c r="O461" s="271"/>
      <c r="P461" s="271">
        <v>82800</v>
      </c>
      <c r="Q461" s="271"/>
      <c r="R461" s="271"/>
      <c r="S461" s="271">
        <v>-85055</v>
      </c>
      <c r="T461" s="271"/>
      <c r="U461" s="272">
        <v>1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153</v>
      </c>
      <c r="B462" s="267" t="s">
        <v>254</v>
      </c>
      <c r="C462" s="267" t="s">
        <v>94</v>
      </c>
      <c r="D462" s="267" t="s">
        <v>92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83520</v>
      </c>
      <c r="L462" s="269">
        <v>84320</v>
      </c>
      <c r="M462" s="270">
        <v>1</v>
      </c>
      <c r="N462" s="268">
        <v>1</v>
      </c>
      <c r="O462" s="271"/>
      <c r="P462" s="271">
        <v>83520</v>
      </c>
      <c r="Q462" s="271"/>
      <c r="R462" s="271"/>
      <c r="S462" s="271">
        <v>-84320</v>
      </c>
      <c r="T462" s="271"/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153</v>
      </c>
      <c r="B463" s="267" t="s">
        <v>255</v>
      </c>
      <c r="C463" s="267" t="s">
        <v>94</v>
      </c>
      <c r="D463" s="267" t="s">
        <v>92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83483</v>
      </c>
      <c r="L463" s="269">
        <v>84388</v>
      </c>
      <c r="M463" s="270">
        <v>1</v>
      </c>
      <c r="N463" s="268">
        <v>1</v>
      </c>
      <c r="O463" s="271"/>
      <c r="P463" s="271">
        <v>83483</v>
      </c>
      <c r="Q463" s="271"/>
      <c r="R463" s="271"/>
      <c r="S463" s="271">
        <v>-84388</v>
      </c>
      <c r="T463" s="271"/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153</v>
      </c>
      <c r="B464" s="267" t="s">
        <v>1099</v>
      </c>
      <c r="C464" s="267" t="s">
        <v>94</v>
      </c>
      <c r="D464" s="267" t="s">
        <v>92</v>
      </c>
      <c r="E464" s="267" t="s">
        <v>0</v>
      </c>
      <c r="F464" s="268"/>
      <c r="G464" s="269"/>
      <c r="H464" s="269"/>
      <c r="I464" s="270"/>
      <c r="J464" s="268">
        <v>1</v>
      </c>
      <c r="K464" s="269">
        <v>82940</v>
      </c>
      <c r="L464" s="269">
        <v>85095</v>
      </c>
      <c r="M464" s="270">
        <v>1</v>
      </c>
      <c r="N464" s="268">
        <v>1</v>
      </c>
      <c r="O464" s="271"/>
      <c r="P464" s="271">
        <v>82940</v>
      </c>
      <c r="Q464" s="271"/>
      <c r="R464" s="271"/>
      <c r="S464" s="271">
        <v>-85095</v>
      </c>
      <c r="T464" s="271"/>
      <c r="U464" s="272">
        <v>1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153</v>
      </c>
      <c r="B465" s="267" t="s">
        <v>256</v>
      </c>
      <c r="C465" s="267" t="s">
        <v>94</v>
      </c>
      <c r="D465" s="267" t="s">
        <v>92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83623</v>
      </c>
      <c r="L465" s="269">
        <v>84271</v>
      </c>
      <c r="M465" s="270">
        <v>1</v>
      </c>
      <c r="N465" s="268">
        <v>1</v>
      </c>
      <c r="O465" s="271"/>
      <c r="P465" s="271">
        <v>83623</v>
      </c>
      <c r="Q465" s="271"/>
      <c r="R465" s="271"/>
      <c r="S465" s="271">
        <v>-84271</v>
      </c>
      <c r="T465" s="271"/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153</v>
      </c>
      <c r="B466" s="267" t="s">
        <v>257</v>
      </c>
      <c r="C466" s="267" t="s">
        <v>94</v>
      </c>
      <c r="D466" s="267" t="s">
        <v>92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83655</v>
      </c>
      <c r="L466" s="269">
        <v>84205</v>
      </c>
      <c r="M466" s="270">
        <v>1</v>
      </c>
      <c r="N466" s="268">
        <v>1</v>
      </c>
      <c r="O466" s="271"/>
      <c r="P466" s="271">
        <v>83655</v>
      </c>
      <c r="Q466" s="271"/>
      <c r="R466" s="271"/>
      <c r="S466" s="271">
        <v>-84205</v>
      </c>
      <c r="T466" s="271"/>
      <c r="U466" s="272">
        <v>1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153</v>
      </c>
      <c r="B467" s="267" t="s">
        <v>1100</v>
      </c>
      <c r="C467" s="267" t="s">
        <v>94</v>
      </c>
      <c r="D467" s="267" t="s">
        <v>92</v>
      </c>
      <c r="E467" s="267" t="s">
        <v>0</v>
      </c>
      <c r="F467" s="268"/>
      <c r="G467" s="269"/>
      <c r="H467" s="269"/>
      <c r="I467" s="270"/>
      <c r="J467" s="268">
        <v>1</v>
      </c>
      <c r="K467" s="269">
        <v>82830</v>
      </c>
      <c r="L467" s="269">
        <v>85041</v>
      </c>
      <c r="M467" s="270">
        <v>1</v>
      </c>
      <c r="N467" s="268">
        <v>1</v>
      </c>
      <c r="O467" s="271"/>
      <c r="P467" s="271">
        <v>82830</v>
      </c>
      <c r="Q467" s="271"/>
      <c r="R467" s="271"/>
      <c r="S467" s="271">
        <v>-85041</v>
      </c>
      <c r="T467" s="271"/>
      <c r="U467" s="272">
        <v>1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153</v>
      </c>
      <c r="B468" s="267" t="s">
        <v>1101</v>
      </c>
      <c r="C468" s="267" t="s">
        <v>94</v>
      </c>
      <c r="D468" s="267" t="s">
        <v>92</v>
      </c>
      <c r="E468" s="267" t="s">
        <v>0</v>
      </c>
      <c r="F468" s="268"/>
      <c r="G468" s="269"/>
      <c r="H468" s="269"/>
      <c r="I468" s="270"/>
      <c r="J468" s="268">
        <v>1</v>
      </c>
      <c r="K468" s="269">
        <v>83227</v>
      </c>
      <c r="L468" s="269">
        <v>84676</v>
      </c>
      <c r="M468" s="270">
        <v>1</v>
      </c>
      <c r="N468" s="268">
        <v>1</v>
      </c>
      <c r="O468" s="271"/>
      <c r="P468" s="271">
        <v>83227</v>
      </c>
      <c r="Q468" s="271"/>
      <c r="R468" s="271"/>
      <c r="S468" s="271">
        <v>-84676</v>
      </c>
      <c r="T468" s="271"/>
      <c r="U468" s="272">
        <v>1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153</v>
      </c>
      <c r="B469" s="267" t="s">
        <v>1102</v>
      </c>
      <c r="C469" s="267" t="s">
        <v>94</v>
      </c>
      <c r="D469" s="267" t="s">
        <v>92</v>
      </c>
      <c r="E469" s="267" t="s">
        <v>0</v>
      </c>
      <c r="F469" s="268"/>
      <c r="G469" s="269"/>
      <c r="H469" s="269"/>
      <c r="I469" s="270"/>
      <c r="J469" s="268">
        <v>1</v>
      </c>
      <c r="K469" s="269">
        <v>83209</v>
      </c>
      <c r="L469" s="269">
        <v>84506</v>
      </c>
      <c r="M469" s="270">
        <v>1</v>
      </c>
      <c r="N469" s="268">
        <v>1</v>
      </c>
      <c r="O469" s="271"/>
      <c r="P469" s="271">
        <v>83209</v>
      </c>
      <c r="Q469" s="271"/>
      <c r="R469" s="271"/>
      <c r="S469" s="271">
        <v>-84506</v>
      </c>
      <c r="T469" s="271"/>
      <c r="U469" s="272">
        <v>1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153</v>
      </c>
      <c r="B470" s="267" t="s">
        <v>1103</v>
      </c>
      <c r="C470" s="267" t="s">
        <v>94</v>
      </c>
      <c r="D470" s="267" t="s">
        <v>92</v>
      </c>
      <c r="E470" s="267" t="s">
        <v>0</v>
      </c>
      <c r="F470" s="268"/>
      <c r="G470" s="269"/>
      <c r="H470" s="269"/>
      <c r="I470" s="270"/>
      <c r="J470" s="268">
        <v>1</v>
      </c>
      <c r="K470" s="269">
        <v>83111</v>
      </c>
      <c r="L470" s="269">
        <v>84819</v>
      </c>
      <c r="M470" s="270">
        <v>1</v>
      </c>
      <c r="N470" s="268">
        <v>1</v>
      </c>
      <c r="O470" s="271"/>
      <c r="P470" s="271">
        <v>83111</v>
      </c>
      <c r="Q470" s="271"/>
      <c r="R470" s="271"/>
      <c r="S470" s="271">
        <v>-84819</v>
      </c>
      <c r="T470" s="271"/>
      <c r="U470" s="272">
        <v>1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153</v>
      </c>
      <c r="B471" s="267" t="s">
        <v>1104</v>
      </c>
      <c r="C471" s="267" t="s">
        <v>94</v>
      </c>
      <c r="D471" s="267" t="s">
        <v>92</v>
      </c>
      <c r="E471" s="267" t="s">
        <v>0</v>
      </c>
      <c r="F471" s="268"/>
      <c r="G471" s="269"/>
      <c r="H471" s="269"/>
      <c r="I471" s="270"/>
      <c r="J471" s="268">
        <v>1</v>
      </c>
      <c r="K471" s="269">
        <v>83140</v>
      </c>
      <c r="L471" s="269">
        <v>84708</v>
      </c>
      <c r="M471" s="270">
        <v>1</v>
      </c>
      <c r="N471" s="268">
        <v>1</v>
      </c>
      <c r="O471" s="271"/>
      <c r="P471" s="271">
        <v>83140</v>
      </c>
      <c r="Q471" s="271"/>
      <c r="R471" s="271"/>
      <c r="S471" s="271">
        <v>-84708</v>
      </c>
      <c r="T471" s="271"/>
      <c r="U471" s="272">
        <v>1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153</v>
      </c>
      <c r="B472" s="267" t="s">
        <v>1105</v>
      </c>
      <c r="C472" s="267" t="s">
        <v>94</v>
      </c>
      <c r="D472" s="267" t="s">
        <v>92</v>
      </c>
      <c r="E472" s="267" t="s">
        <v>0</v>
      </c>
      <c r="F472" s="268"/>
      <c r="G472" s="269"/>
      <c r="H472" s="269"/>
      <c r="I472" s="270"/>
      <c r="J472" s="268">
        <v>1</v>
      </c>
      <c r="K472" s="269">
        <v>83037</v>
      </c>
      <c r="L472" s="269">
        <v>84808</v>
      </c>
      <c r="M472" s="270">
        <v>1</v>
      </c>
      <c r="N472" s="268">
        <v>1</v>
      </c>
      <c r="O472" s="271"/>
      <c r="P472" s="271">
        <v>83037</v>
      </c>
      <c r="Q472" s="271"/>
      <c r="R472" s="271"/>
      <c r="S472" s="271">
        <v>-84808</v>
      </c>
      <c r="T472" s="271"/>
      <c r="U472" s="272">
        <v>1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153</v>
      </c>
      <c r="B473" s="267" t="s">
        <v>1106</v>
      </c>
      <c r="C473" s="267" t="s">
        <v>94</v>
      </c>
      <c r="D473" s="267" t="s">
        <v>92</v>
      </c>
      <c r="E473" s="267" t="s">
        <v>0</v>
      </c>
      <c r="F473" s="268"/>
      <c r="G473" s="269"/>
      <c r="H473" s="269"/>
      <c r="I473" s="270"/>
      <c r="J473" s="268">
        <v>1</v>
      </c>
      <c r="K473" s="269">
        <v>82800</v>
      </c>
      <c r="L473" s="269">
        <v>85055</v>
      </c>
      <c r="M473" s="270">
        <v>1</v>
      </c>
      <c r="N473" s="268">
        <v>1</v>
      </c>
      <c r="O473" s="271"/>
      <c r="P473" s="271">
        <v>82800</v>
      </c>
      <c r="Q473" s="271"/>
      <c r="R473" s="271"/>
      <c r="S473" s="271">
        <v>-85055</v>
      </c>
      <c r="T473" s="271"/>
      <c r="U473" s="272">
        <v>1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153</v>
      </c>
      <c r="B474" s="267" t="s">
        <v>1107</v>
      </c>
      <c r="C474" s="267" t="s">
        <v>94</v>
      </c>
      <c r="D474" s="267" t="s">
        <v>92</v>
      </c>
      <c r="E474" s="267" t="s">
        <v>0</v>
      </c>
      <c r="F474" s="268"/>
      <c r="G474" s="269"/>
      <c r="H474" s="269"/>
      <c r="I474" s="270"/>
      <c r="J474" s="268">
        <v>1</v>
      </c>
      <c r="K474" s="269">
        <v>83140</v>
      </c>
      <c r="L474" s="269">
        <v>84520</v>
      </c>
      <c r="M474" s="270">
        <v>1</v>
      </c>
      <c r="N474" s="268">
        <v>1</v>
      </c>
      <c r="O474" s="271"/>
      <c r="P474" s="271">
        <v>83140</v>
      </c>
      <c r="Q474" s="271"/>
      <c r="R474" s="271"/>
      <c r="S474" s="271">
        <v>-84520</v>
      </c>
      <c r="T474" s="271"/>
      <c r="U474" s="272">
        <v>1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153</v>
      </c>
      <c r="B475" s="267" t="s">
        <v>1108</v>
      </c>
      <c r="C475" s="267" t="s">
        <v>94</v>
      </c>
      <c r="D475" s="267" t="s">
        <v>92</v>
      </c>
      <c r="E475" s="267" t="s">
        <v>0</v>
      </c>
      <c r="F475" s="268"/>
      <c r="G475" s="269"/>
      <c r="H475" s="269"/>
      <c r="I475" s="270"/>
      <c r="J475" s="268">
        <v>1</v>
      </c>
      <c r="K475" s="269">
        <v>83103</v>
      </c>
      <c r="L475" s="269">
        <v>84588</v>
      </c>
      <c r="M475" s="270">
        <v>1</v>
      </c>
      <c r="N475" s="268">
        <v>1</v>
      </c>
      <c r="O475" s="271"/>
      <c r="P475" s="271">
        <v>83103</v>
      </c>
      <c r="Q475" s="271"/>
      <c r="R475" s="271"/>
      <c r="S475" s="271">
        <v>-84588</v>
      </c>
      <c r="T475" s="271"/>
      <c r="U475" s="272">
        <v>1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153</v>
      </c>
      <c r="B476" s="267" t="s">
        <v>1109</v>
      </c>
      <c r="C476" s="267" t="s">
        <v>94</v>
      </c>
      <c r="D476" s="267" t="s">
        <v>92</v>
      </c>
      <c r="E476" s="267" t="s">
        <v>0</v>
      </c>
      <c r="F476" s="268"/>
      <c r="G476" s="269"/>
      <c r="H476" s="269"/>
      <c r="I476" s="270"/>
      <c r="J476" s="268">
        <v>1</v>
      </c>
      <c r="K476" s="269">
        <v>82760</v>
      </c>
      <c r="L476" s="269">
        <v>84915</v>
      </c>
      <c r="M476" s="270">
        <v>1</v>
      </c>
      <c r="N476" s="268">
        <v>1</v>
      </c>
      <c r="O476" s="271"/>
      <c r="P476" s="271">
        <v>82760</v>
      </c>
      <c r="Q476" s="271"/>
      <c r="R476" s="271"/>
      <c r="S476" s="271">
        <v>-84915</v>
      </c>
      <c r="T476" s="271"/>
      <c r="U476" s="272">
        <v>1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153</v>
      </c>
      <c r="B477" s="267" t="s">
        <v>1110</v>
      </c>
      <c r="C477" s="267" t="s">
        <v>94</v>
      </c>
      <c r="D477" s="267" t="s">
        <v>92</v>
      </c>
      <c r="E477" s="267" t="s">
        <v>0</v>
      </c>
      <c r="F477" s="268"/>
      <c r="G477" s="269"/>
      <c r="H477" s="269"/>
      <c r="I477" s="270"/>
      <c r="J477" s="268">
        <v>1</v>
      </c>
      <c r="K477" s="269">
        <v>83028</v>
      </c>
      <c r="L477" s="269">
        <v>84850</v>
      </c>
      <c r="M477" s="270">
        <v>1</v>
      </c>
      <c r="N477" s="268">
        <v>1</v>
      </c>
      <c r="O477" s="271"/>
      <c r="P477" s="271">
        <v>83028</v>
      </c>
      <c r="Q477" s="271"/>
      <c r="R477" s="271"/>
      <c r="S477" s="271">
        <v>-84850</v>
      </c>
      <c r="T477" s="271"/>
      <c r="U477" s="272">
        <v>1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153</v>
      </c>
      <c r="B478" s="267" t="s">
        <v>1111</v>
      </c>
      <c r="C478" s="267" t="s">
        <v>94</v>
      </c>
      <c r="D478" s="267" t="s">
        <v>92</v>
      </c>
      <c r="E478" s="267" t="s">
        <v>0</v>
      </c>
      <c r="F478" s="268"/>
      <c r="G478" s="269"/>
      <c r="H478" s="269"/>
      <c r="I478" s="270"/>
      <c r="J478" s="268">
        <v>1</v>
      </c>
      <c r="K478" s="269">
        <v>83060</v>
      </c>
      <c r="L478" s="269">
        <v>84784</v>
      </c>
      <c r="M478" s="270">
        <v>1</v>
      </c>
      <c r="N478" s="268">
        <v>1</v>
      </c>
      <c r="O478" s="271"/>
      <c r="P478" s="271">
        <v>83060</v>
      </c>
      <c r="Q478" s="271"/>
      <c r="R478" s="271"/>
      <c r="S478" s="271">
        <v>-84784</v>
      </c>
      <c r="T478" s="271"/>
      <c r="U478" s="272">
        <v>1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153</v>
      </c>
      <c r="B479" s="267" t="s">
        <v>1112</v>
      </c>
      <c r="C479" s="267" t="s">
        <v>94</v>
      </c>
      <c r="D479" s="267" t="s">
        <v>92</v>
      </c>
      <c r="E479" s="267" t="s">
        <v>0</v>
      </c>
      <c r="F479" s="268"/>
      <c r="G479" s="269"/>
      <c r="H479" s="269"/>
      <c r="I479" s="270"/>
      <c r="J479" s="268">
        <v>1</v>
      </c>
      <c r="K479" s="269">
        <v>82814</v>
      </c>
      <c r="L479" s="269">
        <v>85025</v>
      </c>
      <c r="M479" s="270">
        <v>1</v>
      </c>
      <c r="N479" s="268">
        <v>1</v>
      </c>
      <c r="O479" s="271"/>
      <c r="P479" s="271">
        <v>82814</v>
      </c>
      <c r="Q479" s="271"/>
      <c r="R479" s="271"/>
      <c r="S479" s="271">
        <v>-85025</v>
      </c>
      <c r="T479" s="271"/>
      <c r="U479" s="272">
        <v>1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153</v>
      </c>
      <c r="B480" s="267" t="s">
        <v>1113</v>
      </c>
      <c r="C480" s="267" t="s">
        <v>94</v>
      </c>
      <c r="D480" s="267" t="s">
        <v>92</v>
      </c>
      <c r="E480" s="267" t="s">
        <v>0</v>
      </c>
      <c r="F480" s="268"/>
      <c r="G480" s="269"/>
      <c r="H480" s="269"/>
      <c r="I480" s="270"/>
      <c r="J480" s="268">
        <v>1</v>
      </c>
      <c r="K480" s="269">
        <v>83172</v>
      </c>
      <c r="L480" s="269">
        <v>84621</v>
      </c>
      <c r="M480" s="270">
        <v>1</v>
      </c>
      <c r="N480" s="268">
        <v>1</v>
      </c>
      <c r="O480" s="271"/>
      <c r="P480" s="271">
        <v>83172</v>
      </c>
      <c r="Q480" s="271"/>
      <c r="R480" s="271"/>
      <c r="S480" s="271">
        <v>-84621</v>
      </c>
      <c r="T480" s="271"/>
      <c r="U480" s="272">
        <v>1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153</v>
      </c>
      <c r="B481" s="267" t="s">
        <v>1114</v>
      </c>
      <c r="C481" s="267" t="s">
        <v>94</v>
      </c>
      <c r="D481" s="267" t="s">
        <v>92</v>
      </c>
      <c r="E481" s="267" t="s">
        <v>0</v>
      </c>
      <c r="F481" s="268"/>
      <c r="G481" s="269"/>
      <c r="H481" s="269"/>
      <c r="I481" s="270"/>
      <c r="J481" s="268">
        <v>1</v>
      </c>
      <c r="K481" s="269">
        <v>83124</v>
      </c>
      <c r="L481" s="269">
        <v>84661</v>
      </c>
      <c r="M481" s="270">
        <v>1</v>
      </c>
      <c r="N481" s="268">
        <v>1</v>
      </c>
      <c r="O481" s="271"/>
      <c r="P481" s="271">
        <v>83124</v>
      </c>
      <c r="Q481" s="271"/>
      <c r="R481" s="271"/>
      <c r="S481" s="271">
        <v>-84661</v>
      </c>
      <c r="T481" s="271"/>
      <c r="U481" s="272">
        <v>1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153</v>
      </c>
      <c r="B482" s="267" t="s">
        <v>1115</v>
      </c>
      <c r="C482" s="267" t="s">
        <v>94</v>
      </c>
      <c r="D482" s="267" t="s">
        <v>92</v>
      </c>
      <c r="E482" s="267" t="s">
        <v>0</v>
      </c>
      <c r="F482" s="268"/>
      <c r="G482" s="269"/>
      <c r="H482" s="269"/>
      <c r="I482" s="270"/>
      <c r="J482" s="268">
        <v>1</v>
      </c>
      <c r="K482" s="269">
        <v>83241</v>
      </c>
      <c r="L482" s="269">
        <v>84595</v>
      </c>
      <c r="M482" s="270">
        <v>1</v>
      </c>
      <c r="N482" s="268">
        <v>1</v>
      </c>
      <c r="O482" s="271"/>
      <c r="P482" s="271">
        <v>83241</v>
      </c>
      <c r="Q482" s="271"/>
      <c r="R482" s="271"/>
      <c r="S482" s="271">
        <v>-84595</v>
      </c>
      <c r="T482" s="271"/>
      <c r="U482" s="272">
        <v>1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153</v>
      </c>
      <c r="B483" s="267" t="s">
        <v>258</v>
      </c>
      <c r="C483" s="267" t="s">
        <v>94</v>
      </c>
      <c r="D483" s="267" t="s">
        <v>92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83597</v>
      </c>
      <c r="L483" s="269">
        <v>84246</v>
      </c>
      <c r="M483" s="270">
        <v>1</v>
      </c>
      <c r="N483" s="268">
        <v>1</v>
      </c>
      <c r="O483" s="271"/>
      <c r="P483" s="271">
        <v>83597</v>
      </c>
      <c r="Q483" s="271"/>
      <c r="R483" s="271"/>
      <c r="S483" s="271">
        <v>-84246</v>
      </c>
      <c r="T483" s="271"/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153</v>
      </c>
      <c r="B484" s="267" t="s">
        <v>1116</v>
      </c>
      <c r="C484" s="267" t="s">
        <v>94</v>
      </c>
      <c r="D484" s="267" t="s">
        <v>92</v>
      </c>
      <c r="E484" s="267" t="s">
        <v>0</v>
      </c>
      <c r="F484" s="268"/>
      <c r="G484" s="269"/>
      <c r="H484" s="269"/>
      <c r="I484" s="270"/>
      <c r="J484" s="268">
        <v>1</v>
      </c>
      <c r="K484" s="269">
        <v>83018</v>
      </c>
      <c r="L484" s="269">
        <v>84841</v>
      </c>
      <c r="M484" s="270">
        <v>1</v>
      </c>
      <c r="N484" s="268">
        <v>1</v>
      </c>
      <c r="O484" s="271"/>
      <c r="P484" s="271">
        <v>83018</v>
      </c>
      <c r="Q484" s="271"/>
      <c r="R484" s="271"/>
      <c r="S484" s="271">
        <v>-84841</v>
      </c>
      <c r="T484" s="271"/>
      <c r="U484" s="272">
        <v>1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153</v>
      </c>
      <c r="B485" s="267" t="s">
        <v>259</v>
      </c>
      <c r="C485" s="267" t="s">
        <v>94</v>
      </c>
      <c r="D485" s="267" t="s">
        <v>92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83567</v>
      </c>
      <c r="L485" s="269">
        <v>84332</v>
      </c>
      <c r="M485" s="270">
        <v>1</v>
      </c>
      <c r="N485" s="268">
        <v>1</v>
      </c>
      <c r="O485" s="271"/>
      <c r="P485" s="271">
        <v>83567</v>
      </c>
      <c r="Q485" s="271"/>
      <c r="R485" s="271"/>
      <c r="S485" s="271">
        <v>-84332</v>
      </c>
      <c r="T485" s="271"/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153</v>
      </c>
      <c r="B486" s="267" t="s">
        <v>1117</v>
      </c>
      <c r="C486" s="267" t="s">
        <v>94</v>
      </c>
      <c r="D486" s="267" t="s">
        <v>92</v>
      </c>
      <c r="E486" s="267" t="s">
        <v>0</v>
      </c>
      <c r="F486" s="268"/>
      <c r="G486" s="269"/>
      <c r="H486" s="269"/>
      <c r="I486" s="270"/>
      <c r="J486" s="268">
        <v>1</v>
      </c>
      <c r="K486" s="269">
        <v>83141</v>
      </c>
      <c r="L486" s="269">
        <v>84777</v>
      </c>
      <c r="M486" s="270">
        <v>1</v>
      </c>
      <c r="N486" s="268">
        <v>1</v>
      </c>
      <c r="O486" s="271"/>
      <c r="P486" s="271">
        <v>83141</v>
      </c>
      <c r="Q486" s="271"/>
      <c r="R486" s="271"/>
      <c r="S486" s="271">
        <v>-84777</v>
      </c>
      <c r="T486" s="271"/>
      <c r="U486" s="272">
        <v>1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153</v>
      </c>
      <c r="B487" s="267" t="s">
        <v>1118</v>
      </c>
      <c r="C487" s="267" t="s">
        <v>94</v>
      </c>
      <c r="D487" s="267" t="s">
        <v>92</v>
      </c>
      <c r="E487" s="267" t="s">
        <v>0</v>
      </c>
      <c r="F487" s="268"/>
      <c r="G487" s="269"/>
      <c r="H487" s="269"/>
      <c r="I487" s="270"/>
      <c r="J487" s="268">
        <v>1</v>
      </c>
      <c r="K487" s="269">
        <v>83182</v>
      </c>
      <c r="L487" s="269">
        <v>84881</v>
      </c>
      <c r="M487" s="270">
        <v>1</v>
      </c>
      <c r="N487" s="268">
        <v>1</v>
      </c>
      <c r="O487" s="271"/>
      <c r="P487" s="271">
        <v>83182</v>
      </c>
      <c r="Q487" s="271"/>
      <c r="R487" s="271"/>
      <c r="S487" s="271">
        <v>-84881</v>
      </c>
      <c r="T487" s="271"/>
      <c r="U487" s="272">
        <v>1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153</v>
      </c>
      <c r="B488" s="267" t="s">
        <v>1119</v>
      </c>
      <c r="C488" s="267" t="s">
        <v>94</v>
      </c>
      <c r="D488" s="267" t="s">
        <v>92</v>
      </c>
      <c r="E488" s="267" t="s">
        <v>0</v>
      </c>
      <c r="F488" s="268"/>
      <c r="G488" s="269"/>
      <c r="H488" s="269"/>
      <c r="I488" s="270"/>
      <c r="J488" s="268">
        <v>1</v>
      </c>
      <c r="K488" s="269">
        <v>83296</v>
      </c>
      <c r="L488" s="269">
        <v>84692</v>
      </c>
      <c r="M488" s="270">
        <v>1</v>
      </c>
      <c r="N488" s="268">
        <v>1</v>
      </c>
      <c r="O488" s="271"/>
      <c r="P488" s="271">
        <v>83296</v>
      </c>
      <c r="Q488" s="271"/>
      <c r="R488" s="271"/>
      <c r="S488" s="271">
        <v>-84692</v>
      </c>
      <c r="T488" s="271"/>
      <c r="U488" s="272">
        <v>1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153</v>
      </c>
      <c r="B489" s="267" t="s">
        <v>260</v>
      </c>
      <c r="C489" s="267" t="s">
        <v>94</v>
      </c>
      <c r="D489" s="267" t="s">
        <v>92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83397</v>
      </c>
      <c r="L489" s="269">
        <v>84432</v>
      </c>
      <c r="M489" s="270">
        <v>1</v>
      </c>
      <c r="N489" s="268">
        <v>1</v>
      </c>
      <c r="O489" s="271"/>
      <c r="P489" s="271">
        <v>83397</v>
      </c>
      <c r="Q489" s="271"/>
      <c r="R489" s="271"/>
      <c r="S489" s="271">
        <v>-84432</v>
      </c>
      <c r="T489" s="271"/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153</v>
      </c>
      <c r="B490" s="267" t="s">
        <v>1120</v>
      </c>
      <c r="C490" s="267" t="s">
        <v>94</v>
      </c>
      <c r="D490" s="267" t="s">
        <v>92</v>
      </c>
      <c r="E490" s="267" t="s">
        <v>0</v>
      </c>
      <c r="F490" s="268"/>
      <c r="G490" s="269"/>
      <c r="H490" s="269"/>
      <c r="I490" s="270"/>
      <c r="J490" s="268">
        <v>1</v>
      </c>
      <c r="K490" s="269">
        <v>83197</v>
      </c>
      <c r="L490" s="269">
        <v>84812</v>
      </c>
      <c r="M490" s="270">
        <v>1</v>
      </c>
      <c r="N490" s="268">
        <v>1</v>
      </c>
      <c r="O490" s="271"/>
      <c r="P490" s="271">
        <v>83197</v>
      </c>
      <c r="Q490" s="271"/>
      <c r="R490" s="271"/>
      <c r="S490" s="271">
        <v>-84812</v>
      </c>
      <c r="T490" s="271"/>
      <c r="U490" s="272">
        <v>1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153</v>
      </c>
      <c r="B491" s="267" t="s">
        <v>261</v>
      </c>
      <c r="C491" s="267" t="s">
        <v>94</v>
      </c>
      <c r="D491" s="267" t="s">
        <v>92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83499</v>
      </c>
      <c r="L491" s="269">
        <v>84295</v>
      </c>
      <c r="M491" s="270">
        <v>1</v>
      </c>
      <c r="N491" s="268">
        <v>1</v>
      </c>
      <c r="O491" s="271"/>
      <c r="P491" s="271">
        <v>83499</v>
      </c>
      <c r="Q491" s="271"/>
      <c r="R491" s="271"/>
      <c r="S491" s="271">
        <v>-84295</v>
      </c>
      <c r="T491" s="271"/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153</v>
      </c>
      <c r="B492" s="267" t="s">
        <v>1121</v>
      </c>
      <c r="C492" s="267" t="s">
        <v>94</v>
      </c>
      <c r="D492" s="267" t="s">
        <v>92</v>
      </c>
      <c r="E492" s="267" t="s">
        <v>0</v>
      </c>
      <c r="F492" s="268"/>
      <c r="G492" s="269"/>
      <c r="H492" s="269"/>
      <c r="I492" s="270"/>
      <c r="J492" s="268">
        <v>1</v>
      </c>
      <c r="K492" s="269">
        <v>83190</v>
      </c>
      <c r="L492" s="269">
        <v>84674</v>
      </c>
      <c r="M492" s="270">
        <v>1</v>
      </c>
      <c r="N492" s="268">
        <v>1</v>
      </c>
      <c r="O492" s="271"/>
      <c r="P492" s="271">
        <v>83190</v>
      </c>
      <c r="Q492" s="271"/>
      <c r="R492" s="271"/>
      <c r="S492" s="271">
        <v>-84674</v>
      </c>
      <c r="T492" s="271"/>
      <c r="U492" s="272">
        <v>1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153</v>
      </c>
      <c r="B493" s="267" t="s">
        <v>1122</v>
      </c>
      <c r="C493" s="267" t="s">
        <v>94</v>
      </c>
      <c r="D493" s="267" t="s">
        <v>92</v>
      </c>
      <c r="E493" s="267" t="s">
        <v>0</v>
      </c>
      <c r="F493" s="268"/>
      <c r="G493" s="269"/>
      <c r="H493" s="269"/>
      <c r="I493" s="270"/>
      <c r="J493" s="268">
        <v>1</v>
      </c>
      <c r="K493" s="269">
        <v>82950</v>
      </c>
      <c r="L493" s="269">
        <v>84680</v>
      </c>
      <c r="M493" s="270">
        <v>1</v>
      </c>
      <c r="N493" s="268">
        <v>1</v>
      </c>
      <c r="O493" s="271"/>
      <c r="P493" s="271">
        <v>82950</v>
      </c>
      <c r="Q493" s="271"/>
      <c r="R493" s="271"/>
      <c r="S493" s="271">
        <v>-84680</v>
      </c>
      <c r="T493" s="271"/>
      <c r="U493" s="272">
        <v>1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153</v>
      </c>
      <c r="B494" s="267" t="s">
        <v>1123</v>
      </c>
      <c r="C494" s="267" t="s">
        <v>94</v>
      </c>
      <c r="D494" s="267" t="s">
        <v>92</v>
      </c>
      <c r="E494" s="267" t="s">
        <v>0</v>
      </c>
      <c r="F494" s="268"/>
      <c r="G494" s="269"/>
      <c r="H494" s="269"/>
      <c r="I494" s="270"/>
      <c r="J494" s="268">
        <v>1</v>
      </c>
      <c r="K494" s="269">
        <v>82966</v>
      </c>
      <c r="L494" s="269">
        <v>84804</v>
      </c>
      <c r="M494" s="270">
        <v>1</v>
      </c>
      <c r="N494" s="268">
        <v>1</v>
      </c>
      <c r="O494" s="271"/>
      <c r="P494" s="271">
        <v>82966</v>
      </c>
      <c r="Q494" s="271"/>
      <c r="R494" s="271"/>
      <c r="S494" s="271">
        <v>-84804</v>
      </c>
      <c r="T494" s="271"/>
      <c r="U494" s="272">
        <v>1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153</v>
      </c>
      <c r="B495" s="267" t="s">
        <v>262</v>
      </c>
      <c r="C495" s="267" t="s">
        <v>94</v>
      </c>
      <c r="D495" s="267" t="s">
        <v>92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83453</v>
      </c>
      <c r="L495" s="269">
        <v>84418</v>
      </c>
      <c r="M495" s="270">
        <v>1</v>
      </c>
      <c r="N495" s="268">
        <v>1</v>
      </c>
      <c r="O495" s="271"/>
      <c r="P495" s="271">
        <v>83453</v>
      </c>
      <c r="Q495" s="271"/>
      <c r="R495" s="271"/>
      <c r="S495" s="271">
        <v>-84418</v>
      </c>
      <c r="T495" s="271"/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153</v>
      </c>
      <c r="B496" s="267" t="s">
        <v>1124</v>
      </c>
      <c r="C496" s="267" t="s">
        <v>94</v>
      </c>
      <c r="D496" s="267" t="s">
        <v>92</v>
      </c>
      <c r="E496" s="267" t="s">
        <v>0</v>
      </c>
      <c r="F496" s="268"/>
      <c r="G496" s="269"/>
      <c r="H496" s="269"/>
      <c r="I496" s="270"/>
      <c r="J496" s="268">
        <v>1</v>
      </c>
      <c r="K496" s="269">
        <v>82910</v>
      </c>
      <c r="L496" s="269">
        <v>85125</v>
      </c>
      <c r="M496" s="270">
        <v>1</v>
      </c>
      <c r="N496" s="268">
        <v>1</v>
      </c>
      <c r="O496" s="271"/>
      <c r="P496" s="271">
        <v>82910</v>
      </c>
      <c r="Q496" s="271"/>
      <c r="R496" s="271"/>
      <c r="S496" s="271">
        <v>-85125</v>
      </c>
      <c r="T496" s="271"/>
      <c r="U496" s="272">
        <v>1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153</v>
      </c>
      <c r="B497" s="267" t="s">
        <v>263</v>
      </c>
      <c r="C497" s="267" t="s">
        <v>94</v>
      </c>
      <c r="D497" s="267" t="s">
        <v>92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83625</v>
      </c>
      <c r="L497" s="269">
        <v>84235</v>
      </c>
      <c r="M497" s="270">
        <v>1</v>
      </c>
      <c r="N497" s="268">
        <v>1</v>
      </c>
      <c r="O497" s="271"/>
      <c r="P497" s="271">
        <v>83625</v>
      </c>
      <c r="Q497" s="271"/>
      <c r="R497" s="271"/>
      <c r="S497" s="271">
        <v>-84235</v>
      </c>
      <c r="T497" s="271"/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153</v>
      </c>
      <c r="B498" s="267" t="s">
        <v>1125</v>
      </c>
      <c r="C498" s="267" t="s">
        <v>94</v>
      </c>
      <c r="D498" s="267" t="s">
        <v>92</v>
      </c>
      <c r="E498" s="267" t="s">
        <v>0</v>
      </c>
      <c r="F498" s="268"/>
      <c r="G498" s="269"/>
      <c r="H498" s="269"/>
      <c r="I498" s="270"/>
      <c r="J498" s="268">
        <v>1</v>
      </c>
      <c r="K498" s="269">
        <v>82800</v>
      </c>
      <c r="L498" s="269">
        <v>85071</v>
      </c>
      <c r="M498" s="270">
        <v>1</v>
      </c>
      <c r="N498" s="268">
        <v>1</v>
      </c>
      <c r="O498" s="271"/>
      <c r="P498" s="271">
        <v>82800</v>
      </c>
      <c r="Q498" s="271"/>
      <c r="R498" s="271"/>
      <c r="S498" s="271">
        <v>-85071</v>
      </c>
      <c r="T498" s="271"/>
      <c r="U498" s="272">
        <v>1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153</v>
      </c>
      <c r="B499" s="267" t="s">
        <v>1126</v>
      </c>
      <c r="C499" s="267" t="s">
        <v>94</v>
      </c>
      <c r="D499" s="267" t="s">
        <v>92</v>
      </c>
      <c r="E499" s="267" t="s">
        <v>0</v>
      </c>
      <c r="F499" s="268"/>
      <c r="G499" s="269"/>
      <c r="H499" s="269"/>
      <c r="I499" s="270"/>
      <c r="J499" s="268">
        <v>1</v>
      </c>
      <c r="K499" s="269">
        <v>83179</v>
      </c>
      <c r="L499" s="269">
        <v>84536</v>
      </c>
      <c r="M499" s="270">
        <v>1</v>
      </c>
      <c r="N499" s="268">
        <v>1</v>
      </c>
      <c r="O499" s="271"/>
      <c r="P499" s="271">
        <v>83179</v>
      </c>
      <c r="Q499" s="271"/>
      <c r="R499" s="271"/>
      <c r="S499" s="271">
        <v>-84536</v>
      </c>
      <c r="T499" s="271"/>
      <c r="U499" s="272">
        <v>1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153</v>
      </c>
      <c r="B500" s="267" t="s">
        <v>1127</v>
      </c>
      <c r="C500" s="267" t="s">
        <v>94</v>
      </c>
      <c r="D500" s="267" t="s">
        <v>92</v>
      </c>
      <c r="E500" s="267" t="s">
        <v>0</v>
      </c>
      <c r="F500" s="268"/>
      <c r="G500" s="269"/>
      <c r="H500" s="269"/>
      <c r="I500" s="270"/>
      <c r="J500" s="268">
        <v>1</v>
      </c>
      <c r="K500" s="269">
        <v>83081</v>
      </c>
      <c r="L500" s="269">
        <v>84849</v>
      </c>
      <c r="M500" s="270">
        <v>1</v>
      </c>
      <c r="N500" s="268">
        <v>1</v>
      </c>
      <c r="O500" s="271"/>
      <c r="P500" s="271">
        <v>83081</v>
      </c>
      <c r="Q500" s="271"/>
      <c r="R500" s="271"/>
      <c r="S500" s="271">
        <v>-84849</v>
      </c>
      <c r="T500" s="271"/>
      <c r="U500" s="272">
        <v>1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153</v>
      </c>
      <c r="B501" s="267" t="s">
        <v>1128</v>
      </c>
      <c r="C501" s="267" t="s">
        <v>94</v>
      </c>
      <c r="D501" s="267" t="s">
        <v>92</v>
      </c>
      <c r="E501" s="267" t="s">
        <v>0</v>
      </c>
      <c r="F501" s="268"/>
      <c r="G501" s="269"/>
      <c r="H501" s="269"/>
      <c r="I501" s="270"/>
      <c r="J501" s="268">
        <v>1</v>
      </c>
      <c r="K501" s="269">
        <v>83073</v>
      </c>
      <c r="L501" s="269">
        <v>84618</v>
      </c>
      <c r="M501" s="270">
        <v>1</v>
      </c>
      <c r="N501" s="268">
        <v>1</v>
      </c>
      <c r="O501" s="271"/>
      <c r="P501" s="271">
        <v>83073</v>
      </c>
      <c r="Q501" s="271"/>
      <c r="R501" s="271"/>
      <c r="S501" s="271">
        <v>-84618</v>
      </c>
      <c r="T501" s="271"/>
      <c r="U501" s="272">
        <v>1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153</v>
      </c>
      <c r="B502" s="267" t="s">
        <v>1129</v>
      </c>
      <c r="C502" s="267" t="s">
        <v>94</v>
      </c>
      <c r="D502" s="267" t="s">
        <v>92</v>
      </c>
      <c r="E502" s="267" t="s">
        <v>0</v>
      </c>
      <c r="F502" s="268"/>
      <c r="G502" s="269"/>
      <c r="H502" s="269"/>
      <c r="I502" s="270"/>
      <c r="J502" s="268">
        <v>1</v>
      </c>
      <c r="K502" s="269">
        <v>82730</v>
      </c>
      <c r="L502" s="269">
        <v>84945</v>
      </c>
      <c r="M502" s="270">
        <v>1</v>
      </c>
      <c r="N502" s="268">
        <v>1</v>
      </c>
      <c r="O502" s="271"/>
      <c r="P502" s="271">
        <v>82730</v>
      </c>
      <c r="Q502" s="271"/>
      <c r="R502" s="271"/>
      <c r="S502" s="271">
        <v>-84945</v>
      </c>
      <c r="T502" s="271"/>
      <c r="U502" s="272">
        <v>1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153</v>
      </c>
      <c r="B503" s="267" t="s">
        <v>1130</v>
      </c>
      <c r="C503" s="267" t="s">
        <v>94</v>
      </c>
      <c r="D503" s="267" t="s">
        <v>92</v>
      </c>
      <c r="E503" s="267" t="s">
        <v>0</v>
      </c>
      <c r="F503" s="268"/>
      <c r="G503" s="269"/>
      <c r="H503" s="269"/>
      <c r="I503" s="270"/>
      <c r="J503" s="268">
        <v>1</v>
      </c>
      <c r="K503" s="269">
        <v>83030</v>
      </c>
      <c r="L503" s="269">
        <v>84814</v>
      </c>
      <c r="M503" s="270">
        <v>1</v>
      </c>
      <c r="N503" s="268">
        <v>1</v>
      </c>
      <c r="O503" s="271"/>
      <c r="P503" s="271">
        <v>83030</v>
      </c>
      <c r="Q503" s="271"/>
      <c r="R503" s="271"/>
      <c r="S503" s="271">
        <v>-84814</v>
      </c>
      <c r="T503" s="271"/>
      <c r="U503" s="272">
        <v>1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153</v>
      </c>
      <c r="B504" s="267" t="s">
        <v>1131</v>
      </c>
      <c r="C504" s="267" t="s">
        <v>94</v>
      </c>
      <c r="D504" s="267" t="s">
        <v>92</v>
      </c>
      <c r="E504" s="267" t="s">
        <v>0</v>
      </c>
      <c r="F504" s="268"/>
      <c r="G504" s="269"/>
      <c r="H504" s="269"/>
      <c r="I504" s="270"/>
      <c r="J504" s="268">
        <v>1</v>
      </c>
      <c r="K504" s="269">
        <v>82784</v>
      </c>
      <c r="L504" s="269">
        <v>85055</v>
      </c>
      <c r="M504" s="270">
        <v>1</v>
      </c>
      <c r="N504" s="268">
        <v>1</v>
      </c>
      <c r="O504" s="271"/>
      <c r="P504" s="271">
        <v>82784</v>
      </c>
      <c r="Q504" s="271"/>
      <c r="R504" s="271"/>
      <c r="S504" s="271">
        <v>-85055</v>
      </c>
      <c r="T504" s="271"/>
      <c r="U504" s="272">
        <v>1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153</v>
      </c>
      <c r="B505" s="267" t="s">
        <v>1132</v>
      </c>
      <c r="C505" s="267" t="s">
        <v>94</v>
      </c>
      <c r="D505" s="267" t="s">
        <v>92</v>
      </c>
      <c r="E505" s="267" t="s">
        <v>0</v>
      </c>
      <c r="F505" s="268"/>
      <c r="G505" s="269"/>
      <c r="H505" s="269"/>
      <c r="I505" s="270"/>
      <c r="J505" s="268">
        <v>1</v>
      </c>
      <c r="K505" s="269">
        <v>83094</v>
      </c>
      <c r="L505" s="269">
        <v>84691</v>
      </c>
      <c r="M505" s="270">
        <v>1</v>
      </c>
      <c r="N505" s="268">
        <v>1</v>
      </c>
      <c r="O505" s="271"/>
      <c r="P505" s="271">
        <v>83094</v>
      </c>
      <c r="Q505" s="271"/>
      <c r="R505" s="271"/>
      <c r="S505" s="271">
        <v>-84691</v>
      </c>
      <c r="T505" s="271"/>
      <c r="U505" s="272">
        <v>1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153</v>
      </c>
      <c r="B506" s="267" t="s">
        <v>1133</v>
      </c>
      <c r="C506" s="267" t="s">
        <v>94</v>
      </c>
      <c r="D506" s="267" t="s">
        <v>92</v>
      </c>
      <c r="E506" s="267" t="s">
        <v>0</v>
      </c>
      <c r="F506" s="268"/>
      <c r="G506" s="269"/>
      <c r="H506" s="269"/>
      <c r="I506" s="270"/>
      <c r="J506" s="268">
        <v>1</v>
      </c>
      <c r="K506" s="269">
        <v>83211</v>
      </c>
      <c r="L506" s="269">
        <v>84625</v>
      </c>
      <c r="M506" s="270">
        <v>1</v>
      </c>
      <c r="N506" s="268">
        <v>1</v>
      </c>
      <c r="O506" s="271"/>
      <c r="P506" s="271">
        <v>83211</v>
      </c>
      <c r="Q506" s="271"/>
      <c r="R506" s="271"/>
      <c r="S506" s="271">
        <v>-84625</v>
      </c>
      <c r="T506" s="271"/>
      <c r="U506" s="272">
        <v>1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153</v>
      </c>
      <c r="B507" s="267" t="s">
        <v>264</v>
      </c>
      <c r="C507" s="267" t="s">
        <v>94</v>
      </c>
      <c r="D507" s="267" t="s">
        <v>92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83483</v>
      </c>
      <c r="L507" s="269">
        <v>84318</v>
      </c>
      <c r="M507" s="270">
        <v>1</v>
      </c>
      <c r="N507" s="268">
        <v>1</v>
      </c>
      <c r="O507" s="271"/>
      <c r="P507" s="271">
        <v>83483</v>
      </c>
      <c r="Q507" s="271"/>
      <c r="R507" s="271"/>
      <c r="S507" s="271">
        <v>-84318</v>
      </c>
      <c r="T507" s="271"/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153</v>
      </c>
      <c r="B508" s="267" t="s">
        <v>1134</v>
      </c>
      <c r="C508" s="267" t="s">
        <v>94</v>
      </c>
      <c r="D508" s="267" t="s">
        <v>92</v>
      </c>
      <c r="E508" s="267" t="s">
        <v>0</v>
      </c>
      <c r="F508" s="268"/>
      <c r="G508" s="269"/>
      <c r="H508" s="269"/>
      <c r="I508" s="270"/>
      <c r="J508" s="268">
        <v>1</v>
      </c>
      <c r="K508" s="269">
        <v>82904</v>
      </c>
      <c r="L508" s="269">
        <v>84913</v>
      </c>
      <c r="M508" s="270">
        <v>1</v>
      </c>
      <c r="N508" s="268">
        <v>1</v>
      </c>
      <c r="O508" s="271"/>
      <c r="P508" s="271">
        <v>82904</v>
      </c>
      <c r="Q508" s="271"/>
      <c r="R508" s="271"/>
      <c r="S508" s="271">
        <v>-84913</v>
      </c>
      <c r="T508" s="271"/>
      <c r="U508" s="272">
        <v>1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153</v>
      </c>
      <c r="B509" s="267" t="s">
        <v>265</v>
      </c>
      <c r="C509" s="267" t="s">
        <v>94</v>
      </c>
      <c r="D509" s="267" t="s">
        <v>92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83559</v>
      </c>
      <c r="L509" s="269">
        <v>84324</v>
      </c>
      <c r="M509" s="270">
        <v>1</v>
      </c>
      <c r="N509" s="268">
        <v>1</v>
      </c>
      <c r="O509" s="271"/>
      <c r="P509" s="271">
        <v>83559</v>
      </c>
      <c r="Q509" s="271"/>
      <c r="R509" s="271"/>
      <c r="S509" s="271">
        <v>-84324</v>
      </c>
      <c r="T509" s="271"/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153</v>
      </c>
      <c r="B510" s="267" t="s">
        <v>1135</v>
      </c>
      <c r="C510" s="267" t="s">
        <v>94</v>
      </c>
      <c r="D510" s="267" t="s">
        <v>92</v>
      </c>
      <c r="E510" s="267" t="s">
        <v>0</v>
      </c>
      <c r="F510" s="268"/>
      <c r="G510" s="269"/>
      <c r="H510" s="269"/>
      <c r="I510" s="270"/>
      <c r="J510" s="268">
        <v>1</v>
      </c>
      <c r="K510" s="269">
        <v>83133</v>
      </c>
      <c r="L510" s="269">
        <v>84769</v>
      </c>
      <c r="M510" s="270">
        <v>1</v>
      </c>
      <c r="N510" s="268">
        <v>1</v>
      </c>
      <c r="O510" s="271"/>
      <c r="P510" s="271">
        <v>83133</v>
      </c>
      <c r="Q510" s="271"/>
      <c r="R510" s="271"/>
      <c r="S510" s="271">
        <v>-84769</v>
      </c>
      <c r="T510" s="271"/>
      <c r="U510" s="272">
        <v>1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153</v>
      </c>
      <c r="B511" s="267" t="s">
        <v>1136</v>
      </c>
      <c r="C511" s="267" t="s">
        <v>94</v>
      </c>
      <c r="D511" s="267" t="s">
        <v>92</v>
      </c>
      <c r="E511" s="267" t="s">
        <v>0</v>
      </c>
      <c r="F511" s="268"/>
      <c r="G511" s="269"/>
      <c r="H511" s="269"/>
      <c r="I511" s="270"/>
      <c r="J511" s="268">
        <v>1</v>
      </c>
      <c r="K511" s="269">
        <v>82964</v>
      </c>
      <c r="L511" s="269">
        <v>84903</v>
      </c>
      <c r="M511" s="270">
        <v>1</v>
      </c>
      <c r="N511" s="268">
        <v>1</v>
      </c>
      <c r="O511" s="271"/>
      <c r="P511" s="271">
        <v>82964</v>
      </c>
      <c r="Q511" s="271"/>
      <c r="R511" s="271"/>
      <c r="S511" s="271">
        <v>-84903</v>
      </c>
      <c r="T511" s="271"/>
      <c r="U511" s="272">
        <v>1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153</v>
      </c>
      <c r="B512" s="267" t="s">
        <v>1137</v>
      </c>
      <c r="C512" s="267" t="s">
        <v>94</v>
      </c>
      <c r="D512" s="267" t="s">
        <v>92</v>
      </c>
      <c r="E512" s="267" t="s">
        <v>0</v>
      </c>
      <c r="F512" s="268"/>
      <c r="G512" s="269"/>
      <c r="H512" s="269"/>
      <c r="I512" s="270"/>
      <c r="J512" s="268">
        <v>1</v>
      </c>
      <c r="K512" s="269">
        <v>83078</v>
      </c>
      <c r="L512" s="269">
        <v>84714</v>
      </c>
      <c r="M512" s="270">
        <v>1</v>
      </c>
      <c r="N512" s="268">
        <v>1</v>
      </c>
      <c r="O512" s="271"/>
      <c r="P512" s="271">
        <v>83078</v>
      </c>
      <c r="Q512" s="271"/>
      <c r="R512" s="271"/>
      <c r="S512" s="271">
        <v>-84714</v>
      </c>
      <c r="T512" s="271"/>
      <c r="U512" s="272">
        <v>1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153</v>
      </c>
      <c r="B513" s="267" t="s">
        <v>266</v>
      </c>
      <c r="C513" s="267" t="s">
        <v>94</v>
      </c>
      <c r="D513" s="267" t="s">
        <v>92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83423</v>
      </c>
      <c r="L513" s="269">
        <v>84458</v>
      </c>
      <c r="M513" s="270">
        <v>1</v>
      </c>
      <c r="N513" s="268">
        <v>1</v>
      </c>
      <c r="O513" s="271"/>
      <c r="P513" s="271">
        <v>83423</v>
      </c>
      <c r="Q513" s="271"/>
      <c r="R513" s="271"/>
      <c r="S513" s="271">
        <v>-84458</v>
      </c>
      <c r="T513" s="271"/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153</v>
      </c>
      <c r="B514" s="267" t="s">
        <v>1138</v>
      </c>
      <c r="C514" s="267" t="s">
        <v>94</v>
      </c>
      <c r="D514" s="267" t="s">
        <v>92</v>
      </c>
      <c r="E514" s="267" t="s">
        <v>0</v>
      </c>
      <c r="F514" s="268"/>
      <c r="G514" s="269"/>
      <c r="H514" s="269"/>
      <c r="I514" s="270"/>
      <c r="J514" s="268">
        <v>1</v>
      </c>
      <c r="K514" s="269">
        <v>83013</v>
      </c>
      <c r="L514" s="269">
        <v>84868</v>
      </c>
      <c r="M514" s="270">
        <v>1</v>
      </c>
      <c r="N514" s="268">
        <v>1</v>
      </c>
      <c r="O514" s="271"/>
      <c r="P514" s="271">
        <v>83013</v>
      </c>
      <c r="Q514" s="271"/>
      <c r="R514" s="271"/>
      <c r="S514" s="271">
        <v>-84868</v>
      </c>
      <c r="T514" s="271"/>
      <c r="U514" s="272">
        <v>1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153</v>
      </c>
      <c r="B515" s="267" t="s">
        <v>267</v>
      </c>
      <c r="C515" s="267" t="s">
        <v>94</v>
      </c>
      <c r="D515" s="267" t="s">
        <v>92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83583</v>
      </c>
      <c r="L515" s="269">
        <v>84245</v>
      </c>
      <c r="M515" s="270">
        <v>1</v>
      </c>
      <c r="N515" s="268">
        <v>1</v>
      </c>
      <c r="O515" s="271"/>
      <c r="P515" s="271">
        <v>83583</v>
      </c>
      <c r="Q515" s="271"/>
      <c r="R515" s="271"/>
      <c r="S515" s="271">
        <v>-84245</v>
      </c>
      <c r="T515" s="271"/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153</v>
      </c>
      <c r="B516" s="267" t="s">
        <v>1139</v>
      </c>
      <c r="C516" s="267" t="s">
        <v>94</v>
      </c>
      <c r="D516" s="267" t="s">
        <v>92</v>
      </c>
      <c r="E516" s="267" t="s">
        <v>0</v>
      </c>
      <c r="F516" s="268"/>
      <c r="G516" s="269"/>
      <c r="H516" s="269"/>
      <c r="I516" s="270"/>
      <c r="J516" s="268">
        <v>1</v>
      </c>
      <c r="K516" s="269">
        <v>83226</v>
      </c>
      <c r="L516" s="269">
        <v>84664</v>
      </c>
      <c r="M516" s="270">
        <v>1</v>
      </c>
      <c r="N516" s="268">
        <v>1</v>
      </c>
      <c r="O516" s="271"/>
      <c r="P516" s="271">
        <v>83226</v>
      </c>
      <c r="Q516" s="271"/>
      <c r="R516" s="271"/>
      <c r="S516" s="271">
        <v>-84664</v>
      </c>
      <c r="T516" s="271"/>
      <c r="U516" s="272">
        <v>1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153</v>
      </c>
      <c r="B517" s="267" t="s">
        <v>1140</v>
      </c>
      <c r="C517" s="267" t="s">
        <v>94</v>
      </c>
      <c r="D517" s="267" t="s">
        <v>92</v>
      </c>
      <c r="E517" s="267" t="s">
        <v>0</v>
      </c>
      <c r="F517" s="268"/>
      <c r="G517" s="269"/>
      <c r="H517" s="269"/>
      <c r="I517" s="270"/>
      <c r="J517" s="268">
        <v>1</v>
      </c>
      <c r="K517" s="269">
        <v>83004</v>
      </c>
      <c r="L517" s="269">
        <v>84840</v>
      </c>
      <c r="M517" s="270">
        <v>1</v>
      </c>
      <c r="N517" s="268">
        <v>1</v>
      </c>
      <c r="O517" s="271"/>
      <c r="P517" s="271">
        <v>83004</v>
      </c>
      <c r="Q517" s="271"/>
      <c r="R517" s="271"/>
      <c r="S517" s="271">
        <v>-84840</v>
      </c>
      <c r="T517" s="271"/>
      <c r="U517" s="272">
        <v>1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153</v>
      </c>
      <c r="B518" s="267" t="s">
        <v>1141</v>
      </c>
      <c r="C518" s="267" t="s">
        <v>94</v>
      </c>
      <c r="D518" s="267" t="s">
        <v>92</v>
      </c>
      <c r="E518" s="267" t="s">
        <v>0</v>
      </c>
      <c r="F518" s="268"/>
      <c r="G518" s="269"/>
      <c r="H518" s="269"/>
      <c r="I518" s="270"/>
      <c r="J518" s="268">
        <v>1</v>
      </c>
      <c r="K518" s="269">
        <v>83002</v>
      </c>
      <c r="L518" s="269">
        <v>84794</v>
      </c>
      <c r="M518" s="270">
        <v>1</v>
      </c>
      <c r="N518" s="268">
        <v>1</v>
      </c>
      <c r="O518" s="271"/>
      <c r="P518" s="271">
        <v>83002</v>
      </c>
      <c r="Q518" s="271"/>
      <c r="R518" s="271"/>
      <c r="S518" s="271">
        <v>-84794</v>
      </c>
      <c r="T518" s="271"/>
      <c r="U518" s="272">
        <v>1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153</v>
      </c>
      <c r="B519" s="267" t="s">
        <v>268</v>
      </c>
      <c r="C519" s="267" t="s">
        <v>94</v>
      </c>
      <c r="D519" s="267" t="s">
        <v>92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83347</v>
      </c>
      <c r="L519" s="269">
        <v>84498</v>
      </c>
      <c r="M519" s="270">
        <v>1</v>
      </c>
      <c r="N519" s="268">
        <v>1</v>
      </c>
      <c r="O519" s="271"/>
      <c r="P519" s="271">
        <v>83347</v>
      </c>
      <c r="Q519" s="271"/>
      <c r="R519" s="271"/>
      <c r="S519" s="271">
        <v>-84498</v>
      </c>
      <c r="T519" s="271"/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153</v>
      </c>
      <c r="B520" s="267" t="s">
        <v>1142</v>
      </c>
      <c r="C520" s="267" t="s">
        <v>94</v>
      </c>
      <c r="D520" s="267" t="s">
        <v>92</v>
      </c>
      <c r="E520" s="267" t="s">
        <v>0</v>
      </c>
      <c r="F520" s="268"/>
      <c r="G520" s="269"/>
      <c r="H520" s="269"/>
      <c r="I520" s="270"/>
      <c r="J520" s="268">
        <v>1</v>
      </c>
      <c r="K520" s="269">
        <v>82700</v>
      </c>
      <c r="L520" s="269">
        <v>85155</v>
      </c>
      <c r="M520" s="270">
        <v>1</v>
      </c>
      <c r="N520" s="268">
        <v>1</v>
      </c>
      <c r="O520" s="271"/>
      <c r="P520" s="271">
        <v>82700</v>
      </c>
      <c r="Q520" s="271"/>
      <c r="R520" s="271"/>
      <c r="S520" s="271">
        <v>-85155</v>
      </c>
      <c r="T520" s="271"/>
      <c r="U520" s="272">
        <v>1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153</v>
      </c>
      <c r="B521" s="267" t="s">
        <v>269</v>
      </c>
      <c r="C521" s="267" t="s">
        <v>94</v>
      </c>
      <c r="D521" s="267" t="s">
        <v>92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83523</v>
      </c>
      <c r="L521" s="269">
        <v>84371</v>
      </c>
      <c r="M521" s="270">
        <v>1</v>
      </c>
      <c r="N521" s="268">
        <v>1</v>
      </c>
      <c r="O521" s="271"/>
      <c r="P521" s="271">
        <v>83523</v>
      </c>
      <c r="Q521" s="271"/>
      <c r="R521" s="271"/>
      <c r="S521" s="271">
        <v>-84371</v>
      </c>
      <c r="T521" s="271"/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153</v>
      </c>
      <c r="B522" s="267" t="s">
        <v>1143</v>
      </c>
      <c r="C522" s="267" t="s">
        <v>94</v>
      </c>
      <c r="D522" s="267" t="s">
        <v>92</v>
      </c>
      <c r="E522" s="267" t="s">
        <v>0</v>
      </c>
      <c r="F522" s="268"/>
      <c r="G522" s="269"/>
      <c r="H522" s="269"/>
      <c r="I522" s="270"/>
      <c r="J522" s="268">
        <v>1</v>
      </c>
      <c r="K522" s="269">
        <v>82730</v>
      </c>
      <c r="L522" s="269">
        <v>85141</v>
      </c>
      <c r="M522" s="270">
        <v>1</v>
      </c>
      <c r="N522" s="268">
        <v>1</v>
      </c>
      <c r="O522" s="271"/>
      <c r="P522" s="271">
        <v>82730</v>
      </c>
      <c r="Q522" s="271"/>
      <c r="R522" s="271"/>
      <c r="S522" s="271">
        <v>-85141</v>
      </c>
      <c r="T522" s="271"/>
      <c r="U522" s="272">
        <v>1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153</v>
      </c>
      <c r="B523" s="267" t="s">
        <v>1144</v>
      </c>
      <c r="C523" s="267" t="s">
        <v>94</v>
      </c>
      <c r="D523" s="267" t="s">
        <v>92</v>
      </c>
      <c r="E523" s="267" t="s">
        <v>0</v>
      </c>
      <c r="F523" s="268"/>
      <c r="G523" s="269"/>
      <c r="H523" s="269"/>
      <c r="I523" s="270"/>
      <c r="J523" s="268">
        <v>1</v>
      </c>
      <c r="K523" s="269">
        <v>83127</v>
      </c>
      <c r="L523" s="269">
        <v>84776</v>
      </c>
      <c r="M523" s="270">
        <v>1</v>
      </c>
      <c r="N523" s="268">
        <v>1</v>
      </c>
      <c r="O523" s="271"/>
      <c r="P523" s="271">
        <v>83127</v>
      </c>
      <c r="Q523" s="271"/>
      <c r="R523" s="271"/>
      <c r="S523" s="271">
        <v>-84776</v>
      </c>
      <c r="T523" s="271"/>
      <c r="U523" s="272">
        <v>1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153</v>
      </c>
      <c r="B524" s="267" t="s">
        <v>1145</v>
      </c>
      <c r="C524" s="267" t="s">
        <v>94</v>
      </c>
      <c r="D524" s="267" t="s">
        <v>92</v>
      </c>
      <c r="E524" s="267" t="s">
        <v>0</v>
      </c>
      <c r="F524" s="268"/>
      <c r="G524" s="269"/>
      <c r="H524" s="269"/>
      <c r="I524" s="270"/>
      <c r="J524" s="268">
        <v>1</v>
      </c>
      <c r="K524" s="269">
        <v>83011</v>
      </c>
      <c r="L524" s="269">
        <v>84919</v>
      </c>
      <c r="M524" s="270">
        <v>1</v>
      </c>
      <c r="N524" s="268">
        <v>1</v>
      </c>
      <c r="O524" s="271"/>
      <c r="P524" s="271">
        <v>83011</v>
      </c>
      <c r="Q524" s="271"/>
      <c r="R524" s="271"/>
      <c r="S524" s="271">
        <v>-84919</v>
      </c>
      <c r="T524" s="271"/>
      <c r="U524" s="272">
        <v>1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153</v>
      </c>
      <c r="B525" s="267" t="s">
        <v>1146</v>
      </c>
      <c r="C525" s="267" t="s">
        <v>94</v>
      </c>
      <c r="D525" s="267" t="s">
        <v>92</v>
      </c>
      <c r="E525" s="267" t="s">
        <v>0</v>
      </c>
      <c r="F525" s="268"/>
      <c r="G525" s="269"/>
      <c r="H525" s="269"/>
      <c r="I525" s="270"/>
      <c r="J525" s="268">
        <v>1</v>
      </c>
      <c r="K525" s="269">
        <v>83147</v>
      </c>
      <c r="L525" s="269">
        <v>84878</v>
      </c>
      <c r="M525" s="270">
        <v>1</v>
      </c>
      <c r="N525" s="268">
        <v>1</v>
      </c>
      <c r="O525" s="271"/>
      <c r="P525" s="271">
        <v>83147</v>
      </c>
      <c r="Q525" s="271"/>
      <c r="R525" s="271"/>
      <c r="S525" s="271">
        <v>-84878</v>
      </c>
      <c r="T525" s="271"/>
      <c r="U525" s="272">
        <v>1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153</v>
      </c>
      <c r="B526" s="267" t="s">
        <v>1147</v>
      </c>
      <c r="C526" s="267" t="s">
        <v>94</v>
      </c>
      <c r="D526" s="267" t="s">
        <v>92</v>
      </c>
      <c r="E526" s="267" t="s">
        <v>0</v>
      </c>
      <c r="F526" s="268"/>
      <c r="G526" s="269"/>
      <c r="H526" s="269"/>
      <c r="I526" s="270"/>
      <c r="J526" s="268">
        <v>1</v>
      </c>
      <c r="K526" s="269">
        <v>82910</v>
      </c>
      <c r="L526" s="269">
        <v>85125</v>
      </c>
      <c r="M526" s="270">
        <v>1</v>
      </c>
      <c r="N526" s="268">
        <v>1</v>
      </c>
      <c r="O526" s="271"/>
      <c r="P526" s="271">
        <v>82910</v>
      </c>
      <c r="Q526" s="271"/>
      <c r="R526" s="271"/>
      <c r="S526" s="271">
        <v>-85125</v>
      </c>
      <c r="T526" s="271"/>
      <c r="U526" s="272">
        <v>1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153</v>
      </c>
      <c r="B527" s="267" t="s">
        <v>1148</v>
      </c>
      <c r="C527" s="267" t="s">
        <v>94</v>
      </c>
      <c r="D527" s="267" t="s">
        <v>92</v>
      </c>
      <c r="E527" s="267" t="s">
        <v>0</v>
      </c>
      <c r="F527" s="268"/>
      <c r="G527" s="269"/>
      <c r="H527" s="269"/>
      <c r="I527" s="270"/>
      <c r="J527" s="268">
        <v>1</v>
      </c>
      <c r="K527" s="269">
        <v>83138</v>
      </c>
      <c r="L527" s="269">
        <v>84920</v>
      </c>
      <c r="M527" s="270">
        <v>1</v>
      </c>
      <c r="N527" s="268">
        <v>1</v>
      </c>
      <c r="O527" s="271"/>
      <c r="P527" s="271">
        <v>83138</v>
      </c>
      <c r="Q527" s="271"/>
      <c r="R527" s="271"/>
      <c r="S527" s="271">
        <v>-84920</v>
      </c>
      <c r="T527" s="271"/>
      <c r="U527" s="272">
        <v>1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153</v>
      </c>
      <c r="B528" s="267" t="s">
        <v>1149</v>
      </c>
      <c r="C528" s="267" t="s">
        <v>94</v>
      </c>
      <c r="D528" s="267" t="s">
        <v>92</v>
      </c>
      <c r="E528" s="267" t="s">
        <v>0</v>
      </c>
      <c r="F528" s="268"/>
      <c r="G528" s="269"/>
      <c r="H528" s="269"/>
      <c r="I528" s="270"/>
      <c r="J528" s="268">
        <v>1</v>
      </c>
      <c r="K528" s="269">
        <v>82924</v>
      </c>
      <c r="L528" s="269">
        <v>85095</v>
      </c>
      <c r="M528" s="270">
        <v>1</v>
      </c>
      <c r="N528" s="268">
        <v>1</v>
      </c>
      <c r="O528" s="271"/>
      <c r="P528" s="271">
        <v>82924</v>
      </c>
      <c r="Q528" s="271"/>
      <c r="R528" s="271"/>
      <c r="S528" s="271">
        <v>-85095</v>
      </c>
      <c r="T528" s="271"/>
      <c r="U528" s="272">
        <v>1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153</v>
      </c>
      <c r="B529" s="267" t="s">
        <v>1150</v>
      </c>
      <c r="C529" s="267" t="s">
        <v>94</v>
      </c>
      <c r="D529" s="267" t="s">
        <v>92</v>
      </c>
      <c r="E529" s="267" t="s">
        <v>0</v>
      </c>
      <c r="F529" s="268"/>
      <c r="G529" s="269"/>
      <c r="H529" s="269"/>
      <c r="I529" s="270"/>
      <c r="J529" s="268">
        <v>1</v>
      </c>
      <c r="K529" s="269">
        <v>83282</v>
      </c>
      <c r="L529" s="269">
        <v>84691</v>
      </c>
      <c r="M529" s="270">
        <v>1</v>
      </c>
      <c r="N529" s="268">
        <v>1</v>
      </c>
      <c r="O529" s="271"/>
      <c r="P529" s="271">
        <v>83282</v>
      </c>
      <c r="Q529" s="271"/>
      <c r="R529" s="271"/>
      <c r="S529" s="271">
        <v>-84691</v>
      </c>
      <c r="T529" s="271"/>
      <c r="U529" s="272">
        <v>1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153</v>
      </c>
      <c r="B530" s="267" t="s">
        <v>1151</v>
      </c>
      <c r="C530" s="267" t="s">
        <v>94</v>
      </c>
      <c r="D530" s="267" t="s">
        <v>92</v>
      </c>
      <c r="E530" s="267" t="s">
        <v>0</v>
      </c>
      <c r="F530" s="268"/>
      <c r="G530" s="269"/>
      <c r="H530" s="269"/>
      <c r="I530" s="270"/>
      <c r="J530" s="268">
        <v>1</v>
      </c>
      <c r="K530" s="269">
        <v>83351</v>
      </c>
      <c r="L530" s="269">
        <v>84665</v>
      </c>
      <c r="M530" s="270">
        <v>1</v>
      </c>
      <c r="N530" s="268">
        <v>1</v>
      </c>
      <c r="O530" s="271"/>
      <c r="P530" s="271">
        <v>83351</v>
      </c>
      <c r="Q530" s="271"/>
      <c r="R530" s="271"/>
      <c r="S530" s="271">
        <v>-84665</v>
      </c>
      <c r="T530" s="271"/>
      <c r="U530" s="272">
        <v>1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153</v>
      </c>
      <c r="B531" s="267" t="s">
        <v>270</v>
      </c>
      <c r="C531" s="267" t="s">
        <v>94</v>
      </c>
      <c r="D531" s="267" t="s">
        <v>92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83352</v>
      </c>
      <c r="L531" s="269">
        <v>84541</v>
      </c>
      <c r="M531" s="270">
        <v>1</v>
      </c>
      <c r="N531" s="268">
        <v>1</v>
      </c>
      <c r="O531" s="271"/>
      <c r="P531" s="271">
        <v>83352</v>
      </c>
      <c r="Q531" s="271"/>
      <c r="R531" s="271"/>
      <c r="S531" s="271">
        <v>-84541</v>
      </c>
      <c r="T531" s="271"/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153</v>
      </c>
      <c r="B532" s="267" t="s">
        <v>1152</v>
      </c>
      <c r="C532" s="267" t="s">
        <v>94</v>
      </c>
      <c r="D532" s="267" t="s">
        <v>92</v>
      </c>
      <c r="E532" s="267" t="s">
        <v>0</v>
      </c>
      <c r="F532" s="268"/>
      <c r="G532" s="269"/>
      <c r="H532" s="269"/>
      <c r="I532" s="270"/>
      <c r="J532" s="268">
        <v>1</v>
      </c>
      <c r="K532" s="269">
        <v>83152</v>
      </c>
      <c r="L532" s="269">
        <v>84921</v>
      </c>
      <c r="M532" s="270">
        <v>1</v>
      </c>
      <c r="N532" s="268">
        <v>1</v>
      </c>
      <c r="O532" s="271"/>
      <c r="P532" s="271">
        <v>83152</v>
      </c>
      <c r="Q532" s="271"/>
      <c r="R532" s="271"/>
      <c r="S532" s="271">
        <v>-84921</v>
      </c>
      <c r="T532" s="271"/>
      <c r="U532" s="272">
        <v>1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153</v>
      </c>
      <c r="B533" s="267" t="s">
        <v>271</v>
      </c>
      <c r="C533" s="267" t="s">
        <v>94</v>
      </c>
      <c r="D533" s="267" t="s">
        <v>92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83360</v>
      </c>
      <c r="L533" s="269">
        <v>84510</v>
      </c>
      <c r="M533" s="270">
        <v>1</v>
      </c>
      <c r="N533" s="268">
        <v>1</v>
      </c>
      <c r="O533" s="271"/>
      <c r="P533" s="271">
        <v>83360</v>
      </c>
      <c r="Q533" s="271"/>
      <c r="R533" s="271"/>
      <c r="S533" s="271">
        <v>-84510</v>
      </c>
      <c r="T533" s="271"/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153</v>
      </c>
      <c r="B534" s="267" t="s">
        <v>1153</v>
      </c>
      <c r="C534" s="267" t="s">
        <v>94</v>
      </c>
      <c r="D534" s="267" t="s">
        <v>92</v>
      </c>
      <c r="E534" s="267" t="s">
        <v>0</v>
      </c>
      <c r="F534" s="268"/>
      <c r="G534" s="269"/>
      <c r="H534" s="269"/>
      <c r="I534" s="270"/>
      <c r="J534" s="268">
        <v>1</v>
      </c>
      <c r="K534" s="269">
        <v>83051</v>
      </c>
      <c r="L534" s="269">
        <v>84889</v>
      </c>
      <c r="M534" s="270">
        <v>1</v>
      </c>
      <c r="N534" s="268">
        <v>1</v>
      </c>
      <c r="O534" s="271"/>
      <c r="P534" s="271">
        <v>83051</v>
      </c>
      <c r="Q534" s="271"/>
      <c r="R534" s="271"/>
      <c r="S534" s="271">
        <v>-84889</v>
      </c>
      <c r="T534" s="271"/>
      <c r="U534" s="272">
        <v>1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153</v>
      </c>
      <c r="B535" s="267" t="s">
        <v>1154</v>
      </c>
      <c r="C535" s="267" t="s">
        <v>94</v>
      </c>
      <c r="D535" s="267" t="s">
        <v>92</v>
      </c>
      <c r="E535" s="267" t="s">
        <v>0</v>
      </c>
      <c r="F535" s="268"/>
      <c r="G535" s="269"/>
      <c r="H535" s="269"/>
      <c r="I535" s="270"/>
      <c r="J535" s="268">
        <v>1</v>
      </c>
      <c r="K535" s="269">
        <v>82980</v>
      </c>
      <c r="L535" s="269">
        <v>84710</v>
      </c>
      <c r="M535" s="270">
        <v>1</v>
      </c>
      <c r="N535" s="268">
        <v>1</v>
      </c>
      <c r="O535" s="271"/>
      <c r="P535" s="271">
        <v>82980</v>
      </c>
      <c r="Q535" s="271"/>
      <c r="R535" s="271"/>
      <c r="S535" s="271">
        <v>-84710</v>
      </c>
      <c r="T535" s="271"/>
      <c r="U535" s="272">
        <v>1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153</v>
      </c>
      <c r="B536" s="267" t="s">
        <v>1155</v>
      </c>
      <c r="C536" s="267" t="s">
        <v>94</v>
      </c>
      <c r="D536" s="267" t="s">
        <v>92</v>
      </c>
      <c r="E536" s="267" t="s">
        <v>0</v>
      </c>
      <c r="F536" s="268"/>
      <c r="G536" s="269"/>
      <c r="H536" s="269"/>
      <c r="I536" s="270"/>
      <c r="J536" s="268">
        <v>1</v>
      </c>
      <c r="K536" s="269">
        <v>82996</v>
      </c>
      <c r="L536" s="269">
        <v>84834</v>
      </c>
      <c r="M536" s="270">
        <v>1</v>
      </c>
      <c r="N536" s="268">
        <v>1</v>
      </c>
      <c r="O536" s="271"/>
      <c r="P536" s="271">
        <v>82996</v>
      </c>
      <c r="Q536" s="271"/>
      <c r="R536" s="271"/>
      <c r="S536" s="271">
        <v>-84834</v>
      </c>
      <c r="T536" s="271"/>
      <c r="U536" s="272">
        <v>1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153</v>
      </c>
      <c r="B537" s="267" t="s">
        <v>272</v>
      </c>
      <c r="C537" s="267" t="s">
        <v>94</v>
      </c>
      <c r="D537" s="267" t="s">
        <v>92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83424</v>
      </c>
      <c r="L537" s="269">
        <v>84427</v>
      </c>
      <c r="M537" s="270">
        <v>1</v>
      </c>
      <c r="N537" s="268">
        <v>1</v>
      </c>
      <c r="O537" s="271"/>
      <c r="P537" s="271">
        <v>83424</v>
      </c>
      <c r="Q537" s="271"/>
      <c r="R537" s="271"/>
      <c r="S537" s="271">
        <v>-84427</v>
      </c>
      <c r="T537" s="271"/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153</v>
      </c>
      <c r="B538" s="267" t="s">
        <v>1156</v>
      </c>
      <c r="C538" s="267" t="s">
        <v>94</v>
      </c>
      <c r="D538" s="267" t="s">
        <v>92</v>
      </c>
      <c r="E538" s="267" t="s">
        <v>0</v>
      </c>
      <c r="F538" s="268"/>
      <c r="G538" s="269"/>
      <c r="H538" s="269"/>
      <c r="I538" s="270"/>
      <c r="J538" s="268">
        <v>1</v>
      </c>
      <c r="K538" s="269">
        <v>83014</v>
      </c>
      <c r="L538" s="269">
        <v>84837</v>
      </c>
      <c r="M538" s="270">
        <v>1</v>
      </c>
      <c r="N538" s="268">
        <v>1</v>
      </c>
      <c r="O538" s="271"/>
      <c r="P538" s="271">
        <v>83014</v>
      </c>
      <c r="Q538" s="271"/>
      <c r="R538" s="271"/>
      <c r="S538" s="271">
        <v>-84837</v>
      </c>
      <c r="T538" s="271"/>
      <c r="U538" s="272">
        <v>1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153</v>
      </c>
      <c r="B539" s="267" t="s">
        <v>273</v>
      </c>
      <c r="C539" s="267" t="s">
        <v>94</v>
      </c>
      <c r="D539" s="267" t="s">
        <v>92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83418</v>
      </c>
      <c r="L539" s="269">
        <v>84434</v>
      </c>
      <c r="M539" s="270">
        <v>1</v>
      </c>
      <c r="N539" s="268">
        <v>1</v>
      </c>
      <c r="O539" s="271"/>
      <c r="P539" s="271">
        <v>83418</v>
      </c>
      <c r="Q539" s="271"/>
      <c r="R539" s="271"/>
      <c r="S539" s="271">
        <v>-84434</v>
      </c>
      <c r="T539" s="271"/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153</v>
      </c>
      <c r="B540" s="267" t="s">
        <v>1157</v>
      </c>
      <c r="C540" s="267" t="s">
        <v>94</v>
      </c>
      <c r="D540" s="267" t="s">
        <v>92</v>
      </c>
      <c r="E540" s="267" t="s">
        <v>0</v>
      </c>
      <c r="F540" s="268"/>
      <c r="G540" s="269"/>
      <c r="H540" s="269"/>
      <c r="I540" s="270"/>
      <c r="J540" s="268">
        <v>1</v>
      </c>
      <c r="K540" s="269">
        <v>83061</v>
      </c>
      <c r="L540" s="269">
        <v>84853</v>
      </c>
      <c r="M540" s="270">
        <v>1</v>
      </c>
      <c r="N540" s="268">
        <v>1</v>
      </c>
      <c r="O540" s="271"/>
      <c r="P540" s="271">
        <v>83061</v>
      </c>
      <c r="Q540" s="271"/>
      <c r="R540" s="271"/>
      <c r="S540" s="271">
        <v>-84853</v>
      </c>
      <c r="T540" s="271"/>
      <c r="U540" s="272">
        <v>1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153</v>
      </c>
      <c r="B541" s="267" t="s">
        <v>1158</v>
      </c>
      <c r="C541" s="267" t="s">
        <v>94</v>
      </c>
      <c r="D541" s="267" t="s">
        <v>92</v>
      </c>
      <c r="E541" s="267" t="s">
        <v>0</v>
      </c>
      <c r="F541" s="268"/>
      <c r="G541" s="269"/>
      <c r="H541" s="269"/>
      <c r="I541" s="270"/>
      <c r="J541" s="268">
        <v>1</v>
      </c>
      <c r="K541" s="269">
        <v>83218</v>
      </c>
      <c r="L541" s="269">
        <v>84814</v>
      </c>
      <c r="M541" s="270">
        <v>1</v>
      </c>
      <c r="N541" s="268">
        <v>1</v>
      </c>
      <c r="O541" s="271"/>
      <c r="P541" s="271">
        <v>83218</v>
      </c>
      <c r="Q541" s="271"/>
      <c r="R541" s="271"/>
      <c r="S541" s="271">
        <v>-84814</v>
      </c>
      <c r="T541" s="271"/>
      <c r="U541" s="272">
        <v>1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153</v>
      </c>
      <c r="B542" s="267" t="s">
        <v>1159</v>
      </c>
      <c r="C542" s="267" t="s">
        <v>94</v>
      </c>
      <c r="D542" s="267" t="s">
        <v>92</v>
      </c>
      <c r="E542" s="267" t="s">
        <v>0</v>
      </c>
      <c r="F542" s="268"/>
      <c r="G542" s="269"/>
      <c r="H542" s="269"/>
      <c r="I542" s="270"/>
      <c r="J542" s="268">
        <v>1</v>
      </c>
      <c r="K542" s="269">
        <v>83216</v>
      </c>
      <c r="L542" s="269">
        <v>84768</v>
      </c>
      <c r="M542" s="270">
        <v>1</v>
      </c>
      <c r="N542" s="268">
        <v>1</v>
      </c>
      <c r="O542" s="271"/>
      <c r="P542" s="271">
        <v>83216</v>
      </c>
      <c r="Q542" s="271"/>
      <c r="R542" s="271"/>
      <c r="S542" s="271">
        <v>-84768</v>
      </c>
      <c r="T542" s="271"/>
      <c r="U542" s="272">
        <v>1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153</v>
      </c>
      <c r="B543" s="267" t="s">
        <v>274</v>
      </c>
      <c r="C543" s="267" t="s">
        <v>94</v>
      </c>
      <c r="D543" s="267" t="s">
        <v>92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83534</v>
      </c>
      <c r="L543" s="269">
        <v>84298</v>
      </c>
      <c r="M543" s="270">
        <v>1</v>
      </c>
      <c r="N543" s="268">
        <v>1</v>
      </c>
      <c r="O543" s="271"/>
      <c r="P543" s="271">
        <v>83534</v>
      </c>
      <c r="Q543" s="271"/>
      <c r="R543" s="271"/>
      <c r="S543" s="271">
        <v>-84298</v>
      </c>
      <c r="T543" s="271"/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153</v>
      </c>
      <c r="B544" s="267" t="s">
        <v>1160</v>
      </c>
      <c r="C544" s="267" t="s">
        <v>94</v>
      </c>
      <c r="D544" s="267" t="s">
        <v>92</v>
      </c>
      <c r="E544" s="267" t="s">
        <v>0</v>
      </c>
      <c r="F544" s="268"/>
      <c r="G544" s="269"/>
      <c r="H544" s="269"/>
      <c r="I544" s="270"/>
      <c r="J544" s="268">
        <v>1</v>
      </c>
      <c r="K544" s="269">
        <v>82784</v>
      </c>
      <c r="L544" s="269">
        <v>85055</v>
      </c>
      <c r="M544" s="270">
        <v>1</v>
      </c>
      <c r="N544" s="268">
        <v>1</v>
      </c>
      <c r="O544" s="271"/>
      <c r="P544" s="271">
        <v>82784</v>
      </c>
      <c r="Q544" s="271"/>
      <c r="R544" s="271"/>
      <c r="S544" s="271">
        <v>-85055</v>
      </c>
      <c r="T544" s="271"/>
      <c r="U544" s="272">
        <v>1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153</v>
      </c>
      <c r="B545" s="267" t="s">
        <v>275</v>
      </c>
      <c r="C545" s="267" t="s">
        <v>94</v>
      </c>
      <c r="D545" s="267" t="s">
        <v>92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83504</v>
      </c>
      <c r="L545" s="269">
        <v>84320</v>
      </c>
      <c r="M545" s="270">
        <v>1</v>
      </c>
      <c r="N545" s="268">
        <v>1</v>
      </c>
      <c r="O545" s="271"/>
      <c r="P545" s="271">
        <v>83504</v>
      </c>
      <c r="Q545" s="271"/>
      <c r="R545" s="271"/>
      <c r="S545" s="271">
        <v>-84320</v>
      </c>
      <c r="T545" s="271"/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153</v>
      </c>
      <c r="B546" s="267" t="s">
        <v>1161</v>
      </c>
      <c r="C546" s="267" t="s">
        <v>94</v>
      </c>
      <c r="D546" s="267" t="s">
        <v>92</v>
      </c>
      <c r="E546" s="267" t="s">
        <v>0</v>
      </c>
      <c r="F546" s="268"/>
      <c r="G546" s="269"/>
      <c r="H546" s="269"/>
      <c r="I546" s="270"/>
      <c r="J546" s="268">
        <v>1</v>
      </c>
      <c r="K546" s="269">
        <v>82924</v>
      </c>
      <c r="L546" s="269">
        <v>85095</v>
      </c>
      <c r="M546" s="270">
        <v>1</v>
      </c>
      <c r="N546" s="268">
        <v>1</v>
      </c>
      <c r="O546" s="271"/>
      <c r="P546" s="271">
        <v>82924</v>
      </c>
      <c r="Q546" s="271"/>
      <c r="R546" s="271"/>
      <c r="S546" s="271">
        <v>-85095</v>
      </c>
      <c r="T546" s="271"/>
      <c r="U546" s="272">
        <v>1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153</v>
      </c>
      <c r="B547" s="267" t="s">
        <v>1162</v>
      </c>
      <c r="C547" s="267" t="s">
        <v>94</v>
      </c>
      <c r="D547" s="267" t="s">
        <v>92</v>
      </c>
      <c r="E547" s="267" t="s">
        <v>0</v>
      </c>
      <c r="F547" s="268"/>
      <c r="G547" s="269"/>
      <c r="H547" s="269"/>
      <c r="I547" s="270"/>
      <c r="J547" s="268">
        <v>1</v>
      </c>
      <c r="K547" s="269">
        <v>83211</v>
      </c>
      <c r="L547" s="269">
        <v>84676</v>
      </c>
      <c r="M547" s="270">
        <v>1</v>
      </c>
      <c r="N547" s="268">
        <v>1</v>
      </c>
      <c r="O547" s="271"/>
      <c r="P547" s="271">
        <v>83211</v>
      </c>
      <c r="Q547" s="271"/>
      <c r="R547" s="271"/>
      <c r="S547" s="271">
        <v>-84676</v>
      </c>
      <c r="T547" s="271"/>
      <c r="U547" s="272">
        <v>1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153</v>
      </c>
      <c r="B548" s="267" t="s">
        <v>1163</v>
      </c>
      <c r="C548" s="267" t="s">
        <v>94</v>
      </c>
      <c r="D548" s="267" t="s">
        <v>92</v>
      </c>
      <c r="E548" s="267" t="s">
        <v>0</v>
      </c>
      <c r="F548" s="268"/>
      <c r="G548" s="269"/>
      <c r="H548" s="269"/>
      <c r="I548" s="270"/>
      <c r="J548" s="268">
        <v>1</v>
      </c>
      <c r="K548" s="269">
        <v>83193</v>
      </c>
      <c r="L548" s="269">
        <v>84506</v>
      </c>
      <c r="M548" s="270">
        <v>1</v>
      </c>
      <c r="N548" s="268">
        <v>1</v>
      </c>
      <c r="O548" s="271"/>
      <c r="P548" s="271">
        <v>83193</v>
      </c>
      <c r="Q548" s="271"/>
      <c r="R548" s="271"/>
      <c r="S548" s="271">
        <v>-84506</v>
      </c>
      <c r="T548" s="271"/>
      <c r="U548" s="272">
        <v>1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153</v>
      </c>
      <c r="B549" s="267" t="s">
        <v>1164</v>
      </c>
      <c r="C549" s="267" t="s">
        <v>94</v>
      </c>
      <c r="D549" s="267" t="s">
        <v>92</v>
      </c>
      <c r="E549" s="267" t="s">
        <v>0</v>
      </c>
      <c r="F549" s="268"/>
      <c r="G549" s="269"/>
      <c r="H549" s="269"/>
      <c r="I549" s="270"/>
      <c r="J549" s="268">
        <v>1</v>
      </c>
      <c r="K549" s="269">
        <v>82955</v>
      </c>
      <c r="L549" s="269">
        <v>84893</v>
      </c>
      <c r="M549" s="270">
        <v>1</v>
      </c>
      <c r="N549" s="268">
        <v>1</v>
      </c>
      <c r="O549" s="271"/>
      <c r="P549" s="271">
        <v>82955</v>
      </c>
      <c r="Q549" s="271"/>
      <c r="R549" s="271"/>
      <c r="S549" s="271">
        <v>-84893</v>
      </c>
      <c r="T549" s="271"/>
      <c r="U549" s="272">
        <v>1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153</v>
      </c>
      <c r="B550" s="267" t="s">
        <v>1165</v>
      </c>
      <c r="C550" s="267" t="s">
        <v>94</v>
      </c>
      <c r="D550" s="267" t="s">
        <v>92</v>
      </c>
      <c r="E550" s="267" t="s">
        <v>0</v>
      </c>
      <c r="F550" s="268"/>
      <c r="G550" s="269"/>
      <c r="H550" s="269"/>
      <c r="I550" s="270"/>
      <c r="J550" s="268">
        <v>1</v>
      </c>
      <c r="K550" s="269">
        <v>82615</v>
      </c>
      <c r="L550" s="269">
        <v>85240</v>
      </c>
      <c r="M550" s="270">
        <v>1</v>
      </c>
      <c r="N550" s="268">
        <v>1</v>
      </c>
      <c r="O550" s="271"/>
      <c r="P550" s="271">
        <v>82615</v>
      </c>
      <c r="Q550" s="271"/>
      <c r="R550" s="271"/>
      <c r="S550" s="271">
        <v>-85240</v>
      </c>
      <c r="T550" s="271"/>
      <c r="U550" s="272">
        <v>1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153</v>
      </c>
      <c r="B551" s="267" t="s">
        <v>1166</v>
      </c>
      <c r="C551" s="267" t="s">
        <v>94</v>
      </c>
      <c r="D551" s="267" t="s">
        <v>92</v>
      </c>
      <c r="E551" s="267" t="s">
        <v>0</v>
      </c>
      <c r="F551" s="268"/>
      <c r="G551" s="269"/>
      <c r="H551" s="269"/>
      <c r="I551" s="270"/>
      <c r="J551" s="268">
        <v>1</v>
      </c>
      <c r="K551" s="269">
        <v>82955</v>
      </c>
      <c r="L551" s="269">
        <v>84705</v>
      </c>
      <c r="M551" s="270">
        <v>1</v>
      </c>
      <c r="N551" s="268">
        <v>1</v>
      </c>
      <c r="O551" s="271"/>
      <c r="P551" s="271">
        <v>82955</v>
      </c>
      <c r="Q551" s="271"/>
      <c r="R551" s="271"/>
      <c r="S551" s="271">
        <v>-84705</v>
      </c>
      <c r="T551" s="271"/>
      <c r="U551" s="272">
        <v>1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153</v>
      </c>
      <c r="B552" s="267" t="s">
        <v>1167</v>
      </c>
      <c r="C552" s="267" t="s">
        <v>94</v>
      </c>
      <c r="D552" s="267" t="s">
        <v>92</v>
      </c>
      <c r="E552" s="267" t="s">
        <v>0</v>
      </c>
      <c r="F552" s="268"/>
      <c r="G552" s="269"/>
      <c r="H552" s="269"/>
      <c r="I552" s="270"/>
      <c r="J552" s="268">
        <v>1</v>
      </c>
      <c r="K552" s="269">
        <v>82575</v>
      </c>
      <c r="L552" s="269">
        <v>85100</v>
      </c>
      <c r="M552" s="270">
        <v>1</v>
      </c>
      <c r="N552" s="268">
        <v>1</v>
      </c>
      <c r="O552" s="271"/>
      <c r="P552" s="271">
        <v>82575</v>
      </c>
      <c r="Q552" s="271"/>
      <c r="R552" s="271"/>
      <c r="S552" s="271">
        <v>-85100</v>
      </c>
      <c r="T552" s="271"/>
      <c r="U552" s="272">
        <v>1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153</v>
      </c>
      <c r="B553" s="267" t="s">
        <v>1168</v>
      </c>
      <c r="C553" s="267" t="s">
        <v>94</v>
      </c>
      <c r="D553" s="267" t="s">
        <v>92</v>
      </c>
      <c r="E553" s="267" t="s">
        <v>0</v>
      </c>
      <c r="F553" s="268"/>
      <c r="G553" s="269"/>
      <c r="H553" s="269"/>
      <c r="I553" s="270"/>
      <c r="J553" s="268">
        <v>1</v>
      </c>
      <c r="K553" s="269">
        <v>82987</v>
      </c>
      <c r="L553" s="269">
        <v>84806</v>
      </c>
      <c r="M553" s="270">
        <v>1</v>
      </c>
      <c r="N553" s="268">
        <v>1</v>
      </c>
      <c r="O553" s="271"/>
      <c r="P553" s="271">
        <v>82987</v>
      </c>
      <c r="Q553" s="271"/>
      <c r="R553" s="271"/>
      <c r="S553" s="271">
        <v>-84806</v>
      </c>
      <c r="T553" s="271"/>
      <c r="U553" s="272">
        <v>1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153</v>
      </c>
      <c r="B554" s="267" t="s">
        <v>1169</v>
      </c>
      <c r="C554" s="267" t="s">
        <v>94</v>
      </c>
      <c r="D554" s="267" t="s">
        <v>92</v>
      </c>
      <c r="E554" s="267" t="s">
        <v>0</v>
      </c>
      <c r="F554" s="268"/>
      <c r="G554" s="269"/>
      <c r="H554" s="269"/>
      <c r="I554" s="270"/>
      <c r="J554" s="268">
        <v>1</v>
      </c>
      <c r="K554" s="269">
        <v>82939</v>
      </c>
      <c r="L554" s="269">
        <v>84846</v>
      </c>
      <c r="M554" s="270">
        <v>1</v>
      </c>
      <c r="N554" s="268">
        <v>1</v>
      </c>
      <c r="O554" s="271"/>
      <c r="P554" s="271">
        <v>82939</v>
      </c>
      <c r="Q554" s="271"/>
      <c r="R554" s="271"/>
      <c r="S554" s="271">
        <v>-84846</v>
      </c>
      <c r="T554" s="271"/>
      <c r="U554" s="272">
        <v>1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153</v>
      </c>
      <c r="B555" s="267" t="s">
        <v>276</v>
      </c>
      <c r="C555" s="267" t="s">
        <v>94</v>
      </c>
      <c r="D555" s="267" t="s">
        <v>92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83504</v>
      </c>
      <c r="L555" s="269">
        <v>84375</v>
      </c>
      <c r="M555" s="270">
        <v>1</v>
      </c>
      <c r="N555" s="268">
        <v>1</v>
      </c>
      <c r="O555" s="271"/>
      <c r="P555" s="271">
        <v>83504</v>
      </c>
      <c r="Q555" s="271"/>
      <c r="R555" s="271"/>
      <c r="S555" s="271">
        <v>-84375</v>
      </c>
      <c r="T555" s="271"/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153</v>
      </c>
      <c r="B556" s="267" t="s">
        <v>1170</v>
      </c>
      <c r="C556" s="267" t="s">
        <v>94</v>
      </c>
      <c r="D556" s="267" t="s">
        <v>92</v>
      </c>
      <c r="E556" s="267" t="s">
        <v>0</v>
      </c>
      <c r="F556" s="268"/>
      <c r="G556" s="269"/>
      <c r="H556" s="269"/>
      <c r="I556" s="270"/>
      <c r="J556" s="268">
        <v>1</v>
      </c>
      <c r="K556" s="269">
        <v>82961</v>
      </c>
      <c r="L556" s="269">
        <v>85082</v>
      </c>
      <c r="M556" s="270">
        <v>1</v>
      </c>
      <c r="N556" s="268">
        <v>1</v>
      </c>
      <c r="O556" s="271"/>
      <c r="P556" s="271">
        <v>82961</v>
      </c>
      <c r="Q556" s="271"/>
      <c r="R556" s="271"/>
      <c r="S556" s="271">
        <v>-85082</v>
      </c>
      <c r="T556" s="271"/>
      <c r="U556" s="272">
        <v>1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153</v>
      </c>
      <c r="B557" s="267" t="s">
        <v>277</v>
      </c>
      <c r="C557" s="267" t="s">
        <v>94</v>
      </c>
      <c r="D557" s="267" t="s">
        <v>92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83456</v>
      </c>
      <c r="L557" s="269">
        <v>84358</v>
      </c>
      <c r="M557" s="270">
        <v>1</v>
      </c>
      <c r="N557" s="268">
        <v>1</v>
      </c>
      <c r="O557" s="271"/>
      <c r="P557" s="271">
        <v>83456</v>
      </c>
      <c r="Q557" s="271"/>
      <c r="R557" s="271"/>
      <c r="S557" s="271">
        <v>-84358</v>
      </c>
      <c r="T557" s="271"/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153</v>
      </c>
      <c r="B558" s="267" t="s">
        <v>1171</v>
      </c>
      <c r="C558" s="267" t="s">
        <v>94</v>
      </c>
      <c r="D558" s="267" t="s">
        <v>92</v>
      </c>
      <c r="E558" s="267" t="s">
        <v>0</v>
      </c>
      <c r="F558" s="268"/>
      <c r="G558" s="269"/>
      <c r="H558" s="269"/>
      <c r="I558" s="270"/>
      <c r="J558" s="268">
        <v>1</v>
      </c>
      <c r="K558" s="269">
        <v>82631</v>
      </c>
      <c r="L558" s="269">
        <v>85194</v>
      </c>
      <c r="M558" s="270">
        <v>1</v>
      </c>
      <c r="N558" s="268">
        <v>1</v>
      </c>
      <c r="O558" s="271"/>
      <c r="P558" s="271">
        <v>82631</v>
      </c>
      <c r="Q558" s="271"/>
      <c r="R558" s="271"/>
      <c r="S558" s="271">
        <v>-85194</v>
      </c>
      <c r="T558" s="271"/>
      <c r="U558" s="272">
        <v>1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153</v>
      </c>
      <c r="B559" s="267" t="s">
        <v>1172</v>
      </c>
      <c r="C559" s="267" t="s">
        <v>94</v>
      </c>
      <c r="D559" s="267" t="s">
        <v>92</v>
      </c>
      <c r="E559" s="267" t="s">
        <v>0</v>
      </c>
      <c r="F559" s="268"/>
      <c r="G559" s="269"/>
      <c r="H559" s="269"/>
      <c r="I559" s="270"/>
      <c r="J559" s="268">
        <v>1</v>
      </c>
      <c r="K559" s="269">
        <v>82789</v>
      </c>
      <c r="L559" s="269">
        <v>84871</v>
      </c>
      <c r="M559" s="270">
        <v>1</v>
      </c>
      <c r="N559" s="268">
        <v>1</v>
      </c>
      <c r="O559" s="271"/>
      <c r="P559" s="271">
        <v>82789</v>
      </c>
      <c r="Q559" s="271"/>
      <c r="R559" s="271"/>
      <c r="S559" s="271">
        <v>-84871</v>
      </c>
      <c r="T559" s="271"/>
      <c r="U559" s="272">
        <v>1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153</v>
      </c>
      <c r="B560" s="267" t="s">
        <v>1173</v>
      </c>
      <c r="C560" s="267" t="s">
        <v>94</v>
      </c>
      <c r="D560" s="267" t="s">
        <v>92</v>
      </c>
      <c r="E560" s="267" t="s">
        <v>0</v>
      </c>
      <c r="F560" s="268"/>
      <c r="G560" s="269"/>
      <c r="H560" s="269"/>
      <c r="I560" s="270"/>
      <c r="J560" s="268">
        <v>1</v>
      </c>
      <c r="K560" s="269">
        <v>82691</v>
      </c>
      <c r="L560" s="269">
        <v>85184</v>
      </c>
      <c r="M560" s="270">
        <v>1</v>
      </c>
      <c r="N560" s="268">
        <v>1</v>
      </c>
      <c r="O560" s="271"/>
      <c r="P560" s="271">
        <v>82691</v>
      </c>
      <c r="Q560" s="271"/>
      <c r="R560" s="271"/>
      <c r="S560" s="271">
        <v>-85184</v>
      </c>
      <c r="T560" s="271"/>
      <c r="U560" s="272">
        <v>1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153</v>
      </c>
      <c r="B561" s="267" t="s">
        <v>278</v>
      </c>
      <c r="C561" s="267" t="s">
        <v>94</v>
      </c>
      <c r="D561" s="267" t="s">
        <v>92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83390</v>
      </c>
      <c r="L561" s="269">
        <v>84447</v>
      </c>
      <c r="M561" s="270">
        <v>1</v>
      </c>
      <c r="N561" s="268">
        <v>1</v>
      </c>
      <c r="O561" s="271"/>
      <c r="P561" s="271">
        <v>83390</v>
      </c>
      <c r="Q561" s="271"/>
      <c r="R561" s="271"/>
      <c r="S561" s="271">
        <v>-84447</v>
      </c>
      <c r="T561" s="271"/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153</v>
      </c>
      <c r="B562" s="267" t="s">
        <v>1174</v>
      </c>
      <c r="C562" s="267" t="s">
        <v>94</v>
      </c>
      <c r="D562" s="267" t="s">
        <v>92</v>
      </c>
      <c r="E562" s="267" t="s">
        <v>0</v>
      </c>
      <c r="F562" s="268"/>
      <c r="G562" s="269"/>
      <c r="H562" s="269"/>
      <c r="I562" s="270"/>
      <c r="J562" s="268">
        <v>1</v>
      </c>
      <c r="K562" s="269">
        <v>82743</v>
      </c>
      <c r="L562" s="269">
        <v>85104</v>
      </c>
      <c r="M562" s="270">
        <v>1</v>
      </c>
      <c r="N562" s="268">
        <v>1</v>
      </c>
      <c r="O562" s="271"/>
      <c r="P562" s="271">
        <v>82743</v>
      </c>
      <c r="Q562" s="271"/>
      <c r="R562" s="271"/>
      <c r="S562" s="271">
        <v>-85104</v>
      </c>
      <c r="T562" s="271"/>
      <c r="U562" s="272">
        <v>1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153</v>
      </c>
      <c r="B563" s="267" t="s">
        <v>279</v>
      </c>
      <c r="C563" s="267" t="s">
        <v>94</v>
      </c>
      <c r="D563" s="267" t="s">
        <v>92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83460</v>
      </c>
      <c r="L563" s="269">
        <v>84414</v>
      </c>
      <c r="M563" s="270">
        <v>1</v>
      </c>
      <c r="N563" s="268">
        <v>1</v>
      </c>
      <c r="O563" s="271"/>
      <c r="P563" s="271">
        <v>83460</v>
      </c>
      <c r="Q563" s="271"/>
      <c r="R563" s="271"/>
      <c r="S563" s="271">
        <v>-84414</v>
      </c>
      <c r="T563" s="271"/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153</v>
      </c>
      <c r="B564" s="267" t="s">
        <v>1175</v>
      </c>
      <c r="C564" s="267" t="s">
        <v>94</v>
      </c>
      <c r="D564" s="267" t="s">
        <v>92</v>
      </c>
      <c r="E564" s="267" t="s">
        <v>0</v>
      </c>
      <c r="F564" s="268"/>
      <c r="G564" s="269"/>
      <c r="H564" s="269"/>
      <c r="I564" s="270"/>
      <c r="J564" s="268">
        <v>1</v>
      </c>
      <c r="K564" s="269">
        <v>82667</v>
      </c>
      <c r="L564" s="269">
        <v>85184</v>
      </c>
      <c r="M564" s="270">
        <v>1</v>
      </c>
      <c r="N564" s="268">
        <v>1</v>
      </c>
      <c r="O564" s="271"/>
      <c r="P564" s="271">
        <v>82667</v>
      </c>
      <c r="Q564" s="271"/>
      <c r="R564" s="271"/>
      <c r="S564" s="271">
        <v>-85184</v>
      </c>
      <c r="T564" s="271"/>
      <c r="U564" s="272">
        <v>1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153</v>
      </c>
      <c r="B565" s="267" t="s">
        <v>1176</v>
      </c>
      <c r="C565" s="267" t="s">
        <v>94</v>
      </c>
      <c r="D565" s="267" t="s">
        <v>92</v>
      </c>
      <c r="E565" s="267" t="s">
        <v>0</v>
      </c>
      <c r="F565" s="268"/>
      <c r="G565" s="269"/>
      <c r="H565" s="269"/>
      <c r="I565" s="270"/>
      <c r="J565" s="268">
        <v>1</v>
      </c>
      <c r="K565" s="269">
        <v>82947</v>
      </c>
      <c r="L565" s="269">
        <v>85081</v>
      </c>
      <c r="M565" s="270">
        <v>1</v>
      </c>
      <c r="N565" s="268">
        <v>1</v>
      </c>
      <c r="O565" s="271"/>
      <c r="P565" s="271">
        <v>82947</v>
      </c>
      <c r="Q565" s="271"/>
      <c r="R565" s="271"/>
      <c r="S565" s="271">
        <v>-85081</v>
      </c>
      <c r="T565" s="271"/>
      <c r="U565" s="272">
        <v>1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153</v>
      </c>
      <c r="B566" s="267" t="s">
        <v>1177</v>
      </c>
      <c r="C566" s="267" t="s">
        <v>94</v>
      </c>
      <c r="D566" s="267" t="s">
        <v>92</v>
      </c>
      <c r="E566" s="267" t="s">
        <v>0</v>
      </c>
      <c r="F566" s="268"/>
      <c r="G566" s="269"/>
      <c r="H566" s="269"/>
      <c r="I566" s="270"/>
      <c r="J566" s="268">
        <v>1</v>
      </c>
      <c r="K566" s="269">
        <v>82831</v>
      </c>
      <c r="L566" s="269">
        <v>85224</v>
      </c>
      <c r="M566" s="270">
        <v>1</v>
      </c>
      <c r="N566" s="268">
        <v>1</v>
      </c>
      <c r="O566" s="271"/>
      <c r="P566" s="271">
        <v>82831</v>
      </c>
      <c r="Q566" s="271"/>
      <c r="R566" s="271"/>
      <c r="S566" s="271">
        <v>-85224</v>
      </c>
      <c r="T566" s="271"/>
      <c r="U566" s="272">
        <v>1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153</v>
      </c>
      <c r="B567" s="267" t="s">
        <v>280</v>
      </c>
      <c r="C567" s="267" t="s">
        <v>94</v>
      </c>
      <c r="D567" s="267" t="s">
        <v>92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83596</v>
      </c>
      <c r="L567" s="269">
        <v>84298</v>
      </c>
      <c r="M567" s="270">
        <v>1</v>
      </c>
      <c r="N567" s="268">
        <v>1</v>
      </c>
      <c r="O567" s="271"/>
      <c r="P567" s="271">
        <v>83596</v>
      </c>
      <c r="Q567" s="271"/>
      <c r="R567" s="271"/>
      <c r="S567" s="271">
        <v>-84298</v>
      </c>
      <c r="T567" s="271"/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153</v>
      </c>
      <c r="B568" s="267" t="s">
        <v>1178</v>
      </c>
      <c r="C568" s="267" t="s">
        <v>94</v>
      </c>
      <c r="D568" s="267" t="s">
        <v>92</v>
      </c>
      <c r="E568" s="267" t="s">
        <v>0</v>
      </c>
      <c r="F568" s="268"/>
      <c r="G568" s="269"/>
      <c r="H568" s="269"/>
      <c r="I568" s="270"/>
      <c r="J568" s="268">
        <v>1</v>
      </c>
      <c r="K568" s="269">
        <v>82846</v>
      </c>
      <c r="L568" s="269">
        <v>85055</v>
      </c>
      <c r="M568" s="270">
        <v>1</v>
      </c>
      <c r="N568" s="268">
        <v>1</v>
      </c>
      <c r="O568" s="271"/>
      <c r="P568" s="271">
        <v>82846</v>
      </c>
      <c r="Q568" s="271"/>
      <c r="R568" s="271"/>
      <c r="S568" s="271">
        <v>-85055</v>
      </c>
      <c r="T568" s="271"/>
      <c r="U568" s="272">
        <v>1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153</v>
      </c>
      <c r="B569" s="267" t="s">
        <v>281</v>
      </c>
      <c r="C569" s="267" t="s">
        <v>94</v>
      </c>
      <c r="D569" s="267" t="s">
        <v>92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83646</v>
      </c>
      <c r="L569" s="269">
        <v>84214</v>
      </c>
      <c r="M569" s="270">
        <v>1</v>
      </c>
      <c r="N569" s="268">
        <v>1</v>
      </c>
      <c r="O569" s="271"/>
      <c r="P569" s="271">
        <v>83646</v>
      </c>
      <c r="Q569" s="271"/>
      <c r="R569" s="271"/>
      <c r="S569" s="271">
        <v>-84214</v>
      </c>
      <c r="T569" s="271"/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153</v>
      </c>
      <c r="B570" s="267" t="s">
        <v>1179</v>
      </c>
      <c r="C570" s="267" t="s">
        <v>94</v>
      </c>
      <c r="D570" s="267" t="s">
        <v>92</v>
      </c>
      <c r="E570" s="267" t="s">
        <v>0</v>
      </c>
      <c r="F570" s="268"/>
      <c r="G570" s="269"/>
      <c r="H570" s="269"/>
      <c r="I570" s="270"/>
      <c r="J570" s="268">
        <v>1</v>
      </c>
      <c r="K570" s="269">
        <v>83066</v>
      </c>
      <c r="L570" s="269">
        <v>84989</v>
      </c>
      <c r="M570" s="270">
        <v>1</v>
      </c>
      <c r="N570" s="268">
        <v>1</v>
      </c>
      <c r="O570" s="271"/>
      <c r="P570" s="271">
        <v>83066</v>
      </c>
      <c r="Q570" s="271"/>
      <c r="R570" s="271"/>
      <c r="S570" s="271">
        <v>-84989</v>
      </c>
      <c r="T570" s="271"/>
      <c r="U570" s="272">
        <v>1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153</v>
      </c>
      <c r="B571" s="267" t="s">
        <v>1180</v>
      </c>
      <c r="C571" s="267" t="s">
        <v>94</v>
      </c>
      <c r="D571" s="267" t="s">
        <v>92</v>
      </c>
      <c r="E571" s="267" t="s">
        <v>0</v>
      </c>
      <c r="F571" s="268"/>
      <c r="G571" s="269"/>
      <c r="H571" s="269"/>
      <c r="I571" s="270"/>
      <c r="J571" s="268">
        <v>1</v>
      </c>
      <c r="K571" s="269">
        <v>82837</v>
      </c>
      <c r="L571" s="269">
        <v>85027</v>
      </c>
      <c r="M571" s="270">
        <v>1</v>
      </c>
      <c r="N571" s="268">
        <v>1</v>
      </c>
      <c r="O571" s="271"/>
      <c r="P571" s="271">
        <v>82837</v>
      </c>
      <c r="Q571" s="271"/>
      <c r="R571" s="271"/>
      <c r="S571" s="271">
        <v>-85027</v>
      </c>
      <c r="T571" s="271"/>
      <c r="U571" s="272">
        <v>1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153</v>
      </c>
      <c r="B572" s="267" t="s">
        <v>1181</v>
      </c>
      <c r="C572" s="267" t="s">
        <v>94</v>
      </c>
      <c r="D572" s="267" t="s">
        <v>92</v>
      </c>
      <c r="E572" s="267" t="s">
        <v>0</v>
      </c>
      <c r="F572" s="268"/>
      <c r="G572" s="269"/>
      <c r="H572" s="269"/>
      <c r="I572" s="270"/>
      <c r="J572" s="268">
        <v>1</v>
      </c>
      <c r="K572" s="269">
        <v>82819</v>
      </c>
      <c r="L572" s="269">
        <v>84857</v>
      </c>
      <c r="M572" s="270">
        <v>1</v>
      </c>
      <c r="N572" s="268">
        <v>1</v>
      </c>
      <c r="O572" s="271"/>
      <c r="P572" s="271">
        <v>82819</v>
      </c>
      <c r="Q572" s="271"/>
      <c r="R572" s="271"/>
      <c r="S572" s="271">
        <v>-84857</v>
      </c>
      <c r="T572" s="271"/>
      <c r="U572" s="272">
        <v>1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153</v>
      </c>
      <c r="B573" s="267" t="s">
        <v>1182</v>
      </c>
      <c r="C573" s="267" t="s">
        <v>94</v>
      </c>
      <c r="D573" s="267" t="s">
        <v>92</v>
      </c>
      <c r="E573" s="267" t="s">
        <v>0</v>
      </c>
      <c r="F573" s="268"/>
      <c r="G573" s="269"/>
      <c r="H573" s="269"/>
      <c r="I573" s="270"/>
      <c r="J573" s="268">
        <v>1</v>
      </c>
      <c r="K573" s="269">
        <v>83200</v>
      </c>
      <c r="L573" s="269">
        <v>84703</v>
      </c>
      <c r="M573" s="270">
        <v>1</v>
      </c>
      <c r="N573" s="268">
        <v>1</v>
      </c>
      <c r="O573" s="271"/>
      <c r="P573" s="271">
        <v>83200</v>
      </c>
      <c r="Q573" s="271"/>
      <c r="R573" s="271"/>
      <c r="S573" s="271">
        <v>-84703</v>
      </c>
      <c r="T573" s="271"/>
      <c r="U573" s="272">
        <v>1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153</v>
      </c>
      <c r="B574" s="267" t="s">
        <v>1183</v>
      </c>
      <c r="C574" s="267" t="s">
        <v>94</v>
      </c>
      <c r="D574" s="267" t="s">
        <v>92</v>
      </c>
      <c r="E574" s="267" t="s">
        <v>0</v>
      </c>
      <c r="F574" s="268"/>
      <c r="G574" s="269"/>
      <c r="H574" s="269"/>
      <c r="I574" s="270"/>
      <c r="J574" s="268">
        <v>1</v>
      </c>
      <c r="K574" s="269">
        <v>83097</v>
      </c>
      <c r="L574" s="269">
        <v>84803</v>
      </c>
      <c r="M574" s="270">
        <v>1</v>
      </c>
      <c r="N574" s="268">
        <v>1</v>
      </c>
      <c r="O574" s="271"/>
      <c r="P574" s="271">
        <v>83097</v>
      </c>
      <c r="Q574" s="271"/>
      <c r="R574" s="271"/>
      <c r="S574" s="271">
        <v>-84803</v>
      </c>
      <c r="T574" s="271"/>
      <c r="U574" s="272">
        <v>1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153</v>
      </c>
      <c r="B575" s="267" t="s">
        <v>1184</v>
      </c>
      <c r="C575" s="267" t="s">
        <v>94</v>
      </c>
      <c r="D575" s="267" t="s">
        <v>92</v>
      </c>
      <c r="E575" s="267" t="s">
        <v>0</v>
      </c>
      <c r="F575" s="268"/>
      <c r="G575" s="269"/>
      <c r="H575" s="269"/>
      <c r="I575" s="270"/>
      <c r="J575" s="268">
        <v>1</v>
      </c>
      <c r="K575" s="269">
        <v>83200</v>
      </c>
      <c r="L575" s="269">
        <v>84515</v>
      </c>
      <c r="M575" s="270">
        <v>1</v>
      </c>
      <c r="N575" s="268">
        <v>1</v>
      </c>
      <c r="O575" s="271"/>
      <c r="P575" s="271">
        <v>83200</v>
      </c>
      <c r="Q575" s="271"/>
      <c r="R575" s="271"/>
      <c r="S575" s="271">
        <v>-84515</v>
      </c>
      <c r="T575" s="271"/>
      <c r="U575" s="272">
        <v>1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153</v>
      </c>
      <c r="B576" s="267" t="s">
        <v>1185</v>
      </c>
      <c r="C576" s="267" t="s">
        <v>94</v>
      </c>
      <c r="D576" s="267" t="s">
        <v>92</v>
      </c>
      <c r="E576" s="267" t="s">
        <v>0</v>
      </c>
      <c r="F576" s="268"/>
      <c r="G576" s="269"/>
      <c r="H576" s="269"/>
      <c r="I576" s="270"/>
      <c r="J576" s="268">
        <v>1</v>
      </c>
      <c r="K576" s="269">
        <v>83163</v>
      </c>
      <c r="L576" s="269">
        <v>84583</v>
      </c>
      <c r="M576" s="270">
        <v>1</v>
      </c>
      <c r="N576" s="268">
        <v>1</v>
      </c>
      <c r="O576" s="271"/>
      <c r="P576" s="271">
        <v>83163</v>
      </c>
      <c r="Q576" s="271"/>
      <c r="R576" s="271"/>
      <c r="S576" s="271">
        <v>-84583</v>
      </c>
      <c r="T576" s="271"/>
      <c r="U576" s="272">
        <v>1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153</v>
      </c>
      <c r="B577" s="267" t="s">
        <v>1186</v>
      </c>
      <c r="C577" s="267" t="s">
        <v>94</v>
      </c>
      <c r="D577" s="267" t="s">
        <v>92</v>
      </c>
      <c r="E577" s="267" t="s">
        <v>0</v>
      </c>
      <c r="F577" s="268"/>
      <c r="G577" s="269"/>
      <c r="H577" s="269"/>
      <c r="I577" s="270"/>
      <c r="J577" s="268">
        <v>1</v>
      </c>
      <c r="K577" s="269">
        <v>83088</v>
      </c>
      <c r="L577" s="269">
        <v>84845</v>
      </c>
      <c r="M577" s="270">
        <v>1</v>
      </c>
      <c r="N577" s="268">
        <v>1</v>
      </c>
      <c r="O577" s="271"/>
      <c r="P577" s="271">
        <v>83088</v>
      </c>
      <c r="Q577" s="271"/>
      <c r="R577" s="271"/>
      <c r="S577" s="271">
        <v>-84845</v>
      </c>
      <c r="T577" s="271"/>
      <c r="U577" s="272">
        <v>1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153</v>
      </c>
      <c r="B578" s="267" t="s">
        <v>1187</v>
      </c>
      <c r="C578" s="267" t="s">
        <v>94</v>
      </c>
      <c r="D578" s="267" t="s">
        <v>92</v>
      </c>
      <c r="E578" s="267" t="s">
        <v>0</v>
      </c>
      <c r="F578" s="268"/>
      <c r="G578" s="269"/>
      <c r="H578" s="269"/>
      <c r="I578" s="270"/>
      <c r="J578" s="268">
        <v>1</v>
      </c>
      <c r="K578" s="269">
        <v>83120</v>
      </c>
      <c r="L578" s="269">
        <v>84779</v>
      </c>
      <c r="M578" s="270">
        <v>1</v>
      </c>
      <c r="N578" s="268">
        <v>1</v>
      </c>
      <c r="O578" s="271"/>
      <c r="P578" s="271">
        <v>83120</v>
      </c>
      <c r="Q578" s="271"/>
      <c r="R578" s="271"/>
      <c r="S578" s="271">
        <v>-84779</v>
      </c>
      <c r="T578" s="271"/>
      <c r="U578" s="272">
        <v>1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153</v>
      </c>
      <c r="B579" s="267" t="s">
        <v>1188</v>
      </c>
      <c r="C579" s="267" t="s">
        <v>94</v>
      </c>
      <c r="D579" s="267" t="s">
        <v>92</v>
      </c>
      <c r="E579" s="267" t="s">
        <v>0</v>
      </c>
      <c r="F579" s="268"/>
      <c r="G579" s="269"/>
      <c r="H579" s="269"/>
      <c r="I579" s="270"/>
      <c r="J579" s="268">
        <v>1</v>
      </c>
      <c r="K579" s="269">
        <v>83094</v>
      </c>
      <c r="L579" s="269">
        <v>84785</v>
      </c>
      <c r="M579" s="270">
        <v>1</v>
      </c>
      <c r="N579" s="268">
        <v>1</v>
      </c>
      <c r="O579" s="271"/>
      <c r="P579" s="271">
        <v>83094</v>
      </c>
      <c r="Q579" s="271"/>
      <c r="R579" s="271"/>
      <c r="S579" s="271">
        <v>-84785</v>
      </c>
      <c r="T579" s="271"/>
      <c r="U579" s="272">
        <v>1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153</v>
      </c>
      <c r="B580" s="267" t="s">
        <v>1189</v>
      </c>
      <c r="C580" s="267" t="s">
        <v>94</v>
      </c>
      <c r="D580" s="267" t="s">
        <v>92</v>
      </c>
      <c r="E580" s="267" t="s">
        <v>0</v>
      </c>
      <c r="F580" s="268"/>
      <c r="G580" s="269"/>
      <c r="H580" s="269"/>
      <c r="I580" s="270"/>
      <c r="J580" s="268">
        <v>1</v>
      </c>
      <c r="K580" s="269">
        <v>82751</v>
      </c>
      <c r="L580" s="269">
        <v>85112</v>
      </c>
      <c r="M580" s="270">
        <v>1</v>
      </c>
      <c r="N580" s="268">
        <v>1</v>
      </c>
      <c r="O580" s="271"/>
      <c r="P580" s="271">
        <v>82751</v>
      </c>
      <c r="Q580" s="271"/>
      <c r="R580" s="271"/>
      <c r="S580" s="271">
        <v>-85112</v>
      </c>
      <c r="T580" s="271"/>
      <c r="U580" s="272">
        <v>1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153</v>
      </c>
      <c r="B581" s="267" t="s">
        <v>1190</v>
      </c>
      <c r="C581" s="267" t="s">
        <v>94</v>
      </c>
      <c r="D581" s="267" t="s">
        <v>92</v>
      </c>
      <c r="E581" s="267" t="s">
        <v>0</v>
      </c>
      <c r="F581" s="268"/>
      <c r="G581" s="269"/>
      <c r="H581" s="269"/>
      <c r="I581" s="270"/>
      <c r="J581" s="268">
        <v>1</v>
      </c>
      <c r="K581" s="269">
        <v>83046</v>
      </c>
      <c r="L581" s="269">
        <v>84768</v>
      </c>
      <c r="M581" s="270">
        <v>1</v>
      </c>
      <c r="N581" s="268">
        <v>1</v>
      </c>
      <c r="O581" s="271"/>
      <c r="P581" s="271">
        <v>83046</v>
      </c>
      <c r="Q581" s="271"/>
      <c r="R581" s="271"/>
      <c r="S581" s="271">
        <v>-84768</v>
      </c>
      <c r="T581" s="271"/>
      <c r="U581" s="272">
        <v>1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153</v>
      </c>
      <c r="B582" s="267" t="s">
        <v>1191</v>
      </c>
      <c r="C582" s="267" t="s">
        <v>94</v>
      </c>
      <c r="D582" s="267" t="s">
        <v>92</v>
      </c>
      <c r="E582" s="267" t="s">
        <v>0</v>
      </c>
      <c r="F582" s="268"/>
      <c r="G582" s="269"/>
      <c r="H582" s="269"/>
      <c r="I582" s="270"/>
      <c r="J582" s="268">
        <v>1</v>
      </c>
      <c r="K582" s="269">
        <v>82800</v>
      </c>
      <c r="L582" s="269">
        <v>85009</v>
      </c>
      <c r="M582" s="270">
        <v>1</v>
      </c>
      <c r="N582" s="268">
        <v>1</v>
      </c>
      <c r="O582" s="271"/>
      <c r="P582" s="271">
        <v>82800</v>
      </c>
      <c r="Q582" s="271"/>
      <c r="R582" s="271"/>
      <c r="S582" s="271">
        <v>-85009</v>
      </c>
      <c r="T582" s="271"/>
      <c r="U582" s="272">
        <v>1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153</v>
      </c>
      <c r="B583" s="267" t="s">
        <v>1192</v>
      </c>
      <c r="C583" s="267" t="s">
        <v>94</v>
      </c>
      <c r="D583" s="267" t="s">
        <v>92</v>
      </c>
      <c r="E583" s="267" t="s">
        <v>0</v>
      </c>
      <c r="F583" s="268"/>
      <c r="G583" s="269"/>
      <c r="H583" s="269"/>
      <c r="I583" s="270"/>
      <c r="J583" s="268">
        <v>1</v>
      </c>
      <c r="K583" s="269">
        <v>82759</v>
      </c>
      <c r="L583" s="269">
        <v>85081</v>
      </c>
      <c r="M583" s="270">
        <v>1</v>
      </c>
      <c r="N583" s="268">
        <v>1</v>
      </c>
      <c r="O583" s="271"/>
      <c r="P583" s="271">
        <v>82759</v>
      </c>
      <c r="Q583" s="271"/>
      <c r="R583" s="271"/>
      <c r="S583" s="271">
        <v>-85081</v>
      </c>
      <c r="T583" s="271"/>
      <c r="U583" s="272">
        <v>1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153</v>
      </c>
      <c r="B584" s="267" t="s">
        <v>1193</v>
      </c>
      <c r="C584" s="267" t="s">
        <v>94</v>
      </c>
      <c r="D584" s="267" t="s">
        <v>92</v>
      </c>
      <c r="E584" s="267" t="s">
        <v>0</v>
      </c>
      <c r="F584" s="268"/>
      <c r="G584" s="269"/>
      <c r="H584" s="269"/>
      <c r="I584" s="270"/>
      <c r="J584" s="268">
        <v>1</v>
      </c>
      <c r="K584" s="269">
        <v>82876</v>
      </c>
      <c r="L584" s="269">
        <v>85015</v>
      </c>
      <c r="M584" s="270">
        <v>1</v>
      </c>
      <c r="N584" s="268">
        <v>1</v>
      </c>
      <c r="O584" s="271"/>
      <c r="P584" s="271">
        <v>82876</v>
      </c>
      <c r="Q584" s="271"/>
      <c r="R584" s="271"/>
      <c r="S584" s="271">
        <v>-85015</v>
      </c>
      <c r="T584" s="271"/>
      <c r="U584" s="272">
        <v>1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153</v>
      </c>
      <c r="B585" s="267" t="s">
        <v>1194</v>
      </c>
      <c r="C585" s="267" t="s">
        <v>94</v>
      </c>
      <c r="D585" s="267" t="s">
        <v>92</v>
      </c>
      <c r="E585" s="267" t="s">
        <v>0</v>
      </c>
      <c r="F585" s="268"/>
      <c r="G585" s="269"/>
      <c r="H585" s="269"/>
      <c r="I585" s="270"/>
      <c r="J585" s="268">
        <v>1</v>
      </c>
      <c r="K585" s="269">
        <v>83010</v>
      </c>
      <c r="L585" s="269">
        <v>84647</v>
      </c>
      <c r="M585" s="270">
        <v>1</v>
      </c>
      <c r="N585" s="268">
        <v>1</v>
      </c>
      <c r="O585" s="271"/>
      <c r="P585" s="271">
        <v>83010</v>
      </c>
      <c r="Q585" s="271"/>
      <c r="R585" s="271"/>
      <c r="S585" s="271">
        <v>-84647</v>
      </c>
      <c r="T585" s="271"/>
      <c r="U585" s="272">
        <v>1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153</v>
      </c>
      <c r="B586" s="267" t="s">
        <v>1195</v>
      </c>
      <c r="C586" s="267" t="s">
        <v>94</v>
      </c>
      <c r="D586" s="267" t="s">
        <v>92</v>
      </c>
      <c r="E586" s="267" t="s">
        <v>0</v>
      </c>
      <c r="F586" s="268"/>
      <c r="G586" s="269"/>
      <c r="H586" s="269"/>
      <c r="I586" s="270"/>
      <c r="J586" s="268">
        <v>1</v>
      </c>
      <c r="K586" s="269">
        <v>82773</v>
      </c>
      <c r="L586" s="269">
        <v>84894</v>
      </c>
      <c r="M586" s="270">
        <v>1</v>
      </c>
      <c r="N586" s="268">
        <v>1</v>
      </c>
      <c r="O586" s="271"/>
      <c r="P586" s="271">
        <v>82773</v>
      </c>
      <c r="Q586" s="271"/>
      <c r="R586" s="271"/>
      <c r="S586" s="271">
        <v>-84894</v>
      </c>
      <c r="T586" s="271"/>
      <c r="U586" s="272">
        <v>1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153</v>
      </c>
      <c r="B587" s="267" t="s">
        <v>1196</v>
      </c>
      <c r="C587" s="267" t="s">
        <v>94</v>
      </c>
      <c r="D587" s="267" t="s">
        <v>92</v>
      </c>
      <c r="E587" s="267" t="s">
        <v>0</v>
      </c>
      <c r="F587" s="268"/>
      <c r="G587" s="269"/>
      <c r="H587" s="269"/>
      <c r="I587" s="270"/>
      <c r="J587" s="268">
        <v>1</v>
      </c>
      <c r="K587" s="269">
        <v>83080</v>
      </c>
      <c r="L587" s="269">
        <v>84614</v>
      </c>
      <c r="M587" s="270">
        <v>1</v>
      </c>
      <c r="N587" s="268">
        <v>1</v>
      </c>
      <c r="O587" s="271"/>
      <c r="P587" s="271">
        <v>83080</v>
      </c>
      <c r="Q587" s="271"/>
      <c r="R587" s="271"/>
      <c r="S587" s="271">
        <v>-84614</v>
      </c>
      <c r="T587" s="271"/>
      <c r="U587" s="272">
        <v>1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153</v>
      </c>
      <c r="B588" s="267" t="s">
        <v>1197</v>
      </c>
      <c r="C588" s="267" t="s">
        <v>94</v>
      </c>
      <c r="D588" s="267" t="s">
        <v>92</v>
      </c>
      <c r="E588" s="267" t="s">
        <v>0</v>
      </c>
      <c r="F588" s="268"/>
      <c r="G588" s="269"/>
      <c r="H588" s="269"/>
      <c r="I588" s="270"/>
      <c r="J588" s="268">
        <v>1</v>
      </c>
      <c r="K588" s="269">
        <v>82866</v>
      </c>
      <c r="L588" s="269">
        <v>84789</v>
      </c>
      <c r="M588" s="270">
        <v>1</v>
      </c>
      <c r="N588" s="268">
        <v>1</v>
      </c>
      <c r="O588" s="271"/>
      <c r="P588" s="271">
        <v>82866</v>
      </c>
      <c r="Q588" s="271"/>
      <c r="R588" s="271"/>
      <c r="S588" s="271">
        <v>-84789</v>
      </c>
      <c r="T588" s="271"/>
      <c r="U588" s="272">
        <v>1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153</v>
      </c>
      <c r="B589" s="267" t="s">
        <v>1198</v>
      </c>
      <c r="C589" s="267" t="s">
        <v>94</v>
      </c>
      <c r="D589" s="267" t="s">
        <v>92</v>
      </c>
      <c r="E589" s="267" t="s">
        <v>0</v>
      </c>
      <c r="F589" s="268"/>
      <c r="G589" s="269"/>
      <c r="H589" s="269"/>
      <c r="I589" s="270"/>
      <c r="J589" s="268">
        <v>1</v>
      </c>
      <c r="K589" s="269">
        <v>82767</v>
      </c>
      <c r="L589" s="269">
        <v>84901</v>
      </c>
      <c r="M589" s="270">
        <v>1</v>
      </c>
      <c r="N589" s="268">
        <v>1</v>
      </c>
      <c r="O589" s="271"/>
      <c r="P589" s="271">
        <v>82767</v>
      </c>
      <c r="Q589" s="271"/>
      <c r="R589" s="271"/>
      <c r="S589" s="271">
        <v>-84901</v>
      </c>
      <c r="T589" s="271"/>
      <c r="U589" s="272">
        <v>1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153</v>
      </c>
      <c r="B590" s="267" t="s">
        <v>1199</v>
      </c>
      <c r="C590" s="267" t="s">
        <v>94</v>
      </c>
      <c r="D590" s="267" t="s">
        <v>92</v>
      </c>
      <c r="E590" s="267" t="s">
        <v>0</v>
      </c>
      <c r="F590" s="268"/>
      <c r="G590" s="269"/>
      <c r="H590" s="269"/>
      <c r="I590" s="270"/>
      <c r="J590" s="268">
        <v>1</v>
      </c>
      <c r="K590" s="269">
        <v>82836</v>
      </c>
      <c r="L590" s="269">
        <v>84875</v>
      </c>
      <c r="M590" s="270">
        <v>1</v>
      </c>
      <c r="N590" s="268">
        <v>1</v>
      </c>
      <c r="O590" s="271"/>
      <c r="P590" s="271">
        <v>82836</v>
      </c>
      <c r="Q590" s="271"/>
      <c r="R590" s="271"/>
      <c r="S590" s="271">
        <v>-84875</v>
      </c>
      <c r="T590" s="271"/>
      <c r="U590" s="272">
        <v>1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153</v>
      </c>
      <c r="B591" s="267" t="s">
        <v>1200</v>
      </c>
      <c r="C591" s="267" t="s">
        <v>94</v>
      </c>
      <c r="D591" s="267" t="s">
        <v>92</v>
      </c>
      <c r="E591" s="267" t="s">
        <v>0</v>
      </c>
      <c r="F591" s="268"/>
      <c r="G591" s="269"/>
      <c r="H591" s="269"/>
      <c r="I591" s="270"/>
      <c r="J591" s="268">
        <v>1</v>
      </c>
      <c r="K591" s="269">
        <v>83001</v>
      </c>
      <c r="L591" s="269">
        <v>84877</v>
      </c>
      <c r="M591" s="270">
        <v>1</v>
      </c>
      <c r="N591" s="268">
        <v>1</v>
      </c>
      <c r="O591" s="271"/>
      <c r="P591" s="271">
        <v>83001</v>
      </c>
      <c r="Q591" s="271"/>
      <c r="R591" s="271"/>
      <c r="S591" s="271">
        <v>-84877</v>
      </c>
      <c r="T591" s="271"/>
      <c r="U591" s="272">
        <v>1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153</v>
      </c>
      <c r="B592" s="267" t="s">
        <v>1201</v>
      </c>
      <c r="C592" s="267" t="s">
        <v>94</v>
      </c>
      <c r="D592" s="267" t="s">
        <v>92</v>
      </c>
      <c r="E592" s="267" t="s">
        <v>0</v>
      </c>
      <c r="F592" s="268"/>
      <c r="G592" s="269"/>
      <c r="H592" s="269"/>
      <c r="I592" s="270"/>
      <c r="J592" s="268">
        <v>1</v>
      </c>
      <c r="K592" s="269">
        <v>82661</v>
      </c>
      <c r="L592" s="269">
        <v>85224</v>
      </c>
      <c r="M592" s="270">
        <v>1</v>
      </c>
      <c r="N592" s="268">
        <v>1</v>
      </c>
      <c r="O592" s="271"/>
      <c r="P592" s="271">
        <v>82661</v>
      </c>
      <c r="Q592" s="271"/>
      <c r="R592" s="271"/>
      <c r="S592" s="271">
        <v>-85224</v>
      </c>
      <c r="T592" s="271"/>
      <c r="U592" s="272">
        <v>1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153</v>
      </c>
      <c r="B593" s="267" t="s">
        <v>1202</v>
      </c>
      <c r="C593" s="267" t="s">
        <v>94</v>
      </c>
      <c r="D593" s="267" t="s">
        <v>92</v>
      </c>
      <c r="E593" s="267" t="s">
        <v>0</v>
      </c>
      <c r="F593" s="268"/>
      <c r="G593" s="269"/>
      <c r="H593" s="269"/>
      <c r="I593" s="270"/>
      <c r="J593" s="268">
        <v>1</v>
      </c>
      <c r="K593" s="269">
        <v>83051</v>
      </c>
      <c r="L593" s="269">
        <v>84793</v>
      </c>
      <c r="M593" s="270">
        <v>1</v>
      </c>
      <c r="N593" s="268">
        <v>1</v>
      </c>
      <c r="O593" s="271"/>
      <c r="P593" s="271">
        <v>83051</v>
      </c>
      <c r="Q593" s="271"/>
      <c r="R593" s="271"/>
      <c r="S593" s="271">
        <v>-84793</v>
      </c>
      <c r="T593" s="271"/>
      <c r="U593" s="272">
        <v>1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153</v>
      </c>
      <c r="B594" s="267" t="s">
        <v>1203</v>
      </c>
      <c r="C594" s="267" t="s">
        <v>94</v>
      </c>
      <c r="D594" s="267" t="s">
        <v>92</v>
      </c>
      <c r="E594" s="267" t="s">
        <v>0</v>
      </c>
      <c r="F594" s="268"/>
      <c r="G594" s="269"/>
      <c r="H594" s="269"/>
      <c r="I594" s="270"/>
      <c r="J594" s="268">
        <v>1</v>
      </c>
      <c r="K594" s="269">
        <v>82671</v>
      </c>
      <c r="L594" s="269">
        <v>85188</v>
      </c>
      <c r="M594" s="270">
        <v>1</v>
      </c>
      <c r="N594" s="268">
        <v>1</v>
      </c>
      <c r="O594" s="271"/>
      <c r="P594" s="271">
        <v>82671</v>
      </c>
      <c r="Q594" s="271"/>
      <c r="R594" s="271"/>
      <c r="S594" s="271">
        <v>-85188</v>
      </c>
      <c r="T594" s="271"/>
      <c r="U594" s="272">
        <v>1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153</v>
      </c>
      <c r="B595" s="267" t="s">
        <v>1204</v>
      </c>
      <c r="C595" s="267" t="s">
        <v>94</v>
      </c>
      <c r="D595" s="267" t="s">
        <v>92</v>
      </c>
      <c r="E595" s="267" t="s">
        <v>0</v>
      </c>
      <c r="F595" s="268"/>
      <c r="G595" s="269"/>
      <c r="H595" s="269"/>
      <c r="I595" s="270"/>
      <c r="J595" s="268">
        <v>1</v>
      </c>
      <c r="K595" s="269">
        <v>82821</v>
      </c>
      <c r="L595" s="269">
        <v>85011</v>
      </c>
      <c r="M595" s="270">
        <v>1</v>
      </c>
      <c r="N595" s="268">
        <v>1</v>
      </c>
      <c r="O595" s="271"/>
      <c r="P595" s="271">
        <v>82821</v>
      </c>
      <c r="Q595" s="271"/>
      <c r="R595" s="271"/>
      <c r="S595" s="271">
        <v>-85011</v>
      </c>
      <c r="T595" s="271"/>
      <c r="U595" s="272">
        <v>1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153</v>
      </c>
      <c r="B596" s="267" t="s">
        <v>1205</v>
      </c>
      <c r="C596" s="267" t="s">
        <v>94</v>
      </c>
      <c r="D596" s="267" t="s">
        <v>92</v>
      </c>
      <c r="E596" s="267" t="s">
        <v>0</v>
      </c>
      <c r="F596" s="268"/>
      <c r="G596" s="269"/>
      <c r="H596" s="269"/>
      <c r="I596" s="270"/>
      <c r="J596" s="268">
        <v>1</v>
      </c>
      <c r="K596" s="269">
        <v>82773</v>
      </c>
      <c r="L596" s="269">
        <v>85051</v>
      </c>
      <c r="M596" s="270">
        <v>1</v>
      </c>
      <c r="N596" s="268">
        <v>1</v>
      </c>
      <c r="O596" s="271"/>
      <c r="P596" s="271">
        <v>82773</v>
      </c>
      <c r="Q596" s="271"/>
      <c r="R596" s="271"/>
      <c r="S596" s="271">
        <v>-85051</v>
      </c>
      <c r="T596" s="271"/>
      <c r="U596" s="272">
        <v>1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153</v>
      </c>
      <c r="B597" s="267" t="s">
        <v>1206</v>
      </c>
      <c r="C597" s="267" t="s">
        <v>94</v>
      </c>
      <c r="D597" s="267" t="s">
        <v>92</v>
      </c>
      <c r="E597" s="267" t="s">
        <v>0</v>
      </c>
      <c r="F597" s="268"/>
      <c r="G597" s="269"/>
      <c r="H597" s="269"/>
      <c r="I597" s="270"/>
      <c r="J597" s="268">
        <v>1</v>
      </c>
      <c r="K597" s="269">
        <v>83145</v>
      </c>
      <c r="L597" s="269">
        <v>84648</v>
      </c>
      <c r="M597" s="270">
        <v>1</v>
      </c>
      <c r="N597" s="268">
        <v>1</v>
      </c>
      <c r="O597" s="271"/>
      <c r="P597" s="271">
        <v>83145</v>
      </c>
      <c r="Q597" s="271"/>
      <c r="R597" s="271"/>
      <c r="S597" s="271">
        <v>-84648</v>
      </c>
      <c r="T597" s="271"/>
      <c r="U597" s="272">
        <v>1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153</v>
      </c>
      <c r="B598" s="267" t="s">
        <v>1207</v>
      </c>
      <c r="C598" s="267" t="s">
        <v>94</v>
      </c>
      <c r="D598" s="267" t="s">
        <v>92</v>
      </c>
      <c r="E598" s="267" t="s">
        <v>0</v>
      </c>
      <c r="F598" s="268"/>
      <c r="G598" s="269"/>
      <c r="H598" s="269"/>
      <c r="I598" s="270"/>
      <c r="J598" s="268">
        <v>1</v>
      </c>
      <c r="K598" s="269">
        <v>83042</v>
      </c>
      <c r="L598" s="269">
        <v>84748</v>
      </c>
      <c r="M598" s="270">
        <v>1</v>
      </c>
      <c r="N598" s="268">
        <v>1</v>
      </c>
      <c r="O598" s="271"/>
      <c r="P598" s="271">
        <v>83042</v>
      </c>
      <c r="Q598" s="271"/>
      <c r="R598" s="271"/>
      <c r="S598" s="271">
        <v>-84748</v>
      </c>
      <c r="T598" s="271"/>
      <c r="U598" s="272">
        <v>1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153</v>
      </c>
      <c r="B599" s="267" t="s">
        <v>1208</v>
      </c>
      <c r="C599" s="267" t="s">
        <v>94</v>
      </c>
      <c r="D599" s="267" t="s">
        <v>92</v>
      </c>
      <c r="E599" s="267" t="s">
        <v>0</v>
      </c>
      <c r="F599" s="268"/>
      <c r="G599" s="269"/>
      <c r="H599" s="269"/>
      <c r="I599" s="270"/>
      <c r="J599" s="268">
        <v>1</v>
      </c>
      <c r="K599" s="269">
        <v>83115</v>
      </c>
      <c r="L599" s="269">
        <v>84670</v>
      </c>
      <c r="M599" s="270">
        <v>1</v>
      </c>
      <c r="N599" s="268">
        <v>1</v>
      </c>
      <c r="O599" s="271"/>
      <c r="P599" s="271">
        <v>83115</v>
      </c>
      <c r="Q599" s="271"/>
      <c r="R599" s="271"/>
      <c r="S599" s="271">
        <v>-84670</v>
      </c>
      <c r="T599" s="271"/>
      <c r="U599" s="272">
        <v>1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153</v>
      </c>
      <c r="B600" s="267" t="s">
        <v>1209</v>
      </c>
      <c r="C600" s="267" t="s">
        <v>94</v>
      </c>
      <c r="D600" s="267" t="s">
        <v>92</v>
      </c>
      <c r="E600" s="267" t="s">
        <v>0</v>
      </c>
      <c r="F600" s="268"/>
      <c r="G600" s="269"/>
      <c r="H600" s="269"/>
      <c r="I600" s="270"/>
      <c r="J600" s="268">
        <v>1</v>
      </c>
      <c r="K600" s="269">
        <v>83078</v>
      </c>
      <c r="L600" s="269">
        <v>84738</v>
      </c>
      <c r="M600" s="270">
        <v>1</v>
      </c>
      <c r="N600" s="268">
        <v>1</v>
      </c>
      <c r="O600" s="271"/>
      <c r="P600" s="271">
        <v>83078</v>
      </c>
      <c r="Q600" s="271"/>
      <c r="R600" s="271"/>
      <c r="S600" s="271">
        <v>-84738</v>
      </c>
      <c r="T600" s="271"/>
      <c r="U600" s="272">
        <v>1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153</v>
      </c>
      <c r="B601" s="267" t="s">
        <v>1210</v>
      </c>
      <c r="C601" s="267" t="s">
        <v>94</v>
      </c>
      <c r="D601" s="267" t="s">
        <v>92</v>
      </c>
      <c r="E601" s="267" t="s">
        <v>0</v>
      </c>
      <c r="F601" s="268"/>
      <c r="G601" s="269"/>
      <c r="H601" s="269"/>
      <c r="I601" s="270"/>
      <c r="J601" s="268">
        <v>1</v>
      </c>
      <c r="K601" s="269">
        <v>83218</v>
      </c>
      <c r="L601" s="269">
        <v>84621</v>
      </c>
      <c r="M601" s="270">
        <v>1</v>
      </c>
      <c r="N601" s="268">
        <v>1</v>
      </c>
      <c r="O601" s="271"/>
      <c r="P601" s="271">
        <v>83218</v>
      </c>
      <c r="Q601" s="271"/>
      <c r="R601" s="271"/>
      <c r="S601" s="271">
        <v>-84621</v>
      </c>
      <c r="T601" s="271"/>
      <c r="U601" s="272">
        <v>1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153</v>
      </c>
      <c r="B602" s="267" t="s">
        <v>1211</v>
      </c>
      <c r="C602" s="267" t="s">
        <v>94</v>
      </c>
      <c r="D602" s="267" t="s">
        <v>92</v>
      </c>
      <c r="E602" s="267" t="s">
        <v>0</v>
      </c>
      <c r="F602" s="268"/>
      <c r="G602" s="269"/>
      <c r="H602" s="269"/>
      <c r="I602" s="270"/>
      <c r="J602" s="268">
        <v>1</v>
      </c>
      <c r="K602" s="269">
        <v>83250</v>
      </c>
      <c r="L602" s="269">
        <v>84555</v>
      </c>
      <c r="M602" s="270">
        <v>1</v>
      </c>
      <c r="N602" s="268">
        <v>1</v>
      </c>
      <c r="O602" s="271"/>
      <c r="P602" s="271">
        <v>83250</v>
      </c>
      <c r="Q602" s="271"/>
      <c r="R602" s="271"/>
      <c r="S602" s="271">
        <v>-84555</v>
      </c>
      <c r="T602" s="271"/>
      <c r="U602" s="272">
        <v>1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153</v>
      </c>
      <c r="B603" s="267" t="s">
        <v>1212</v>
      </c>
      <c r="C603" s="267" t="s">
        <v>94</v>
      </c>
      <c r="D603" s="267" t="s">
        <v>92</v>
      </c>
      <c r="E603" s="267" t="s">
        <v>0</v>
      </c>
      <c r="F603" s="268"/>
      <c r="G603" s="269"/>
      <c r="H603" s="269"/>
      <c r="I603" s="270"/>
      <c r="J603" s="268">
        <v>1</v>
      </c>
      <c r="K603" s="269">
        <v>83247</v>
      </c>
      <c r="L603" s="269">
        <v>84651</v>
      </c>
      <c r="M603" s="270">
        <v>1</v>
      </c>
      <c r="N603" s="268">
        <v>1</v>
      </c>
      <c r="O603" s="271"/>
      <c r="P603" s="271">
        <v>83247</v>
      </c>
      <c r="Q603" s="271"/>
      <c r="R603" s="271"/>
      <c r="S603" s="271">
        <v>-84651</v>
      </c>
      <c r="T603" s="271"/>
      <c r="U603" s="272">
        <v>1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153</v>
      </c>
      <c r="B604" s="267" t="s">
        <v>1213</v>
      </c>
      <c r="C604" s="267" t="s">
        <v>94</v>
      </c>
      <c r="D604" s="267" t="s">
        <v>92</v>
      </c>
      <c r="E604" s="267" t="s">
        <v>0</v>
      </c>
      <c r="F604" s="268"/>
      <c r="G604" s="269"/>
      <c r="H604" s="269"/>
      <c r="I604" s="270"/>
      <c r="J604" s="268">
        <v>1</v>
      </c>
      <c r="K604" s="269">
        <v>83023</v>
      </c>
      <c r="L604" s="269">
        <v>84781</v>
      </c>
      <c r="M604" s="270">
        <v>1</v>
      </c>
      <c r="N604" s="268">
        <v>1</v>
      </c>
      <c r="O604" s="271"/>
      <c r="P604" s="271">
        <v>83023</v>
      </c>
      <c r="Q604" s="271"/>
      <c r="R604" s="271"/>
      <c r="S604" s="271">
        <v>-84781</v>
      </c>
      <c r="T604" s="271"/>
      <c r="U604" s="272">
        <v>1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153</v>
      </c>
      <c r="B605" s="267" t="s">
        <v>1214</v>
      </c>
      <c r="C605" s="267" t="s">
        <v>94</v>
      </c>
      <c r="D605" s="267" t="s">
        <v>92</v>
      </c>
      <c r="E605" s="267" t="s">
        <v>0</v>
      </c>
      <c r="F605" s="268"/>
      <c r="G605" s="269"/>
      <c r="H605" s="269"/>
      <c r="I605" s="270"/>
      <c r="J605" s="268">
        <v>1</v>
      </c>
      <c r="K605" s="269">
        <v>82751</v>
      </c>
      <c r="L605" s="269">
        <v>85128</v>
      </c>
      <c r="M605" s="270">
        <v>1</v>
      </c>
      <c r="N605" s="268">
        <v>1</v>
      </c>
      <c r="O605" s="271"/>
      <c r="P605" s="271">
        <v>82751</v>
      </c>
      <c r="Q605" s="271"/>
      <c r="R605" s="271"/>
      <c r="S605" s="271">
        <v>-85128</v>
      </c>
      <c r="T605" s="271"/>
      <c r="U605" s="272">
        <v>1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153</v>
      </c>
      <c r="B606" s="267" t="s">
        <v>1215</v>
      </c>
      <c r="C606" s="267" t="s">
        <v>94</v>
      </c>
      <c r="D606" s="267" t="s">
        <v>92</v>
      </c>
      <c r="E606" s="267" t="s">
        <v>0</v>
      </c>
      <c r="F606" s="268"/>
      <c r="G606" s="269"/>
      <c r="H606" s="269"/>
      <c r="I606" s="270"/>
      <c r="J606" s="268">
        <v>1</v>
      </c>
      <c r="K606" s="269">
        <v>83032</v>
      </c>
      <c r="L606" s="269">
        <v>84906</v>
      </c>
      <c r="M606" s="270">
        <v>1</v>
      </c>
      <c r="N606" s="268">
        <v>1</v>
      </c>
      <c r="O606" s="271"/>
      <c r="P606" s="271">
        <v>83032</v>
      </c>
      <c r="Q606" s="271"/>
      <c r="R606" s="271"/>
      <c r="S606" s="271">
        <v>-84906</v>
      </c>
      <c r="T606" s="271"/>
      <c r="U606" s="272">
        <v>1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153</v>
      </c>
      <c r="B607" s="267" t="s">
        <v>1216</v>
      </c>
      <c r="C607" s="267" t="s">
        <v>94</v>
      </c>
      <c r="D607" s="267" t="s">
        <v>92</v>
      </c>
      <c r="E607" s="267" t="s">
        <v>0</v>
      </c>
      <c r="F607" s="268"/>
      <c r="G607" s="269"/>
      <c r="H607" s="269"/>
      <c r="I607" s="270"/>
      <c r="J607" s="268">
        <v>1</v>
      </c>
      <c r="K607" s="269">
        <v>82945</v>
      </c>
      <c r="L607" s="269">
        <v>85082</v>
      </c>
      <c r="M607" s="270">
        <v>1</v>
      </c>
      <c r="N607" s="268">
        <v>1</v>
      </c>
      <c r="O607" s="271"/>
      <c r="P607" s="271">
        <v>82945</v>
      </c>
      <c r="Q607" s="271"/>
      <c r="R607" s="271"/>
      <c r="S607" s="271">
        <v>-85082</v>
      </c>
      <c r="T607" s="271"/>
      <c r="U607" s="272">
        <v>1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153</v>
      </c>
      <c r="B608" s="267" t="s">
        <v>1217</v>
      </c>
      <c r="C608" s="267" t="s">
        <v>94</v>
      </c>
      <c r="D608" s="267" t="s">
        <v>92</v>
      </c>
      <c r="E608" s="267" t="s">
        <v>0</v>
      </c>
      <c r="F608" s="268"/>
      <c r="G608" s="269"/>
      <c r="H608" s="269"/>
      <c r="I608" s="270"/>
      <c r="J608" s="268">
        <v>1</v>
      </c>
      <c r="K608" s="269">
        <v>83372</v>
      </c>
      <c r="L608" s="269">
        <v>84652</v>
      </c>
      <c r="M608" s="270">
        <v>1</v>
      </c>
      <c r="N608" s="268">
        <v>1</v>
      </c>
      <c r="O608" s="271"/>
      <c r="P608" s="271">
        <v>83372</v>
      </c>
      <c r="Q608" s="271"/>
      <c r="R608" s="271"/>
      <c r="S608" s="271">
        <v>-84652</v>
      </c>
      <c r="T608" s="271"/>
      <c r="U608" s="272">
        <v>1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153</v>
      </c>
      <c r="B609" s="267" t="s">
        <v>1218</v>
      </c>
      <c r="C609" s="267" t="s">
        <v>94</v>
      </c>
      <c r="D609" s="267" t="s">
        <v>92</v>
      </c>
      <c r="E609" s="267" t="s">
        <v>0</v>
      </c>
      <c r="F609" s="268"/>
      <c r="G609" s="269"/>
      <c r="H609" s="269"/>
      <c r="I609" s="270"/>
      <c r="J609" s="268">
        <v>1</v>
      </c>
      <c r="K609" s="269">
        <v>83047</v>
      </c>
      <c r="L609" s="269">
        <v>84837</v>
      </c>
      <c r="M609" s="270">
        <v>1</v>
      </c>
      <c r="N609" s="268">
        <v>1</v>
      </c>
      <c r="O609" s="271"/>
      <c r="P609" s="271">
        <v>83047</v>
      </c>
      <c r="Q609" s="271"/>
      <c r="R609" s="271"/>
      <c r="S609" s="271">
        <v>-84837</v>
      </c>
      <c r="T609" s="271"/>
      <c r="U609" s="272">
        <v>1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153</v>
      </c>
      <c r="B610" s="267" t="s">
        <v>1219</v>
      </c>
      <c r="C610" s="267" t="s">
        <v>94</v>
      </c>
      <c r="D610" s="267" t="s">
        <v>92</v>
      </c>
      <c r="E610" s="267" t="s">
        <v>0</v>
      </c>
      <c r="F610" s="268"/>
      <c r="G610" s="269"/>
      <c r="H610" s="269"/>
      <c r="I610" s="270"/>
      <c r="J610" s="268">
        <v>1</v>
      </c>
      <c r="K610" s="269">
        <v>83202</v>
      </c>
      <c r="L610" s="269">
        <v>84752</v>
      </c>
      <c r="M610" s="270">
        <v>1</v>
      </c>
      <c r="N610" s="268">
        <v>1</v>
      </c>
      <c r="O610" s="271"/>
      <c r="P610" s="271">
        <v>83202</v>
      </c>
      <c r="Q610" s="271"/>
      <c r="R610" s="271"/>
      <c r="S610" s="271">
        <v>-84752</v>
      </c>
      <c r="T610" s="271"/>
      <c r="U610" s="272">
        <v>1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153</v>
      </c>
      <c r="B611" s="267" t="s">
        <v>1220</v>
      </c>
      <c r="C611" s="267" t="s">
        <v>94</v>
      </c>
      <c r="D611" s="267" t="s">
        <v>92</v>
      </c>
      <c r="E611" s="267" t="s">
        <v>0</v>
      </c>
      <c r="F611" s="268"/>
      <c r="G611" s="269"/>
      <c r="H611" s="269"/>
      <c r="I611" s="270"/>
      <c r="J611" s="268">
        <v>1</v>
      </c>
      <c r="K611" s="269">
        <v>82910</v>
      </c>
      <c r="L611" s="269">
        <v>85079</v>
      </c>
      <c r="M611" s="270">
        <v>1</v>
      </c>
      <c r="N611" s="268">
        <v>1</v>
      </c>
      <c r="O611" s="271"/>
      <c r="P611" s="271">
        <v>82910</v>
      </c>
      <c r="Q611" s="271"/>
      <c r="R611" s="271"/>
      <c r="S611" s="271">
        <v>-85079</v>
      </c>
      <c r="T611" s="271"/>
      <c r="U611" s="272">
        <v>1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153</v>
      </c>
      <c r="B612" s="267" t="s">
        <v>1221</v>
      </c>
      <c r="C612" s="267" t="s">
        <v>94</v>
      </c>
      <c r="D612" s="267" t="s">
        <v>92</v>
      </c>
      <c r="E612" s="267" t="s">
        <v>0</v>
      </c>
      <c r="F612" s="268"/>
      <c r="G612" s="269"/>
      <c r="H612" s="269"/>
      <c r="I612" s="270"/>
      <c r="J612" s="268">
        <v>1</v>
      </c>
      <c r="K612" s="269">
        <v>83179</v>
      </c>
      <c r="L612" s="269">
        <v>84490</v>
      </c>
      <c r="M612" s="270">
        <v>1</v>
      </c>
      <c r="N612" s="268">
        <v>1</v>
      </c>
      <c r="O612" s="271"/>
      <c r="P612" s="271">
        <v>83179</v>
      </c>
      <c r="Q612" s="271"/>
      <c r="R612" s="271"/>
      <c r="S612" s="271">
        <v>-84490</v>
      </c>
      <c r="T612" s="271"/>
      <c r="U612" s="272">
        <v>1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153</v>
      </c>
      <c r="B613" s="267" t="s">
        <v>1222</v>
      </c>
      <c r="C613" s="267" t="s">
        <v>94</v>
      </c>
      <c r="D613" s="267" t="s">
        <v>92</v>
      </c>
      <c r="E613" s="267" t="s">
        <v>0</v>
      </c>
      <c r="F613" s="268"/>
      <c r="G613" s="269"/>
      <c r="H613" s="269"/>
      <c r="I613" s="270"/>
      <c r="J613" s="268">
        <v>1</v>
      </c>
      <c r="K613" s="269">
        <v>82561</v>
      </c>
      <c r="L613" s="269">
        <v>85084</v>
      </c>
      <c r="M613" s="270">
        <v>1</v>
      </c>
      <c r="N613" s="268">
        <v>1</v>
      </c>
      <c r="O613" s="271"/>
      <c r="P613" s="271">
        <v>82561</v>
      </c>
      <c r="Q613" s="271"/>
      <c r="R613" s="271"/>
      <c r="S613" s="271">
        <v>-85084</v>
      </c>
      <c r="T613" s="271"/>
      <c r="U613" s="272">
        <v>1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153</v>
      </c>
      <c r="B614" s="267" t="s">
        <v>1223</v>
      </c>
      <c r="C614" s="267" t="s">
        <v>94</v>
      </c>
      <c r="D614" s="267" t="s">
        <v>92</v>
      </c>
      <c r="E614" s="267" t="s">
        <v>0</v>
      </c>
      <c r="F614" s="268"/>
      <c r="G614" s="269"/>
      <c r="H614" s="269"/>
      <c r="I614" s="270"/>
      <c r="J614" s="268">
        <v>1</v>
      </c>
      <c r="K614" s="269">
        <v>82925</v>
      </c>
      <c r="L614" s="269">
        <v>84830</v>
      </c>
      <c r="M614" s="270">
        <v>1</v>
      </c>
      <c r="N614" s="268">
        <v>1</v>
      </c>
      <c r="O614" s="271"/>
      <c r="P614" s="271">
        <v>82925</v>
      </c>
      <c r="Q614" s="271"/>
      <c r="R614" s="271"/>
      <c r="S614" s="271">
        <v>-84830</v>
      </c>
      <c r="T614" s="271"/>
      <c r="U614" s="272">
        <v>1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153</v>
      </c>
      <c r="B615" s="267" t="s">
        <v>1224</v>
      </c>
      <c r="C615" s="267" t="s">
        <v>94</v>
      </c>
      <c r="D615" s="267" t="s">
        <v>92</v>
      </c>
      <c r="E615" s="267" t="s">
        <v>0</v>
      </c>
      <c r="F615" s="268"/>
      <c r="G615" s="269"/>
      <c r="H615" s="269"/>
      <c r="I615" s="270"/>
      <c r="J615" s="268">
        <v>1</v>
      </c>
      <c r="K615" s="269">
        <v>82637</v>
      </c>
      <c r="L615" s="269">
        <v>85214</v>
      </c>
      <c r="M615" s="270">
        <v>1</v>
      </c>
      <c r="N615" s="268">
        <v>1</v>
      </c>
      <c r="O615" s="271"/>
      <c r="P615" s="271">
        <v>82637</v>
      </c>
      <c r="Q615" s="271"/>
      <c r="R615" s="271"/>
      <c r="S615" s="271">
        <v>-85214</v>
      </c>
      <c r="T615" s="271"/>
      <c r="U615" s="272">
        <v>1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153</v>
      </c>
      <c r="B616" s="267" t="s">
        <v>1225</v>
      </c>
      <c r="C616" s="267" t="s">
        <v>94</v>
      </c>
      <c r="D616" s="267" t="s">
        <v>92</v>
      </c>
      <c r="E616" s="267" t="s">
        <v>0</v>
      </c>
      <c r="F616" s="268"/>
      <c r="G616" s="269"/>
      <c r="H616" s="269"/>
      <c r="I616" s="270"/>
      <c r="J616" s="268">
        <v>1</v>
      </c>
      <c r="K616" s="269">
        <v>82801</v>
      </c>
      <c r="L616" s="269">
        <v>85254</v>
      </c>
      <c r="M616" s="270">
        <v>1</v>
      </c>
      <c r="N616" s="268">
        <v>1</v>
      </c>
      <c r="O616" s="271"/>
      <c r="P616" s="271">
        <v>82801</v>
      </c>
      <c r="Q616" s="271"/>
      <c r="R616" s="271"/>
      <c r="S616" s="271">
        <v>-85254</v>
      </c>
      <c r="T616" s="271"/>
      <c r="U616" s="272">
        <v>1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153</v>
      </c>
      <c r="B617" s="267" t="s">
        <v>1226</v>
      </c>
      <c r="C617" s="267" t="s">
        <v>94</v>
      </c>
      <c r="D617" s="267" t="s">
        <v>92</v>
      </c>
      <c r="E617" s="267" t="s">
        <v>0</v>
      </c>
      <c r="F617" s="268"/>
      <c r="G617" s="269"/>
      <c r="H617" s="269"/>
      <c r="I617" s="270"/>
      <c r="J617" s="268">
        <v>1</v>
      </c>
      <c r="K617" s="269">
        <v>83036</v>
      </c>
      <c r="L617" s="269">
        <v>85019</v>
      </c>
      <c r="M617" s="270">
        <v>1</v>
      </c>
      <c r="N617" s="268">
        <v>1</v>
      </c>
      <c r="O617" s="271"/>
      <c r="P617" s="271">
        <v>83036</v>
      </c>
      <c r="Q617" s="271"/>
      <c r="R617" s="271"/>
      <c r="S617" s="271">
        <v>-85019</v>
      </c>
      <c r="T617" s="271"/>
      <c r="U617" s="272">
        <v>1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153</v>
      </c>
      <c r="B618" s="267" t="s">
        <v>1227</v>
      </c>
      <c r="C618" s="267" t="s">
        <v>94</v>
      </c>
      <c r="D618" s="267" t="s">
        <v>92</v>
      </c>
      <c r="E618" s="267" t="s">
        <v>0</v>
      </c>
      <c r="F618" s="268"/>
      <c r="G618" s="269"/>
      <c r="H618" s="269"/>
      <c r="I618" s="270"/>
      <c r="J618" s="268">
        <v>1</v>
      </c>
      <c r="K618" s="269">
        <v>82789</v>
      </c>
      <c r="L618" s="269">
        <v>84887</v>
      </c>
      <c r="M618" s="270">
        <v>1</v>
      </c>
      <c r="N618" s="268">
        <v>1</v>
      </c>
      <c r="O618" s="271"/>
      <c r="P618" s="271">
        <v>82789</v>
      </c>
      <c r="Q618" s="271"/>
      <c r="R618" s="271"/>
      <c r="S618" s="271">
        <v>-84887</v>
      </c>
      <c r="T618" s="271"/>
      <c r="U618" s="272">
        <v>1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153</v>
      </c>
      <c r="B619" s="267" t="s">
        <v>1228</v>
      </c>
      <c r="C619" s="267" t="s">
        <v>94</v>
      </c>
      <c r="D619" s="267" t="s">
        <v>92</v>
      </c>
      <c r="E619" s="267" t="s">
        <v>0</v>
      </c>
      <c r="F619" s="268"/>
      <c r="G619" s="269"/>
      <c r="H619" s="269"/>
      <c r="I619" s="270"/>
      <c r="J619" s="268">
        <v>1</v>
      </c>
      <c r="K619" s="269">
        <v>83133</v>
      </c>
      <c r="L619" s="269">
        <v>84613</v>
      </c>
      <c r="M619" s="270">
        <v>1</v>
      </c>
      <c r="N619" s="268">
        <v>1</v>
      </c>
      <c r="O619" s="271"/>
      <c r="P619" s="271">
        <v>83133</v>
      </c>
      <c r="Q619" s="271"/>
      <c r="R619" s="271"/>
      <c r="S619" s="271">
        <v>-84613</v>
      </c>
      <c r="T619" s="271"/>
      <c r="U619" s="272">
        <v>1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153</v>
      </c>
      <c r="B620" s="267" t="s">
        <v>1229</v>
      </c>
      <c r="C620" s="267" t="s">
        <v>94</v>
      </c>
      <c r="D620" s="267" t="s">
        <v>92</v>
      </c>
      <c r="E620" s="267" t="s">
        <v>0</v>
      </c>
      <c r="F620" s="268"/>
      <c r="G620" s="269"/>
      <c r="H620" s="269"/>
      <c r="I620" s="270"/>
      <c r="J620" s="268">
        <v>1</v>
      </c>
      <c r="K620" s="269">
        <v>83090</v>
      </c>
      <c r="L620" s="269">
        <v>84809</v>
      </c>
      <c r="M620" s="270">
        <v>1</v>
      </c>
      <c r="N620" s="268">
        <v>1</v>
      </c>
      <c r="O620" s="271"/>
      <c r="P620" s="271">
        <v>83090</v>
      </c>
      <c r="Q620" s="271"/>
      <c r="R620" s="271"/>
      <c r="S620" s="271">
        <v>-84809</v>
      </c>
      <c r="T620" s="271"/>
      <c r="U620" s="272">
        <v>1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153</v>
      </c>
      <c r="B621" s="267" t="s">
        <v>1230</v>
      </c>
      <c r="C621" s="267" t="s">
        <v>94</v>
      </c>
      <c r="D621" s="267" t="s">
        <v>92</v>
      </c>
      <c r="E621" s="267" t="s">
        <v>0</v>
      </c>
      <c r="F621" s="268"/>
      <c r="G621" s="269"/>
      <c r="H621" s="269"/>
      <c r="I621" s="270"/>
      <c r="J621" s="268">
        <v>1</v>
      </c>
      <c r="K621" s="269">
        <v>82836</v>
      </c>
      <c r="L621" s="269">
        <v>84819</v>
      </c>
      <c r="M621" s="270">
        <v>1</v>
      </c>
      <c r="N621" s="268">
        <v>1</v>
      </c>
      <c r="O621" s="271"/>
      <c r="P621" s="271">
        <v>82836</v>
      </c>
      <c r="Q621" s="271"/>
      <c r="R621" s="271"/>
      <c r="S621" s="271">
        <v>-84819</v>
      </c>
      <c r="T621" s="271"/>
      <c r="U621" s="272">
        <v>1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153</v>
      </c>
      <c r="B622" s="267" t="s">
        <v>1231</v>
      </c>
      <c r="C622" s="267" t="s">
        <v>94</v>
      </c>
      <c r="D622" s="267" t="s">
        <v>92</v>
      </c>
      <c r="E622" s="267" t="s">
        <v>0</v>
      </c>
      <c r="F622" s="268"/>
      <c r="G622" s="269"/>
      <c r="H622" s="269"/>
      <c r="I622" s="270"/>
      <c r="J622" s="268">
        <v>1</v>
      </c>
      <c r="K622" s="269">
        <v>82806</v>
      </c>
      <c r="L622" s="269">
        <v>84905</v>
      </c>
      <c r="M622" s="270">
        <v>1</v>
      </c>
      <c r="N622" s="268">
        <v>1</v>
      </c>
      <c r="O622" s="271"/>
      <c r="P622" s="271">
        <v>82806</v>
      </c>
      <c r="Q622" s="271"/>
      <c r="R622" s="271"/>
      <c r="S622" s="271">
        <v>-84905</v>
      </c>
      <c r="T622" s="271"/>
      <c r="U622" s="272">
        <v>1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153</v>
      </c>
      <c r="B623" s="267" t="s">
        <v>1232</v>
      </c>
      <c r="C623" s="267" t="s">
        <v>94</v>
      </c>
      <c r="D623" s="267" t="s">
        <v>92</v>
      </c>
      <c r="E623" s="267" t="s">
        <v>0</v>
      </c>
      <c r="F623" s="268"/>
      <c r="G623" s="269"/>
      <c r="H623" s="269"/>
      <c r="I623" s="270"/>
      <c r="J623" s="268">
        <v>1</v>
      </c>
      <c r="K623" s="269">
        <v>82641</v>
      </c>
      <c r="L623" s="269">
        <v>85218</v>
      </c>
      <c r="M623" s="270">
        <v>1</v>
      </c>
      <c r="N623" s="268">
        <v>1</v>
      </c>
      <c r="O623" s="271"/>
      <c r="P623" s="271">
        <v>82641</v>
      </c>
      <c r="Q623" s="271"/>
      <c r="R623" s="271"/>
      <c r="S623" s="271">
        <v>-85218</v>
      </c>
      <c r="T623" s="271"/>
      <c r="U623" s="272">
        <v>1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153</v>
      </c>
      <c r="B624" s="267" t="s">
        <v>1233</v>
      </c>
      <c r="C624" s="267" t="s">
        <v>94</v>
      </c>
      <c r="D624" s="267" t="s">
        <v>92</v>
      </c>
      <c r="E624" s="267" t="s">
        <v>0</v>
      </c>
      <c r="F624" s="268"/>
      <c r="G624" s="269"/>
      <c r="H624" s="269"/>
      <c r="I624" s="270"/>
      <c r="J624" s="268">
        <v>1</v>
      </c>
      <c r="K624" s="269">
        <v>82743</v>
      </c>
      <c r="L624" s="269">
        <v>85081</v>
      </c>
      <c r="M624" s="270">
        <v>1</v>
      </c>
      <c r="N624" s="268">
        <v>1</v>
      </c>
      <c r="O624" s="271"/>
      <c r="P624" s="271">
        <v>82743</v>
      </c>
      <c r="Q624" s="271"/>
      <c r="R624" s="271"/>
      <c r="S624" s="271">
        <v>-85081</v>
      </c>
      <c r="T624" s="271"/>
      <c r="U624" s="272">
        <v>1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153</v>
      </c>
      <c r="B625" s="267" t="s">
        <v>1234</v>
      </c>
      <c r="C625" s="267" t="s">
        <v>94</v>
      </c>
      <c r="D625" s="267" t="s">
        <v>92</v>
      </c>
      <c r="E625" s="267" t="s">
        <v>0</v>
      </c>
      <c r="F625" s="268"/>
      <c r="G625" s="269"/>
      <c r="H625" s="269"/>
      <c r="I625" s="270"/>
      <c r="J625" s="268">
        <v>1</v>
      </c>
      <c r="K625" s="269">
        <v>83048</v>
      </c>
      <c r="L625" s="269">
        <v>84768</v>
      </c>
      <c r="M625" s="270">
        <v>1</v>
      </c>
      <c r="N625" s="268">
        <v>1</v>
      </c>
      <c r="O625" s="271"/>
      <c r="P625" s="271">
        <v>83048</v>
      </c>
      <c r="Q625" s="271"/>
      <c r="R625" s="271"/>
      <c r="S625" s="271">
        <v>-84768</v>
      </c>
      <c r="T625" s="271"/>
      <c r="U625" s="272">
        <v>1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153</v>
      </c>
      <c r="B626" s="267" t="s">
        <v>1235</v>
      </c>
      <c r="C626" s="267" t="s">
        <v>94</v>
      </c>
      <c r="D626" s="267" t="s">
        <v>92</v>
      </c>
      <c r="E626" s="267" t="s">
        <v>0</v>
      </c>
      <c r="F626" s="268"/>
      <c r="G626" s="269"/>
      <c r="H626" s="269"/>
      <c r="I626" s="270"/>
      <c r="J626" s="268">
        <v>1</v>
      </c>
      <c r="K626" s="269">
        <v>83220</v>
      </c>
      <c r="L626" s="269">
        <v>84585</v>
      </c>
      <c r="M626" s="270">
        <v>1</v>
      </c>
      <c r="N626" s="268">
        <v>1</v>
      </c>
      <c r="O626" s="271"/>
      <c r="P626" s="271">
        <v>83220</v>
      </c>
      <c r="Q626" s="271"/>
      <c r="R626" s="271"/>
      <c r="S626" s="271">
        <v>-84585</v>
      </c>
      <c r="T626" s="271"/>
      <c r="U626" s="272">
        <v>1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153</v>
      </c>
      <c r="B627" s="267" t="s">
        <v>1236</v>
      </c>
      <c r="C627" s="267" t="s">
        <v>94</v>
      </c>
      <c r="D627" s="267" t="s">
        <v>92</v>
      </c>
      <c r="E627" s="267" t="s">
        <v>0</v>
      </c>
      <c r="F627" s="268"/>
      <c r="G627" s="269"/>
      <c r="H627" s="269"/>
      <c r="I627" s="270"/>
      <c r="J627" s="268">
        <v>1</v>
      </c>
      <c r="K627" s="269">
        <v>83133</v>
      </c>
      <c r="L627" s="269">
        <v>84723</v>
      </c>
      <c r="M627" s="270">
        <v>1</v>
      </c>
      <c r="N627" s="268">
        <v>1</v>
      </c>
      <c r="O627" s="271"/>
      <c r="P627" s="271">
        <v>83133</v>
      </c>
      <c r="Q627" s="271"/>
      <c r="R627" s="271"/>
      <c r="S627" s="271">
        <v>-84723</v>
      </c>
      <c r="T627" s="271"/>
      <c r="U627" s="272">
        <v>1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153</v>
      </c>
      <c r="B628" s="267" t="s">
        <v>1237</v>
      </c>
      <c r="C628" s="267" t="s">
        <v>94</v>
      </c>
      <c r="D628" s="267" t="s">
        <v>92</v>
      </c>
      <c r="E628" s="267" t="s">
        <v>0</v>
      </c>
      <c r="F628" s="268"/>
      <c r="G628" s="269"/>
      <c r="H628" s="269"/>
      <c r="I628" s="270"/>
      <c r="J628" s="268">
        <v>1</v>
      </c>
      <c r="K628" s="269">
        <v>82909</v>
      </c>
      <c r="L628" s="269">
        <v>84853</v>
      </c>
      <c r="M628" s="270">
        <v>1</v>
      </c>
      <c r="N628" s="268">
        <v>1</v>
      </c>
      <c r="O628" s="271"/>
      <c r="P628" s="271">
        <v>82909</v>
      </c>
      <c r="Q628" s="271"/>
      <c r="R628" s="271"/>
      <c r="S628" s="271">
        <v>-84853</v>
      </c>
      <c r="T628" s="271"/>
      <c r="U628" s="272">
        <v>1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153</v>
      </c>
      <c r="B629" s="267" t="s">
        <v>1238</v>
      </c>
      <c r="C629" s="267" t="s">
        <v>94</v>
      </c>
      <c r="D629" s="267" t="s">
        <v>92</v>
      </c>
      <c r="E629" s="267" t="s">
        <v>0</v>
      </c>
      <c r="F629" s="268"/>
      <c r="G629" s="269"/>
      <c r="H629" s="269"/>
      <c r="I629" s="270"/>
      <c r="J629" s="268">
        <v>1</v>
      </c>
      <c r="K629" s="269">
        <v>82743</v>
      </c>
      <c r="L629" s="269">
        <v>85120</v>
      </c>
      <c r="M629" s="270">
        <v>1</v>
      </c>
      <c r="N629" s="268">
        <v>1</v>
      </c>
      <c r="O629" s="271"/>
      <c r="P629" s="271">
        <v>82743</v>
      </c>
      <c r="Q629" s="271"/>
      <c r="R629" s="271"/>
      <c r="S629" s="271">
        <v>-85120</v>
      </c>
      <c r="T629" s="271"/>
      <c r="U629" s="272">
        <v>1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153</v>
      </c>
      <c r="B630" s="267" t="s">
        <v>1239</v>
      </c>
      <c r="C630" s="267" t="s">
        <v>94</v>
      </c>
      <c r="D630" s="267" t="s">
        <v>92</v>
      </c>
      <c r="E630" s="267" t="s">
        <v>0</v>
      </c>
      <c r="F630" s="268"/>
      <c r="G630" s="269"/>
      <c r="H630" s="269"/>
      <c r="I630" s="270"/>
      <c r="J630" s="268">
        <v>1</v>
      </c>
      <c r="K630" s="269">
        <v>83024</v>
      </c>
      <c r="L630" s="269">
        <v>84898</v>
      </c>
      <c r="M630" s="270">
        <v>1</v>
      </c>
      <c r="N630" s="268">
        <v>1</v>
      </c>
      <c r="O630" s="271"/>
      <c r="P630" s="271">
        <v>83024</v>
      </c>
      <c r="Q630" s="271"/>
      <c r="R630" s="271"/>
      <c r="S630" s="271">
        <v>-84898</v>
      </c>
      <c r="T630" s="271"/>
      <c r="U630" s="272">
        <v>1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153</v>
      </c>
      <c r="B631" s="267" t="s">
        <v>1240</v>
      </c>
      <c r="C631" s="267" t="s">
        <v>94</v>
      </c>
      <c r="D631" s="267" t="s">
        <v>92</v>
      </c>
      <c r="E631" s="267" t="s">
        <v>0</v>
      </c>
      <c r="F631" s="268"/>
      <c r="G631" s="269"/>
      <c r="H631" s="269"/>
      <c r="I631" s="270"/>
      <c r="J631" s="268">
        <v>1</v>
      </c>
      <c r="K631" s="269">
        <v>82727</v>
      </c>
      <c r="L631" s="269">
        <v>85104</v>
      </c>
      <c r="M631" s="270">
        <v>1</v>
      </c>
      <c r="N631" s="268">
        <v>1</v>
      </c>
      <c r="O631" s="271"/>
      <c r="P631" s="271">
        <v>82727</v>
      </c>
      <c r="Q631" s="271"/>
      <c r="R631" s="271"/>
      <c r="S631" s="271">
        <v>-85104</v>
      </c>
      <c r="T631" s="271"/>
      <c r="U631" s="272">
        <v>1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153</v>
      </c>
      <c r="B632" s="267" t="s">
        <v>1241</v>
      </c>
      <c r="C632" s="267" t="s">
        <v>94</v>
      </c>
      <c r="D632" s="267" t="s">
        <v>92</v>
      </c>
      <c r="E632" s="267" t="s">
        <v>0</v>
      </c>
      <c r="F632" s="268"/>
      <c r="G632" s="269"/>
      <c r="H632" s="269"/>
      <c r="I632" s="270"/>
      <c r="J632" s="268">
        <v>1</v>
      </c>
      <c r="K632" s="269">
        <v>83154</v>
      </c>
      <c r="L632" s="269">
        <v>84674</v>
      </c>
      <c r="M632" s="270">
        <v>1</v>
      </c>
      <c r="N632" s="268">
        <v>1</v>
      </c>
      <c r="O632" s="271"/>
      <c r="P632" s="271">
        <v>83154</v>
      </c>
      <c r="Q632" s="271"/>
      <c r="R632" s="271"/>
      <c r="S632" s="271">
        <v>-84674</v>
      </c>
      <c r="T632" s="271"/>
      <c r="U632" s="272">
        <v>1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153</v>
      </c>
      <c r="B633" s="267" t="s">
        <v>1242</v>
      </c>
      <c r="C633" s="267" t="s">
        <v>94</v>
      </c>
      <c r="D633" s="267" t="s">
        <v>92</v>
      </c>
      <c r="E633" s="267" t="s">
        <v>0</v>
      </c>
      <c r="F633" s="268"/>
      <c r="G633" s="269"/>
      <c r="H633" s="269"/>
      <c r="I633" s="270"/>
      <c r="J633" s="268">
        <v>1</v>
      </c>
      <c r="K633" s="269">
        <v>83073</v>
      </c>
      <c r="L633" s="269">
        <v>84863</v>
      </c>
      <c r="M633" s="270">
        <v>1</v>
      </c>
      <c r="N633" s="268">
        <v>1</v>
      </c>
      <c r="O633" s="271"/>
      <c r="P633" s="271">
        <v>83073</v>
      </c>
      <c r="Q633" s="271"/>
      <c r="R633" s="271"/>
      <c r="S633" s="271">
        <v>-84863</v>
      </c>
      <c r="T633" s="271"/>
      <c r="U633" s="272">
        <v>1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153</v>
      </c>
      <c r="B634" s="267" t="s">
        <v>1243</v>
      </c>
      <c r="C634" s="267" t="s">
        <v>94</v>
      </c>
      <c r="D634" s="267" t="s">
        <v>92</v>
      </c>
      <c r="E634" s="267" t="s">
        <v>0</v>
      </c>
      <c r="F634" s="268"/>
      <c r="G634" s="269"/>
      <c r="H634" s="269"/>
      <c r="I634" s="270"/>
      <c r="J634" s="268">
        <v>1</v>
      </c>
      <c r="K634" s="269">
        <v>83018</v>
      </c>
      <c r="L634" s="269">
        <v>84808</v>
      </c>
      <c r="M634" s="270">
        <v>1</v>
      </c>
      <c r="N634" s="268">
        <v>1</v>
      </c>
      <c r="O634" s="271"/>
      <c r="P634" s="271">
        <v>83018</v>
      </c>
      <c r="Q634" s="271"/>
      <c r="R634" s="271"/>
      <c r="S634" s="271">
        <v>-84808</v>
      </c>
      <c r="T634" s="271"/>
      <c r="U634" s="272">
        <v>1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153</v>
      </c>
      <c r="B635" s="267" t="s">
        <v>1244</v>
      </c>
      <c r="C635" s="267" t="s">
        <v>94</v>
      </c>
      <c r="D635" s="267" t="s">
        <v>92</v>
      </c>
      <c r="E635" s="267" t="s">
        <v>0</v>
      </c>
      <c r="F635" s="268"/>
      <c r="G635" s="269"/>
      <c r="H635" s="269"/>
      <c r="I635" s="270"/>
      <c r="J635" s="268">
        <v>1</v>
      </c>
      <c r="K635" s="269">
        <v>82806</v>
      </c>
      <c r="L635" s="269">
        <v>85029</v>
      </c>
      <c r="M635" s="270">
        <v>1</v>
      </c>
      <c r="N635" s="268">
        <v>1</v>
      </c>
      <c r="O635" s="271"/>
      <c r="P635" s="271">
        <v>82806</v>
      </c>
      <c r="Q635" s="271"/>
      <c r="R635" s="271"/>
      <c r="S635" s="271">
        <v>-85029</v>
      </c>
      <c r="T635" s="271"/>
      <c r="U635" s="272">
        <v>1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153</v>
      </c>
      <c r="B636" s="267" t="s">
        <v>1245</v>
      </c>
      <c r="C636" s="267" t="s">
        <v>94</v>
      </c>
      <c r="D636" s="267" t="s">
        <v>92</v>
      </c>
      <c r="E636" s="267" t="s">
        <v>0</v>
      </c>
      <c r="F636" s="268"/>
      <c r="G636" s="269"/>
      <c r="H636" s="269"/>
      <c r="I636" s="270"/>
      <c r="J636" s="268">
        <v>1</v>
      </c>
      <c r="K636" s="269">
        <v>83233</v>
      </c>
      <c r="L636" s="269">
        <v>84650</v>
      </c>
      <c r="M636" s="270">
        <v>1</v>
      </c>
      <c r="N636" s="268">
        <v>1</v>
      </c>
      <c r="O636" s="271"/>
      <c r="P636" s="271">
        <v>83233</v>
      </c>
      <c r="Q636" s="271"/>
      <c r="R636" s="271"/>
      <c r="S636" s="271">
        <v>-84650</v>
      </c>
      <c r="T636" s="271"/>
      <c r="U636" s="272">
        <v>1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153</v>
      </c>
      <c r="B637" s="267" t="s">
        <v>1246</v>
      </c>
      <c r="C637" s="267" t="s">
        <v>94</v>
      </c>
      <c r="D637" s="267" t="s">
        <v>92</v>
      </c>
      <c r="E637" s="267" t="s">
        <v>0</v>
      </c>
      <c r="F637" s="268"/>
      <c r="G637" s="269"/>
      <c r="H637" s="269"/>
      <c r="I637" s="270"/>
      <c r="J637" s="268">
        <v>1</v>
      </c>
      <c r="K637" s="269">
        <v>82637</v>
      </c>
      <c r="L637" s="269">
        <v>85214</v>
      </c>
      <c r="M637" s="270">
        <v>1</v>
      </c>
      <c r="N637" s="268">
        <v>1</v>
      </c>
      <c r="O637" s="271"/>
      <c r="P637" s="271">
        <v>82637</v>
      </c>
      <c r="Q637" s="271"/>
      <c r="R637" s="271"/>
      <c r="S637" s="271">
        <v>-85214</v>
      </c>
      <c r="T637" s="271"/>
      <c r="U637" s="272">
        <v>1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153</v>
      </c>
      <c r="B638" s="267" t="s">
        <v>1247</v>
      </c>
      <c r="C638" s="267" t="s">
        <v>94</v>
      </c>
      <c r="D638" s="267" t="s">
        <v>92</v>
      </c>
      <c r="E638" s="267" t="s">
        <v>0</v>
      </c>
      <c r="F638" s="268"/>
      <c r="G638" s="269"/>
      <c r="H638" s="269"/>
      <c r="I638" s="270"/>
      <c r="J638" s="268">
        <v>1</v>
      </c>
      <c r="K638" s="269">
        <v>83009</v>
      </c>
      <c r="L638" s="269">
        <v>84780</v>
      </c>
      <c r="M638" s="270">
        <v>1</v>
      </c>
      <c r="N638" s="268">
        <v>1</v>
      </c>
      <c r="O638" s="271"/>
      <c r="P638" s="271">
        <v>83009</v>
      </c>
      <c r="Q638" s="271"/>
      <c r="R638" s="271"/>
      <c r="S638" s="271">
        <v>-84780</v>
      </c>
      <c r="T638" s="271"/>
      <c r="U638" s="272">
        <v>1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153</v>
      </c>
      <c r="B639" s="267" t="s">
        <v>1248</v>
      </c>
      <c r="C639" s="267" t="s">
        <v>94</v>
      </c>
      <c r="D639" s="267" t="s">
        <v>92</v>
      </c>
      <c r="E639" s="267" t="s">
        <v>0</v>
      </c>
      <c r="F639" s="268"/>
      <c r="G639" s="269"/>
      <c r="H639" s="269"/>
      <c r="I639" s="270"/>
      <c r="J639" s="268">
        <v>1</v>
      </c>
      <c r="K639" s="269">
        <v>82531</v>
      </c>
      <c r="L639" s="269">
        <v>85294</v>
      </c>
      <c r="M639" s="270">
        <v>1</v>
      </c>
      <c r="N639" s="268">
        <v>1</v>
      </c>
      <c r="O639" s="271"/>
      <c r="P639" s="271">
        <v>82531</v>
      </c>
      <c r="Q639" s="271"/>
      <c r="R639" s="271"/>
      <c r="S639" s="271">
        <v>-85294</v>
      </c>
      <c r="T639" s="271"/>
      <c r="U639" s="272">
        <v>1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153</v>
      </c>
      <c r="B640" s="267" t="s">
        <v>1249</v>
      </c>
      <c r="C640" s="267" t="s">
        <v>94</v>
      </c>
      <c r="D640" s="267" t="s">
        <v>92</v>
      </c>
      <c r="E640" s="267" t="s">
        <v>0</v>
      </c>
      <c r="F640" s="268"/>
      <c r="G640" s="269"/>
      <c r="H640" s="269"/>
      <c r="I640" s="270"/>
      <c r="J640" s="268">
        <v>1</v>
      </c>
      <c r="K640" s="269">
        <v>82591</v>
      </c>
      <c r="L640" s="269">
        <v>85284</v>
      </c>
      <c r="M640" s="270">
        <v>1</v>
      </c>
      <c r="N640" s="268">
        <v>1</v>
      </c>
      <c r="O640" s="271"/>
      <c r="P640" s="271">
        <v>82591</v>
      </c>
      <c r="Q640" s="271"/>
      <c r="R640" s="271"/>
      <c r="S640" s="271">
        <v>-85284</v>
      </c>
      <c r="T640" s="271"/>
      <c r="U640" s="272">
        <v>1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153</v>
      </c>
      <c r="B641" s="267" t="s">
        <v>1250</v>
      </c>
      <c r="C641" s="267" t="s">
        <v>94</v>
      </c>
      <c r="D641" s="267" t="s">
        <v>92</v>
      </c>
      <c r="E641" s="267" t="s">
        <v>0</v>
      </c>
      <c r="F641" s="268"/>
      <c r="G641" s="269"/>
      <c r="H641" s="269"/>
      <c r="I641" s="270"/>
      <c r="J641" s="268">
        <v>1</v>
      </c>
      <c r="K641" s="269">
        <v>82746</v>
      </c>
      <c r="L641" s="269">
        <v>85155</v>
      </c>
      <c r="M641" s="270">
        <v>1</v>
      </c>
      <c r="N641" s="268">
        <v>1</v>
      </c>
      <c r="O641" s="271"/>
      <c r="P641" s="271">
        <v>82746</v>
      </c>
      <c r="Q641" s="271"/>
      <c r="R641" s="271"/>
      <c r="S641" s="271">
        <v>-85155</v>
      </c>
      <c r="T641" s="271"/>
      <c r="U641" s="272">
        <v>1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153</v>
      </c>
      <c r="B642" s="267" t="s">
        <v>1251</v>
      </c>
      <c r="C642" s="267" t="s">
        <v>94</v>
      </c>
      <c r="D642" s="267" t="s">
        <v>92</v>
      </c>
      <c r="E642" s="267" t="s">
        <v>0</v>
      </c>
      <c r="F642" s="268"/>
      <c r="G642" s="269"/>
      <c r="H642" s="269"/>
      <c r="I642" s="270"/>
      <c r="J642" s="268">
        <v>1</v>
      </c>
      <c r="K642" s="269">
        <v>82737</v>
      </c>
      <c r="L642" s="269">
        <v>85127</v>
      </c>
      <c r="M642" s="270">
        <v>1</v>
      </c>
      <c r="N642" s="268">
        <v>1</v>
      </c>
      <c r="O642" s="271"/>
      <c r="P642" s="271">
        <v>82737</v>
      </c>
      <c r="Q642" s="271"/>
      <c r="R642" s="271"/>
      <c r="S642" s="271">
        <v>-85127</v>
      </c>
      <c r="T642" s="271"/>
      <c r="U642" s="272">
        <v>1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153</v>
      </c>
      <c r="B643" s="267" t="s">
        <v>1252</v>
      </c>
      <c r="C643" s="267" t="s">
        <v>94</v>
      </c>
      <c r="D643" s="267" t="s">
        <v>92</v>
      </c>
      <c r="E643" s="267" t="s">
        <v>0</v>
      </c>
      <c r="F643" s="268"/>
      <c r="G643" s="269"/>
      <c r="H643" s="269"/>
      <c r="I643" s="270"/>
      <c r="J643" s="268">
        <v>1</v>
      </c>
      <c r="K643" s="269">
        <v>82997</v>
      </c>
      <c r="L643" s="269">
        <v>84903</v>
      </c>
      <c r="M643" s="270">
        <v>1</v>
      </c>
      <c r="N643" s="268">
        <v>1</v>
      </c>
      <c r="O643" s="271"/>
      <c r="P643" s="271">
        <v>82997</v>
      </c>
      <c r="Q643" s="271"/>
      <c r="R643" s="271"/>
      <c r="S643" s="271">
        <v>-84903</v>
      </c>
      <c r="T643" s="271"/>
      <c r="U643" s="272">
        <v>1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153</v>
      </c>
      <c r="B644" s="267" t="s">
        <v>1253</v>
      </c>
      <c r="C644" s="267" t="s">
        <v>94</v>
      </c>
      <c r="D644" s="267" t="s">
        <v>92</v>
      </c>
      <c r="E644" s="267" t="s">
        <v>0</v>
      </c>
      <c r="F644" s="268"/>
      <c r="G644" s="269"/>
      <c r="H644" s="269"/>
      <c r="I644" s="270"/>
      <c r="J644" s="268">
        <v>1</v>
      </c>
      <c r="K644" s="269">
        <v>82988</v>
      </c>
      <c r="L644" s="269">
        <v>84945</v>
      </c>
      <c r="M644" s="270">
        <v>1</v>
      </c>
      <c r="N644" s="268">
        <v>1</v>
      </c>
      <c r="O644" s="271"/>
      <c r="P644" s="271">
        <v>82988</v>
      </c>
      <c r="Q644" s="271"/>
      <c r="R644" s="271"/>
      <c r="S644" s="271">
        <v>-84945</v>
      </c>
      <c r="T644" s="271"/>
      <c r="U644" s="272">
        <v>1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153</v>
      </c>
      <c r="B645" s="267" t="s">
        <v>1254</v>
      </c>
      <c r="C645" s="267" t="s">
        <v>94</v>
      </c>
      <c r="D645" s="267" t="s">
        <v>92</v>
      </c>
      <c r="E645" s="267" t="s">
        <v>0</v>
      </c>
      <c r="F645" s="268"/>
      <c r="G645" s="269"/>
      <c r="H645" s="269"/>
      <c r="I645" s="270"/>
      <c r="J645" s="268">
        <v>1</v>
      </c>
      <c r="K645" s="269">
        <v>82910</v>
      </c>
      <c r="L645" s="269">
        <v>85079</v>
      </c>
      <c r="M645" s="270">
        <v>1</v>
      </c>
      <c r="N645" s="268">
        <v>1</v>
      </c>
      <c r="O645" s="271"/>
      <c r="P645" s="271">
        <v>82910</v>
      </c>
      <c r="Q645" s="271"/>
      <c r="R645" s="271"/>
      <c r="S645" s="271">
        <v>-85079</v>
      </c>
      <c r="T645" s="271"/>
      <c r="U645" s="272">
        <v>1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153</v>
      </c>
      <c r="B646" s="267" t="s">
        <v>1255</v>
      </c>
      <c r="C646" s="267" t="s">
        <v>94</v>
      </c>
      <c r="D646" s="267" t="s">
        <v>92</v>
      </c>
      <c r="E646" s="267" t="s">
        <v>0</v>
      </c>
      <c r="F646" s="268"/>
      <c r="G646" s="269"/>
      <c r="H646" s="269"/>
      <c r="I646" s="270"/>
      <c r="J646" s="268">
        <v>1</v>
      </c>
      <c r="K646" s="269">
        <v>82986</v>
      </c>
      <c r="L646" s="269">
        <v>85085</v>
      </c>
      <c r="M646" s="270">
        <v>1</v>
      </c>
      <c r="N646" s="268">
        <v>1</v>
      </c>
      <c r="O646" s="271"/>
      <c r="P646" s="271">
        <v>82986</v>
      </c>
      <c r="Q646" s="271"/>
      <c r="R646" s="271"/>
      <c r="S646" s="271">
        <v>-85085</v>
      </c>
      <c r="T646" s="271"/>
      <c r="U646" s="272">
        <v>1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153</v>
      </c>
      <c r="B647" s="267" t="s">
        <v>1256</v>
      </c>
      <c r="C647" s="267" t="s">
        <v>94</v>
      </c>
      <c r="D647" s="267" t="s">
        <v>92</v>
      </c>
      <c r="E647" s="267" t="s">
        <v>0</v>
      </c>
      <c r="F647" s="268"/>
      <c r="G647" s="269"/>
      <c r="H647" s="269"/>
      <c r="I647" s="270"/>
      <c r="J647" s="268">
        <v>1</v>
      </c>
      <c r="K647" s="269">
        <v>82771</v>
      </c>
      <c r="L647" s="269">
        <v>85294</v>
      </c>
      <c r="M647" s="270">
        <v>1</v>
      </c>
      <c r="N647" s="268">
        <v>1</v>
      </c>
      <c r="O647" s="271"/>
      <c r="P647" s="271">
        <v>82771</v>
      </c>
      <c r="Q647" s="271"/>
      <c r="R647" s="271"/>
      <c r="S647" s="271">
        <v>-85294</v>
      </c>
      <c r="T647" s="271"/>
      <c r="U647" s="272">
        <v>1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153</v>
      </c>
      <c r="B648" s="267" t="s">
        <v>1257</v>
      </c>
      <c r="C648" s="267" t="s">
        <v>94</v>
      </c>
      <c r="D648" s="267" t="s">
        <v>92</v>
      </c>
      <c r="E648" s="267" t="s">
        <v>0</v>
      </c>
      <c r="F648" s="268"/>
      <c r="G648" s="269"/>
      <c r="H648" s="269"/>
      <c r="I648" s="270"/>
      <c r="J648" s="268">
        <v>1</v>
      </c>
      <c r="K648" s="269">
        <v>82931</v>
      </c>
      <c r="L648" s="269">
        <v>85081</v>
      </c>
      <c r="M648" s="270">
        <v>1</v>
      </c>
      <c r="N648" s="268">
        <v>1</v>
      </c>
      <c r="O648" s="271"/>
      <c r="P648" s="271">
        <v>82931</v>
      </c>
      <c r="Q648" s="271"/>
      <c r="R648" s="271"/>
      <c r="S648" s="271">
        <v>-85081</v>
      </c>
      <c r="T648" s="271"/>
      <c r="U648" s="272">
        <v>1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153</v>
      </c>
      <c r="B649" s="267" t="s">
        <v>1258</v>
      </c>
      <c r="C649" s="267" t="s">
        <v>94</v>
      </c>
      <c r="D649" s="267" t="s">
        <v>92</v>
      </c>
      <c r="E649" s="267" t="s">
        <v>0</v>
      </c>
      <c r="F649" s="268"/>
      <c r="G649" s="269"/>
      <c r="H649" s="269"/>
      <c r="I649" s="270"/>
      <c r="J649" s="268">
        <v>1</v>
      </c>
      <c r="K649" s="269">
        <v>83152</v>
      </c>
      <c r="L649" s="269">
        <v>84818</v>
      </c>
      <c r="M649" s="270">
        <v>1</v>
      </c>
      <c r="N649" s="268">
        <v>1</v>
      </c>
      <c r="O649" s="271"/>
      <c r="P649" s="271">
        <v>83152</v>
      </c>
      <c r="Q649" s="271"/>
      <c r="R649" s="271"/>
      <c r="S649" s="271">
        <v>-84818</v>
      </c>
      <c r="T649" s="271"/>
      <c r="U649" s="272">
        <v>1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153</v>
      </c>
      <c r="B650" s="267" t="s">
        <v>1259</v>
      </c>
      <c r="C650" s="267" t="s">
        <v>94</v>
      </c>
      <c r="D650" s="267" t="s">
        <v>92</v>
      </c>
      <c r="E650" s="267" t="s">
        <v>0</v>
      </c>
      <c r="F650" s="268"/>
      <c r="G650" s="269"/>
      <c r="H650" s="269"/>
      <c r="I650" s="270"/>
      <c r="J650" s="268">
        <v>1</v>
      </c>
      <c r="K650" s="269">
        <v>83328</v>
      </c>
      <c r="L650" s="269">
        <v>84691</v>
      </c>
      <c r="M650" s="270">
        <v>1</v>
      </c>
      <c r="N650" s="268">
        <v>1</v>
      </c>
      <c r="O650" s="271"/>
      <c r="P650" s="271">
        <v>83328</v>
      </c>
      <c r="Q650" s="271"/>
      <c r="R650" s="271"/>
      <c r="S650" s="271">
        <v>-84691</v>
      </c>
      <c r="T650" s="271"/>
      <c r="U650" s="272">
        <v>1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153</v>
      </c>
      <c r="B651" s="267" t="s">
        <v>1260</v>
      </c>
      <c r="C651" s="267" t="s">
        <v>94</v>
      </c>
      <c r="D651" s="267" t="s">
        <v>92</v>
      </c>
      <c r="E651" s="267" t="s">
        <v>0</v>
      </c>
      <c r="F651" s="268"/>
      <c r="G651" s="269"/>
      <c r="H651" s="269"/>
      <c r="I651" s="270"/>
      <c r="J651" s="268">
        <v>1</v>
      </c>
      <c r="K651" s="269">
        <v>83002</v>
      </c>
      <c r="L651" s="269">
        <v>84946</v>
      </c>
      <c r="M651" s="270">
        <v>1</v>
      </c>
      <c r="N651" s="268">
        <v>1</v>
      </c>
      <c r="O651" s="271"/>
      <c r="P651" s="271">
        <v>83002</v>
      </c>
      <c r="Q651" s="271"/>
      <c r="R651" s="271"/>
      <c r="S651" s="271">
        <v>-84946</v>
      </c>
      <c r="T651" s="271"/>
      <c r="U651" s="272">
        <v>1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153</v>
      </c>
      <c r="B652" s="267" t="s">
        <v>1261</v>
      </c>
      <c r="C652" s="267" t="s">
        <v>94</v>
      </c>
      <c r="D652" s="267" t="s">
        <v>92</v>
      </c>
      <c r="E652" s="267" t="s">
        <v>0</v>
      </c>
      <c r="F652" s="268"/>
      <c r="G652" s="269"/>
      <c r="H652" s="269"/>
      <c r="I652" s="270"/>
      <c r="J652" s="268">
        <v>1</v>
      </c>
      <c r="K652" s="269">
        <v>83157</v>
      </c>
      <c r="L652" s="269">
        <v>84861</v>
      </c>
      <c r="M652" s="270">
        <v>1</v>
      </c>
      <c r="N652" s="268">
        <v>1</v>
      </c>
      <c r="O652" s="271"/>
      <c r="P652" s="271">
        <v>83157</v>
      </c>
      <c r="Q652" s="271"/>
      <c r="R652" s="271"/>
      <c r="S652" s="271">
        <v>-84861</v>
      </c>
      <c r="T652" s="271"/>
      <c r="U652" s="272">
        <v>1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153</v>
      </c>
      <c r="B653" s="267" t="s">
        <v>1262</v>
      </c>
      <c r="C653" s="267" t="s">
        <v>94</v>
      </c>
      <c r="D653" s="267" t="s">
        <v>92</v>
      </c>
      <c r="E653" s="267" t="s">
        <v>0</v>
      </c>
      <c r="F653" s="268"/>
      <c r="G653" s="269"/>
      <c r="H653" s="269"/>
      <c r="I653" s="270"/>
      <c r="J653" s="268">
        <v>1</v>
      </c>
      <c r="K653" s="269">
        <v>82771</v>
      </c>
      <c r="L653" s="269">
        <v>85294</v>
      </c>
      <c r="M653" s="270">
        <v>1</v>
      </c>
      <c r="N653" s="268">
        <v>1</v>
      </c>
      <c r="O653" s="271"/>
      <c r="P653" s="271">
        <v>82771</v>
      </c>
      <c r="Q653" s="271"/>
      <c r="R653" s="271"/>
      <c r="S653" s="271">
        <v>-85294</v>
      </c>
      <c r="T653" s="271"/>
      <c r="U653" s="272">
        <v>1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153</v>
      </c>
      <c r="B654" s="267" t="s">
        <v>1263</v>
      </c>
      <c r="C654" s="267" t="s">
        <v>94</v>
      </c>
      <c r="D654" s="267" t="s">
        <v>92</v>
      </c>
      <c r="E654" s="267" t="s">
        <v>0</v>
      </c>
      <c r="F654" s="268"/>
      <c r="G654" s="269"/>
      <c r="H654" s="269"/>
      <c r="I654" s="270"/>
      <c r="J654" s="268">
        <v>1</v>
      </c>
      <c r="K654" s="269">
        <v>83040</v>
      </c>
      <c r="L654" s="269">
        <v>84705</v>
      </c>
      <c r="M654" s="270">
        <v>1</v>
      </c>
      <c r="N654" s="268">
        <v>1</v>
      </c>
      <c r="O654" s="271"/>
      <c r="P654" s="271">
        <v>83040</v>
      </c>
      <c r="Q654" s="271"/>
      <c r="R654" s="271"/>
      <c r="S654" s="271">
        <v>-84705</v>
      </c>
      <c r="T654" s="271"/>
      <c r="U654" s="272">
        <v>1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153</v>
      </c>
      <c r="B655" s="267" t="s">
        <v>1264</v>
      </c>
      <c r="C655" s="267" t="s">
        <v>94</v>
      </c>
      <c r="D655" s="267" t="s">
        <v>92</v>
      </c>
      <c r="E655" s="267" t="s">
        <v>0</v>
      </c>
      <c r="F655" s="268"/>
      <c r="G655" s="269"/>
      <c r="H655" s="269"/>
      <c r="I655" s="270"/>
      <c r="J655" s="268">
        <v>1</v>
      </c>
      <c r="K655" s="269">
        <v>82591</v>
      </c>
      <c r="L655" s="269">
        <v>85114</v>
      </c>
      <c r="M655" s="270">
        <v>1</v>
      </c>
      <c r="N655" s="268">
        <v>1</v>
      </c>
      <c r="O655" s="271"/>
      <c r="P655" s="271">
        <v>82591</v>
      </c>
      <c r="Q655" s="271"/>
      <c r="R655" s="271"/>
      <c r="S655" s="271">
        <v>-85114</v>
      </c>
      <c r="T655" s="271"/>
      <c r="U655" s="272">
        <v>1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153</v>
      </c>
      <c r="B656" s="267" t="s">
        <v>1265</v>
      </c>
      <c r="C656" s="267" t="s">
        <v>94</v>
      </c>
      <c r="D656" s="267" t="s">
        <v>92</v>
      </c>
      <c r="E656" s="267" t="s">
        <v>0</v>
      </c>
      <c r="F656" s="268"/>
      <c r="G656" s="269"/>
      <c r="H656" s="269"/>
      <c r="I656" s="270"/>
      <c r="J656" s="268">
        <v>1</v>
      </c>
      <c r="K656" s="269">
        <v>82955</v>
      </c>
      <c r="L656" s="269">
        <v>84860</v>
      </c>
      <c r="M656" s="270">
        <v>1</v>
      </c>
      <c r="N656" s="268">
        <v>1</v>
      </c>
      <c r="O656" s="271"/>
      <c r="P656" s="271">
        <v>82955</v>
      </c>
      <c r="Q656" s="271"/>
      <c r="R656" s="271"/>
      <c r="S656" s="271">
        <v>-84860</v>
      </c>
      <c r="T656" s="271"/>
      <c r="U656" s="272">
        <v>1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153</v>
      </c>
      <c r="B657" s="267" t="s">
        <v>1266</v>
      </c>
      <c r="C657" s="267" t="s">
        <v>94</v>
      </c>
      <c r="D657" s="267" t="s">
        <v>92</v>
      </c>
      <c r="E657" s="267" t="s">
        <v>0</v>
      </c>
      <c r="F657" s="268"/>
      <c r="G657" s="269"/>
      <c r="H657" s="269"/>
      <c r="I657" s="270"/>
      <c r="J657" s="268">
        <v>1</v>
      </c>
      <c r="K657" s="269">
        <v>83074</v>
      </c>
      <c r="L657" s="269">
        <v>84832</v>
      </c>
      <c r="M657" s="270">
        <v>1</v>
      </c>
      <c r="N657" s="268">
        <v>1</v>
      </c>
      <c r="O657" s="271"/>
      <c r="P657" s="271">
        <v>83074</v>
      </c>
      <c r="Q657" s="271"/>
      <c r="R657" s="271"/>
      <c r="S657" s="271">
        <v>-84832</v>
      </c>
      <c r="T657" s="271"/>
      <c r="U657" s="272">
        <v>1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153</v>
      </c>
      <c r="B658" s="267" t="s">
        <v>1267</v>
      </c>
      <c r="C658" s="267" t="s">
        <v>94</v>
      </c>
      <c r="D658" s="267" t="s">
        <v>92</v>
      </c>
      <c r="E658" s="267" t="s">
        <v>0</v>
      </c>
      <c r="F658" s="268"/>
      <c r="G658" s="269"/>
      <c r="H658" s="269"/>
      <c r="I658" s="270"/>
      <c r="J658" s="268">
        <v>1</v>
      </c>
      <c r="K658" s="269">
        <v>83019</v>
      </c>
      <c r="L658" s="269">
        <v>84777</v>
      </c>
      <c r="M658" s="270">
        <v>1</v>
      </c>
      <c r="N658" s="268">
        <v>1</v>
      </c>
      <c r="O658" s="271"/>
      <c r="P658" s="271">
        <v>83019</v>
      </c>
      <c r="Q658" s="271"/>
      <c r="R658" s="271"/>
      <c r="S658" s="271">
        <v>-84777</v>
      </c>
      <c r="T658" s="271"/>
      <c r="U658" s="272">
        <v>1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153</v>
      </c>
      <c r="B659" s="267" t="s">
        <v>1268</v>
      </c>
      <c r="C659" s="267" t="s">
        <v>94</v>
      </c>
      <c r="D659" s="267" t="s">
        <v>92</v>
      </c>
      <c r="E659" s="267" t="s">
        <v>0</v>
      </c>
      <c r="F659" s="268"/>
      <c r="G659" s="269"/>
      <c r="H659" s="269"/>
      <c r="I659" s="270"/>
      <c r="J659" s="268">
        <v>1</v>
      </c>
      <c r="K659" s="269">
        <v>82641</v>
      </c>
      <c r="L659" s="269">
        <v>85218</v>
      </c>
      <c r="M659" s="270">
        <v>1</v>
      </c>
      <c r="N659" s="268">
        <v>1</v>
      </c>
      <c r="O659" s="271"/>
      <c r="P659" s="271">
        <v>82641</v>
      </c>
      <c r="Q659" s="271"/>
      <c r="R659" s="271"/>
      <c r="S659" s="271">
        <v>-85218</v>
      </c>
      <c r="T659" s="271"/>
      <c r="U659" s="272">
        <v>1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153</v>
      </c>
      <c r="B660" s="267" t="s">
        <v>1269</v>
      </c>
      <c r="C660" s="267" t="s">
        <v>94</v>
      </c>
      <c r="D660" s="267" t="s">
        <v>92</v>
      </c>
      <c r="E660" s="267" t="s">
        <v>0</v>
      </c>
      <c r="F660" s="268"/>
      <c r="G660" s="269"/>
      <c r="H660" s="269"/>
      <c r="I660" s="270"/>
      <c r="J660" s="268">
        <v>1</v>
      </c>
      <c r="K660" s="269">
        <v>83068</v>
      </c>
      <c r="L660" s="269">
        <v>84839</v>
      </c>
      <c r="M660" s="270">
        <v>1</v>
      </c>
      <c r="N660" s="268">
        <v>1</v>
      </c>
      <c r="O660" s="271"/>
      <c r="P660" s="271">
        <v>83068</v>
      </c>
      <c r="Q660" s="271"/>
      <c r="R660" s="271"/>
      <c r="S660" s="271">
        <v>-84839</v>
      </c>
      <c r="T660" s="271"/>
      <c r="U660" s="272">
        <v>1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153</v>
      </c>
      <c r="B661" s="267" t="s">
        <v>1270</v>
      </c>
      <c r="C661" s="267" t="s">
        <v>94</v>
      </c>
      <c r="D661" s="267" t="s">
        <v>92</v>
      </c>
      <c r="E661" s="267" t="s">
        <v>0</v>
      </c>
      <c r="F661" s="268"/>
      <c r="G661" s="269"/>
      <c r="H661" s="269"/>
      <c r="I661" s="270"/>
      <c r="J661" s="268">
        <v>1</v>
      </c>
      <c r="K661" s="269">
        <v>82851</v>
      </c>
      <c r="L661" s="269">
        <v>85188</v>
      </c>
      <c r="M661" s="270">
        <v>1</v>
      </c>
      <c r="N661" s="268">
        <v>1</v>
      </c>
      <c r="O661" s="271"/>
      <c r="P661" s="271">
        <v>82851</v>
      </c>
      <c r="Q661" s="271"/>
      <c r="R661" s="271"/>
      <c r="S661" s="271">
        <v>-85188</v>
      </c>
      <c r="T661" s="271"/>
      <c r="U661" s="272">
        <v>1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153</v>
      </c>
      <c r="B662" s="267" t="s">
        <v>1271</v>
      </c>
      <c r="C662" s="267" t="s">
        <v>94</v>
      </c>
      <c r="D662" s="267" t="s">
        <v>92</v>
      </c>
      <c r="E662" s="267" t="s">
        <v>0</v>
      </c>
      <c r="F662" s="268"/>
      <c r="G662" s="269"/>
      <c r="H662" s="269"/>
      <c r="I662" s="270"/>
      <c r="J662" s="268">
        <v>1</v>
      </c>
      <c r="K662" s="269">
        <v>83223</v>
      </c>
      <c r="L662" s="269">
        <v>84754</v>
      </c>
      <c r="M662" s="270">
        <v>1</v>
      </c>
      <c r="N662" s="268">
        <v>1</v>
      </c>
      <c r="O662" s="271"/>
      <c r="P662" s="271">
        <v>83223</v>
      </c>
      <c r="Q662" s="271"/>
      <c r="R662" s="271"/>
      <c r="S662" s="271">
        <v>-84754</v>
      </c>
      <c r="T662" s="271"/>
      <c r="U662" s="272">
        <v>1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153</v>
      </c>
      <c r="B663" s="267" t="s">
        <v>1272</v>
      </c>
      <c r="C663" s="267" t="s">
        <v>94</v>
      </c>
      <c r="D663" s="267" t="s">
        <v>92</v>
      </c>
      <c r="E663" s="267" t="s">
        <v>0</v>
      </c>
      <c r="F663" s="268"/>
      <c r="G663" s="269"/>
      <c r="H663" s="269"/>
      <c r="I663" s="270"/>
      <c r="J663" s="268">
        <v>1</v>
      </c>
      <c r="K663" s="269">
        <v>82945</v>
      </c>
      <c r="L663" s="269">
        <v>85082</v>
      </c>
      <c r="M663" s="270">
        <v>1</v>
      </c>
      <c r="N663" s="268">
        <v>1</v>
      </c>
      <c r="O663" s="271"/>
      <c r="P663" s="271">
        <v>82945</v>
      </c>
      <c r="Q663" s="271"/>
      <c r="R663" s="271"/>
      <c r="S663" s="271">
        <v>-85082</v>
      </c>
      <c r="T663" s="271"/>
      <c r="U663" s="272">
        <v>1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153</v>
      </c>
      <c r="B664" s="267" t="s">
        <v>1273</v>
      </c>
      <c r="C664" s="267" t="s">
        <v>94</v>
      </c>
      <c r="D664" s="267" t="s">
        <v>92</v>
      </c>
      <c r="E664" s="267" t="s">
        <v>0</v>
      </c>
      <c r="F664" s="268"/>
      <c r="G664" s="269"/>
      <c r="H664" s="269"/>
      <c r="I664" s="270"/>
      <c r="J664" s="268">
        <v>1</v>
      </c>
      <c r="K664" s="269">
        <v>82773</v>
      </c>
      <c r="L664" s="269">
        <v>84871</v>
      </c>
      <c r="M664" s="270">
        <v>1</v>
      </c>
      <c r="N664" s="268">
        <v>1</v>
      </c>
      <c r="O664" s="271"/>
      <c r="P664" s="271">
        <v>82773</v>
      </c>
      <c r="Q664" s="271"/>
      <c r="R664" s="271"/>
      <c r="S664" s="271">
        <v>-84871</v>
      </c>
      <c r="T664" s="271"/>
      <c r="U664" s="272">
        <v>1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153</v>
      </c>
      <c r="B665" s="267" t="s">
        <v>1274</v>
      </c>
      <c r="C665" s="267" t="s">
        <v>94</v>
      </c>
      <c r="D665" s="267" t="s">
        <v>92</v>
      </c>
      <c r="E665" s="267" t="s">
        <v>0</v>
      </c>
      <c r="F665" s="268"/>
      <c r="G665" s="269"/>
      <c r="H665" s="269"/>
      <c r="I665" s="270"/>
      <c r="J665" s="268">
        <v>1</v>
      </c>
      <c r="K665" s="269">
        <v>82727</v>
      </c>
      <c r="L665" s="269">
        <v>85104</v>
      </c>
      <c r="M665" s="270">
        <v>1</v>
      </c>
      <c r="N665" s="268">
        <v>1</v>
      </c>
      <c r="O665" s="271"/>
      <c r="P665" s="271">
        <v>82727</v>
      </c>
      <c r="Q665" s="271"/>
      <c r="R665" s="271"/>
      <c r="S665" s="271">
        <v>-85104</v>
      </c>
      <c r="T665" s="271"/>
      <c r="U665" s="272">
        <v>1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153</v>
      </c>
      <c r="B666" s="267" t="s">
        <v>1275</v>
      </c>
      <c r="C666" s="267" t="s">
        <v>94</v>
      </c>
      <c r="D666" s="267" t="s">
        <v>92</v>
      </c>
      <c r="E666" s="267" t="s">
        <v>0</v>
      </c>
      <c r="F666" s="268"/>
      <c r="G666" s="269"/>
      <c r="H666" s="269"/>
      <c r="I666" s="270"/>
      <c r="J666" s="268">
        <v>1</v>
      </c>
      <c r="K666" s="269">
        <v>82931</v>
      </c>
      <c r="L666" s="269">
        <v>85081</v>
      </c>
      <c r="M666" s="270">
        <v>1</v>
      </c>
      <c r="N666" s="268">
        <v>1</v>
      </c>
      <c r="O666" s="271"/>
      <c r="P666" s="271">
        <v>82931</v>
      </c>
      <c r="Q666" s="271"/>
      <c r="R666" s="271"/>
      <c r="S666" s="271">
        <v>-85081</v>
      </c>
      <c r="T666" s="271"/>
      <c r="U666" s="272">
        <v>1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153</v>
      </c>
      <c r="B667" s="267" t="s">
        <v>1276</v>
      </c>
      <c r="C667" s="267" t="s">
        <v>94</v>
      </c>
      <c r="D667" s="267" t="s">
        <v>92</v>
      </c>
      <c r="E667" s="267" t="s">
        <v>0</v>
      </c>
      <c r="F667" s="268"/>
      <c r="G667" s="269"/>
      <c r="H667" s="269"/>
      <c r="I667" s="270"/>
      <c r="J667" s="268">
        <v>1</v>
      </c>
      <c r="K667" s="269">
        <v>83184</v>
      </c>
      <c r="L667" s="269">
        <v>84703</v>
      </c>
      <c r="M667" s="270">
        <v>1</v>
      </c>
      <c r="N667" s="268">
        <v>1</v>
      </c>
      <c r="O667" s="271"/>
      <c r="P667" s="271">
        <v>83184</v>
      </c>
      <c r="Q667" s="271"/>
      <c r="R667" s="271"/>
      <c r="S667" s="271">
        <v>-84703</v>
      </c>
      <c r="T667" s="271"/>
      <c r="U667" s="272">
        <v>1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153</v>
      </c>
      <c r="B668" s="267" t="s">
        <v>1277</v>
      </c>
      <c r="C668" s="267" t="s">
        <v>94</v>
      </c>
      <c r="D668" s="267" t="s">
        <v>92</v>
      </c>
      <c r="E668" s="267" t="s">
        <v>0</v>
      </c>
      <c r="F668" s="268"/>
      <c r="G668" s="269"/>
      <c r="H668" s="269"/>
      <c r="I668" s="270"/>
      <c r="J668" s="268">
        <v>1</v>
      </c>
      <c r="K668" s="269">
        <v>83184</v>
      </c>
      <c r="L668" s="269">
        <v>84515</v>
      </c>
      <c r="M668" s="270">
        <v>1</v>
      </c>
      <c r="N668" s="268">
        <v>1</v>
      </c>
      <c r="O668" s="271"/>
      <c r="P668" s="271">
        <v>83184</v>
      </c>
      <c r="Q668" s="271"/>
      <c r="R668" s="271"/>
      <c r="S668" s="271">
        <v>-84515</v>
      </c>
      <c r="T668" s="271"/>
      <c r="U668" s="272">
        <v>1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153</v>
      </c>
      <c r="B669" s="267" t="s">
        <v>1278</v>
      </c>
      <c r="C669" s="267" t="s">
        <v>94</v>
      </c>
      <c r="D669" s="267" t="s">
        <v>92</v>
      </c>
      <c r="E669" s="267" t="s">
        <v>0</v>
      </c>
      <c r="F669" s="268"/>
      <c r="G669" s="269"/>
      <c r="H669" s="269"/>
      <c r="I669" s="270"/>
      <c r="J669" s="268">
        <v>1</v>
      </c>
      <c r="K669" s="269">
        <v>82566</v>
      </c>
      <c r="L669" s="269">
        <v>85297</v>
      </c>
      <c r="M669" s="270">
        <v>1</v>
      </c>
      <c r="N669" s="268">
        <v>1</v>
      </c>
      <c r="O669" s="271"/>
      <c r="P669" s="271">
        <v>82566</v>
      </c>
      <c r="Q669" s="271"/>
      <c r="R669" s="271"/>
      <c r="S669" s="271">
        <v>-85297</v>
      </c>
      <c r="T669" s="271"/>
      <c r="U669" s="272">
        <v>1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153</v>
      </c>
      <c r="B670" s="267" t="s">
        <v>1279</v>
      </c>
      <c r="C670" s="267" t="s">
        <v>94</v>
      </c>
      <c r="D670" s="267" t="s">
        <v>92</v>
      </c>
      <c r="E670" s="267" t="s">
        <v>0</v>
      </c>
      <c r="F670" s="268"/>
      <c r="G670" s="269"/>
      <c r="H670" s="269"/>
      <c r="I670" s="270"/>
      <c r="J670" s="268">
        <v>1</v>
      </c>
      <c r="K670" s="269">
        <v>82574</v>
      </c>
      <c r="L670" s="269">
        <v>85266</v>
      </c>
      <c r="M670" s="270">
        <v>1</v>
      </c>
      <c r="N670" s="268">
        <v>1</v>
      </c>
      <c r="O670" s="271"/>
      <c r="P670" s="271">
        <v>82574</v>
      </c>
      <c r="Q670" s="271"/>
      <c r="R670" s="271"/>
      <c r="S670" s="271">
        <v>-85266</v>
      </c>
      <c r="T670" s="271"/>
      <c r="U670" s="272">
        <v>1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153</v>
      </c>
      <c r="B671" s="267" t="s">
        <v>1280</v>
      </c>
      <c r="C671" s="267" t="s">
        <v>94</v>
      </c>
      <c r="D671" s="267" t="s">
        <v>92</v>
      </c>
      <c r="E671" s="267" t="s">
        <v>0</v>
      </c>
      <c r="F671" s="268"/>
      <c r="G671" s="269"/>
      <c r="H671" s="269"/>
      <c r="I671" s="270"/>
      <c r="J671" s="268">
        <v>1</v>
      </c>
      <c r="K671" s="269">
        <v>82588</v>
      </c>
      <c r="L671" s="269">
        <v>85079</v>
      </c>
      <c r="M671" s="270">
        <v>1</v>
      </c>
      <c r="N671" s="268">
        <v>1</v>
      </c>
      <c r="O671" s="271"/>
      <c r="P671" s="271">
        <v>82588</v>
      </c>
      <c r="Q671" s="271"/>
      <c r="R671" s="271"/>
      <c r="S671" s="271">
        <v>-85079</v>
      </c>
      <c r="T671" s="271"/>
      <c r="U671" s="272">
        <v>1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153</v>
      </c>
      <c r="B672" s="267" t="s">
        <v>1281</v>
      </c>
      <c r="C672" s="267" t="s">
        <v>94</v>
      </c>
      <c r="D672" s="267" t="s">
        <v>92</v>
      </c>
      <c r="E672" s="267" t="s">
        <v>0</v>
      </c>
      <c r="F672" s="268"/>
      <c r="G672" s="269"/>
      <c r="H672" s="269"/>
      <c r="I672" s="270"/>
      <c r="J672" s="268">
        <v>1</v>
      </c>
      <c r="K672" s="269">
        <v>82582</v>
      </c>
      <c r="L672" s="269">
        <v>85086</v>
      </c>
      <c r="M672" s="270">
        <v>1</v>
      </c>
      <c r="N672" s="268">
        <v>1</v>
      </c>
      <c r="O672" s="271"/>
      <c r="P672" s="271">
        <v>82582</v>
      </c>
      <c r="Q672" s="271"/>
      <c r="R672" s="271"/>
      <c r="S672" s="271">
        <v>-85086</v>
      </c>
      <c r="T672" s="271"/>
      <c r="U672" s="272">
        <v>1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153</v>
      </c>
      <c r="B673" s="267" t="s">
        <v>1282</v>
      </c>
      <c r="C673" s="267" t="s">
        <v>94</v>
      </c>
      <c r="D673" s="267" t="s">
        <v>92</v>
      </c>
      <c r="E673" s="267" t="s">
        <v>0</v>
      </c>
      <c r="F673" s="268"/>
      <c r="G673" s="269"/>
      <c r="H673" s="269"/>
      <c r="I673" s="270"/>
      <c r="J673" s="268">
        <v>1</v>
      </c>
      <c r="K673" s="269">
        <v>82960</v>
      </c>
      <c r="L673" s="269">
        <v>84833</v>
      </c>
      <c r="M673" s="270">
        <v>1</v>
      </c>
      <c r="N673" s="268">
        <v>1</v>
      </c>
      <c r="O673" s="271"/>
      <c r="P673" s="271">
        <v>82960</v>
      </c>
      <c r="Q673" s="271"/>
      <c r="R673" s="271"/>
      <c r="S673" s="271">
        <v>-84833</v>
      </c>
      <c r="T673" s="271"/>
      <c r="U673" s="272">
        <v>1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153</v>
      </c>
      <c r="B674" s="267" t="s">
        <v>1283</v>
      </c>
      <c r="C674" s="267" t="s">
        <v>94</v>
      </c>
      <c r="D674" s="267" t="s">
        <v>92</v>
      </c>
      <c r="E674" s="267" t="s">
        <v>0</v>
      </c>
      <c r="F674" s="268"/>
      <c r="G674" s="269"/>
      <c r="H674" s="269"/>
      <c r="I674" s="270"/>
      <c r="J674" s="268">
        <v>1</v>
      </c>
      <c r="K674" s="269">
        <v>82930</v>
      </c>
      <c r="L674" s="269">
        <v>84855</v>
      </c>
      <c r="M674" s="270">
        <v>1</v>
      </c>
      <c r="N674" s="268">
        <v>1</v>
      </c>
      <c r="O674" s="271"/>
      <c r="P674" s="271">
        <v>82930</v>
      </c>
      <c r="Q674" s="271"/>
      <c r="R674" s="271"/>
      <c r="S674" s="271">
        <v>-84855</v>
      </c>
      <c r="T674" s="271"/>
      <c r="U674" s="272">
        <v>1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153</v>
      </c>
      <c r="B675" s="267" t="s">
        <v>1284</v>
      </c>
      <c r="C675" s="267" t="s">
        <v>94</v>
      </c>
      <c r="D675" s="267" t="s">
        <v>92</v>
      </c>
      <c r="E675" s="267" t="s">
        <v>0</v>
      </c>
      <c r="F675" s="268"/>
      <c r="G675" s="269"/>
      <c r="H675" s="269"/>
      <c r="I675" s="270"/>
      <c r="J675" s="268">
        <v>1</v>
      </c>
      <c r="K675" s="269">
        <v>82688</v>
      </c>
      <c r="L675" s="269">
        <v>85171</v>
      </c>
      <c r="M675" s="270">
        <v>1</v>
      </c>
      <c r="N675" s="268">
        <v>1</v>
      </c>
      <c r="O675" s="271"/>
      <c r="P675" s="271">
        <v>82688</v>
      </c>
      <c r="Q675" s="271"/>
      <c r="R675" s="271"/>
      <c r="S675" s="271">
        <v>-85171</v>
      </c>
      <c r="T675" s="271"/>
      <c r="U675" s="272">
        <v>1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153</v>
      </c>
      <c r="B676" s="267" t="s">
        <v>1285</v>
      </c>
      <c r="C676" s="267" t="s">
        <v>94</v>
      </c>
      <c r="D676" s="267" t="s">
        <v>92</v>
      </c>
      <c r="E676" s="267" t="s">
        <v>0</v>
      </c>
      <c r="F676" s="268"/>
      <c r="G676" s="269"/>
      <c r="H676" s="269"/>
      <c r="I676" s="270"/>
      <c r="J676" s="268">
        <v>1</v>
      </c>
      <c r="K676" s="269">
        <v>82852</v>
      </c>
      <c r="L676" s="269">
        <v>85211</v>
      </c>
      <c r="M676" s="270">
        <v>1</v>
      </c>
      <c r="N676" s="268">
        <v>1</v>
      </c>
      <c r="O676" s="271"/>
      <c r="P676" s="271">
        <v>82852</v>
      </c>
      <c r="Q676" s="271"/>
      <c r="R676" s="271"/>
      <c r="S676" s="271">
        <v>-85211</v>
      </c>
      <c r="T676" s="271"/>
      <c r="U676" s="272">
        <v>1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153</v>
      </c>
      <c r="B677" s="267" t="s">
        <v>1286</v>
      </c>
      <c r="C677" s="267" t="s">
        <v>94</v>
      </c>
      <c r="D677" s="267" t="s">
        <v>92</v>
      </c>
      <c r="E677" s="267" t="s">
        <v>0</v>
      </c>
      <c r="F677" s="268"/>
      <c r="G677" s="269"/>
      <c r="H677" s="269"/>
      <c r="I677" s="270"/>
      <c r="J677" s="268">
        <v>1</v>
      </c>
      <c r="K677" s="269">
        <v>82867</v>
      </c>
      <c r="L677" s="269">
        <v>85142</v>
      </c>
      <c r="M677" s="270">
        <v>1</v>
      </c>
      <c r="N677" s="268">
        <v>1</v>
      </c>
      <c r="O677" s="271"/>
      <c r="P677" s="271">
        <v>82867</v>
      </c>
      <c r="Q677" s="271"/>
      <c r="R677" s="271"/>
      <c r="S677" s="271">
        <v>-85142</v>
      </c>
      <c r="T677" s="271"/>
      <c r="U677" s="272">
        <v>1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153</v>
      </c>
      <c r="B678" s="267" t="s">
        <v>1287</v>
      </c>
      <c r="C678" s="267" t="s">
        <v>94</v>
      </c>
      <c r="D678" s="267" t="s">
        <v>92</v>
      </c>
      <c r="E678" s="267" t="s">
        <v>0</v>
      </c>
      <c r="F678" s="268"/>
      <c r="G678" s="269"/>
      <c r="H678" s="269"/>
      <c r="I678" s="270"/>
      <c r="J678" s="268">
        <v>1</v>
      </c>
      <c r="K678" s="269">
        <v>82620</v>
      </c>
      <c r="L678" s="269">
        <v>85010</v>
      </c>
      <c r="M678" s="270">
        <v>1</v>
      </c>
      <c r="N678" s="268">
        <v>1</v>
      </c>
      <c r="O678" s="271"/>
      <c r="P678" s="271">
        <v>82620</v>
      </c>
      <c r="Q678" s="271"/>
      <c r="R678" s="271"/>
      <c r="S678" s="271">
        <v>-85010</v>
      </c>
      <c r="T678" s="271"/>
      <c r="U678" s="272">
        <v>1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153</v>
      </c>
      <c r="B679" s="267" t="s">
        <v>1288</v>
      </c>
      <c r="C679" s="267" t="s">
        <v>94</v>
      </c>
      <c r="D679" s="267" t="s">
        <v>92</v>
      </c>
      <c r="E679" s="267" t="s">
        <v>0</v>
      </c>
      <c r="F679" s="268"/>
      <c r="G679" s="269"/>
      <c r="H679" s="269"/>
      <c r="I679" s="270"/>
      <c r="J679" s="268">
        <v>1</v>
      </c>
      <c r="K679" s="269">
        <v>82743</v>
      </c>
      <c r="L679" s="269">
        <v>84948</v>
      </c>
      <c r="M679" s="270">
        <v>1</v>
      </c>
      <c r="N679" s="268">
        <v>1</v>
      </c>
      <c r="O679" s="271"/>
      <c r="P679" s="271">
        <v>82743</v>
      </c>
      <c r="Q679" s="271"/>
      <c r="R679" s="271"/>
      <c r="S679" s="271">
        <v>-84948</v>
      </c>
      <c r="T679" s="271"/>
      <c r="U679" s="272">
        <v>1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153</v>
      </c>
      <c r="B680" s="267" t="s">
        <v>1289</v>
      </c>
      <c r="C680" s="267" t="s">
        <v>94</v>
      </c>
      <c r="D680" s="267" t="s">
        <v>92</v>
      </c>
      <c r="E680" s="267" t="s">
        <v>0</v>
      </c>
      <c r="F680" s="268"/>
      <c r="G680" s="269"/>
      <c r="H680" s="269"/>
      <c r="I680" s="270"/>
      <c r="J680" s="268">
        <v>1</v>
      </c>
      <c r="K680" s="269">
        <v>82700</v>
      </c>
      <c r="L680" s="269">
        <v>85144</v>
      </c>
      <c r="M680" s="270">
        <v>1</v>
      </c>
      <c r="N680" s="268">
        <v>1</v>
      </c>
      <c r="O680" s="271"/>
      <c r="P680" s="271">
        <v>82700</v>
      </c>
      <c r="Q680" s="271"/>
      <c r="R680" s="271"/>
      <c r="S680" s="271">
        <v>-85144</v>
      </c>
      <c r="T680" s="271"/>
      <c r="U680" s="272">
        <v>1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153</v>
      </c>
      <c r="B681" s="267" t="s">
        <v>1290</v>
      </c>
      <c r="C681" s="267" t="s">
        <v>94</v>
      </c>
      <c r="D681" s="267" t="s">
        <v>92</v>
      </c>
      <c r="E681" s="267" t="s">
        <v>0</v>
      </c>
      <c r="F681" s="268"/>
      <c r="G681" s="269"/>
      <c r="H681" s="269"/>
      <c r="I681" s="270"/>
      <c r="J681" s="268">
        <v>1</v>
      </c>
      <c r="K681" s="269">
        <v>82574</v>
      </c>
      <c r="L681" s="269">
        <v>85243</v>
      </c>
      <c r="M681" s="270">
        <v>1</v>
      </c>
      <c r="N681" s="268">
        <v>1</v>
      </c>
      <c r="O681" s="271"/>
      <c r="P681" s="271">
        <v>82574</v>
      </c>
      <c r="Q681" s="271"/>
      <c r="R681" s="271"/>
      <c r="S681" s="271">
        <v>-85243</v>
      </c>
      <c r="T681" s="271"/>
      <c r="U681" s="272">
        <v>1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153</v>
      </c>
      <c r="B682" s="267" t="s">
        <v>1291</v>
      </c>
      <c r="C682" s="267" t="s">
        <v>94</v>
      </c>
      <c r="D682" s="267" t="s">
        <v>92</v>
      </c>
      <c r="E682" s="267" t="s">
        <v>0</v>
      </c>
      <c r="F682" s="268"/>
      <c r="G682" s="269"/>
      <c r="H682" s="269"/>
      <c r="I682" s="270"/>
      <c r="J682" s="268">
        <v>1</v>
      </c>
      <c r="K682" s="269">
        <v>82634</v>
      </c>
      <c r="L682" s="269">
        <v>85233</v>
      </c>
      <c r="M682" s="270">
        <v>1</v>
      </c>
      <c r="N682" s="268">
        <v>1</v>
      </c>
      <c r="O682" s="271"/>
      <c r="P682" s="271">
        <v>82634</v>
      </c>
      <c r="Q682" s="271"/>
      <c r="R682" s="271"/>
      <c r="S682" s="271">
        <v>-85233</v>
      </c>
      <c r="T682" s="271"/>
      <c r="U682" s="272">
        <v>1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153</v>
      </c>
      <c r="B683" s="267" t="s">
        <v>1292</v>
      </c>
      <c r="C683" s="267" t="s">
        <v>94</v>
      </c>
      <c r="D683" s="267" t="s">
        <v>92</v>
      </c>
      <c r="E683" s="267" t="s">
        <v>0</v>
      </c>
      <c r="F683" s="268"/>
      <c r="G683" s="269"/>
      <c r="H683" s="269"/>
      <c r="I683" s="270"/>
      <c r="J683" s="268">
        <v>1</v>
      </c>
      <c r="K683" s="269">
        <v>82683</v>
      </c>
      <c r="L683" s="269">
        <v>85198</v>
      </c>
      <c r="M683" s="270">
        <v>1</v>
      </c>
      <c r="N683" s="268">
        <v>1</v>
      </c>
      <c r="O683" s="271"/>
      <c r="P683" s="271">
        <v>82683</v>
      </c>
      <c r="Q683" s="271"/>
      <c r="R683" s="271"/>
      <c r="S683" s="271">
        <v>-85198</v>
      </c>
      <c r="T683" s="271"/>
      <c r="U683" s="272">
        <v>1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153</v>
      </c>
      <c r="B684" s="267" t="s">
        <v>1293</v>
      </c>
      <c r="C684" s="267" t="s">
        <v>94</v>
      </c>
      <c r="D684" s="267" t="s">
        <v>92</v>
      </c>
      <c r="E684" s="267" t="s">
        <v>0</v>
      </c>
      <c r="F684" s="268"/>
      <c r="G684" s="269"/>
      <c r="H684" s="269"/>
      <c r="I684" s="270"/>
      <c r="J684" s="268">
        <v>1</v>
      </c>
      <c r="K684" s="269">
        <v>82674</v>
      </c>
      <c r="L684" s="269">
        <v>85170</v>
      </c>
      <c r="M684" s="270">
        <v>1</v>
      </c>
      <c r="N684" s="268">
        <v>1</v>
      </c>
      <c r="O684" s="271"/>
      <c r="P684" s="271">
        <v>82674</v>
      </c>
      <c r="Q684" s="271"/>
      <c r="R684" s="271"/>
      <c r="S684" s="271">
        <v>-85170</v>
      </c>
      <c r="T684" s="271"/>
      <c r="U684" s="272">
        <v>1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153</v>
      </c>
      <c r="B685" s="267" t="s">
        <v>1294</v>
      </c>
      <c r="C685" s="267" t="s">
        <v>94</v>
      </c>
      <c r="D685" s="267" t="s">
        <v>92</v>
      </c>
      <c r="E685" s="267" t="s">
        <v>0</v>
      </c>
      <c r="F685" s="268"/>
      <c r="G685" s="269"/>
      <c r="H685" s="269"/>
      <c r="I685" s="270"/>
      <c r="J685" s="268">
        <v>1</v>
      </c>
      <c r="K685" s="269">
        <v>82817</v>
      </c>
      <c r="L685" s="269">
        <v>85208</v>
      </c>
      <c r="M685" s="270">
        <v>1</v>
      </c>
      <c r="N685" s="268">
        <v>1</v>
      </c>
      <c r="O685" s="271"/>
      <c r="P685" s="271">
        <v>82817</v>
      </c>
      <c r="Q685" s="271"/>
      <c r="R685" s="271"/>
      <c r="S685" s="271">
        <v>-85208</v>
      </c>
      <c r="T685" s="271"/>
      <c r="U685" s="272">
        <v>1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153</v>
      </c>
      <c r="B686" s="267" t="s">
        <v>1295</v>
      </c>
      <c r="C686" s="267" t="s">
        <v>94</v>
      </c>
      <c r="D686" s="267" t="s">
        <v>92</v>
      </c>
      <c r="E686" s="267" t="s">
        <v>0</v>
      </c>
      <c r="F686" s="268"/>
      <c r="G686" s="269"/>
      <c r="H686" s="269"/>
      <c r="I686" s="270"/>
      <c r="J686" s="268">
        <v>1</v>
      </c>
      <c r="K686" s="269">
        <v>82808</v>
      </c>
      <c r="L686" s="269">
        <v>85250</v>
      </c>
      <c r="M686" s="270">
        <v>1</v>
      </c>
      <c r="N686" s="268">
        <v>1</v>
      </c>
      <c r="O686" s="271"/>
      <c r="P686" s="271">
        <v>82808</v>
      </c>
      <c r="Q686" s="271"/>
      <c r="R686" s="271"/>
      <c r="S686" s="271">
        <v>-85250</v>
      </c>
      <c r="T686" s="271"/>
      <c r="U686" s="272">
        <v>1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153</v>
      </c>
      <c r="B687" s="267" t="s">
        <v>1296</v>
      </c>
      <c r="C687" s="267" t="s">
        <v>94</v>
      </c>
      <c r="D687" s="267" t="s">
        <v>92</v>
      </c>
      <c r="E687" s="267" t="s">
        <v>0</v>
      </c>
      <c r="F687" s="268"/>
      <c r="G687" s="269"/>
      <c r="H687" s="269"/>
      <c r="I687" s="270"/>
      <c r="J687" s="268">
        <v>1</v>
      </c>
      <c r="K687" s="269">
        <v>83007</v>
      </c>
      <c r="L687" s="269">
        <v>85082</v>
      </c>
      <c r="M687" s="270">
        <v>1</v>
      </c>
      <c r="N687" s="268">
        <v>1</v>
      </c>
      <c r="O687" s="271"/>
      <c r="P687" s="271">
        <v>83007</v>
      </c>
      <c r="Q687" s="271"/>
      <c r="R687" s="271"/>
      <c r="S687" s="271">
        <v>-85082</v>
      </c>
      <c r="T687" s="271"/>
      <c r="U687" s="272">
        <v>1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153</v>
      </c>
      <c r="B688" s="267" t="s">
        <v>1297</v>
      </c>
      <c r="C688" s="267" t="s">
        <v>94</v>
      </c>
      <c r="D688" s="267" t="s">
        <v>92</v>
      </c>
      <c r="E688" s="267" t="s">
        <v>0</v>
      </c>
      <c r="F688" s="268"/>
      <c r="G688" s="269"/>
      <c r="H688" s="269"/>
      <c r="I688" s="270"/>
      <c r="J688" s="268">
        <v>1</v>
      </c>
      <c r="K688" s="269">
        <v>82835</v>
      </c>
      <c r="L688" s="269">
        <v>84871</v>
      </c>
      <c r="M688" s="270">
        <v>1</v>
      </c>
      <c r="N688" s="268">
        <v>1</v>
      </c>
      <c r="O688" s="271"/>
      <c r="P688" s="271">
        <v>82835</v>
      </c>
      <c r="Q688" s="271"/>
      <c r="R688" s="271"/>
      <c r="S688" s="271">
        <v>-84871</v>
      </c>
      <c r="T688" s="271"/>
      <c r="U688" s="272">
        <v>1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153</v>
      </c>
      <c r="B689" s="267" t="s">
        <v>1298</v>
      </c>
      <c r="C689" s="267" t="s">
        <v>94</v>
      </c>
      <c r="D689" s="267" t="s">
        <v>92</v>
      </c>
      <c r="E689" s="267" t="s">
        <v>0</v>
      </c>
      <c r="F689" s="268"/>
      <c r="G689" s="269"/>
      <c r="H689" s="269"/>
      <c r="I689" s="270"/>
      <c r="J689" s="268">
        <v>1</v>
      </c>
      <c r="K689" s="269">
        <v>82869</v>
      </c>
      <c r="L689" s="269">
        <v>84998</v>
      </c>
      <c r="M689" s="270">
        <v>1</v>
      </c>
      <c r="N689" s="268">
        <v>1</v>
      </c>
      <c r="O689" s="271"/>
      <c r="P689" s="271">
        <v>82869</v>
      </c>
      <c r="Q689" s="271"/>
      <c r="R689" s="271"/>
      <c r="S689" s="271">
        <v>-84998</v>
      </c>
      <c r="T689" s="271"/>
      <c r="U689" s="272">
        <v>1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153</v>
      </c>
      <c r="B690" s="267" t="s">
        <v>1299</v>
      </c>
      <c r="C690" s="267" t="s">
        <v>94</v>
      </c>
      <c r="D690" s="267" t="s">
        <v>92</v>
      </c>
      <c r="E690" s="267" t="s">
        <v>0</v>
      </c>
      <c r="F690" s="268"/>
      <c r="G690" s="269"/>
      <c r="H690" s="269"/>
      <c r="I690" s="270"/>
      <c r="J690" s="268">
        <v>1</v>
      </c>
      <c r="K690" s="269">
        <v>83073</v>
      </c>
      <c r="L690" s="269">
        <v>84975</v>
      </c>
      <c r="M690" s="270">
        <v>1</v>
      </c>
      <c r="N690" s="268">
        <v>1</v>
      </c>
      <c r="O690" s="271"/>
      <c r="P690" s="271">
        <v>83073</v>
      </c>
      <c r="Q690" s="271"/>
      <c r="R690" s="271"/>
      <c r="S690" s="271">
        <v>-84975</v>
      </c>
      <c r="T690" s="271"/>
      <c r="U690" s="272">
        <v>1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153</v>
      </c>
      <c r="B691" s="267" t="s">
        <v>1300</v>
      </c>
      <c r="C691" s="267" t="s">
        <v>94</v>
      </c>
      <c r="D691" s="267" t="s">
        <v>92</v>
      </c>
      <c r="E691" s="267" t="s">
        <v>0</v>
      </c>
      <c r="F691" s="268"/>
      <c r="G691" s="269"/>
      <c r="H691" s="269"/>
      <c r="I691" s="270"/>
      <c r="J691" s="268">
        <v>1</v>
      </c>
      <c r="K691" s="269">
        <v>82810</v>
      </c>
      <c r="L691" s="269">
        <v>85054</v>
      </c>
      <c r="M691" s="270">
        <v>1</v>
      </c>
      <c r="N691" s="268">
        <v>1</v>
      </c>
      <c r="O691" s="271"/>
      <c r="P691" s="271">
        <v>82810</v>
      </c>
      <c r="Q691" s="271"/>
      <c r="R691" s="271"/>
      <c r="S691" s="271">
        <v>-85054</v>
      </c>
      <c r="T691" s="271"/>
      <c r="U691" s="272">
        <v>1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153</v>
      </c>
      <c r="B692" s="267" t="s">
        <v>1301</v>
      </c>
      <c r="C692" s="267" t="s">
        <v>94</v>
      </c>
      <c r="D692" s="267" t="s">
        <v>92</v>
      </c>
      <c r="E692" s="267" t="s">
        <v>0</v>
      </c>
      <c r="F692" s="268"/>
      <c r="G692" s="269"/>
      <c r="H692" s="269"/>
      <c r="I692" s="270"/>
      <c r="J692" s="268">
        <v>1</v>
      </c>
      <c r="K692" s="269">
        <v>82810</v>
      </c>
      <c r="L692" s="269">
        <v>84866</v>
      </c>
      <c r="M692" s="270">
        <v>1</v>
      </c>
      <c r="N692" s="268">
        <v>1</v>
      </c>
      <c r="O692" s="271"/>
      <c r="P692" s="271">
        <v>82810</v>
      </c>
      <c r="Q692" s="271"/>
      <c r="R692" s="271"/>
      <c r="S692" s="271">
        <v>-84866</v>
      </c>
      <c r="T692" s="271"/>
      <c r="U692" s="272">
        <v>1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153</v>
      </c>
      <c r="B693" s="267" t="s">
        <v>1302</v>
      </c>
      <c r="C693" s="267" t="s">
        <v>94</v>
      </c>
      <c r="D693" s="267" t="s">
        <v>92</v>
      </c>
      <c r="E693" s="267" t="s">
        <v>0</v>
      </c>
      <c r="F693" s="268"/>
      <c r="G693" s="269"/>
      <c r="H693" s="269"/>
      <c r="I693" s="270"/>
      <c r="J693" s="268">
        <v>1</v>
      </c>
      <c r="K693" s="269">
        <v>83154</v>
      </c>
      <c r="L693" s="269">
        <v>84780</v>
      </c>
      <c r="M693" s="270">
        <v>1</v>
      </c>
      <c r="N693" s="268">
        <v>1</v>
      </c>
      <c r="O693" s="271"/>
      <c r="P693" s="271">
        <v>83154</v>
      </c>
      <c r="Q693" s="271"/>
      <c r="R693" s="271"/>
      <c r="S693" s="271">
        <v>-84780</v>
      </c>
      <c r="T693" s="271"/>
      <c r="U693" s="272">
        <v>1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153</v>
      </c>
      <c r="B694" s="267" t="s">
        <v>1303</v>
      </c>
      <c r="C694" s="267" t="s">
        <v>94</v>
      </c>
      <c r="D694" s="267" t="s">
        <v>92</v>
      </c>
      <c r="E694" s="267" t="s">
        <v>0</v>
      </c>
      <c r="F694" s="268"/>
      <c r="G694" s="269"/>
      <c r="H694" s="269"/>
      <c r="I694" s="270"/>
      <c r="J694" s="268">
        <v>1</v>
      </c>
      <c r="K694" s="269">
        <v>83106</v>
      </c>
      <c r="L694" s="269">
        <v>84763</v>
      </c>
      <c r="M694" s="270">
        <v>1</v>
      </c>
      <c r="N694" s="268">
        <v>1</v>
      </c>
      <c r="O694" s="271"/>
      <c r="P694" s="271">
        <v>83106</v>
      </c>
      <c r="Q694" s="271"/>
      <c r="R694" s="271"/>
      <c r="S694" s="271">
        <v>-84763</v>
      </c>
      <c r="T694" s="271"/>
      <c r="U694" s="272">
        <v>1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153</v>
      </c>
      <c r="B695" s="267" t="s">
        <v>1304</v>
      </c>
      <c r="C695" s="267" t="s">
        <v>94</v>
      </c>
      <c r="D695" s="267" t="s">
        <v>92</v>
      </c>
      <c r="E695" s="267" t="s">
        <v>0</v>
      </c>
      <c r="F695" s="268"/>
      <c r="G695" s="269"/>
      <c r="H695" s="269"/>
      <c r="I695" s="270"/>
      <c r="J695" s="268">
        <v>1</v>
      </c>
      <c r="K695" s="269">
        <v>83070</v>
      </c>
      <c r="L695" s="269">
        <v>84642</v>
      </c>
      <c r="M695" s="270">
        <v>1</v>
      </c>
      <c r="N695" s="268">
        <v>1</v>
      </c>
      <c r="O695" s="271"/>
      <c r="P695" s="271">
        <v>83070</v>
      </c>
      <c r="Q695" s="271"/>
      <c r="R695" s="271"/>
      <c r="S695" s="271">
        <v>-84642</v>
      </c>
      <c r="T695" s="271"/>
      <c r="U695" s="272">
        <v>1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153</v>
      </c>
      <c r="B696" s="267" t="s">
        <v>1305</v>
      </c>
      <c r="C696" s="267" t="s">
        <v>94</v>
      </c>
      <c r="D696" s="267" t="s">
        <v>92</v>
      </c>
      <c r="E696" s="267" t="s">
        <v>0</v>
      </c>
      <c r="F696" s="268"/>
      <c r="G696" s="269"/>
      <c r="H696" s="269"/>
      <c r="I696" s="270"/>
      <c r="J696" s="268">
        <v>1</v>
      </c>
      <c r="K696" s="269">
        <v>83140</v>
      </c>
      <c r="L696" s="269">
        <v>84609</v>
      </c>
      <c r="M696" s="270">
        <v>1</v>
      </c>
      <c r="N696" s="268">
        <v>1</v>
      </c>
      <c r="O696" s="271"/>
      <c r="P696" s="271">
        <v>83140</v>
      </c>
      <c r="Q696" s="271"/>
      <c r="R696" s="271"/>
      <c r="S696" s="271">
        <v>-84609</v>
      </c>
      <c r="T696" s="271"/>
      <c r="U696" s="272">
        <v>1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153</v>
      </c>
      <c r="B697" s="267" t="s">
        <v>1306</v>
      </c>
      <c r="C697" s="267" t="s">
        <v>94</v>
      </c>
      <c r="D697" s="267" t="s">
        <v>92</v>
      </c>
      <c r="E697" s="267" t="s">
        <v>0</v>
      </c>
      <c r="F697" s="268"/>
      <c r="G697" s="269"/>
      <c r="H697" s="269"/>
      <c r="I697" s="270"/>
      <c r="J697" s="268">
        <v>1</v>
      </c>
      <c r="K697" s="269">
        <v>83061</v>
      </c>
      <c r="L697" s="269">
        <v>84872</v>
      </c>
      <c r="M697" s="270">
        <v>1</v>
      </c>
      <c r="N697" s="268">
        <v>1</v>
      </c>
      <c r="O697" s="271"/>
      <c r="P697" s="271">
        <v>83061</v>
      </c>
      <c r="Q697" s="271"/>
      <c r="R697" s="271"/>
      <c r="S697" s="271">
        <v>-84872</v>
      </c>
      <c r="T697" s="271"/>
      <c r="U697" s="272">
        <v>1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153</v>
      </c>
      <c r="B698" s="267" t="s">
        <v>1307</v>
      </c>
      <c r="C698" s="267" t="s">
        <v>94</v>
      </c>
      <c r="D698" s="267" t="s">
        <v>92</v>
      </c>
      <c r="E698" s="267" t="s">
        <v>0</v>
      </c>
      <c r="F698" s="268"/>
      <c r="G698" s="269"/>
      <c r="H698" s="269"/>
      <c r="I698" s="270"/>
      <c r="J698" s="268">
        <v>1</v>
      </c>
      <c r="K698" s="269">
        <v>83111</v>
      </c>
      <c r="L698" s="269">
        <v>84788</v>
      </c>
      <c r="M698" s="270">
        <v>1</v>
      </c>
      <c r="N698" s="268">
        <v>1</v>
      </c>
      <c r="O698" s="271"/>
      <c r="P698" s="271">
        <v>83111</v>
      </c>
      <c r="Q698" s="271"/>
      <c r="R698" s="271"/>
      <c r="S698" s="271">
        <v>-84788</v>
      </c>
      <c r="T698" s="271"/>
      <c r="U698" s="272">
        <v>1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153</v>
      </c>
      <c r="B699" s="267" t="s">
        <v>1308</v>
      </c>
      <c r="C699" s="267" t="s">
        <v>94</v>
      </c>
      <c r="D699" s="267" t="s">
        <v>92</v>
      </c>
      <c r="E699" s="267" t="s">
        <v>0</v>
      </c>
      <c r="F699" s="268"/>
      <c r="G699" s="269"/>
      <c r="H699" s="269"/>
      <c r="I699" s="270"/>
      <c r="J699" s="268">
        <v>1</v>
      </c>
      <c r="K699" s="269">
        <v>82857</v>
      </c>
      <c r="L699" s="269">
        <v>84986</v>
      </c>
      <c r="M699" s="270">
        <v>1</v>
      </c>
      <c r="N699" s="268">
        <v>1</v>
      </c>
      <c r="O699" s="271"/>
      <c r="P699" s="271">
        <v>82857</v>
      </c>
      <c r="Q699" s="271"/>
      <c r="R699" s="271"/>
      <c r="S699" s="271">
        <v>-84986</v>
      </c>
      <c r="T699" s="271"/>
      <c r="U699" s="272">
        <v>1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153</v>
      </c>
      <c r="B700" s="267" t="s">
        <v>1309</v>
      </c>
      <c r="C700" s="267" t="s">
        <v>94</v>
      </c>
      <c r="D700" s="267" t="s">
        <v>92</v>
      </c>
      <c r="E700" s="267" t="s">
        <v>0</v>
      </c>
      <c r="F700" s="268"/>
      <c r="G700" s="269"/>
      <c r="H700" s="269"/>
      <c r="I700" s="270"/>
      <c r="J700" s="268">
        <v>1</v>
      </c>
      <c r="K700" s="269">
        <v>82827</v>
      </c>
      <c r="L700" s="269">
        <v>85072</v>
      </c>
      <c r="M700" s="270">
        <v>1</v>
      </c>
      <c r="N700" s="268">
        <v>1</v>
      </c>
      <c r="O700" s="271"/>
      <c r="P700" s="271">
        <v>82827</v>
      </c>
      <c r="Q700" s="271"/>
      <c r="R700" s="271"/>
      <c r="S700" s="271">
        <v>-85072</v>
      </c>
      <c r="T700" s="271"/>
      <c r="U700" s="272">
        <v>1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153</v>
      </c>
      <c r="B701" s="267" t="s">
        <v>1310</v>
      </c>
      <c r="C701" s="267" t="s">
        <v>94</v>
      </c>
      <c r="D701" s="267" t="s">
        <v>92</v>
      </c>
      <c r="E701" s="267" t="s">
        <v>0</v>
      </c>
      <c r="F701" s="268"/>
      <c r="G701" s="269"/>
      <c r="H701" s="269"/>
      <c r="I701" s="270"/>
      <c r="J701" s="268">
        <v>1</v>
      </c>
      <c r="K701" s="269">
        <v>82657</v>
      </c>
      <c r="L701" s="269">
        <v>85172</v>
      </c>
      <c r="M701" s="270">
        <v>1</v>
      </c>
      <c r="N701" s="268">
        <v>1</v>
      </c>
      <c r="O701" s="271"/>
      <c r="P701" s="271">
        <v>82657</v>
      </c>
      <c r="Q701" s="271"/>
      <c r="R701" s="271"/>
      <c r="S701" s="271">
        <v>-85172</v>
      </c>
      <c r="T701" s="271"/>
      <c r="U701" s="272">
        <v>1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153</v>
      </c>
      <c r="B702" s="267" t="s">
        <v>1311</v>
      </c>
      <c r="C702" s="267" t="s">
        <v>94</v>
      </c>
      <c r="D702" s="267" t="s">
        <v>92</v>
      </c>
      <c r="E702" s="267" t="s">
        <v>0</v>
      </c>
      <c r="F702" s="268"/>
      <c r="G702" s="269"/>
      <c r="H702" s="269"/>
      <c r="I702" s="270"/>
      <c r="J702" s="268">
        <v>1</v>
      </c>
      <c r="K702" s="269">
        <v>82759</v>
      </c>
      <c r="L702" s="269">
        <v>85035</v>
      </c>
      <c r="M702" s="270">
        <v>1</v>
      </c>
      <c r="N702" s="268">
        <v>1</v>
      </c>
      <c r="O702" s="271"/>
      <c r="P702" s="271">
        <v>82759</v>
      </c>
      <c r="Q702" s="271"/>
      <c r="R702" s="271"/>
      <c r="S702" s="271">
        <v>-85035</v>
      </c>
      <c r="T702" s="271"/>
      <c r="U702" s="272">
        <v>1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153</v>
      </c>
      <c r="B703" s="267" t="s">
        <v>1312</v>
      </c>
      <c r="C703" s="267" t="s">
        <v>94</v>
      </c>
      <c r="D703" s="267" t="s">
        <v>92</v>
      </c>
      <c r="E703" s="267" t="s">
        <v>0</v>
      </c>
      <c r="F703" s="268"/>
      <c r="G703" s="269"/>
      <c r="H703" s="269"/>
      <c r="I703" s="270"/>
      <c r="J703" s="268">
        <v>1</v>
      </c>
      <c r="K703" s="269">
        <v>82713</v>
      </c>
      <c r="L703" s="269">
        <v>85158</v>
      </c>
      <c r="M703" s="270">
        <v>1</v>
      </c>
      <c r="N703" s="268">
        <v>1</v>
      </c>
      <c r="O703" s="271"/>
      <c r="P703" s="271">
        <v>82713</v>
      </c>
      <c r="Q703" s="271"/>
      <c r="R703" s="271"/>
      <c r="S703" s="271">
        <v>-85158</v>
      </c>
      <c r="T703" s="271"/>
      <c r="U703" s="272">
        <v>1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153</v>
      </c>
      <c r="B704" s="267" t="s">
        <v>1313</v>
      </c>
      <c r="C704" s="267" t="s">
        <v>94</v>
      </c>
      <c r="D704" s="267" t="s">
        <v>92</v>
      </c>
      <c r="E704" s="267" t="s">
        <v>0</v>
      </c>
      <c r="F704" s="268"/>
      <c r="G704" s="269"/>
      <c r="H704" s="269"/>
      <c r="I704" s="270"/>
      <c r="J704" s="268">
        <v>1</v>
      </c>
      <c r="K704" s="269">
        <v>82885</v>
      </c>
      <c r="L704" s="269">
        <v>84975</v>
      </c>
      <c r="M704" s="270">
        <v>1</v>
      </c>
      <c r="N704" s="268">
        <v>1</v>
      </c>
      <c r="O704" s="271"/>
      <c r="P704" s="271">
        <v>82885</v>
      </c>
      <c r="Q704" s="271"/>
      <c r="R704" s="271"/>
      <c r="S704" s="271">
        <v>-84975</v>
      </c>
      <c r="T704" s="271"/>
      <c r="U704" s="272">
        <v>1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153</v>
      </c>
      <c r="B705" s="267" t="s">
        <v>1314</v>
      </c>
      <c r="C705" s="267" t="s">
        <v>94</v>
      </c>
      <c r="D705" s="267" t="s">
        <v>92</v>
      </c>
      <c r="E705" s="267" t="s">
        <v>0</v>
      </c>
      <c r="F705" s="268"/>
      <c r="G705" s="269"/>
      <c r="H705" s="269"/>
      <c r="I705" s="270"/>
      <c r="J705" s="268">
        <v>1</v>
      </c>
      <c r="K705" s="269">
        <v>82773</v>
      </c>
      <c r="L705" s="269">
        <v>84848</v>
      </c>
      <c r="M705" s="270">
        <v>1</v>
      </c>
      <c r="N705" s="268">
        <v>1</v>
      </c>
      <c r="O705" s="271"/>
      <c r="P705" s="271">
        <v>82773</v>
      </c>
      <c r="Q705" s="271"/>
      <c r="R705" s="271"/>
      <c r="S705" s="271">
        <v>-84848</v>
      </c>
      <c r="T705" s="271"/>
      <c r="U705" s="272">
        <v>1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153</v>
      </c>
      <c r="B706" s="267" t="s">
        <v>1315</v>
      </c>
      <c r="C706" s="267" t="s">
        <v>94</v>
      </c>
      <c r="D706" s="267" t="s">
        <v>92</v>
      </c>
      <c r="E706" s="267" t="s">
        <v>0</v>
      </c>
      <c r="F706" s="268"/>
      <c r="G706" s="269"/>
      <c r="H706" s="269"/>
      <c r="I706" s="270"/>
      <c r="J706" s="268">
        <v>1</v>
      </c>
      <c r="K706" s="269">
        <v>82849</v>
      </c>
      <c r="L706" s="269">
        <v>84854</v>
      </c>
      <c r="M706" s="270">
        <v>1</v>
      </c>
      <c r="N706" s="268">
        <v>1</v>
      </c>
      <c r="O706" s="271"/>
      <c r="P706" s="271">
        <v>82849</v>
      </c>
      <c r="Q706" s="271"/>
      <c r="R706" s="271"/>
      <c r="S706" s="271">
        <v>-84854</v>
      </c>
      <c r="T706" s="271"/>
      <c r="U706" s="272">
        <v>1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153</v>
      </c>
      <c r="B707" s="267" t="s">
        <v>1316</v>
      </c>
      <c r="C707" s="267" t="s">
        <v>94</v>
      </c>
      <c r="D707" s="267" t="s">
        <v>92</v>
      </c>
      <c r="E707" s="267" t="s">
        <v>0</v>
      </c>
      <c r="F707" s="268"/>
      <c r="G707" s="269"/>
      <c r="H707" s="269"/>
      <c r="I707" s="270"/>
      <c r="J707" s="268">
        <v>1</v>
      </c>
      <c r="K707" s="269">
        <v>82713</v>
      </c>
      <c r="L707" s="269">
        <v>84988</v>
      </c>
      <c r="M707" s="270">
        <v>1</v>
      </c>
      <c r="N707" s="268">
        <v>1</v>
      </c>
      <c r="O707" s="271"/>
      <c r="P707" s="271">
        <v>82713</v>
      </c>
      <c r="Q707" s="271"/>
      <c r="R707" s="271"/>
      <c r="S707" s="271">
        <v>-84988</v>
      </c>
      <c r="T707" s="271"/>
      <c r="U707" s="272">
        <v>1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153</v>
      </c>
      <c r="B708" s="267" t="s">
        <v>1317</v>
      </c>
      <c r="C708" s="267" t="s">
        <v>94</v>
      </c>
      <c r="D708" s="267" t="s">
        <v>92</v>
      </c>
      <c r="E708" s="267" t="s">
        <v>0</v>
      </c>
      <c r="F708" s="268"/>
      <c r="G708" s="269"/>
      <c r="H708" s="269"/>
      <c r="I708" s="270"/>
      <c r="J708" s="268">
        <v>1</v>
      </c>
      <c r="K708" s="269">
        <v>82873</v>
      </c>
      <c r="L708" s="269">
        <v>84775</v>
      </c>
      <c r="M708" s="270">
        <v>1</v>
      </c>
      <c r="N708" s="268">
        <v>1</v>
      </c>
      <c r="O708" s="271"/>
      <c r="P708" s="271">
        <v>82873</v>
      </c>
      <c r="Q708" s="271"/>
      <c r="R708" s="271"/>
      <c r="S708" s="271">
        <v>-84775</v>
      </c>
      <c r="T708" s="271"/>
      <c r="U708" s="272">
        <v>1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153</v>
      </c>
      <c r="B709" s="267" t="s">
        <v>1318</v>
      </c>
      <c r="C709" s="267" t="s">
        <v>94</v>
      </c>
      <c r="D709" s="267" t="s">
        <v>92</v>
      </c>
      <c r="E709" s="267" t="s">
        <v>0</v>
      </c>
      <c r="F709" s="268"/>
      <c r="G709" s="269"/>
      <c r="H709" s="269"/>
      <c r="I709" s="270"/>
      <c r="J709" s="268">
        <v>1</v>
      </c>
      <c r="K709" s="269">
        <v>82637</v>
      </c>
      <c r="L709" s="269">
        <v>85028</v>
      </c>
      <c r="M709" s="270">
        <v>1</v>
      </c>
      <c r="N709" s="268">
        <v>1</v>
      </c>
      <c r="O709" s="271"/>
      <c r="P709" s="271">
        <v>82637</v>
      </c>
      <c r="Q709" s="271"/>
      <c r="R709" s="271"/>
      <c r="S709" s="271">
        <v>-85028</v>
      </c>
      <c r="T709" s="271"/>
      <c r="U709" s="272">
        <v>1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153</v>
      </c>
      <c r="B710" s="267" t="s">
        <v>1319</v>
      </c>
      <c r="C710" s="267" t="s">
        <v>94</v>
      </c>
      <c r="D710" s="267" t="s">
        <v>92</v>
      </c>
      <c r="E710" s="267" t="s">
        <v>0</v>
      </c>
      <c r="F710" s="268"/>
      <c r="G710" s="269"/>
      <c r="H710" s="269"/>
      <c r="I710" s="270"/>
      <c r="J710" s="268">
        <v>1</v>
      </c>
      <c r="K710" s="269">
        <v>82813</v>
      </c>
      <c r="L710" s="269">
        <v>84901</v>
      </c>
      <c r="M710" s="270">
        <v>1</v>
      </c>
      <c r="N710" s="268">
        <v>1</v>
      </c>
      <c r="O710" s="271"/>
      <c r="P710" s="271">
        <v>82813</v>
      </c>
      <c r="Q710" s="271"/>
      <c r="R710" s="271"/>
      <c r="S710" s="271">
        <v>-84901</v>
      </c>
      <c r="T710" s="271"/>
      <c r="U710" s="272">
        <v>1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153</v>
      </c>
      <c r="B711" s="267" t="s">
        <v>1320</v>
      </c>
      <c r="C711" s="267" t="s">
        <v>94</v>
      </c>
      <c r="D711" s="267" t="s">
        <v>92</v>
      </c>
      <c r="E711" s="267" t="s">
        <v>0</v>
      </c>
      <c r="F711" s="268"/>
      <c r="G711" s="269"/>
      <c r="H711" s="269"/>
      <c r="I711" s="270"/>
      <c r="J711" s="268">
        <v>1</v>
      </c>
      <c r="K711" s="269">
        <v>82612</v>
      </c>
      <c r="L711" s="269">
        <v>85281</v>
      </c>
      <c r="M711" s="270">
        <v>1</v>
      </c>
      <c r="N711" s="268">
        <v>1</v>
      </c>
      <c r="O711" s="271"/>
      <c r="P711" s="271">
        <v>82612</v>
      </c>
      <c r="Q711" s="271"/>
      <c r="R711" s="271"/>
      <c r="S711" s="271">
        <v>-85281</v>
      </c>
      <c r="T711" s="271"/>
      <c r="U711" s="272">
        <v>1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153</v>
      </c>
      <c r="B712" s="267" t="s">
        <v>1321</v>
      </c>
      <c r="C712" s="267" t="s">
        <v>94</v>
      </c>
      <c r="D712" s="267" t="s">
        <v>92</v>
      </c>
      <c r="E712" s="267" t="s">
        <v>0</v>
      </c>
      <c r="F712" s="268"/>
      <c r="G712" s="269"/>
      <c r="H712" s="269"/>
      <c r="I712" s="270"/>
      <c r="J712" s="268">
        <v>1</v>
      </c>
      <c r="K712" s="269">
        <v>82620</v>
      </c>
      <c r="L712" s="269">
        <v>85250</v>
      </c>
      <c r="M712" s="270">
        <v>1</v>
      </c>
      <c r="N712" s="268">
        <v>1</v>
      </c>
      <c r="O712" s="271"/>
      <c r="P712" s="271">
        <v>82620</v>
      </c>
      <c r="Q712" s="271"/>
      <c r="R712" s="271"/>
      <c r="S712" s="271">
        <v>-85250</v>
      </c>
      <c r="T712" s="271"/>
      <c r="U712" s="272">
        <v>1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153</v>
      </c>
      <c r="B713" s="267" t="s">
        <v>1322</v>
      </c>
      <c r="C713" s="267" t="s">
        <v>94</v>
      </c>
      <c r="D713" s="267" t="s">
        <v>92</v>
      </c>
      <c r="E713" s="267" t="s">
        <v>0</v>
      </c>
      <c r="F713" s="268"/>
      <c r="G713" s="269"/>
      <c r="H713" s="269"/>
      <c r="I713" s="270"/>
      <c r="J713" s="268">
        <v>1</v>
      </c>
      <c r="K713" s="269">
        <v>82684</v>
      </c>
      <c r="L713" s="269">
        <v>85167</v>
      </c>
      <c r="M713" s="270">
        <v>1</v>
      </c>
      <c r="N713" s="268">
        <v>1</v>
      </c>
      <c r="O713" s="271"/>
      <c r="P713" s="271">
        <v>82684</v>
      </c>
      <c r="Q713" s="271"/>
      <c r="R713" s="271"/>
      <c r="S713" s="271">
        <v>-85167</v>
      </c>
      <c r="T713" s="271"/>
      <c r="U713" s="272">
        <v>1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153</v>
      </c>
      <c r="B714" s="267" t="s">
        <v>1323</v>
      </c>
      <c r="C714" s="267" t="s">
        <v>94</v>
      </c>
      <c r="D714" s="267" t="s">
        <v>92</v>
      </c>
      <c r="E714" s="267" t="s">
        <v>0</v>
      </c>
      <c r="F714" s="268"/>
      <c r="G714" s="269"/>
      <c r="H714" s="269"/>
      <c r="I714" s="270"/>
      <c r="J714" s="268">
        <v>1</v>
      </c>
      <c r="K714" s="269">
        <v>82678</v>
      </c>
      <c r="L714" s="269">
        <v>85174</v>
      </c>
      <c r="M714" s="270">
        <v>1</v>
      </c>
      <c r="N714" s="268">
        <v>1</v>
      </c>
      <c r="O714" s="271"/>
      <c r="P714" s="271">
        <v>82678</v>
      </c>
      <c r="Q714" s="271"/>
      <c r="R714" s="271"/>
      <c r="S714" s="271">
        <v>-85174</v>
      </c>
      <c r="T714" s="271"/>
      <c r="U714" s="272">
        <v>1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153</v>
      </c>
      <c r="B715" s="267" t="s">
        <v>1324</v>
      </c>
      <c r="C715" s="267" t="s">
        <v>94</v>
      </c>
      <c r="D715" s="267" t="s">
        <v>92</v>
      </c>
      <c r="E715" s="267" t="s">
        <v>0</v>
      </c>
      <c r="F715" s="268"/>
      <c r="G715" s="269"/>
      <c r="H715" s="269"/>
      <c r="I715" s="270"/>
      <c r="J715" s="268">
        <v>1</v>
      </c>
      <c r="K715" s="269">
        <v>82794</v>
      </c>
      <c r="L715" s="269">
        <v>85038</v>
      </c>
      <c r="M715" s="270">
        <v>1</v>
      </c>
      <c r="N715" s="268">
        <v>1</v>
      </c>
      <c r="O715" s="271"/>
      <c r="P715" s="271">
        <v>82794</v>
      </c>
      <c r="Q715" s="271"/>
      <c r="R715" s="271"/>
      <c r="S715" s="271">
        <v>-85038</v>
      </c>
      <c r="T715" s="271"/>
      <c r="U715" s="272">
        <v>1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153</v>
      </c>
      <c r="B716" s="267" t="s">
        <v>1325</v>
      </c>
      <c r="C716" s="267" t="s">
        <v>94</v>
      </c>
      <c r="D716" s="267" t="s">
        <v>92</v>
      </c>
      <c r="E716" s="267" t="s">
        <v>0</v>
      </c>
      <c r="F716" s="268"/>
      <c r="G716" s="269"/>
      <c r="H716" s="269"/>
      <c r="I716" s="270"/>
      <c r="J716" s="268">
        <v>1</v>
      </c>
      <c r="K716" s="269">
        <v>82764</v>
      </c>
      <c r="L716" s="269">
        <v>85060</v>
      </c>
      <c r="M716" s="270">
        <v>1</v>
      </c>
      <c r="N716" s="268">
        <v>1</v>
      </c>
      <c r="O716" s="271"/>
      <c r="P716" s="271">
        <v>82764</v>
      </c>
      <c r="Q716" s="271"/>
      <c r="R716" s="271"/>
      <c r="S716" s="271">
        <v>-85060</v>
      </c>
      <c r="T716" s="271"/>
      <c r="U716" s="272">
        <v>1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153</v>
      </c>
      <c r="B717" s="267" t="s">
        <v>1326</v>
      </c>
      <c r="C717" s="267" t="s">
        <v>94</v>
      </c>
      <c r="D717" s="267" t="s">
        <v>92</v>
      </c>
      <c r="E717" s="267" t="s">
        <v>0</v>
      </c>
      <c r="F717" s="268"/>
      <c r="G717" s="269"/>
      <c r="H717" s="269"/>
      <c r="I717" s="270"/>
      <c r="J717" s="268">
        <v>1</v>
      </c>
      <c r="K717" s="269">
        <v>83099</v>
      </c>
      <c r="L717" s="269">
        <v>84725</v>
      </c>
      <c r="M717" s="270">
        <v>1</v>
      </c>
      <c r="N717" s="268">
        <v>1</v>
      </c>
      <c r="O717" s="271"/>
      <c r="P717" s="271">
        <v>83099</v>
      </c>
      <c r="Q717" s="271"/>
      <c r="R717" s="271"/>
      <c r="S717" s="271">
        <v>-84725</v>
      </c>
      <c r="T717" s="271"/>
      <c r="U717" s="272">
        <v>1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153</v>
      </c>
      <c r="B718" s="267" t="s">
        <v>1327</v>
      </c>
      <c r="C718" s="267" t="s">
        <v>94</v>
      </c>
      <c r="D718" s="267" t="s">
        <v>92</v>
      </c>
      <c r="E718" s="267" t="s">
        <v>0</v>
      </c>
      <c r="F718" s="268"/>
      <c r="G718" s="269"/>
      <c r="H718" s="269"/>
      <c r="I718" s="270"/>
      <c r="J718" s="268">
        <v>1</v>
      </c>
      <c r="K718" s="269">
        <v>83051</v>
      </c>
      <c r="L718" s="269">
        <v>84708</v>
      </c>
      <c r="M718" s="270">
        <v>1</v>
      </c>
      <c r="N718" s="268">
        <v>1</v>
      </c>
      <c r="O718" s="271"/>
      <c r="P718" s="271">
        <v>83051</v>
      </c>
      <c r="Q718" s="271"/>
      <c r="R718" s="271"/>
      <c r="S718" s="271">
        <v>-84708</v>
      </c>
      <c r="T718" s="271"/>
      <c r="U718" s="272">
        <v>1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153</v>
      </c>
      <c r="B719" s="267" t="s">
        <v>1328</v>
      </c>
      <c r="C719" s="267" t="s">
        <v>94</v>
      </c>
      <c r="D719" s="267" t="s">
        <v>92</v>
      </c>
      <c r="E719" s="267" t="s">
        <v>0</v>
      </c>
      <c r="F719" s="268"/>
      <c r="G719" s="269"/>
      <c r="H719" s="269"/>
      <c r="I719" s="270"/>
      <c r="J719" s="268">
        <v>1</v>
      </c>
      <c r="K719" s="269">
        <v>82985</v>
      </c>
      <c r="L719" s="269">
        <v>84797</v>
      </c>
      <c r="M719" s="270">
        <v>1</v>
      </c>
      <c r="N719" s="268">
        <v>1</v>
      </c>
      <c r="O719" s="271"/>
      <c r="P719" s="271">
        <v>82985</v>
      </c>
      <c r="Q719" s="271"/>
      <c r="R719" s="271"/>
      <c r="S719" s="271">
        <v>-84797</v>
      </c>
      <c r="T719" s="271"/>
      <c r="U719" s="272">
        <v>1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153</v>
      </c>
      <c r="B720" s="267" t="s">
        <v>1329</v>
      </c>
      <c r="C720" s="267" t="s">
        <v>94</v>
      </c>
      <c r="D720" s="267" t="s">
        <v>92</v>
      </c>
      <c r="E720" s="267" t="s">
        <v>0</v>
      </c>
      <c r="F720" s="268"/>
      <c r="G720" s="269"/>
      <c r="H720" s="269"/>
      <c r="I720" s="270"/>
      <c r="J720" s="268">
        <v>1</v>
      </c>
      <c r="K720" s="269">
        <v>83055</v>
      </c>
      <c r="L720" s="269">
        <v>84764</v>
      </c>
      <c r="M720" s="270">
        <v>1</v>
      </c>
      <c r="N720" s="268">
        <v>1</v>
      </c>
      <c r="O720" s="271"/>
      <c r="P720" s="271">
        <v>83055</v>
      </c>
      <c r="Q720" s="271"/>
      <c r="R720" s="271"/>
      <c r="S720" s="271">
        <v>-84764</v>
      </c>
      <c r="T720" s="271"/>
      <c r="U720" s="272">
        <v>1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153</v>
      </c>
      <c r="B721" s="267" t="s">
        <v>1330</v>
      </c>
      <c r="C721" s="267" t="s">
        <v>94</v>
      </c>
      <c r="D721" s="267" t="s">
        <v>92</v>
      </c>
      <c r="E721" s="267" t="s">
        <v>0</v>
      </c>
      <c r="F721" s="268"/>
      <c r="G721" s="269"/>
      <c r="H721" s="269"/>
      <c r="I721" s="270"/>
      <c r="J721" s="268">
        <v>1</v>
      </c>
      <c r="K721" s="269">
        <v>83191</v>
      </c>
      <c r="L721" s="269">
        <v>84648</v>
      </c>
      <c r="M721" s="270">
        <v>1</v>
      </c>
      <c r="N721" s="268">
        <v>1</v>
      </c>
      <c r="O721" s="271"/>
      <c r="P721" s="271">
        <v>83191</v>
      </c>
      <c r="Q721" s="271"/>
      <c r="R721" s="271"/>
      <c r="S721" s="271">
        <v>-84648</v>
      </c>
      <c r="T721" s="271"/>
      <c r="U721" s="272">
        <v>1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153</v>
      </c>
      <c r="B722" s="267" t="s">
        <v>1331</v>
      </c>
      <c r="C722" s="267" t="s">
        <v>94</v>
      </c>
      <c r="D722" s="267" t="s">
        <v>92</v>
      </c>
      <c r="E722" s="267" t="s">
        <v>0</v>
      </c>
      <c r="F722" s="268"/>
      <c r="G722" s="269"/>
      <c r="H722" s="269"/>
      <c r="I722" s="270"/>
      <c r="J722" s="268">
        <v>1</v>
      </c>
      <c r="K722" s="269">
        <v>83241</v>
      </c>
      <c r="L722" s="269">
        <v>84564</v>
      </c>
      <c r="M722" s="270">
        <v>1</v>
      </c>
      <c r="N722" s="268">
        <v>1</v>
      </c>
      <c r="O722" s="271"/>
      <c r="P722" s="271">
        <v>83241</v>
      </c>
      <c r="Q722" s="271"/>
      <c r="R722" s="271"/>
      <c r="S722" s="271">
        <v>-84564</v>
      </c>
      <c r="T722" s="271"/>
      <c r="U722" s="272">
        <v>1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153</v>
      </c>
      <c r="B723" s="267" t="s">
        <v>282</v>
      </c>
      <c r="C723" s="267" t="s">
        <v>94</v>
      </c>
      <c r="D723" s="267" t="s">
        <v>92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84266</v>
      </c>
      <c r="L723" s="269">
        <v>84332</v>
      </c>
      <c r="M723" s="270">
        <v>1</v>
      </c>
      <c r="N723" s="268">
        <v>1</v>
      </c>
      <c r="O723" s="271"/>
      <c r="P723" s="271">
        <v>84266</v>
      </c>
      <c r="Q723" s="271"/>
      <c r="R723" s="271"/>
      <c r="S723" s="271">
        <v>-84332</v>
      </c>
      <c r="T723" s="271"/>
      <c r="U723" s="272">
        <v>1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153</v>
      </c>
      <c r="B724" s="267" t="s">
        <v>283</v>
      </c>
      <c r="C724" s="267" t="s">
        <v>94</v>
      </c>
      <c r="D724" s="267" t="s">
        <v>92</v>
      </c>
      <c r="E724" s="267" t="s">
        <v>0</v>
      </c>
      <c r="F724" s="268"/>
      <c r="G724" s="269"/>
      <c r="H724" s="269"/>
      <c r="I724" s="270"/>
      <c r="J724" s="268">
        <v>4</v>
      </c>
      <c r="K724" s="269">
        <v>84264</v>
      </c>
      <c r="L724" s="269">
        <v>84341</v>
      </c>
      <c r="M724" s="270">
        <v>1</v>
      </c>
      <c r="N724" s="268">
        <v>4</v>
      </c>
      <c r="O724" s="271"/>
      <c r="P724" s="271">
        <v>84264</v>
      </c>
      <c r="Q724" s="271"/>
      <c r="R724" s="271"/>
      <c r="S724" s="271">
        <v>-84341</v>
      </c>
      <c r="T724" s="271"/>
      <c r="U724" s="272">
        <v>1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153</v>
      </c>
      <c r="B725" s="267" t="s">
        <v>284</v>
      </c>
      <c r="C725" s="267" t="s">
        <v>94</v>
      </c>
      <c r="D725" s="267" t="s">
        <v>92</v>
      </c>
      <c r="E725" s="267" t="s">
        <v>0</v>
      </c>
      <c r="F725" s="268"/>
      <c r="G725" s="269"/>
      <c r="H725" s="269"/>
      <c r="I725" s="270"/>
      <c r="J725" s="268">
        <v>1</v>
      </c>
      <c r="K725" s="269">
        <v>84186</v>
      </c>
      <c r="L725" s="269">
        <v>84408</v>
      </c>
      <c r="M725" s="270">
        <v>1</v>
      </c>
      <c r="N725" s="268">
        <v>1</v>
      </c>
      <c r="O725" s="271"/>
      <c r="P725" s="271">
        <v>84186</v>
      </c>
      <c r="Q725" s="271"/>
      <c r="R725" s="271"/>
      <c r="S725" s="271">
        <v>-84408</v>
      </c>
      <c r="T725" s="271"/>
      <c r="U725" s="272">
        <v>1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153</v>
      </c>
      <c r="B726" s="267" t="s">
        <v>285</v>
      </c>
      <c r="C726" s="267" t="s">
        <v>94</v>
      </c>
      <c r="D726" s="267" t="s">
        <v>92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83915</v>
      </c>
      <c r="L726" s="269">
        <v>84675</v>
      </c>
      <c r="M726" s="270">
        <v>1</v>
      </c>
      <c r="N726" s="268">
        <v>1</v>
      </c>
      <c r="O726" s="271"/>
      <c r="P726" s="271">
        <v>83915</v>
      </c>
      <c r="Q726" s="271"/>
      <c r="R726" s="271"/>
      <c r="S726" s="271">
        <v>-84675</v>
      </c>
      <c r="T726" s="271"/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153</v>
      </c>
      <c r="B727" s="267" t="s">
        <v>1332</v>
      </c>
      <c r="C727" s="267" t="s">
        <v>94</v>
      </c>
      <c r="D727" s="267" t="s">
        <v>92</v>
      </c>
      <c r="E727" s="267" t="s">
        <v>0</v>
      </c>
      <c r="F727" s="268"/>
      <c r="G727" s="269"/>
      <c r="H727" s="269"/>
      <c r="I727" s="270"/>
      <c r="J727" s="268">
        <v>1</v>
      </c>
      <c r="K727" s="269">
        <v>83535</v>
      </c>
      <c r="L727" s="269">
        <v>84875</v>
      </c>
      <c r="M727" s="270">
        <v>1</v>
      </c>
      <c r="N727" s="268">
        <v>1</v>
      </c>
      <c r="O727" s="271"/>
      <c r="P727" s="271">
        <v>83535</v>
      </c>
      <c r="Q727" s="271"/>
      <c r="R727" s="271"/>
      <c r="S727" s="271">
        <v>-84875</v>
      </c>
      <c r="T727" s="271"/>
      <c r="U727" s="272">
        <v>1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153</v>
      </c>
      <c r="B728" s="267" t="s">
        <v>286</v>
      </c>
      <c r="C728" s="267" t="s">
        <v>94</v>
      </c>
      <c r="D728" s="267" t="s">
        <v>92</v>
      </c>
      <c r="E728" s="267" t="s">
        <v>0</v>
      </c>
      <c r="F728" s="268"/>
      <c r="G728" s="269"/>
      <c r="H728" s="269"/>
      <c r="I728" s="270"/>
      <c r="J728" s="268">
        <v>4</v>
      </c>
      <c r="K728" s="269">
        <v>84271</v>
      </c>
      <c r="L728" s="269">
        <v>84327</v>
      </c>
      <c r="M728" s="270">
        <v>1</v>
      </c>
      <c r="N728" s="268">
        <v>4</v>
      </c>
      <c r="O728" s="271"/>
      <c r="P728" s="271">
        <v>84271</v>
      </c>
      <c r="Q728" s="271"/>
      <c r="R728" s="271"/>
      <c r="S728" s="271">
        <v>-84327</v>
      </c>
      <c r="T728" s="271"/>
      <c r="U728" s="272">
        <v>1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153</v>
      </c>
      <c r="B729" s="267" t="s">
        <v>287</v>
      </c>
      <c r="C729" s="267" t="s">
        <v>94</v>
      </c>
      <c r="D729" s="267" t="s">
        <v>92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84172</v>
      </c>
      <c r="L729" s="269">
        <v>84392</v>
      </c>
      <c r="M729" s="270">
        <v>1</v>
      </c>
      <c r="N729" s="268">
        <v>1</v>
      </c>
      <c r="O729" s="271"/>
      <c r="P729" s="271">
        <v>84172</v>
      </c>
      <c r="Q729" s="271"/>
      <c r="R729" s="271"/>
      <c r="S729" s="271">
        <v>-84392</v>
      </c>
      <c r="T729" s="271"/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153</v>
      </c>
      <c r="B730" s="267" t="s">
        <v>288</v>
      </c>
      <c r="C730" s="267" t="s">
        <v>94</v>
      </c>
      <c r="D730" s="267" t="s">
        <v>92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83885</v>
      </c>
      <c r="L730" s="269">
        <v>84705</v>
      </c>
      <c r="M730" s="270">
        <v>1</v>
      </c>
      <c r="N730" s="268">
        <v>1</v>
      </c>
      <c r="O730" s="271"/>
      <c r="P730" s="271">
        <v>83885</v>
      </c>
      <c r="Q730" s="271"/>
      <c r="R730" s="271"/>
      <c r="S730" s="271">
        <v>-84705</v>
      </c>
      <c r="T730" s="271"/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153</v>
      </c>
      <c r="B731" s="267" t="s">
        <v>1333</v>
      </c>
      <c r="C731" s="267" t="s">
        <v>94</v>
      </c>
      <c r="D731" s="267" t="s">
        <v>92</v>
      </c>
      <c r="E731" s="267" t="s">
        <v>0</v>
      </c>
      <c r="F731" s="268"/>
      <c r="G731" s="269"/>
      <c r="H731" s="269"/>
      <c r="I731" s="270"/>
      <c r="J731" s="268">
        <v>1</v>
      </c>
      <c r="K731" s="269">
        <v>83505</v>
      </c>
      <c r="L731" s="269">
        <v>84905</v>
      </c>
      <c r="M731" s="270">
        <v>1</v>
      </c>
      <c r="N731" s="268">
        <v>1</v>
      </c>
      <c r="O731" s="271"/>
      <c r="P731" s="271">
        <v>83505</v>
      </c>
      <c r="Q731" s="271"/>
      <c r="R731" s="271"/>
      <c r="S731" s="271">
        <v>-84905</v>
      </c>
      <c r="T731" s="271"/>
      <c r="U731" s="272">
        <v>1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153</v>
      </c>
      <c r="B732" s="267" t="s">
        <v>289</v>
      </c>
      <c r="C732" s="267" t="s">
        <v>94</v>
      </c>
      <c r="D732" s="267" t="s">
        <v>92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84255</v>
      </c>
      <c r="L732" s="269">
        <v>84350</v>
      </c>
      <c r="M732" s="270">
        <v>1</v>
      </c>
      <c r="N732" s="268">
        <v>1</v>
      </c>
      <c r="O732" s="271"/>
      <c r="P732" s="271">
        <v>84255</v>
      </c>
      <c r="Q732" s="271"/>
      <c r="R732" s="271"/>
      <c r="S732" s="271">
        <v>-84350</v>
      </c>
      <c r="T732" s="271"/>
      <c r="U732" s="272">
        <v>1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153</v>
      </c>
      <c r="B733" s="267" t="s">
        <v>290</v>
      </c>
      <c r="C733" s="267" t="s">
        <v>94</v>
      </c>
      <c r="D733" s="267" t="s">
        <v>92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84187</v>
      </c>
      <c r="L733" s="269">
        <v>84387</v>
      </c>
      <c r="M733" s="270">
        <v>1</v>
      </c>
      <c r="N733" s="268">
        <v>1</v>
      </c>
      <c r="O733" s="271"/>
      <c r="P733" s="271">
        <v>84187</v>
      </c>
      <c r="Q733" s="271"/>
      <c r="R733" s="271"/>
      <c r="S733" s="271">
        <v>-84387</v>
      </c>
      <c r="T733" s="271"/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153</v>
      </c>
      <c r="B734" s="267" t="s">
        <v>291</v>
      </c>
      <c r="C734" s="267" t="s">
        <v>94</v>
      </c>
      <c r="D734" s="267" t="s">
        <v>92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83860</v>
      </c>
      <c r="L734" s="269">
        <v>84730</v>
      </c>
      <c r="M734" s="270">
        <v>1</v>
      </c>
      <c r="N734" s="268">
        <v>1</v>
      </c>
      <c r="O734" s="271"/>
      <c r="P734" s="271">
        <v>83860</v>
      </c>
      <c r="Q734" s="271"/>
      <c r="R734" s="271"/>
      <c r="S734" s="271">
        <v>-84730</v>
      </c>
      <c r="T734" s="271"/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153</v>
      </c>
      <c r="B735" s="267" t="s">
        <v>1334</v>
      </c>
      <c r="C735" s="267" t="s">
        <v>94</v>
      </c>
      <c r="D735" s="267" t="s">
        <v>92</v>
      </c>
      <c r="E735" s="267" t="s">
        <v>0</v>
      </c>
      <c r="F735" s="268"/>
      <c r="G735" s="269"/>
      <c r="H735" s="269"/>
      <c r="I735" s="270"/>
      <c r="J735" s="268">
        <v>1</v>
      </c>
      <c r="K735" s="269">
        <v>83480</v>
      </c>
      <c r="L735" s="269">
        <v>84930</v>
      </c>
      <c r="M735" s="270">
        <v>1</v>
      </c>
      <c r="N735" s="268">
        <v>1</v>
      </c>
      <c r="O735" s="271"/>
      <c r="P735" s="271">
        <v>83480</v>
      </c>
      <c r="Q735" s="271"/>
      <c r="R735" s="271"/>
      <c r="S735" s="271">
        <v>-84930</v>
      </c>
      <c r="T735" s="271"/>
      <c r="U735" s="272">
        <v>1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153</v>
      </c>
      <c r="B736" s="267" t="s">
        <v>292</v>
      </c>
      <c r="C736" s="267" t="s">
        <v>94</v>
      </c>
      <c r="D736" s="267" t="s">
        <v>92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84127</v>
      </c>
      <c r="L736" s="269">
        <v>84501</v>
      </c>
      <c r="M736" s="270">
        <v>1</v>
      </c>
      <c r="N736" s="268">
        <v>1</v>
      </c>
      <c r="O736" s="271"/>
      <c r="P736" s="271">
        <v>84127</v>
      </c>
      <c r="Q736" s="271"/>
      <c r="R736" s="271"/>
      <c r="S736" s="271">
        <v>-84501</v>
      </c>
      <c r="T736" s="271"/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153</v>
      </c>
      <c r="B737" s="267" t="s">
        <v>293</v>
      </c>
      <c r="C737" s="267" t="s">
        <v>94</v>
      </c>
      <c r="D737" s="267" t="s">
        <v>92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84155</v>
      </c>
      <c r="L737" s="269">
        <v>84470</v>
      </c>
      <c r="M737" s="270">
        <v>1</v>
      </c>
      <c r="N737" s="268">
        <v>1</v>
      </c>
      <c r="O737" s="271"/>
      <c r="P737" s="271">
        <v>84155</v>
      </c>
      <c r="Q737" s="271"/>
      <c r="R737" s="271"/>
      <c r="S737" s="271">
        <v>-84470</v>
      </c>
      <c r="T737" s="271"/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153</v>
      </c>
      <c r="B738" s="267" t="s">
        <v>294</v>
      </c>
      <c r="C738" s="267" t="s">
        <v>94</v>
      </c>
      <c r="D738" s="267" t="s">
        <v>92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83899</v>
      </c>
      <c r="L738" s="269">
        <v>84675</v>
      </c>
      <c r="M738" s="270">
        <v>1</v>
      </c>
      <c r="N738" s="268">
        <v>1</v>
      </c>
      <c r="O738" s="271"/>
      <c r="P738" s="271">
        <v>83899</v>
      </c>
      <c r="Q738" s="271"/>
      <c r="R738" s="271"/>
      <c r="S738" s="271">
        <v>-84675</v>
      </c>
      <c r="T738" s="271"/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153</v>
      </c>
      <c r="B739" s="267" t="s">
        <v>1335</v>
      </c>
      <c r="C739" s="267" t="s">
        <v>94</v>
      </c>
      <c r="D739" s="267" t="s">
        <v>92</v>
      </c>
      <c r="E739" s="267" t="s">
        <v>0</v>
      </c>
      <c r="F739" s="268"/>
      <c r="G739" s="269"/>
      <c r="H739" s="269"/>
      <c r="I739" s="270"/>
      <c r="J739" s="268">
        <v>1</v>
      </c>
      <c r="K739" s="269">
        <v>83350</v>
      </c>
      <c r="L739" s="269">
        <v>85060</v>
      </c>
      <c r="M739" s="270">
        <v>1</v>
      </c>
      <c r="N739" s="268">
        <v>1</v>
      </c>
      <c r="O739" s="271"/>
      <c r="P739" s="271">
        <v>83350</v>
      </c>
      <c r="Q739" s="271"/>
      <c r="R739" s="271"/>
      <c r="S739" s="271">
        <v>-85060</v>
      </c>
      <c r="T739" s="271"/>
      <c r="U739" s="272">
        <v>1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153</v>
      </c>
      <c r="B740" s="267" t="s">
        <v>295</v>
      </c>
      <c r="C740" s="267" t="s">
        <v>94</v>
      </c>
      <c r="D740" s="267" t="s">
        <v>92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83936</v>
      </c>
      <c r="L740" s="269">
        <v>84662</v>
      </c>
      <c r="M740" s="270">
        <v>1</v>
      </c>
      <c r="N740" s="268">
        <v>1</v>
      </c>
      <c r="O740" s="271"/>
      <c r="P740" s="271">
        <v>83936</v>
      </c>
      <c r="Q740" s="271"/>
      <c r="R740" s="271"/>
      <c r="S740" s="271">
        <v>-84662</v>
      </c>
      <c r="T740" s="271"/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153</v>
      </c>
      <c r="B741" s="267" t="s">
        <v>296</v>
      </c>
      <c r="C741" s="267" t="s">
        <v>94</v>
      </c>
      <c r="D741" s="267" t="s">
        <v>92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83934</v>
      </c>
      <c r="L741" s="269">
        <v>84671</v>
      </c>
      <c r="M741" s="270">
        <v>1</v>
      </c>
      <c r="N741" s="268">
        <v>1</v>
      </c>
      <c r="O741" s="271"/>
      <c r="P741" s="271">
        <v>83934</v>
      </c>
      <c r="Q741" s="271"/>
      <c r="R741" s="271"/>
      <c r="S741" s="271">
        <v>-84671</v>
      </c>
      <c r="T741" s="271"/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153</v>
      </c>
      <c r="B742" s="267" t="s">
        <v>297</v>
      </c>
      <c r="C742" s="267" t="s">
        <v>94</v>
      </c>
      <c r="D742" s="267" t="s">
        <v>92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84041</v>
      </c>
      <c r="L742" s="269">
        <v>84569</v>
      </c>
      <c r="M742" s="270">
        <v>1</v>
      </c>
      <c r="N742" s="268">
        <v>1</v>
      </c>
      <c r="O742" s="271"/>
      <c r="P742" s="271">
        <v>84041</v>
      </c>
      <c r="Q742" s="271"/>
      <c r="R742" s="271"/>
      <c r="S742" s="271">
        <v>-84569</v>
      </c>
      <c r="T742" s="271"/>
      <c r="U742" s="272">
        <v>1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153</v>
      </c>
      <c r="B743" s="267" t="s">
        <v>1336</v>
      </c>
      <c r="C743" s="267" t="s">
        <v>94</v>
      </c>
      <c r="D743" s="267" t="s">
        <v>92</v>
      </c>
      <c r="E743" s="267" t="s">
        <v>0</v>
      </c>
      <c r="F743" s="268"/>
      <c r="G743" s="269"/>
      <c r="H743" s="269"/>
      <c r="I743" s="270"/>
      <c r="J743" s="268">
        <v>1</v>
      </c>
      <c r="K743" s="269">
        <v>83595</v>
      </c>
      <c r="L743" s="269">
        <v>84870</v>
      </c>
      <c r="M743" s="270">
        <v>1</v>
      </c>
      <c r="N743" s="268">
        <v>1</v>
      </c>
      <c r="O743" s="271"/>
      <c r="P743" s="271">
        <v>83595</v>
      </c>
      <c r="Q743" s="271"/>
      <c r="R743" s="271"/>
      <c r="S743" s="271">
        <v>-84870</v>
      </c>
      <c r="T743" s="271"/>
      <c r="U743" s="272">
        <v>1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153</v>
      </c>
      <c r="B744" s="267" t="s">
        <v>1337</v>
      </c>
      <c r="C744" s="267" t="s">
        <v>94</v>
      </c>
      <c r="D744" s="267" t="s">
        <v>92</v>
      </c>
      <c r="E744" s="267" t="s">
        <v>0</v>
      </c>
      <c r="F744" s="268"/>
      <c r="G744" s="269"/>
      <c r="H744" s="269"/>
      <c r="I744" s="270"/>
      <c r="J744" s="268">
        <v>1</v>
      </c>
      <c r="K744" s="269">
        <v>83526</v>
      </c>
      <c r="L744" s="269">
        <v>85072</v>
      </c>
      <c r="M744" s="270">
        <v>1</v>
      </c>
      <c r="N744" s="268">
        <v>1</v>
      </c>
      <c r="O744" s="271"/>
      <c r="P744" s="271">
        <v>83526</v>
      </c>
      <c r="Q744" s="271"/>
      <c r="R744" s="271"/>
      <c r="S744" s="271">
        <v>-85072</v>
      </c>
      <c r="T744" s="271"/>
      <c r="U744" s="272">
        <v>1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153</v>
      </c>
      <c r="B745" s="267" t="s">
        <v>1338</v>
      </c>
      <c r="C745" s="267" t="s">
        <v>94</v>
      </c>
      <c r="D745" s="267" t="s">
        <v>92</v>
      </c>
      <c r="E745" s="267" t="s">
        <v>0</v>
      </c>
      <c r="F745" s="268"/>
      <c r="G745" s="269"/>
      <c r="H745" s="269"/>
      <c r="I745" s="270"/>
      <c r="J745" s="268">
        <v>1</v>
      </c>
      <c r="K745" s="269">
        <v>83524</v>
      </c>
      <c r="L745" s="269">
        <v>85081</v>
      </c>
      <c r="M745" s="270">
        <v>1</v>
      </c>
      <c r="N745" s="268">
        <v>1</v>
      </c>
      <c r="O745" s="271"/>
      <c r="P745" s="271">
        <v>83524</v>
      </c>
      <c r="Q745" s="271"/>
      <c r="R745" s="271"/>
      <c r="S745" s="271">
        <v>-85081</v>
      </c>
      <c r="T745" s="271"/>
      <c r="U745" s="272">
        <v>1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153</v>
      </c>
      <c r="B746" s="267" t="s">
        <v>1339</v>
      </c>
      <c r="C746" s="267" t="s">
        <v>94</v>
      </c>
      <c r="D746" s="267" t="s">
        <v>92</v>
      </c>
      <c r="E746" s="267" t="s">
        <v>0</v>
      </c>
      <c r="F746" s="268"/>
      <c r="G746" s="269"/>
      <c r="H746" s="269"/>
      <c r="I746" s="270"/>
      <c r="J746" s="268">
        <v>1</v>
      </c>
      <c r="K746" s="269">
        <v>83446</v>
      </c>
      <c r="L746" s="269">
        <v>85148</v>
      </c>
      <c r="M746" s="270">
        <v>1</v>
      </c>
      <c r="N746" s="268">
        <v>1</v>
      </c>
      <c r="O746" s="271"/>
      <c r="P746" s="271">
        <v>83446</v>
      </c>
      <c r="Q746" s="271"/>
      <c r="R746" s="271"/>
      <c r="S746" s="271">
        <v>-85148</v>
      </c>
      <c r="T746" s="271"/>
      <c r="U746" s="272">
        <v>1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153</v>
      </c>
      <c r="B747" s="267" t="s">
        <v>1340</v>
      </c>
      <c r="C747" s="267" t="s">
        <v>94</v>
      </c>
      <c r="D747" s="267" t="s">
        <v>92</v>
      </c>
      <c r="E747" s="267" t="s">
        <v>0</v>
      </c>
      <c r="F747" s="268"/>
      <c r="G747" s="269"/>
      <c r="H747" s="269"/>
      <c r="I747" s="270"/>
      <c r="J747" s="268">
        <v>1</v>
      </c>
      <c r="K747" s="269">
        <v>83510</v>
      </c>
      <c r="L747" s="269">
        <v>85025</v>
      </c>
      <c r="M747" s="270">
        <v>1</v>
      </c>
      <c r="N747" s="268">
        <v>1</v>
      </c>
      <c r="O747" s="271"/>
      <c r="P747" s="271">
        <v>83510</v>
      </c>
      <c r="Q747" s="271"/>
      <c r="R747" s="271"/>
      <c r="S747" s="271">
        <v>-85025</v>
      </c>
      <c r="T747" s="271"/>
      <c r="U747" s="272">
        <v>1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153</v>
      </c>
      <c r="B748" s="267" t="s">
        <v>298</v>
      </c>
      <c r="C748" s="267" t="s">
        <v>94</v>
      </c>
      <c r="D748" s="267" t="s">
        <v>92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84194</v>
      </c>
      <c r="L748" s="269">
        <v>84373</v>
      </c>
      <c r="M748" s="270">
        <v>1</v>
      </c>
      <c r="N748" s="268">
        <v>1</v>
      </c>
      <c r="O748" s="271"/>
      <c r="P748" s="271">
        <v>84194</v>
      </c>
      <c r="Q748" s="271"/>
      <c r="R748" s="271"/>
      <c r="S748" s="271">
        <v>-84373</v>
      </c>
      <c r="T748" s="271"/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153</v>
      </c>
      <c r="B749" s="267" t="s">
        <v>299</v>
      </c>
      <c r="C749" s="267" t="s">
        <v>94</v>
      </c>
      <c r="D749" s="267" t="s">
        <v>92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83867</v>
      </c>
      <c r="L749" s="269">
        <v>84716</v>
      </c>
      <c r="M749" s="270">
        <v>1</v>
      </c>
      <c r="N749" s="268">
        <v>1</v>
      </c>
      <c r="O749" s="271"/>
      <c r="P749" s="271">
        <v>83867</v>
      </c>
      <c r="Q749" s="271"/>
      <c r="R749" s="271"/>
      <c r="S749" s="271">
        <v>-84716</v>
      </c>
      <c r="T749" s="271"/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153</v>
      </c>
      <c r="B750" s="267" t="s">
        <v>1341</v>
      </c>
      <c r="C750" s="267" t="s">
        <v>94</v>
      </c>
      <c r="D750" s="267" t="s">
        <v>92</v>
      </c>
      <c r="E750" s="267" t="s">
        <v>0</v>
      </c>
      <c r="F750" s="268"/>
      <c r="G750" s="269"/>
      <c r="H750" s="269"/>
      <c r="I750" s="270"/>
      <c r="J750" s="268">
        <v>1</v>
      </c>
      <c r="K750" s="269">
        <v>83487</v>
      </c>
      <c r="L750" s="269">
        <v>84916</v>
      </c>
      <c r="M750" s="270">
        <v>1</v>
      </c>
      <c r="N750" s="268">
        <v>1</v>
      </c>
      <c r="O750" s="271"/>
      <c r="P750" s="271">
        <v>83487</v>
      </c>
      <c r="Q750" s="271"/>
      <c r="R750" s="271"/>
      <c r="S750" s="271">
        <v>-84916</v>
      </c>
      <c r="T750" s="271"/>
      <c r="U750" s="272">
        <v>1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153</v>
      </c>
      <c r="B751" s="267" t="s">
        <v>300</v>
      </c>
      <c r="C751" s="267" t="s">
        <v>94</v>
      </c>
      <c r="D751" s="267" t="s">
        <v>92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84141</v>
      </c>
      <c r="L751" s="269">
        <v>84454</v>
      </c>
      <c r="M751" s="270">
        <v>1</v>
      </c>
      <c r="N751" s="268">
        <v>1</v>
      </c>
      <c r="O751" s="271"/>
      <c r="P751" s="271">
        <v>84141</v>
      </c>
      <c r="Q751" s="271"/>
      <c r="R751" s="271"/>
      <c r="S751" s="271">
        <v>-84454</v>
      </c>
      <c r="T751" s="271"/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153</v>
      </c>
      <c r="B752" s="267" t="s">
        <v>301</v>
      </c>
      <c r="C752" s="267" t="s">
        <v>94</v>
      </c>
      <c r="D752" s="267" t="s">
        <v>92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83885</v>
      </c>
      <c r="L752" s="269">
        <v>84659</v>
      </c>
      <c r="M752" s="270">
        <v>1</v>
      </c>
      <c r="N752" s="268">
        <v>1</v>
      </c>
      <c r="O752" s="271"/>
      <c r="P752" s="271">
        <v>83885</v>
      </c>
      <c r="Q752" s="271"/>
      <c r="R752" s="271"/>
      <c r="S752" s="271">
        <v>-84659</v>
      </c>
      <c r="T752" s="271"/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153</v>
      </c>
      <c r="B753" s="267" t="s">
        <v>1342</v>
      </c>
      <c r="C753" s="267" t="s">
        <v>94</v>
      </c>
      <c r="D753" s="267" t="s">
        <v>92</v>
      </c>
      <c r="E753" s="267" t="s">
        <v>0</v>
      </c>
      <c r="F753" s="268"/>
      <c r="G753" s="269"/>
      <c r="H753" s="269"/>
      <c r="I753" s="270"/>
      <c r="J753" s="268">
        <v>1</v>
      </c>
      <c r="K753" s="269">
        <v>83336</v>
      </c>
      <c r="L753" s="269">
        <v>85044</v>
      </c>
      <c r="M753" s="270">
        <v>1</v>
      </c>
      <c r="N753" s="268">
        <v>1</v>
      </c>
      <c r="O753" s="271"/>
      <c r="P753" s="271">
        <v>83336</v>
      </c>
      <c r="Q753" s="271"/>
      <c r="R753" s="271"/>
      <c r="S753" s="271">
        <v>-85044</v>
      </c>
      <c r="T753" s="271"/>
      <c r="U753" s="272">
        <v>1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153</v>
      </c>
      <c r="B754" s="267" t="s">
        <v>302</v>
      </c>
      <c r="C754" s="267" t="s">
        <v>94</v>
      </c>
      <c r="D754" s="267" t="s">
        <v>92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83904</v>
      </c>
      <c r="L754" s="269">
        <v>84701</v>
      </c>
      <c r="M754" s="270">
        <v>1</v>
      </c>
      <c r="N754" s="268">
        <v>1</v>
      </c>
      <c r="O754" s="271"/>
      <c r="P754" s="271">
        <v>83904</v>
      </c>
      <c r="Q754" s="271"/>
      <c r="R754" s="271"/>
      <c r="S754" s="271">
        <v>-84701</v>
      </c>
      <c r="T754" s="271"/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153</v>
      </c>
      <c r="B755" s="267" t="s">
        <v>303</v>
      </c>
      <c r="C755" s="267" t="s">
        <v>94</v>
      </c>
      <c r="D755" s="267" t="s">
        <v>92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84011</v>
      </c>
      <c r="L755" s="269">
        <v>84599</v>
      </c>
      <c r="M755" s="270">
        <v>1</v>
      </c>
      <c r="N755" s="268">
        <v>1</v>
      </c>
      <c r="O755" s="271"/>
      <c r="P755" s="271">
        <v>84011</v>
      </c>
      <c r="Q755" s="271"/>
      <c r="R755" s="271"/>
      <c r="S755" s="271">
        <v>-84599</v>
      </c>
      <c r="T755" s="271"/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153</v>
      </c>
      <c r="B756" s="267" t="s">
        <v>1343</v>
      </c>
      <c r="C756" s="267" t="s">
        <v>94</v>
      </c>
      <c r="D756" s="267" t="s">
        <v>92</v>
      </c>
      <c r="E756" s="267" t="s">
        <v>0</v>
      </c>
      <c r="F756" s="268"/>
      <c r="G756" s="269"/>
      <c r="H756" s="269"/>
      <c r="I756" s="270"/>
      <c r="J756" s="268">
        <v>1</v>
      </c>
      <c r="K756" s="269">
        <v>83565</v>
      </c>
      <c r="L756" s="269">
        <v>84900</v>
      </c>
      <c r="M756" s="270">
        <v>1</v>
      </c>
      <c r="N756" s="268">
        <v>1</v>
      </c>
      <c r="O756" s="271"/>
      <c r="P756" s="271">
        <v>83565</v>
      </c>
      <c r="Q756" s="271"/>
      <c r="R756" s="271"/>
      <c r="S756" s="271">
        <v>-84900</v>
      </c>
      <c r="T756" s="271"/>
      <c r="U756" s="272">
        <v>1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153</v>
      </c>
      <c r="B757" s="267" t="s">
        <v>1344</v>
      </c>
      <c r="C757" s="267" t="s">
        <v>94</v>
      </c>
      <c r="D757" s="267" t="s">
        <v>92</v>
      </c>
      <c r="E757" s="267" t="s">
        <v>0</v>
      </c>
      <c r="F757" s="268"/>
      <c r="G757" s="269"/>
      <c r="H757" s="269"/>
      <c r="I757" s="270"/>
      <c r="J757" s="268">
        <v>1</v>
      </c>
      <c r="K757" s="269">
        <v>83494</v>
      </c>
      <c r="L757" s="269">
        <v>85111</v>
      </c>
      <c r="M757" s="270">
        <v>1</v>
      </c>
      <c r="N757" s="268">
        <v>1</v>
      </c>
      <c r="O757" s="271"/>
      <c r="P757" s="271">
        <v>83494</v>
      </c>
      <c r="Q757" s="271"/>
      <c r="R757" s="271"/>
      <c r="S757" s="271">
        <v>-85111</v>
      </c>
      <c r="T757" s="271"/>
      <c r="U757" s="272">
        <v>1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153</v>
      </c>
      <c r="B758" s="267" t="s">
        <v>1345</v>
      </c>
      <c r="C758" s="267" t="s">
        <v>94</v>
      </c>
      <c r="D758" s="267" t="s">
        <v>92</v>
      </c>
      <c r="E758" s="267" t="s">
        <v>0</v>
      </c>
      <c r="F758" s="268"/>
      <c r="G758" s="269"/>
      <c r="H758" s="269"/>
      <c r="I758" s="270"/>
      <c r="J758" s="268">
        <v>1</v>
      </c>
      <c r="K758" s="269">
        <v>83416</v>
      </c>
      <c r="L758" s="269">
        <v>85178</v>
      </c>
      <c r="M758" s="270">
        <v>1</v>
      </c>
      <c r="N758" s="268">
        <v>1</v>
      </c>
      <c r="O758" s="271"/>
      <c r="P758" s="271">
        <v>83416</v>
      </c>
      <c r="Q758" s="271"/>
      <c r="R758" s="271"/>
      <c r="S758" s="271">
        <v>-85178</v>
      </c>
      <c r="T758" s="271"/>
      <c r="U758" s="272">
        <v>1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153</v>
      </c>
      <c r="B759" s="267" t="s">
        <v>1346</v>
      </c>
      <c r="C759" s="267" t="s">
        <v>94</v>
      </c>
      <c r="D759" s="267" t="s">
        <v>92</v>
      </c>
      <c r="E759" s="267" t="s">
        <v>0</v>
      </c>
      <c r="F759" s="268"/>
      <c r="G759" s="269"/>
      <c r="H759" s="269"/>
      <c r="I759" s="270"/>
      <c r="J759" s="268">
        <v>1</v>
      </c>
      <c r="K759" s="269">
        <v>83480</v>
      </c>
      <c r="L759" s="269">
        <v>85055</v>
      </c>
      <c r="M759" s="270">
        <v>1</v>
      </c>
      <c r="N759" s="268">
        <v>1</v>
      </c>
      <c r="O759" s="271"/>
      <c r="P759" s="271">
        <v>83480</v>
      </c>
      <c r="Q759" s="271"/>
      <c r="R759" s="271"/>
      <c r="S759" s="271">
        <v>-85055</v>
      </c>
      <c r="T759" s="271"/>
      <c r="U759" s="272">
        <v>1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153</v>
      </c>
      <c r="B760" s="267" t="s">
        <v>304</v>
      </c>
      <c r="C760" s="267" t="s">
        <v>94</v>
      </c>
      <c r="D760" s="267" t="s">
        <v>92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84161</v>
      </c>
      <c r="L760" s="269">
        <v>84410</v>
      </c>
      <c r="M760" s="270">
        <v>1</v>
      </c>
      <c r="N760" s="268">
        <v>1</v>
      </c>
      <c r="O760" s="271"/>
      <c r="P760" s="271">
        <v>84161</v>
      </c>
      <c r="Q760" s="271"/>
      <c r="R760" s="271"/>
      <c r="S760" s="271">
        <v>-84410</v>
      </c>
      <c r="T760" s="271"/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153</v>
      </c>
      <c r="B761" s="267" t="s">
        <v>305</v>
      </c>
      <c r="C761" s="267" t="s">
        <v>94</v>
      </c>
      <c r="D761" s="267" t="s">
        <v>92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83874</v>
      </c>
      <c r="L761" s="269">
        <v>84723</v>
      </c>
      <c r="M761" s="270">
        <v>1</v>
      </c>
      <c r="N761" s="268">
        <v>1</v>
      </c>
      <c r="O761" s="271"/>
      <c r="P761" s="271">
        <v>83874</v>
      </c>
      <c r="Q761" s="271"/>
      <c r="R761" s="271"/>
      <c r="S761" s="271">
        <v>-84723</v>
      </c>
      <c r="T761" s="271"/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153</v>
      </c>
      <c r="B762" s="267" t="s">
        <v>1347</v>
      </c>
      <c r="C762" s="267" t="s">
        <v>94</v>
      </c>
      <c r="D762" s="267" t="s">
        <v>92</v>
      </c>
      <c r="E762" s="267" t="s">
        <v>0</v>
      </c>
      <c r="F762" s="268"/>
      <c r="G762" s="269"/>
      <c r="H762" s="269"/>
      <c r="I762" s="270"/>
      <c r="J762" s="268">
        <v>1</v>
      </c>
      <c r="K762" s="269">
        <v>83494</v>
      </c>
      <c r="L762" s="269">
        <v>84923</v>
      </c>
      <c r="M762" s="270">
        <v>1</v>
      </c>
      <c r="N762" s="268">
        <v>1</v>
      </c>
      <c r="O762" s="271"/>
      <c r="P762" s="271">
        <v>83494</v>
      </c>
      <c r="Q762" s="271"/>
      <c r="R762" s="271"/>
      <c r="S762" s="271">
        <v>-84923</v>
      </c>
      <c r="T762" s="271"/>
      <c r="U762" s="272">
        <v>1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153</v>
      </c>
      <c r="B763" s="267" t="s">
        <v>306</v>
      </c>
      <c r="C763" s="267" t="s">
        <v>94</v>
      </c>
      <c r="D763" s="267" t="s">
        <v>92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84128</v>
      </c>
      <c r="L763" s="269">
        <v>84480</v>
      </c>
      <c r="M763" s="270">
        <v>1</v>
      </c>
      <c r="N763" s="268">
        <v>1</v>
      </c>
      <c r="O763" s="271"/>
      <c r="P763" s="271">
        <v>84128</v>
      </c>
      <c r="Q763" s="271"/>
      <c r="R763" s="271"/>
      <c r="S763" s="271">
        <v>-84480</v>
      </c>
      <c r="T763" s="271"/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153</v>
      </c>
      <c r="B764" s="267" t="s">
        <v>307</v>
      </c>
      <c r="C764" s="267" t="s">
        <v>94</v>
      </c>
      <c r="D764" s="267" t="s">
        <v>92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83900</v>
      </c>
      <c r="L764" s="269">
        <v>84654</v>
      </c>
      <c r="M764" s="270">
        <v>1</v>
      </c>
      <c r="N764" s="268">
        <v>1</v>
      </c>
      <c r="O764" s="271"/>
      <c r="P764" s="271">
        <v>83900</v>
      </c>
      <c r="Q764" s="271"/>
      <c r="R764" s="271"/>
      <c r="S764" s="271">
        <v>-84654</v>
      </c>
      <c r="T764" s="271"/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153</v>
      </c>
      <c r="B765" s="267" t="s">
        <v>1348</v>
      </c>
      <c r="C765" s="267" t="s">
        <v>94</v>
      </c>
      <c r="D765" s="267" t="s">
        <v>92</v>
      </c>
      <c r="E765" s="267" t="s">
        <v>0</v>
      </c>
      <c r="F765" s="268"/>
      <c r="G765" s="269"/>
      <c r="H765" s="269"/>
      <c r="I765" s="270"/>
      <c r="J765" s="268">
        <v>1</v>
      </c>
      <c r="K765" s="269">
        <v>83351</v>
      </c>
      <c r="L765" s="269">
        <v>85039</v>
      </c>
      <c r="M765" s="270">
        <v>1</v>
      </c>
      <c r="N765" s="268">
        <v>1</v>
      </c>
      <c r="O765" s="271"/>
      <c r="P765" s="271">
        <v>83351</v>
      </c>
      <c r="Q765" s="271"/>
      <c r="R765" s="271"/>
      <c r="S765" s="271">
        <v>-85039</v>
      </c>
      <c r="T765" s="271"/>
      <c r="U765" s="272">
        <v>1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153</v>
      </c>
      <c r="B766" s="267" t="s">
        <v>308</v>
      </c>
      <c r="C766" s="267" t="s">
        <v>94</v>
      </c>
      <c r="D766" s="267" t="s">
        <v>92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83881</v>
      </c>
      <c r="L766" s="269">
        <v>84717</v>
      </c>
      <c r="M766" s="270">
        <v>1</v>
      </c>
      <c r="N766" s="268">
        <v>1</v>
      </c>
      <c r="O766" s="271"/>
      <c r="P766" s="271">
        <v>83881</v>
      </c>
      <c r="Q766" s="271"/>
      <c r="R766" s="271"/>
      <c r="S766" s="271">
        <v>-84717</v>
      </c>
      <c r="T766" s="271"/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153</v>
      </c>
      <c r="B767" s="267" t="s">
        <v>309</v>
      </c>
      <c r="C767" s="267" t="s">
        <v>94</v>
      </c>
      <c r="D767" s="267" t="s">
        <v>92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83986</v>
      </c>
      <c r="L767" s="269">
        <v>84624</v>
      </c>
      <c r="M767" s="270">
        <v>1</v>
      </c>
      <c r="N767" s="268">
        <v>1</v>
      </c>
      <c r="O767" s="271"/>
      <c r="P767" s="271">
        <v>83986</v>
      </c>
      <c r="Q767" s="271"/>
      <c r="R767" s="271"/>
      <c r="S767" s="271">
        <v>-84624</v>
      </c>
      <c r="T767" s="271"/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153</v>
      </c>
      <c r="B768" s="267" t="s">
        <v>1349</v>
      </c>
      <c r="C768" s="267" t="s">
        <v>94</v>
      </c>
      <c r="D768" s="267" t="s">
        <v>92</v>
      </c>
      <c r="E768" s="267" t="s">
        <v>0</v>
      </c>
      <c r="F768" s="268"/>
      <c r="G768" s="269"/>
      <c r="H768" s="269"/>
      <c r="I768" s="270"/>
      <c r="J768" s="268">
        <v>1</v>
      </c>
      <c r="K768" s="269">
        <v>83540</v>
      </c>
      <c r="L768" s="269">
        <v>84925</v>
      </c>
      <c r="M768" s="270">
        <v>1</v>
      </c>
      <c r="N768" s="268">
        <v>1</v>
      </c>
      <c r="O768" s="271"/>
      <c r="P768" s="271">
        <v>83540</v>
      </c>
      <c r="Q768" s="271"/>
      <c r="R768" s="271"/>
      <c r="S768" s="271">
        <v>-84925</v>
      </c>
      <c r="T768" s="271"/>
      <c r="U768" s="272">
        <v>1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153</v>
      </c>
      <c r="B769" s="267" t="s">
        <v>1350</v>
      </c>
      <c r="C769" s="267" t="s">
        <v>94</v>
      </c>
      <c r="D769" s="267" t="s">
        <v>92</v>
      </c>
      <c r="E769" s="267" t="s">
        <v>0</v>
      </c>
      <c r="F769" s="268"/>
      <c r="G769" s="269"/>
      <c r="H769" s="269"/>
      <c r="I769" s="270"/>
      <c r="J769" s="268">
        <v>1</v>
      </c>
      <c r="K769" s="269">
        <v>83471</v>
      </c>
      <c r="L769" s="269">
        <v>85127</v>
      </c>
      <c r="M769" s="270">
        <v>1</v>
      </c>
      <c r="N769" s="268">
        <v>1</v>
      </c>
      <c r="O769" s="271"/>
      <c r="P769" s="271">
        <v>83471</v>
      </c>
      <c r="Q769" s="271"/>
      <c r="R769" s="271"/>
      <c r="S769" s="271">
        <v>-85127</v>
      </c>
      <c r="T769" s="271"/>
      <c r="U769" s="272">
        <v>1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153</v>
      </c>
      <c r="B770" s="267" t="s">
        <v>1351</v>
      </c>
      <c r="C770" s="267" t="s">
        <v>94</v>
      </c>
      <c r="D770" s="267" t="s">
        <v>92</v>
      </c>
      <c r="E770" s="267" t="s">
        <v>0</v>
      </c>
      <c r="F770" s="268"/>
      <c r="G770" s="269"/>
      <c r="H770" s="269"/>
      <c r="I770" s="270"/>
      <c r="J770" s="268">
        <v>1</v>
      </c>
      <c r="K770" s="269">
        <v>83391</v>
      </c>
      <c r="L770" s="269">
        <v>85203</v>
      </c>
      <c r="M770" s="270">
        <v>1</v>
      </c>
      <c r="N770" s="268">
        <v>1</v>
      </c>
      <c r="O770" s="271"/>
      <c r="P770" s="271">
        <v>83391</v>
      </c>
      <c r="Q770" s="271"/>
      <c r="R770" s="271"/>
      <c r="S770" s="271">
        <v>-85203</v>
      </c>
      <c r="T770" s="271"/>
      <c r="U770" s="272">
        <v>1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153</v>
      </c>
      <c r="B771" s="267" t="s">
        <v>1352</v>
      </c>
      <c r="C771" s="267" t="s">
        <v>94</v>
      </c>
      <c r="D771" s="267" t="s">
        <v>92</v>
      </c>
      <c r="E771" s="267" t="s">
        <v>0</v>
      </c>
      <c r="F771" s="268"/>
      <c r="G771" s="269"/>
      <c r="H771" s="269"/>
      <c r="I771" s="270"/>
      <c r="J771" s="268">
        <v>1</v>
      </c>
      <c r="K771" s="269">
        <v>83455</v>
      </c>
      <c r="L771" s="269">
        <v>85080</v>
      </c>
      <c r="M771" s="270">
        <v>1</v>
      </c>
      <c r="N771" s="268">
        <v>1</v>
      </c>
      <c r="O771" s="271"/>
      <c r="P771" s="271">
        <v>83455</v>
      </c>
      <c r="Q771" s="271"/>
      <c r="R771" s="271"/>
      <c r="S771" s="271">
        <v>-85080</v>
      </c>
      <c r="T771" s="271"/>
      <c r="U771" s="272">
        <v>1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153</v>
      </c>
      <c r="B772" s="267" t="s">
        <v>310</v>
      </c>
      <c r="C772" s="267" t="s">
        <v>94</v>
      </c>
      <c r="D772" s="267" t="s">
        <v>92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84132</v>
      </c>
      <c r="L772" s="269">
        <v>84496</v>
      </c>
      <c r="M772" s="270">
        <v>1</v>
      </c>
      <c r="N772" s="268">
        <v>1</v>
      </c>
      <c r="O772" s="271"/>
      <c r="P772" s="271">
        <v>84132</v>
      </c>
      <c r="Q772" s="271"/>
      <c r="R772" s="271"/>
      <c r="S772" s="271">
        <v>-84496</v>
      </c>
      <c r="T772" s="271"/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153</v>
      </c>
      <c r="B773" s="267" t="s">
        <v>311</v>
      </c>
      <c r="C773" s="267" t="s">
        <v>94</v>
      </c>
      <c r="D773" s="267" t="s">
        <v>92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83746</v>
      </c>
      <c r="L773" s="269">
        <v>84874</v>
      </c>
      <c r="M773" s="270">
        <v>1</v>
      </c>
      <c r="N773" s="268">
        <v>1</v>
      </c>
      <c r="O773" s="271"/>
      <c r="P773" s="271">
        <v>83746</v>
      </c>
      <c r="Q773" s="271"/>
      <c r="R773" s="271"/>
      <c r="S773" s="271">
        <v>-84874</v>
      </c>
      <c r="T773" s="271"/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153</v>
      </c>
      <c r="B774" s="267" t="s">
        <v>1353</v>
      </c>
      <c r="C774" s="267" t="s">
        <v>94</v>
      </c>
      <c r="D774" s="267" t="s">
        <v>92</v>
      </c>
      <c r="E774" s="267" t="s">
        <v>0</v>
      </c>
      <c r="F774" s="268"/>
      <c r="G774" s="269"/>
      <c r="H774" s="269"/>
      <c r="I774" s="270"/>
      <c r="J774" s="268">
        <v>1</v>
      </c>
      <c r="K774" s="269">
        <v>83366</v>
      </c>
      <c r="L774" s="269">
        <v>85074</v>
      </c>
      <c r="M774" s="270">
        <v>1</v>
      </c>
      <c r="N774" s="268">
        <v>1</v>
      </c>
      <c r="O774" s="271"/>
      <c r="P774" s="271">
        <v>83366</v>
      </c>
      <c r="Q774" s="271"/>
      <c r="R774" s="271"/>
      <c r="S774" s="271">
        <v>-85074</v>
      </c>
      <c r="T774" s="271"/>
      <c r="U774" s="272">
        <v>1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153</v>
      </c>
      <c r="B775" s="267" t="s">
        <v>312</v>
      </c>
      <c r="C775" s="267" t="s">
        <v>94</v>
      </c>
      <c r="D775" s="267" t="s">
        <v>92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84146</v>
      </c>
      <c r="L775" s="269">
        <v>84479</v>
      </c>
      <c r="M775" s="270">
        <v>1</v>
      </c>
      <c r="N775" s="268">
        <v>1</v>
      </c>
      <c r="O775" s="271"/>
      <c r="P775" s="271">
        <v>84146</v>
      </c>
      <c r="Q775" s="271"/>
      <c r="R775" s="271"/>
      <c r="S775" s="271">
        <v>-84479</v>
      </c>
      <c r="T775" s="271"/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153</v>
      </c>
      <c r="B776" s="267" t="s">
        <v>313</v>
      </c>
      <c r="C776" s="267" t="s">
        <v>94</v>
      </c>
      <c r="D776" s="267" t="s">
        <v>92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83751</v>
      </c>
      <c r="L776" s="269">
        <v>84859</v>
      </c>
      <c r="M776" s="270">
        <v>1</v>
      </c>
      <c r="N776" s="268">
        <v>1</v>
      </c>
      <c r="O776" s="271"/>
      <c r="P776" s="271">
        <v>83751</v>
      </c>
      <c r="Q776" s="271"/>
      <c r="R776" s="271"/>
      <c r="S776" s="271">
        <v>-84859</v>
      </c>
      <c r="T776" s="271"/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153</v>
      </c>
      <c r="B777" s="267" t="s">
        <v>1354</v>
      </c>
      <c r="C777" s="267" t="s">
        <v>94</v>
      </c>
      <c r="D777" s="267" t="s">
        <v>92</v>
      </c>
      <c r="E777" s="267" t="s">
        <v>0</v>
      </c>
      <c r="F777" s="268"/>
      <c r="G777" s="269"/>
      <c r="H777" s="269"/>
      <c r="I777" s="270"/>
      <c r="J777" s="268">
        <v>1</v>
      </c>
      <c r="K777" s="269">
        <v>83371</v>
      </c>
      <c r="L777" s="269">
        <v>85059</v>
      </c>
      <c r="M777" s="270">
        <v>1</v>
      </c>
      <c r="N777" s="268">
        <v>1</v>
      </c>
      <c r="O777" s="271"/>
      <c r="P777" s="271">
        <v>83371</v>
      </c>
      <c r="Q777" s="271"/>
      <c r="R777" s="271"/>
      <c r="S777" s="271">
        <v>-85059</v>
      </c>
      <c r="T777" s="271"/>
      <c r="U777" s="272">
        <v>1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153</v>
      </c>
      <c r="B778" s="267" t="s">
        <v>314</v>
      </c>
      <c r="C778" s="267" t="s">
        <v>94</v>
      </c>
      <c r="D778" s="267" t="s">
        <v>92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83920</v>
      </c>
      <c r="L778" s="269">
        <v>84662</v>
      </c>
      <c r="M778" s="270">
        <v>1</v>
      </c>
      <c r="N778" s="268">
        <v>1</v>
      </c>
      <c r="O778" s="271"/>
      <c r="P778" s="271">
        <v>83920</v>
      </c>
      <c r="Q778" s="271"/>
      <c r="R778" s="271"/>
      <c r="S778" s="271">
        <v>-84662</v>
      </c>
      <c r="T778" s="271"/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153</v>
      </c>
      <c r="B779" s="267" t="s">
        <v>315</v>
      </c>
      <c r="C779" s="267" t="s">
        <v>94</v>
      </c>
      <c r="D779" s="267" t="s">
        <v>92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83918</v>
      </c>
      <c r="L779" s="269">
        <v>84671</v>
      </c>
      <c r="M779" s="270">
        <v>1</v>
      </c>
      <c r="N779" s="268">
        <v>1</v>
      </c>
      <c r="O779" s="271"/>
      <c r="P779" s="271">
        <v>83918</v>
      </c>
      <c r="Q779" s="271"/>
      <c r="R779" s="271"/>
      <c r="S779" s="271">
        <v>-84671</v>
      </c>
      <c r="T779" s="271"/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153</v>
      </c>
      <c r="B780" s="267" t="s">
        <v>1355</v>
      </c>
      <c r="C780" s="267" t="s">
        <v>94</v>
      </c>
      <c r="D780" s="267" t="s">
        <v>92</v>
      </c>
      <c r="E780" s="267" t="s">
        <v>0</v>
      </c>
      <c r="F780" s="268"/>
      <c r="G780" s="269"/>
      <c r="H780" s="269"/>
      <c r="I780" s="270"/>
      <c r="J780" s="268">
        <v>1</v>
      </c>
      <c r="K780" s="269">
        <v>83579</v>
      </c>
      <c r="L780" s="269">
        <v>84870</v>
      </c>
      <c r="M780" s="270">
        <v>1</v>
      </c>
      <c r="N780" s="268">
        <v>1</v>
      </c>
      <c r="O780" s="271"/>
      <c r="P780" s="271">
        <v>83579</v>
      </c>
      <c r="Q780" s="271"/>
      <c r="R780" s="271"/>
      <c r="S780" s="271">
        <v>-84870</v>
      </c>
      <c r="T780" s="271"/>
      <c r="U780" s="272">
        <v>1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153</v>
      </c>
      <c r="B781" s="267" t="s">
        <v>1356</v>
      </c>
      <c r="C781" s="267" t="s">
        <v>94</v>
      </c>
      <c r="D781" s="267" t="s">
        <v>92</v>
      </c>
      <c r="E781" s="267" t="s">
        <v>0</v>
      </c>
      <c r="F781" s="268"/>
      <c r="G781" s="269"/>
      <c r="H781" s="269"/>
      <c r="I781" s="270"/>
      <c r="J781" s="268">
        <v>1</v>
      </c>
      <c r="K781" s="269">
        <v>83341</v>
      </c>
      <c r="L781" s="269">
        <v>85257</v>
      </c>
      <c r="M781" s="270">
        <v>1</v>
      </c>
      <c r="N781" s="268">
        <v>1</v>
      </c>
      <c r="O781" s="271"/>
      <c r="P781" s="271">
        <v>83341</v>
      </c>
      <c r="Q781" s="271"/>
      <c r="R781" s="271"/>
      <c r="S781" s="271">
        <v>-85257</v>
      </c>
      <c r="T781" s="271"/>
      <c r="U781" s="272">
        <v>1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153</v>
      </c>
      <c r="B782" s="267" t="s">
        <v>1357</v>
      </c>
      <c r="C782" s="267" t="s">
        <v>94</v>
      </c>
      <c r="D782" s="267" t="s">
        <v>92</v>
      </c>
      <c r="E782" s="267" t="s">
        <v>0</v>
      </c>
      <c r="F782" s="268"/>
      <c r="G782" s="269"/>
      <c r="H782" s="269"/>
      <c r="I782" s="270"/>
      <c r="J782" s="268">
        <v>1</v>
      </c>
      <c r="K782" s="269">
        <v>83339</v>
      </c>
      <c r="L782" s="269">
        <v>85266</v>
      </c>
      <c r="M782" s="270">
        <v>1</v>
      </c>
      <c r="N782" s="268">
        <v>1</v>
      </c>
      <c r="O782" s="271"/>
      <c r="P782" s="271">
        <v>83339</v>
      </c>
      <c r="Q782" s="271"/>
      <c r="R782" s="271"/>
      <c r="S782" s="271">
        <v>-85266</v>
      </c>
      <c r="T782" s="271"/>
      <c r="U782" s="272">
        <v>1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153</v>
      </c>
      <c r="B783" s="267" t="s">
        <v>1358</v>
      </c>
      <c r="C783" s="267" t="s">
        <v>94</v>
      </c>
      <c r="D783" s="267" t="s">
        <v>92</v>
      </c>
      <c r="E783" s="267" t="s">
        <v>0</v>
      </c>
      <c r="F783" s="268"/>
      <c r="G783" s="269"/>
      <c r="H783" s="269"/>
      <c r="I783" s="270"/>
      <c r="J783" s="268">
        <v>1</v>
      </c>
      <c r="K783" s="269">
        <v>83325</v>
      </c>
      <c r="L783" s="269">
        <v>85210</v>
      </c>
      <c r="M783" s="270">
        <v>1</v>
      </c>
      <c r="N783" s="268">
        <v>1</v>
      </c>
      <c r="O783" s="271"/>
      <c r="P783" s="271">
        <v>83325</v>
      </c>
      <c r="Q783" s="271"/>
      <c r="R783" s="271"/>
      <c r="S783" s="271">
        <v>-85210</v>
      </c>
      <c r="T783" s="271"/>
      <c r="U783" s="272">
        <v>1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153</v>
      </c>
      <c r="B784" s="267" t="s">
        <v>316</v>
      </c>
      <c r="C784" s="267" t="s">
        <v>94</v>
      </c>
      <c r="D784" s="267" t="s">
        <v>92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83941</v>
      </c>
      <c r="L784" s="269">
        <v>84657</v>
      </c>
      <c r="M784" s="270">
        <v>1</v>
      </c>
      <c r="N784" s="268">
        <v>1</v>
      </c>
      <c r="O784" s="271"/>
      <c r="P784" s="271">
        <v>83941</v>
      </c>
      <c r="Q784" s="271"/>
      <c r="R784" s="271"/>
      <c r="S784" s="271">
        <v>-84657</v>
      </c>
      <c r="T784" s="271"/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153</v>
      </c>
      <c r="B785" s="267" t="s">
        <v>317</v>
      </c>
      <c r="C785" s="267" t="s">
        <v>94</v>
      </c>
      <c r="D785" s="267" t="s">
        <v>92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83842</v>
      </c>
      <c r="L785" s="269">
        <v>84722</v>
      </c>
      <c r="M785" s="270">
        <v>1</v>
      </c>
      <c r="N785" s="268">
        <v>1</v>
      </c>
      <c r="O785" s="271"/>
      <c r="P785" s="271">
        <v>83842</v>
      </c>
      <c r="Q785" s="271"/>
      <c r="R785" s="271"/>
      <c r="S785" s="271">
        <v>-84722</v>
      </c>
      <c r="T785" s="271"/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153</v>
      </c>
      <c r="B786" s="267" t="s">
        <v>1359</v>
      </c>
      <c r="C786" s="267" t="s">
        <v>94</v>
      </c>
      <c r="D786" s="267" t="s">
        <v>92</v>
      </c>
      <c r="E786" s="267" t="s">
        <v>0</v>
      </c>
      <c r="F786" s="268"/>
      <c r="G786" s="269"/>
      <c r="H786" s="269"/>
      <c r="I786" s="270"/>
      <c r="J786" s="268">
        <v>1</v>
      </c>
      <c r="K786" s="269">
        <v>83175</v>
      </c>
      <c r="L786" s="269">
        <v>85235</v>
      </c>
      <c r="M786" s="270">
        <v>1</v>
      </c>
      <c r="N786" s="268">
        <v>1</v>
      </c>
      <c r="O786" s="271"/>
      <c r="P786" s="271">
        <v>83175</v>
      </c>
      <c r="Q786" s="271"/>
      <c r="R786" s="271"/>
      <c r="S786" s="271">
        <v>-85235</v>
      </c>
      <c r="T786" s="271"/>
      <c r="U786" s="272">
        <v>1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153</v>
      </c>
      <c r="B787" s="267" t="s">
        <v>318</v>
      </c>
      <c r="C787" s="267" t="s">
        <v>94</v>
      </c>
      <c r="D787" s="267" t="s">
        <v>92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83925</v>
      </c>
      <c r="L787" s="269">
        <v>84680</v>
      </c>
      <c r="M787" s="270">
        <v>1</v>
      </c>
      <c r="N787" s="268">
        <v>1</v>
      </c>
      <c r="O787" s="271"/>
      <c r="P787" s="271">
        <v>83925</v>
      </c>
      <c r="Q787" s="271"/>
      <c r="R787" s="271"/>
      <c r="S787" s="271">
        <v>-84680</v>
      </c>
      <c r="T787" s="271"/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153</v>
      </c>
      <c r="B788" s="267" t="s">
        <v>319</v>
      </c>
      <c r="C788" s="267" t="s">
        <v>94</v>
      </c>
      <c r="D788" s="267" t="s">
        <v>92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83857</v>
      </c>
      <c r="L788" s="269">
        <v>84717</v>
      </c>
      <c r="M788" s="270">
        <v>1</v>
      </c>
      <c r="N788" s="268">
        <v>1</v>
      </c>
      <c r="O788" s="271"/>
      <c r="P788" s="271">
        <v>83857</v>
      </c>
      <c r="Q788" s="271"/>
      <c r="R788" s="271"/>
      <c r="S788" s="271">
        <v>-84717</v>
      </c>
      <c r="T788" s="271"/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153</v>
      </c>
      <c r="B789" s="267" t="s">
        <v>1360</v>
      </c>
      <c r="C789" s="267" t="s">
        <v>94</v>
      </c>
      <c r="D789" s="267" t="s">
        <v>92</v>
      </c>
      <c r="E789" s="267" t="s">
        <v>0</v>
      </c>
      <c r="F789" s="268"/>
      <c r="G789" s="269"/>
      <c r="H789" s="269"/>
      <c r="I789" s="270"/>
      <c r="J789" s="268">
        <v>1</v>
      </c>
      <c r="K789" s="269">
        <v>83150</v>
      </c>
      <c r="L789" s="269">
        <v>85260</v>
      </c>
      <c r="M789" s="270">
        <v>1</v>
      </c>
      <c r="N789" s="268">
        <v>1</v>
      </c>
      <c r="O789" s="271"/>
      <c r="P789" s="271">
        <v>83150</v>
      </c>
      <c r="Q789" s="271"/>
      <c r="R789" s="271"/>
      <c r="S789" s="271">
        <v>-85260</v>
      </c>
      <c r="T789" s="271"/>
      <c r="U789" s="272">
        <v>1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153</v>
      </c>
      <c r="B790" s="267" t="s">
        <v>320</v>
      </c>
      <c r="C790" s="267" t="s">
        <v>94</v>
      </c>
      <c r="D790" s="267" t="s">
        <v>92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83982</v>
      </c>
      <c r="L790" s="269">
        <v>84662</v>
      </c>
      <c r="M790" s="270">
        <v>1</v>
      </c>
      <c r="N790" s="268">
        <v>1</v>
      </c>
      <c r="O790" s="271"/>
      <c r="P790" s="271">
        <v>83982</v>
      </c>
      <c r="Q790" s="271"/>
      <c r="R790" s="271"/>
      <c r="S790" s="271">
        <v>-84662</v>
      </c>
      <c r="T790" s="271"/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153</v>
      </c>
      <c r="B791" s="267" t="s">
        <v>321</v>
      </c>
      <c r="C791" s="267" t="s">
        <v>94</v>
      </c>
      <c r="D791" s="267" t="s">
        <v>92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84010</v>
      </c>
      <c r="L791" s="269">
        <v>84631</v>
      </c>
      <c r="M791" s="270">
        <v>1</v>
      </c>
      <c r="N791" s="268">
        <v>1</v>
      </c>
      <c r="O791" s="271"/>
      <c r="P791" s="271">
        <v>84010</v>
      </c>
      <c r="Q791" s="271"/>
      <c r="R791" s="271"/>
      <c r="S791" s="271">
        <v>-84631</v>
      </c>
      <c r="T791" s="271"/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153</v>
      </c>
      <c r="B792" s="267" t="s">
        <v>1361</v>
      </c>
      <c r="C792" s="267" t="s">
        <v>94</v>
      </c>
      <c r="D792" s="267" t="s">
        <v>92</v>
      </c>
      <c r="E792" s="267" t="s">
        <v>0</v>
      </c>
      <c r="F792" s="268"/>
      <c r="G792" s="269"/>
      <c r="H792" s="269"/>
      <c r="I792" s="270"/>
      <c r="J792" s="268">
        <v>1</v>
      </c>
      <c r="K792" s="269">
        <v>83205</v>
      </c>
      <c r="L792" s="269">
        <v>85221</v>
      </c>
      <c r="M792" s="270">
        <v>1</v>
      </c>
      <c r="N792" s="268">
        <v>1</v>
      </c>
      <c r="O792" s="271"/>
      <c r="P792" s="271">
        <v>83205</v>
      </c>
      <c r="Q792" s="271"/>
      <c r="R792" s="271"/>
      <c r="S792" s="271">
        <v>-85221</v>
      </c>
      <c r="T792" s="271"/>
      <c r="U792" s="272">
        <v>1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153</v>
      </c>
      <c r="B793" s="267" t="s">
        <v>1362</v>
      </c>
      <c r="C793" s="267" t="s">
        <v>94</v>
      </c>
      <c r="D793" s="267" t="s">
        <v>92</v>
      </c>
      <c r="E793" s="267" t="s">
        <v>0</v>
      </c>
      <c r="F793" s="268"/>
      <c r="G793" s="269"/>
      <c r="H793" s="269"/>
      <c r="I793" s="270"/>
      <c r="J793" s="268">
        <v>1</v>
      </c>
      <c r="K793" s="269">
        <v>83586</v>
      </c>
      <c r="L793" s="269">
        <v>85067</v>
      </c>
      <c r="M793" s="270">
        <v>1</v>
      </c>
      <c r="N793" s="268">
        <v>1</v>
      </c>
      <c r="O793" s="271"/>
      <c r="P793" s="271">
        <v>83586</v>
      </c>
      <c r="Q793" s="271"/>
      <c r="R793" s="271"/>
      <c r="S793" s="271">
        <v>-85067</v>
      </c>
      <c r="T793" s="271"/>
      <c r="U793" s="272">
        <v>1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153</v>
      </c>
      <c r="B794" s="267" t="s">
        <v>1363</v>
      </c>
      <c r="C794" s="267" t="s">
        <v>94</v>
      </c>
      <c r="D794" s="267" t="s">
        <v>92</v>
      </c>
      <c r="E794" s="267" t="s">
        <v>0</v>
      </c>
      <c r="F794" s="268"/>
      <c r="G794" s="269"/>
      <c r="H794" s="269"/>
      <c r="I794" s="270"/>
      <c r="J794" s="268">
        <v>1</v>
      </c>
      <c r="K794" s="269">
        <v>83584</v>
      </c>
      <c r="L794" s="269">
        <v>85076</v>
      </c>
      <c r="M794" s="270">
        <v>1</v>
      </c>
      <c r="N794" s="268">
        <v>1</v>
      </c>
      <c r="O794" s="271"/>
      <c r="P794" s="271">
        <v>83584</v>
      </c>
      <c r="Q794" s="271"/>
      <c r="R794" s="271"/>
      <c r="S794" s="271">
        <v>-85076</v>
      </c>
      <c r="T794" s="271"/>
      <c r="U794" s="272">
        <v>1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153</v>
      </c>
      <c r="B795" s="267" t="s">
        <v>1364</v>
      </c>
      <c r="C795" s="267" t="s">
        <v>94</v>
      </c>
      <c r="D795" s="267" t="s">
        <v>92</v>
      </c>
      <c r="E795" s="267" t="s">
        <v>0</v>
      </c>
      <c r="F795" s="268"/>
      <c r="G795" s="269"/>
      <c r="H795" s="269"/>
      <c r="I795" s="270"/>
      <c r="J795" s="268">
        <v>1</v>
      </c>
      <c r="K795" s="269">
        <v>83506</v>
      </c>
      <c r="L795" s="269">
        <v>85143</v>
      </c>
      <c r="M795" s="270">
        <v>1</v>
      </c>
      <c r="N795" s="268">
        <v>1</v>
      </c>
      <c r="O795" s="271"/>
      <c r="P795" s="271">
        <v>83506</v>
      </c>
      <c r="Q795" s="271"/>
      <c r="R795" s="271"/>
      <c r="S795" s="271">
        <v>-85143</v>
      </c>
      <c r="T795" s="271"/>
      <c r="U795" s="272">
        <v>1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153</v>
      </c>
      <c r="B796" s="267" t="s">
        <v>1365</v>
      </c>
      <c r="C796" s="267" t="s">
        <v>94</v>
      </c>
      <c r="D796" s="267" t="s">
        <v>92</v>
      </c>
      <c r="E796" s="267" t="s">
        <v>0</v>
      </c>
      <c r="F796" s="268"/>
      <c r="G796" s="269"/>
      <c r="H796" s="269"/>
      <c r="I796" s="270"/>
      <c r="J796" s="268">
        <v>1</v>
      </c>
      <c r="K796" s="269">
        <v>83531</v>
      </c>
      <c r="L796" s="269">
        <v>85067</v>
      </c>
      <c r="M796" s="270">
        <v>1</v>
      </c>
      <c r="N796" s="268">
        <v>1</v>
      </c>
      <c r="O796" s="271"/>
      <c r="P796" s="271">
        <v>83531</v>
      </c>
      <c r="Q796" s="271"/>
      <c r="R796" s="271"/>
      <c r="S796" s="271">
        <v>-85067</v>
      </c>
      <c r="T796" s="271"/>
      <c r="U796" s="272">
        <v>1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153</v>
      </c>
      <c r="B797" s="267" t="s">
        <v>1366</v>
      </c>
      <c r="C797" s="267" t="s">
        <v>94</v>
      </c>
      <c r="D797" s="267" t="s">
        <v>92</v>
      </c>
      <c r="E797" s="267" t="s">
        <v>0</v>
      </c>
      <c r="F797" s="268"/>
      <c r="G797" s="269"/>
      <c r="H797" s="269"/>
      <c r="I797" s="270"/>
      <c r="J797" s="268">
        <v>1</v>
      </c>
      <c r="K797" s="269">
        <v>83432</v>
      </c>
      <c r="L797" s="269">
        <v>85132</v>
      </c>
      <c r="M797" s="270">
        <v>1</v>
      </c>
      <c r="N797" s="268">
        <v>1</v>
      </c>
      <c r="O797" s="271"/>
      <c r="P797" s="271">
        <v>83432</v>
      </c>
      <c r="Q797" s="271"/>
      <c r="R797" s="271"/>
      <c r="S797" s="271">
        <v>-85132</v>
      </c>
      <c r="T797" s="271"/>
      <c r="U797" s="272">
        <v>1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153</v>
      </c>
      <c r="B798" s="267" t="s">
        <v>1367</v>
      </c>
      <c r="C798" s="267" t="s">
        <v>94</v>
      </c>
      <c r="D798" s="267" t="s">
        <v>92</v>
      </c>
      <c r="E798" s="267" t="s">
        <v>0</v>
      </c>
      <c r="F798" s="268"/>
      <c r="G798" s="269"/>
      <c r="H798" s="269"/>
      <c r="I798" s="270"/>
      <c r="J798" s="268">
        <v>1</v>
      </c>
      <c r="K798" s="269">
        <v>83145</v>
      </c>
      <c r="L798" s="269">
        <v>85445</v>
      </c>
      <c r="M798" s="270">
        <v>1</v>
      </c>
      <c r="N798" s="268">
        <v>1</v>
      </c>
      <c r="O798" s="271"/>
      <c r="P798" s="271">
        <v>83145</v>
      </c>
      <c r="Q798" s="271"/>
      <c r="R798" s="271"/>
      <c r="S798" s="271">
        <v>-85445</v>
      </c>
      <c r="T798" s="271"/>
      <c r="U798" s="272">
        <v>1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153</v>
      </c>
      <c r="B799" s="267" t="s">
        <v>1368</v>
      </c>
      <c r="C799" s="267" t="s">
        <v>94</v>
      </c>
      <c r="D799" s="267" t="s">
        <v>92</v>
      </c>
      <c r="E799" s="267" t="s">
        <v>0</v>
      </c>
      <c r="F799" s="268"/>
      <c r="G799" s="269"/>
      <c r="H799" s="269"/>
      <c r="I799" s="270"/>
      <c r="J799" s="268">
        <v>1</v>
      </c>
      <c r="K799" s="269">
        <v>83515</v>
      </c>
      <c r="L799" s="269">
        <v>85090</v>
      </c>
      <c r="M799" s="270">
        <v>1</v>
      </c>
      <c r="N799" s="268">
        <v>1</v>
      </c>
      <c r="O799" s="271"/>
      <c r="P799" s="271">
        <v>83515</v>
      </c>
      <c r="Q799" s="271"/>
      <c r="R799" s="271"/>
      <c r="S799" s="271">
        <v>-85090</v>
      </c>
      <c r="T799" s="271"/>
      <c r="U799" s="272">
        <v>1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153</v>
      </c>
      <c r="B800" s="267" t="s">
        <v>1369</v>
      </c>
      <c r="C800" s="267" t="s">
        <v>94</v>
      </c>
      <c r="D800" s="267" t="s">
        <v>92</v>
      </c>
      <c r="E800" s="267" t="s">
        <v>0</v>
      </c>
      <c r="F800" s="268"/>
      <c r="G800" s="269"/>
      <c r="H800" s="269"/>
      <c r="I800" s="270"/>
      <c r="J800" s="268">
        <v>1</v>
      </c>
      <c r="K800" s="269">
        <v>83447</v>
      </c>
      <c r="L800" s="269">
        <v>85127</v>
      </c>
      <c r="M800" s="270">
        <v>1</v>
      </c>
      <c r="N800" s="268">
        <v>1</v>
      </c>
      <c r="O800" s="271"/>
      <c r="P800" s="271">
        <v>83447</v>
      </c>
      <c r="Q800" s="271"/>
      <c r="R800" s="271"/>
      <c r="S800" s="271">
        <v>-85127</v>
      </c>
      <c r="T800" s="271"/>
      <c r="U800" s="272">
        <v>1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153</v>
      </c>
      <c r="B801" s="267" t="s">
        <v>1370</v>
      </c>
      <c r="C801" s="267" t="s">
        <v>94</v>
      </c>
      <c r="D801" s="267" t="s">
        <v>92</v>
      </c>
      <c r="E801" s="267" t="s">
        <v>0</v>
      </c>
      <c r="F801" s="268"/>
      <c r="G801" s="269"/>
      <c r="H801" s="269"/>
      <c r="I801" s="270"/>
      <c r="J801" s="268">
        <v>1</v>
      </c>
      <c r="K801" s="269">
        <v>83120</v>
      </c>
      <c r="L801" s="269">
        <v>85470</v>
      </c>
      <c r="M801" s="270">
        <v>1</v>
      </c>
      <c r="N801" s="268">
        <v>1</v>
      </c>
      <c r="O801" s="271"/>
      <c r="P801" s="271">
        <v>83120</v>
      </c>
      <c r="Q801" s="271"/>
      <c r="R801" s="271"/>
      <c r="S801" s="271">
        <v>-85470</v>
      </c>
      <c r="T801" s="271"/>
      <c r="U801" s="272">
        <v>1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153</v>
      </c>
      <c r="B802" s="267" t="s">
        <v>1371</v>
      </c>
      <c r="C802" s="267" t="s">
        <v>94</v>
      </c>
      <c r="D802" s="267" t="s">
        <v>92</v>
      </c>
      <c r="E802" s="267" t="s">
        <v>0</v>
      </c>
      <c r="F802" s="268"/>
      <c r="G802" s="269"/>
      <c r="H802" s="269"/>
      <c r="I802" s="270"/>
      <c r="J802" s="268">
        <v>1</v>
      </c>
      <c r="K802" s="269">
        <v>83387</v>
      </c>
      <c r="L802" s="269">
        <v>85241</v>
      </c>
      <c r="M802" s="270">
        <v>1</v>
      </c>
      <c r="N802" s="268">
        <v>1</v>
      </c>
      <c r="O802" s="271"/>
      <c r="P802" s="271">
        <v>83387</v>
      </c>
      <c r="Q802" s="271"/>
      <c r="R802" s="271"/>
      <c r="S802" s="271">
        <v>-85241</v>
      </c>
      <c r="T802" s="271"/>
      <c r="U802" s="272">
        <v>1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153</v>
      </c>
      <c r="B803" s="267" t="s">
        <v>1372</v>
      </c>
      <c r="C803" s="267" t="s">
        <v>94</v>
      </c>
      <c r="D803" s="267" t="s">
        <v>92</v>
      </c>
      <c r="E803" s="267" t="s">
        <v>0</v>
      </c>
      <c r="F803" s="268"/>
      <c r="G803" s="269"/>
      <c r="H803" s="269"/>
      <c r="I803" s="270"/>
      <c r="J803" s="268">
        <v>1</v>
      </c>
      <c r="K803" s="269">
        <v>83415</v>
      </c>
      <c r="L803" s="269">
        <v>85210</v>
      </c>
      <c r="M803" s="270">
        <v>1</v>
      </c>
      <c r="N803" s="268">
        <v>1</v>
      </c>
      <c r="O803" s="271"/>
      <c r="P803" s="271">
        <v>83415</v>
      </c>
      <c r="Q803" s="271"/>
      <c r="R803" s="271"/>
      <c r="S803" s="271">
        <v>-85210</v>
      </c>
      <c r="T803" s="271"/>
      <c r="U803" s="272">
        <v>1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153</v>
      </c>
      <c r="B804" s="267" t="s">
        <v>1373</v>
      </c>
      <c r="C804" s="267" t="s">
        <v>94</v>
      </c>
      <c r="D804" s="267" t="s">
        <v>92</v>
      </c>
      <c r="E804" s="267" t="s">
        <v>0</v>
      </c>
      <c r="F804" s="268"/>
      <c r="G804" s="269"/>
      <c r="H804" s="269"/>
      <c r="I804" s="270"/>
      <c r="J804" s="268">
        <v>1</v>
      </c>
      <c r="K804" s="269">
        <v>83159</v>
      </c>
      <c r="L804" s="269">
        <v>85415</v>
      </c>
      <c r="M804" s="270">
        <v>1</v>
      </c>
      <c r="N804" s="268">
        <v>1</v>
      </c>
      <c r="O804" s="271"/>
      <c r="P804" s="271">
        <v>83159</v>
      </c>
      <c r="Q804" s="271"/>
      <c r="R804" s="271"/>
      <c r="S804" s="271">
        <v>-85415</v>
      </c>
      <c r="T804" s="271"/>
      <c r="U804" s="272">
        <v>1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153</v>
      </c>
      <c r="B805" s="267" t="s">
        <v>1374</v>
      </c>
      <c r="C805" s="267" t="s">
        <v>94</v>
      </c>
      <c r="D805" s="267" t="s">
        <v>92</v>
      </c>
      <c r="E805" s="267" t="s">
        <v>0</v>
      </c>
      <c r="F805" s="268"/>
      <c r="G805" s="269"/>
      <c r="H805" s="269"/>
      <c r="I805" s="270"/>
      <c r="J805" s="268">
        <v>1</v>
      </c>
      <c r="K805" s="269">
        <v>83531</v>
      </c>
      <c r="L805" s="269">
        <v>85012</v>
      </c>
      <c r="M805" s="270">
        <v>1</v>
      </c>
      <c r="N805" s="268">
        <v>1</v>
      </c>
      <c r="O805" s="271"/>
      <c r="P805" s="271">
        <v>83531</v>
      </c>
      <c r="Q805" s="271"/>
      <c r="R805" s="271"/>
      <c r="S805" s="271">
        <v>-85012</v>
      </c>
      <c r="T805" s="271"/>
      <c r="U805" s="272">
        <v>1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153</v>
      </c>
      <c r="B806" s="267" t="s">
        <v>1375</v>
      </c>
      <c r="C806" s="267" t="s">
        <v>94</v>
      </c>
      <c r="D806" s="267" t="s">
        <v>92</v>
      </c>
      <c r="E806" s="267" t="s">
        <v>0</v>
      </c>
      <c r="F806" s="268"/>
      <c r="G806" s="269"/>
      <c r="H806" s="269"/>
      <c r="I806" s="270"/>
      <c r="J806" s="268">
        <v>1</v>
      </c>
      <c r="K806" s="269">
        <v>83529</v>
      </c>
      <c r="L806" s="269">
        <v>85021</v>
      </c>
      <c r="M806" s="270">
        <v>1</v>
      </c>
      <c r="N806" s="268">
        <v>1</v>
      </c>
      <c r="O806" s="271"/>
      <c r="P806" s="271">
        <v>83529</v>
      </c>
      <c r="Q806" s="271"/>
      <c r="R806" s="271"/>
      <c r="S806" s="271">
        <v>-85021</v>
      </c>
      <c r="T806" s="271"/>
      <c r="U806" s="272">
        <v>1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153</v>
      </c>
      <c r="B807" s="267" t="s">
        <v>1376</v>
      </c>
      <c r="C807" s="267" t="s">
        <v>94</v>
      </c>
      <c r="D807" s="267" t="s">
        <v>92</v>
      </c>
      <c r="E807" s="267" t="s">
        <v>0</v>
      </c>
      <c r="F807" s="268"/>
      <c r="G807" s="269"/>
      <c r="H807" s="269"/>
      <c r="I807" s="270"/>
      <c r="J807" s="268">
        <v>1</v>
      </c>
      <c r="K807" s="269">
        <v>83636</v>
      </c>
      <c r="L807" s="269">
        <v>84919</v>
      </c>
      <c r="M807" s="270">
        <v>1</v>
      </c>
      <c r="N807" s="268">
        <v>1</v>
      </c>
      <c r="O807" s="271"/>
      <c r="P807" s="271">
        <v>83636</v>
      </c>
      <c r="Q807" s="271"/>
      <c r="R807" s="271"/>
      <c r="S807" s="271">
        <v>-84919</v>
      </c>
      <c r="T807" s="271"/>
      <c r="U807" s="272">
        <v>1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153</v>
      </c>
      <c r="B808" s="267" t="s">
        <v>322</v>
      </c>
      <c r="C808" s="267" t="s">
        <v>94</v>
      </c>
      <c r="D808" s="267" t="s">
        <v>92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83907</v>
      </c>
      <c r="L808" s="269">
        <v>84640</v>
      </c>
      <c r="M808" s="270">
        <v>1</v>
      </c>
      <c r="N808" s="268">
        <v>1</v>
      </c>
      <c r="O808" s="271"/>
      <c r="P808" s="271">
        <v>83907</v>
      </c>
      <c r="Q808" s="271"/>
      <c r="R808" s="271"/>
      <c r="S808" s="271">
        <v>-84640</v>
      </c>
      <c r="T808" s="271"/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153</v>
      </c>
      <c r="B809" s="267" t="s">
        <v>1377</v>
      </c>
      <c r="C809" s="267" t="s">
        <v>94</v>
      </c>
      <c r="D809" s="267" t="s">
        <v>92</v>
      </c>
      <c r="E809" s="267" t="s">
        <v>0</v>
      </c>
      <c r="F809" s="268"/>
      <c r="G809" s="269"/>
      <c r="H809" s="269"/>
      <c r="I809" s="270"/>
      <c r="J809" s="268">
        <v>1</v>
      </c>
      <c r="K809" s="269">
        <v>83358</v>
      </c>
      <c r="L809" s="269">
        <v>85025</v>
      </c>
      <c r="M809" s="270">
        <v>1</v>
      </c>
      <c r="N809" s="268">
        <v>1</v>
      </c>
      <c r="O809" s="271"/>
      <c r="P809" s="271">
        <v>83358</v>
      </c>
      <c r="Q809" s="271"/>
      <c r="R809" s="271"/>
      <c r="S809" s="271">
        <v>-85025</v>
      </c>
      <c r="T809" s="271"/>
      <c r="U809" s="272">
        <v>1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153</v>
      </c>
      <c r="B810" s="267" t="s">
        <v>323</v>
      </c>
      <c r="C810" s="267" t="s">
        <v>94</v>
      </c>
      <c r="D810" s="267" t="s">
        <v>92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83993</v>
      </c>
      <c r="L810" s="269">
        <v>84610</v>
      </c>
      <c r="M810" s="270">
        <v>1</v>
      </c>
      <c r="N810" s="268">
        <v>1</v>
      </c>
      <c r="O810" s="271"/>
      <c r="P810" s="271">
        <v>83993</v>
      </c>
      <c r="Q810" s="271"/>
      <c r="R810" s="271"/>
      <c r="S810" s="271">
        <v>-84610</v>
      </c>
      <c r="T810" s="271"/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153</v>
      </c>
      <c r="B811" s="267" t="s">
        <v>1378</v>
      </c>
      <c r="C811" s="267" t="s">
        <v>94</v>
      </c>
      <c r="D811" s="267" t="s">
        <v>92</v>
      </c>
      <c r="E811" s="267" t="s">
        <v>0</v>
      </c>
      <c r="F811" s="268"/>
      <c r="G811" s="269"/>
      <c r="H811" s="269"/>
      <c r="I811" s="270"/>
      <c r="J811" s="268">
        <v>1</v>
      </c>
      <c r="K811" s="269">
        <v>83547</v>
      </c>
      <c r="L811" s="269">
        <v>84911</v>
      </c>
      <c r="M811" s="270">
        <v>1</v>
      </c>
      <c r="N811" s="268">
        <v>1</v>
      </c>
      <c r="O811" s="271"/>
      <c r="P811" s="271">
        <v>83547</v>
      </c>
      <c r="Q811" s="271"/>
      <c r="R811" s="271"/>
      <c r="S811" s="271">
        <v>-84911</v>
      </c>
      <c r="T811" s="271"/>
      <c r="U811" s="272">
        <v>1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153</v>
      </c>
      <c r="B812" s="267" t="s">
        <v>1379</v>
      </c>
      <c r="C812" s="267" t="s">
        <v>94</v>
      </c>
      <c r="D812" s="267" t="s">
        <v>92</v>
      </c>
      <c r="E812" s="267" t="s">
        <v>0</v>
      </c>
      <c r="F812" s="268"/>
      <c r="G812" s="269"/>
      <c r="H812" s="269"/>
      <c r="I812" s="270"/>
      <c r="J812" s="268">
        <v>1</v>
      </c>
      <c r="K812" s="269">
        <v>83398</v>
      </c>
      <c r="L812" s="269">
        <v>85189</v>
      </c>
      <c r="M812" s="270">
        <v>1</v>
      </c>
      <c r="N812" s="268">
        <v>1</v>
      </c>
      <c r="O812" s="271"/>
      <c r="P812" s="271">
        <v>83398</v>
      </c>
      <c r="Q812" s="271"/>
      <c r="R812" s="271"/>
      <c r="S812" s="271">
        <v>-85189</v>
      </c>
      <c r="T812" s="271"/>
      <c r="U812" s="272">
        <v>1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153</v>
      </c>
      <c r="B813" s="267" t="s">
        <v>1380</v>
      </c>
      <c r="C813" s="267" t="s">
        <v>94</v>
      </c>
      <c r="D813" s="267" t="s">
        <v>92</v>
      </c>
      <c r="E813" s="267" t="s">
        <v>0</v>
      </c>
      <c r="F813" s="268"/>
      <c r="G813" s="269"/>
      <c r="H813" s="269"/>
      <c r="I813" s="270"/>
      <c r="J813" s="268">
        <v>1</v>
      </c>
      <c r="K813" s="269">
        <v>83462</v>
      </c>
      <c r="L813" s="269">
        <v>85066</v>
      </c>
      <c r="M813" s="270">
        <v>1</v>
      </c>
      <c r="N813" s="268">
        <v>1</v>
      </c>
      <c r="O813" s="271"/>
      <c r="P813" s="271">
        <v>83462</v>
      </c>
      <c r="Q813" s="271"/>
      <c r="R813" s="271"/>
      <c r="S813" s="271">
        <v>-85066</v>
      </c>
      <c r="T813" s="271"/>
      <c r="U813" s="272">
        <v>1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153</v>
      </c>
      <c r="B814" s="267" t="s">
        <v>324</v>
      </c>
      <c r="C814" s="267" t="s">
        <v>94</v>
      </c>
      <c r="D814" s="267" t="s">
        <v>92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83737</v>
      </c>
      <c r="L814" s="269">
        <v>84843</v>
      </c>
      <c r="M814" s="270">
        <v>1</v>
      </c>
      <c r="N814" s="268">
        <v>1</v>
      </c>
      <c r="O814" s="271"/>
      <c r="P814" s="271">
        <v>83737</v>
      </c>
      <c r="Q814" s="271"/>
      <c r="R814" s="271"/>
      <c r="S814" s="271">
        <v>-84843</v>
      </c>
      <c r="T814" s="271"/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153</v>
      </c>
      <c r="B815" s="267" t="s">
        <v>1381</v>
      </c>
      <c r="C815" s="267" t="s">
        <v>94</v>
      </c>
      <c r="D815" s="267" t="s">
        <v>92</v>
      </c>
      <c r="E815" s="267" t="s">
        <v>0</v>
      </c>
      <c r="F815" s="268"/>
      <c r="G815" s="269"/>
      <c r="H815" s="269"/>
      <c r="I815" s="270"/>
      <c r="J815" s="268">
        <v>1</v>
      </c>
      <c r="K815" s="269">
        <v>83357</v>
      </c>
      <c r="L815" s="269">
        <v>85043</v>
      </c>
      <c r="M815" s="270">
        <v>1</v>
      </c>
      <c r="N815" s="268">
        <v>1</v>
      </c>
      <c r="O815" s="271"/>
      <c r="P815" s="271">
        <v>83357</v>
      </c>
      <c r="Q815" s="271"/>
      <c r="R815" s="271"/>
      <c r="S815" s="271">
        <v>-85043</v>
      </c>
      <c r="T815" s="271"/>
      <c r="U815" s="272">
        <v>1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153</v>
      </c>
      <c r="B816" s="267" t="s">
        <v>325</v>
      </c>
      <c r="C816" s="267" t="s">
        <v>94</v>
      </c>
      <c r="D816" s="267" t="s">
        <v>92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83904</v>
      </c>
      <c r="L816" s="269">
        <v>84655</v>
      </c>
      <c r="M816" s="270">
        <v>1</v>
      </c>
      <c r="N816" s="268">
        <v>1</v>
      </c>
      <c r="O816" s="271"/>
      <c r="P816" s="271">
        <v>83904</v>
      </c>
      <c r="Q816" s="271"/>
      <c r="R816" s="271"/>
      <c r="S816" s="271">
        <v>-84655</v>
      </c>
      <c r="T816" s="271"/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153</v>
      </c>
      <c r="B817" s="267" t="s">
        <v>1382</v>
      </c>
      <c r="C817" s="267" t="s">
        <v>94</v>
      </c>
      <c r="D817" s="267" t="s">
        <v>92</v>
      </c>
      <c r="E817" s="267" t="s">
        <v>0</v>
      </c>
      <c r="F817" s="268"/>
      <c r="G817" s="269"/>
      <c r="H817" s="269"/>
      <c r="I817" s="270"/>
      <c r="J817" s="268">
        <v>1</v>
      </c>
      <c r="K817" s="269">
        <v>83565</v>
      </c>
      <c r="L817" s="269">
        <v>84854</v>
      </c>
      <c r="M817" s="270">
        <v>1</v>
      </c>
      <c r="N817" s="268">
        <v>1</v>
      </c>
      <c r="O817" s="271"/>
      <c r="P817" s="271">
        <v>83565</v>
      </c>
      <c r="Q817" s="271"/>
      <c r="R817" s="271"/>
      <c r="S817" s="271">
        <v>-84854</v>
      </c>
      <c r="T817" s="271"/>
      <c r="U817" s="272">
        <v>1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153</v>
      </c>
      <c r="B818" s="267" t="s">
        <v>1383</v>
      </c>
      <c r="C818" s="267" t="s">
        <v>94</v>
      </c>
      <c r="D818" s="267" t="s">
        <v>92</v>
      </c>
      <c r="E818" s="267" t="s">
        <v>0</v>
      </c>
      <c r="F818" s="268"/>
      <c r="G818" s="269"/>
      <c r="H818" s="269"/>
      <c r="I818" s="270"/>
      <c r="J818" s="268">
        <v>1</v>
      </c>
      <c r="K818" s="269">
        <v>83325</v>
      </c>
      <c r="L818" s="269">
        <v>85250</v>
      </c>
      <c r="M818" s="270">
        <v>1</v>
      </c>
      <c r="N818" s="268">
        <v>1</v>
      </c>
      <c r="O818" s="271"/>
      <c r="P818" s="271">
        <v>83325</v>
      </c>
      <c r="Q818" s="271"/>
      <c r="R818" s="271"/>
      <c r="S818" s="271">
        <v>-85250</v>
      </c>
      <c r="T818" s="271"/>
      <c r="U818" s="272">
        <v>1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153</v>
      </c>
      <c r="B819" s="267" t="s">
        <v>1384</v>
      </c>
      <c r="C819" s="267" t="s">
        <v>94</v>
      </c>
      <c r="D819" s="267" t="s">
        <v>92</v>
      </c>
      <c r="E819" s="267" t="s">
        <v>0</v>
      </c>
      <c r="F819" s="268"/>
      <c r="G819" s="269"/>
      <c r="H819" s="269"/>
      <c r="I819" s="270"/>
      <c r="J819" s="268">
        <v>1</v>
      </c>
      <c r="K819" s="269">
        <v>83311</v>
      </c>
      <c r="L819" s="269">
        <v>85194</v>
      </c>
      <c r="M819" s="270">
        <v>1</v>
      </c>
      <c r="N819" s="268">
        <v>1</v>
      </c>
      <c r="O819" s="271"/>
      <c r="P819" s="271">
        <v>83311</v>
      </c>
      <c r="Q819" s="271"/>
      <c r="R819" s="271"/>
      <c r="S819" s="271">
        <v>-85194</v>
      </c>
      <c r="T819" s="271"/>
      <c r="U819" s="272">
        <v>1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153</v>
      </c>
      <c r="B820" s="267" t="s">
        <v>326</v>
      </c>
      <c r="C820" s="267" t="s">
        <v>94</v>
      </c>
      <c r="D820" s="267" t="s">
        <v>92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83827</v>
      </c>
      <c r="L820" s="269">
        <v>84747</v>
      </c>
      <c r="M820" s="270">
        <v>1</v>
      </c>
      <c r="N820" s="268">
        <v>1</v>
      </c>
      <c r="O820" s="271"/>
      <c r="P820" s="271">
        <v>83827</v>
      </c>
      <c r="Q820" s="271"/>
      <c r="R820" s="271"/>
      <c r="S820" s="271">
        <v>-84747</v>
      </c>
      <c r="T820" s="271"/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153</v>
      </c>
      <c r="B821" s="267" t="s">
        <v>1385</v>
      </c>
      <c r="C821" s="267" t="s">
        <v>94</v>
      </c>
      <c r="D821" s="267" t="s">
        <v>92</v>
      </c>
      <c r="E821" s="267" t="s">
        <v>0</v>
      </c>
      <c r="F821" s="268"/>
      <c r="G821" s="269"/>
      <c r="H821" s="269"/>
      <c r="I821" s="270"/>
      <c r="J821" s="268">
        <v>1</v>
      </c>
      <c r="K821" s="269">
        <v>83120</v>
      </c>
      <c r="L821" s="269">
        <v>85290</v>
      </c>
      <c r="M821" s="270">
        <v>1</v>
      </c>
      <c r="N821" s="268">
        <v>1</v>
      </c>
      <c r="O821" s="271"/>
      <c r="P821" s="271">
        <v>83120</v>
      </c>
      <c r="Q821" s="271"/>
      <c r="R821" s="271"/>
      <c r="S821" s="271">
        <v>-85290</v>
      </c>
      <c r="T821" s="271"/>
      <c r="U821" s="272">
        <v>1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153</v>
      </c>
      <c r="B822" s="267" t="s">
        <v>327</v>
      </c>
      <c r="C822" s="267" t="s">
        <v>94</v>
      </c>
      <c r="D822" s="267" t="s">
        <v>92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83980</v>
      </c>
      <c r="L822" s="269">
        <v>84661</v>
      </c>
      <c r="M822" s="270">
        <v>1</v>
      </c>
      <c r="N822" s="268">
        <v>1</v>
      </c>
      <c r="O822" s="271"/>
      <c r="P822" s="271">
        <v>83980</v>
      </c>
      <c r="Q822" s="271"/>
      <c r="R822" s="271"/>
      <c r="S822" s="271">
        <v>-84661</v>
      </c>
      <c r="T822" s="271"/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153</v>
      </c>
      <c r="B823" s="267" t="s">
        <v>1386</v>
      </c>
      <c r="C823" s="267" t="s">
        <v>94</v>
      </c>
      <c r="D823" s="267" t="s">
        <v>92</v>
      </c>
      <c r="E823" s="267" t="s">
        <v>0</v>
      </c>
      <c r="F823" s="268"/>
      <c r="G823" s="269"/>
      <c r="H823" s="269"/>
      <c r="I823" s="270"/>
      <c r="J823" s="268">
        <v>1</v>
      </c>
      <c r="K823" s="269">
        <v>83175</v>
      </c>
      <c r="L823" s="269">
        <v>85251</v>
      </c>
      <c r="M823" s="270">
        <v>1</v>
      </c>
      <c r="N823" s="268">
        <v>1</v>
      </c>
      <c r="O823" s="271"/>
      <c r="P823" s="271">
        <v>83175</v>
      </c>
      <c r="Q823" s="271"/>
      <c r="R823" s="271"/>
      <c r="S823" s="271">
        <v>-85251</v>
      </c>
      <c r="T823" s="271"/>
      <c r="U823" s="272">
        <v>1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153</v>
      </c>
      <c r="B824" s="267" t="s">
        <v>1387</v>
      </c>
      <c r="C824" s="267" t="s">
        <v>94</v>
      </c>
      <c r="D824" s="267" t="s">
        <v>92</v>
      </c>
      <c r="E824" s="267" t="s">
        <v>0</v>
      </c>
      <c r="F824" s="268"/>
      <c r="G824" s="269"/>
      <c r="H824" s="269"/>
      <c r="I824" s="270"/>
      <c r="J824" s="268">
        <v>1</v>
      </c>
      <c r="K824" s="269">
        <v>83554</v>
      </c>
      <c r="L824" s="269">
        <v>85106</v>
      </c>
      <c r="M824" s="270">
        <v>1</v>
      </c>
      <c r="N824" s="268">
        <v>1</v>
      </c>
      <c r="O824" s="271"/>
      <c r="P824" s="271">
        <v>83554</v>
      </c>
      <c r="Q824" s="271"/>
      <c r="R824" s="271"/>
      <c r="S824" s="271">
        <v>-85106</v>
      </c>
      <c r="T824" s="271"/>
      <c r="U824" s="272">
        <v>1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153</v>
      </c>
      <c r="B825" s="267" t="s">
        <v>1388</v>
      </c>
      <c r="C825" s="267" t="s">
        <v>94</v>
      </c>
      <c r="D825" s="267" t="s">
        <v>92</v>
      </c>
      <c r="E825" s="267" t="s">
        <v>0</v>
      </c>
      <c r="F825" s="268"/>
      <c r="G825" s="269"/>
      <c r="H825" s="269"/>
      <c r="I825" s="270"/>
      <c r="J825" s="268">
        <v>1</v>
      </c>
      <c r="K825" s="269">
        <v>83476</v>
      </c>
      <c r="L825" s="269">
        <v>85173</v>
      </c>
      <c r="M825" s="270">
        <v>1</v>
      </c>
      <c r="N825" s="268">
        <v>1</v>
      </c>
      <c r="O825" s="271"/>
      <c r="P825" s="271">
        <v>83476</v>
      </c>
      <c r="Q825" s="271"/>
      <c r="R825" s="271"/>
      <c r="S825" s="271">
        <v>-85173</v>
      </c>
      <c r="T825" s="271"/>
      <c r="U825" s="272">
        <v>1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153</v>
      </c>
      <c r="B826" s="267" t="s">
        <v>1389</v>
      </c>
      <c r="C826" s="267" t="s">
        <v>94</v>
      </c>
      <c r="D826" s="267" t="s">
        <v>92</v>
      </c>
      <c r="E826" s="267" t="s">
        <v>0</v>
      </c>
      <c r="F826" s="268"/>
      <c r="G826" s="269"/>
      <c r="H826" s="269"/>
      <c r="I826" s="270"/>
      <c r="J826" s="268">
        <v>1</v>
      </c>
      <c r="K826" s="269">
        <v>83417</v>
      </c>
      <c r="L826" s="269">
        <v>85157</v>
      </c>
      <c r="M826" s="270">
        <v>1</v>
      </c>
      <c r="N826" s="268">
        <v>1</v>
      </c>
      <c r="O826" s="271"/>
      <c r="P826" s="271">
        <v>83417</v>
      </c>
      <c r="Q826" s="271"/>
      <c r="R826" s="271"/>
      <c r="S826" s="271">
        <v>-85157</v>
      </c>
      <c r="T826" s="271"/>
      <c r="U826" s="272">
        <v>1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153</v>
      </c>
      <c r="B827" s="267" t="s">
        <v>1390</v>
      </c>
      <c r="C827" s="267" t="s">
        <v>94</v>
      </c>
      <c r="D827" s="267" t="s">
        <v>92</v>
      </c>
      <c r="E827" s="267" t="s">
        <v>0</v>
      </c>
      <c r="F827" s="268"/>
      <c r="G827" s="269"/>
      <c r="H827" s="269"/>
      <c r="I827" s="270"/>
      <c r="J827" s="268">
        <v>1</v>
      </c>
      <c r="K827" s="269">
        <v>83090</v>
      </c>
      <c r="L827" s="269">
        <v>85500</v>
      </c>
      <c r="M827" s="270">
        <v>1</v>
      </c>
      <c r="N827" s="268">
        <v>1</v>
      </c>
      <c r="O827" s="271"/>
      <c r="P827" s="271">
        <v>83090</v>
      </c>
      <c r="Q827" s="271"/>
      <c r="R827" s="271"/>
      <c r="S827" s="271">
        <v>-85500</v>
      </c>
      <c r="T827" s="271"/>
      <c r="U827" s="272">
        <v>1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153</v>
      </c>
      <c r="B828" s="267" t="s">
        <v>1391</v>
      </c>
      <c r="C828" s="267" t="s">
        <v>94</v>
      </c>
      <c r="D828" s="267" t="s">
        <v>92</v>
      </c>
      <c r="E828" s="267" t="s">
        <v>0</v>
      </c>
      <c r="F828" s="268"/>
      <c r="G828" s="269"/>
      <c r="H828" s="269"/>
      <c r="I828" s="270"/>
      <c r="J828" s="268">
        <v>1</v>
      </c>
      <c r="K828" s="269">
        <v>83385</v>
      </c>
      <c r="L828" s="269">
        <v>85240</v>
      </c>
      <c r="M828" s="270">
        <v>1</v>
      </c>
      <c r="N828" s="268">
        <v>1</v>
      </c>
      <c r="O828" s="271"/>
      <c r="P828" s="271">
        <v>83385</v>
      </c>
      <c r="Q828" s="271"/>
      <c r="R828" s="271"/>
      <c r="S828" s="271">
        <v>-85240</v>
      </c>
      <c r="T828" s="271"/>
      <c r="U828" s="272">
        <v>1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153</v>
      </c>
      <c r="B829" s="267" t="s">
        <v>1392</v>
      </c>
      <c r="C829" s="267" t="s">
        <v>94</v>
      </c>
      <c r="D829" s="267" t="s">
        <v>92</v>
      </c>
      <c r="E829" s="267" t="s">
        <v>0</v>
      </c>
      <c r="F829" s="268"/>
      <c r="G829" s="269"/>
      <c r="H829" s="269"/>
      <c r="I829" s="270"/>
      <c r="J829" s="268">
        <v>1</v>
      </c>
      <c r="K829" s="269">
        <v>83129</v>
      </c>
      <c r="L829" s="269">
        <v>85445</v>
      </c>
      <c r="M829" s="270">
        <v>1</v>
      </c>
      <c r="N829" s="268">
        <v>1</v>
      </c>
      <c r="O829" s="271"/>
      <c r="P829" s="271">
        <v>83129</v>
      </c>
      <c r="Q829" s="271"/>
      <c r="R829" s="271"/>
      <c r="S829" s="271">
        <v>-85445</v>
      </c>
      <c r="T829" s="271"/>
      <c r="U829" s="272">
        <v>1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153</v>
      </c>
      <c r="B830" s="267" t="s">
        <v>1393</v>
      </c>
      <c r="C830" s="267" t="s">
        <v>94</v>
      </c>
      <c r="D830" s="267" t="s">
        <v>92</v>
      </c>
      <c r="E830" s="267" t="s">
        <v>0</v>
      </c>
      <c r="F830" s="268"/>
      <c r="G830" s="269"/>
      <c r="H830" s="269"/>
      <c r="I830" s="270"/>
      <c r="J830" s="268">
        <v>1</v>
      </c>
      <c r="K830" s="269">
        <v>83499</v>
      </c>
      <c r="L830" s="269">
        <v>85051</v>
      </c>
      <c r="M830" s="270">
        <v>1</v>
      </c>
      <c r="N830" s="268">
        <v>1</v>
      </c>
      <c r="O830" s="271"/>
      <c r="P830" s="271">
        <v>83499</v>
      </c>
      <c r="Q830" s="271"/>
      <c r="R830" s="271"/>
      <c r="S830" s="271">
        <v>-85051</v>
      </c>
      <c r="T830" s="271"/>
      <c r="U830" s="272">
        <v>1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153</v>
      </c>
      <c r="B831" s="267" t="s">
        <v>1394</v>
      </c>
      <c r="C831" s="267" t="s">
        <v>94</v>
      </c>
      <c r="D831" s="267" t="s">
        <v>92</v>
      </c>
      <c r="E831" s="267" t="s">
        <v>0</v>
      </c>
      <c r="F831" s="268"/>
      <c r="G831" s="269"/>
      <c r="H831" s="269"/>
      <c r="I831" s="270"/>
      <c r="J831" s="268">
        <v>1</v>
      </c>
      <c r="K831" s="269">
        <v>83606</v>
      </c>
      <c r="L831" s="269">
        <v>84949</v>
      </c>
      <c r="M831" s="270">
        <v>1</v>
      </c>
      <c r="N831" s="268">
        <v>1</v>
      </c>
      <c r="O831" s="271"/>
      <c r="P831" s="271">
        <v>83606</v>
      </c>
      <c r="Q831" s="271"/>
      <c r="R831" s="271"/>
      <c r="S831" s="271">
        <v>-84949</v>
      </c>
      <c r="T831" s="271"/>
      <c r="U831" s="272">
        <v>1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153</v>
      </c>
      <c r="B832" s="267" t="s">
        <v>328</v>
      </c>
      <c r="C832" s="267" t="s">
        <v>94</v>
      </c>
      <c r="D832" s="267" t="s">
        <v>92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83874</v>
      </c>
      <c r="L832" s="269">
        <v>84677</v>
      </c>
      <c r="M832" s="270">
        <v>1</v>
      </c>
      <c r="N832" s="268">
        <v>1</v>
      </c>
      <c r="O832" s="271"/>
      <c r="P832" s="271">
        <v>83874</v>
      </c>
      <c r="Q832" s="271"/>
      <c r="R832" s="271"/>
      <c r="S832" s="271">
        <v>-84677</v>
      </c>
      <c r="T832" s="271"/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153</v>
      </c>
      <c r="B833" s="267" t="s">
        <v>1395</v>
      </c>
      <c r="C833" s="267" t="s">
        <v>94</v>
      </c>
      <c r="D833" s="267" t="s">
        <v>92</v>
      </c>
      <c r="E833" s="267" t="s">
        <v>0</v>
      </c>
      <c r="F833" s="268"/>
      <c r="G833" s="269"/>
      <c r="H833" s="269"/>
      <c r="I833" s="270"/>
      <c r="J833" s="268">
        <v>1</v>
      </c>
      <c r="K833" s="269">
        <v>83325</v>
      </c>
      <c r="L833" s="269">
        <v>85062</v>
      </c>
      <c r="M833" s="270">
        <v>1</v>
      </c>
      <c r="N833" s="268">
        <v>1</v>
      </c>
      <c r="O833" s="271"/>
      <c r="P833" s="271">
        <v>83325</v>
      </c>
      <c r="Q833" s="271"/>
      <c r="R833" s="271"/>
      <c r="S833" s="271">
        <v>-85062</v>
      </c>
      <c r="T833" s="271"/>
      <c r="U833" s="272">
        <v>1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153</v>
      </c>
      <c r="B834" s="267" t="s">
        <v>329</v>
      </c>
      <c r="C834" s="267" t="s">
        <v>94</v>
      </c>
      <c r="D834" s="267" t="s">
        <v>92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84000</v>
      </c>
      <c r="L834" s="269">
        <v>84617</v>
      </c>
      <c r="M834" s="270">
        <v>1</v>
      </c>
      <c r="N834" s="268">
        <v>1</v>
      </c>
      <c r="O834" s="271"/>
      <c r="P834" s="271">
        <v>84000</v>
      </c>
      <c r="Q834" s="271"/>
      <c r="R834" s="271"/>
      <c r="S834" s="271">
        <v>-84617</v>
      </c>
      <c r="T834" s="271"/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153</v>
      </c>
      <c r="B835" s="267" t="s">
        <v>1396</v>
      </c>
      <c r="C835" s="267" t="s">
        <v>94</v>
      </c>
      <c r="D835" s="267" t="s">
        <v>92</v>
      </c>
      <c r="E835" s="267" t="s">
        <v>0</v>
      </c>
      <c r="F835" s="268"/>
      <c r="G835" s="269"/>
      <c r="H835" s="269"/>
      <c r="I835" s="270"/>
      <c r="J835" s="268">
        <v>1</v>
      </c>
      <c r="K835" s="269">
        <v>83554</v>
      </c>
      <c r="L835" s="269">
        <v>84918</v>
      </c>
      <c r="M835" s="270">
        <v>1</v>
      </c>
      <c r="N835" s="268">
        <v>1</v>
      </c>
      <c r="O835" s="271"/>
      <c r="P835" s="271">
        <v>83554</v>
      </c>
      <c r="Q835" s="271"/>
      <c r="R835" s="271"/>
      <c r="S835" s="271">
        <v>-84918</v>
      </c>
      <c r="T835" s="271"/>
      <c r="U835" s="272">
        <v>1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153</v>
      </c>
      <c r="B836" s="267" t="s">
        <v>1397</v>
      </c>
      <c r="C836" s="267" t="s">
        <v>94</v>
      </c>
      <c r="D836" s="267" t="s">
        <v>92</v>
      </c>
      <c r="E836" s="267" t="s">
        <v>0</v>
      </c>
      <c r="F836" s="268"/>
      <c r="G836" s="269"/>
      <c r="H836" s="269"/>
      <c r="I836" s="270"/>
      <c r="J836" s="268">
        <v>1</v>
      </c>
      <c r="K836" s="269">
        <v>83405</v>
      </c>
      <c r="L836" s="269">
        <v>85196</v>
      </c>
      <c r="M836" s="270">
        <v>1</v>
      </c>
      <c r="N836" s="268">
        <v>1</v>
      </c>
      <c r="O836" s="271"/>
      <c r="P836" s="271">
        <v>83405</v>
      </c>
      <c r="Q836" s="271"/>
      <c r="R836" s="271"/>
      <c r="S836" s="271">
        <v>-85196</v>
      </c>
      <c r="T836" s="271"/>
      <c r="U836" s="272">
        <v>1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153</v>
      </c>
      <c r="B837" s="267" t="s">
        <v>1398</v>
      </c>
      <c r="C837" s="267" t="s">
        <v>94</v>
      </c>
      <c r="D837" s="267" t="s">
        <v>92</v>
      </c>
      <c r="E837" s="267" t="s">
        <v>0</v>
      </c>
      <c r="F837" s="268"/>
      <c r="G837" s="269"/>
      <c r="H837" s="269"/>
      <c r="I837" s="270"/>
      <c r="J837" s="268">
        <v>1</v>
      </c>
      <c r="K837" s="269">
        <v>83469</v>
      </c>
      <c r="L837" s="269">
        <v>85073</v>
      </c>
      <c r="M837" s="270">
        <v>1</v>
      </c>
      <c r="N837" s="268">
        <v>1</v>
      </c>
      <c r="O837" s="271"/>
      <c r="P837" s="271">
        <v>83469</v>
      </c>
      <c r="Q837" s="271"/>
      <c r="R837" s="271"/>
      <c r="S837" s="271">
        <v>-85073</v>
      </c>
      <c r="T837" s="271"/>
      <c r="U837" s="272">
        <v>1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153</v>
      </c>
      <c r="B838" s="267" t="s">
        <v>330</v>
      </c>
      <c r="C838" s="267" t="s">
        <v>94</v>
      </c>
      <c r="D838" s="267" t="s">
        <v>92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83747</v>
      </c>
      <c r="L838" s="269">
        <v>84853</v>
      </c>
      <c r="M838" s="270">
        <v>1</v>
      </c>
      <c r="N838" s="268">
        <v>1</v>
      </c>
      <c r="O838" s="271"/>
      <c r="P838" s="271">
        <v>83747</v>
      </c>
      <c r="Q838" s="271"/>
      <c r="R838" s="271"/>
      <c r="S838" s="271">
        <v>-84853</v>
      </c>
      <c r="T838" s="271"/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153</v>
      </c>
      <c r="B839" s="267" t="s">
        <v>1399</v>
      </c>
      <c r="C839" s="267" t="s">
        <v>94</v>
      </c>
      <c r="D839" s="267" t="s">
        <v>92</v>
      </c>
      <c r="E839" s="267" t="s">
        <v>0</v>
      </c>
      <c r="F839" s="268"/>
      <c r="G839" s="269"/>
      <c r="H839" s="269"/>
      <c r="I839" s="270"/>
      <c r="J839" s="268">
        <v>1</v>
      </c>
      <c r="K839" s="269">
        <v>83367</v>
      </c>
      <c r="L839" s="269">
        <v>85053</v>
      </c>
      <c r="M839" s="270">
        <v>1</v>
      </c>
      <c r="N839" s="268">
        <v>1</v>
      </c>
      <c r="O839" s="271"/>
      <c r="P839" s="271">
        <v>83367</v>
      </c>
      <c r="Q839" s="271"/>
      <c r="R839" s="271"/>
      <c r="S839" s="271">
        <v>-85053</v>
      </c>
      <c r="T839" s="271"/>
      <c r="U839" s="272">
        <v>1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153</v>
      </c>
      <c r="B840" s="267" t="s">
        <v>331</v>
      </c>
      <c r="C840" s="267" t="s">
        <v>94</v>
      </c>
      <c r="D840" s="267" t="s">
        <v>92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83921</v>
      </c>
      <c r="L840" s="269">
        <v>84641</v>
      </c>
      <c r="M840" s="270">
        <v>1</v>
      </c>
      <c r="N840" s="268">
        <v>1</v>
      </c>
      <c r="O840" s="271"/>
      <c r="P840" s="271">
        <v>83921</v>
      </c>
      <c r="Q840" s="271"/>
      <c r="R840" s="271"/>
      <c r="S840" s="271">
        <v>-84641</v>
      </c>
      <c r="T840" s="271"/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153</v>
      </c>
      <c r="B841" s="267" t="s">
        <v>1400</v>
      </c>
      <c r="C841" s="267" t="s">
        <v>94</v>
      </c>
      <c r="D841" s="267" t="s">
        <v>92</v>
      </c>
      <c r="E841" s="267" t="s">
        <v>0</v>
      </c>
      <c r="F841" s="268"/>
      <c r="G841" s="269"/>
      <c r="H841" s="269"/>
      <c r="I841" s="270"/>
      <c r="J841" s="268">
        <v>1</v>
      </c>
      <c r="K841" s="269">
        <v>83580</v>
      </c>
      <c r="L841" s="269">
        <v>84849</v>
      </c>
      <c r="M841" s="270">
        <v>1</v>
      </c>
      <c r="N841" s="268">
        <v>1</v>
      </c>
      <c r="O841" s="271"/>
      <c r="P841" s="271">
        <v>83580</v>
      </c>
      <c r="Q841" s="271"/>
      <c r="R841" s="271"/>
      <c r="S841" s="271">
        <v>-84849</v>
      </c>
      <c r="T841" s="271"/>
      <c r="U841" s="272">
        <v>1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153</v>
      </c>
      <c r="B842" s="267" t="s">
        <v>1401</v>
      </c>
      <c r="C842" s="267" t="s">
        <v>94</v>
      </c>
      <c r="D842" s="267" t="s">
        <v>92</v>
      </c>
      <c r="E842" s="267" t="s">
        <v>0</v>
      </c>
      <c r="F842" s="268"/>
      <c r="G842" s="269"/>
      <c r="H842" s="269"/>
      <c r="I842" s="270"/>
      <c r="J842" s="268">
        <v>1</v>
      </c>
      <c r="K842" s="269">
        <v>83342</v>
      </c>
      <c r="L842" s="269">
        <v>85236</v>
      </c>
      <c r="M842" s="270">
        <v>1</v>
      </c>
      <c r="N842" s="268">
        <v>1</v>
      </c>
      <c r="O842" s="271"/>
      <c r="P842" s="271">
        <v>83342</v>
      </c>
      <c r="Q842" s="271"/>
      <c r="R842" s="271"/>
      <c r="S842" s="271">
        <v>-85236</v>
      </c>
      <c r="T842" s="271"/>
      <c r="U842" s="272">
        <v>1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153</v>
      </c>
      <c r="B843" s="267" t="s">
        <v>1402</v>
      </c>
      <c r="C843" s="267" t="s">
        <v>94</v>
      </c>
      <c r="D843" s="267" t="s">
        <v>92</v>
      </c>
      <c r="E843" s="267" t="s">
        <v>0</v>
      </c>
      <c r="F843" s="268"/>
      <c r="G843" s="269"/>
      <c r="H843" s="269"/>
      <c r="I843" s="270"/>
      <c r="J843" s="268">
        <v>1</v>
      </c>
      <c r="K843" s="269">
        <v>83326</v>
      </c>
      <c r="L843" s="269">
        <v>85189</v>
      </c>
      <c r="M843" s="270">
        <v>1</v>
      </c>
      <c r="N843" s="268">
        <v>1</v>
      </c>
      <c r="O843" s="271"/>
      <c r="P843" s="271">
        <v>83326</v>
      </c>
      <c r="Q843" s="271"/>
      <c r="R843" s="271"/>
      <c r="S843" s="271">
        <v>-85189</v>
      </c>
      <c r="T843" s="271"/>
      <c r="U843" s="272">
        <v>1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153</v>
      </c>
      <c r="B844" s="267" t="s">
        <v>332</v>
      </c>
      <c r="C844" s="267" t="s">
        <v>94</v>
      </c>
      <c r="D844" s="267" t="s">
        <v>92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83787</v>
      </c>
      <c r="L844" s="269">
        <v>84777</v>
      </c>
      <c r="M844" s="270">
        <v>1</v>
      </c>
      <c r="N844" s="268">
        <v>1</v>
      </c>
      <c r="O844" s="271"/>
      <c r="P844" s="271">
        <v>83787</v>
      </c>
      <c r="Q844" s="271"/>
      <c r="R844" s="271"/>
      <c r="S844" s="271">
        <v>-84777</v>
      </c>
      <c r="T844" s="271"/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153</v>
      </c>
      <c r="B845" s="267" t="s">
        <v>1403</v>
      </c>
      <c r="C845" s="267" t="s">
        <v>94</v>
      </c>
      <c r="D845" s="267" t="s">
        <v>92</v>
      </c>
      <c r="E845" s="267" t="s">
        <v>0</v>
      </c>
      <c r="F845" s="268"/>
      <c r="G845" s="269"/>
      <c r="H845" s="269"/>
      <c r="I845" s="270"/>
      <c r="J845" s="268">
        <v>1</v>
      </c>
      <c r="K845" s="269">
        <v>83120</v>
      </c>
      <c r="L845" s="269">
        <v>85290</v>
      </c>
      <c r="M845" s="270">
        <v>1</v>
      </c>
      <c r="N845" s="268">
        <v>1</v>
      </c>
      <c r="O845" s="271"/>
      <c r="P845" s="271">
        <v>83120</v>
      </c>
      <c r="Q845" s="271"/>
      <c r="R845" s="271"/>
      <c r="S845" s="271">
        <v>-85290</v>
      </c>
      <c r="T845" s="271"/>
      <c r="U845" s="272">
        <v>1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153</v>
      </c>
      <c r="B846" s="267" t="s">
        <v>333</v>
      </c>
      <c r="C846" s="267" t="s">
        <v>94</v>
      </c>
      <c r="D846" s="267" t="s">
        <v>92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83927</v>
      </c>
      <c r="L846" s="269">
        <v>84717</v>
      </c>
      <c r="M846" s="270">
        <v>1</v>
      </c>
      <c r="N846" s="268">
        <v>1</v>
      </c>
      <c r="O846" s="271"/>
      <c r="P846" s="271">
        <v>83927</v>
      </c>
      <c r="Q846" s="271"/>
      <c r="R846" s="271"/>
      <c r="S846" s="271">
        <v>-84717</v>
      </c>
      <c r="T846" s="271"/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153</v>
      </c>
      <c r="B847" s="267" t="s">
        <v>1404</v>
      </c>
      <c r="C847" s="267" t="s">
        <v>94</v>
      </c>
      <c r="D847" s="267" t="s">
        <v>92</v>
      </c>
      <c r="E847" s="267" t="s">
        <v>0</v>
      </c>
      <c r="F847" s="268"/>
      <c r="G847" s="269"/>
      <c r="H847" s="269"/>
      <c r="I847" s="270"/>
      <c r="J847" s="268">
        <v>1</v>
      </c>
      <c r="K847" s="269">
        <v>83150</v>
      </c>
      <c r="L847" s="269">
        <v>85276</v>
      </c>
      <c r="M847" s="270">
        <v>1</v>
      </c>
      <c r="N847" s="268">
        <v>1</v>
      </c>
      <c r="O847" s="271"/>
      <c r="P847" s="271">
        <v>83150</v>
      </c>
      <c r="Q847" s="271"/>
      <c r="R847" s="271"/>
      <c r="S847" s="271">
        <v>-85276</v>
      </c>
      <c r="T847" s="271"/>
      <c r="U847" s="272">
        <v>1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153</v>
      </c>
      <c r="B848" s="267" t="s">
        <v>1405</v>
      </c>
      <c r="C848" s="267" t="s">
        <v>94</v>
      </c>
      <c r="D848" s="267" t="s">
        <v>92</v>
      </c>
      <c r="E848" s="267" t="s">
        <v>0</v>
      </c>
      <c r="F848" s="268"/>
      <c r="G848" s="269"/>
      <c r="H848" s="269"/>
      <c r="I848" s="270"/>
      <c r="J848" s="268">
        <v>1</v>
      </c>
      <c r="K848" s="269">
        <v>83531</v>
      </c>
      <c r="L848" s="269">
        <v>85122</v>
      </c>
      <c r="M848" s="270">
        <v>1</v>
      </c>
      <c r="N848" s="268">
        <v>1</v>
      </c>
      <c r="O848" s="271"/>
      <c r="P848" s="271">
        <v>83531</v>
      </c>
      <c r="Q848" s="271"/>
      <c r="R848" s="271"/>
      <c r="S848" s="271">
        <v>-85122</v>
      </c>
      <c r="T848" s="271"/>
      <c r="U848" s="272">
        <v>1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153</v>
      </c>
      <c r="B849" s="267" t="s">
        <v>1406</v>
      </c>
      <c r="C849" s="267" t="s">
        <v>94</v>
      </c>
      <c r="D849" s="267" t="s">
        <v>92</v>
      </c>
      <c r="E849" s="267" t="s">
        <v>0</v>
      </c>
      <c r="F849" s="268"/>
      <c r="G849" s="269"/>
      <c r="H849" s="269"/>
      <c r="I849" s="270"/>
      <c r="J849" s="268">
        <v>1</v>
      </c>
      <c r="K849" s="269">
        <v>83451</v>
      </c>
      <c r="L849" s="269">
        <v>85198</v>
      </c>
      <c r="M849" s="270">
        <v>1</v>
      </c>
      <c r="N849" s="268">
        <v>1</v>
      </c>
      <c r="O849" s="271"/>
      <c r="P849" s="271">
        <v>83451</v>
      </c>
      <c r="Q849" s="271"/>
      <c r="R849" s="271"/>
      <c r="S849" s="271">
        <v>-85198</v>
      </c>
      <c r="T849" s="271"/>
      <c r="U849" s="272">
        <v>1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153</v>
      </c>
      <c r="B850" s="267" t="s">
        <v>1407</v>
      </c>
      <c r="C850" s="267" t="s">
        <v>94</v>
      </c>
      <c r="D850" s="267" t="s">
        <v>92</v>
      </c>
      <c r="E850" s="267" t="s">
        <v>0</v>
      </c>
      <c r="F850" s="268"/>
      <c r="G850" s="269"/>
      <c r="H850" s="269"/>
      <c r="I850" s="270"/>
      <c r="J850" s="268">
        <v>1</v>
      </c>
      <c r="K850" s="269">
        <v>83377</v>
      </c>
      <c r="L850" s="269">
        <v>85187</v>
      </c>
      <c r="M850" s="270">
        <v>1</v>
      </c>
      <c r="N850" s="268">
        <v>1</v>
      </c>
      <c r="O850" s="271"/>
      <c r="P850" s="271">
        <v>83377</v>
      </c>
      <c r="Q850" s="271"/>
      <c r="R850" s="271"/>
      <c r="S850" s="271">
        <v>-85187</v>
      </c>
      <c r="T850" s="271"/>
      <c r="U850" s="272">
        <v>1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153</v>
      </c>
      <c r="B851" s="267" t="s">
        <v>1408</v>
      </c>
      <c r="C851" s="267" t="s">
        <v>94</v>
      </c>
      <c r="D851" s="267" t="s">
        <v>92</v>
      </c>
      <c r="E851" s="267" t="s">
        <v>0</v>
      </c>
      <c r="F851" s="268"/>
      <c r="G851" s="269"/>
      <c r="H851" s="269"/>
      <c r="I851" s="270"/>
      <c r="J851" s="268">
        <v>1</v>
      </c>
      <c r="K851" s="269">
        <v>83090</v>
      </c>
      <c r="L851" s="269">
        <v>85500</v>
      </c>
      <c r="M851" s="270">
        <v>1</v>
      </c>
      <c r="N851" s="268">
        <v>1</v>
      </c>
      <c r="O851" s="271"/>
      <c r="P851" s="271">
        <v>83090</v>
      </c>
      <c r="Q851" s="271"/>
      <c r="R851" s="271"/>
      <c r="S851" s="271">
        <v>-85500</v>
      </c>
      <c r="T851" s="271"/>
      <c r="U851" s="272">
        <v>1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153</v>
      </c>
      <c r="B852" s="267" t="s">
        <v>1409</v>
      </c>
      <c r="C852" s="267" t="s">
        <v>94</v>
      </c>
      <c r="D852" s="267" t="s">
        <v>92</v>
      </c>
      <c r="E852" s="267" t="s">
        <v>0</v>
      </c>
      <c r="F852" s="268"/>
      <c r="G852" s="269"/>
      <c r="H852" s="269"/>
      <c r="I852" s="270"/>
      <c r="J852" s="268">
        <v>1</v>
      </c>
      <c r="K852" s="269">
        <v>83332</v>
      </c>
      <c r="L852" s="269">
        <v>85296</v>
      </c>
      <c r="M852" s="270">
        <v>1</v>
      </c>
      <c r="N852" s="268">
        <v>1</v>
      </c>
      <c r="O852" s="271"/>
      <c r="P852" s="271">
        <v>83332</v>
      </c>
      <c r="Q852" s="271"/>
      <c r="R852" s="271"/>
      <c r="S852" s="271">
        <v>-85296</v>
      </c>
      <c r="T852" s="271"/>
      <c r="U852" s="272">
        <v>1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153</v>
      </c>
      <c r="B853" s="267" t="s">
        <v>1410</v>
      </c>
      <c r="C853" s="267" t="s">
        <v>94</v>
      </c>
      <c r="D853" s="267" t="s">
        <v>92</v>
      </c>
      <c r="E853" s="267" t="s">
        <v>0</v>
      </c>
      <c r="F853" s="268"/>
      <c r="G853" s="269"/>
      <c r="H853" s="269"/>
      <c r="I853" s="270"/>
      <c r="J853" s="268">
        <v>1</v>
      </c>
      <c r="K853" s="269">
        <v>83104</v>
      </c>
      <c r="L853" s="269">
        <v>85470</v>
      </c>
      <c r="M853" s="270">
        <v>1</v>
      </c>
      <c r="N853" s="268">
        <v>1</v>
      </c>
      <c r="O853" s="271"/>
      <c r="P853" s="271">
        <v>83104</v>
      </c>
      <c r="Q853" s="271"/>
      <c r="R853" s="271"/>
      <c r="S853" s="271">
        <v>-85470</v>
      </c>
      <c r="T853" s="271"/>
      <c r="U853" s="272">
        <v>1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153</v>
      </c>
      <c r="B854" s="267" t="s">
        <v>1411</v>
      </c>
      <c r="C854" s="267" t="s">
        <v>94</v>
      </c>
      <c r="D854" s="267" t="s">
        <v>92</v>
      </c>
      <c r="E854" s="267" t="s">
        <v>0</v>
      </c>
      <c r="F854" s="268"/>
      <c r="G854" s="269"/>
      <c r="H854" s="269"/>
      <c r="I854" s="270"/>
      <c r="J854" s="268">
        <v>1</v>
      </c>
      <c r="K854" s="269">
        <v>83476</v>
      </c>
      <c r="L854" s="269">
        <v>85067</v>
      </c>
      <c r="M854" s="270">
        <v>1</v>
      </c>
      <c r="N854" s="268">
        <v>1</v>
      </c>
      <c r="O854" s="271"/>
      <c r="P854" s="271">
        <v>83476</v>
      </c>
      <c r="Q854" s="271"/>
      <c r="R854" s="271"/>
      <c r="S854" s="271">
        <v>-85067</v>
      </c>
      <c r="T854" s="271"/>
      <c r="U854" s="272">
        <v>1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153</v>
      </c>
      <c r="B855" s="267" t="s">
        <v>1412</v>
      </c>
      <c r="C855" s="267" t="s">
        <v>94</v>
      </c>
      <c r="D855" s="267" t="s">
        <v>92</v>
      </c>
      <c r="E855" s="267" t="s">
        <v>0</v>
      </c>
      <c r="F855" s="268"/>
      <c r="G855" s="269"/>
      <c r="H855" s="269"/>
      <c r="I855" s="270"/>
      <c r="J855" s="268">
        <v>1</v>
      </c>
      <c r="K855" s="269">
        <v>83581</v>
      </c>
      <c r="L855" s="269">
        <v>84974</v>
      </c>
      <c r="M855" s="270">
        <v>1</v>
      </c>
      <c r="N855" s="268">
        <v>1</v>
      </c>
      <c r="O855" s="271"/>
      <c r="P855" s="271">
        <v>83581</v>
      </c>
      <c r="Q855" s="271"/>
      <c r="R855" s="271"/>
      <c r="S855" s="271">
        <v>-84974</v>
      </c>
      <c r="T855" s="271"/>
      <c r="U855" s="272">
        <v>1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153</v>
      </c>
      <c r="B856" s="267" t="s">
        <v>334</v>
      </c>
      <c r="C856" s="267" t="s">
        <v>94</v>
      </c>
      <c r="D856" s="267" t="s">
        <v>92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83728</v>
      </c>
      <c r="L856" s="269">
        <v>84885</v>
      </c>
      <c r="M856" s="270">
        <v>1</v>
      </c>
      <c r="N856" s="268">
        <v>1</v>
      </c>
      <c r="O856" s="271"/>
      <c r="P856" s="271">
        <v>83728</v>
      </c>
      <c r="Q856" s="271"/>
      <c r="R856" s="271"/>
      <c r="S856" s="271">
        <v>-84885</v>
      </c>
      <c r="T856" s="271"/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153</v>
      </c>
      <c r="B857" s="267" t="s">
        <v>1413</v>
      </c>
      <c r="C857" s="267" t="s">
        <v>94</v>
      </c>
      <c r="D857" s="267" t="s">
        <v>92</v>
      </c>
      <c r="E857" s="267" t="s">
        <v>0</v>
      </c>
      <c r="F857" s="268"/>
      <c r="G857" s="269"/>
      <c r="H857" s="269"/>
      <c r="I857" s="270"/>
      <c r="J857" s="268">
        <v>1</v>
      </c>
      <c r="K857" s="269">
        <v>83348</v>
      </c>
      <c r="L857" s="269">
        <v>85085</v>
      </c>
      <c r="M857" s="270">
        <v>1</v>
      </c>
      <c r="N857" s="268">
        <v>1</v>
      </c>
      <c r="O857" s="271"/>
      <c r="P857" s="271">
        <v>83348</v>
      </c>
      <c r="Q857" s="271"/>
      <c r="R857" s="271"/>
      <c r="S857" s="271">
        <v>-85085</v>
      </c>
      <c r="T857" s="271"/>
      <c r="U857" s="272">
        <v>1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153</v>
      </c>
      <c r="B858" s="267" t="s">
        <v>335</v>
      </c>
      <c r="C858" s="267" t="s">
        <v>94</v>
      </c>
      <c r="D858" s="267" t="s">
        <v>92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83765</v>
      </c>
      <c r="L858" s="269">
        <v>84870</v>
      </c>
      <c r="M858" s="270">
        <v>1</v>
      </c>
      <c r="N858" s="268">
        <v>1</v>
      </c>
      <c r="O858" s="271"/>
      <c r="P858" s="271">
        <v>83765</v>
      </c>
      <c r="Q858" s="271"/>
      <c r="R858" s="271"/>
      <c r="S858" s="271">
        <v>-84870</v>
      </c>
      <c r="T858" s="271"/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153</v>
      </c>
      <c r="B859" s="267" t="s">
        <v>1414</v>
      </c>
      <c r="C859" s="267" t="s">
        <v>94</v>
      </c>
      <c r="D859" s="267" t="s">
        <v>92</v>
      </c>
      <c r="E859" s="267" t="s">
        <v>0</v>
      </c>
      <c r="F859" s="268"/>
      <c r="G859" s="269"/>
      <c r="H859" s="269"/>
      <c r="I859" s="270"/>
      <c r="J859" s="268">
        <v>1</v>
      </c>
      <c r="K859" s="269">
        <v>83426</v>
      </c>
      <c r="L859" s="269">
        <v>85069</v>
      </c>
      <c r="M859" s="270">
        <v>1</v>
      </c>
      <c r="N859" s="268">
        <v>1</v>
      </c>
      <c r="O859" s="271"/>
      <c r="P859" s="271">
        <v>83426</v>
      </c>
      <c r="Q859" s="271"/>
      <c r="R859" s="271"/>
      <c r="S859" s="271">
        <v>-85069</v>
      </c>
      <c r="T859" s="271"/>
      <c r="U859" s="272">
        <v>1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153</v>
      </c>
      <c r="B860" s="267" t="s">
        <v>1415</v>
      </c>
      <c r="C860" s="267" t="s">
        <v>94</v>
      </c>
      <c r="D860" s="267" t="s">
        <v>92</v>
      </c>
      <c r="E860" s="267" t="s">
        <v>0</v>
      </c>
      <c r="F860" s="268"/>
      <c r="G860" s="269"/>
      <c r="H860" s="269"/>
      <c r="I860" s="270"/>
      <c r="J860" s="268">
        <v>1</v>
      </c>
      <c r="K860" s="269">
        <v>83355</v>
      </c>
      <c r="L860" s="269">
        <v>85280</v>
      </c>
      <c r="M860" s="270">
        <v>1</v>
      </c>
      <c r="N860" s="268">
        <v>1</v>
      </c>
      <c r="O860" s="271"/>
      <c r="P860" s="271">
        <v>83355</v>
      </c>
      <c r="Q860" s="271"/>
      <c r="R860" s="271"/>
      <c r="S860" s="271">
        <v>-85280</v>
      </c>
      <c r="T860" s="271"/>
      <c r="U860" s="272">
        <v>1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153</v>
      </c>
      <c r="B861" s="267" t="s">
        <v>1416</v>
      </c>
      <c r="C861" s="267" t="s">
        <v>94</v>
      </c>
      <c r="D861" s="267" t="s">
        <v>92</v>
      </c>
      <c r="E861" s="267" t="s">
        <v>0</v>
      </c>
      <c r="F861" s="268"/>
      <c r="G861" s="269"/>
      <c r="H861" s="269"/>
      <c r="I861" s="270"/>
      <c r="J861" s="268">
        <v>1</v>
      </c>
      <c r="K861" s="269">
        <v>83341</v>
      </c>
      <c r="L861" s="269">
        <v>85224</v>
      </c>
      <c r="M861" s="270">
        <v>1</v>
      </c>
      <c r="N861" s="268">
        <v>1</v>
      </c>
      <c r="O861" s="271"/>
      <c r="P861" s="271">
        <v>83341</v>
      </c>
      <c r="Q861" s="271"/>
      <c r="R861" s="271"/>
      <c r="S861" s="271">
        <v>-85224</v>
      </c>
      <c r="T861" s="271"/>
      <c r="U861" s="272">
        <v>1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153</v>
      </c>
      <c r="B862" s="267" t="s">
        <v>336</v>
      </c>
      <c r="C862" s="267" t="s">
        <v>94</v>
      </c>
      <c r="D862" s="267" t="s">
        <v>92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83765</v>
      </c>
      <c r="L862" s="269">
        <v>84852</v>
      </c>
      <c r="M862" s="270">
        <v>1</v>
      </c>
      <c r="N862" s="268">
        <v>1</v>
      </c>
      <c r="O862" s="271"/>
      <c r="P862" s="271">
        <v>83765</v>
      </c>
      <c r="Q862" s="271"/>
      <c r="R862" s="271"/>
      <c r="S862" s="271">
        <v>-84852</v>
      </c>
      <c r="T862" s="271"/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153</v>
      </c>
      <c r="B863" s="267" t="s">
        <v>1417</v>
      </c>
      <c r="C863" s="267" t="s">
        <v>94</v>
      </c>
      <c r="D863" s="267" t="s">
        <v>92</v>
      </c>
      <c r="E863" s="267" t="s">
        <v>0</v>
      </c>
      <c r="F863" s="268"/>
      <c r="G863" s="269"/>
      <c r="H863" s="269"/>
      <c r="I863" s="270"/>
      <c r="J863" s="268">
        <v>1</v>
      </c>
      <c r="K863" s="269">
        <v>83385</v>
      </c>
      <c r="L863" s="269">
        <v>85052</v>
      </c>
      <c r="M863" s="270">
        <v>1</v>
      </c>
      <c r="N863" s="268">
        <v>1</v>
      </c>
      <c r="O863" s="271"/>
      <c r="P863" s="271">
        <v>83385</v>
      </c>
      <c r="Q863" s="271"/>
      <c r="R863" s="271"/>
      <c r="S863" s="271">
        <v>-85052</v>
      </c>
      <c r="T863" s="271"/>
      <c r="U863" s="272">
        <v>1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153</v>
      </c>
      <c r="B864" s="267" t="s">
        <v>337</v>
      </c>
      <c r="C864" s="267" t="s">
        <v>94</v>
      </c>
      <c r="D864" s="267" t="s">
        <v>92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83772</v>
      </c>
      <c r="L864" s="269">
        <v>84846</v>
      </c>
      <c r="M864" s="270">
        <v>1</v>
      </c>
      <c r="N864" s="268">
        <v>1</v>
      </c>
      <c r="O864" s="271"/>
      <c r="P864" s="271">
        <v>83772</v>
      </c>
      <c r="Q864" s="271"/>
      <c r="R864" s="271"/>
      <c r="S864" s="271">
        <v>-84846</v>
      </c>
      <c r="T864" s="271"/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153</v>
      </c>
      <c r="B865" s="267" t="s">
        <v>1418</v>
      </c>
      <c r="C865" s="267" t="s">
        <v>94</v>
      </c>
      <c r="D865" s="267" t="s">
        <v>92</v>
      </c>
      <c r="E865" s="267" t="s">
        <v>0</v>
      </c>
      <c r="F865" s="268"/>
      <c r="G865" s="269"/>
      <c r="H865" s="269"/>
      <c r="I865" s="270"/>
      <c r="J865" s="268">
        <v>1</v>
      </c>
      <c r="K865" s="269">
        <v>83431</v>
      </c>
      <c r="L865" s="269">
        <v>85054</v>
      </c>
      <c r="M865" s="270">
        <v>1</v>
      </c>
      <c r="N865" s="268">
        <v>1</v>
      </c>
      <c r="O865" s="271"/>
      <c r="P865" s="271">
        <v>83431</v>
      </c>
      <c r="Q865" s="271"/>
      <c r="R865" s="271"/>
      <c r="S865" s="271">
        <v>-85054</v>
      </c>
      <c r="T865" s="271"/>
      <c r="U865" s="272">
        <v>1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153</v>
      </c>
      <c r="B866" s="267" t="s">
        <v>1419</v>
      </c>
      <c r="C866" s="267" t="s">
        <v>94</v>
      </c>
      <c r="D866" s="267" t="s">
        <v>92</v>
      </c>
      <c r="E866" s="267" t="s">
        <v>0</v>
      </c>
      <c r="F866" s="268"/>
      <c r="G866" s="269"/>
      <c r="H866" s="269"/>
      <c r="I866" s="270"/>
      <c r="J866" s="268">
        <v>1</v>
      </c>
      <c r="K866" s="269">
        <v>83362</v>
      </c>
      <c r="L866" s="269">
        <v>85256</v>
      </c>
      <c r="M866" s="270">
        <v>1</v>
      </c>
      <c r="N866" s="268">
        <v>1</v>
      </c>
      <c r="O866" s="271"/>
      <c r="P866" s="271">
        <v>83362</v>
      </c>
      <c r="Q866" s="271"/>
      <c r="R866" s="271"/>
      <c r="S866" s="271">
        <v>-85256</v>
      </c>
      <c r="T866" s="271"/>
      <c r="U866" s="272">
        <v>1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153</v>
      </c>
      <c r="B867" s="267" t="s">
        <v>1420</v>
      </c>
      <c r="C867" s="267" t="s">
        <v>94</v>
      </c>
      <c r="D867" s="267" t="s">
        <v>92</v>
      </c>
      <c r="E867" s="267" t="s">
        <v>0</v>
      </c>
      <c r="F867" s="268"/>
      <c r="G867" s="269"/>
      <c r="H867" s="269"/>
      <c r="I867" s="270"/>
      <c r="J867" s="268">
        <v>1</v>
      </c>
      <c r="K867" s="269">
        <v>83346</v>
      </c>
      <c r="L867" s="269">
        <v>85209</v>
      </c>
      <c r="M867" s="270">
        <v>1</v>
      </c>
      <c r="N867" s="268">
        <v>1</v>
      </c>
      <c r="O867" s="271"/>
      <c r="P867" s="271">
        <v>83346</v>
      </c>
      <c r="Q867" s="271"/>
      <c r="R867" s="271"/>
      <c r="S867" s="271">
        <v>-85209</v>
      </c>
      <c r="T867" s="271"/>
      <c r="U867" s="272">
        <v>1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153</v>
      </c>
      <c r="B868" s="267" t="s">
        <v>338</v>
      </c>
      <c r="C868" s="267" t="s">
        <v>94</v>
      </c>
      <c r="D868" s="267" t="s">
        <v>92</v>
      </c>
      <c r="E868" s="267" t="s">
        <v>0</v>
      </c>
      <c r="F868" s="268"/>
      <c r="G868" s="269"/>
      <c r="H868" s="269"/>
      <c r="I868" s="270"/>
      <c r="J868" s="268">
        <v>1</v>
      </c>
      <c r="K868" s="269">
        <v>83925</v>
      </c>
      <c r="L868" s="269">
        <v>84657</v>
      </c>
      <c r="M868" s="270">
        <v>1</v>
      </c>
      <c r="N868" s="268">
        <v>1</v>
      </c>
      <c r="O868" s="271"/>
      <c r="P868" s="271">
        <v>83925</v>
      </c>
      <c r="Q868" s="271"/>
      <c r="R868" s="271"/>
      <c r="S868" s="271">
        <v>-84657</v>
      </c>
      <c r="T868" s="271"/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153</v>
      </c>
      <c r="B869" s="267" t="s">
        <v>1421</v>
      </c>
      <c r="C869" s="267" t="s">
        <v>94</v>
      </c>
      <c r="D869" s="267" t="s">
        <v>92</v>
      </c>
      <c r="E869" s="267" t="s">
        <v>0</v>
      </c>
      <c r="F869" s="268"/>
      <c r="G869" s="269"/>
      <c r="H869" s="269"/>
      <c r="I869" s="270"/>
      <c r="J869" s="268">
        <v>1</v>
      </c>
      <c r="K869" s="269">
        <v>83159</v>
      </c>
      <c r="L869" s="269">
        <v>85235</v>
      </c>
      <c r="M869" s="270">
        <v>1</v>
      </c>
      <c r="N869" s="268">
        <v>1</v>
      </c>
      <c r="O869" s="271"/>
      <c r="P869" s="271">
        <v>83159</v>
      </c>
      <c r="Q869" s="271"/>
      <c r="R869" s="271"/>
      <c r="S869" s="271">
        <v>-85235</v>
      </c>
      <c r="T869" s="271"/>
      <c r="U869" s="272">
        <v>1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153</v>
      </c>
      <c r="B870" s="267" t="s">
        <v>339</v>
      </c>
      <c r="C870" s="267" t="s">
        <v>94</v>
      </c>
      <c r="D870" s="267" t="s">
        <v>92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83909</v>
      </c>
      <c r="L870" s="269">
        <v>84680</v>
      </c>
      <c r="M870" s="270">
        <v>1</v>
      </c>
      <c r="N870" s="268">
        <v>1</v>
      </c>
      <c r="O870" s="271"/>
      <c r="P870" s="271">
        <v>83909</v>
      </c>
      <c r="Q870" s="271"/>
      <c r="R870" s="271"/>
      <c r="S870" s="271">
        <v>-84680</v>
      </c>
      <c r="T870" s="271"/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153</v>
      </c>
      <c r="B871" s="267" t="s">
        <v>1422</v>
      </c>
      <c r="C871" s="267" t="s">
        <v>94</v>
      </c>
      <c r="D871" s="267" t="s">
        <v>92</v>
      </c>
      <c r="E871" s="267" t="s">
        <v>0</v>
      </c>
      <c r="F871" s="268"/>
      <c r="G871" s="269"/>
      <c r="H871" s="269"/>
      <c r="I871" s="270"/>
      <c r="J871" s="268">
        <v>1</v>
      </c>
      <c r="K871" s="269">
        <v>83134</v>
      </c>
      <c r="L871" s="269">
        <v>85260</v>
      </c>
      <c r="M871" s="270">
        <v>1</v>
      </c>
      <c r="N871" s="268">
        <v>1</v>
      </c>
      <c r="O871" s="271"/>
      <c r="P871" s="271">
        <v>83134</v>
      </c>
      <c r="Q871" s="271"/>
      <c r="R871" s="271"/>
      <c r="S871" s="271">
        <v>-85260</v>
      </c>
      <c r="T871" s="271"/>
      <c r="U871" s="272">
        <v>1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153</v>
      </c>
      <c r="B872" s="267" t="s">
        <v>1423</v>
      </c>
      <c r="C872" s="267" t="s">
        <v>94</v>
      </c>
      <c r="D872" s="267" t="s">
        <v>92</v>
      </c>
      <c r="E872" s="267" t="s">
        <v>0</v>
      </c>
      <c r="F872" s="268"/>
      <c r="G872" s="269"/>
      <c r="H872" s="269"/>
      <c r="I872" s="270"/>
      <c r="J872" s="268">
        <v>1</v>
      </c>
      <c r="K872" s="269">
        <v>83570</v>
      </c>
      <c r="L872" s="269">
        <v>85067</v>
      </c>
      <c r="M872" s="270">
        <v>1</v>
      </c>
      <c r="N872" s="268">
        <v>1</v>
      </c>
      <c r="O872" s="271"/>
      <c r="P872" s="271">
        <v>83570</v>
      </c>
      <c r="Q872" s="271"/>
      <c r="R872" s="271"/>
      <c r="S872" s="271">
        <v>-85067</v>
      </c>
      <c r="T872" s="271"/>
      <c r="U872" s="272">
        <v>1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153</v>
      </c>
      <c r="B873" s="267" t="s">
        <v>1424</v>
      </c>
      <c r="C873" s="267" t="s">
        <v>94</v>
      </c>
      <c r="D873" s="267" t="s">
        <v>92</v>
      </c>
      <c r="E873" s="267" t="s">
        <v>0</v>
      </c>
      <c r="F873" s="268"/>
      <c r="G873" s="269"/>
      <c r="H873" s="269"/>
      <c r="I873" s="270"/>
      <c r="J873" s="268">
        <v>1</v>
      </c>
      <c r="K873" s="269">
        <v>83568</v>
      </c>
      <c r="L873" s="269">
        <v>85076</v>
      </c>
      <c r="M873" s="270">
        <v>1</v>
      </c>
      <c r="N873" s="268">
        <v>1</v>
      </c>
      <c r="O873" s="271"/>
      <c r="P873" s="271">
        <v>83568</v>
      </c>
      <c r="Q873" s="271"/>
      <c r="R873" s="271"/>
      <c r="S873" s="271">
        <v>-85076</v>
      </c>
      <c r="T873" s="271"/>
      <c r="U873" s="272">
        <v>1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153</v>
      </c>
      <c r="B874" s="267" t="s">
        <v>1425</v>
      </c>
      <c r="C874" s="267" t="s">
        <v>94</v>
      </c>
      <c r="D874" s="267" t="s">
        <v>92</v>
      </c>
      <c r="E874" s="267" t="s">
        <v>0</v>
      </c>
      <c r="F874" s="268"/>
      <c r="G874" s="269"/>
      <c r="H874" s="269"/>
      <c r="I874" s="270"/>
      <c r="J874" s="268">
        <v>1</v>
      </c>
      <c r="K874" s="269">
        <v>83346</v>
      </c>
      <c r="L874" s="269">
        <v>85252</v>
      </c>
      <c r="M874" s="270">
        <v>1</v>
      </c>
      <c r="N874" s="268">
        <v>1</v>
      </c>
      <c r="O874" s="271"/>
      <c r="P874" s="271">
        <v>83346</v>
      </c>
      <c r="Q874" s="271"/>
      <c r="R874" s="271"/>
      <c r="S874" s="271">
        <v>-85252</v>
      </c>
      <c r="T874" s="271"/>
      <c r="U874" s="272">
        <v>1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153</v>
      </c>
      <c r="B875" s="267" t="s">
        <v>1426</v>
      </c>
      <c r="C875" s="267" t="s">
        <v>94</v>
      </c>
      <c r="D875" s="267" t="s">
        <v>92</v>
      </c>
      <c r="E875" s="267" t="s">
        <v>0</v>
      </c>
      <c r="F875" s="268"/>
      <c r="G875" s="269"/>
      <c r="H875" s="269"/>
      <c r="I875" s="270"/>
      <c r="J875" s="268">
        <v>1</v>
      </c>
      <c r="K875" s="269">
        <v>82960</v>
      </c>
      <c r="L875" s="269">
        <v>85630</v>
      </c>
      <c r="M875" s="270">
        <v>1</v>
      </c>
      <c r="N875" s="268">
        <v>1</v>
      </c>
      <c r="O875" s="271"/>
      <c r="P875" s="271">
        <v>82960</v>
      </c>
      <c r="Q875" s="271"/>
      <c r="R875" s="271"/>
      <c r="S875" s="271">
        <v>-85630</v>
      </c>
      <c r="T875" s="271"/>
      <c r="U875" s="272">
        <v>1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153</v>
      </c>
      <c r="B876" s="267" t="s">
        <v>1427</v>
      </c>
      <c r="C876" s="267" t="s">
        <v>94</v>
      </c>
      <c r="D876" s="267" t="s">
        <v>92</v>
      </c>
      <c r="E876" s="267" t="s">
        <v>0</v>
      </c>
      <c r="F876" s="268"/>
      <c r="G876" s="269"/>
      <c r="H876" s="269"/>
      <c r="I876" s="270"/>
      <c r="J876" s="268">
        <v>1</v>
      </c>
      <c r="K876" s="269">
        <v>83330</v>
      </c>
      <c r="L876" s="269">
        <v>85275</v>
      </c>
      <c r="M876" s="270">
        <v>1</v>
      </c>
      <c r="N876" s="268">
        <v>1</v>
      </c>
      <c r="O876" s="271"/>
      <c r="P876" s="271">
        <v>83330</v>
      </c>
      <c r="Q876" s="271"/>
      <c r="R876" s="271"/>
      <c r="S876" s="271">
        <v>-85275</v>
      </c>
      <c r="T876" s="271"/>
      <c r="U876" s="272">
        <v>1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153</v>
      </c>
      <c r="B877" s="267" t="s">
        <v>1428</v>
      </c>
      <c r="C877" s="267" t="s">
        <v>94</v>
      </c>
      <c r="D877" s="267" t="s">
        <v>92</v>
      </c>
      <c r="E877" s="267" t="s">
        <v>0</v>
      </c>
      <c r="F877" s="268"/>
      <c r="G877" s="269"/>
      <c r="H877" s="269"/>
      <c r="I877" s="270"/>
      <c r="J877" s="268">
        <v>1</v>
      </c>
      <c r="K877" s="269">
        <v>82935</v>
      </c>
      <c r="L877" s="269">
        <v>85655</v>
      </c>
      <c r="M877" s="270">
        <v>1</v>
      </c>
      <c r="N877" s="268">
        <v>1</v>
      </c>
      <c r="O877" s="271"/>
      <c r="P877" s="271">
        <v>82935</v>
      </c>
      <c r="Q877" s="271"/>
      <c r="R877" s="271"/>
      <c r="S877" s="271">
        <v>-85655</v>
      </c>
      <c r="T877" s="271"/>
      <c r="U877" s="272">
        <v>1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153</v>
      </c>
      <c r="B878" s="267" t="s">
        <v>1429</v>
      </c>
      <c r="C878" s="267" t="s">
        <v>94</v>
      </c>
      <c r="D878" s="267" t="s">
        <v>92</v>
      </c>
      <c r="E878" s="267" t="s">
        <v>0</v>
      </c>
      <c r="F878" s="268"/>
      <c r="G878" s="269"/>
      <c r="H878" s="269"/>
      <c r="I878" s="270"/>
      <c r="J878" s="268">
        <v>1</v>
      </c>
      <c r="K878" s="269">
        <v>83346</v>
      </c>
      <c r="L878" s="269">
        <v>85197</v>
      </c>
      <c r="M878" s="270">
        <v>1</v>
      </c>
      <c r="N878" s="268">
        <v>1</v>
      </c>
      <c r="O878" s="271"/>
      <c r="P878" s="271">
        <v>83346</v>
      </c>
      <c r="Q878" s="271"/>
      <c r="R878" s="271"/>
      <c r="S878" s="271">
        <v>-85197</v>
      </c>
      <c r="T878" s="271"/>
      <c r="U878" s="272">
        <v>1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153</v>
      </c>
      <c r="B879" s="267" t="s">
        <v>1430</v>
      </c>
      <c r="C879" s="267" t="s">
        <v>94</v>
      </c>
      <c r="D879" s="267" t="s">
        <v>92</v>
      </c>
      <c r="E879" s="267" t="s">
        <v>0</v>
      </c>
      <c r="F879" s="268"/>
      <c r="G879" s="269"/>
      <c r="H879" s="269"/>
      <c r="I879" s="270"/>
      <c r="J879" s="268">
        <v>1</v>
      </c>
      <c r="K879" s="269">
        <v>83344</v>
      </c>
      <c r="L879" s="269">
        <v>85206</v>
      </c>
      <c r="M879" s="270">
        <v>1</v>
      </c>
      <c r="N879" s="268">
        <v>1</v>
      </c>
      <c r="O879" s="271"/>
      <c r="P879" s="271">
        <v>83344</v>
      </c>
      <c r="Q879" s="271"/>
      <c r="R879" s="271"/>
      <c r="S879" s="271">
        <v>-85206</v>
      </c>
      <c r="T879" s="271"/>
      <c r="U879" s="272">
        <v>1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153</v>
      </c>
      <c r="B880" s="267" t="s">
        <v>340</v>
      </c>
      <c r="C880" s="267" t="s">
        <v>94</v>
      </c>
      <c r="D880" s="267" t="s">
        <v>92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83864</v>
      </c>
      <c r="L880" s="269">
        <v>84703</v>
      </c>
      <c r="M880" s="270">
        <v>1</v>
      </c>
      <c r="N880" s="268">
        <v>1</v>
      </c>
      <c r="O880" s="271"/>
      <c r="P880" s="271">
        <v>83864</v>
      </c>
      <c r="Q880" s="271"/>
      <c r="R880" s="271"/>
      <c r="S880" s="271">
        <v>-84703</v>
      </c>
      <c r="T880" s="271"/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153</v>
      </c>
      <c r="B881" s="267" t="s">
        <v>1431</v>
      </c>
      <c r="C881" s="267" t="s">
        <v>94</v>
      </c>
      <c r="D881" s="267" t="s">
        <v>92</v>
      </c>
      <c r="E881" s="267" t="s">
        <v>0</v>
      </c>
      <c r="F881" s="268"/>
      <c r="G881" s="269"/>
      <c r="H881" s="269"/>
      <c r="I881" s="270"/>
      <c r="J881" s="268">
        <v>1</v>
      </c>
      <c r="K881" s="269">
        <v>83157</v>
      </c>
      <c r="L881" s="269">
        <v>85246</v>
      </c>
      <c r="M881" s="270">
        <v>1</v>
      </c>
      <c r="N881" s="268">
        <v>1</v>
      </c>
      <c r="O881" s="271"/>
      <c r="P881" s="271">
        <v>83157</v>
      </c>
      <c r="Q881" s="271"/>
      <c r="R881" s="271"/>
      <c r="S881" s="271">
        <v>-85246</v>
      </c>
      <c r="T881" s="271"/>
      <c r="U881" s="272">
        <v>1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153</v>
      </c>
      <c r="B882" s="267" t="s">
        <v>341</v>
      </c>
      <c r="C882" s="267" t="s">
        <v>94</v>
      </c>
      <c r="D882" s="267" t="s">
        <v>92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83811</v>
      </c>
      <c r="L882" s="269">
        <v>84784</v>
      </c>
      <c r="M882" s="270">
        <v>1</v>
      </c>
      <c r="N882" s="268">
        <v>1</v>
      </c>
      <c r="O882" s="271"/>
      <c r="P882" s="271">
        <v>83811</v>
      </c>
      <c r="Q882" s="271"/>
      <c r="R882" s="271"/>
      <c r="S882" s="271">
        <v>-84784</v>
      </c>
      <c r="T882" s="271"/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153</v>
      </c>
      <c r="B883" s="267" t="s">
        <v>1432</v>
      </c>
      <c r="C883" s="267" t="s">
        <v>94</v>
      </c>
      <c r="D883" s="267" t="s">
        <v>92</v>
      </c>
      <c r="E883" s="267" t="s">
        <v>0</v>
      </c>
      <c r="F883" s="268"/>
      <c r="G883" s="269"/>
      <c r="H883" s="269"/>
      <c r="I883" s="270"/>
      <c r="J883" s="268">
        <v>1</v>
      </c>
      <c r="K883" s="269">
        <v>83006</v>
      </c>
      <c r="L883" s="269">
        <v>85374</v>
      </c>
      <c r="M883" s="270">
        <v>1</v>
      </c>
      <c r="N883" s="268">
        <v>1</v>
      </c>
      <c r="O883" s="271"/>
      <c r="P883" s="271">
        <v>83006</v>
      </c>
      <c r="Q883" s="271"/>
      <c r="R883" s="271"/>
      <c r="S883" s="271">
        <v>-85374</v>
      </c>
      <c r="T883" s="271"/>
      <c r="U883" s="272">
        <v>1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153</v>
      </c>
      <c r="B884" s="267" t="s">
        <v>1433</v>
      </c>
      <c r="C884" s="267" t="s">
        <v>94</v>
      </c>
      <c r="D884" s="267" t="s">
        <v>92</v>
      </c>
      <c r="E884" s="267" t="s">
        <v>0</v>
      </c>
      <c r="F884" s="268"/>
      <c r="G884" s="269"/>
      <c r="H884" s="269"/>
      <c r="I884" s="270"/>
      <c r="J884" s="268">
        <v>1</v>
      </c>
      <c r="K884" s="269">
        <v>83164</v>
      </c>
      <c r="L884" s="269">
        <v>85441</v>
      </c>
      <c r="M884" s="270">
        <v>1</v>
      </c>
      <c r="N884" s="268">
        <v>1</v>
      </c>
      <c r="O884" s="271"/>
      <c r="P884" s="271">
        <v>83164</v>
      </c>
      <c r="Q884" s="271"/>
      <c r="R884" s="271"/>
      <c r="S884" s="271">
        <v>-85441</v>
      </c>
      <c r="T884" s="271"/>
      <c r="U884" s="272">
        <v>1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153</v>
      </c>
      <c r="B885" s="267" t="s">
        <v>1434</v>
      </c>
      <c r="C885" s="267" t="s">
        <v>94</v>
      </c>
      <c r="D885" s="267" t="s">
        <v>92</v>
      </c>
      <c r="E885" s="267" t="s">
        <v>0</v>
      </c>
      <c r="F885" s="268"/>
      <c r="G885" s="269"/>
      <c r="H885" s="269"/>
      <c r="I885" s="270"/>
      <c r="J885" s="268">
        <v>1</v>
      </c>
      <c r="K885" s="269">
        <v>83086</v>
      </c>
      <c r="L885" s="269">
        <v>85508</v>
      </c>
      <c r="M885" s="270">
        <v>1</v>
      </c>
      <c r="N885" s="268">
        <v>1</v>
      </c>
      <c r="O885" s="271"/>
      <c r="P885" s="271">
        <v>83086</v>
      </c>
      <c r="Q885" s="271"/>
      <c r="R885" s="271"/>
      <c r="S885" s="271">
        <v>-85508</v>
      </c>
      <c r="T885" s="271"/>
      <c r="U885" s="272">
        <v>1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153</v>
      </c>
      <c r="B886" s="267" t="s">
        <v>342</v>
      </c>
      <c r="C886" s="267" t="s">
        <v>94</v>
      </c>
      <c r="D886" s="267" t="s">
        <v>92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83831</v>
      </c>
      <c r="L886" s="269">
        <v>84740</v>
      </c>
      <c r="M886" s="270">
        <v>1</v>
      </c>
      <c r="N886" s="268">
        <v>1</v>
      </c>
      <c r="O886" s="271"/>
      <c r="P886" s="271">
        <v>83831</v>
      </c>
      <c r="Q886" s="271"/>
      <c r="R886" s="271"/>
      <c r="S886" s="271">
        <v>-84740</v>
      </c>
      <c r="T886" s="271"/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153</v>
      </c>
      <c r="B887" s="267" t="s">
        <v>1435</v>
      </c>
      <c r="C887" s="267" t="s">
        <v>94</v>
      </c>
      <c r="D887" s="267" t="s">
        <v>92</v>
      </c>
      <c r="E887" s="267" t="s">
        <v>0</v>
      </c>
      <c r="F887" s="268"/>
      <c r="G887" s="269"/>
      <c r="H887" s="269"/>
      <c r="I887" s="270"/>
      <c r="J887" s="268">
        <v>1</v>
      </c>
      <c r="K887" s="269">
        <v>83164</v>
      </c>
      <c r="L887" s="269">
        <v>85253</v>
      </c>
      <c r="M887" s="270">
        <v>1</v>
      </c>
      <c r="N887" s="268">
        <v>1</v>
      </c>
      <c r="O887" s="271"/>
      <c r="P887" s="271">
        <v>83164</v>
      </c>
      <c r="Q887" s="271"/>
      <c r="R887" s="271"/>
      <c r="S887" s="271">
        <v>-85253</v>
      </c>
      <c r="T887" s="271"/>
      <c r="U887" s="272">
        <v>1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153</v>
      </c>
      <c r="B888" s="267" t="s">
        <v>343</v>
      </c>
      <c r="C888" s="267" t="s">
        <v>94</v>
      </c>
      <c r="D888" s="267" t="s">
        <v>92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83798</v>
      </c>
      <c r="L888" s="269">
        <v>84810</v>
      </c>
      <c r="M888" s="270">
        <v>1</v>
      </c>
      <c r="N888" s="268">
        <v>1</v>
      </c>
      <c r="O888" s="271"/>
      <c r="P888" s="271">
        <v>83798</v>
      </c>
      <c r="Q888" s="271"/>
      <c r="R888" s="271"/>
      <c r="S888" s="271">
        <v>-84810</v>
      </c>
      <c r="T888" s="271"/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153</v>
      </c>
      <c r="B889" s="267" t="s">
        <v>1436</v>
      </c>
      <c r="C889" s="267" t="s">
        <v>94</v>
      </c>
      <c r="D889" s="267" t="s">
        <v>92</v>
      </c>
      <c r="E889" s="267" t="s">
        <v>0</v>
      </c>
      <c r="F889" s="268"/>
      <c r="G889" s="269"/>
      <c r="H889" s="269"/>
      <c r="I889" s="270"/>
      <c r="J889" s="268">
        <v>1</v>
      </c>
      <c r="K889" s="269">
        <v>83021</v>
      </c>
      <c r="L889" s="269">
        <v>85369</v>
      </c>
      <c r="M889" s="270">
        <v>1</v>
      </c>
      <c r="N889" s="268">
        <v>1</v>
      </c>
      <c r="O889" s="271"/>
      <c r="P889" s="271">
        <v>83021</v>
      </c>
      <c r="Q889" s="271"/>
      <c r="R889" s="271"/>
      <c r="S889" s="271">
        <v>-85369</v>
      </c>
      <c r="T889" s="271"/>
      <c r="U889" s="272">
        <v>1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153</v>
      </c>
      <c r="B890" s="267" t="s">
        <v>1437</v>
      </c>
      <c r="C890" s="267" t="s">
        <v>94</v>
      </c>
      <c r="D890" s="267" t="s">
        <v>92</v>
      </c>
      <c r="E890" s="267" t="s">
        <v>0</v>
      </c>
      <c r="F890" s="268"/>
      <c r="G890" s="269"/>
      <c r="H890" s="269"/>
      <c r="I890" s="270"/>
      <c r="J890" s="268">
        <v>1</v>
      </c>
      <c r="K890" s="269">
        <v>83141</v>
      </c>
      <c r="L890" s="269">
        <v>85457</v>
      </c>
      <c r="M890" s="270">
        <v>1</v>
      </c>
      <c r="N890" s="268">
        <v>1</v>
      </c>
      <c r="O890" s="271"/>
      <c r="P890" s="271">
        <v>83141</v>
      </c>
      <c r="Q890" s="271"/>
      <c r="R890" s="271"/>
      <c r="S890" s="271">
        <v>-85457</v>
      </c>
      <c r="T890" s="271"/>
      <c r="U890" s="272">
        <v>1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153</v>
      </c>
      <c r="B891" s="267" t="s">
        <v>1438</v>
      </c>
      <c r="C891" s="267" t="s">
        <v>94</v>
      </c>
      <c r="D891" s="267" t="s">
        <v>92</v>
      </c>
      <c r="E891" s="267" t="s">
        <v>0</v>
      </c>
      <c r="F891" s="268"/>
      <c r="G891" s="269"/>
      <c r="H891" s="269"/>
      <c r="I891" s="270"/>
      <c r="J891" s="268">
        <v>1</v>
      </c>
      <c r="K891" s="269">
        <v>83061</v>
      </c>
      <c r="L891" s="269">
        <v>85533</v>
      </c>
      <c r="M891" s="270">
        <v>1</v>
      </c>
      <c r="N891" s="268">
        <v>1</v>
      </c>
      <c r="O891" s="271"/>
      <c r="P891" s="271">
        <v>83061</v>
      </c>
      <c r="Q891" s="271"/>
      <c r="R891" s="271"/>
      <c r="S891" s="271">
        <v>-85533</v>
      </c>
      <c r="T891" s="271"/>
      <c r="U891" s="272">
        <v>1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153</v>
      </c>
      <c r="B892" s="267" t="s">
        <v>344</v>
      </c>
      <c r="C892" s="267" t="s">
        <v>94</v>
      </c>
      <c r="D892" s="267" t="s">
        <v>92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83987</v>
      </c>
      <c r="L892" s="269">
        <v>84657</v>
      </c>
      <c r="M892" s="270">
        <v>1</v>
      </c>
      <c r="N892" s="268">
        <v>1</v>
      </c>
      <c r="O892" s="271"/>
      <c r="P892" s="271">
        <v>83987</v>
      </c>
      <c r="Q892" s="271"/>
      <c r="R892" s="271"/>
      <c r="S892" s="271">
        <v>-84657</v>
      </c>
      <c r="T892" s="271"/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153</v>
      </c>
      <c r="B893" s="267" t="s">
        <v>1439</v>
      </c>
      <c r="C893" s="267" t="s">
        <v>94</v>
      </c>
      <c r="D893" s="267" t="s">
        <v>92</v>
      </c>
      <c r="E893" s="267" t="s">
        <v>0</v>
      </c>
      <c r="F893" s="268"/>
      <c r="G893" s="269"/>
      <c r="H893" s="269"/>
      <c r="I893" s="270"/>
      <c r="J893" s="268">
        <v>1</v>
      </c>
      <c r="K893" s="269">
        <v>83221</v>
      </c>
      <c r="L893" s="269">
        <v>85235</v>
      </c>
      <c r="M893" s="270">
        <v>1</v>
      </c>
      <c r="N893" s="268">
        <v>1</v>
      </c>
      <c r="O893" s="271"/>
      <c r="P893" s="271">
        <v>83221</v>
      </c>
      <c r="Q893" s="271"/>
      <c r="R893" s="271"/>
      <c r="S893" s="271">
        <v>-85235</v>
      </c>
      <c r="T893" s="271"/>
      <c r="U893" s="272">
        <v>1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153</v>
      </c>
      <c r="B894" s="267" t="s">
        <v>345</v>
      </c>
      <c r="C894" s="267" t="s">
        <v>94</v>
      </c>
      <c r="D894" s="267" t="s">
        <v>92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84001</v>
      </c>
      <c r="L894" s="269">
        <v>84640</v>
      </c>
      <c r="M894" s="270">
        <v>1</v>
      </c>
      <c r="N894" s="268">
        <v>1</v>
      </c>
      <c r="O894" s="271"/>
      <c r="P894" s="271">
        <v>84001</v>
      </c>
      <c r="Q894" s="271"/>
      <c r="R894" s="271"/>
      <c r="S894" s="271">
        <v>-84640</v>
      </c>
      <c r="T894" s="271"/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153</v>
      </c>
      <c r="B895" s="267" t="s">
        <v>1440</v>
      </c>
      <c r="C895" s="267" t="s">
        <v>94</v>
      </c>
      <c r="D895" s="267" t="s">
        <v>92</v>
      </c>
      <c r="E895" s="267" t="s">
        <v>0</v>
      </c>
      <c r="F895" s="268"/>
      <c r="G895" s="269"/>
      <c r="H895" s="269"/>
      <c r="I895" s="270"/>
      <c r="J895" s="268">
        <v>1</v>
      </c>
      <c r="K895" s="269">
        <v>83226</v>
      </c>
      <c r="L895" s="269">
        <v>85220</v>
      </c>
      <c r="M895" s="270">
        <v>1</v>
      </c>
      <c r="N895" s="268">
        <v>1</v>
      </c>
      <c r="O895" s="271"/>
      <c r="P895" s="271">
        <v>83226</v>
      </c>
      <c r="Q895" s="271"/>
      <c r="R895" s="271"/>
      <c r="S895" s="271">
        <v>-85220</v>
      </c>
      <c r="T895" s="271"/>
      <c r="U895" s="272">
        <v>1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153</v>
      </c>
      <c r="B896" s="267" t="s">
        <v>1441</v>
      </c>
      <c r="C896" s="267" t="s">
        <v>94</v>
      </c>
      <c r="D896" s="267" t="s">
        <v>92</v>
      </c>
      <c r="E896" s="267" t="s">
        <v>0</v>
      </c>
      <c r="F896" s="268"/>
      <c r="G896" s="269"/>
      <c r="H896" s="269"/>
      <c r="I896" s="270"/>
      <c r="J896" s="268">
        <v>1</v>
      </c>
      <c r="K896" s="269">
        <v>83196</v>
      </c>
      <c r="L896" s="269">
        <v>85418</v>
      </c>
      <c r="M896" s="270">
        <v>1</v>
      </c>
      <c r="N896" s="268">
        <v>1</v>
      </c>
      <c r="O896" s="271"/>
      <c r="P896" s="271">
        <v>83196</v>
      </c>
      <c r="Q896" s="271"/>
      <c r="R896" s="271"/>
      <c r="S896" s="271">
        <v>-85418</v>
      </c>
      <c r="T896" s="271"/>
      <c r="U896" s="272">
        <v>1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153</v>
      </c>
      <c r="B897" s="267" t="s">
        <v>1442</v>
      </c>
      <c r="C897" s="267" t="s">
        <v>94</v>
      </c>
      <c r="D897" s="267" t="s">
        <v>92</v>
      </c>
      <c r="E897" s="267" t="s">
        <v>0</v>
      </c>
      <c r="F897" s="268"/>
      <c r="G897" s="269"/>
      <c r="H897" s="269"/>
      <c r="I897" s="270"/>
      <c r="J897" s="268">
        <v>1</v>
      </c>
      <c r="K897" s="269">
        <v>83194</v>
      </c>
      <c r="L897" s="269">
        <v>85427</v>
      </c>
      <c r="M897" s="270">
        <v>1</v>
      </c>
      <c r="N897" s="268">
        <v>1</v>
      </c>
      <c r="O897" s="271"/>
      <c r="P897" s="271">
        <v>83194</v>
      </c>
      <c r="Q897" s="271"/>
      <c r="R897" s="271"/>
      <c r="S897" s="271">
        <v>-85427</v>
      </c>
      <c r="T897" s="271"/>
      <c r="U897" s="272">
        <v>1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153</v>
      </c>
      <c r="B898" s="267" t="s">
        <v>1443</v>
      </c>
      <c r="C898" s="267" t="s">
        <v>94</v>
      </c>
      <c r="D898" s="267" t="s">
        <v>92</v>
      </c>
      <c r="E898" s="267" t="s">
        <v>0</v>
      </c>
      <c r="F898" s="268"/>
      <c r="G898" s="269"/>
      <c r="H898" s="269"/>
      <c r="I898" s="270"/>
      <c r="J898" s="268">
        <v>1</v>
      </c>
      <c r="K898" s="269">
        <v>83591</v>
      </c>
      <c r="L898" s="269">
        <v>85062</v>
      </c>
      <c r="M898" s="270">
        <v>1</v>
      </c>
      <c r="N898" s="268">
        <v>1</v>
      </c>
      <c r="O898" s="271"/>
      <c r="P898" s="271">
        <v>83591</v>
      </c>
      <c r="Q898" s="271"/>
      <c r="R898" s="271"/>
      <c r="S898" s="271">
        <v>-85062</v>
      </c>
      <c r="T898" s="271"/>
      <c r="U898" s="272">
        <v>1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153</v>
      </c>
      <c r="B899" s="267" t="s">
        <v>1444</v>
      </c>
      <c r="C899" s="267" t="s">
        <v>94</v>
      </c>
      <c r="D899" s="267" t="s">
        <v>92</v>
      </c>
      <c r="E899" s="267" t="s">
        <v>0</v>
      </c>
      <c r="F899" s="268"/>
      <c r="G899" s="269"/>
      <c r="H899" s="269"/>
      <c r="I899" s="270"/>
      <c r="J899" s="268">
        <v>1</v>
      </c>
      <c r="K899" s="269">
        <v>83492</v>
      </c>
      <c r="L899" s="269">
        <v>85127</v>
      </c>
      <c r="M899" s="270">
        <v>1</v>
      </c>
      <c r="N899" s="268">
        <v>1</v>
      </c>
      <c r="O899" s="271"/>
      <c r="P899" s="271">
        <v>83492</v>
      </c>
      <c r="Q899" s="271"/>
      <c r="R899" s="271"/>
      <c r="S899" s="271">
        <v>-85127</v>
      </c>
      <c r="T899" s="271"/>
      <c r="U899" s="272">
        <v>1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153</v>
      </c>
      <c r="B900" s="267" t="s">
        <v>1445</v>
      </c>
      <c r="C900" s="267" t="s">
        <v>94</v>
      </c>
      <c r="D900" s="267" t="s">
        <v>92</v>
      </c>
      <c r="E900" s="267" t="s">
        <v>0</v>
      </c>
      <c r="F900" s="268"/>
      <c r="G900" s="269"/>
      <c r="H900" s="269"/>
      <c r="I900" s="270"/>
      <c r="J900" s="268">
        <v>1</v>
      </c>
      <c r="K900" s="269">
        <v>83575</v>
      </c>
      <c r="L900" s="269">
        <v>85085</v>
      </c>
      <c r="M900" s="270">
        <v>1</v>
      </c>
      <c r="N900" s="268">
        <v>1</v>
      </c>
      <c r="O900" s="271"/>
      <c r="P900" s="271">
        <v>83575</v>
      </c>
      <c r="Q900" s="271"/>
      <c r="R900" s="271"/>
      <c r="S900" s="271">
        <v>-85085</v>
      </c>
      <c r="T900" s="271"/>
      <c r="U900" s="272">
        <v>1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153</v>
      </c>
      <c r="B901" s="267" t="s">
        <v>1446</v>
      </c>
      <c r="C901" s="267" t="s">
        <v>94</v>
      </c>
      <c r="D901" s="267" t="s">
        <v>92</v>
      </c>
      <c r="E901" s="267" t="s">
        <v>0</v>
      </c>
      <c r="F901" s="268"/>
      <c r="G901" s="269"/>
      <c r="H901" s="269"/>
      <c r="I901" s="270"/>
      <c r="J901" s="268">
        <v>1</v>
      </c>
      <c r="K901" s="269">
        <v>83507</v>
      </c>
      <c r="L901" s="269">
        <v>85122</v>
      </c>
      <c r="M901" s="270">
        <v>1</v>
      </c>
      <c r="N901" s="268">
        <v>1</v>
      </c>
      <c r="O901" s="271"/>
      <c r="P901" s="271">
        <v>83507</v>
      </c>
      <c r="Q901" s="271"/>
      <c r="R901" s="271"/>
      <c r="S901" s="271">
        <v>-85122</v>
      </c>
      <c r="T901" s="271"/>
      <c r="U901" s="272">
        <v>1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153</v>
      </c>
      <c r="B902" s="267" t="s">
        <v>1447</v>
      </c>
      <c r="C902" s="267" t="s">
        <v>94</v>
      </c>
      <c r="D902" s="267" t="s">
        <v>92</v>
      </c>
      <c r="E902" s="267" t="s">
        <v>0</v>
      </c>
      <c r="F902" s="268"/>
      <c r="G902" s="269"/>
      <c r="H902" s="269"/>
      <c r="I902" s="270"/>
      <c r="J902" s="268">
        <v>1</v>
      </c>
      <c r="K902" s="269">
        <v>83447</v>
      </c>
      <c r="L902" s="269">
        <v>85236</v>
      </c>
      <c r="M902" s="270">
        <v>1</v>
      </c>
      <c r="N902" s="268">
        <v>1</v>
      </c>
      <c r="O902" s="271"/>
      <c r="P902" s="271">
        <v>83447</v>
      </c>
      <c r="Q902" s="271"/>
      <c r="R902" s="271"/>
      <c r="S902" s="271">
        <v>-85236</v>
      </c>
      <c r="T902" s="271"/>
      <c r="U902" s="272">
        <v>1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153</v>
      </c>
      <c r="B903" s="267" t="s">
        <v>1448</v>
      </c>
      <c r="C903" s="267" t="s">
        <v>94</v>
      </c>
      <c r="D903" s="267" t="s">
        <v>92</v>
      </c>
      <c r="E903" s="267" t="s">
        <v>0</v>
      </c>
      <c r="F903" s="268"/>
      <c r="G903" s="269"/>
      <c r="H903" s="269"/>
      <c r="I903" s="270"/>
      <c r="J903" s="268">
        <v>1</v>
      </c>
      <c r="K903" s="269">
        <v>83475</v>
      </c>
      <c r="L903" s="269">
        <v>85205</v>
      </c>
      <c r="M903" s="270">
        <v>1</v>
      </c>
      <c r="N903" s="268">
        <v>1</v>
      </c>
      <c r="O903" s="271"/>
      <c r="P903" s="271">
        <v>83475</v>
      </c>
      <c r="Q903" s="271"/>
      <c r="R903" s="271"/>
      <c r="S903" s="271">
        <v>-85205</v>
      </c>
      <c r="T903" s="271"/>
      <c r="U903" s="272">
        <v>1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153</v>
      </c>
      <c r="B904" s="267" t="s">
        <v>1449</v>
      </c>
      <c r="C904" s="267" t="s">
        <v>94</v>
      </c>
      <c r="D904" s="267" t="s">
        <v>92</v>
      </c>
      <c r="E904" s="267" t="s">
        <v>0</v>
      </c>
      <c r="F904" s="268"/>
      <c r="G904" s="269"/>
      <c r="H904" s="269"/>
      <c r="I904" s="270"/>
      <c r="J904" s="268">
        <v>1</v>
      </c>
      <c r="K904" s="269">
        <v>83454</v>
      </c>
      <c r="L904" s="269">
        <v>85113</v>
      </c>
      <c r="M904" s="270">
        <v>1</v>
      </c>
      <c r="N904" s="268">
        <v>1</v>
      </c>
      <c r="O904" s="271"/>
      <c r="P904" s="271">
        <v>83454</v>
      </c>
      <c r="Q904" s="271"/>
      <c r="R904" s="271"/>
      <c r="S904" s="271">
        <v>-85113</v>
      </c>
      <c r="T904" s="271"/>
      <c r="U904" s="272">
        <v>1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153</v>
      </c>
      <c r="B905" s="267" t="s">
        <v>1450</v>
      </c>
      <c r="C905" s="267" t="s">
        <v>94</v>
      </c>
      <c r="D905" s="267" t="s">
        <v>92</v>
      </c>
      <c r="E905" s="267" t="s">
        <v>0</v>
      </c>
      <c r="F905" s="268"/>
      <c r="G905" s="269"/>
      <c r="H905" s="269"/>
      <c r="I905" s="270"/>
      <c r="J905" s="268">
        <v>1</v>
      </c>
      <c r="K905" s="269">
        <v>83127</v>
      </c>
      <c r="L905" s="269">
        <v>85456</v>
      </c>
      <c r="M905" s="270">
        <v>1</v>
      </c>
      <c r="N905" s="268">
        <v>1</v>
      </c>
      <c r="O905" s="271"/>
      <c r="P905" s="271">
        <v>83127</v>
      </c>
      <c r="Q905" s="271"/>
      <c r="R905" s="271"/>
      <c r="S905" s="271">
        <v>-85456</v>
      </c>
      <c r="T905" s="271"/>
      <c r="U905" s="272">
        <v>1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153</v>
      </c>
      <c r="B906" s="267" t="s">
        <v>1451</v>
      </c>
      <c r="C906" s="267" t="s">
        <v>94</v>
      </c>
      <c r="D906" s="267" t="s">
        <v>92</v>
      </c>
      <c r="E906" s="267" t="s">
        <v>0</v>
      </c>
      <c r="F906" s="268"/>
      <c r="G906" s="269"/>
      <c r="H906" s="269"/>
      <c r="I906" s="270"/>
      <c r="J906" s="268">
        <v>1</v>
      </c>
      <c r="K906" s="269">
        <v>83401</v>
      </c>
      <c r="L906" s="269">
        <v>85194</v>
      </c>
      <c r="M906" s="270">
        <v>1</v>
      </c>
      <c r="N906" s="268">
        <v>1</v>
      </c>
      <c r="O906" s="271"/>
      <c r="P906" s="271">
        <v>83401</v>
      </c>
      <c r="Q906" s="271"/>
      <c r="R906" s="271"/>
      <c r="S906" s="271">
        <v>-85194</v>
      </c>
      <c r="T906" s="271"/>
      <c r="U906" s="272">
        <v>1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153</v>
      </c>
      <c r="B907" s="267" t="s">
        <v>1452</v>
      </c>
      <c r="C907" s="267" t="s">
        <v>94</v>
      </c>
      <c r="D907" s="267" t="s">
        <v>92</v>
      </c>
      <c r="E907" s="267" t="s">
        <v>0</v>
      </c>
      <c r="F907" s="268"/>
      <c r="G907" s="269"/>
      <c r="H907" s="269"/>
      <c r="I907" s="270"/>
      <c r="J907" s="268">
        <v>1</v>
      </c>
      <c r="K907" s="269">
        <v>83145</v>
      </c>
      <c r="L907" s="269">
        <v>85399</v>
      </c>
      <c r="M907" s="270">
        <v>1</v>
      </c>
      <c r="N907" s="268">
        <v>1</v>
      </c>
      <c r="O907" s="271"/>
      <c r="P907" s="271">
        <v>83145</v>
      </c>
      <c r="Q907" s="271"/>
      <c r="R907" s="271"/>
      <c r="S907" s="271">
        <v>-85399</v>
      </c>
      <c r="T907" s="271"/>
      <c r="U907" s="272">
        <v>1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153</v>
      </c>
      <c r="B908" s="267" t="s">
        <v>1453</v>
      </c>
      <c r="C908" s="267" t="s">
        <v>94</v>
      </c>
      <c r="D908" s="267" t="s">
        <v>92</v>
      </c>
      <c r="E908" s="267" t="s">
        <v>0</v>
      </c>
      <c r="F908" s="268"/>
      <c r="G908" s="269"/>
      <c r="H908" s="269"/>
      <c r="I908" s="270"/>
      <c r="J908" s="268">
        <v>1</v>
      </c>
      <c r="K908" s="269">
        <v>83164</v>
      </c>
      <c r="L908" s="269">
        <v>85441</v>
      </c>
      <c r="M908" s="270">
        <v>1</v>
      </c>
      <c r="N908" s="268">
        <v>1</v>
      </c>
      <c r="O908" s="271"/>
      <c r="P908" s="271">
        <v>83164</v>
      </c>
      <c r="Q908" s="271"/>
      <c r="R908" s="271"/>
      <c r="S908" s="271">
        <v>-85441</v>
      </c>
      <c r="T908" s="271"/>
      <c r="U908" s="272">
        <v>1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153</v>
      </c>
      <c r="B909" s="267" t="s">
        <v>1454</v>
      </c>
      <c r="C909" s="267" t="s">
        <v>94</v>
      </c>
      <c r="D909" s="267" t="s">
        <v>92</v>
      </c>
      <c r="E909" s="267" t="s">
        <v>0</v>
      </c>
      <c r="F909" s="268"/>
      <c r="G909" s="269"/>
      <c r="H909" s="269"/>
      <c r="I909" s="270"/>
      <c r="J909" s="268">
        <v>1</v>
      </c>
      <c r="K909" s="269">
        <v>83271</v>
      </c>
      <c r="L909" s="269">
        <v>85339</v>
      </c>
      <c r="M909" s="270">
        <v>1</v>
      </c>
      <c r="N909" s="268">
        <v>1</v>
      </c>
      <c r="O909" s="271"/>
      <c r="P909" s="271">
        <v>83271</v>
      </c>
      <c r="Q909" s="271"/>
      <c r="R909" s="271"/>
      <c r="S909" s="271">
        <v>-85339</v>
      </c>
      <c r="T909" s="271"/>
      <c r="U909" s="272">
        <v>1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153</v>
      </c>
      <c r="B910" s="267" t="s">
        <v>1455</v>
      </c>
      <c r="C910" s="267" t="s">
        <v>94</v>
      </c>
      <c r="D910" s="267" t="s">
        <v>92</v>
      </c>
      <c r="E910" s="267" t="s">
        <v>0</v>
      </c>
      <c r="F910" s="268"/>
      <c r="G910" s="269"/>
      <c r="H910" s="269"/>
      <c r="I910" s="270"/>
      <c r="J910" s="268">
        <v>1</v>
      </c>
      <c r="K910" s="269">
        <v>83421</v>
      </c>
      <c r="L910" s="269">
        <v>85150</v>
      </c>
      <c r="M910" s="270">
        <v>1</v>
      </c>
      <c r="N910" s="268">
        <v>1</v>
      </c>
      <c r="O910" s="271"/>
      <c r="P910" s="271">
        <v>83421</v>
      </c>
      <c r="Q910" s="271"/>
      <c r="R910" s="271"/>
      <c r="S910" s="271">
        <v>-85150</v>
      </c>
      <c r="T910" s="271"/>
      <c r="U910" s="272">
        <v>1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153</v>
      </c>
      <c r="B911" s="267" t="s">
        <v>1456</v>
      </c>
      <c r="C911" s="267" t="s">
        <v>94</v>
      </c>
      <c r="D911" s="267" t="s">
        <v>92</v>
      </c>
      <c r="E911" s="267" t="s">
        <v>0</v>
      </c>
      <c r="F911" s="268"/>
      <c r="G911" s="269"/>
      <c r="H911" s="269"/>
      <c r="I911" s="270"/>
      <c r="J911" s="268">
        <v>1</v>
      </c>
      <c r="K911" s="269">
        <v>83134</v>
      </c>
      <c r="L911" s="269">
        <v>85463</v>
      </c>
      <c r="M911" s="270">
        <v>1</v>
      </c>
      <c r="N911" s="268">
        <v>1</v>
      </c>
      <c r="O911" s="271"/>
      <c r="P911" s="271">
        <v>83134</v>
      </c>
      <c r="Q911" s="271"/>
      <c r="R911" s="271"/>
      <c r="S911" s="271">
        <v>-85463</v>
      </c>
      <c r="T911" s="271"/>
      <c r="U911" s="272">
        <v>1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153</v>
      </c>
      <c r="B912" s="267" t="s">
        <v>1457</v>
      </c>
      <c r="C912" s="267" t="s">
        <v>94</v>
      </c>
      <c r="D912" s="267" t="s">
        <v>92</v>
      </c>
      <c r="E912" s="267" t="s">
        <v>0</v>
      </c>
      <c r="F912" s="268"/>
      <c r="G912" s="269"/>
      <c r="H912" s="269"/>
      <c r="I912" s="270"/>
      <c r="J912" s="268">
        <v>1</v>
      </c>
      <c r="K912" s="269">
        <v>83388</v>
      </c>
      <c r="L912" s="269">
        <v>85220</v>
      </c>
      <c r="M912" s="270">
        <v>1</v>
      </c>
      <c r="N912" s="268">
        <v>1</v>
      </c>
      <c r="O912" s="271"/>
      <c r="P912" s="271">
        <v>83388</v>
      </c>
      <c r="Q912" s="271"/>
      <c r="R912" s="271"/>
      <c r="S912" s="271">
        <v>-85220</v>
      </c>
      <c r="T912" s="271"/>
      <c r="U912" s="272">
        <v>1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153</v>
      </c>
      <c r="B913" s="267" t="s">
        <v>1458</v>
      </c>
      <c r="C913" s="267" t="s">
        <v>94</v>
      </c>
      <c r="D913" s="267" t="s">
        <v>92</v>
      </c>
      <c r="E913" s="267" t="s">
        <v>0</v>
      </c>
      <c r="F913" s="268"/>
      <c r="G913" s="269"/>
      <c r="H913" s="269"/>
      <c r="I913" s="270"/>
      <c r="J913" s="268">
        <v>1</v>
      </c>
      <c r="K913" s="269">
        <v>83160</v>
      </c>
      <c r="L913" s="269">
        <v>85394</v>
      </c>
      <c r="M913" s="270">
        <v>1</v>
      </c>
      <c r="N913" s="268">
        <v>1</v>
      </c>
      <c r="O913" s="271"/>
      <c r="P913" s="271">
        <v>83160</v>
      </c>
      <c r="Q913" s="271"/>
      <c r="R913" s="271"/>
      <c r="S913" s="271">
        <v>-85394</v>
      </c>
      <c r="T913" s="271"/>
      <c r="U913" s="272">
        <v>1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153</v>
      </c>
      <c r="B914" s="267" t="s">
        <v>1459</v>
      </c>
      <c r="C914" s="267" t="s">
        <v>94</v>
      </c>
      <c r="D914" s="267" t="s">
        <v>92</v>
      </c>
      <c r="E914" s="267" t="s">
        <v>0</v>
      </c>
      <c r="F914" s="268"/>
      <c r="G914" s="269"/>
      <c r="H914" s="269"/>
      <c r="I914" s="270"/>
      <c r="J914" s="268">
        <v>1</v>
      </c>
      <c r="K914" s="269">
        <v>83141</v>
      </c>
      <c r="L914" s="269">
        <v>85457</v>
      </c>
      <c r="M914" s="270">
        <v>1</v>
      </c>
      <c r="N914" s="268">
        <v>1</v>
      </c>
      <c r="O914" s="271"/>
      <c r="P914" s="271">
        <v>83141</v>
      </c>
      <c r="Q914" s="271"/>
      <c r="R914" s="271"/>
      <c r="S914" s="271">
        <v>-85457</v>
      </c>
      <c r="T914" s="271"/>
      <c r="U914" s="272">
        <v>1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153</v>
      </c>
      <c r="B915" s="267" t="s">
        <v>1460</v>
      </c>
      <c r="C915" s="267" t="s">
        <v>94</v>
      </c>
      <c r="D915" s="267" t="s">
        <v>92</v>
      </c>
      <c r="E915" s="267" t="s">
        <v>0</v>
      </c>
      <c r="F915" s="268"/>
      <c r="G915" s="269"/>
      <c r="H915" s="269"/>
      <c r="I915" s="270"/>
      <c r="J915" s="268">
        <v>1</v>
      </c>
      <c r="K915" s="269">
        <v>83246</v>
      </c>
      <c r="L915" s="269">
        <v>85364</v>
      </c>
      <c r="M915" s="270">
        <v>1</v>
      </c>
      <c r="N915" s="268">
        <v>1</v>
      </c>
      <c r="O915" s="271"/>
      <c r="P915" s="271">
        <v>83246</v>
      </c>
      <c r="Q915" s="271"/>
      <c r="R915" s="271"/>
      <c r="S915" s="271">
        <v>-85364</v>
      </c>
      <c r="T915" s="271"/>
      <c r="U915" s="272">
        <v>1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153</v>
      </c>
      <c r="B916" s="267" t="s">
        <v>1461</v>
      </c>
      <c r="C916" s="267" t="s">
        <v>94</v>
      </c>
      <c r="D916" s="267" t="s">
        <v>92</v>
      </c>
      <c r="E916" s="267" t="s">
        <v>0</v>
      </c>
      <c r="F916" s="268"/>
      <c r="G916" s="269"/>
      <c r="H916" s="269"/>
      <c r="I916" s="270"/>
      <c r="J916" s="268">
        <v>1</v>
      </c>
      <c r="K916" s="269">
        <v>83392</v>
      </c>
      <c r="L916" s="269">
        <v>85236</v>
      </c>
      <c r="M916" s="270">
        <v>1</v>
      </c>
      <c r="N916" s="268">
        <v>1</v>
      </c>
      <c r="O916" s="271"/>
      <c r="P916" s="271">
        <v>83392</v>
      </c>
      <c r="Q916" s="271"/>
      <c r="R916" s="271"/>
      <c r="S916" s="271">
        <v>-85236</v>
      </c>
      <c r="T916" s="271"/>
      <c r="U916" s="272">
        <v>1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153</v>
      </c>
      <c r="B917" s="267" t="s">
        <v>1462</v>
      </c>
      <c r="C917" s="267" t="s">
        <v>94</v>
      </c>
      <c r="D917" s="267" t="s">
        <v>92</v>
      </c>
      <c r="E917" s="267" t="s">
        <v>0</v>
      </c>
      <c r="F917" s="268"/>
      <c r="G917" s="269"/>
      <c r="H917" s="269"/>
      <c r="I917" s="270"/>
      <c r="J917" s="268">
        <v>1</v>
      </c>
      <c r="K917" s="269">
        <v>83006</v>
      </c>
      <c r="L917" s="269">
        <v>85614</v>
      </c>
      <c r="M917" s="270">
        <v>1</v>
      </c>
      <c r="N917" s="268">
        <v>1</v>
      </c>
      <c r="O917" s="271"/>
      <c r="P917" s="271">
        <v>83006</v>
      </c>
      <c r="Q917" s="271"/>
      <c r="R917" s="271"/>
      <c r="S917" s="271">
        <v>-85614</v>
      </c>
      <c r="T917" s="271"/>
      <c r="U917" s="272">
        <v>1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153</v>
      </c>
      <c r="B918" s="267" t="s">
        <v>1463</v>
      </c>
      <c r="C918" s="267" t="s">
        <v>94</v>
      </c>
      <c r="D918" s="267" t="s">
        <v>92</v>
      </c>
      <c r="E918" s="267" t="s">
        <v>0</v>
      </c>
      <c r="F918" s="268"/>
      <c r="G918" s="269"/>
      <c r="H918" s="269"/>
      <c r="I918" s="270"/>
      <c r="J918" s="268">
        <v>1</v>
      </c>
      <c r="K918" s="269">
        <v>83406</v>
      </c>
      <c r="L918" s="269">
        <v>85219</v>
      </c>
      <c r="M918" s="270">
        <v>1</v>
      </c>
      <c r="N918" s="268">
        <v>1</v>
      </c>
      <c r="O918" s="271"/>
      <c r="P918" s="271">
        <v>83406</v>
      </c>
      <c r="Q918" s="271"/>
      <c r="R918" s="271"/>
      <c r="S918" s="271">
        <v>-85219</v>
      </c>
      <c r="T918" s="271"/>
      <c r="U918" s="272">
        <v>1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153</v>
      </c>
      <c r="B919" s="267" t="s">
        <v>1464</v>
      </c>
      <c r="C919" s="267" t="s">
        <v>94</v>
      </c>
      <c r="D919" s="267" t="s">
        <v>92</v>
      </c>
      <c r="E919" s="267" t="s">
        <v>0</v>
      </c>
      <c r="F919" s="268"/>
      <c r="G919" s="269"/>
      <c r="H919" s="269"/>
      <c r="I919" s="270"/>
      <c r="J919" s="268">
        <v>1</v>
      </c>
      <c r="K919" s="269">
        <v>83011</v>
      </c>
      <c r="L919" s="269">
        <v>85599</v>
      </c>
      <c r="M919" s="270">
        <v>1</v>
      </c>
      <c r="N919" s="268">
        <v>1</v>
      </c>
      <c r="O919" s="271"/>
      <c r="P919" s="271">
        <v>83011</v>
      </c>
      <c r="Q919" s="271"/>
      <c r="R919" s="271"/>
      <c r="S919" s="271">
        <v>-85599</v>
      </c>
      <c r="T919" s="271"/>
      <c r="U919" s="272">
        <v>1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153</v>
      </c>
      <c r="B920" s="267" t="s">
        <v>1465</v>
      </c>
      <c r="C920" s="267" t="s">
        <v>94</v>
      </c>
      <c r="D920" s="267" t="s">
        <v>92</v>
      </c>
      <c r="E920" s="267" t="s">
        <v>0</v>
      </c>
      <c r="F920" s="268"/>
      <c r="G920" s="269"/>
      <c r="H920" s="269"/>
      <c r="I920" s="270"/>
      <c r="J920" s="268">
        <v>1</v>
      </c>
      <c r="K920" s="269">
        <v>83180</v>
      </c>
      <c r="L920" s="269">
        <v>85402</v>
      </c>
      <c r="M920" s="270">
        <v>1</v>
      </c>
      <c r="N920" s="268">
        <v>1</v>
      </c>
      <c r="O920" s="271"/>
      <c r="P920" s="271">
        <v>83180</v>
      </c>
      <c r="Q920" s="271"/>
      <c r="R920" s="271"/>
      <c r="S920" s="271">
        <v>-85402</v>
      </c>
      <c r="T920" s="271"/>
      <c r="U920" s="272">
        <v>1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153</v>
      </c>
      <c r="B921" s="267" t="s">
        <v>1466</v>
      </c>
      <c r="C921" s="267" t="s">
        <v>94</v>
      </c>
      <c r="D921" s="267" t="s">
        <v>92</v>
      </c>
      <c r="E921" s="267" t="s">
        <v>0</v>
      </c>
      <c r="F921" s="268"/>
      <c r="G921" s="269"/>
      <c r="H921" s="269"/>
      <c r="I921" s="270"/>
      <c r="J921" s="268">
        <v>1</v>
      </c>
      <c r="K921" s="269">
        <v>83178</v>
      </c>
      <c r="L921" s="269">
        <v>85411</v>
      </c>
      <c r="M921" s="270">
        <v>1</v>
      </c>
      <c r="N921" s="268">
        <v>1</v>
      </c>
      <c r="O921" s="271"/>
      <c r="P921" s="271">
        <v>83178</v>
      </c>
      <c r="Q921" s="271"/>
      <c r="R921" s="271"/>
      <c r="S921" s="271">
        <v>-85411</v>
      </c>
      <c r="T921" s="271"/>
      <c r="U921" s="272">
        <v>1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153</v>
      </c>
      <c r="B922" s="267" t="s">
        <v>1467</v>
      </c>
      <c r="C922" s="267" t="s">
        <v>94</v>
      </c>
      <c r="D922" s="267" t="s">
        <v>92</v>
      </c>
      <c r="E922" s="267" t="s">
        <v>0</v>
      </c>
      <c r="F922" s="268"/>
      <c r="G922" s="269"/>
      <c r="H922" s="269"/>
      <c r="I922" s="270"/>
      <c r="J922" s="268">
        <v>1</v>
      </c>
      <c r="K922" s="269">
        <v>83536</v>
      </c>
      <c r="L922" s="269">
        <v>85007</v>
      </c>
      <c r="M922" s="270">
        <v>1</v>
      </c>
      <c r="N922" s="268">
        <v>1</v>
      </c>
      <c r="O922" s="271"/>
      <c r="P922" s="271">
        <v>83536</v>
      </c>
      <c r="Q922" s="271"/>
      <c r="R922" s="271"/>
      <c r="S922" s="271">
        <v>-85007</v>
      </c>
      <c r="T922" s="271"/>
      <c r="U922" s="272">
        <v>1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153</v>
      </c>
      <c r="B923" s="267" t="s">
        <v>1468</v>
      </c>
      <c r="C923" s="267" t="s">
        <v>94</v>
      </c>
      <c r="D923" s="267" t="s">
        <v>92</v>
      </c>
      <c r="E923" s="267" t="s">
        <v>0</v>
      </c>
      <c r="F923" s="268"/>
      <c r="G923" s="269"/>
      <c r="H923" s="269"/>
      <c r="I923" s="270"/>
      <c r="J923" s="268">
        <v>1</v>
      </c>
      <c r="K923" s="269">
        <v>83437</v>
      </c>
      <c r="L923" s="269">
        <v>85072</v>
      </c>
      <c r="M923" s="270">
        <v>1</v>
      </c>
      <c r="N923" s="268">
        <v>1</v>
      </c>
      <c r="O923" s="271"/>
      <c r="P923" s="271">
        <v>83437</v>
      </c>
      <c r="Q923" s="271"/>
      <c r="R923" s="271"/>
      <c r="S923" s="271">
        <v>-85072</v>
      </c>
      <c r="T923" s="271"/>
      <c r="U923" s="272">
        <v>1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153</v>
      </c>
      <c r="B924" s="267" t="s">
        <v>1469</v>
      </c>
      <c r="C924" s="267" t="s">
        <v>94</v>
      </c>
      <c r="D924" s="267" t="s">
        <v>92</v>
      </c>
      <c r="E924" s="267" t="s">
        <v>0</v>
      </c>
      <c r="F924" s="268"/>
      <c r="G924" s="269"/>
      <c r="H924" s="269"/>
      <c r="I924" s="270"/>
      <c r="J924" s="268">
        <v>1</v>
      </c>
      <c r="K924" s="269">
        <v>83520</v>
      </c>
      <c r="L924" s="269">
        <v>85030</v>
      </c>
      <c r="M924" s="270">
        <v>1</v>
      </c>
      <c r="N924" s="268">
        <v>1</v>
      </c>
      <c r="O924" s="271"/>
      <c r="P924" s="271">
        <v>83520</v>
      </c>
      <c r="Q924" s="271"/>
      <c r="R924" s="271"/>
      <c r="S924" s="271">
        <v>-85030</v>
      </c>
      <c r="T924" s="271"/>
      <c r="U924" s="272">
        <v>1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153</v>
      </c>
      <c r="B925" s="267" t="s">
        <v>1470</v>
      </c>
      <c r="C925" s="267" t="s">
        <v>94</v>
      </c>
      <c r="D925" s="267" t="s">
        <v>92</v>
      </c>
      <c r="E925" s="267" t="s">
        <v>0</v>
      </c>
      <c r="F925" s="268"/>
      <c r="G925" s="269"/>
      <c r="H925" s="269"/>
      <c r="I925" s="270"/>
      <c r="J925" s="268">
        <v>1</v>
      </c>
      <c r="K925" s="269">
        <v>83452</v>
      </c>
      <c r="L925" s="269">
        <v>85067</v>
      </c>
      <c r="M925" s="270">
        <v>1</v>
      </c>
      <c r="N925" s="268">
        <v>1</v>
      </c>
      <c r="O925" s="271"/>
      <c r="P925" s="271">
        <v>83452</v>
      </c>
      <c r="Q925" s="271"/>
      <c r="R925" s="271"/>
      <c r="S925" s="271">
        <v>-85067</v>
      </c>
      <c r="T925" s="271"/>
      <c r="U925" s="272">
        <v>1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153</v>
      </c>
      <c r="B926" s="267" t="s">
        <v>1471</v>
      </c>
      <c r="C926" s="267" t="s">
        <v>94</v>
      </c>
      <c r="D926" s="267" t="s">
        <v>92</v>
      </c>
      <c r="E926" s="267" t="s">
        <v>0</v>
      </c>
      <c r="F926" s="268"/>
      <c r="G926" s="269"/>
      <c r="H926" s="269"/>
      <c r="I926" s="270"/>
      <c r="J926" s="268">
        <v>1</v>
      </c>
      <c r="K926" s="269">
        <v>83577</v>
      </c>
      <c r="L926" s="269">
        <v>85012</v>
      </c>
      <c r="M926" s="270">
        <v>1</v>
      </c>
      <c r="N926" s="268">
        <v>1</v>
      </c>
      <c r="O926" s="271"/>
      <c r="P926" s="271">
        <v>83577</v>
      </c>
      <c r="Q926" s="271"/>
      <c r="R926" s="271"/>
      <c r="S926" s="271">
        <v>-85012</v>
      </c>
      <c r="T926" s="271"/>
      <c r="U926" s="272">
        <v>1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153</v>
      </c>
      <c r="B927" s="267" t="s">
        <v>1472</v>
      </c>
      <c r="C927" s="267" t="s">
        <v>94</v>
      </c>
      <c r="D927" s="267" t="s">
        <v>92</v>
      </c>
      <c r="E927" s="267" t="s">
        <v>0</v>
      </c>
      <c r="F927" s="268"/>
      <c r="G927" s="269"/>
      <c r="H927" s="269"/>
      <c r="I927" s="270"/>
      <c r="J927" s="268">
        <v>1</v>
      </c>
      <c r="K927" s="269">
        <v>83605</v>
      </c>
      <c r="L927" s="269">
        <v>84981</v>
      </c>
      <c r="M927" s="270">
        <v>1</v>
      </c>
      <c r="N927" s="268">
        <v>1</v>
      </c>
      <c r="O927" s="271"/>
      <c r="P927" s="271">
        <v>83605</v>
      </c>
      <c r="Q927" s="271"/>
      <c r="R927" s="271"/>
      <c r="S927" s="271">
        <v>-84981</v>
      </c>
      <c r="T927" s="271"/>
      <c r="U927" s="272">
        <v>1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153</v>
      </c>
      <c r="B928" s="267" t="s">
        <v>1473</v>
      </c>
      <c r="C928" s="267" t="s">
        <v>94</v>
      </c>
      <c r="D928" s="267" t="s">
        <v>92</v>
      </c>
      <c r="E928" s="267" t="s">
        <v>0</v>
      </c>
      <c r="F928" s="268"/>
      <c r="G928" s="269"/>
      <c r="H928" s="269"/>
      <c r="I928" s="270"/>
      <c r="J928" s="268">
        <v>1</v>
      </c>
      <c r="K928" s="269">
        <v>83587</v>
      </c>
      <c r="L928" s="269">
        <v>84835</v>
      </c>
      <c r="M928" s="270">
        <v>1</v>
      </c>
      <c r="N928" s="268">
        <v>1</v>
      </c>
      <c r="O928" s="271"/>
      <c r="P928" s="271">
        <v>83587</v>
      </c>
      <c r="Q928" s="271"/>
      <c r="R928" s="271"/>
      <c r="S928" s="271">
        <v>-84835</v>
      </c>
      <c r="T928" s="271"/>
      <c r="U928" s="272">
        <v>1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153</v>
      </c>
      <c r="B929" s="267" t="s">
        <v>1474</v>
      </c>
      <c r="C929" s="267" t="s">
        <v>94</v>
      </c>
      <c r="D929" s="267" t="s">
        <v>92</v>
      </c>
      <c r="E929" s="267" t="s">
        <v>0</v>
      </c>
      <c r="F929" s="268"/>
      <c r="G929" s="269"/>
      <c r="H929" s="269"/>
      <c r="I929" s="270"/>
      <c r="J929" s="268">
        <v>1</v>
      </c>
      <c r="K929" s="269">
        <v>83333</v>
      </c>
      <c r="L929" s="269">
        <v>85175</v>
      </c>
      <c r="M929" s="270">
        <v>1</v>
      </c>
      <c r="N929" s="268">
        <v>1</v>
      </c>
      <c r="O929" s="271"/>
      <c r="P929" s="271">
        <v>83333</v>
      </c>
      <c r="Q929" s="271"/>
      <c r="R929" s="271"/>
      <c r="S929" s="271">
        <v>-85175</v>
      </c>
      <c r="T929" s="271"/>
      <c r="U929" s="272">
        <v>1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153</v>
      </c>
      <c r="B930" s="267" t="s">
        <v>1475</v>
      </c>
      <c r="C930" s="267" t="s">
        <v>94</v>
      </c>
      <c r="D930" s="267" t="s">
        <v>92</v>
      </c>
      <c r="E930" s="267" t="s">
        <v>0</v>
      </c>
      <c r="F930" s="268"/>
      <c r="G930" s="269"/>
      <c r="H930" s="269"/>
      <c r="I930" s="270"/>
      <c r="J930" s="268">
        <v>1</v>
      </c>
      <c r="K930" s="269">
        <v>83157</v>
      </c>
      <c r="L930" s="269">
        <v>85262</v>
      </c>
      <c r="M930" s="270">
        <v>1</v>
      </c>
      <c r="N930" s="268">
        <v>1</v>
      </c>
      <c r="O930" s="271"/>
      <c r="P930" s="271">
        <v>83157</v>
      </c>
      <c r="Q930" s="271"/>
      <c r="R930" s="271"/>
      <c r="S930" s="271">
        <v>-85262</v>
      </c>
      <c r="T930" s="271"/>
      <c r="U930" s="272">
        <v>1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153</v>
      </c>
      <c r="B931" s="267" t="s">
        <v>1476</v>
      </c>
      <c r="C931" s="267" t="s">
        <v>94</v>
      </c>
      <c r="D931" s="267" t="s">
        <v>92</v>
      </c>
      <c r="E931" s="267" t="s">
        <v>0</v>
      </c>
      <c r="F931" s="268"/>
      <c r="G931" s="269"/>
      <c r="H931" s="269"/>
      <c r="I931" s="270"/>
      <c r="J931" s="268">
        <v>1</v>
      </c>
      <c r="K931" s="269">
        <v>83458</v>
      </c>
      <c r="L931" s="269">
        <v>85184</v>
      </c>
      <c r="M931" s="270">
        <v>1</v>
      </c>
      <c r="N931" s="268">
        <v>1</v>
      </c>
      <c r="O931" s="271"/>
      <c r="P931" s="271">
        <v>83458</v>
      </c>
      <c r="Q931" s="271"/>
      <c r="R931" s="271"/>
      <c r="S931" s="271">
        <v>-85184</v>
      </c>
      <c r="T931" s="271"/>
      <c r="U931" s="272">
        <v>1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153</v>
      </c>
      <c r="B932" s="267" t="s">
        <v>1477</v>
      </c>
      <c r="C932" s="267" t="s">
        <v>94</v>
      </c>
      <c r="D932" s="267" t="s">
        <v>92</v>
      </c>
      <c r="E932" s="267" t="s">
        <v>0</v>
      </c>
      <c r="F932" s="268"/>
      <c r="G932" s="269"/>
      <c r="H932" s="269"/>
      <c r="I932" s="270"/>
      <c r="J932" s="268">
        <v>1</v>
      </c>
      <c r="K932" s="269">
        <v>83111</v>
      </c>
      <c r="L932" s="269">
        <v>85456</v>
      </c>
      <c r="M932" s="270">
        <v>1</v>
      </c>
      <c r="N932" s="268">
        <v>1</v>
      </c>
      <c r="O932" s="271"/>
      <c r="P932" s="271">
        <v>83111</v>
      </c>
      <c r="Q932" s="271"/>
      <c r="R932" s="271"/>
      <c r="S932" s="271">
        <v>-85456</v>
      </c>
      <c r="T932" s="271"/>
      <c r="U932" s="272">
        <v>1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153</v>
      </c>
      <c r="B933" s="267" t="s">
        <v>1478</v>
      </c>
      <c r="C933" s="267" t="s">
        <v>94</v>
      </c>
      <c r="D933" s="267" t="s">
        <v>92</v>
      </c>
      <c r="E933" s="267" t="s">
        <v>0</v>
      </c>
      <c r="F933" s="268"/>
      <c r="G933" s="269"/>
      <c r="H933" s="269"/>
      <c r="I933" s="270"/>
      <c r="J933" s="268">
        <v>1</v>
      </c>
      <c r="K933" s="269">
        <v>83588</v>
      </c>
      <c r="L933" s="269">
        <v>84960</v>
      </c>
      <c r="M933" s="270">
        <v>1</v>
      </c>
      <c r="N933" s="268">
        <v>1</v>
      </c>
      <c r="O933" s="271"/>
      <c r="P933" s="271">
        <v>83588</v>
      </c>
      <c r="Q933" s="271"/>
      <c r="R933" s="271"/>
      <c r="S933" s="271">
        <v>-84960</v>
      </c>
      <c r="T933" s="271"/>
      <c r="U933" s="272">
        <v>1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153</v>
      </c>
      <c r="B934" s="267" t="s">
        <v>1479</v>
      </c>
      <c r="C934" s="267" t="s">
        <v>94</v>
      </c>
      <c r="D934" s="267" t="s">
        <v>92</v>
      </c>
      <c r="E934" s="267" t="s">
        <v>0</v>
      </c>
      <c r="F934" s="268"/>
      <c r="G934" s="269"/>
      <c r="H934" s="269"/>
      <c r="I934" s="270"/>
      <c r="J934" s="268">
        <v>1</v>
      </c>
      <c r="K934" s="269">
        <v>83417</v>
      </c>
      <c r="L934" s="269">
        <v>85038</v>
      </c>
      <c r="M934" s="270">
        <v>1</v>
      </c>
      <c r="N934" s="268">
        <v>1</v>
      </c>
      <c r="O934" s="271"/>
      <c r="P934" s="271">
        <v>83417</v>
      </c>
      <c r="Q934" s="271"/>
      <c r="R934" s="271"/>
      <c r="S934" s="271">
        <v>-85038</v>
      </c>
      <c r="T934" s="271"/>
      <c r="U934" s="272">
        <v>1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153</v>
      </c>
      <c r="B935" s="267" t="s">
        <v>1480</v>
      </c>
      <c r="C935" s="267" t="s">
        <v>94</v>
      </c>
      <c r="D935" s="267" t="s">
        <v>92</v>
      </c>
      <c r="E935" s="267" t="s">
        <v>0</v>
      </c>
      <c r="F935" s="268"/>
      <c r="G935" s="269"/>
      <c r="H935" s="269"/>
      <c r="I935" s="270"/>
      <c r="J935" s="268">
        <v>1</v>
      </c>
      <c r="K935" s="269">
        <v>83332</v>
      </c>
      <c r="L935" s="269">
        <v>85193</v>
      </c>
      <c r="M935" s="270">
        <v>1</v>
      </c>
      <c r="N935" s="268">
        <v>1</v>
      </c>
      <c r="O935" s="271"/>
      <c r="P935" s="271">
        <v>83332</v>
      </c>
      <c r="Q935" s="271"/>
      <c r="R935" s="271"/>
      <c r="S935" s="271">
        <v>-85193</v>
      </c>
      <c r="T935" s="271"/>
      <c r="U935" s="272">
        <v>1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153</v>
      </c>
      <c r="B936" s="267" t="s">
        <v>1481</v>
      </c>
      <c r="C936" s="267" t="s">
        <v>94</v>
      </c>
      <c r="D936" s="267" t="s">
        <v>92</v>
      </c>
      <c r="E936" s="267" t="s">
        <v>0</v>
      </c>
      <c r="F936" s="268"/>
      <c r="G936" s="269"/>
      <c r="H936" s="269"/>
      <c r="I936" s="270"/>
      <c r="J936" s="268">
        <v>1</v>
      </c>
      <c r="K936" s="269">
        <v>83120</v>
      </c>
      <c r="L936" s="269">
        <v>85244</v>
      </c>
      <c r="M936" s="270">
        <v>1</v>
      </c>
      <c r="N936" s="268">
        <v>1</v>
      </c>
      <c r="O936" s="271"/>
      <c r="P936" s="271">
        <v>83120</v>
      </c>
      <c r="Q936" s="271"/>
      <c r="R936" s="271"/>
      <c r="S936" s="271">
        <v>-85244</v>
      </c>
      <c r="T936" s="271"/>
      <c r="U936" s="272">
        <v>1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153</v>
      </c>
      <c r="B937" s="267" t="s">
        <v>1482</v>
      </c>
      <c r="C937" s="267" t="s">
        <v>94</v>
      </c>
      <c r="D937" s="267" t="s">
        <v>92</v>
      </c>
      <c r="E937" s="267" t="s">
        <v>0</v>
      </c>
      <c r="F937" s="268"/>
      <c r="G937" s="269"/>
      <c r="H937" s="269"/>
      <c r="I937" s="270"/>
      <c r="J937" s="268">
        <v>1</v>
      </c>
      <c r="K937" s="269">
        <v>83554</v>
      </c>
      <c r="L937" s="269">
        <v>85060</v>
      </c>
      <c r="M937" s="270">
        <v>1</v>
      </c>
      <c r="N937" s="268">
        <v>1</v>
      </c>
      <c r="O937" s="271"/>
      <c r="P937" s="271">
        <v>83554</v>
      </c>
      <c r="Q937" s="271"/>
      <c r="R937" s="271"/>
      <c r="S937" s="271">
        <v>-85060</v>
      </c>
      <c r="T937" s="271"/>
      <c r="U937" s="272">
        <v>1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153</v>
      </c>
      <c r="B938" s="267" t="s">
        <v>1483</v>
      </c>
      <c r="C938" s="267" t="s">
        <v>94</v>
      </c>
      <c r="D938" s="267" t="s">
        <v>92</v>
      </c>
      <c r="E938" s="267" t="s">
        <v>0</v>
      </c>
      <c r="F938" s="268"/>
      <c r="G938" s="269"/>
      <c r="H938" s="269"/>
      <c r="I938" s="270"/>
      <c r="J938" s="268">
        <v>1</v>
      </c>
      <c r="K938" s="269">
        <v>82921</v>
      </c>
      <c r="L938" s="269">
        <v>85639</v>
      </c>
      <c r="M938" s="270">
        <v>1</v>
      </c>
      <c r="N938" s="268">
        <v>1</v>
      </c>
      <c r="O938" s="271"/>
      <c r="P938" s="271">
        <v>82921</v>
      </c>
      <c r="Q938" s="271"/>
      <c r="R938" s="271"/>
      <c r="S938" s="271">
        <v>-85639</v>
      </c>
      <c r="T938" s="271"/>
      <c r="U938" s="272">
        <v>1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153</v>
      </c>
      <c r="B939" s="267" t="s">
        <v>1484</v>
      </c>
      <c r="C939" s="267" t="s">
        <v>94</v>
      </c>
      <c r="D939" s="267" t="s">
        <v>92</v>
      </c>
      <c r="E939" s="267" t="s">
        <v>0</v>
      </c>
      <c r="F939" s="268"/>
      <c r="G939" s="269"/>
      <c r="H939" s="269"/>
      <c r="I939" s="270"/>
      <c r="J939" s="268">
        <v>1</v>
      </c>
      <c r="K939" s="269">
        <v>83330</v>
      </c>
      <c r="L939" s="269">
        <v>85190</v>
      </c>
      <c r="M939" s="270">
        <v>1</v>
      </c>
      <c r="N939" s="268">
        <v>1</v>
      </c>
      <c r="O939" s="271"/>
      <c r="P939" s="271">
        <v>83330</v>
      </c>
      <c r="Q939" s="271"/>
      <c r="R939" s="271"/>
      <c r="S939" s="271">
        <v>-85190</v>
      </c>
      <c r="T939" s="271"/>
      <c r="U939" s="272">
        <v>1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153</v>
      </c>
      <c r="B940" s="267" t="s">
        <v>1485</v>
      </c>
      <c r="C940" s="267" t="s">
        <v>94</v>
      </c>
      <c r="D940" s="267" t="s">
        <v>92</v>
      </c>
      <c r="E940" s="267" t="s">
        <v>0</v>
      </c>
      <c r="F940" s="268"/>
      <c r="G940" s="269"/>
      <c r="H940" s="269"/>
      <c r="I940" s="270"/>
      <c r="J940" s="268">
        <v>1</v>
      </c>
      <c r="K940" s="269">
        <v>82991</v>
      </c>
      <c r="L940" s="269">
        <v>85399</v>
      </c>
      <c r="M940" s="270">
        <v>1</v>
      </c>
      <c r="N940" s="268">
        <v>1</v>
      </c>
      <c r="O940" s="271"/>
      <c r="P940" s="271">
        <v>82991</v>
      </c>
      <c r="Q940" s="271"/>
      <c r="R940" s="271"/>
      <c r="S940" s="271">
        <v>-85399</v>
      </c>
      <c r="T940" s="271"/>
      <c r="U940" s="272">
        <v>1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153</v>
      </c>
      <c r="B941" s="267" t="s">
        <v>1486</v>
      </c>
      <c r="C941" s="267" t="s">
        <v>94</v>
      </c>
      <c r="D941" s="267" t="s">
        <v>92</v>
      </c>
      <c r="E941" s="267" t="s">
        <v>0</v>
      </c>
      <c r="F941" s="268"/>
      <c r="G941" s="269"/>
      <c r="H941" s="269"/>
      <c r="I941" s="270"/>
      <c r="J941" s="268">
        <v>1</v>
      </c>
      <c r="K941" s="269">
        <v>83031</v>
      </c>
      <c r="L941" s="269">
        <v>85563</v>
      </c>
      <c r="M941" s="270">
        <v>1</v>
      </c>
      <c r="N941" s="268">
        <v>1</v>
      </c>
      <c r="O941" s="271"/>
      <c r="P941" s="271">
        <v>83031</v>
      </c>
      <c r="Q941" s="271"/>
      <c r="R941" s="271"/>
      <c r="S941" s="271">
        <v>-85563</v>
      </c>
      <c r="T941" s="271"/>
      <c r="U941" s="272">
        <v>1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153</v>
      </c>
      <c r="B942" s="267" t="s">
        <v>1487</v>
      </c>
      <c r="C942" s="267" t="s">
        <v>94</v>
      </c>
      <c r="D942" s="267" t="s">
        <v>92</v>
      </c>
      <c r="E942" s="267" t="s">
        <v>0</v>
      </c>
      <c r="F942" s="268"/>
      <c r="G942" s="269"/>
      <c r="H942" s="269"/>
      <c r="I942" s="270"/>
      <c r="J942" s="268">
        <v>1</v>
      </c>
      <c r="K942" s="269">
        <v>83196</v>
      </c>
      <c r="L942" s="269">
        <v>85250</v>
      </c>
      <c r="M942" s="270">
        <v>1</v>
      </c>
      <c r="N942" s="268">
        <v>1</v>
      </c>
      <c r="O942" s="271"/>
      <c r="P942" s="271">
        <v>83196</v>
      </c>
      <c r="Q942" s="271"/>
      <c r="R942" s="271"/>
      <c r="S942" s="271">
        <v>-85250</v>
      </c>
      <c r="T942" s="271"/>
      <c r="U942" s="272">
        <v>1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153</v>
      </c>
      <c r="B943" s="267" t="s">
        <v>1488</v>
      </c>
      <c r="C943" s="267" t="s">
        <v>94</v>
      </c>
      <c r="D943" s="267" t="s">
        <v>92</v>
      </c>
      <c r="E943" s="267" t="s">
        <v>0</v>
      </c>
      <c r="F943" s="268"/>
      <c r="G943" s="269"/>
      <c r="H943" s="269"/>
      <c r="I943" s="270"/>
      <c r="J943" s="268">
        <v>1</v>
      </c>
      <c r="K943" s="269">
        <v>83164</v>
      </c>
      <c r="L943" s="269">
        <v>85457</v>
      </c>
      <c r="M943" s="270">
        <v>1</v>
      </c>
      <c r="N943" s="268">
        <v>1</v>
      </c>
      <c r="O943" s="271"/>
      <c r="P943" s="271">
        <v>83164</v>
      </c>
      <c r="Q943" s="271"/>
      <c r="R943" s="271"/>
      <c r="S943" s="271">
        <v>-85457</v>
      </c>
      <c r="T943" s="271"/>
      <c r="U943" s="272">
        <v>1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153</v>
      </c>
      <c r="B944" s="267" t="s">
        <v>1489</v>
      </c>
      <c r="C944" s="267" t="s">
        <v>94</v>
      </c>
      <c r="D944" s="267" t="s">
        <v>92</v>
      </c>
      <c r="E944" s="267" t="s">
        <v>0</v>
      </c>
      <c r="F944" s="268"/>
      <c r="G944" s="269"/>
      <c r="H944" s="269"/>
      <c r="I944" s="270"/>
      <c r="J944" s="268">
        <v>1</v>
      </c>
      <c r="K944" s="269">
        <v>83477</v>
      </c>
      <c r="L944" s="269">
        <v>85152</v>
      </c>
      <c r="M944" s="270">
        <v>1</v>
      </c>
      <c r="N944" s="268">
        <v>1</v>
      </c>
      <c r="O944" s="271"/>
      <c r="P944" s="271">
        <v>83477</v>
      </c>
      <c r="Q944" s="271"/>
      <c r="R944" s="271"/>
      <c r="S944" s="271">
        <v>-85152</v>
      </c>
      <c r="T944" s="271"/>
      <c r="U944" s="272">
        <v>1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153</v>
      </c>
      <c r="B945" s="267" t="s">
        <v>1490</v>
      </c>
      <c r="C945" s="267" t="s">
        <v>94</v>
      </c>
      <c r="D945" s="267" t="s">
        <v>92</v>
      </c>
      <c r="E945" s="267" t="s">
        <v>0</v>
      </c>
      <c r="F945" s="268"/>
      <c r="G945" s="269"/>
      <c r="H945" s="269"/>
      <c r="I945" s="270"/>
      <c r="J945" s="268">
        <v>1</v>
      </c>
      <c r="K945" s="269">
        <v>83445</v>
      </c>
      <c r="L945" s="269">
        <v>85235</v>
      </c>
      <c r="M945" s="270">
        <v>1</v>
      </c>
      <c r="N945" s="268">
        <v>1</v>
      </c>
      <c r="O945" s="271"/>
      <c r="P945" s="271">
        <v>83445</v>
      </c>
      <c r="Q945" s="271"/>
      <c r="R945" s="271"/>
      <c r="S945" s="271">
        <v>-85235</v>
      </c>
      <c r="T945" s="271"/>
      <c r="U945" s="272">
        <v>1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153</v>
      </c>
      <c r="B946" s="267" t="s">
        <v>1491</v>
      </c>
      <c r="C946" s="267" t="s">
        <v>94</v>
      </c>
      <c r="D946" s="267" t="s">
        <v>92</v>
      </c>
      <c r="E946" s="267" t="s">
        <v>0</v>
      </c>
      <c r="F946" s="268"/>
      <c r="G946" s="269"/>
      <c r="H946" s="269"/>
      <c r="I946" s="270"/>
      <c r="J946" s="268">
        <v>1</v>
      </c>
      <c r="K946" s="269">
        <v>83130</v>
      </c>
      <c r="L946" s="269">
        <v>85424</v>
      </c>
      <c r="M946" s="270">
        <v>1</v>
      </c>
      <c r="N946" s="268">
        <v>1</v>
      </c>
      <c r="O946" s="271"/>
      <c r="P946" s="271">
        <v>83130</v>
      </c>
      <c r="Q946" s="271"/>
      <c r="R946" s="271"/>
      <c r="S946" s="271">
        <v>-85424</v>
      </c>
      <c r="T946" s="271"/>
      <c r="U946" s="272">
        <v>1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153</v>
      </c>
      <c r="B947" s="267" t="s">
        <v>1492</v>
      </c>
      <c r="C947" s="267" t="s">
        <v>94</v>
      </c>
      <c r="D947" s="267" t="s">
        <v>92</v>
      </c>
      <c r="E947" s="267" t="s">
        <v>0</v>
      </c>
      <c r="F947" s="268"/>
      <c r="G947" s="269"/>
      <c r="H947" s="269"/>
      <c r="I947" s="270"/>
      <c r="J947" s="268">
        <v>1</v>
      </c>
      <c r="K947" s="269">
        <v>83216</v>
      </c>
      <c r="L947" s="269">
        <v>85394</v>
      </c>
      <c r="M947" s="270">
        <v>1</v>
      </c>
      <c r="N947" s="268">
        <v>1</v>
      </c>
      <c r="O947" s="271"/>
      <c r="P947" s="271">
        <v>83216</v>
      </c>
      <c r="Q947" s="271"/>
      <c r="R947" s="271"/>
      <c r="S947" s="271">
        <v>-85394</v>
      </c>
      <c r="T947" s="271"/>
      <c r="U947" s="272">
        <v>1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153</v>
      </c>
      <c r="B948" s="267" t="s">
        <v>1493</v>
      </c>
      <c r="C948" s="267" t="s">
        <v>94</v>
      </c>
      <c r="D948" s="267" t="s">
        <v>92</v>
      </c>
      <c r="E948" s="267" t="s">
        <v>0</v>
      </c>
      <c r="F948" s="268"/>
      <c r="G948" s="269"/>
      <c r="H948" s="269"/>
      <c r="I948" s="270"/>
      <c r="J948" s="268">
        <v>1</v>
      </c>
      <c r="K948" s="269">
        <v>82981</v>
      </c>
      <c r="L948" s="269">
        <v>85629</v>
      </c>
      <c r="M948" s="270">
        <v>1</v>
      </c>
      <c r="N948" s="268">
        <v>1</v>
      </c>
      <c r="O948" s="271"/>
      <c r="P948" s="271">
        <v>82981</v>
      </c>
      <c r="Q948" s="271"/>
      <c r="R948" s="271"/>
      <c r="S948" s="271">
        <v>-85629</v>
      </c>
      <c r="T948" s="271"/>
      <c r="U948" s="272">
        <v>1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153</v>
      </c>
      <c r="B949" s="267" t="s">
        <v>1494</v>
      </c>
      <c r="C949" s="267" t="s">
        <v>94</v>
      </c>
      <c r="D949" s="267" t="s">
        <v>92</v>
      </c>
      <c r="E949" s="267" t="s">
        <v>0</v>
      </c>
      <c r="F949" s="268"/>
      <c r="G949" s="269"/>
      <c r="H949" s="269"/>
      <c r="I949" s="270"/>
      <c r="J949" s="268">
        <v>1</v>
      </c>
      <c r="K949" s="269">
        <v>83148</v>
      </c>
      <c r="L949" s="269">
        <v>85441</v>
      </c>
      <c r="M949" s="270">
        <v>1</v>
      </c>
      <c r="N949" s="268">
        <v>1</v>
      </c>
      <c r="O949" s="271"/>
      <c r="P949" s="271">
        <v>83148</v>
      </c>
      <c r="Q949" s="271"/>
      <c r="R949" s="271"/>
      <c r="S949" s="271">
        <v>-85441</v>
      </c>
      <c r="T949" s="271"/>
      <c r="U949" s="272">
        <v>1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153</v>
      </c>
      <c r="B950" s="267" t="s">
        <v>1495</v>
      </c>
      <c r="C950" s="267" t="s">
        <v>94</v>
      </c>
      <c r="D950" s="267" t="s">
        <v>92</v>
      </c>
      <c r="E950" s="267" t="s">
        <v>0</v>
      </c>
      <c r="F950" s="268"/>
      <c r="G950" s="269"/>
      <c r="H950" s="269"/>
      <c r="I950" s="270"/>
      <c r="J950" s="268">
        <v>1</v>
      </c>
      <c r="K950" s="269">
        <v>83422</v>
      </c>
      <c r="L950" s="269">
        <v>85097</v>
      </c>
      <c r="M950" s="270">
        <v>1</v>
      </c>
      <c r="N950" s="268">
        <v>1</v>
      </c>
      <c r="O950" s="271"/>
      <c r="P950" s="271">
        <v>83422</v>
      </c>
      <c r="Q950" s="271"/>
      <c r="R950" s="271"/>
      <c r="S950" s="271">
        <v>-85097</v>
      </c>
      <c r="T950" s="271"/>
      <c r="U950" s="272">
        <v>1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153</v>
      </c>
      <c r="B951" s="267" t="s">
        <v>1496</v>
      </c>
      <c r="C951" s="267" t="s">
        <v>94</v>
      </c>
      <c r="D951" s="267" t="s">
        <v>92</v>
      </c>
      <c r="E951" s="267" t="s">
        <v>0</v>
      </c>
      <c r="F951" s="268"/>
      <c r="G951" s="269"/>
      <c r="H951" s="269"/>
      <c r="I951" s="270"/>
      <c r="J951" s="268">
        <v>1</v>
      </c>
      <c r="K951" s="269">
        <v>83575</v>
      </c>
      <c r="L951" s="269">
        <v>85011</v>
      </c>
      <c r="M951" s="270">
        <v>1</v>
      </c>
      <c r="N951" s="268">
        <v>1</v>
      </c>
      <c r="O951" s="271"/>
      <c r="P951" s="271">
        <v>83575</v>
      </c>
      <c r="Q951" s="271"/>
      <c r="R951" s="271"/>
      <c r="S951" s="271">
        <v>-85011</v>
      </c>
      <c r="T951" s="271"/>
      <c r="U951" s="272">
        <v>1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153</v>
      </c>
      <c r="B952" s="267" t="s">
        <v>1497</v>
      </c>
      <c r="C952" s="267" t="s">
        <v>94</v>
      </c>
      <c r="D952" s="267" t="s">
        <v>92</v>
      </c>
      <c r="E952" s="267" t="s">
        <v>0</v>
      </c>
      <c r="F952" s="268"/>
      <c r="G952" s="269"/>
      <c r="H952" s="269"/>
      <c r="I952" s="270"/>
      <c r="J952" s="268">
        <v>1</v>
      </c>
      <c r="K952" s="269">
        <v>83554</v>
      </c>
      <c r="L952" s="269">
        <v>84872</v>
      </c>
      <c r="M952" s="270">
        <v>1</v>
      </c>
      <c r="N952" s="268">
        <v>1</v>
      </c>
      <c r="O952" s="271"/>
      <c r="P952" s="271">
        <v>83554</v>
      </c>
      <c r="Q952" s="271"/>
      <c r="R952" s="271"/>
      <c r="S952" s="271">
        <v>-84872</v>
      </c>
      <c r="T952" s="271"/>
      <c r="U952" s="272">
        <v>1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153</v>
      </c>
      <c r="B953" s="267" t="s">
        <v>1498</v>
      </c>
      <c r="C953" s="267" t="s">
        <v>94</v>
      </c>
      <c r="D953" s="267" t="s">
        <v>92</v>
      </c>
      <c r="E953" s="267" t="s">
        <v>0</v>
      </c>
      <c r="F953" s="268"/>
      <c r="G953" s="269"/>
      <c r="H953" s="269"/>
      <c r="I953" s="270"/>
      <c r="J953" s="268">
        <v>1</v>
      </c>
      <c r="K953" s="269">
        <v>83300</v>
      </c>
      <c r="L953" s="269">
        <v>85212</v>
      </c>
      <c r="M953" s="270">
        <v>1</v>
      </c>
      <c r="N953" s="268">
        <v>1</v>
      </c>
      <c r="O953" s="271"/>
      <c r="P953" s="271">
        <v>83300</v>
      </c>
      <c r="Q953" s="271"/>
      <c r="R953" s="271"/>
      <c r="S953" s="271">
        <v>-85212</v>
      </c>
      <c r="T953" s="271"/>
      <c r="U953" s="272">
        <v>1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153</v>
      </c>
      <c r="B954" s="267" t="s">
        <v>1499</v>
      </c>
      <c r="C954" s="267" t="s">
        <v>94</v>
      </c>
      <c r="D954" s="267" t="s">
        <v>92</v>
      </c>
      <c r="E954" s="267" t="s">
        <v>0</v>
      </c>
      <c r="F954" s="268"/>
      <c r="G954" s="269"/>
      <c r="H954" s="269"/>
      <c r="I954" s="270"/>
      <c r="J954" s="268">
        <v>1</v>
      </c>
      <c r="K954" s="269">
        <v>83164</v>
      </c>
      <c r="L954" s="269">
        <v>85269</v>
      </c>
      <c r="M954" s="270">
        <v>1</v>
      </c>
      <c r="N954" s="268">
        <v>1</v>
      </c>
      <c r="O954" s="271"/>
      <c r="P954" s="271">
        <v>83164</v>
      </c>
      <c r="Q954" s="271"/>
      <c r="R954" s="271"/>
      <c r="S954" s="271">
        <v>-85269</v>
      </c>
      <c r="T954" s="271"/>
      <c r="U954" s="272">
        <v>1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153</v>
      </c>
      <c r="B955" s="267" t="s">
        <v>1500</v>
      </c>
      <c r="C955" s="267" t="s">
        <v>94</v>
      </c>
      <c r="D955" s="267" t="s">
        <v>92</v>
      </c>
      <c r="E955" s="267" t="s">
        <v>0</v>
      </c>
      <c r="F955" s="268"/>
      <c r="G955" s="269"/>
      <c r="H955" s="269"/>
      <c r="I955" s="270"/>
      <c r="J955" s="268">
        <v>1</v>
      </c>
      <c r="K955" s="269">
        <v>83465</v>
      </c>
      <c r="L955" s="269">
        <v>85191</v>
      </c>
      <c r="M955" s="270">
        <v>1</v>
      </c>
      <c r="N955" s="268">
        <v>1</v>
      </c>
      <c r="O955" s="271"/>
      <c r="P955" s="271">
        <v>83465</v>
      </c>
      <c r="Q955" s="271"/>
      <c r="R955" s="271"/>
      <c r="S955" s="271">
        <v>-85191</v>
      </c>
      <c r="T955" s="271"/>
      <c r="U955" s="272">
        <v>1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153</v>
      </c>
      <c r="B956" s="267" t="s">
        <v>1501</v>
      </c>
      <c r="C956" s="267" t="s">
        <v>94</v>
      </c>
      <c r="D956" s="267" t="s">
        <v>92</v>
      </c>
      <c r="E956" s="267" t="s">
        <v>0</v>
      </c>
      <c r="F956" s="268"/>
      <c r="G956" s="269"/>
      <c r="H956" s="269"/>
      <c r="I956" s="270"/>
      <c r="J956" s="268">
        <v>1</v>
      </c>
      <c r="K956" s="269">
        <v>83118</v>
      </c>
      <c r="L956" s="269">
        <v>85463</v>
      </c>
      <c r="M956" s="270">
        <v>1</v>
      </c>
      <c r="N956" s="268">
        <v>1</v>
      </c>
      <c r="O956" s="271"/>
      <c r="P956" s="271">
        <v>83118</v>
      </c>
      <c r="Q956" s="271"/>
      <c r="R956" s="271"/>
      <c r="S956" s="271">
        <v>-85463</v>
      </c>
      <c r="T956" s="271"/>
      <c r="U956" s="272">
        <v>1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153</v>
      </c>
      <c r="B957" s="267" t="s">
        <v>1502</v>
      </c>
      <c r="C957" s="267" t="s">
        <v>94</v>
      </c>
      <c r="D957" s="267" t="s">
        <v>92</v>
      </c>
      <c r="E957" s="267" t="s">
        <v>0</v>
      </c>
      <c r="F957" s="268"/>
      <c r="G957" s="269"/>
      <c r="H957" s="269"/>
      <c r="I957" s="270"/>
      <c r="J957" s="268">
        <v>1</v>
      </c>
      <c r="K957" s="269">
        <v>83595</v>
      </c>
      <c r="L957" s="269">
        <v>84967</v>
      </c>
      <c r="M957" s="270">
        <v>1</v>
      </c>
      <c r="N957" s="268">
        <v>1</v>
      </c>
      <c r="O957" s="271"/>
      <c r="P957" s="271">
        <v>83595</v>
      </c>
      <c r="Q957" s="271"/>
      <c r="R957" s="271"/>
      <c r="S957" s="271">
        <v>-84967</v>
      </c>
      <c r="T957" s="271"/>
      <c r="U957" s="272">
        <v>1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153</v>
      </c>
      <c r="B958" s="267" t="s">
        <v>1503</v>
      </c>
      <c r="C958" s="267" t="s">
        <v>94</v>
      </c>
      <c r="D958" s="267" t="s">
        <v>92</v>
      </c>
      <c r="E958" s="267" t="s">
        <v>0</v>
      </c>
      <c r="F958" s="268"/>
      <c r="G958" s="269"/>
      <c r="H958" s="269"/>
      <c r="I958" s="270"/>
      <c r="J958" s="268">
        <v>1</v>
      </c>
      <c r="K958" s="269">
        <v>83427</v>
      </c>
      <c r="L958" s="269">
        <v>85048</v>
      </c>
      <c r="M958" s="270">
        <v>1</v>
      </c>
      <c r="N958" s="268">
        <v>1</v>
      </c>
      <c r="O958" s="271"/>
      <c r="P958" s="271">
        <v>83427</v>
      </c>
      <c r="Q958" s="271"/>
      <c r="R958" s="271"/>
      <c r="S958" s="271">
        <v>-85048</v>
      </c>
      <c r="T958" s="271"/>
      <c r="U958" s="272">
        <v>1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153</v>
      </c>
      <c r="B959" s="267" t="s">
        <v>1504</v>
      </c>
      <c r="C959" s="267" t="s">
        <v>94</v>
      </c>
      <c r="D959" s="267" t="s">
        <v>92</v>
      </c>
      <c r="E959" s="267" t="s">
        <v>0</v>
      </c>
      <c r="F959" s="268"/>
      <c r="G959" s="269"/>
      <c r="H959" s="269"/>
      <c r="I959" s="270"/>
      <c r="J959" s="268">
        <v>1</v>
      </c>
      <c r="K959" s="269">
        <v>83342</v>
      </c>
      <c r="L959" s="269">
        <v>85203</v>
      </c>
      <c r="M959" s="270">
        <v>1</v>
      </c>
      <c r="N959" s="268">
        <v>1</v>
      </c>
      <c r="O959" s="271"/>
      <c r="P959" s="271">
        <v>83342</v>
      </c>
      <c r="Q959" s="271"/>
      <c r="R959" s="271"/>
      <c r="S959" s="271">
        <v>-85203</v>
      </c>
      <c r="T959" s="271"/>
      <c r="U959" s="272">
        <v>1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153</v>
      </c>
      <c r="B960" s="267" t="s">
        <v>1505</v>
      </c>
      <c r="C960" s="267" t="s">
        <v>94</v>
      </c>
      <c r="D960" s="267" t="s">
        <v>92</v>
      </c>
      <c r="E960" s="267" t="s">
        <v>0</v>
      </c>
      <c r="F960" s="268"/>
      <c r="G960" s="269"/>
      <c r="H960" s="269"/>
      <c r="I960" s="270"/>
      <c r="J960" s="268">
        <v>1</v>
      </c>
      <c r="K960" s="269">
        <v>83160</v>
      </c>
      <c r="L960" s="269">
        <v>85214</v>
      </c>
      <c r="M960" s="270">
        <v>1</v>
      </c>
      <c r="N960" s="268">
        <v>1</v>
      </c>
      <c r="O960" s="271"/>
      <c r="P960" s="271">
        <v>83160</v>
      </c>
      <c r="Q960" s="271"/>
      <c r="R960" s="271"/>
      <c r="S960" s="271">
        <v>-85214</v>
      </c>
      <c r="T960" s="271"/>
      <c r="U960" s="272">
        <v>1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153</v>
      </c>
      <c r="B961" s="267" t="s">
        <v>1506</v>
      </c>
      <c r="C961" s="267" t="s">
        <v>94</v>
      </c>
      <c r="D961" s="267" t="s">
        <v>92</v>
      </c>
      <c r="E961" s="267" t="s">
        <v>0</v>
      </c>
      <c r="F961" s="268"/>
      <c r="G961" s="269"/>
      <c r="H961" s="269"/>
      <c r="I961" s="270"/>
      <c r="J961" s="268">
        <v>1</v>
      </c>
      <c r="K961" s="269">
        <v>83571</v>
      </c>
      <c r="L961" s="269">
        <v>85046</v>
      </c>
      <c r="M961" s="270">
        <v>1</v>
      </c>
      <c r="N961" s="268">
        <v>1</v>
      </c>
      <c r="O961" s="271"/>
      <c r="P961" s="271">
        <v>83571</v>
      </c>
      <c r="Q961" s="271"/>
      <c r="R961" s="271"/>
      <c r="S961" s="271">
        <v>-85046</v>
      </c>
      <c r="T961" s="271"/>
      <c r="U961" s="272">
        <v>1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153</v>
      </c>
      <c r="B962" s="267" t="s">
        <v>1507</v>
      </c>
      <c r="C962" s="267" t="s">
        <v>94</v>
      </c>
      <c r="D962" s="267" t="s">
        <v>92</v>
      </c>
      <c r="E962" s="267" t="s">
        <v>0</v>
      </c>
      <c r="F962" s="268"/>
      <c r="G962" s="269"/>
      <c r="H962" s="269"/>
      <c r="I962" s="270"/>
      <c r="J962" s="268">
        <v>1</v>
      </c>
      <c r="K962" s="269">
        <v>82961</v>
      </c>
      <c r="L962" s="269">
        <v>85609</v>
      </c>
      <c r="M962" s="270">
        <v>1</v>
      </c>
      <c r="N962" s="268">
        <v>1</v>
      </c>
      <c r="O962" s="271"/>
      <c r="P962" s="271">
        <v>82961</v>
      </c>
      <c r="Q962" s="271"/>
      <c r="R962" s="271"/>
      <c r="S962" s="271">
        <v>-85609</v>
      </c>
      <c r="T962" s="271"/>
      <c r="U962" s="272">
        <v>1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153</v>
      </c>
      <c r="B963" s="267" t="s">
        <v>1508</v>
      </c>
      <c r="C963" s="267" t="s">
        <v>94</v>
      </c>
      <c r="D963" s="267" t="s">
        <v>92</v>
      </c>
      <c r="E963" s="267" t="s">
        <v>0</v>
      </c>
      <c r="F963" s="268"/>
      <c r="G963" s="269"/>
      <c r="H963" s="269"/>
      <c r="I963" s="270"/>
      <c r="J963" s="268">
        <v>1</v>
      </c>
      <c r="K963" s="269">
        <v>83347</v>
      </c>
      <c r="L963" s="269">
        <v>85176</v>
      </c>
      <c r="M963" s="270">
        <v>1</v>
      </c>
      <c r="N963" s="268">
        <v>1</v>
      </c>
      <c r="O963" s="271"/>
      <c r="P963" s="271">
        <v>83347</v>
      </c>
      <c r="Q963" s="271"/>
      <c r="R963" s="271"/>
      <c r="S963" s="271">
        <v>-85176</v>
      </c>
      <c r="T963" s="271"/>
      <c r="U963" s="272">
        <v>1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153</v>
      </c>
      <c r="B964" s="267" t="s">
        <v>1509</v>
      </c>
      <c r="C964" s="267" t="s">
        <v>94</v>
      </c>
      <c r="D964" s="267" t="s">
        <v>92</v>
      </c>
      <c r="E964" s="267" t="s">
        <v>0</v>
      </c>
      <c r="F964" s="268"/>
      <c r="G964" s="269"/>
      <c r="H964" s="269"/>
      <c r="I964" s="270"/>
      <c r="J964" s="268">
        <v>1</v>
      </c>
      <c r="K964" s="269">
        <v>82951</v>
      </c>
      <c r="L964" s="269">
        <v>85429</v>
      </c>
      <c r="M964" s="270">
        <v>1</v>
      </c>
      <c r="N964" s="268">
        <v>1</v>
      </c>
      <c r="O964" s="271"/>
      <c r="P964" s="271">
        <v>82951</v>
      </c>
      <c r="Q964" s="271"/>
      <c r="R964" s="271"/>
      <c r="S964" s="271">
        <v>-85429</v>
      </c>
      <c r="T964" s="271"/>
      <c r="U964" s="272">
        <v>1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153</v>
      </c>
      <c r="B965" s="267" t="s">
        <v>1510</v>
      </c>
      <c r="C965" s="267" t="s">
        <v>94</v>
      </c>
      <c r="D965" s="267" t="s">
        <v>92</v>
      </c>
      <c r="E965" s="267" t="s">
        <v>0</v>
      </c>
      <c r="F965" s="268"/>
      <c r="G965" s="269"/>
      <c r="H965" s="269"/>
      <c r="I965" s="270"/>
      <c r="J965" s="268">
        <v>1</v>
      </c>
      <c r="K965" s="269">
        <v>83031</v>
      </c>
      <c r="L965" s="269">
        <v>85563</v>
      </c>
      <c r="M965" s="270">
        <v>1</v>
      </c>
      <c r="N965" s="268">
        <v>1</v>
      </c>
      <c r="O965" s="271"/>
      <c r="P965" s="271">
        <v>83031</v>
      </c>
      <c r="Q965" s="271"/>
      <c r="R965" s="271"/>
      <c r="S965" s="271">
        <v>-85563</v>
      </c>
      <c r="T965" s="271"/>
      <c r="U965" s="272">
        <v>1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153</v>
      </c>
      <c r="B966" s="267" t="s">
        <v>1511</v>
      </c>
      <c r="C966" s="267" t="s">
        <v>94</v>
      </c>
      <c r="D966" s="267" t="s">
        <v>92</v>
      </c>
      <c r="E966" s="267" t="s">
        <v>0</v>
      </c>
      <c r="F966" s="268"/>
      <c r="G966" s="269"/>
      <c r="H966" s="269"/>
      <c r="I966" s="270"/>
      <c r="J966" s="268">
        <v>1</v>
      </c>
      <c r="K966" s="269">
        <v>83166</v>
      </c>
      <c r="L966" s="269">
        <v>85290</v>
      </c>
      <c r="M966" s="270">
        <v>1</v>
      </c>
      <c r="N966" s="268">
        <v>1</v>
      </c>
      <c r="O966" s="271"/>
      <c r="P966" s="271">
        <v>83166</v>
      </c>
      <c r="Q966" s="271"/>
      <c r="R966" s="271"/>
      <c r="S966" s="271">
        <v>-85290</v>
      </c>
      <c r="T966" s="271"/>
      <c r="U966" s="272">
        <v>1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153</v>
      </c>
      <c r="B967" s="267" t="s">
        <v>1512</v>
      </c>
      <c r="C967" s="267" t="s">
        <v>94</v>
      </c>
      <c r="D967" s="267" t="s">
        <v>92</v>
      </c>
      <c r="E967" s="267" t="s">
        <v>0</v>
      </c>
      <c r="F967" s="268"/>
      <c r="G967" s="269"/>
      <c r="H967" s="269"/>
      <c r="I967" s="270"/>
      <c r="J967" s="268">
        <v>1</v>
      </c>
      <c r="K967" s="269">
        <v>83141</v>
      </c>
      <c r="L967" s="269">
        <v>85473</v>
      </c>
      <c r="M967" s="270">
        <v>1</v>
      </c>
      <c r="N967" s="268">
        <v>1</v>
      </c>
      <c r="O967" s="271"/>
      <c r="P967" s="271">
        <v>83141</v>
      </c>
      <c r="Q967" s="271"/>
      <c r="R967" s="271"/>
      <c r="S967" s="271">
        <v>-85473</v>
      </c>
      <c r="T967" s="271"/>
      <c r="U967" s="272">
        <v>1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153</v>
      </c>
      <c r="B968" s="267" t="s">
        <v>1513</v>
      </c>
      <c r="C968" s="267" t="s">
        <v>94</v>
      </c>
      <c r="D968" s="267" t="s">
        <v>92</v>
      </c>
      <c r="E968" s="267" t="s">
        <v>0</v>
      </c>
      <c r="F968" s="268"/>
      <c r="G968" s="269"/>
      <c r="H968" s="269"/>
      <c r="I968" s="270"/>
      <c r="J968" s="268">
        <v>1</v>
      </c>
      <c r="K968" s="269">
        <v>83437</v>
      </c>
      <c r="L968" s="269">
        <v>85182</v>
      </c>
      <c r="M968" s="270">
        <v>1</v>
      </c>
      <c r="N968" s="268">
        <v>1</v>
      </c>
      <c r="O968" s="271"/>
      <c r="P968" s="271">
        <v>83437</v>
      </c>
      <c r="Q968" s="271"/>
      <c r="R968" s="271"/>
      <c r="S968" s="271">
        <v>-85182</v>
      </c>
      <c r="T968" s="271"/>
      <c r="U968" s="272">
        <v>1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153</v>
      </c>
      <c r="B969" s="267" t="s">
        <v>1514</v>
      </c>
      <c r="C969" s="267" t="s">
        <v>94</v>
      </c>
      <c r="D969" s="267" t="s">
        <v>92</v>
      </c>
      <c r="E969" s="267" t="s">
        <v>0</v>
      </c>
      <c r="F969" s="268"/>
      <c r="G969" s="269"/>
      <c r="H969" s="269"/>
      <c r="I969" s="270"/>
      <c r="J969" s="268">
        <v>1</v>
      </c>
      <c r="K969" s="269">
        <v>83392</v>
      </c>
      <c r="L969" s="269">
        <v>85291</v>
      </c>
      <c r="M969" s="270">
        <v>1</v>
      </c>
      <c r="N969" s="268">
        <v>1</v>
      </c>
      <c r="O969" s="271"/>
      <c r="P969" s="271">
        <v>83392</v>
      </c>
      <c r="Q969" s="271"/>
      <c r="R969" s="271"/>
      <c r="S969" s="271">
        <v>-85291</v>
      </c>
      <c r="T969" s="271"/>
      <c r="U969" s="272">
        <v>1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153</v>
      </c>
      <c r="B970" s="267" t="s">
        <v>1515</v>
      </c>
      <c r="C970" s="267" t="s">
        <v>94</v>
      </c>
      <c r="D970" s="267" t="s">
        <v>92</v>
      </c>
      <c r="E970" s="267" t="s">
        <v>0</v>
      </c>
      <c r="F970" s="268"/>
      <c r="G970" s="269"/>
      <c r="H970" s="269"/>
      <c r="I970" s="270"/>
      <c r="J970" s="268">
        <v>1</v>
      </c>
      <c r="K970" s="269">
        <v>83090</v>
      </c>
      <c r="L970" s="269">
        <v>85454</v>
      </c>
      <c r="M970" s="270">
        <v>1</v>
      </c>
      <c r="N970" s="268">
        <v>1</v>
      </c>
      <c r="O970" s="271"/>
      <c r="P970" s="271">
        <v>83090</v>
      </c>
      <c r="Q970" s="271"/>
      <c r="R970" s="271"/>
      <c r="S970" s="271">
        <v>-85454</v>
      </c>
      <c r="T970" s="271"/>
      <c r="U970" s="272">
        <v>1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153</v>
      </c>
      <c r="B971" s="267" t="s">
        <v>1516</v>
      </c>
      <c r="C971" s="267" t="s">
        <v>94</v>
      </c>
      <c r="D971" s="267" t="s">
        <v>92</v>
      </c>
      <c r="E971" s="267" t="s">
        <v>0</v>
      </c>
      <c r="F971" s="268"/>
      <c r="G971" s="269"/>
      <c r="H971" s="269"/>
      <c r="I971" s="270"/>
      <c r="J971" s="268">
        <v>1</v>
      </c>
      <c r="K971" s="269">
        <v>83216</v>
      </c>
      <c r="L971" s="269">
        <v>85394</v>
      </c>
      <c r="M971" s="270">
        <v>1</v>
      </c>
      <c r="N971" s="268">
        <v>1</v>
      </c>
      <c r="O971" s="271"/>
      <c r="P971" s="271">
        <v>83216</v>
      </c>
      <c r="Q971" s="271"/>
      <c r="R971" s="271"/>
      <c r="S971" s="271">
        <v>-85394</v>
      </c>
      <c r="T971" s="271"/>
      <c r="U971" s="272">
        <v>1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153</v>
      </c>
      <c r="B972" s="267" t="s">
        <v>1517</v>
      </c>
      <c r="C972" s="267" t="s">
        <v>94</v>
      </c>
      <c r="D972" s="267" t="s">
        <v>92</v>
      </c>
      <c r="E972" s="267" t="s">
        <v>0</v>
      </c>
      <c r="F972" s="268"/>
      <c r="G972" s="269"/>
      <c r="H972" s="269"/>
      <c r="I972" s="270"/>
      <c r="J972" s="268">
        <v>1</v>
      </c>
      <c r="K972" s="269">
        <v>82951</v>
      </c>
      <c r="L972" s="269">
        <v>85669</v>
      </c>
      <c r="M972" s="270">
        <v>1</v>
      </c>
      <c r="N972" s="268">
        <v>1</v>
      </c>
      <c r="O972" s="271"/>
      <c r="P972" s="271">
        <v>82951</v>
      </c>
      <c r="Q972" s="271"/>
      <c r="R972" s="271"/>
      <c r="S972" s="271">
        <v>-85669</v>
      </c>
      <c r="T972" s="271"/>
      <c r="U972" s="272">
        <v>1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153</v>
      </c>
      <c r="B973" s="267" t="s">
        <v>1518</v>
      </c>
      <c r="C973" s="267" t="s">
        <v>94</v>
      </c>
      <c r="D973" s="267" t="s">
        <v>92</v>
      </c>
      <c r="E973" s="267" t="s">
        <v>0</v>
      </c>
      <c r="F973" s="268"/>
      <c r="G973" s="269"/>
      <c r="H973" s="269"/>
      <c r="I973" s="270"/>
      <c r="J973" s="268">
        <v>1</v>
      </c>
      <c r="K973" s="269">
        <v>83125</v>
      </c>
      <c r="L973" s="269">
        <v>85457</v>
      </c>
      <c r="M973" s="270">
        <v>1</v>
      </c>
      <c r="N973" s="268">
        <v>1</v>
      </c>
      <c r="O973" s="271"/>
      <c r="P973" s="271">
        <v>83125</v>
      </c>
      <c r="Q973" s="271"/>
      <c r="R973" s="271"/>
      <c r="S973" s="271">
        <v>-85457</v>
      </c>
      <c r="T973" s="271"/>
      <c r="U973" s="272">
        <v>1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153</v>
      </c>
      <c r="B974" s="267" t="s">
        <v>1519</v>
      </c>
      <c r="C974" s="267" t="s">
        <v>94</v>
      </c>
      <c r="D974" s="267" t="s">
        <v>92</v>
      </c>
      <c r="E974" s="267" t="s">
        <v>0</v>
      </c>
      <c r="F974" s="268"/>
      <c r="G974" s="269"/>
      <c r="H974" s="269"/>
      <c r="I974" s="270"/>
      <c r="J974" s="268">
        <v>1</v>
      </c>
      <c r="K974" s="269">
        <v>83382</v>
      </c>
      <c r="L974" s="269">
        <v>85127</v>
      </c>
      <c r="M974" s="270">
        <v>1</v>
      </c>
      <c r="N974" s="268">
        <v>1</v>
      </c>
      <c r="O974" s="271"/>
      <c r="P974" s="271">
        <v>83382</v>
      </c>
      <c r="Q974" s="271"/>
      <c r="R974" s="271"/>
      <c r="S974" s="271">
        <v>-85127</v>
      </c>
      <c r="T974" s="271"/>
      <c r="U974" s="272">
        <v>1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153</v>
      </c>
      <c r="B975" s="267" t="s">
        <v>1520</v>
      </c>
      <c r="C975" s="267" t="s">
        <v>94</v>
      </c>
      <c r="D975" s="267" t="s">
        <v>92</v>
      </c>
      <c r="E975" s="267" t="s">
        <v>0</v>
      </c>
      <c r="F975" s="268"/>
      <c r="G975" s="269"/>
      <c r="H975" s="269"/>
      <c r="I975" s="270"/>
      <c r="J975" s="268">
        <v>1</v>
      </c>
      <c r="K975" s="269">
        <v>83522</v>
      </c>
      <c r="L975" s="269">
        <v>85067</v>
      </c>
      <c r="M975" s="270">
        <v>1</v>
      </c>
      <c r="N975" s="268">
        <v>1</v>
      </c>
      <c r="O975" s="271"/>
      <c r="P975" s="271">
        <v>83522</v>
      </c>
      <c r="Q975" s="271"/>
      <c r="R975" s="271"/>
      <c r="S975" s="271">
        <v>-85067</v>
      </c>
      <c r="T975" s="271"/>
      <c r="U975" s="272">
        <v>1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153</v>
      </c>
      <c r="B976" s="267" t="s">
        <v>1521</v>
      </c>
      <c r="C976" s="267" t="s">
        <v>94</v>
      </c>
      <c r="D976" s="267" t="s">
        <v>92</v>
      </c>
      <c r="E976" s="267" t="s">
        <v>0</v>
      </c>
      <c r="F976" s="268"/>
      <c r="G976" s="269"/>
      <c r="H976" s="269"/>
      <c r="I976" s="270"/>
      <c r="J976" s="268">
        <v>1</v>
      </c>
      <c r="K976" s="269">
        <v>83408</v>
      </c>
      <c r="L976" s="269">
        <v>85080</v>
      </c>
      <c r="M976" s="270">
        <v>1</v>
      </c>
      <c r="N976" s="268">
        <v>1</v>
      </c>
      <c r="O976" s="271"/>
      <c r="P976" s="271">
        <v>83408</v>
      </c>
      <c r="Q976" s="271"/>
      <c r="R976" s="271"/>
      <c r="S976" s="271">
        <v>-85080</v>
      </c>
      <c r="T976" s="271"/>
      <c r="U976" s="272">
        <v>1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153</v>
      </c>
      <c r="B977" s="267" t="s">
        <v>1522</v>
      </c>
      <c r="C977" s="267" t="s">
        <v>94</v>
      </c>
      <c r="D977" s="267" t="s">
        <v>92</v>
      </c>
      <c r="E977" s="267" t="s">
        <v>0</v>
      </c>
      <c r="F977" s="268"/>
      <c r="G977" s="269"/>
      <c r="H977" s="269"/>
      <c r="I977" s="270"/>
      <c r="J977" s="268">
        <v>1</v>
      </c>
      <c r="K977" s="269">
        <v>83323</v>
      </c>
      <c r="L977" s="269">
        <v>85235</v>
      </c>
      <c r="M977" s="270">
        <v>1</v>
      </c>
      <c r="N977" s="268">
        <v>1</v>
      </c>
      <c r="O977" s="271"/>
      <c r="P977" s="271">
        <v>83323</v>
      </c>
      <c r="Q977" s="271"/>
      <c r="R977" s="271"/>
      <c r="S977" s="271">
        <v>-85235</v>
      </c>
      <c r="T977" s="271"/>
      <c r="U977" s="272">
        <v>1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153</v>
      </c>
      <c r="B978" s="267" t="s">
        <v>1523</v>
      </c>
      <c r="C978" s="267" t="s">
        <v>94</v>
      </c>
      <c r="D978" s="267" t="s">
        <v>92</v>
      </c>
      <c r="E978" s="267" t="s">
        <v>0</v>
      </c>
      <c r="F978" s="268"/>
      <c r="G978" s="269"/>
      <c r="H978" s="269"/>
      <c r="I978" s="270"/>
      <c r="J978" s="268">
        <v>1</v>
      </c>
      <c r="K978" s="269">
        <v>82981</v>
      </c>
      <c r="L978" s="269">
        <v>85459</v>
      </c>
      <c r="M978" s="270">
        <v>1</v>
      </c>
      <c r="N978" s="268">
        <v>1</v>
      </c>
      <c r="O978" s="271"/>
      <c r="P978" s="271">
        <v>82981</v>
      </c>
      <c r="Q978" s="271"/>
      <c r="R978" s="271"/>
      <c r="S978" s="271">
        <v>-85459</v>
      </c>
      <c r="T978" s="271"/>
      <c r="U978" s="272">
        <v>1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153</v>
      </c>
      <c r="B979" s="267" t="s">
        <v>1524</v>
      </c>
      <c r="C979" s="267" t="s">
        <v>94</v>
      </c>
      <c r="D979" s="267" t="s">
        <v>92</v>
      </c>
      <c r="E979" s="267" t="s">
        <v>0</v>
      </c>
      <c r="F979" s="268"/>
      <c r="G979" s="269"/>
      <c r="H979" s="269"/>
      <c r="I979" s="270"/>
      <c r="J979" s="268">
        <v>1</v>
      </c>
      <c r="K979" s="269">
        <v>83415</v>
      </c>
      <c r="L979" s="269">
        <v>85275</v>
      </c>
      <c r="M979" s="270">
        <v>1</v>
      </c>
      <c r="N979" s="268">
        <v>1</v>
      </c>
      <c r="O979" s="271"/>
      <c r="P979" s="271">
        <v>83415</v>
      </c>
      <c r="Q979" s="271"/>
      <c r="R979" s="271"/>
      <c r="S979" s="271">
        <v>-85275</v>
      </c>
      <c r="T979" s="271"/>
      <c r="U979" s="272">
        <v>1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153</v>
      </c>
      <c r="B980" s="267" t="s">
        <v>1525</v>
      </c>
      <c r="C980" s="267" t="s">
        <v>94</v>
      </c>
      <c r="D980" s="267" t="s">
        <v>92</v>
      </c>
      <c r="E980" s="267" t="s">
        <v>0</v>
      </c>
      <c r="F980" s="268"/>
      <c r="G980" s="269"/>
      <c r="H980" s="269"/>
      <c r="I980" s="270"/>
      <c r="J980" s="268">
        <v>1</v>
      </c>
      <c r="K980" s="269">
        <v>82951</v>
      </c>
      <c r="L980" s="269">
        <v>85669</v>
      </c>
      <c r="M980" s="270">
        <v>1</v>
      </c>
      <c r="N980" s="268">
        <v>1</v>
      </c>
      <c r="O980" s="271"/>
      <c r="P980" s="271">
        <v>82951</v>
      </c>
      <c r="Q980" s="271"/>
      <c r="R980" s="271"/>
      <c r="S980" s="271">
        <v>-85669</v>
      </c>
      <c r="T980" s="271"/>
      <c r="U980" s="272">
        <v>1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153</v>
      </c>
      <c r="B981" s="267" t="s">
        <v>1526</v>
      </c>
      <c r="C981" s="267" t="s">
        <v>94</v>
      </c>
      <c r="D981" s="267" t="s">
        <v>92</v>
      </c>
      <c r="E981" s="267" t="s">
        <v>0</v>
      </c>
      <c r="F981" s="268"/>
      <c r="G981" s="269"/>
      <c r="H981" s="269"/>
      <c r="I981" s="270"/>
      <c r="J981" s="268">
        <v>1</v>
      </c>
      <c r="K981" s="269">
        <v>83360</v>
      </c>
      <c r="L981" s="269">
        <v>85220</v>
      </c>
      <c r="M981" s="270">
        <v>1</v>
      </c>
      <c r="N981" s="268">
        <v>1</v>
      </c>
      <c r="O981" s="271"/>
      <c r="P981" s="271">
        <v>83360</v>
      </c>
      <c r="Q981" s="271"/>
      <c r="R981" s="271"/>
      <c r="S981" s="271">
        <v>-85220</v>
      </c>
      <c r="T981" s="271"/>
      <c r="U981" s="272">
        <v>1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153</v>
      </c>
      <c r="B982" s="267" t="s">
        <v>1527</v>
      </c>
      <c r="C982" s="267" t="s">
        <v>94</v>
      </c>
      <c r="D982" s="267" t="s">
        <v>92</v>
      </c>
      <c r="E982" s="267" t="s">
        <v>0</v>
      </c>
      <c r="F982" s="268"/>
      <c r="G982" s="269"/>
      <c r="H982" s="269"/>
      <c r="I982" s="270"/>
      <c r="J982" s="268">
        <v>1</v>
      </c>
      <c r="K982" s="269">
        <v>83445</v>
      </c>
      <c r="L982" s="269">
        <v>85047</v>
      </c>
      <c r="M982" s="270">
        <v>1</v>
      </c>
      <c r="N982" s="268">
        <v>1</v>
      </c>
      <c r="O982" s="271"/>
      <c r="P982" s="271">
        <v>83445</v>
      </c>
      <c r="Q982" s="271"/>
      <c r="R982" s="271"/>
      <c r="S982" s="271">
        <v>-85047</v>
      </c>
      <c r="T982" s="271"/>
      <c r="U982" s="272">
        <v>1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153</v>
      </c>
      <c r="B983" s="267" t="s">
        <v>1528</v>
      </c>
      <c r="C983" s="267" t="s">
        <v>94</v>
      </c>
      <c r="D983" s="267" t="s">
        <v>92</v>
      </c>
      <c r="E983" s="267" t="s">
        <v>0</v>
      </c>
      <c r="F983" s="268"/>
      <c r="G983" s="269"/>
      <c r="H983" s="269"/>
      <c r="I983" s="270"/>
      <c r="J983" s="268">
        <v>1</v>
      </c>
      <c r="K983" s="269">
        <v>83360</v>
      </c>
      <c r="L983" s="269">
        <v>85202</v>
      </c>
      <c r="M983" s="270">
        <v>1</v>
      </c>
      <c r="N983" s="268">
        <v>1</v>
      </c>
      <c r="O983" s="271"/>
      <c r="P983" s="271">
        <v>83360</v>
      </c>
      <c r="Q983" s="271"/>
      <c r="R983" s="271"/>
      <c r="S983" s="271">
        <v>-85202</v>
      </c>
      <c r="T983" s="271"/>
      <c r="U983" s="272">
        <v>1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153</v>
      </c>
      <c r="B984" s="267" t="s">
        <v>1529</v>
      </c>
      <c r="C984" s="267" t="s">
        <v>94</v>
      </c>
      <c r="D984" s="267" t="s">
        <v>92</v>
      </c>
      <c r="E984" s="267" t="s">
        <v>0</v>
      </c>
      <c r="F984" s="268"/>
      <c r="G984" s="269"/>
      <c r="H984" s="269"/>
      <c r="I984" s="270"/>
      <c r="J984" s="268">
        <v>1</v>
      </c>
      <c r="K984" s="269">
        <v>83011</v>
      </c>
      <c r="L984" s="269">
        <v>85419</v>
      </c>
      <c r="M984" s="270">
        <v>1</v>
      </c>
      <c r="N984" s="268">
        <v>1</v>
      </c>
      <c r="O984" s="271"/>
      <c r="P984" s="271">
        <v>83011</v>
      </c>
      <c r="Q984" s="271"/>
      <c r="R984" s="271"/>
      <c r="S984" s="271">
        <v>-85419</v>
      </c>
      <c r="T984" s="271"/>
      <c r="U984" s="272">
        <v>1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153</v>
      </c>
      <c r="B985" s="267" t="s">
        <v>1530</v>
      </c>
      <c r="C985" s="267" t="s">
        <v>94</v>
      </c>
      <c r="D985" s="267" t="s">
        <v>92</v>
      </c>
      <c r="E985" s="267" t="s">
        <v>0</v>
      </c>
      <c r="F985" s="268"/>
      <c r="G985" s="269"/>
      <c r="H985" s="269"/>
      <c r="I985" s="270"/>
      <c r="J985" s="268">
        <v>1</v>
      </c>
      <c r="K985" s="269">
        <v>83422</v>
      </c>
      <c r="L985" s="269">
        <v>85251</v>
      </c>
      <c r="M985" s="270">
        <v>1</v>
      </c>
      <c r="N985" s="268">
        <v>1</v>
      </c>
      <c r="O985" s="271"/>
      <c r="P985" s="271">
        <v>83422</v>
      </c>
      <c r="Q985" s="271"/>
      <c r="R985" s="271"/>
      <c r="S985" s="271">
        <v>-85251</v>
      </c>
      <c r="T985" s="271"/>
      <c r="U985" s="272">
        <v>1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153</v>
      </c>
      <c r="B986" s="267" t="s">
        <v>1531</v>
      </c>
      <c r="C986" s="267" t="s">
        <v>94</v>
      </c>
      <c r="D986" s="267" t="s">
        <v>92</v>
      </c>
      <c r="E986" s="267" t="s">
        <v>0</v>
      </c>
      <c r="F986" s="268"/>
      <c r="G986" s="269"/>
      <c r="H986" s="269"/>
      <c r="I986" s="270"/>
      <c r="J986" s="268">
        <v>1</v>
      </c>
      <c r="K986" s="269">
        <v>82981</v>
      </c>
      <c r="L986" s="269">
        <v>85629</v>
      </c>
      <c r="M986" s="270">
        <v>1</v>
      </c>
      <c r="N986" s="268">
        <v>1</v>
      </c>
      <c r="O986" s="271"/>
      <c r="P986" s="271">
        <v>82981</v>
      </c>
      <c r="Q986" s="271"/>
      <c r="R986" s="271"/>
      <c r="S986" s="271">
        <v>-85629</v>
      </c>
      <c r="T986" s="271"/>
      <c r="U986" s="272">
        <v>1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153</v>
      </c>
      <c r="B987" s="267" t="s">
        <v>1532</v>
      </c>
      <c r="C987" s="267" t="s">
        <v>94</v>
      </c>
      <c r="D987" s="267" t="s">
        <v>92</v>
      </c>
      <c r="E987" s="267" t="s">
        <v>0</v>
      </c>
      <c r="F987" s="268"/>
      <c r="G987" s="269"/>
      <c r="H987" s="269"/>
      <c r="I987" s="270"/>
      <c r="J987" s="268">
        <v>1</v>
      </c>
      <c r="K987" s="269">
        <v>83367</v>
      </c>
      <c r="L987" s="269">
        <v>85196</v>
      </c>
      <c r="M987" s="270">
        <v>1</v>
      </c>
      <c r="N987" s="268">
        <v>1</v>
      </c>
      <c r="O987" s="271"/>
      <c r="P987" s="271">
        <v>83367</v>
      </c>
      <c r="Q987" s="271"/>
      <c r="R987" s="271"/>
      <c r="S987" s="271">
        <v>-85196</v>
      </c>
      <c r="T987" s="271"/>
      <c r="U987" s="272">
        <v>1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153</v>
      </c>
      <c r="B988" s="267" t="s">
        <v>1533</v>
      </c>
      <c r="C988" s="267" t="s">
        <v>94</v>
      </c>
      <c r="D988" s="267" t="s">
        <v>92</v>
      </c>
      <c r="E988" s="267" t="s">
        <v>0</v>
      </c>
      <c r="F988" s="268"/>
      <c r="G988" s="269"/>
      <c r="H988" s="269"/>
      <c r="I988" s="270"/>
      <c r="J988" s="268">
        <v>1</v>
      </c>
      <c r="K988" s="269">
        <v>83141</v>
      </c>
      <c r="L988" s="269">
        <v>85246</v>
      </c>
      <c r="M988" s="270">
        <v>1</v>
      </c>
      <c r="N988" s="268">
        <v>1</v>
      </c>
      <c r="O988" s="271"/>
      <c r="P988" s="271">
        <v>83141</v>
      </c>
      <c r="Q988" s="271"/>
      <c r="R988" s="271"/>
      <c r="S988" s="271">
        <v>-85246</v>
      </c>
      <c r="T988" s="271"/>
      <c r="U988" s="272">
        <v>1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153</v>
      </c>
      <c r="B989" s="267" t="s">
        <v>1534</v>
      </c>
      <c r="C989" s="267" t="s">
        <v>94</v>
      </c>
      <c r="D989" s="267" t="s">
        <v>92</v>
      </c>
      <c r="E989" s="267" t="s">
        <v>0</v>
      </c>
      <c r="F989" s="268"/>
      <c r="G989" s="269"/>
      <c r="H989" s="269"/>
      <c r="I989" s="270"/>
      <c r="J989" s="268">
        <v>1</v>
      </c>
      <c r="K989" s="269">
        <v>83148</v>
      </c>
      <c r="L989" s="269">
        <v>85441</v>
      </c>
      <c r="M989" s="270">
        <v>1</v>
      </c>
      <c r="N989" s="268">
        <v>1</v>
      </c>
      <c r="O989" s="271"/>
      <c r="P989" s="271">
        <v>83148</v>
      </c>
      <c r="Q989" s="271"/>
      <c r="R989" s="271"/>
      <c r="S989" s="271">
        <v>-85441</v>
      </c>
      <c r="T989" s="271"/>
      <c r="U989" s="272">
        <v>1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153</v>
      </c>
      <c r="B990" s="267" t="s">
        <v>1535</v>
      </c>
      <c r="C990" s="267" t="s">
        <v>94</v>
      </c>
      <c r="D990" s="267" t="s">
        <v>92</v>
      </c>
      <c r="E990" s="267" t="s">
        <v>0</v>
      </c>
      <c r="F990" s="268"/>
      <c r="G990" s="269"/>
      <c r="H990" s="269"/>
      <c r="I990" s="270"/>
      <c r="J990" s="268">
        <v>1</v>
      </c>
      <c r="K990" s="269">
        <v>83148</v>
      </c>
      <c r="L990" s="269">
        <v>85253</v>
      </c>
      <c r="M990" s="270">
        <v>1</v>
      </c>
      <c r="N990" s="268">
        <v>1</v>
      </c>
      <c r="O990" s="271"/>
      <c r="P990" s="271">
        <v>83148</v>
      </c>
      <c r="Q990" s="271"/>
      <c r="R990" s="271"/>
      <c r="S990" s="271">
        <v>-85253</v>
      </c>
      <c r="T990" s="271"/>
      <c r="U990" s="272">
        <v>1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153</v>
      </c>
      <c r="B991" s="267" t="s">
        <v>1536</v>
      </c>
      <c r="C991" s="267" t="s">
        <v>94</v>
      </c>
      <c r="D991" s="267" t="s">
        <v>92</v>
      </c>
      <c r="E991" s="267" t="s">
        <v>0</v>
      </c>
      <c r="F991" s="268"/>
      <c r="G991" s="269"/>
      <c r="H991" s="269"/>
      <c r="I991" s="270"/>
      <c r="J991" s="268">
        <v>1</v>
      </c>
      <c r="K991" s="269">
        <v>83125</v>
      </c>
      <c r="L991" s="269">
        <v>85457</v>
      </c>
      <c r="M991" s="270">
        <v>1</v>
      </c>
      <c r="N991" s="268">
        <v>1</v>
      </c>
      <c r="O991" s="271"/>
      <c r="P991" s="271">
        <v>83125</v>
      </c>
      <c r="Q991" s="271"/>
      <c r="R991" s="271"/>
      <c r="S991" s="271">
        <v>-85457</v>
      </c>
      <c r="T991" s="271"/>
      <c r="U991" s="272">
        <v>1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153</v>
      </c>
      <c r="B992" s="267" t="s">
        <v>1537</v>
      </c>
      <c r="C992" s="267" t="s">
        <v>94</v>
      </c>
      <c r="D992" s="267" t="s">
        <v>92</v>
      </c>
      <c r="E992" s="267" t="s">
        <v>0</v>
      </c>
      <c r="F992" s="268"/>
      <c r="G992" s="269"/>
      <c r="H992" s="269"/>
      <c r="I992" s="270"/>
      <c r="J992" s="268">
        <v>1</v>
      </c>
      <c r="K992" s="269">
        <v>83575</v>
      </c>
      <c r="L992" s="269">
        <v>85062</v>
      </c>
      <c r="M992" s="270">
        <v>1</v>
      </c>
      <c r="N992" s="268">
        <v>1</v>
      </c>
      <c r="O992" s="271"/>
      <c r="P992" s="271">
        <v>83575</v>
      </c>
      <c r="Q992" s="271"/>
      <c r="R992" s="271"/>
      <c r="S992" s="271">
        <v>-85062</v>
      </c>
      <c r="T992" s="271"/>
      <c r="U992" s="272">
        <v>1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153</v>
      </c>
      <c r="B993" s="267" t="s">
        <v>1538</v>
      </c>
      <c r="C993" s="267" t="s">
        <v>94</v>
      </c>
      <c r="D993" s="267" t="s">
        <v>92</v>
      </c>
      <c r="E993" s="267" t="s">
        <v>0</v>
      </c>
      <c r="F993" s="268"/>
      <c r="G993" s="269"/>
      <c r="H993" s="269"/>
      <c r="I993" s="270"/>
      <c r="J993" s="268">
        <v>1</v>
      </c>
      <c r="K993" s="269">
        <v>83559</v>
      </c>
      <c r="L993" s="269">
        <v>85085</v>
      </c>
      <c r="M993" s="270">
        <v>1</v>
      </c>
      <c r="N993" s="268">
        <v>1</v>
      </c>
      <c r="O993" s="271"/>
      <c r="P993" s="271">
        <v>83559</v>
      </c>
      <c r="Q993" s="271"/>
      <c r="R993" s="271"/>
      <c r="S993" s="271">
        <v>-85085</v>
      </c>
      <c r="T993" s="271"/>
      <c r="U993" s="272">
        <v>1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153</v>
      </c>
      <c r="B994" s="267" t="s">
        <v>1539</v>
      </c>
      <c r="C994" s="267" t="s">
        <v>94</v>
      </c>
      <c r="D994" s="267" t="s">
        <v>92</v>
      </c>
      <c r="E994" s="267" t="s">
        <v>0</v>
      </c>
      <c r="F994" s="268"/>
      <c r="G994" s="269"/>
      <c r="H994" s="269"/>
      <c r="I994" s="270"/>
      <c r="J994" s="268">
        <v>1</v>
      </c>
      <c r="K994" s="269">
        <v>82942</v>
      </c>
      <c r="L994" s="269">
        <v>85641</v>
      </c>
      <c r="M994" s="270">
        <v>1</v>
      </c>
      <c r="N994" s="268">
        <v>1</v>
      </c>
      <c r="O994" s="271"/>
      <c r="P994" s="271">
        <v>82942</v>
      </c>
      <c r="Q994" s="271"/>
      <c r="R994" s="271"/>
      <c r="S994" s="271">
        <v>-85641</v>
      </c>
      <c r="T994" s="271"/>
      <c r="U994" s="272">
        <v>1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153</v>
      </c>
      <c r="B995" s="267" t="s">
        <v>1540</v>
      </c>
      <c r="C995" s="267" t="s">
        <v>94</v>
      </c>
      <c r="D995" s="267" t="s">
        <v>92</v>
      </c>
      <c r="E995" s="267" t="s">
        <v>0</v>
      </c>
      <c r="F995" s="268"/>
      <c r="G995" s="269"/>
      <c r="H995" s="269"/>
      <c r="I995" s="270"/>
      <c r="J995" s="268">
        <v>1</v>
      </c>
      <c r="K995" s="269">
        <v>82979</v>
      </c>
      <c r="L995" s="269">
        <v>85626</v>
      </c>
      <c r="M995" s="270">
        <v>1</v>
      </c>
      <c r="N995" s="268">
        <v>1</v>
      </c>
      <c r="O995" s="271"/>
      <c r="P995" s="271">
        <v>82979</v>
      </c>
      <c r="Q995" s="271"/>
      <c r="R995" s="271"/>
      <c r="S995" s="271">
        <v>-85626</v>
      </c>
      <c r="T995" s="271"/>
      <c r="U995" s="272">
        <v>1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153</v>
      </c>
      <c r="B996" s="267" t="s">
        <v>1541</v>
      </c>
      <c r="C996" s="267" t="s">
        <v>94</v>
      </c>
      <c r="D996" s="267" t="s">
        <v>92</v>
      </c>
      <c r="E996" s="267" t="s">
        <v>0</v>
      </c>
      <c r="F996" s="268"/>
      <c r="G996" s="269"/>
      <c r="H996" s="269"/>
      <c r="I996" s="270"/>
      <c r="J996" s="268">
        <v>1</v>
      </c>
      <c r="K996" s="269">
        <v>82949</v>
      </c>
      <c r="L996" s="269">
        <v>85648</v>
      </c>
      <c r="M996" s="270">
        <v>1</v>
      </c>
      <c r="N996" s="268">
        <v>1</v>
      </c>
      <c r="O996" s="271"/>
      <c r="P996" s="271">
        <v>82949</v>
      </c>
      <c r="Q996" s="271"/>
      <c r="R996" s="271"/>
      <c r="S996" s="271">
        <v>-85648</v>
      </c>
      <c r="T996" s="271"/>
      <c r="U996" s="272">
        <v>1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153</v>
      </c>
      <c r="B997" s="267" t="s">
        <v>1542</v>
      </c>
      <c r="C997" s="267" t="s">
        <v>94</v>
      </c>
      <c r="D997" s="267" t="s">
        <v>92</v>
      </c>
      <c r="E997" s="267" t="s">
        <v>0</v>
      </c>
      <c r="F997" s="268"/>
      <c r="G997" s="269"/>
      <c r="H997" s="269"/>
      <c r="I997" s="270"/>
      <c r="J997" s="268">
        <v>1</v>
      </c>
      <c r="K997" s="269">
        <v>82956</v>
      </c>
      <c r="L997" s="269">
        <v>85642</v>
      </c>
      <c r="M997" s="270">
        <v>1</v>
      </c>
      <c r="N997" s="268">
        <v>1</v>
      </c>
      <c r="O997" s="271"/>
      <c r="P997" s="271">
        <v>82956</v>
      </c>
      <c r="Q997" s="271"/>
      <c r="R997" s="271"/>
      <c r="S997" s="271">
        <v>-85642</v>
      </c>
      <c r="T997" s="271"/>
      <c r="U997" s="272">
        <v>1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153</v>
      </c>
      <c r="B998" s="267" t="s">
        <v>1543</v>
      </c>
      <c r="C998" s="267" t="s">
        <v>94</v>
      </c>
      <c r="D998" s="267" t="s">
        <v>92</v>
      </c>
      <c r="E998" s="267" t="s">
        <v>0</v>
      </c>
      <c r="F998" s="268"/>
      <c r="G998" s="269"/>
      <c r="H998" s="269"/>
      <c r="I998" s="270"/>
      <c r="J998" s="268">
        <v>1</v>
      </c>
      <c r="K998" s="269">
        <v>83351</v>
      </c>
      <c r="L998" s="269">
        <v>85192</v>
      </c>
      <c r="M998" s="270">
        <v>1</v>
      </c>
      <c r="N998" s="268">
        <v>1</v>
      </c>
      <c r="O998" s="271"/>
      <c r="P998" s="271">
        <v>83351</v>
      </c>
      <c r="Q998" s="271"/>
      <c r="R998" s="271"/>
      <c r="S998" s="271">
        <v>-85192</v>
      </c>
      <c r="T998" s="271"/>
      <c r="U998" s="272">
        <v>1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153</v>
      </c>
      <c r="B999" s="267" t="s">
        <v>1544</v>
      </c>
      <c r="C999" s="267" t="s">
        <v>94</v>
      </c>
      <c r="D999" s="267" t="s">
        <v>92</v>
      </c>
      <c r="E999" s="267" t="s">
        <v>0</v>
      </c>
      <c r="F999" s="268"/>
      <c r="G999" s="269"/>
      <c r="H999" s="269"/>
      <c r="I999" s="270"/>
      <c r="J999" s="268">
        <v>1</v>
      </c>
      <c r="K999" s="269">
        <v>83335</v>
      </c>
      <c r="L999" s="269">
        <v>85215</v>
      </c>
      <c r="M999" s="270">
        <v>1</v>
      </c>
      <c r="N999" s="268">
        <v>1</v>
      </c>
      <c r="O999" s="271"/>
      <c r="P999" s="271">
        <v>83335</v>
      </c>
      <c r="Q999" s="271"/>
      <c r="R999" s="271"/>
      <c r="S999" s="271">
        <v>-85215</v>
      </c>
      <c r="T999" s="271"/>
      <c r="U999" s="272">
        <v>1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153</v>
      </c>
      <c r="B1000" s="267" t="s">
        <v>1545</v>
      </c>
      <c r="C1000" s="267" t="s">
        <v>94</v>
      </c>
      <c r="D1000" s="267" t="s">
        <v>92</v>
      </c>
      <c r="E1000" s="267" t="s">
        <v>0</v>
      </c>
      <c r="F1000" s="268"/>
      <c r="G1000" s="269"/>
      <c r="H1000" s="269"/>
      <c r="I1000" s="270"/>
      <c r="J1000" s="268">
        <v>1</v>
      </c>
      <c r="K1000" s="269">
        <v>83028</v>
      </c>
      <c r="L1000" s="269">
        <v>85355</v>
      </c>
      <c r="M1000" s="270">
        <v>1</v>
      </c>
      <c r="N1000" s="268">
        <v>1</v>
      </c>
      <c r="O1000" s="271"/>
      <c r="P1000" s="271">
        <v>83028</v>
      </c>
      <c r="Q1000" s="271"/>
      <c r="R1000" s="271"/>
      <c r="S1000" s="271">
        <v>-85355</v>
      </c>
      <c r="T1000" s="271"/>
      <c r="U1000" s="272">
        <v>1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153</v>
      </c>
      <c r="B1001" s="267" t="s">
        <v>1546</v>
      </c>
      <c r="C1001" s="267" t="s">
        <v>94</v>
      </c>
      <c r="D1001" s="267" t="s">
        <v>92</v>
      </c>
      <c r="E1001" s="267" t="s">
        <v>0</v>
      </c>
      <c r="F1001" s="268"/>
      <c r="G1001" s="269"/>
      <c r="H1001" s="269"/>
      <c r="I1001" s="270"/>
      <c r="J1001" s="268">
        <v>1</v>
      </c>
      <c r="K1001" s="269">
        <v>83068</v>
      </c>
      <c r="L1001" s="269">
        <v>85519</v>
      </c>
      <c r="M1001" s="270">
        <v>1</v>
      </c>
      <c r="N1001" s="268">
        <v>1</v>
      </c>
      <c r="O1001" s="271"/>
      <c r="P1001" s="271">
        <v>83068</v>
      </c>
      <c r="Q1001" s="271"/>
      <c r="R1001" s="271"/>
      <c r="S1001" s="271">
        <v>-85519</v>
      </c>
      <c r="T1001" s="271"/>
      <c r="U1001" s="272">
        <v>1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153</v>
      </c>
      <c r="B1002" s="267" t="s">
        <v>1547</v>
      </c>
      <c r="C1002" s="267" t="s">
        <v>94</v>
      </c>
      <c r="D1002" s="267" t="s">
        <v>92</v>
      </c>
      <c r="E1002" s="267" t="s">
        <v>0</v>
      </c>
      <c r="F1002" s="268"/>
      <c r="G1002" s="269"/>
      <c r="H1002" s="269"/>
      <c r="I1002" s="270"/>
      <c r="J1002" s="268">
        <v>1</v>
      </c>
      <c r="K1002" s="269">
        <v>83027</v>
      </c>
      <c r="L1002" s="269">
        <v>85373</v>
      </c>
      <c r="M1002" s="270">
        <v>1</v>
      </c>
      <c r="N1002" s="268">
        <v>1</v>
      </c>
      <c r="O1002" s="271"/>
      <c r="P1002" s="271">
        <v>83027</v>
      </c>
      <c r="Q1002" s="271"/>
      <c r="R1002" s="271"/>
      <c r="S1002" s="271">
        <v>-85373</v>
      </c>
      <c r="T1002" s="271"/>
      <c r="U1002" s="272">
        <v>1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153</v>
      </c>
      <c r="B1003" s="267" t="s">
        <v>1548</v>
      </c>
      <c r="C1003" s="267" t="s">
        <v>94</v>
      </c>
      <c r="D1003" s="267" t="s">
        <v>92</v>
      </c>
      <c r="E1003" s="267" t="s">
        <v>0</v>
      </c>
      <c r="F1003" s="268"/>
      <c r="G1003" s="269"/>
      <c r="H1003" s="269"/>
      <c r="I1003" s="270"/>
      <c r="J1003" s="268">
        <v>1</v>
      </c>
      <c r="K1003" s="269">
        <v>82995</v>
      </c>
      <c r="L1003" s="269">
        <v>85580</v>
      </c>
      <c r="M1003" s="270">
        <v>1</v>
      </c>
      <c r="N1003" s="268">
        <v>1</v>
      </c>
      <c r="O1003" s="271"/>
      <c r="P1003" s="271">
        <v>82995</v>
      </c>
      <c r="Q1003" s="271"/>
      <c r="R1003" s="271"/>
      <c r="S1003" s="271">
        <v>-85580</v>
      </c>
      <c r="T1003" s="271"/>
      <c r="U1003" s="272">
        <v>1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153</v>
      </c>
      <c r="B1004" s="267" t="s">
        <v>1549</v>
      </c>
      <c r="C1004" s="267" t="s">
        <v>94</v>
      </c>
      <c r="D1004" s="267" t="s">
        <v>92</v>
      </c>
      <c r="E1004" s="267" t="s">
        <v>0</v>
      </c>
      <c r="F1004" s="268"/>
      <c r="G1004" s="269"/>
      <c r="H1004" s="269"/>
      <c r="I1004" s="270"/>
      <c r="J1004" s="268">
        <v>1</v>
      </c>
      <c r="K1004" s="269">
        <v>83087</v>
      </c>
      <c r="L1004" s="269">
        <v>85487</v>
      </c>
      <c r="M1004" s="270">
        <v>1</v>
      </c>
      <c r="N1004" s="268">
        <v>1</v>
      </c>
      <c r="O1004" s="271"/>
      <c r="P1004" s="271">
        <v>83087</v>
      </c>
      <c r="Q1004" s="271"/>
      <c r="R1004" s="271"/>
      <c r="S1004" s="271">
        <v>-85487</v>
      </c>
      <c r="T1004" s="271"/>
      <c r="U1004" s="272">
        <v>1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153</v>
      </c>
      <c r="B1005" s="267" t="s">
        <v>1550</v>
      </c>
      <c r="C1005" s="267" t="s">
        <v>94</v>
      </c>
      <c r="D1005" s="267" t="s">
        <v>92</v>
      </c>
      <c r="E1005" s="267" t="s">
        <v>0</v>
      </c>
      <c r="F1005" s="268"/>
      <c r="G1005" s="269"/>
      <c r="H1005" s="269"/>
      <c r="I1005" s="270"/>
      <c r="J1005" s="268">
        <v>1</v>
      </c>
      <c r="K1005" s="269">
        <v>83055</v>
      </c>
      <c r="L1005" s="269">
        <v>85570</v>
      </c>
      <c r="M1005" s="270">
        <v>1</v>
      </c>
      <c r="N1005" s="268">
        <v>1</v>
      </c>
      <c r="O1005" s="271"/>
      <c r="P1005" s="271">
        <v>83055</v>
      </c>
      <c r="Q1005" s="271"/>
      <c r="R1005" s="271"/>
      <c r="S1005" s="271">
        <v>-85570</v>
      </c>
      <c r="T1005" s="271"/>
      <c r="U1005" s="272">
        <v>1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153</v>
      </c>
      <c r="B1006" s="267" t="s">
        <v>1551</v>
      </c>
      <c r="C1006" s="267" t="s">
        <v>94</v>
      </c>
      <c r="D1006" s="267" t="s">
        <v>92</v>
      </c>
      <c r="E1006" s="267" t="s">
        <v>0</v>
      </c>
      <c r="F1006" s="268"/>
      <c r="G1006" s="269"/>
      <c r="H1006" s="269"/>
      <c r="I1006" s="270"/>
      <c r="J1006" s="268">
        <v>1</v>
      </c>
      <c r="K1006" s="269">
        <v>82995</v>
      </c>
      <c r="L1006" s="269">
        <v>85392</v>
      </c>
      <c r="M1006" s="270">
        <v>1</v>
      </c>
      <c r="N1006" s="268">
        <v>1</v>
      </c>
      <c r="O1006" s="271"/>
      <c r="P1006" s="271">
        <v>82995</v>
      </c>
      <c r="Q1006" s="271"/>
      <c r="R1006" s="271"/>
      <c r="S1006" s="271">
        <v>-85392</v>
      </c>
      <c r="T1006" s="271"/>
      <c r="U1006" s="272">
        <v>1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153</v>
      </c>
      <c r="B1007" s="267" t="s">
        <v>1552</v>
      </c>
      <c r="C1007" s="267" t="s">
        <v>94</v>
      </c>
      <c r="D1007" s="267" t="s">
        <v>92</v>
      </c>
      <c r="E1007" s="267" t="s">
        <v>0</v>
      </c>
      <c r="F1007" s="268"/>
      <c r="G1007" s="269"/>
      <c r="H1007" s="269"/>
      <c r="I1007" s="270"/>
      <c r="J1007" s="268">
        <v>1</v>
      </c>
      <c r="K1007" s="269">
        <v>83075</v>
      </c>
      <c r="L1007" s="269">
        <v>85526</v>
      </c>
      <c r="M1007" s="270">
        <v>1</v>
      </c>
      <c r="N1007" s="268">
        <v>1</v>
      </c>
      <c r="O1007" s="271"/>
      <c r="P1007" s="271">
        <v>83075</v>
      </c>
      <c r="Q1007" s="271"/>
      <c r="R1007" s="271"/>
      <c r="S1007" s="271">
        <v>-85526</v>
      </c>
      <c r="T1007" s="271"/>
      <c r="U1007" s="272">
        <v>1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153</v>
      </c>
      <c r="B1008" s="267" t="s">
        <v>1553</v>
      </c>
      <c r="C1008" s="267" t="s">
        <v>94</v>
      </c>
      <c r="D1008" s="267" t="s">
        <v>92</v>
      </c>
      <c r="E1008" s="267" t="s">
        <v>0</v>
      </c>
      <c r="F1008" s="268"/>
      <c r="G1008" s="269"/>
      <c r="H1008" s="269"/>
      <c r="I1008" s="270"/>
      <c r="J1008" s="268">
        <v>1</v>
      </c>
      <c r="K1008" s="269">
        <v>83037</v>
      </c>
      <c r="L1008" s="269">
        <v>85383</v>
      </c>
      <c r="M1008" s="270">
        <v>1</v>
      </c>
      <c r="N1008" s="268">
        <v>1</v>
      </c>
      <c r="O1008" s="271"/>
      <c r="P1008" s="271">
        <v>83037</v>
      </c>
      <c r="Q1008" s="271"/>
      <c r="R1008" s="271"/>
      <c r="S1008" s="271">
        <v>-85383</v>
      </c>
      <c r="T1008" s="271"/>
      <c r="U1008" s="272">
        <v>1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153</v>
      </c>
      <c r="B1009" s="267" t="s">
        <v>1554</v>
      </c>
      <c r="C1009" s="267" t="s">
        <v>94</v>
      </c>
      <c r="D1009" s="267" t="s">
        <v>92</v>
      </c>
      <c r="E1009" s="267" t="s">
        <v>0</v>
      </c>
      <c r="F1009" s="268"/>
      <c r="G1009" s="269"/>
      <c r="H1009" s="269"/>
      <c r="I1009" s="270"/>
      <c r="J1009" s="268">
        <v>1</v>
      </c>
      <c r="K1009" s="269">
        <v>83012</v>
      </c>
      <c r="L1009" s="269">
        <v>85566</v>
      </c>
      <c r="M1009" s="270">
        <v>1</v>
      </c>
      <c r="N1009" s="268">
        <v>1</v>
      </c>
      <c r="O1009" s="271"/>
      <c r="P1009" s="271">
        <v>83012</v>
      </c>
      <c r="Q1009" s="271"/>
      <c r="R1009" s="271"/>
      <c r="S1009" s="271">
        <v>-85566</v>
      </c>
      <c r="T1009" s="271"/>
      <c r="U1009" s="272">
        <v>1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153</v>
      </c>
      <c r="B1010" s="267" t="s">
        <v>1555</v>
      </c>
      <c r="C1010" s="267" t="s">
        <v>94</v>
      </c>
      <c r="D1010" s="267" t="s">
        <v>92</v>
      </c>
      <c r="E1010" s="267" t="s">
        <v>0</v>
      </c>
      <c r="F1010" s="268"/>
      <c r="G1010" s="269"/>
      <c r="H1010" s="269"/>
      <c r="I1010" s="270"/>
      <c r="J1010" s="268">
        <v>1</v>
      </c>
      <c r="K1010" s="269">
        <v>83047</v>
      </c>
      <c r="L1010" s="269">
        <v>85517</v>
      </c>
      <c r="M1010" s="270">
        <v>1</v>
      </c>
      <c r="N1010" s="268">
        <v>1</v>
      </c>
      <c r="O1010" s="271"/>
      <c r="P1010" s="271">
        <v>83047</v>
      </c>
      <c r="Q1010" s="271"/>
      <c r="R1010" s="271"/>
      <c r="S1010" s="271">
        <v>-85517</v>
      </c>
      <c r="T1010" s="271"/>
      <c r="U1010" s="272">
        <v>1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153</v>
      </c>
      <c r="B1011" s="267" t="s">
        <v>1556</v>
      </c>
      <c r="C1011" s="267" t="s">
        <v>94</v>
      </c>
      <c r="D1011" s="267" t="s">
        <v>92</v>
      </c>
      <c r="E1011" s="267" t="s">
        <v>0</v>
      </c>
      <c r="F1011" s="268"/>
      <c r="G1011" s="269"/>
      <c r="H1011" s="269"/>
      <c r="I1011" s="270"/>
      <c r="J1011" s="268">
        <v>1</v>
      </c>
      <c r="K1011" s="269">
        <v>83002</v>
      </c>
      <c r="L1011" s="269">
        <v>85626</v>
      </c>
      <c r="M1011" s="270">
        <v>1</v>
      </c>
      <c r="N1011" s="268">
        <v>1</v>
      </c>
      <c r="O1011" s="271"/>
      <c r="P1011" s="271">
        <v>83002</v>
      </c>
      <c r="Q1011" s="271"/>
      <c r="R1011" s="271"/>
      <c r="S1011" s="271">
        <v>-85626</v>
      </c>
      <c r="T1011" s="271"/>
      <c r="U1011" s="272">
        <v>1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153</v>
      </c>
      <c r="B1012" s="267" t="s">
        <v>1557</v>
      </c>
      <c r="C1012" s="267" t="s">
        <v>94</v>
      </c>
      <c r="D1012" s="267" t="s">
        <v>92</v>
      </c>
      <c r="E1012" s="267" t="s">
        <v>0</v>
      </c>
      <c r="F1012" s="268"/>
      <c r="G1012" s="269"/>
      <c r="H1012" s="269"/>
      <c r="I1012" s="270"/>
      <c r="J1012" s="268">
        <v>1</v>
      </c>
      <c r="K1012" s="269">
        <v>83203</v>
      </c>
      <c r="L1012" s="269">
        <v>85246</v>
      </c>
      <c r="M1012" s="270">
        <v>1</v>
      </c>
      <c r="N1012" s="268">
        <v>1</v>
      </c>
      <c r="O1012" s="271"/>
      <c r="P1012" s="271">
        <v>83203</v>
      </c>
      <c r="Q1012" s="271"/>
      <c r="R1012" s="271"/>
      <c r="S1012" s="271">
        <v>-85246</v>
      </c>
      <c r="T1012" s="271"/>
      <c r="U1012" s="272">
        <v>1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153</v>
      </c>
      <c r="B1013" s="267" t="s">
        <v>1558</v>
      </c>
      <c r="C1013" s="267" t="s">
        <v>94</v>
      </c>
      <c r="D1013" s="267" t="s">
        <v>92</v>
      </c>
      <c r="E1013" s="267" t="s">
        <v>0</v>
      </c>
      <c r="F1013" s="268"/>
      <c r="G1013" s="269"/>
      <c r="H1013" s="269"/>
      <c r="I1013" s="270"/>
      <c r="J1013" s="268">
        <v>1</v>
      </c>
      <c r="K1013" s="269">
        <v>83210</v>
      </c>
      <c r="L1013" s="269">
        <v>85441</v>
      </c>
      <c r="M1013" s="270">
        <v>1</v>
      </c>
      <c r="N1013" s="268">
        <v>1</v>
      </c>
      <c r="O1013" s="271"/>
      <c r="P1013" s="271">
        <v>83210</v>
      </c>
      <c r="Q1013" s="271"/>
      <c r="R1013" s="271"/>
      <c r="S1013" s="271">
        <v>-85441</v>
      </c>
      <c r="T1013" s="271"/>
      <c r="U1013" s="272">
        <v>1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153</v>
      </c>
      <c r="B1014" s="267" t="s">
        <v>1559</v>
      </c>
      <c r="C1014" s="267" t="s">
        <v>94</v>
      </c>
      <c r="D1014" s="267" t="s">
        <v>92</v>
      </c>
      <c r="E1014" s="267" t="s">
        <v>0</v>
      </c>
      <c r="F1014" s="268"/>
      <c r="G1014" s="269"/>
      <c r="H1014" s="269"/>
      <c r="I1014" s="270"/>
      <c r="J1014" s="268">
        <v>1</v>
      </c>
      <c r="K1014" s="269">
        <v>83240</v>
      </c>
      <c r="L1014" s="269">
        <v>85213</v>
      </c>
      <c r="M1014" s="270">
        <v>1</v>
      </c>
      <c r="N1014" s="268">
        <v>1</v>
      </c>
      <c r="O1014" s="271"/>
      <c r="P1014" s="271">
        <v>83240</v>
      </c>
      <c r="Q1014" s="271"/>
      <c r="R1014" s="271"/>
      <c r="S1014" s="271">
        <v>-85213</v>
      </c>
      <c r="T1014" s="271"/>
      <c r="U1014" s="272">
        <v>1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153</v>
      </c>
      <c r="B1015" s="267" t="s">
        <v>1560</v>
      </c>
      <c r="C1015" s="267" t="s">
        <v>94</v>
      </c>
      <c r="D1015" s="267" t="s">
        <v>92</v>
      </c>
      <c r="E1015" s="267" t="s">
        <v>0</v>
      </c>
      <c r="F1015" s="268"/>
      <c r="G1015" s="269"/>
      <c r="H1015" s="269"/>
      <c r="I1015" s="270"/>
      <c r="J1015" s="268">
        <v>1</v>
      </c>
      <c r="K1015" s="269">
        <v>83217</v>
      </c>
      <c r="L1015" s="269">
        <v>85417</v>
      </c>
      <c r="M1015" s="270">
        <v>1</v>
      </c>
      <c r="N1015" s="268">
        <v>1</v>
      </c>
      <c r="O1015" s="271"/>
      <c r="P1015" s="271">
        <v>83217</v>
      </c>
      <c r="Q1015" s="271"/>
      <c r="R1015" s="271"/>
      <c r="S1015" s="271">
        <v>-85417</v>
      </c>
      <c r="T1015" s="271"/>
      <c r="U1015" s="272">
        <v>1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153</v>
      </c>
      <c r="B1016" s="267" t="s">
        <v>1561</v>
      </c>
      <c r="C1016" s="267" t="s">
        <v>94</v>
      </c>
      <c r="D1016" s="267" t="s">
        <v>92</v>
      </c>
      <c r="E1016" s="267" t="s">
        <v>0</v>
      </c>
      <c r="F1016" s="268"/>
      <c r="G1016" s="269"/>
      <c r="H1016" s="269"/>
      <c r="I1016" s="270"/>
      <c r="J1016" s="268">
        <v>1</v>
      </c>
      <c r="K1016" s="269">
        <v>83201</v>
      </c>
      <c r="L1016" s="269">
        <v>85413</v>
      </c>
      <c r="M1016" s="270">
        <v>1</v>
      </c>
      <c r="N1016" s="268">
        <v>1</v>
      </c>
      <c r="O1016" s="271"/>
      <c r="P1016" s="271">
        <v>83201</v>
      </c>
      <c r="Q1016" s="271"/>
      <c r="R1016" s="271"/>
      <c r="S1016" s="271">
        <v>-85413</v>
      </c>
      <c r="T1016" s="271"/>
      <c r="U1016" s="272">
        <v>1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153</v>
      </c>
      <c r="B1017" s="267" t="s">
        <v>1562</v>
      </c>
      <c r="C1017" s="267" t="s">
        <v>94</v>
      </c>
      <c r="D1017" s="267" t="s">
        <v>92</v>
      </c>
      <c r="E1017" s="267" t="s">
        <v>0</v>
      </c>
      <c r="F1017" s="268"/>
      <c r="G1017" s="269"/>
      <c r="H1017" s="269"/>
      <c r="I1017" s="270"/>
      <c r="J1017" s="268">
        <v>1</v>
      </c>
      <c r="K1017" s="269">
        <v>83185</v>
      </c>
      <c r="L1017" s="269">
        <v>85436</v>
      </c>
      <c r="M1017" s="270">
        <v>1</v>
      </c>
      <c r="N1017" s="268">
        <v>1</v>
      </c>
      <c r="O1017" s="271"/>
      <c r="P1017" s="271">
        <v>83185</v>
      </c>
      <c r="Q1017" s="271"/>
      <c r="R1017" s="271"/>
      <c r="S1017" s="271">
        <v>-85436</v>
      </c>
      <c r="T1017" s="271"/>
      <c r="U1017" s="272">
        <v>1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153</v>
      </c>
      <c r="B1018" s="267" t="s">
        <v>1563</v>
      </c>
      <c r="C1018" s="267" t="s">
        <v>94</v>
      </c>
      <c r="D1018" s="267" t="s">
        <v>92</v>
      </c>
      <c r="E1018" s="267" t="s">
        <v>0</v>
      </c>
      <c r="F1018" s="268"/>
      <c r="G1018" s="269"/>
      <c r="H1018" s="269"/>
      <c r="I1018" s="270"/>
      <c r="J1018" s="268">
        <v>1</v>
      </c>
      <c r="K1018" s="269">
        <v>83514</v>
      </c>
      <c r="L1018" s="269">
        <v>85108</v>
      </c>
      <c r="M1018" s="270">
        <v>1</v>
      </c>
      <c r="N1018" s="268">
        <v>1</v>
      </c>
      <c r="O1018" s="271"/>
      <c r="P1018" s="271">
        <v>83514</v>
      </c>
      <c r="Q1018" s="271"/>
      <c r="R1018" s="271"/>
      <c r="S1018" s="271">
        <v>-85108</v>
      </c>
      <c r="T1018" s="271"/>
      <c r="U1018" s="272">
        <v>1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153</v>
      </c>
      <c r="B1019" s="267" t="s">
        <v>1564</v>
      </c>
      <c r="C1019" s="267" t="s">
        <v>94</v>
      </c>
      <c r="D1019" s="267" t="s">
        <v>92</v>
      </c>
      <c r="E1019" s="267" t="s">
        <v>0</v>
      </c>
      <c r="F1019" s="268"/>
      <c r="G1019" s="269"/>
      <c r="H1019" s="269"/>
      <c r="I1019" s="270"/>
      <c r="J1019" s="268">
        <v>1</v>
      </c>
      <c r="K1019" s="269">
        <v>83461</v>
      </c>
      <c r="L1019" s="269">
        <v>85189</v>
      </c>
      <c r="M1019" s="270">
        <v>1</v>
      </c>
      <c r="N1019" s="268">
        <v>1</v>
      </c>
      <c r="O1019" s="271"/>
      <c r="P1019" s="271">
        <v>83461</v>
      </c>
      <c r="Q1019" s="271"/>
      <c r="R1019" s="271"/>
      <c r="S1019" s="271">
        <v>-85189</v>
      </c>
      <c r="T1019" s="271"/>
      <c r="U1019" s="272">
        <v>1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153</v>
      </c>
      <c r="B1020" s="267" t="s">
        <v>1565</v>
      </c>
      <c r="C1020" s="267" t="s">
        <v>94</v>
      </c>
      <c r="D1020" s="267" t="s">
        <v>92</v>
      </c>
      <c r="E1020" s="267" t="s">
        <v>0</v>
      </c>
      <c r="F1020" s="268"/>
      <c r="G1020" s="269"/>
      <c r="H1020" s="269"/>
      <c r="I1020" s="270"/>
      <c r="J1020" s="268">
        <v>1</v>
      </c>
      <c r="K1020" s="269">
        <v>83481</v>
      </c>
      <c r="L1020" s="269">
        <v>85145</v>
      </c>
      <c r="M1020" s="270">
        <v>1</v>
      </c>
      <c r="N1020" s="268">
        <v>1</v>
      </c>
      <c r="O1020" s="271"/>
      <c r="P1020" s="271">
        <v>83481</v>
      </c>
      <c r="Q1020" s="271"/>
      <c r="R1020" s="271"/>
      <c r="S1020" s="271">
        <v>-85145</v>
      </c>
      <c r="T1020" s="271"/>
      <c r="U1020" s="272">
        <v>1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153</v>
      </c>
      <c r="B1021" s="267" t="s">
        <v>1566</v>
      </c>
      <c r="C1021" s="267" t="s">
        <v>94</v>
      </c>
      <c r="D1021" s="267" t="s">
        <v>92</v>
      </c>
      <c r="E1021" s="267" t="s">
        <v>0</v>
      </c>
      <c r="F1021" s="268"/>
      <c r="G1021" s="269"/>
      <c r="H1021" s="269"/>
      <c r="I1021" s="270"/>
      <c r="J1021" s="268">
        <v>1</v>
      </c>
      <c r="K1021" s="269">
        <v>83448</v>
      </c>
      <c r="L1021" s="269">
        <v>85215</v>
      </c>
      <c r="M1021" s="270">
        <v>1</v>
      </c>
      <c r="N1021" s="268">
        <v>1</v>
      </c>
      <c r="O1021" s="271"/>
      <c r="P1021" s="271">
        <v>83448</v>
      </c>
      <c r="Q1021" s="271"/>
      <c r="R1021" s="271"/>
      <c r="S1021" s="271">
        <v>-85215</v>
      </c>
      <c r="T1021" s="271"/>
      <c r="U1021" s="272">
        <v>1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153</v>
      </c>
      <c r="B1022" s="267" t="s">
        <v>1567</v>
      </c>
      <c r="C1022" s="267" t="s">
        <v>94</v>
      </c>
      <c r="D1022" s="267" t="s">
        <v>92</v>
      </c>
      <c r="E1022" s="267" t="s">
        <v>0</v>
      </c>
      <c r="F1022" s="268"/>
      <c r="G1022" s="269"/>
      <c r="H1022" s="269"/>
      <c r="I1022" s="270"/>
      <c r="J1022" s="268">
        <v>1</v>
      </c>
      <c r="K1022" s="269">
        <v>83452</v>
      </c>
      <c r="L1022" s="269">
        <v>85231</v>
      </c>
      <c r="M1022" s="270">
        <v>1</v>
      </c>
      <c r="N1022" s="268">
        <v>1</v>
      </c>
      <c r="O1022" s="271"/>
      <c r="P1022" s="271">
        <v>83452</v>
      </c>
      <c r="Q1022" s="271"/>
      <c r="R1022" s="271"/>
      <c r="S1022" s="271">
        <v>-85231</v>
      </c>
      <c r="T1022" s="271"/>
      <c r="U1022" s="272">
        <v>1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153</v>
      </c>
      <c r="B1023" s="267" t="s">
        <v>1568</v>
      </c>
      <c r="C1023" s="267" t="s">
        <v>94</v>
      </c>
      <c r="D1023" s="267" t="s">
        <v>92</v>
      </c>
      <c r="E1023" s="267" t="s">
        <v>0</v>
      </c>
      <c r="F1023" s="268"/>
      <c r="G1023" s="269"/>
      <c r="H1023" s="269"/>
      <c r="I1023" s="270"/>
      <c r="J1023" s="268">
        <v>1</v>
      </c>
      <c r="K1023" s="269">
        <v>83466</v>
      </c>
      <c r="L1023" s="269">
        <v>85214</v>
      </c>
      <c r="M1023" s="270">
        <v>1</v>
      </c>
      <c r="N1023" s="268">
        <v>1</v>
      </c>
      <c r="O1023" s="271"/>
      <c r="P1023" s="271">
        <v>83466</v>
      </c>
      <c r="Q1023" s="271"/>
      <c r="R1023" s="271"/>
      <c r="S1023" s="271">
        <v>-85214</v>
      </c>
      <c r="T1023" s="271"/>
      <c r="U1023" s="272">
        <v>1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153</v>
      </c>
      <c r="B1024" s="267" t="s">
        <v>1569</v>
      </c>
      <c r="C1024" s="267" t="s">
        <v>94</v>
      </c>
      <c r="D1024" s="267" t="s">
        <v>92</v>
      </c>
      <c r="E1024" s="267" t="s">
        <v>0</v>
      </c>
      <c r="F1024" s="268"/>
      <c r="G1024" s="269"/>
      <c r="H1024" s="269"/>
      <c r="I1024" s="270"/>
      <c r="J1024" s="268">
        <v>1</v>
      </c>
      <c r="K1024" s="269">
        <v>83167</v>
      </c>
      <c r="L1024" s="269">
        <v>85380</v>
      </c>
      <c r="M1024" s="270">
        <v>1</v>
      </c>
      <c r="N1024" s="268">
        <v>1</v>
      </c>
      <c r="O1024" s="271"/>
      <c r="P1024" s="271">
        <v>83167</v>
      </c>
      <c r="Q1024" s="271"/>
      <c r="R1024" s="271"/>
      <c r="S1024" s="271">
        <v>-85380</v>
      </c>
      <c r="T1024" s="271"/>
      <c r="U1024" s="272">
        <v>1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153</v>
      </c>
      <c r="B1025" s="267" t="s">
        <v>1570</v>
      </c>
      <c r="C1025" s="267" t="s">
        <v>94</v>
      </c>
      <c r="D1025" s="267" t="s">
        <v>92</v>
      </c>
      <c r="E1025" s="267" t="s">
        <v>0</v>
      </c>
      <c r="F1025" s="268"/>
      <c r="G1025" s="269"/>
      <c r="H1025" s="269"/>
      <c r="I1025" s="270"/>
      <c r="J1025" s="268">
        <v>1</v>
      </c>
      <c r="K1025" s="269">
        <v>83253</v>
      </c>
      <c r="L1025" s="269">
        <v>85350</v>
      </c>
      <c r="M1025" s="270">
        <v>1</v>
      </c>
      <c r="N1025" s="268">
        <v>1</v>
      </c>
      <c r="O1025" s="271"/>
      <c r="P1025" s="271">
        <v>83253</v>
      </c>
      <c r="Q1025" s="271"/>
      <c r="R1025" s="271"/>
      <c r="S1025" s="271">
        <v>-85350</v>
      </c>
      <c r="T1025" s="271"/>
      <c r="U1025" s="272">
        <v>1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153</v>
      </c>
      <c r="B1026" s="267" t="s">
        <v>1571</v>
      </c>
      <c r="C1026" s="267" t="s">
        <v>94</v>
      </c>
      <c r="D1026" s="267" t="s">
        <v>92</v>
      </c>
      <c r="E1026" s="267" t="s">
        <v>0</v>
      </c>
      <c r="F1026" s="268"/>
      <c r="G1026" s="269"/>
      <c r="H1026" s="269"/>
      <c r="I1026" s="270"/>
      <c r="J1026" s="268">
        <v>1</v>
      </c>
      <c r="K1026" s="269">
        <v>82997</v>
      </c>
      <c r="L1026" s="269">
        <v>85583</v>
      </c>
      <c r="M1026" s="270">
        <v>1</v>
      </c>
      <c r="N1026" s="268">
        <v>1</v>
      </c>
      <c r="O1026" s="271"/>
      <c r="P1026" s="271">
        <v>82997</v>
      </c>
      <c r="Q1026" s="271"/>
      <c r="R1026" s="271"/>
      <c r="S1026" s="271">
        <v>-85583</v>
      </c>
      <c r="T1026" s="271"/>
      <c r="U1026" s="272">
        <v>1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153</v>
      </c>
      <c r="B1027" s="267" t="s">
        <v>1572</v>
      </c>
      <c r="C1027" s="267" t="s">
        <v>94</v>
      </c>
      <c r="D1027" s="267" t="s">
        <v>92</v>
      </c>
      <c r="E1027" s="267" t="s">
        <v>0</v>
      </c>
      <c r="F1027" s="268"/>
      <c r="G1027" s="269"/>
      <c r="H1027" s="269"/>
      <c r="I1027" s="270"/>
      <c r="J1027" s="268">
        <v>1</v>
      </c>
      <c r="K1027" s="269">
        <v>83164</v>
      </c>
      <c r="L1027" s="269">
        <v>85395</v>
      </c>
      <c r="M1027" s="270">
        <v>1</v>
      </c>
      <c r="N1027" s="268">
        <v>1</v>
      </c>
      <c r="O1027" s="271"/>
      <c r="P1027" s="271">
        <v>83164</v>
      </c>
      <c r="Q1027" s="271"/>
      <c r="R1027" s="271"/>
      <c r="S1027" s="271">
        <v>-85395</v>
      </c>
      <c r="T1027" s="271"/>
      <c r="U1027" s="272">
        <v>1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153</v>
      </c>
      <c r="B1028" s="267" t="s">
        <v>1573</v>
      </c>
      <c r="C1028" s="267" t="s">
        <v>94</v>
      </c>
      <c r="D1028" s="267" t="s">
        <v>92</v>
      </c>
      <c r="E1028" s="267" t="s">
        <v>0</v>
      </c>
      <c r="F1028" s="268"/>
      <c r="G1028" s="269"/>
      <c r="H1028" s="269"/>
      <c r="I1028" s="270"/>
      <c r="J1028" s="268">
        <v>1</v>
      </c>
      <c r="K1028" s="269">
        <v>83087</v>
      </c>
      <c r="L1028" s="269">
        <v>85487</v>
      </c>
      <c r="M1028" s="270">
        <v>1</v>
      </c>
      <c r="N1028" s="268">
        <v>1</v>
      </c>
      <c r="O1028" s="271"/>
      <c r="P1028" s="271">
        <v>83087</v>
      </c>
      <c r="Q1028" s="271"/>
      <c r="R1028" s="271"/>
      <c r="S1028" s="271">
        <v>-85487</v>
      </c>
      <c r="T1028" s="271"/>
      <c r="U1028" s="272">
        <v>1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153</v>
      </c>
      <c r="B1029" s="267" t="s">
        <v>1574</v>
      </c>
      <c r="C1029" s="267" t="s">
        <v>94</v>
      </c>
      <c r="D1029" s="267" t="s">
        <v>92</v>
      </c>
      <c r="E1029" s="267" t="s">
        <v>0</v>
      </c>
      <c r="F1029" s="268"/>
      <c r="G1029" s="269"/>
      <c r="H1029" s="269"/>
      <c r="I1029" s="270"/>
      <c r="J1029" s="268">
        <v>1</v>
      </c>
      <c r="K1029" s="269">
        <v>83240</v>
      </c>
      <c r="L1029" s="269">
        <v>85401</v>
      </c>
      <c r="M1029" s="270">
        <v>1</v>
      </c>
      <c r="N1029" s="268">
        <v>1</v>
      </c>
      <c r="O1029" s="271"/>
      <c r="P1029" s="271">
        <v>83240</v>
      </c>
      <c r="Q1029" s="271"/>
      <c r="R1029" s="271"/>
      <c r="S1029" s="271">
        <v>-85401</v>
      </c>
      <c r="T1029" s="271"/>
      <c r="U1029" s="272">
        <v>1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153</v>
      </c>
      <c r="B1030" s="267" t="s">
        <v>1575</v>
      </c>
      <c r="C1030" s="267" t="s">
        <v>94</v>
      </c>
      <c r="D1030" s="267" t="s">
        <v>92</v>
      </c>
      <c r="E1030" s="267" t="s">
        <v>0</v>
      </c>
      <c r="F1030" s="268"/>
      <c r="G1030" s="269"/>
      <c r="H1030" s="269"/>
      <c r="I1030" s="270"/>
      <c r="J1030" s="268">
        <v>1</v>
      </c>
      <c r="K1030" s="269">
        <v>83134</v>
      </c>
      <c r="L1030" s="269">
        <v>85417</v>
      </c>
      <c r="M1030" s="270">
        <v>1</v>
      </c>
      <c r="N1030" s="268">
        <v>1</v>
      </c>
      <c r="O1030" s="271"/>
      <c r="P1030" s="271">
        <v>83134</v>
      </c>
      <c r="Q1030" s="271"/>
      <c r="R1030" s="271"/>
      <c r="S1030" s="271">
        <v>-85417</v>
      </c>
      <c r="T1030" s="271"/>
      <c r="U1030" s="272">
        <v>1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153</v>
      </c>
      <c r="B1031" s="267" t="s">
        <v>1576</v>
      </c>
      <c r="C1031" s="267" t="s">
        <v>94</v>
      </c>
      <c r="D1031" s="267" t="s">
        <v>92</v>
      </c>
      <c r="E1031" s="267" t="s">
        <v>0</v>
      </c>
      <c r="F1031" s="268"/>
      <c r="G1031" s="269"/>
      <c r="H1031" s="269"/>
      <c r="I1031" s="270"/>
      <c r="J1031" s="268">
        <v>1</v>
      </c>
      <c r="K1031" s="269">
        <v>83260</v>
      </c>
      <c r="L1031" s="269">
        <v>85357</v>
      </c>
      <c r="M1031" s="270">
        <v>1</v>
      </c>
      <c r="N1031" s="268">
        <v>1</v>
      </c>
      <c r="O1031" s="271"/>
      <c r="P1031" s="271">
        <v>83260</v>
      </c>
      <c r="Q1031" s="271"/>
      <c r="R1031" s="271"/>
      <c r="S1031" s="271">
        <v>-85357</v>
      </c>
      <c r="T1031" s="271"/>
      <c r="U1031" s="272">
        <v>1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153</v>
      </c>
      <c r="B1032" s="267" t="s">
        <v>1577</v>
      </c>
      <c r="C1032" s="267" t="s">
        <v>94</v>
      </c>
      <c r="D1032" s="267" t="s">
        <v>92</v>
      </c>
      <c r="E1032" s="267" t="s">
        <v>0</v>
      </c>
      <c r="F1032" s="268"/>
      <c r="G1032" s="269"/>
      <c r="H1032" s="269"/>
      <c r="I1032" s="270"/>
      <c r="J1032" s="268">
        <v>1</v>
      </c>
      <c r="K1032" s="269">
        <v>83007</v>
      </c>
      <c r="L1032" s="269">
        <v>85593</v>
      </c>
      <c r="M1032" s="270">
        <v>1</v>
      </c>
      <c r="N1032" s="268">
        <v>1</v>
      </c>
      <c r="O1032" s="271"/>
      <c r="P1032" s="271">
        <v>83007</v>
      </c>
      <c r="Q1032" s="271"/>
      <c r="R1032" s="271"/>
      <c r="S1032" s="271">
        <v>-85593</v>
      </c>
      <c r="T1032" s="271"/>
      <c r="U1032" s="272">
        <v>1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153</v>
      </c>
      <c r="B1033" s="267" t="s">
        <v>1578</v>
      </c>
      <c r="C1033" s="267" t="s">
        <v>94</v>
      </c>
      <c r="D1033" s="267" t="s">
        <v>92</v>
      </c>
      <c r="E1033" s="267" t="s">
        <v>0</v>
      </c>
      <c r="F1033" s="268"/>
      <c r="G1033" s="269"/>
      <c r="H1033" s="269"/>
      <c r="I1033" s="270"/>
      <c r="J1033" s="268">
        <v>1</v>
      </c>
      <c r="K1033" s="269">
        <v>83181</v>
      </c>
      <c r="L1033" s="269">
        <v>85381</v>
      </c>
      <c r="M1033" s="270">
        <v>1</v>
      </c>
      <c r="N1033" s="268">
        <v>1</v>
      </c>
      <c r="O1033" s="271"/>
      <c r="P1033" s="271">
        <v>83181</v>
      </c>
      <c r="Q1033" s="271"/>
      <c r="R1033" s="271"/>
      <c r="S1033" s="271">
        <v>-85381</v>
      </c>
      <c r="T1033" s="271"/>
      <c r="U1033" s="272">
        <v>1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153</v>
      </c>
      <c r="B1034" s="267" t="s">
        <v>1579</v>
      </c>
      <c r="C1034" s="267" t="s">
        <v>94</v>
      </c>
      <c r="D1034" s="267" t="s">
        <v>92</v>
      </c>
      <c r="E1034" s="267" t="s">
        <v>0</v>
      </c>
      <c r="F1034" s="268"/>
      <c r="G1034" s="269"/>
      <c r="H1034" s="269"/>
      <c r="I1034" s="270"/>
      <c r="J1034" s="268">
        <v>1</v>
      </c>
      <c r="K1034" s="269">
        <v>83047</v>
      </c>
      <c r="L1034" s="269">
        <v>85517</v>
      </c>
      <c r="M1034" s="270">
        <v>1</v>
      </c>
      <c r="N1034" s="268">
        <v>1</v>
      </c>
      <c r="O1034" s="271"/>
      <c r="P1034" s="271">
        <v>83047</v>
      </c>
      <c r="Q1034" s="271"/>
      <c r="R1034" s="271"/>
      <c r="S1034" s="271">
        <v>-85517</v>
      </c>
      <c r="T1034" s="271"/>
      <c r="U1034" s="272">
        <v>1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153</v>
      </c>
      <c r="B1035" s="267" t="s">
        <v>1580</v>
      </c>
      <c r="C1035" s="267" t="s">
        <v>94</v>
      </c>
      <c r="D1035" s="267" t="s">
        <v>92</v>
      </c>
      <c r="E1035" s="267" t="s">
        <v>0</v>
      </c>
      <c r="F1035" s="268"/>
      <c r="G1035" s="269"/>
      <c r="H1035" s="269"/>
      <c r="I1035" s="270"/>
      <c r="J1035" s="268">
        <v>1</v>
      </c>
      <c r="K1035" s="269">
        <v>83187</v>
      </c>
      <c r="L1035" s="269">
        <v>85457</v>
      </c>
      <c r="M1035" s="270">
        <v>1</v>
      </c>
      <c r="N1035" s="268">
        <v>1</v>
      </c>
      <c r="O1035" s="271"/>
      <c r="P1035" s="271">
        <v>83187</v>
      </c>
      <c r="Q1035" s="271"/>
      <c r="R1035" s="271"/>
      <c r="S1035" s="271">
        <v>-85457</v>
      </c>
      <c r="T1035" s="271"/>
      <c r="U1035" s="272">
        <v>1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153</v>
      </c>
      <c r="B1036" s="267" t="s">
        <v>1581</v>
      </c>
      <c r="C1036" s="267" t="s">
        <v>94</v>
      </c>
      <c r="D1036" s="267" t="s">
        <v>92</v>
      </c>
      <c r="E1036" s="267" t="s">
        <v>0</v>
      </c>
      <c r="F1036" s="268"/>
      <c r="G1036" s="269"/>
      <c r="H1036" s="269"/>
      <c r="I1036" s="270"/>
      <c r="J1036" s="268">
        <v>1</v>
      </c>
      <c r="K1036" s="269">
        <v>82988</v>
      </c>
      <c r="L1036" s="269">
        <v>85625</v>
      </c>
      <c r="M1036" s="270">
        <v>1</v>
      </c>
      <c r="N1036" s="268">
        <v>1</v>
      </c>
      <c r="O1036" s="271"/>
      <c r="P1036" s="271">
        <v>82988</v>
      </c>
      <c r="Q1036" s="271"/>
      <c r="R1036" s="271"/>
      <c r="S1036" s="271">
        <v>-85625</v>
      </c>
      <c r="T1036" s="271"/>
      <c r="U1036" s="272">
        <v>1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153</v>
      </c>
      <c r="B1037" s="267" t="s">
        <v>1582</v>
      </c>
      <c r="C1037" s="267" t="s">
        <v>94</v>
      </c>
      <c r="D1037" s="267" t="s">
        <v>92</v>
      </c>
      <c r="E1037" s="267" t="s">
        <v>0</v>
      </c>
      <c r="F1037" s="268"/>
      <c r="G1037" s="269"/>
      <c r="H1037" s="269"/>
      <c r="I1037" s="270"/>
      <c r="J1037" s="268">
        <v>1</v>
      </c>
      <c r="K1037" s="269">
        <v>83025</v>
      </c>
      <c r="L1037" s="269">
        <v>85610</v>
      </c>
      <c r="M1037" s="270">
        <v>1</v>
      </c>
      <c r="N1037" s="268">
        <v>1</v>
      </c>
      <c r="O1037" s="271"/>
      <c r="P1037" s="271">
        <v>83025</v>
      </c>
      <c r="Q1037" s="271"/>
      <c r="R1037" s="271"/>
      <c r="S1037" s="271">
        <v>-85610</v>
      </c>
      <c r="T1037" s="271"/>
      <c r="U1037" s="272">
        <v>1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153</v>
      </c>
      <c r="B1038" s="267" t="s">
        <v>1583</v>
      </c>
      <c r="C1038" s="267" t="s">
        <v>94</v>
      </c>
      <c r="D1038" s="267" t="s">
        <v>92</v>
      </c>
      <c r="E1038" s="267" t="s">
        <v>0</v>
      </c>
      <c r="F1038" s="268"/>
      <c r="G1038" s="269"/>
      <c r="H1038" s="269"/>
      <c r="I1038" s="270"/>
      <c r="J1038" s="268">
        <v>1</v>
      </c>
      <c r="K1038" s="269">
        <v>83025</v>
      </c>
      <c r="L1038" s="269">
        <v>85592</v>
      </c>
      <c r="M1038" s="270">
        <v>1</v>
      </c>
      <c r="N1038" s="268">
        <v>1</v>
      </c>
      <c r="O1038" s="271"/>
      <c r="P1038" s="271">
        <v>83025</v>
      </c>
      <c r="Q1038" s="271"/>
      <c r="R1038" s="271"/>
      <c r="S1038" s="271">
        <v>-85592</v>
      </c>
      <c r="T1038" s="271"/>
      <c r="U1038" s="272">
        <v>1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153</v>
      </c>
      <c r="B1039" s="267" t="s">
        <v>1584</v>
      </c>
      <c r="C1039" s="267" t="s">
        <v>94</v>
      </c>
      <c r="D1039" s="267" t="s">
        <v>92</v>
      </c>
      <c r="E1039" s="267" t="s">
        <v>0</v>
      </c>
      <c r="F1039" s="268"/>
      <c r="G1039" s="269"/>
      <c r="H1039" s="269"/>
      <c r="I1039" s="270"/>
      <c r="J1039" s="268">
        <v>1</v>
      </c>
      <c r="K1039" s="269">
        <v>83032</v>
      </c>
      <c r="L1039" s="269">
        <v>85586</v>
      </c>
      <c r="M1039" s="270">
        <v>1</v>
      </c>
      <c r="N1039" s="268">
        <v>1</v>
      </c>
      <c r="O1039" s="271"/>
      <c r="P1039" s="271">
        <v>83032</v>
      </c>
      <c r="Q1039" s="271"/>
      <c r="R1039" s="271"/>
      <c r="S1039" s="271">
        <v>-85586</v>
      </c>
      <c r="T1039" s="271"/>
      <c r="U1039" s="272">
        <v>1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153</v>
      </c>
      <c r="B1040" s="267" t="s">
        <v>1585</v>
      </c>
      <c r="C1040" s="267" t="s">
        <v>94</v>
      </c>
      <c r="D1040" s="267" t="s">
        <v>92</v>
      </c>
      <c r="E1040" s="267" t="s">
        <v>0</v>
      </c>
      <c r="F1040" s="268"/>
      <c r="G1040" s="269"/>
      <c r="H1040" s="269"/>
      <c r="I1040" s="270"/>
      <c r="J1040" s="268">
        <v>1</v>
      </c>
      <c r="K1040" s="269">
        <v>83185</v>
      </c>
      <c r="L1040" s="269">
        <v>85397</v>
      </c>
      <c r="M1040" s="270">
        <v>1</v>
      </c>
      <c r="N1040" s="268">
        <v>1</v>
      </c>
      <c r="O1040" s="271"/>
      <c r="P1040" s="271">
        <v>83185</v>
      </c>
      <c r="Q1040" s="271"/>
      <c r="R1040" s="271"/>
      <c r="S1040" s="271">
        <v>-85397</v>
      </c>
      <c r="T1040" s="271"/>
      <c r="U1040" s="272">
        <v>1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153</v>
      </c>
      <c r="B1041" s="267" t="s">
        <v>1586</v>
      </c>
      <c r="C1041" s="267" t="s">
        <v>94</v>
      </c>
      <c r="D1041" s="267" t="s">
        <v>92</v>
      </c>
      <c r="E1041" s="267" t="s">
        <v>0</v>
      </c>
      <c r="F1041" s="268"/>
      <c r="G1041" s="269"/>
      <c r="H1041" s="269"/>
      <c r="I1041" s="270"/>
      <c r="J1041" s="268">
        <v>1</v>
      </c>
      <c r="K1041" s="269">
        <v>83169</v>
      </c>
      <c r="L1041" s="269">
        <v>85420</v>
      </c>
      <c r="M1041" s="270">
        <v>1</v>
      </c>
      <c r="N1041" s="268">
        <v>1</v>
      </c>
      <c r="O1041" s="271"/>
      <c r="P1041" s="271">
        <v>83169</v>
      </c>
      <c r="Q1041" s="271"/>
      <c r="R1041" s="271"/>
      <c r="S1041" s="271">
        <v>-85420</v>
      </c>
      <c r="T1041" s="271"/>
      <c r="U1041" s="272">
        <v>1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153</v>
      </c>
      <c r="B1042" s="267" t="s">
        <v>1587</v>
      </c>
      <c r="C1042" s="267" t="s">
        <v>94</v>
      </c>
      <c r="D1042" s="267" t="s">
        <v>92</v>
      </c>
      <c r="E1042" s="267" t="s">
        <v>0</v>
      </c>
      <c r="F1042" s="268"/>
      <c r="G1042" s="269"/>
      <c r="H1042" s="269"/>
      <c r="I1042" s="270"/>
      <c r="J1042" s="268">
        <v>1</v>
      </c>
      <c r="K1042" s="269">
        <v>83459</v>
      </c>
      <c r="L1042" s="269">
        <v>85053</v>
      </c>
      <c r="M1042" s="270">
        <v>1</v>
      </c>
      <c r="N1042" s="268">
        <v>1</v>
      </c>
      <c r="O1042" s="271"/>
      <c r="P1042" s="271">
        <v>83459</v>
      </c>
      <c r="Q1042" s="271"/>
      <c r="R1042" s="271"/>
      <c r="S1042" s="271">
        <v>-85053</v>
      </c>
      <c r="T1042" s="271"/>
      <c r="U1042" s="272">
        <v>1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153</v>
      </c>
      <c r="B1043" s="267" t="s">
        <v>1588</v>
      </c>
      <c r="C1043" s="267" t="s">
        <v>94</v>
      </c>
      <c r="D1043" s="267" t="s">
        <v>92</v>
      </c>
      <c r="E1043" s="267" t="s">
        <v>0</v>
      </c>
      <c r="F1043" s="268"/>
      <c r="G1043" s="269"/>
      <c r="H1043" s="269"/>
      <c r="I1043" s="270"/>
      <c r="J1043" s="268">
        <v>1</v>
      </c>
      <c r="K1043" s="269">
        <v>83406</v>
      </c>
      <c r="L1043" s="269">
        <v>85134</v>
      </c>
      <c r="M1043" s="270">
        <v>1</v>
      </c>
      <c r="N1043" s="268">
        <v>1</v>
      </c>
      <c r="O1043" s="271"/>
      <c r="P1043" s="271">
        <v>83406</v>
      </c>
      <c r="Q1043" s="271"/>
      <c r="R1043" s="271"/>
      <c r="S1043" s="271">
        <v>-85134</v>
      </c>
      <c r="T1043" s="271"/>
      <c r="U1043" s="272">
        <v>1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153</v>
      </c>
      <c r="B1044" s="267" t="s">
        <v>1589</v>
      </c>
      <c r="C1044" s="267" t="s">
        <v>94</v>
      </c>
      <c r="D1044" s="267" t="s">
        <v>92</v>
      </c>
      <c r="E1044" s="267" t="s">
        <v>0</v>
      </c>
      <c r="F1044" s="268"/>
      <c r="G1044" s="269"/>
      <c r="H1044" s="269"/>
      <c r="I1044" s="270"/>
      <c r="J1044" s="268">
        <v>1</v>
      </c>
      <c r="K1044" s="269">
        <v>83426</v>
      </c>
      <c r="L1044" s="269">
        <v>85090</v>
      </c>
      <c r="M1044" s="270">
        <v>1</v>
      </c>
      <c r="N1044" s="268">
        <v>1</v>
      </c>
      <c r="O1044" s="271"/>
      <c r="P1044" s="271">
        <v>83426</v>
      </c>
      <c r="Q1044" s="271"/>
      <c r="R1044" s="271"/>
      <c r="S1044" s="271">
        <v>-85090</v>
      </c>
      <c r="T1044" s="271"/>
      <c r="U1044" s="272">
        <v>1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153</v>
      </c>
      <c r="B1045" s="267" t="s">
        <v>1590</v>
      </c>
      <c r="C1045" s="267" t="s">
        <v>94</v>
      </c>
      <c r="D1045" s="267" t="s">
        <v>92</v>
      </c>
      <c r="E1045" s="267" t="s">
        <v>0</v>
      </c>
      <c r="F1045" s="268"/>
      <c r="G1045" s="269"/>
      <c r="H1045" s="269"/>
      <c r="I1045" s="270"/>
      <c r="J1045" s="268">
        <v>1</v>
      </c>
      <c r="K1045" s="269">
        <v>83393</v>
      </c>
      <c r="L1045" s="269">
        <v>85160</v>
      </c>
      <c r="M1045" s="270">
        <v>1</v>
      </c>
      <c r="N1045" s="268">
        <v>1</v>
      </c>
      <c r="O1045" s="271"/>
      <c r="P1045" s="271">
        <v>83393</v>
      </c>
      <c r="Q1045" s="271"/>
      <c r="R1045" s="271"/>
      <c r="S1045" s="271">
        <v>-85160</v>
      </c>
      <c r="T1045" s="271"/>
      <c r="U1045" s="272">
        <v>1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153</v>
      </c>
      <c r="B1046" s="267" t="s">
        <v>1591</v>
      </c>
      <c r="C1046" s="267" t="s">
        <v>94</v>
      </c>
      <c r="D1046" s="267" t="s">
        <v>92</v>
      </c>
      <c r="E1046" s="267" t="s">
        <v>0</v>
      </c>
      <c r="F1046" s="268"/>
      <c r="G1046" s="269"/>
      <c r="H1046" s="269"/>
      <c r="I1046" s="270"/>
      <c r="J1046" s="268">
        <v>1</v>
      </c>
      <c r="K1046" s="269">
        <v>83582</v>
      </c>
      <c r="L1046" s="269">
        <v>85007</v>
      </c>
      <c r="M1046" s="270">
        <v>1</v>
      </c>
      <c r="N1046" s="268">
        <v>1</v>
      </c>
      <c r="O1046" s="271"/>
      <c r="P1046" s="271">
        <v>83582</v>
      </c>
      <c r="Q1046" s="271"/>
      <c r="R1046" s="271"/>
      <c r="S1046" s="271">
        <v>-85007</v>
      </c>
      <c r="T1046" s="271"/>
      <c r="U1046" s="272">
        <v>1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153</v>
      </c>
      <c r="B1047" s="267" t="s">
        <v>1592</v>
      </c>
      <c r="C1047" s="267" t="s">
        <v>94</v>
      </c>
      <c r="D1047" s="267" t="s">
        <v>92</v>
      </c>
      <c r="E1047" s="267" t="s">
        <v>0</v>
      </c>
      <c r="F1047" s="268"/>
      <c r="G1047" s="269"/>
      <c r="H1047" s="269"/>
      <c r="I1047" s="270"/>
      <c r="J1047" s="268">
        <v>1</v>
      </c>
      <c r="K1047" s="269">
        <v>83596</v>
      </c>
      <c r="L1047" s="269">
        <v>84990</v>
      </c>
      <c r="M1047" s="270">
        <v>1</v>
      </c>
      <c r="N1047" s="268">
        <v>1</v>
      </c>
      <c r="O1047" s="271"/>
      <c r="P1047" s="271">
        <v>83596</v>
      </c>
      <c r="Q1047" s="271"/>
      <c r="R1047" s="271"/>
      <c r="S1047" s="271">
        <v>-84990</v>
      </c>
      <c r="T1047" s="271"/>
      <c r="U1047" s="272">
        <v>1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153</v>
      </c>
      <c r="B1048" s="267" t="s">
        <v>346</v>
      </c>
      <c r="C1048" s="267" t="s">
        <v>94</v>
      </c>
      <c r="D1048" s="267" t="s">
        <v>92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84621</v>
      </c>
      <c r="L1048" s="269">
        <v>84804</v>
      </c>
      <c r="M1048" s="270">
        <v>1</v>
      </c>
      <c r="N1048" s="268">
        <v>1</v>
      </c>
      <c r="O1048" s="271"/>
      <c r="P1048" s="271">
        <v>84621</v>
      </c>
      <c r="Q1048" s="271"/>
      <c r="R1048" s="271"/>
      <c r="S1048" s="271">
        <v>-84804</v>
      </c>
      <c r="T1048" s="271"/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153</v>
      </c>
      <c r="B1049" s="267" t="s">
        <v>347</v>
      </c>
      <c r="C1049" s="267" t="s">
        <v>94</v>
      </c>
      <c r="D1049" s="267" t="s">
        <v>92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84636</v>
      </c>
      <c r="L1049" s="269">
        <v>84799</v>
      </c>
      <c r="M1049" s="270">
        <v>1</v>
      </c>
      <c r="N1049" s="268">
        <v>1</v>
      </c>
      <c r="O1049" s="271"/>
      <c r="P1049" s="271">
        <v>84636</v>
      </c>
      <c r="Q1049" s="271"/>
      <c r="R1049" s="271"/>
      <c r="S1049" s="271">
        <v>-84799</v>
      </c>
      <c r="T1049" s="271"/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153</v>
      </c>
      <c r="B1050" s="267" t="s">
        <v>348</v>
      </c>
      <c r="C1050" s="267" t="s">
        <v>94</v>
      </c>
      <c r="D1050" s="267" t="s">
        <v>92</v>
      </c>
      <c r="E1050" s="267" t="s">
        <v>0</v>
      </c>
      <c r="F1050" s="268"/>
      <c r="G1050" s="269"/>
      <c r="H1050" s="269"/>
      <c r="I1050" s="270"/>
      <c r="J1050" s="268">
        <v>1</v>
      </c>
      <c r="K1050" s="269">
        <v>84657</v>
      </c>
      <c r="L1050" s="269">
        <v>84794</v>
      </c>
      <c r="M1050" s="270">
        <v>1</v>
      </c>
      <c r="N1050" s="268">
        <v>1</v>
      </c>
      <c r="O1050" s="271"/>
      <c r="P1050" s="271">
        <v>84657</v>
      </c>
      <c r="Q1050" s="271"/>
      <c r="R1050" s="271"/>
      <c r="S1050" s="271">
        <v>-84794</v>
      </c>
      <c r="T1050" s="271"/>
      <c r="U1050" s="272">
        <v>1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153</v>
      </c>
      <c r="B1051" s="267" t="s">
        <v>349</v>
      </c>
      <c r="C1051" s="267" t="s">
        <v>94</v>
      </c>
      <c r="D1051" s="267" t="s">
        <v>92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84490</v>
      </c>
      <c r="L1051" s="269">
        <v>84981</v>
      </c>
      <c r="M1051" s="270">
        <v>3</v>
      </c>
      <c r="N1051" s="268">
        <v>1</v>
      </c>
      <c r="O1051" s="271"/>
      <c r="P1051" s="271">
        <v>84490</v>
      </c>
      <c r="Q1051" s="271"/>
      <c r="R1051" s="271"/>
      <c r="S1051" s="271">
        <v>-84981</v>
      </c>
      <c r="T1051" s="271"/>
      <c r="U1051" s="272">
        <v>3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153</v>
      </c>
      <c r="B1052" s="267" t="s">
        <v>1593</v>
      </c>
      <c r="C1052" s="267" t="s">
        <v>94</v>
      </c>
      <c r="D1052" s="267" t="s">
        <v>92</v>
      </c>
      <c r="E1052" s="267" t="s">
        <v>0</v>
      </c>
      <c r="F1052" s="268"/>
      <c r="G1052" s="269"/>
      <c r="H1052" s="269"/>
      <c r="I1052" s="270"/>
      <c r="J1052" s="268">
        <v>1</v>
      </c>
      <c r="K1052" s="269">
        <v>83895</v>
      </c>
      <c r="L1052" s="269">
        <v>85560</v>
      </c>
      <c r="M1052" s="270">
        <v>1</v>
      </c>
      <c r="N1052" s="268">
        <v>1</v>
      </c>
      <c r="O1052" s="271"/>
      <c r="P1052" s="271">
        <v>83895</v>
      </c>
      <c r="Q1052" s="271"/>
      <c r="R1052" s="271"/>
      <c r="S1052" s="271">
        <v>-85560</v>
      </c>
      <c r="T1052" s="271"/>
      <c r="U1052" s="272">
        <v>1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153</v>
      </c>
      <c r="B1053" s="267" t="s">
        <v>350</v>
      </c>
      <c r="C1053" s="267" t="s">
        <v>94</v>
      </c>
      <c r="D1053" s="267" t="s">
        <v>92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84643</v>
      </c>
      <c r="L1053" s="269">
        <v>84785</v>
      </c>
      <c r="M1053" s="270">
        <v>1</v>
      </c>
      <c r="N1053" s="268">
        <v>1</v>
      </c>
      <c r="O1053" s="271"/>
      <c r="P1053" s="271">
        <v>84643</v>
      </c>
      <c r="Q1053" s="271"/>
      <c r="R1053" s="271"/>
      <c r="S1053" s="271">
        <v>-84785</v>
      </c>
      <c r="T1053" s="271"/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153</v>
      </c>
      <c r="B1054" s="267" t="s">
        <v>351</v>
      </c>
      <c r="C1054" s="267" t="s">
        <v>94</v>
      </c>
      <c r="D1054" s="267" t="s">
        <v>92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84678</v>
      </c>
      <c r="L1054" s="269">
        <v>84781</v>
      </c>
      <c r="M1054" s="270">
        <v>1</v>
      </c>
      <c r="N1054" s="268">
        <v>1</v>
      </c>
      <c r="O1054" s="271"/>
      <c r="P1054" s="271">
        <v>84678</v>
      </c>
      <c r="Q1054" s="271"/>
      <c r="R1054" s="271"/>
      <c r="S1054" s="271">
        <v>-84781</v>
      </c>
      <c r="T1054" s="271"/>
      <c r="U1054" s="272">
        <v>1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153</v>
      </c>
      <c r="B1055" s="267" t="s">
        <v>352</v>
      </c>
      <c r="C1055" s="267" t="s">
        <v>94</v>
      </c>
      <c r="D1055" s="267" t="s">
        <v>92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84460</v>
      </c>
      <c r="L1055" s="269">
        <v>85011</v>
      </c>
      <c r="M1055" s="270">
        <v>1</v>
      </c>
      <c r="N1055" s="268">
        <v>1</v>
      </c>
      <c r="O1055" s="271"/>
      <c r="P1055" s="271">
        <v>84460</v>
      </c>
      <c r="Q1055" s="271"/>
      <c r="R1055" s="271"/>
      <c r="S1055" s="271">
        <v>-85011</v>
      </c>
      <c r="T1055" s="271"/>
      <c r="U1055" s="272">
        <v>1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153</v>
      </c>
      <c r="B1056" s="267" t="s">
        <v>1594</v>
      </c>
      <c r="C1056" s="267" t="s">
        <v>94</v>
      </c>
      <c r="D1056" s="267" t="s">
        <v>92</v>
      </c>
      <c r="E1056" s="267" t="s">
        <v>0</v>
      </c>
      <c r="F1056" s="268"/>
      <c r="G1056" s="269"/>
      <c r="H1056" s="269"/>
      <c r="I1056" s="270"/>
      <c r="J1056" s="268">
        <v>1</v>
      </c>
      <c r="K1056" s="269">
        <v>83865</v>
      </c>
      <c r="L1056" s="269">
        <v>85590</v>
      </c>
      <c r="M1056" s="270">
        <v>1</v>
      </c>
      <c r="N1056" s="268">
        <v>1</v>
      </c>
      <c r="O1056" s="271"/>
      <c r="P1056" s="271">
        <v>83865</v>
      </c>
      <c r="Q1056" s="271"/>
      <c r="R1056" s="271"/>
      <c r="S1056" s="271">
        <v>-85590</v>
      </c>
      <c r="T1056" s="271"/>
      <c r="U1056" s="272">
        <v>1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153</v>
      </c>
      <c r="B1057" s="267" t="s">
        <v>353</v>
      </c>
      <c r="C1057" s="267" t="s">
        <v>94</v>
      </c>
      <c r="D1057" s="267" t="s">
        <v>92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84610</v>
      </c>
      <c r="L1057" s="269">
        <v>84822</v>
      </c>
      <c r="M1057" s="270">
        <v>1</v>
      </c>
      <c r="N1057" s="268">
        <v>1</v>
      </c>
      <c r="O1057" s="271"/>
      <c r="P1057" s="271">
        <v>84610</v>
      </c>
      <c r="Q1057" s="271"/>
      <c r="R1057" s="271"/>
      <c r="S1057" s="271">
        <v>-84822</v>
      </c>
      <c r="T1057" s="271"/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153</v>
      </c>
      <c r="B1058" s="267" t="s">
        <v>354</v>
      </c>
      <c r="C1058" s="267" t="s">
        <v>94</v>
      </c>
      <c r="D1058" s="267" t="s">
        <v>92</v>
      </c>
      <c r="E1058" s="267" t="s">
        <v>0</v>
      </c>
      <c r="F1058" s="268"/>
      <c r="G1058" s="269"/>
      <c r="H1058" s="269"/>
      <c r="I1058" s="270"/>
      <c r="J1058" s="268">
        <v>1</v>
      </c>
      <c r="K1058" s="269">
        <v>84676</v>
      </c>
      <c r="L1058" s="269">
        <v>84790</v>
      </c>
      <c r="M1058" s="270">
        <v>1</v>
      </c>
      <c r="N1058" s="268">
        <v>1</v>
      </c>
      <c r="O1058" s="271"/>
      <c r="P1058" s="271">
        <v>84676</v>
      </c>
      <c r="Q1058" s="271"/>
      <c r="R1058" s="271"/>
      <c r="S1058" s="271">
        <v>-84790</v>
      </c>
      <c r="T1058" s="271"/>
      <c r="U1058" s="272">
        <v>1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153</v>
      </c>
      <c r="B1059" s="267" t="s">
        <v>355</v>
      </c>
      <c r="C1059" s="267" t="s">
        <v>94</v>
      </c>
      <c r="D1059" s="267" t="s">
        <v>92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84435</v>
      </c>
      <c r="L1059" s="269">
        <v>85036</v>
      </c>
      <c r="M1059" s="270">
        <v>1</v>
      </c>
      <c r="N1059" s="268">
        <v>1</v>
      </c>
      <c r="O1059" s="271"/>
      <c r="P1059" s="271">
        <v>84435</v>
      </c>
      <c r="Q1059" s="271"/>
      <c r="R1059" s="271"/>
      <c r="S1059" s="271">
        <v>-85036</v>
      </c>
      <c r="T1059" s="271"/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153</v>
      </c>
      <c r="B1060" s="267" t="s">
        <v>1595</v>
      </c>
      <c r="C1060" s="267" t="s">
        <v>94</v>
      </c>
      <c r="D1060" s="267" t="s">
        <v>92</v>
      </c>
      <c r="E1060" s="267" t="s">
        <v>0</v>
      </c>
      <c r="F1060" s="268"/>
      <c r="G1060" s="269"/>
      <c r="H1060" s="269"/>
      <c r="I1060" s="270"/>
      <c r="J1060" s="268">
        <v>1</v>
      </c>
      <c r="K1060" s="269">
        <v>83840</v>
      </c>
      <c r="L1060" s="269">
        <v>85615</v>
      </c>
      <c r="M1060" s="270">
        <v>1</v>
      </c>
      <c r="N1060" s="268">
        <v>1</v>
      </c>
      <c r="O1060" s="271"/>
      <c r="P1060" s="271">
        <v>83840</v>
      </c>
      <c r="Q1060" s="271"/>
      <c r="R1060" s="271"/>
      <c r="S1060" s="271">
        <v>-85615</v>
      </c>
      <c r="T1060" s="271"/>
      <c r="U1060" s="272">
        <v>1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153</v>
      </c>
      <c r="B1061" s="267" t="s">
        <v>356</v>
      </c>
      <c r="C1061" s="267" t="s">
        <v>94</v>
      </c>
      <c r="D1061" s="267" t="s">
        <v>92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84564</v>
      </c>
      <c r="L1061" s="269">
        <v>84853</v>
      </c>
      <c r="M1061" s="270">
        <v>1</v>
      </c>
      <c r="N1061" s="268">
        <v>1</v>
      </c>
      <c r="O1061" s="271"/>
      <c r="P1061" s="271">
        <v>84564</v>
      </c>
      <c r="Q1061" s="271"/>
      <c r="R1061" s="271"/>
      <c r="S1061" s="271">
        <v>-84853</v>
      </c>
      <c r="T1061" s="271"/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153</v>
      </c>
      <c r="B1062" s="267" t="s">
        <v>357</v>
      </c>
      <c r="C1062" s="267" t="s">
        <v>94</v>
      </c>
      <c r="D1062" s="267" t="s">
        <v>92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84595</v>
      </c>
      <c r="L1062" s="269">
        <v>84825</v>
      </c>
      <c r="M1062" s="270">
        <v>1</v>
      </c>
      <c r="N1062" s="268">
        <v>1</v>
      </c>
      <c r="O1062" s="271"/>
      <c r="P1062" s="271">
        <v>84595</v>
      </c>
      <c r="Q1062" s="271"/>
      <c r="R1062" s="271"/>
      <c r="S1062" s="271">
        <v>-84825</v>
      </c>
      <c r="T1062" s="271"/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153</v>
      </c>
      <c r="B1063" s="267" t="s">
        <v>358</v>
      </c>
      <c r="C1063" s="267" t="s">
        <v>94</v>
      </c>
      <c r="D1063" s="267" t="s">
        <v>92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84390</v>
      </c>
      <c r="L1063" s="269">
        <v>85081</v>
      </c>
      <c r="M1063" s="270">
        <v>1</v>
      </c>
      <c r="N1063" s="268">
        <v>1</v>
      </c>
      <c r="O1063" s="271"/>
      <c r="P1063" s="271">
        <v>84390</v>
      </c>
      <c r="Q1063" s="271"/>
      <c r="R1063" s="271"/>
      <c r="S1063" s="271">
        <v>-85081</v>
      </c>
      <c r="T1063" s="271"/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153</v>
      </c>
      <c r="B1064" s="267" t="s">
        <v>1596</v>
      </c>
      <c r="C1064" s="267" t="s">
        <v>94</v>
      </c>
      <c r="D1064" s="267" t="s">
        <v>92</v>
      </c>
      <c r="E1064" s="267" t="s">
        <v>0</v>
      </c>
      <c r="F1064" s="268"/>
      <c r="G1064" s="269"/>
      <c r="H1064" s="269"/>
      <c r="I1064" s="270"/>
      <c r="J1064" s="268">
        <v>1</v>
      </c>
      <c r="K1064" s="269">
        <v>84005</v>
      </c>
      <c r="L1064" s="269">
        <v>85630</v>
      </c>
      <c r="M1064" s="270">
        <v>1</v>
      </c>
      <c r="N1064" s="268">
        <v>1</v>
      </c>
      <c r="O1064" s="271"/>
      <c r="P1064" s="271">
        <v>84005</v>
      </c>
      <c r="Q1064" s="271"/>
      <c r="R1064" s="271"/>
      <c r="S1064" s="271">
        <v>-85630</v>
      </c>
      <c r="T1064" s="271"/>
      <c r="U1064" s="272">
        <v>1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153</v>
      </c>
      <c r="B1065" s="267" t="s">
        <v>359</v>
      </c>
      <c r="C1065" s="267" t="s">
        <v>94</v>
      </c>
      <c r="D1065" s="267" t="s">
        <v>92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84291</v>
      </c>
      <c r="L1065" s="269">
        <v>85134</v>
      </c>
      <c r="M1065" s="270">
        <v>1</v>
      </c>
      <c r="N1065" s="268">
        <v>1</v>
      </c>
      <c r="O1065" s="271"/>
      <c r="P1065" s="271">
        <v>84291</v>
      </c>
      <c r="Q1065" s="271"/>
      <c r="R1065" s="271"/>
      <c r="S1065" s="271">
        <v>-85134</v>
      </c>
      <c r="T1065" s="271"/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153</v>
      </c>
      <c r="B1066" s="267" t="s">
        <v>360</v>
      </c>
      <c r="C1066" s="267" t="s">
        <v>94</v>
      </c>
      <c r="D1066" s="267" t="s">
        <v>92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84306</v>
      </c>
      <c r="L1066" s="269">
        <v>85129</v>
      </c>
      <c r="M1066" s="270">
        <v>1</v>
      </c>
      <c r="N1066" s="268">
        <v>1</v>
      </c>
      <c r="O1066" s="271"/>
      <c r="P1066" s="271">
        <v>84306</v>
      </c>
      <c r="Q1066" s="271"/>
      <c r="R1066" s="271"/>
      <c r="S1066" s="271">
        <v>-85129</v>
      </c>
      <c r="T1066" s="271"/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153</v>
      </c>
      <c r="B1067" s="267" t="s">
        <v>361</v>
      </c>
      <c r="C1067" s="267" t="s">
        <v>94</v>
      </c>
      <c r="D1067" s="267" t="s">
        <v>92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84327</v>
      </c>
      <c r="L1067" s="269">
        <v>85124</v>
      </c>
      <c r="M1067" s="270">
        <v>1</v>
      </c>
      <c r="N1067" s="268">
        <v>1</v>
      </c>
      <c r="O1067" s="271"/>
      <c r="P1067" s="271">
        <v>84327</v>
      </c>
      <c r="Q1067" s="271"/>
      <c r="R1067" s="271"/>
      <c r="S1067" s="271">
        <v>-85124</v>
      </c>
      <c r="T1067" s="271"/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153</v>
      </c>
      <c r="B1068" s="267" t="s">
        <v>1597</v>
      </c>
      <c r="C1068" s="267" t="s">
        <v>94</v>
      </c>
      <c r="D1068" s="267" t="s">
        <v>92</v>
      </c>
      <c r="E1068" s="267" t="s">
        <v>0</v>
      </c>
      <c r="F1068" s="268"/>
      <c r="G1068" s="269"/>
      <c r="H1068" s="269"/>
      <c r="I1068" s="270"/>
      <c r="J1068" s="268">
        <v>1</v>
      </c>
      <c r="K1068" s="269">
        <v>83955</v>
      </c>
      <c r="L1068" s="269">
        <v>85555</v>
      </c>
      <c r="M1068" s="270">
        <v>1</v>
      </c>
      <c r="N1068" s="268">
        <v>1</v>
      </c>
      <c r="O1068" s="271"/>
      <c r="P1068" s="271">
        <v>83955</v>
      </c>
      <c r="Q1068" s="271"/>
      <c r="R1068" s="271"/>
      <c r="S1068" s="271">
        <v>-85555</v>
      </c>
      <c r="T1068" s="271"/>
      <c r="U1068" s="272">
        <v>1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153</v>
      </c>
      <c r="B1069" s="267" t="s">
        <v>1598</v>
      </c>
      <c r="C1069" s="267" t="s">
        <v>94</v>
      </c>
      <c r="D1069" s="267" t="s">
        <v>92</v>
      </c>
      <c r="E1069" s="267" t="s">
        <v>0</v>
      </c>
      <c r="F1069" s="268"/>
      <c r="G1069" s="269"/>
      <c r="H1069" s="269"/>
      <c r="I1069" s="270"/>
      <c r="J1069" s="268">
        <v>1</v>
      </c>
      <c r="K1069" s="269">
        <v>83881</v>
      </c>
      <c r="L1069" s="269">
        <v>85544</v>
      </c>
      <c r="M1069" s="270">
        <v>1</v>
      </c>
      <c r="N1069" s="268">
        <v>1</v>
      </c>
      <c r="O1069" s="271"/>
      <c r="P1069" s="271">
        <v>83881</v>
      </c>
      <c r="Q1069" s="271"/>
      <c r="R1069" s="271"/>
      <c r="S1069" s="271">
        <v>-85544</v>
      </c>
      <c r="T1069" s="271"/>
      <c r="U1069" s="272">
        <v>1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153</v>
      </c>
      <c r="B1070" s="267" t="s">
        <v>1599</v>
      </c>
      <c r="C1070" s="267" t="s">
        <v>94</v>
      </c>
      <c r="D1070" s="267" t="s">
        <v>92</v>
      </c>
      <c r="E1070" s="267" t="s">
        <v>0</v>
      </c>
      <c r="F1070" s="268"/>
      <c r="G1070" s="269"/>
      <c r="H1070" s="269"/>
      <c r="I1070" s="270"/>
      <c r="J1070" s="268">
        <v>1</v>
      </c>
      <c r="K1070" s="269">
        <v>83896</v>
      </c>
      <c r="L1070" s="269">
        <v>85539</v>
      </c>
      <c r="M1070" s="270">
        <v>1</v>
      </c>
      <c r="N1070" s="268">
        <v>1</v>
      </c>
      <c r="O1070" s="271"/>
      <c r="P1070" s="271">
        <v>83896</v>
      </c>
      <c r="Q1070" s="271"/>
      <c r="R1070" s="271"/>
      <c r="S1070" s="271">
        <v>-85539</v>
      </c>
      <c r="T1070" s="271"/>
      <c r="U1070" s="272">
        <v>1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153</v>
      </c>
      <c r="B1071" s="267" t="s">
        <v>1600</v>
      </c>
      <c r="C1071" s="267" t="s">
        <v>94</v>
      </c>
      <c r="D1071" s="267" t="s">
        <v>92</v>
      </c>
      <c r="E1071" s="267" t="s">
        <v>0</v>
      </c>
      <c r="F1071" s="268"/>
      <c r="G1071" s="269"/>
      <c r="H1071" s="269"/>
      <c r="I1071" s="270"/>
      <c r="J1071" s="268">
        <v>1</v>
      </c>
      <c r="K1071" s="269">
        <v>83947</v>
      </c>
      <c r="L1071" s="269">
        <v>85324</v>
      </c>
      <c r="M1071" s="270">
        <v>1</v>
      </c>
      <c r="N1071" s="268">
        <v>1</v>
      </c>
      <c r="O1071" s="271"/>
      <c r="P1071" s="271">
        <v>83947</v>
      </c>
      <c r="Q1071" s="271"/>
      <c r="R1071" s="271"/>
      <c r="S1071" s="271">
        <v>-85324</v>
      </c>
      <c r="T1071" s="271"/>
      <c r="U1071" s="272">
        <v>1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153</v>
      </c>
      <c r="B1072" s="267" t="s">
        <v>1601</v>
      </c>
      <c r="C1072" s="267" t="s">
        <v>94</v>
      </c>
      <c r="D1072" s="267" t="s">
        <v>92</v>
      </c>
      <c r="E1072" s="267" t="s">
        <v>0</v>
      </c>
      <c r="F1072" s="268"/>
      <c r="G1072" s="269"/>
      <c r="H1072" s="269"/>
      <c r="I1072" s="270"/>
      <c r="J1072" s="268">
        <v>1</v>
      </c>
      <c r="K1072" s="269">
        <v>84085</v>
      </c>
      <c r="L1072" s="269">
        <v>85331</v>
      </c>
      <c r="M1072" s="270">
        <v>1</v>
      </c>
      <c r="N1072" s="268">
        <v>1</v>
      </c>
      <c r="O1072" s="271"/>
      <c r="P1072" s="271">
        <v>84085</v>
      </c>
      <c r="Q1072" s="271"/>
      <c r="R1072" s="271"/>
      <c r="S1072" s="271">
        <v>-85331</v>
      </c>
      <c r="T1072" s="271"/>
      <c r="U1072" s="272">
        <v>1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153</v>
      </c>
      <c r="B1073" s="267" t="s">
        <v>362</v>
      </c>
      <c r="C1073" s="267" t="s">
        <v>94</v>
      </c>
      <c r="D1073" s="267" t="s">
        <v>92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84683</v>
      </c>
      <c r="L1073" s="269">
        <v>84776</v>
      </c>
      <c r="M1073" s="270">
        <v>1</v>
      </c>
      <c r="N1073" s="268">
        <v>1</v>
      </c>
      <c r="O1073" s="271"/>
      <c r="P1073" s="271">
        <v>84683</v>
      </c>
      <c r="Q1073" s="271"/>
      <c r="R1073" s="271"/>
      <c r="S1073" s="271">
        <v>-84776</v>
      </c>
      <c r="T1073" s="271"/>
      <c r="U1073" s="272">
        <v>1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153</v>
      </c>
      <c r="B1074" s="267" t="s">
        <v>363</v>
      </c>
      <c r="C1074" s="267" t="s">
        <v>94</v>
      </c>
      <c r="D1074" s="267" t="s">
        <v>92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84442</v>
      </c>
      <c r="L1074" s="269">
        <v>85022</v>
      </c>
      <c r="M1074" s="270">
        <v>1</v>
      </c>
      <c r="N1074" s="268">
        <v>1</v>
      </c>
      <c r="O1074" s="271"/>
      <c r="P1074" s="271">
        <v>84442</v>
      </c>
      <c r="Q1074" s="271"/>
      <c r="R1074" s="271"/>
      <c r="S1074" s="271">
        <v>-85022</v>
      </c>
      <c r="T1074" s="271"/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153</v>
      </c>
      <c r="B1075" s="267" t="s">
        <v>1602</v>
      </c>
      <c r="C1075" s="267" t="s">
        <v>94</v>
      </c>
      <c r="D1075" s="267" t="s">
        <v>92</v>
      </c>
      <c r="E1075" s="267" t="s">
        <v>0</v>
      </c>
      <c r="F1075" s="268"/>
      <c r="G1075" s="269"/>
      <c r="H1075" s="269"/>
      <c r="I1075" s="270"/>
      <c r="J1075" s="268">
        <v>1</v>
      </c>
      <c r="K1075" s="269">
        <v>83847</v>
      </c>
      <c r="L1075" s="269">
        <v>85601</v>
      </c>
      <c r="M1075" s="270">
        <v>1</v>
      </c>
      <c r="N1075" s="268">
        <v>1</v>
      </c>
      <c r="O1075" s="271"/>
      <c r="P1075" s="271">
        <v>83847</v>
      </c>
      <c r="Q1075" s="271"/>
      <c r="R1075" s="271"/>
      <c r="S1075" s="271">
        <v>-85601</v>
      </c>
      <c r="T1075" s="271"/>
      <c r="U1075" s="272">
        <v>1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153</v>
      </c>
      <c r="B1076" s="267" t="s">
        <v>364</v>
      </c>
      <c r="C1076" s="267" t="s">
        <v>94</v>
      </c>
      <c r="D1076" s="267" t="s">
        <v>92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84616</v>
      </c>
      <c r="L1076" s="269">
        <v>84812</v>
      </c>
      <c r="M1076" s="270">
        <v>1</v>
      </c>
      <c r="N1076" s="268">
        <v>1</v>
      </c>
      <c r="O1076" s="271"/>
      <c r="P1076" s="271">
        <v>84616</v>
      </c>
      <c r="Q1076" s="271"/>
      <c r="R1076" s="271"/>
      <c r="S1076" s="271">
        <v>-84812</v>
      </c>
      <c r="T1076" s="271"/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153</v>
      </c>
      <c r="B1077" s="267" t="s">
        <v>365</v>
      </c>
      <c r="C1077" s="267" t="s">
        <v>94</v>
      </c>
      <c r="D1077" s="267" t="s">
        <v>92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84411</v>
      </c>
      <c r="L1077" s="269">
        <v>85068</v>
      </c>
      <c r="M1077" s="270">
        <v>1</v>
      </c>
      <c r="N1077" s="268">
        <v>1</v>
      </c>
      <c r="O1077" s="271"/>
      <c r="P1077" s="271">
        <v>84411</v>
      </c>
      <c r="Q1077" s="271"/>
      <c r="R1077" s="271"/>
      <c r="S1077" s="271">
        <v>-85068</v>
      </c>
      <c r="T1077" s="271"/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153</v>
      </c>
      <c r="B1078" s="267" t="s">
        <v>1603</v>
      </c>
      <c r="C1078" s="267" t="s">
        <v>94</v>
      </c>
      <c r="D1078" s="267" t="s">
        <v>92</v>
      </c>
      <c r="E1078" s="267" t="s">
        <v>0</v>
      </c>
      <c r="F1078" s="268"/>
      <c r="G1078" s="269"/>
      <c r="H1078" s="269"/>
      <c r="I1078" s="270"/>
      <c r="J1078" s="268">
        <v>1</v>
      </c>
      <c r="K1078" s="269">
        <v>84026</v>
      </c>
      <c r="L1078" s="269">
        <v>85617</v>
      </c>
      <c r="M1078" s="270">
        <v>1</v>
      </c>
      <c r="N1078" s="268">
        <v>1</v>
      </c>
      <c r="O1078" s="271"/>
      <c r="P1078" s="271">
        <v>84026</v>
      </c>
      <c r="Q1078" s="271"/>
      <c r="R1078" s="271"/>
      <c r="S1078" s="271">
        <v>-85617</v>
      </c>
      <c r="T1078" s="271"/>
      <c r="U1078" s="272">
        <v>1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153</v>
      </c>
      <c r="B1079" s="267" t="s">
        <v>366</v>
      </c>
      <c r="C1079" s="267" t="s">
        <v>94</v>
      </c>
      <c r="D1079" s="267" t="s">
        <v>92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84276</v>
      </c>
      <c r="L1079" s="269">
        <v>85159</v>
      </c>
      <c r="M1079" s="270">
        <v>1</v>
      </c>
      <c r="N1079" s="268">
        <v>1</v>
      </c>
      <c r="O1079" s="271"/>
      <c r="P1079" s="271">
        <v>84276</v>
      </c>
      <c r="Q1079" s="271"/>
      <c r="R1079" s="271"/>
      <c r="S1079" s="271">
        <v>-85159</v>
      </c>
      <c r="T1079" s="271"/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153</v>
      </c>
      <c r="B1080" s="267" t="s">
        <v>367</v>
      </c>
      <c r="C1080" s="267" t="s">
        <v>94</v>
      </c>
      <c r="D1080" s="267" t="s">
        <v>92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84297</v>
      </c>
      <c r="L1080" s="269">
        <v>85154</v>
      </c>
      <c r="M1080" s="270">
        <v>1</v>
      </c>
      <c r="N1080" s="268">
        <v>1</v>
      </c>
      <c r="O1080" s="271"/>
      <c r="P1080" s="271">
        <v>84297</v>
      </c>
      <c r="Q1080" s="271"/>
      <c r="R1080" s="271"/>
      <c r="S1080" s="271">
        <v>-85154</v>
      </c>
      <c r="T1080" s="271"/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153</v>
      </c>
      <c r="B1081" s="267" t="s">
        <v>1604</v>
      </c>
      <c r="C1081" s="267" t="s">
        <v>94</v>
      </c>
      <c r="D1081" s="267" t="s">
        <v>92</v>
      </c>
      <c r="E1081" s="267" t="s">
        <v>0</v>
      </c>
      <c r="F1081" s="268"/>
      <c r="G1081" s="269"/>
      <c r="H1081" s="269"/>
      <c r="I1081" s="270"/>
      <c r="J1081" s="268">
        <v>1</v>
      </c>
      <c r="K1081" s="269">
        <v>83925</v>
      </c>
      <c r="L1081" s="269">
        <v>85585</v>
      </c>
      <c r="M1081" s="270">
        <v>1</v>
      </c>
      <c r="N1081" s="268">
        <v>1</v>
      </c>
      <c r="O1081" s="271"/>
      <c r="P1081" s="271">
        <v>83925</v>
      </c>
      <c r="Q1081" s="271"/>
      <c r="R1081" s="271"/>
      <c r="S1081" s="271">
        <v>-85585</v>
      </c>
      <c r="T1081" s="271"/>
      <c r="U1081" s="272">
        <v>1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153</v>
      </c>
      <c r="B1082" s="267" t="s">
        <v>1605</v>
      </c>
      <c r="C1082" s="267" t="s">
        <v>94</v>
      </c>
      <c r="D1082" s="267" t="s">
        <v>92</v>
      </c>
      <c r="E1082" s="267" t="s">
        <v>0</v>
      </c>
      <c r="F1082" s="268"/>
      <c r="G1082" s="269"/>
      <c r="H1082" s="269"/>
      <c r="I1082" s="270"/>
      <c r="J1082" s="268">
        <v>1</v>
      </c>
      <c r="K1082" s="269">
        <v>83866</v>
      </c>
      <c r="L1082" s="269">
        <v>85569</v>
      </c>
      <c r="M1082" s="270">
        <v>1</v>
      </c>
      <c r="N1082" s="268">
        <v>1</v>
      </c>
      <c r="O1082" s="271"/>
      <c r="P1082" s="271">
        <v>83866</v>
      </c>
      <c r="Q1082" s="271"/>
      <c r="R1082" s="271"/>
      <c r="S1082" s="271">
        <v>-85569</v>
      </c>
      <c r="T1082" s="271"/>
      <c r="U1082" s="272">
        <v>1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153</v>
      </c>
      <c r="B1083" s="267" t="s">
        <v>1606</v>
      </c>
      <c r="C1083" s="267" t="s">
        <v>94</v>
      </c>
      <c r="D1083" s="267" t="s">
        <v>92</v>
      </c>
      <c r="E1083" s="267" t="s">
        <v>0</v>
      </c>
      <c r="F1083" s="268"/>
      <c r="G1083" s="269"/>
      <c r="H1083" s="269"/>
      <c r="I1083" s="270"/>
      <c r="J1083" s="268">
        <v>1</v>
      </c>
      <c r="K1083" s="269">
        <v>83917</v>
      </c>
      <c r="L1083" s="269">
        <v>85354</v>
      </c>
      <c r="M1083" s="270">
        <v>1</v>
      </c>
      <c r="N1083" s="268">
        <v>1</v>
      </c>
      <c r="O1083" s="271"/>
      <c r="P1083" s="271">
        <v>83917</v>
      </c>
      <c r="Q1083" s="271"/>
      <c r="R1083" s="271"/>
      <c r="S1083" s="271">
        <v>-85354</v>
      </c>
      <c r="T1083" s="271"/>
      <c r="U1083" s="272">
        <v>1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153</v>
      </c>
      <c r="B1084" s="267" t="s">
        <v>1607</v>
      </c>
      <c r="C1084" s="267" t="s">
        <v>94</v>
      </c>
      <c r="D1084" s="267" t="s">
        <v>92</v>
      </c>
      <c r="E1084" s="267" t="s">
        <v>0</v>
      </c>
      <c r="F1084" s="268"/>
      <c r="G1084" s="269"/>
      <c r="H1084" s="269"/>
      <c r="I1084" s="270"/>
      <c r="J1084" s="268">
        <v>1</v>
      </c>
      <c r="K1084" s="269">
        <v>84055</v>
      </c>
      <c r="L1084" s="269">
        <v>85361</v>
      </c>
      <c r="M1084" s="270">
        <v>1</v>
      </c>
      <c r="N1084" s="268">
        <v>1</v>
      </c>
      <c r="O1084" s="271"/>
      <c r="P1084" s="271">
        <v>84055</v>
      </c>
      <c r="Q1084" s="271"/>
      <c r="R1084" s="271"/>
      <c r="S1084" s="271">
        <v>-85361</v>
      </c>
      <c r="T1084" s="271"/>
      <c r="U1084" s="272">
        <v>1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153</v>
      </c>
      <c r="B1085" s="267" t="s">
        <v>368</v>
      </c>
      <c r="C1085" s="267" t="s">
        <v>94</v>
      </c>
      <c r="D1085" s="267" t="s">
        <v>92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84667</v>
      </c>
      <c r="L1085" s="269">
        <v>84799</v>
      </c>
      <c r="M1085" s="270">
        <v>1</v>
      </c>
      <c r="N1085" s="268">
        <v>1</v>
      </c>
      <c r="O1085" s="271"/>
      <c r="P1085" s="271">
        <v>84667</v>
      </c>
      <c r="Q1085" s="271"/>
      <c r="R1085" s="271"/>
      <c r="S1085" s="271">
        <v>-84799</v>
      </c>
      <c r="T1085" s="271"/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153</v>
      </c>
      <c r="B1086" s="267" t="s">
        <v>369</v>
      </c>
      <c r="C1086" s="267" t="s">
        <v>94</v>
      </c>
      <c r="D1086" s="267" t="s">
        <v>92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84449</v>
      </c>
      <c r="L1086" s="269">
        <v>85029</v>
      </c>
      <c r="M1086" s="270">
        <v>1</v>
      </c>
      <c r="N1086" s="268">
        <v>1</v>
      </c>
      <c r="O1086" s="271"/>
      <c r="P1086" s="271">
        <v>84449</v>
      </c>
      <c r="Q1086" s="271"/>
      <c r="R1086" s="271"/>
      <c r="S1086" s="271">
        <v>-85029</v>
      </c>
      <c r="T1086" s="271"/>
      <c r="U1086" s="272">
        <v>1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153</v>
      </c>
      <c r="B1087" s="267" t="s">
        <v>1608</v>
      </c>
      <c r="C1087" s="267" t="s">
        <v>94</v>
      </c>
      <c r="D1087" s="267" t="s">
        <v>92</v>
      </c>
      <c r="E1087" s="267" t="s">
        <v>0</v>
      </c>
      <c r="F1087" s="268"/>
      <c r="G1087" s="269"/>
      <c r="H1087" s="269"/>
      <c r="I1087" s="270"/>
      <c r="J1087" s="268">
        <v>1</v>
      </c>
      <c r="K1087" s="269">
        <v>83854</v>
      </c>
      <c r="L1087" s="269">
        <v>85608</v>
      </c>
      <c r="M1087" s="270">
        <v>1</v>
      </c>
      <c r="N1087" s="268">
        <v>1</v>
      </c>
      <c r="O1087" s="271"/>
      <c r="P1087" s="271">
        <v>83854</v>
      </c>
      <c r="Q1087" s="271"/>
      <c r="R1087" s="271"/>
      <c r="S1087" s="271">
        <v>-85608</v>
      </c>
      <c r="T1087" s="271"/>
      <c r="U1087" s="272">
        <v>1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153</v>
      </c>
      <c r="B1088" s="267" t="s">
        <v>370</v>
      </c>
      <c r="C1088" s="267" t="s">
        <v>94</v>
      </c>
      <c r="D1088" s="267" t="s">
        <v>92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84583</v>
      </c>
      <c r="L1088" s="269">
        <v>84849</v>
      </c>
      <c r="M1088" s="270">
        <v>1</v>
      </c>
      <c r="N1088" s="268">
        <v>1</v>
      </c>
      <c r="O1088" s="271"/>
      <c r="P1088" s="271">
        <v>84583</v>
      </c>
      <c r="Q1088" s="271"/>
      <c r="R1088" s="271"/>
      <c r="S1088" s="271">
        <v>-84849</v>
      </c>
      <c r="T1088" s="271"/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153</v>
      </c>
      <c r="B1089" s="267" t="s">
        <v>371</v>
      </c>
      <c r="C1089" s="267" t="s">
        <v>94</v>
      </c>
      <c r="D1089" s="267" t="s">
        <v>92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84409</v>
      </c>
      <c r="L1089" s="269">
        <v>85077</v>
      </c>
      <c r="M1089" s="270">
        <v>1</v>
      </c>
      <c r="N1089" s="268">
        <v>1</v>
      </c>
      <c r="O1089" s="271"/>
      <c r="P1089" s="271">
        <v>84409</v>
      </c>
      <c r="Q1089" s="271"/>
      <c r="R1089" s="271"/>
      <c r="S1089" s="271">
        <v>-85077</v>
      </c>
      <c r="T1089" s="271"/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153</v>
      </c>
      <c r="B1090" s="267" t="s">
        <v>1609</v>
      </c>
      <c r="C1090" s="267" t="s">
        <v>94</v>
      </c>
      <c r="D1090" s="267" t="s">
        <v>92</v>
      </c>
      <c r="E1090" s="267" t="s">
        <v>0</v>
      </c>
      <c r="F1090" s="268"/>
      <c r="G1090" s="269"/>
      <c r="H1090" s="269"/>
      <c r="I1090" s="270"/>
      <c r="J1090" s="268">
        <v>1</v>
      </c>
      <c r="K1090" s="269">
        <v>84024</v>
      </c>
      <c r="L1090" s="269">
        <v>85626</v>
      </c>
      <c r="M1090" s="270">
        <v>1</v>
      </c>
      <c r="N1090" s="268">
        <v>1</v>
      </c>
      <c r="O1090" s="271"/>
      <c r="P1090" s="271">
        <v>84024</v>
      </c>
      <c r="Q1090" s="271"/>
      <c r="R1090" s="271"/>
      <c r="S1090" s="271">
        <v>-85626</v>
      </c>
      <c r="T1090" s="271"/>
      <c r="U1090" s="272">
        <v>1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153</v>
      </c>
      <c r="B1091" s="267" t="s">
        <v>372</v>
      </c>
      <c r="C1091" s="267" t="s">
        <v>94</v>
      </c>
      <c r="D1091" s="267" t="s">
        <v>92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84236</v>
      </c>
      <c r="L1091" s="269">
        <v>85189</v>
      </c>
      <c r="M1091" s="270">
        <v>1</v>
      </c>
      <c r="N1091" s="268">
        <v>1</v>
      </c>
      <c r="O1091" s="271"/>
      <c r="P1091" s="271">
        <v>84236</v>
      </c>
      <c r="Q1091" s="271"/>
      <c r="R1091" s="271"/>
      <c r="S1091" s="271">
        <v>-85189</v>
      </c>
      <c r="T1091" s="271"/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153</v>
      </c>
      <c r="B1092" s="267" t="s">
        <v>373</v>
      </c>
      <c r="C1092" s="267" t="s">
        <v>94</v>
      </c>
      <c r="D1092" s="267" t="s">
        <v>92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84272</v>
      </c>
      <c r="L1092" s="269">
        <v>85179</v>
      </c>
      <c r="M1092" s="270">
        <v>1</v>
      </c>
      <c r="N1092" s="268">
        <v>1</v>
      </c>
      <c r="O1092" s="271"/>
      <c r="P1092" s="271">
        <v>84272</v>
      </c>
      <c r="Q1092" s="271"/>
      <c r="R1092" s="271"/>
      <c r="S1092" s="271">
        <v>-85179</v>
      </c>
      <c r="T1092" s="271"/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153</v>
      </c>
      <c r="B1093" s="267" t="s">
        <v>1610</v>
      </c>
      <c r="C1093" s="267" t="s">
        <v>94</v>
      </c>
      <c r="D1093" s="267" t="s">
        <v>92</v>
      </c>
      <c r="E1093" s="267" t="s">
        <v>0</v>
      </c>
      <c r="F1093" s="268"/>
      <c r="G1093" s="269"/>
      <c r="H1093" s="269"/>
      <c r="I1093" s="270"/>
      <c r="J1093" s="268">
        <v>1</v>
      </c>
      <c r="K1093" s="269">
        <v>83900</v>
      </c>
      <c r="L1093" s="269">
        <v>85610</v>
      </c>
      <c r="M1093" s="270">
        <v>1</v>
      </c>
      <c r="N1093" s="268">
        <v>1</v>
      </c>
      <c r="O1093" s="271"/>
      <c r="P1093" s="271">
        <v>83900</v>
      </c>
      <c r="Q1093" s="271"/>
      <c r="R1093" s="271"/>
      <c r="S1093" s="271">
        <v>-85610</v>
      </c>
      <c r="T1093" s="271"/>
      <c r="U1093" s="272">
        <v>1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153</v>
      </c>
      <c r="B1094" s="267" t="s">
        <v>1611</v>
      </c>
      <c r="C1094" s="267" t="s">
        <v>94</v>
      </c>
      <c r="D1094" s="267" t="s">
        <v>92</v>
      </c>
      <c r="E1094" s="267" t="s">
        <v>0</v>
      </c>
      <c r="F1094" s="268"/>
      <c r="G1094" s="269"/>
      <c r="H1094" s="269"/>
      <c r="I1094" s="270"/>
      <c r="J1094" s="268">
        <v>1</v>
      </c>
      <c r="K1094" s="269">
        <v>83826</v>
      </c>
      <c r="L1094" s="269">
        <v>85599</v>
      </c>
      <c r="M1094" s="270">
        <v>1</v>
      </c>
      <c r="N1094" s="268">
        <v>1</v>
      </c>
      <c r="O1094" s="271"/>
      <c r="P1094" s="271">
        <v>83826</v>
      </c>
      <c r="Q1094" s="271"/>
      <c r="R1094" s="271"/>
      <c r="S1094" s="271">
        <v>-85599</v>
      </c>
      <c r="T1094" s="271"/>
      <c r="U1094" s="272">
        <v>1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153</v>
      </c>
      <c r="B1095" s="267" t="s">
        <v>1612</v>
      </c>
      <c r="C1095" s="267" t="s">
        <v>94</v>
      </c>
      <c r="D1095" s="267" t="s">
        <v>92</v>
      </c>
      <c r="E1095" s="267" t="s">
        <v>0</v>
      </c>
      <c r="F1095" s="268"/>
      <c r="G1095" s="269"/>
      <c r="H1095" s="269"/>
      <c r="I1095" s="270"/>
      <c r="J1095" s="268">
        <v>1</v>
      </c>
      <c r="K1095" s="269">
        <v>83892</v>
      </c>
      <c r="L1095" s="269">
        <v>85379</v>
      </c>
      <c r="M1095" s="270">
        <v>1</v>
      </c>
      <c r="N1095" s="268">
        <v>1</v>
      </c>
      <c r="O1095" s="271"/>
      <c r="P1095" s="271">
        <v>83892</v>
      </c>
      <c r="Q1095" s="271"/>
      <c r="R1095" s="271"/>
      <c r="S1095" s="271">
        <v>-85379</v>
      </c>
      <c r="T1095" s="271"/>
      <c r="U1095" s="272">
        <v>1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153</v>
      </c>
      <c r="B1096" s="267" t="s">
        <v>1613</v>
      </c>
      <c r="C1096" s="267" t="s">
        <v>94</v>
      </c>
      <c r="D1096" s="267" t="s">
        <v>92</v>
      </c>
      <c r="E1096" s="267" t="s">
        <v>0</v>
      </c>
      <c r="F1096" s="268"/>
      <c r="G1096" s="269"/>
      <c r="H1096" s="269"/>
      <c r="I1096" s="270"/>
      <c r="J1096" s="268">
        <v>1</v>
      </c>
      <c r="K1096" s="269">
        <v>84030</v>
      </c>
      <c r="L1096" s="269">
        <v>85386</v>
      </c>
      <c r="M1096" s="270">
        <v>1</v>
      </c>
      <c r="N1096" s="268">
        <v>1</v>
      </c>
      <c r="O1096" s="271"/>
      <c r="P1096" s="271">
        <v>84030</v>
      </c>
      <c r="Q1096" s="271"/>
      <c r="R1096" s="271"/>
      <c r="S1096" s="271">
        <v>-85386</v>
      </c>
      <c r="T1096" s="271"/>
      <c r="U1096" s="272">
        <v>1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153</v>
      </c>
      <c r="B1097" s="267" t="s">
        <v>374</v>
      </c>
      <c r="C1097" s="267" t="s">
        <v>94</v>
      </c>
      <c r="D1097" s="267" t="s">
        <v>92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84586</v>
      </c>
      <c r="L1097" s="269">
        <v>84834</v>
      </c>
      <c r="M1097" s="270">
        <v>1</v>
      </c>
      <c r="N1097" s="268">
        <v>1</v>
      </c>
      <c r="O1097" s="271"/>
      <c r="P1097" s="271">
        <v>84586</v>
      </c>
      <c r="Q1097" s="271"/>
      <c r="R1097" s="271"/>
      <c r="S1097" s="271">
        <v>-84834</v>
      </c>
      <c r="T1097" s="271"/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153</v>
      </c>
      <c r="B1098" s="267" t="s">
        <v>375</v>
      </c>
      <c r="C1098" s="267" t="s">
        <v>94</v>
      </c>
      <c r="D1098" s="267" t="s">
        <v>92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84403</v>
      </c>
      <c r="L1098" s="269">
        <v>85060</v>
      </c>
      <c r="M1098" s="270">
        <v>1</v>
      </c>
      <c r="N1098" s="268">
        <v>1</v>
      </c>
      <c r="O1098" s="271"/>
      <c r="P1098" s="271">
        <v>84403</v>
      </c>
      <c r="Q1098" s="271"/>
      <c r="R1098" s="271"/>
      <c r="S1098" s="271">
        <v>-85060</v>
      </c>
      <c r="T1098" s="271"/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153</v>
      </c>
      <c r="B1099" s="267" t="s">
        <v>1614</v>
      </c>
      <c r="C1099" s="267" t="s">
        <v>94</v>
      </c>
      <c r="D1099" s="267" t="s">
        <v>92</v>
      </c>
      <c r="E1099" s="267" t="s">
        <v>0</v>
      </c>
      <c r="F1099" s="268"/>
      <c r="G1099" s="269"/>
      <c r="H1099" s="269"/>
      <c r="I1099" s="270"/>
      <c r="J1099" s="268">
        <v>1</v>
      </c>
      <c r="K1099" s="269">
        <v>83808</v>
      </c>
      <c r="L1099" s="269">
        <v>85639</v>
      </c>
      <c r="M1099" s="270">
        <v>1</v>
      </c>
      <c r="N1099" s="268">
        <v>1</v>
      </c>
      <c r="O1099" s="271"/>
      <c r="P1099" s="271">
        <v>83808</v>
      </c>
      <c r="Q1099" s="271"/>
      <c r="R1099" s="271"/>
      <c r="S1099" s="271">
        <v>-85639</v>
      </c>
      <c r="T1099" s="271"/>
      <c r="U1099" s="272">
        <v>1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153</v>
      </c>
      <c r="B1100" s="267" t="s">
        <v>376</v>
      </c>
      <c r="C1100" s="267" t="s">
        <v>94</v>
      </c>
      <c r="D1100" s="267" t="s">
        <v>92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84569</v>
      </c>
      <c r="L1100" s="269">
        <v>84848</v>
      </c>
      <c r="M1100" s="270">
        <v>1</v>
      </c>
      <c r="N1100" s="268">
        <v>1</v>
      </c>
      <c r="O1100" s="271"/>
      <c r="P1100" s="271">
        <v>84569</v>
      </c>
      <c r="Q1100" s="271"/>
      <c r="R1100" s="271"/>
      <c r="S1100" s="271">
        <v>-84848</v>
      </c>
      <c r="T1100" s="271"/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153</v>
      </c>
      <c r="B1101" s="267" t="s">
        <v>377</v>
      </c>
      <c r="C1101" s="267" t="s">
        <v>94</v>
      </c>
      <c r="D1101" s="267" t="s">
        <v>92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84394</v>
      </c>
      <c r="L1101" s="269">
        <v>85062</v>
      </c>
      <c r="M1101" s="270">
        <v>1</v>
      </c>
      <c r="N1101" s="268">
        <v>1</v>
      </c>
      <c r="O1101" s="271"/>
      <c r="P1101" s="271">
        <v>84394</v>
      </c>
      <c r="Q1101" s="271"/>
      <c r="R1101" s="271"/>
      <c r="S1101" s="271">
        <v>-85062</v>
      </c>
      <c r="T1101" s="271"/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153</v>
      </c>
      <c r="B1102" s="267" t="s">
        <v>1615</v>
      </c>
      <c r="C1102" s="267" t="s">
        <v>94</v>
      </c>
      <c r="D1102" s="267" t="s">
        <v>92</v>
      </c>
      <c r="E1102" s="267" t="s">
        <v>0</v>
      </c>
      <c r="F1102" s="268"/>
      <c r="G1102" s="269"/>
      <c r="H1102" s="269"/>
      <c r="I1102" s="270"/>
      <c r="J1102" s="268">
        <v>1</v>
      </c>
      <c r="K1102" s="269">
        <v>83799</v>
      </c>
      <c r="L1102" s="269">
        <v>85641</v>
      </c>
      <c r="M1102" s="270">
        <v>1</v>
      </c>
      <c r="N1102" s="268">
        <v>1</v>
      </c>
      <c r="O1102" s="271"/>
      <c r="P1102" s="271">
        <v>83799</v>
      </c>
      <c r="Q1102" s="271"/>
      <c r="R1102" s="271"/>
      <c r="S1102" s="271">
        <v>-85641</v>
      </c>
      <c r="T1102" s="271"/>
      <c r="U1102" s="272">
        <v>1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153</v>
      </c>
      <c r="B1103" s="267" t="s">
        <v>378</v>
      </c>
      <c r="C1103" s="267" t="s">
        <v>94</v>
      </c>
      <c r="D1103" s="267" t="s">
        <v>92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84191</v>
      </c>
      <c r="L1103" s="269">
        <v>85234</v>
      </c>
      <c r="M1103" s="270">
        <v>1</v>
      </c>
      <c r="N1103" s="268">
        <v>1</v>
      </c>
      <c r="O1103" s="271"/>
      <c r="P1103" s="271">
        <v>84191</v>
      </c>
      <c r="Q1103" s="271"/>
      <c r="R1103" s="271"/>
      <c r="S1103" s="271">
        <v>-85234</v>
      </c>
      <c r="T1103" s="271"/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153</v>
      </c>
      <c r="B1104" s="267" t="s">
        <v>379</v>
      </c>
      <c r="C1104" s="267" t="s">
        <v>94</v>
      </c>
      <c r="D1104" s="267" t="s">
        <v>92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84206</v>
      </c>
      <c r="L1104" s="269">
        <v>85229</v>
      </c>
      <c r="M1104" s="270">
        <v>1</v>
      </c>
      <c r="N1104" s="268">
        <v>1</v>
      </c>
      <c r="O1104" s="271"/>
      <c r="P1104" s="271">
        <v>84206</v>
      </c>
      <c r="Q1104" s="271"/>
      <c r="R1104" s="271"/>
      <c r="S1104" s="271">
        <v>-85229</v>
      </c>
      <c r="T1104" s="271"/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153</v>
      </c>
      <c r="B1105" s="267" t="s">
        <v>1616</v>
      </c>
      <c r="C1105" s="267" t="s">
        <v>94</v>
      </c>
      <c r="D1105" s="267" t="s">
        <v>92</v>
      </c>
      <c r="E1105" s="267" t="s">
        <v>0</v>
      </c>
      <c r="F1105" s="268"/>
      <c r="G1105" s="269"/>
      <c r="H1105" s="269"/>
      <c r="I1105" s="270"/>
      <c r="J1105" s="268">
        <v>1</v>
      </c>
      <c r="K1105" s="269">
        <v>83855</v>
      </c>
      <c r="L1105" s="269">
        <v>85655</v>
      </c>
      <c r="M1105" s="270">
        <v>1</v>
      </c>
      <c r="N1105" s="268">
        <v>1</v>
      </c>
      <c r="O1105" s="271"/>
      <c r="P1105" s="271">
        <v>83855</v>
      </c>
      <c r="Q1105" s="271"/>
      <c r="R1105" s="271"/>
      <c r="S1105" s="271">
        <v>-85655</v>
      </c>
      <c r="T1105" s="271"/>
      <c r="U1105" s="272">
        <v>1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153</v>
      </c>
      <c r="B1106" s="267" t="s">
        <v>1617</v>
      </c>
      <c r="C1106" s="267" t="s">
        <v>94</v>
      </c>
      <c r="D1106" s="267" t="s">
        <v>92</v>
      </c>
      <c r="E1106" s="267" t="s">
        <v>0</v>
      </c>
      <c r="F1106" s="268"/>
      <c r="G1106" s="269"/>
      <c r="H1106" s="269"/>
      <c r="I1106" s="270"/>
      <c r="J1106" s="268">
        <v>1</v>
      </c>
      <c r="K1106" s="269">
        <v>83991</v>
      </c>
      <c r="L1106" s="269">
        <v>85614</v>
      </c>
      <c r="M1106" s="270">
        <v>1</v>
      </c>
      <c r="N1106" s="268">
        <v>1</v>
      </c>
      <c r="O1106" s="271"/>
      <c r="P1106" s="271">
        <v>83991</v>
      </c>
      <c r="Q1106" s="271"/>
      <c r="R1106" s="271"/>
      <c r="S1106" s="271">
        <v>-85614</v>
      </c>
      <c r="T1106" s="271"/>
      <c r="U1106" s="272">
        <v>1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153</v>
      </c>
      <c r="B1107" s="267" t="s">
        <v>1618</v>
      </c>
      <c r="C1107" s="267" t="s">
        <v>94</v>
      </c>
      <c r="D1107" s="267" t="s">
        <v>92</v>
      </c>
      <c r="E1107" s="267" t="s">
        <v>0</v>
      </c>
      <c r="F1107" s="268"/>
      <c r="G1107" s="269"/>
      <c r="H1107" s="269"/>
      <c r="I1107" s="270"/>
      <c r="J1107" s="268">
        <v>1</v>
      </c>
      <c r="K1107" s="269">
        <v>84006</v>
      </c>
      <c r="L1107" s="269">
        <v>85609</v>
      </c>
      <c r="M1107" s="270">
        <v>1</v>
      </c>
      <c r="N1107" s="268">
        <v>1</v>
      </c>
      <c r="O1107" s="271"/>
      <c r="P1107" s="271">
        <v>84006</v>
      </c>
      <c r="Q1107" s="271"/>
      <c r="R1107" s="271"/>
      <c r="S1107" s="271">
        <v>-85609</v>
      </c>
      <c r="T1107" s="271"/>
      <c r="U1107" s="272">
        <v>1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153</v>
      </c>
      <c r="B1108" s="267" t="s">
        <v>1619</v>
      </c>
      <c r="C1108" s="267" t="s">
        <v>94</v>
      </c>
      <c r="D1108" s="267" t="s">
        <v>92</v>
      </c>
      <c r="E1108" s="267" t="s">
        <v>0</v>
      </c>
      <c r="F1108" s="268"/>
      <c r="G1108" s="269"/>
      <c r="H1108" s="269"/>
      <c r="I1108" s="270"/>
      <c r="J1108" s="268">
        <v>1</v>
      </c>
      <c r="K1108" s="269">
        <v>84195</v>
      </c>
      <c r="L1108" s="269">
        <v>85401</v>
      </c>
      <c r="M1108" s="270">
        <v>1</v>
      </c>
      <c r="N1108" s="268">
        <v>1</v>
      </c>
      <c r="O1108" s="271"/>
      <c r="P1108" s="271">
        <v>84195</v>
      </c>
      <c r="Q1108" s="271"/>
      <c r="R1108" s="271"/>
      <c r="S1108" s="271">
        <v>-85401</v>
      </c>
      <c r="T1108" s="271"/>
      <c r="U1108" s="272">
        <v>1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153</v>
      </c>
      <c r="B1109" s="267" t="s">
        <v>380</v>
      </c>
      <c r="C1109" s="267" t="s">
        <v>94</v>
      </c>
      <c r="D1109" s="267" t="s">
        <v>92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84313</v>
      </c>
      <c r="L1109" s="269">
        <v>85115</v>
      </c>
      <c r="M1109" s="270">
        <v>1</v>
      </c>
      <c r="N1109" s="268">
        <v>1</v>
      </c>
      <c r="O1109" s="271"/>
      <c r="P1109" s="271">
        <v>84313</v>
      </c>
      <c r="Q1109" s="271"/>
      <c r="R1109" s="271"/>
      <c r="S1109" s="271">
        <v>-85115</v>
      </c>
      <c r="T1109" s="271"/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153</v>
      </c>
      <c r="B1110" s="267" t="s">
        <v>381</v>
      </c>
      <c r="C1110" s="267" t="s">
        <v>94</v>
      </c>
      <c r="D1110" s="267" t="s">
        <v>92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84348</v>
      </c>
      <c r="L1110" s="269">
        <v>85111</v>
      </c>
      <c r="M1110" s="270">
        <v>1</v>
      </c>
      <c r="N1110" s="268">
        <v>1</v>
      </c>
      <c r="O1110" s="271"/>
      <c r="P1110" s="271">
        <v>84348</v>
      </c>
      <c r="Q1110" s="271"/>
      <c r="R1110" s="271"/>
      <c r="S1110" s="271">
        <v>-85111</v>
      </c>
      <c r="T1110" s="271"/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153</v>
      </c>
      <c r="B1111" s="267" t="s">
        <v>1620</v>
      </c>
      <c r="C1111" s="267" t="s">
        <v>94</v>
      </c>
      <c r="D1111" s="267" t="s">
        <v>92</v>
      </c>
      <c r="E1111" s="267" t="s">
        <v>0</v>
      </c>
      <c r="F1111" s="268"/>
      <c r="G1111" s="269"/>
      <c r="H1111" s="269"/>
      <c r="I1111" s="270"/>
      <c r="J1111" s="268">
        <v>1</v>
      </c>
      <c r="K1111" s="269">
        <v>83535</v>
      </c>
      <c r="L1111" s="269">
        <v>85920</v>
      </c>
      <c r="M1111" s="270">
        <v>1</v>
      </c>
      <c r="N1111" s="268">
        <v>1</v>
      </c>
      <c r="O1111" s="271"/>
      <c r="P1111" s="271">
        <v>83535</v>
      </c>
      <c r="Q1111" s="271"/>
      <c r="R1111" s="271"/>
      <c r="S1111" s="271">
        <v>-85920</v>
      </c>
      <c r="T1111" s="271"/>
      <c r="U1111" s="272">
        <v>1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153</v>
      </c>
      <c r="B1112" s="267" t="s">
        <v>382</v>
      </c>
      <c r="C1112" s="267" t="s">
        <v>94</v>
      </c>
      <c r="D1112" s="267" t="s">
        <v>92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84280</v>
      </c>
      <c r="L1112" s="269">
        <v>85152</v>
      </c>
      <c r="M1112" s="270">
        <v>1</v>
      </c>
      <c r="N1112" s="268">
        <v>1</v>
      </c>
      <c r="O1112" s="271"/>
      <c r="P1112" s="271">
        <v>84280</v>
      </c>
      <c r="Q1112" s="271"/>
      <c r="R1112" s="271"/>
      <c r="S1112" s="271">
        <v>-85152</v>
      </c>
      <c r="T1112" s="271"/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153</v>
      </c>
      <c r="B1113" s="267" t="s">
        <v>383</v>
      </c>
      <c r="C1113" s="267" t="s">
        <v>94</v>
      </c>
      <c r="D1113" s="267" t="s">
        <v>92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84346</v>
      </c>
      <c r="L1113" s="269">
        <v>85120</v>
      </c>
      <c r="M1113" s="270">
        <v>1</v>
      </c>
      <c r="N1113" s="268">
        <v>1</v>
      </c>
      <c r="O1113" s="271"/>
      <c r="P1113" s="271">
        <v>84346</v>
      </c>
      <c r="Q1113" s="271"/>
      <c r="R1113" s="271"/>
      <c r="S1113" s="271">
        <v>-85120</v>
      </c>
      <c r="T1113" s="271"/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153</v>
      </c>
      <c r="B1114" s="267" t="s">
        <v>1621</v>
      </c>
      <c r="C1114" s="267" t="s">
        <v>94</v>
      </c>
      <c r="D1114" s="267" t="s">
        <v>92</v>
      </c>
      <c r="E1114" s="267" t="s">
        <v>0</v>
      </c>
      <c r="F1114" s="268"/>
      <c r="G1114" s="269"/>
      <c r="H1114" s="269"/>
      <c r="I1114" s="270"/>
      <c r="J1114" s="268">
        <v>1</v>
      </c>
      <c r="K1114" s="269">
        <v>83510</v>
      </c>
      <c r="L1114" s="269">
        <v>85945</v>
      </c>
      <c r="M1114" s="270">
        <v>1</v>
      </c>
      <c r="N1114" s="268">
        <v>1</v>
      </c>
      <c r="O1114" s="271"/>
      <c r="P1114" s="271">
        <v>83510</v>
      </c>
      <c r="Q1114" s="271"/>
      <c r="R1114" s="271"/>
      <c r="S1114" s="271">
        <v>-85945</v>
      </c>
      <c r="T1114" s="271"/>
      <c r="U1114" s="272">
        <v>1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153</v>
      </c>
      <c r="B1115" s="267" t="s">
        <v>384</v>
      </c>
      <c r="C1115" s="267" t="s">
        <v>94</v>
      </c>
      <c r="D1115" s="267" t="s">
        <v>92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84234</v>
      </c>
      <c r="L1115" s="269">
        <v>85183</v>
      </c>
      <c r="M1115" s="270">
        <v>1</v>
      </c>
      <c r="N1115" s="268">
        <v>1</v>
      </c>
      <c r="O1115" s="271"/>
      <c r="P1115" s="271">
        <v>84234</v>
      </c>
      <c r="Q1115" s="271"/>
      <c r="R1115" s="271"/>
      <c r="S1115" s="271">
        <v>-85183</v>
      </c>
      <c r="T1115" s="271"/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153</v>
      </c>
      <c r="B1116" s="267" t="s">
        <v>385</v>
      </c>
      <c r="C1116" s="267" t="s">
        <v>94</v>
      </c>
      <c r="D1116" s="267" t="s">
        <v>92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84265</v>
      </c>
      <c r="L1116" s="269">
        <v>85155</v>
      </c>
      <c r="M1116" s="270">
        <v>1</v>
      </c>
      <c r="N1116" s="268">
        <v>1</v>
      </c>
      <c r="O1116" s="271"/>
      <c r="P1116" s="271">
        <v>84265</v>
      </c>
      <c r="Q1116" s="271"/>
      <c r="R1116" s="271"/>
      <c r="S1116" s="271">
        <v>-85155</v>
      </c>
      <c r="T1116" s="271"/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153</v>
      </c>
      <c r="B1117" s="267" t="s">
        <v>1622</v>
      </c>
      <c r="C1117" s="267" t="s">
        <v>94</v>
      </c>
      <c r="D1117" s="267" t="s">
        <v>92</v>
      </c>
      <c r="E1117" s="267" t="s">
        <v>0</v>
      </c>
      <c r="F1117" s="268"/>
      <c r="G1117" s="269"/>
      <c r="H1117" s="269"/>
      <c r="I1117" s="270"/>
      <c r="J1117" s="268">
        <v>1</v>
      </c>
      <c r="K1117" s="269">
        <v>83675</v>
      </c>
      <c r="L1117" s="269">
        <v>85960</v>
      </c>
      <c r="M1117" s="270">
        <v>1</v>
      </c>
      <c r="N1117" s="268">
        <v>1</v>
      </c>
      <c r="O1117" s="271"/>
      <c r="P1117" s="271">
        <v>83675</v>
      </c>
      <c r="Q1117" s="271"/>
      <c r="R1117" s="271"/>
      <c r="S1117" s="271">
        <v>-85960</v>
      </c>
      <c r="T1117" s="271"/>
      <c r="U1117" s="272">
        <v>1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153</v>
      </c>
      <c r="B1118" s="267" t="s">
        <v>1623</v>
      </c>
      <c r="C1118" s="267" t="s">
        <v>94</v>
      </c>
      <c r="D1118" s="267" t="s">
        <v>92</v>
      </c>
      <c r="E1118" s="267" t="s">
        <v>0</v>
      </c>
      <c r="F1118" s="268"/>
      <c r="G1118" s="269"/>
      <c r="H1118" s="269"/>
      <c r="I1118" s="270"/>
      <c r="J1118" s="268">
        <v>1</v>
      </c>
      <c r="K1118" s="269">
        <v>83941</v>
      </c>
      <c r="L1118" s="269">
        <v>85539</v>
      </c>
      <c r="M1118" s="270">
        <v>1</v>
      </c>
      <c r="N1118" s="268">
        <v>1</v>
      </c>
      <c r="O1118" s="271"/>
      <c r="P1118" s="271">
        <v>83941</v>
      </c>
      <c r="Q1118" s="271"/>
      <c r="R1118" s="271"/>
      <c r="S1118" s="271">
        <v>-85539</v>
      </c>
      <c r="T1118" s="271"/>
      <c r="U1118" s="272">
        <v>1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153</v>
      </c>
      <c r="B1119" s="267" t="s">
        <v>1624</v>
      </c>
      <c r="C1119" s="267" t="s">
        <v>94</v>
      </c>
      <c r="D1119" s="267" t="s">
        <v>92</v>
      </c>
      <c r="E1119" s="267" t="s">
        <v>0</v>
      </c>
      <c r="F1119" s="268"/>
      <c r="G1119" s="269"/>
      <c r="H1119" s="269"/>
      <c r="I1119" s="270"/>
      <c r="J1119" s="268">
        <v>1</v>
      </c>
      <c r="K1119" s="269">
        <v>83956</v>
      </c>
      <c r="L1119" s="269">
        <v>85534</v>
      </c>
      <c r="M1119" s="270">
        <v>1</v>
      </c>
      <c r="N1119" s="268">
        <v>1</v>
      </c>
      <c r="O1119" s="271"/>
      <c r="P1119" s="271">
        <v>83956</v>
      </c>
      <c r="Q1119" s="271"/>
      <c r="R1119" s="271"/>
      <c r="S1119" s="271">
        <v>-85534</v>
      </c>
      <c r="T1119" s="271"/>
      <c r="U1119" s="272">
        <v>1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153</v>
      </c>
      <c r="B1120" s="267" t="s">
        <v>1625</v>
      </c>
      <c r="C1120" s="267" t="s">
        <v>94</v>
      </c>
      <c r="D1120" s="267" t="s">
        <v>92</v>
      </c>
      <c r="E1120" s="267" t="s">
        <v>0</v>
      </c>
      <c r="F1120" s="268"/>
      <c r="G1120" s="269"/>
      <c r="H1120" s="269"/>
      <c r="I1120" s="270"/>
      <c r="J1120" s="268">
        <v>1</v>
      </c>
      <c r="K1120" s="269">
        <v>84007</v>
      </c>
      <c r="L1120" s="269">
        <v>85319</v>
      </c>
      <c r="M1120" s="270">
        <v>1</v>
      </c>
      <c r="N1120" s="268">
        <v>1</v>
      </c>
      <c r="O1120" s="271"/>
      <c r="P1120" s="271">
        <v>84007</v>
      </c>
      <c r="Q1120" s="271"/>
      <c r="R1120" s="271"/>
      <c r="S1120" s="271">
        <v>-85319</v>
      </c>
      <c r="T1120" s="271"/>
      <c r="U1120" s="272">
        <v>1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153</v>
      </c>
      <c r="B1121" s="267" t="s">
        <v>1626</v>
      </c>
      <c r="C1121" s="267" t="s">
        <v>94</v>
      </c>
      <c r="D1121" s="267" t="s">
        <v>92</v>
      </c>
      <c r="E1121" s="267" t="s">
        <v>0</v>
      </c>
      <c r="F1121" s="268"/>
      <c r="G1121" s="269"/>
      <c r="H1121" s="269"/>
      <c r="I1121" s="270"/>
      <c r="J1121" s="268">
        <v>1</v>
      </c>
      <c r="K1121" s="269">
        <v>83903</v>
      </c>
      <c r="L1121" s="269">
        <v>85525</v>
      </c>
      <c r="M1121" s="270">
        <v>1</v>
      </c>
      <c r="N1121" s="268">
        <v>1</v>
      </c>
      <c r="O1121" s="271"/>
      <c r="P1121" s="271">
        <v>83903</v>
      </c>
      <c r="Q1121" s="271"/>
      <c r="R1121" s="271"/>
      <c r="S1121" s="271">
        <v>-85525</v>
      </c>
      <c r="T1121" s="271"/>
      <c r="U1121" s="272">
        <v>1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153</v>
      </c>
      <c r="B1122" s="267" t="s">
        <v>1627</v>
      </c>
      <c r="C1122" s="267" t="s">
        <v>94</v>
      </c>
      <c r="D1122" s="267" t="s">
        <v>92</v>
      </c>
      <c r="E1122" s="267" t="s">
        <v>0</v>
      </c>
      <c r="F1122" s="268"/>
      <c r="G1122" s="269"/>
      <c r="H1122" s="269"/>
      <c r="I1122" s="270"/>
      <c r="J1122" s="268">
        <v>1</v>
      </c>
      <c r="K1122" s="269">
        <v>83938</v>
      </c>
      <c r="L1122" s="269">
        <v>85521</v>
      </c>
      <c r="M1122" s="270">
        <v>1</v>
      </c>
      <c r="N1122" s="268">
        <v>1</v>
      </c>
      <c r="O1122" s="271"/>
      <c r="P1122" s="271">
        <v>83938</v>
      </c>
      <c r="Q1122" s="271"/>
      <c r="R1122" s="271"/>
      <c r="S1122" s="271">
        <v>-85521</v>
      </c>
      <c r="T1122" s="271"/>
      <c r="U1122" s="272">
        <v>1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153</v>
      </c>
      <c r="B1123" s="267" t="s">
        <v>1628</v>
      </c>
      <c r="C1123" s="267" t="s">
        <v>94</v>
      </c>
      <c r="D1123" s="267" t="s">
        <v>92</v>
      </c>
      <c r="E1123" s="267" t="s">
        <v>0</v>
      </c>
      <c r="F1123" s="268"/>
      <c r="G1123" s="269"/>
      <c r="H1123" s="269"/>
      <c r="I1123" s="270"/>
      <c r="J1123" s="268">
        <v>1</v>
      </c>
      <c r="K1123" s="269">
        <v>83720</v>
      </c>
      <c r="L1123" s="269">
        <v>85751</v>
      </c>
      <c r="M1123" s="270">
        <v>1</v>
      </c>
      <c r="N1123" s="268">
        <v>1</v>
      </c>
      <c r="O1123" s="271"/>
      <c r="P1123" s="271">
        <v>83720</v>
      </c>
      <c r="Q1123" s="271"/>
      <c r="R1123" s="271"/>
      <c r="S1123" s="271">
        <v>-85751</v>
      </c>
      <c r="T1123" s="271"/>
      <c r="U1123" s="272">
        <v>1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153</v>
      </c>
      <c r="B1124" s="267" t="s">
        <v>1629</v>
      </c>
      <c r="C1124" s="267" t="s">
        <v>94</v>
      </c>
      <c r="D1124" s="267" t="s">
        <v>92</v>
      </c>
      <c r="E1124" s="267" t="s">
        <v>0</v>
      </c>
      <c r="F1124" s="268"/>
      <c r="G1124" s="269"/>
      <c r="H1124" s="269"/>
      <c r="I1124" s="270"/>
      <c r="J1124" s="268">
        <v>1</v>
      </c>
      <c r="K1124" s="269">
        <v>83870</v>
      </c>
      <c r="L1124" s="269">
        <v>85562</v>
      </c>
      <c r="M1124" s="270">
        <v>1</v>
      </c>
      <c r="N1124" s="268">
        <v>1</v>
      </c>
      <c r="O1124" s="271"/>
      <c r="P1124" s="271">
        <v>83870</v>
      </c>
      <c r="Q1124" s="271"/>
      <c r="R1124" s="271"/>
      <c r="S1124" s="271">
        <v>-85562</v>
      </c>
      <c r="T1124" s="271"/>
      <c r="U1124" s="272">
        <v>1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153</v>
      </c>
      <c r="B1125" s="267" t="s">
        <v>1630</v>
      </c>
      <c r="C1125" s="267" t="s">
        <v>94</v>
      </c>
      <c r="D1125" s="267" t="s">
        <v>92</v>
      </c>
      <c r="E1125" s="267" t="s">
        <v>0</v>
      </c>
      <c r="F1125" s="268"/>
      <c r="G1125" s="269"/>
      <c r="H1125" s="269"/>
      <c r="I1125" s="270"/>
      <c r="J1125" s="268">
        <v>1</v>
      </c>
      <c r="K1125" s="269">
        <v>83936</v>
      </c>
      <c r="L1125" s="269">
        <v>85530</v>
      </c>
      <c r="M1125" s="270">
        <v>1</v>
      </c>
      <c r="N1125" s="268">
        <v>1</v>
      </c>
      <c r="O1125" s="271"/>
      <c r="P1125" s="271">
        <v>83936</v>
      </c>
      <c r="Q1125" s="271"/>
      <c r="R1125" s="271"/>
      <c r="S1125" s="271">
        <v>-85530</v>
      </c>
      <c r="T1125" s="271"/>
      <c r="U1125" s="272">
        <v>1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153</v>
      </c>
      <c r="B1126" s="267" t="s">
        <v>1631</v>
      </c>
      <c r="C1126" s="267" t="s">
        <v>94</v>
      </c>
      <c r="D1126" s="267" t="s">
        <v>92</v>
      </c>
      <c r="E1126" s="267" t="s">
        <v>0</v>
      </c>
      <c r="F1126" s="268"/>
      <c r="G1126" s="269"/>
      <c r="H1126" s="269"/>
      <c r="I1126" s="270"/>
      <c r="J1126" s="268">
        <v>1</v>
      </c>
      <c r="K1126" s="269">
        <v>83695</v>
      </c>
      <c r="L1126" s="269">
        <v>85776</v>
      </c>
      <c r="M1126" s="270">
        <v>1</v>
      </c>
      <c r="N1126" s="268">
        <v>1</v>
      </c>
      <c r="O1126" s="271"/>
      <c r="P1126" s="271">
        <v>83695</v>
      </c>
      <c r="Q1126" s="271"/>
      <c r="R1126" s="271"/>
      <c r="S1126" s="271">
        <v>-85776</v>
      </c>
      <c r="T1126" s="271"/>
      <c r="U1126" s="272">
        <v>1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153</v>
      </c>
      <c r="B1127" s="267" t="s">
        <v>1632</v>
      </c>
      <c r="C1127" s="267" t="s">
        <v>94</v>
      </c>
      <c r="D1127" s="267" t="s">
        <v>92</v>
      </c>
      <c r="E1127" s="267" t="s">
        <v>0</v>
      </c>
      <c r="F1127" s="268"/>
      <c r="G1127" s="269"/>
      <c r="H1127" s="269"/>
      <c r="I1127" s="270"/>
      <c r="J1127" s="268">
        <v>1</v>
      </c>
      <c r="K1127" s="269">
        <v>83854</v>
      </c>
      <c r="L1127" s="269">
        <v>85383</v>
      </c>
      <c r="M1127" s="270">
        <v>1</v>
      </c>
      <c r="N1127" s="268">
        <v>1</v>
      </c>
      <c r="O1127" s="271"/>
      <c r="P1127" s="271">
        <v>83854</v>
      </c>
      <c r="Q1127" s="271"/>
      <c r="R1127" s="271"/>
      <c r="S1127" s="271">
        <v>-85383</v>
      </c>
      <c r="T1127" s="271"/>
      <c r="U1127" s="272">
        <v>1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153</v>
      </c>
      <c r="B1128" s="267" t="s">
        <v>1633</v>
      </c>
      <c r="C1128" s="267" t="s">
        <v>94</v>
      </c>
      <c r="D1128" s="267" t="s">
        <v>92</v>
      </c>
      <c r="E1128" s="267" t="s">
        <v>0</v>
      </c>
      <c r="F1128" s="268"/>
      <c r="G1128" s="269"/>
      <c r="H1128" s="269"/>
      <c r="I1128" s="270"/>
      <c r="J1128" s="268">
        <v>1</v>
      </c>
      <c r="K1128" s="269">
        <v>83885</v>
      </c>
      <c r="L1128" s="269">
        <v>85355</v>
      </c>
      <c r="M1128" s="270">
        <v>1</v>
      </c>
      <c r="N1128" s="268">
        <v>1</v>
      </c>
      <c r="O1128" s="271"/>
      <c r="P1128" s="271">
        <v>83885</v>
      </c>
      <c r="Q1128" s="271"/>
      <c r="R1128" s="271"/>
      <c r="S1128" s="271">
        <v>-85355</v>
      </c>
      <c r="T1128" s="271"/>
      <c r="U1128" s="272">
        <v>1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153</v>
      </c>
      <c r="B1129" s="267" t="s">
        <v>1634</v>
      </c>
      <c r="C1129" s="267" t="s">
        <v>94</v>
      </c>
      <c r="D1129" s="267" t="s">
        <v>92</v>
      </c>
      <c r="E1129" s="267" t="s">
        <v>0</v>
      </c>
      <c r="F1129" s="268"/>
      <c r="G1129" s="269"/>
      <c r="H1129" s="269"/>
      <c r="I1129" s="270"/>
      <c r="J1129" s="268">
        <v>1</v>
      </c>
      <c r="K1129" s="269">
        <v>83680</v>
      </c>
      <c r="L1129" s="269">
        <v>85611</v>
      </c>
      <c r="M1129" s="270">
        <v>1</v>
      </c>
      <c r="N1129" s="268">
        <v>1</v>
      </c>
      <c r="O1129" s="271"/>
      <c r="P1129" s="271">
        <v>83680</v>
      </c>
      <c r="Q1129" s="271"/>
      <c r="R1129" s="271"/>
      <c r="S1129" s="271">
        <v>-85611</v>
      </c>
      <c r="T1129" s="271"/>
      <c r="U1129" s="272">
        <v>1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153</v>
      </c>
      <c r="B1130" s="267" t="s">
        <v>1635</v>
      </c>
      <c r="C1130" s="267" t="s">
        <v>94</v>
      </c>
      <c r="D1130" s="267" t="s">
        <v>92</v>
      </c>
      <c r="E1130" s="267" t="s">
        <v>0</v>
      </c>
      <c r="F1130" s="268"/>
      <c r="G1130" s="269"/>
      <c r="H1130" s="269"/>
      <c r="I1130" s="270"/>
      <c r="J1130" s="268">
        <v>1</v>
      </c>
      <c r="K1130" s="269">
        <v>83886</v>
      </c>
      <c r="L1130" s="269">
        <v>85484</v>
      </c>
      <c r="M1130" s="270">
        <v>1</v>
      </c>
      <c r="N1130" s="268">
        <v>1</v>
      </c>
      <c r="O1130" s="271"/>
      <c r="P1130" s="271">
        <v>83886</v>
      </c>
      <c r="Q1130" s="271"/>
      <c r="R1130" s="271"/>
      <c r="S1130" s="271">
        <v>-85484</v>
      </c>
      <c r="T1130" s="271"/>
      <c r="U1130" s="272">
        <v>1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153</v>
      </c>
      <c r="B1131" s="267" t="s">
        <v>1636</v>
      </c>
      <c r="C1131" s="267" t="s">
        <v>94</v>
      </c>
      <c r="D1131" s="267" t="s">
        <v>92</v>
      </c>
      <c r="E1131" s="267" t="s">
        <v>0</v>
      </c>
      <c r="F1131" s="268"/>
      <c r="G1131" s="269"/>
      <c r="H1131" s="269"/>
      <c r="I1131" s="270"/>
      <c r="J1131" s="268">
        <v>1</v>
      </c>
      <c r="K1131" s="269">
        <v>83901</v>
      </c>
      <c r="L1131" s="269">
        <v>85479</v>
      </c>
      <c r="M1131" s="270">
        <v>1</v>
      </c>
      <c r="N1131" s="268">
        <v>1</v>
      </c>
      <c r="O1131" s="271"/>
      <c r="P1131" s="271">
        <v>83901</v>
      </c>
      <c r="Q1131" s="271"/>
      <c r="R1131" s="271"/>
      <c r="S1131" s="271">
        <v>-85479</v>
      </c>
      <c r="T1131" s="271"/>
      <c r="U1131" s="272">
        <v>1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153</v>
      </c>
      <c r="B1132" s="267" t="s">
        <v>1637</v>
      </c>
      <c r="C1132" s="267" t="s">
        <v>94</v>
      </c>
      <c r="D1132" s="267" t="s">
        <v>92</v>
      </c>
      <c r="E1132" s="267" t="s">
        <v>0</v>
      </c>
      <c r="F1132" s="268"/>
      <c r="G1132" s="269"/>
      <c r="H1132" s="269"/>
      <c r="I1132" s="270"/>
      <c r="J1132" s="268">
        <v>1</v>
      </c>
      <c r="K1132" s="269">
        <v>83922</v>
      </c>
      <c r="L1132" s="269">
        <v>85474</v>
      </c>
      <c r="M1132" s="270">
        <v>1</v>
      </c>
      <c r="N1132" s="268">
        <v>1</v>
      </c>
      <c r="O1132" s="271"/>
      <c r="P1132" s="271">
        <v>83922</v>
      </c>
      <c r="Q1132" s="271"/>
      <c r="R1132" s="271"/>
      <c r="S1132" s="271">
        <v>-85474</v>
      </c>
      <c r="T1132" s="271"/>
      <c r="U1132" s="272">
        <v>1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153</v>
      </c>
      <c r="B1133" s="267" t="s">
        <v>386</v>
      </c>
      <c r="C1133" s="267" t="s">
        <v>94</v>
      </c>
      <c r="D1133" s="267" t="s">
        <v>92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84416</v>
      </c>
      <c r="L1133" s="269">
        <v>85063</v>
      </c>
      <c r="M1133" s="270">
        <v>1</v>
      </c>
      <c r="N1133" s="268">
        <v>1</v>
      </c>
      <c r="O1133" s="271"/>
      <c r="P1133" s="271">
        <v>84416</v>
      </c>
      <c r="Q1133" s="271"/>
      <c r="R1133" s="271"/>
      <c r="S1133" s="271">
        <v>-85063</v>
      </c>
      <c r="T1133" s="271"/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153</v>
      </c>
      <c r="B1134" s="267" t="s">
        <v>1638</v>
      </c>
      <c r="C1134" s="267" t="s">
        <v>94</v>
      </c>
      <c r="D1134" s="267" t="s">
        <v>92</v>
      </c>
      <c r="E1134" s="267" t="s">
        <v>0</v>
      </c>
      <c r="F1134" s="268"/>
      <c r="G1134" s="269"/>
      <c r="H1134" s="269"/>
      <c r="I1134" s="270"/>
      <c r="J1134" s="268">
        <v>1</v>
      </c>
      <c r="K1134" s="269">
        <v>84031</v>
      </c>
      <c r="L1134" s="269">
        <v>85612</v>
      </c>
      <c r="M1134" s="270">
        <v>1</v>
      </c>
      <c r="N1134" s="268">
        <v>1</v>
      </c>
      <c r="O1134" s="271"/>
      <c r="P1134" s="271">
        <v>84031</v>
      </c>
      <c r="Q1134" s="271"/>
      <c r="R1134" s="271"/>
      <c r="S1134" s="271">
        <v>-85612</v>
      </c>
      <c r="T1134" s="271"/>
      <c r="U1134" s="272">
        <v>1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153</v>
      </c>
      <c r="B1135" s="267" t="s">
        <v>387</v>
      </c>
      <c r="C1135" s="267" t="s">
        <v>94</v>
      </c>
      <c r="D1135" s="267" t="s">
        <v>92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84279</v>
      </c>
      <c r="L1135" s="269">
        <v>85165</v>
      </c>
      <c r="M1135" s="270">
        <v>1</v>
      </c>
      <c r="N1135" s="268">
        <v>1</v>
      </c>
      <c r="O1135" s="271"/>
      <c r="P1135" s="271">
        <v>84279</v>
      </c>
      <c r="Q1135" s="271"/>
      <c r="R1135" s="271"/>
      <c r="S1135" s="271">
        <v>-85165</v>
      </c>
      <c r="T1135" s="271"/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153</v>
      </c>
      <c r="B1136" s="267" t="s">
        <v>1639</v>
      </c>
      <c r="C1136" s="267" t="s">
        <v>94</v>
      </c>
      <c r="D1136" s="267" t="s">
        <v>92</v>
      </c>
      <c r="E1136" s="267" t="s">
        <v>0</v>
      </c>
      <c r="F1136" s="268"/>
      <c r="G1136" s="269"/>
      <c r="H1136" s="269"/>
      <c r="I1136" s="270"/>
      <c r="J1136" s="268">
        <v>1</v>
      </c>
      <c r="K1136" s="269">
        <v>83907</v>
      </c>
      <c r="L1136" s="269">
        <v>85596</v>
      </c>
      <c r="M1136" s="270">
        <v>1</v>
      </c>
      <c r="N1136" s="268">
        <v>1</v>
      </c>
      <c r="O1136" s="271"/>
      <c r="P1136" s="271">
        <v>83907</v>
      </c>
      <c r="Q1136" s="271"/>
      <c r="R1136" s="271"/>
      <c r="S1136" s="271">
        <v>-85596</v>
      </c>
      <c r="T1136" s="271"/>
      <c r="U1136" s="272">
        <v>1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153</v>
      </c>
      <c r="B1137" s="267" t="s">
        <v>1640</v>
      </c>
      <c r="C1137" s="267" t="s">
        <v>94</v>
      </c>
      <c r="D1137" s="267" t="s">
        <v>92</v>
      </c>
      <c r="E1137" s="267" t="s">
        <v>0</v>
      </c>
      <c r="F1137" s="268"/>
      <c r="G1137" s="269"/>
      <c r="H1137" s="269"/>
      <c r="I1137" s="270"/>
      <c r="J1137" s="268">
        <v>1</v>
      </c>
      <c r="K1137" s="269">
        <v>83899</v>
      </c>
      <c r="L1137" s="269">
        <v>85365</v>
      </c>
      <c r="M1137" s="270">
        <v>1</v>
      </c>
      <c r="N1137" s="268">
        <v>1</v>
      </c>
      <c r="O1137" s="271"/>
      <c r="P1137" s="271">
        <v>83899</v>
      </c>
      <c r="Q1137" s="271"/>
      <c r="R1137" s="271"/>
      <c r="S1137" s="271">
        <v>-85365</v>
      </c>
      <c r="T1137" s="271"/>
      <c r="U1137" s="272">
        <v>1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153</v>
      </c>
      <c r="B1138" s="267" t="s">
        <v>1641</v>
      </c>
      <c r="C1138" s="267" t="s">
        <v>94</v>
      </c>
      <c r="D1138" s="267" t="s">
        <v>92</v>
      </c>
      <c r="E1138" s="267" t="s">
        <v>0</v>
      </c>
      <c r="F1138" s="268"/>
      <c r="G1138" s="269"/>
      <c r="H1138" s="269"/>
      <c r="I1138" s="270"/>
      <c r="J1138" s="268">
        <v>1</v>
      </c>
      <c r="K1138" s="269">
        <v>84037</v>
      </c>
      <c r="L1138" s="269">
        <v>85372</v>
      </c>
      <c r="M1138" s="270">
        <v>1</v>
      </c>
      <c r="N1138" s="268">
        <v>1</v>
      </c>
      <c r="O1138" s="271"/>
      <c r="P1138" s="271">
        <v>84037</v>
      </c>
      <c r="Q1138" s="271"/>
      <c r="R1138" s="271"/>
      <c r="S1138" s="271">
        <v>-85372</v>
      </c>
      <c r="T1138" s="271"/>
      <c r="U1138" s="272">
        <v>1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153</v>
      </c>
      <c r="B1139" s="267" t="s">
        <v>388</v>
      </c>
      <c r="C1139" s="267" t="s">
        <v>94</v>
      </c>
      <c r="D1139" s="267" t="s">
        <v>92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84415</v>
      </c>
      <c r="L1139" s="269">
        <v>85049</v>
      </c>
      <c r="M1139" s="270">
        <v>1</v>
      </c>
      <c r="N1139" s="268">
        <v>1</v>
      </c>
      <c r="O1139" s="271"/>
      <c r="P1139" s="271">
        <v>84415</v>
      </c>
      <c r="Q1139" s="271"/>
      <c r="R1139" s="271"/>
      <c r="S1139" s="271">
        <v>-85049</v>
      </c>
      <c r="T1139" s="271"/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153</v>
      </c>
      <c r="B1140" s="267" t="s">
        <v>1642</v>
      </c>
      <c r="C1140" s="267" t="s">
        <v>94</v>
      </c>
      <c r="D1140" s="267" t="s">
        <v>92</v>
      </c>
      <c r="E1140" s="267" t="s">
        <v>0</v>
      </c>
      <c r="F1140" s="268"/>
      <c r="G1140" s="269"/>
      <c r="H1140" s="269"/>
      <c r="I1140" s="270"/>
      <c r="J1140" s="268">
        <v>1</v>
      </c>
      <c r="K1140" s="269">
        <v>83820</v>
      </c>
      <c r="L1140" s="269">
        <v>85628</v>
      </c>
      <c r="M1140" s="270">
        <v>1</v>
      </c>
      <c r="N1140" s="268">
        <v>1</v>
      </c>
      <c r="O1140" s="271"/>
      <c r="P1140" s="271">
        <v>83820</v>
      </c>
      <c r="Q1140" s="271"/>
      <c r="R1140" s="271"/>
      <c r="S1140" s="271">
        <v>-85628</v>
      </c>
      <c r="T1140" s="271"/>
      <c r="U1140" s="272">
        <v>1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153</v>
      </c>
      <c r="B1141" s="267" t="s">
        <v>389</v>
      </c>
      <c r="C1141" s="267" t="s">
        <v>94</v>
      </c>
      <c r="D1141" s="267" t="s">
        <v>92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84227</v>
      </c>
      <c r="L1141" s="269">
        <v>85216</v>
      </c>
      <c r="M1141" s="270">
        <v>1</v>
      </c>
      <c r="N1141" s="268">
        <v>1</v>
      </c>
      <c r="O1141" s="271"/>
      <c r="P1141" s="271">
        <v>84227</v>
      </c>
      <c r="Q1141" s="271"/>
      <c r="R1141" s="271"/>
      <c r="S1141" s="271">
        <v>-85216</v>
      </c>
      <c r="T1141" s="271"/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153</v>
      </c>
      <c r="B1142" s="267" t="s">
        <v>1643</v>
      </c>
      <c r="C1142" s="267" t="s">
        <v>94</v>
      </c>
      <c r="D1142" s="267" t="s">
        <v>92</v>
      </c>
      <c r="E1142" s="267" t="s">
        <v>0</v>
      </c>
      <c r="F1142" s="268"/>
      <c r="G1142" s="269"/>
      <c r="H1142" s="269"/>
      <c r="I1142" s="270"/>
      <c r="J1142" s="268">
        <v>1</v>
      </c>
      <c r="K1142" s="269">
        <v>83876</v>
      </c>
      <c r="L1142" s="269">
        <v>85642</v>
      </c>
      <c r="M1142" s="270">
        <v>1</v>
      </c>
      <c r="N1142" s="268">
        <v>1</v>
      </c>
      <c r="O1142" s="271"/>
      <c r="P1142" s="271">
        <v>83876</v>
      </c>
      <c r="Q1142" s="271"/>
      <c r="R1142" s="271"/>
      <c r="S1142" s="271">
        <v>-85642</v>
      </c>
      <c r="T1142" s="271"/>
      <c r="U1142" s="272">
        <v>1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153</v>
      </c>
      <c r="B1143" s="267" t="s">
        <v>1644</v>
      </c>
      <c r="C1143" s="267" t="s">
        <v>94</v>
      </c>
      <c r="D1143" s="267" t="s">
        <v>92</v>
      </c>
      <c r="E1143" s="267" t="s">
        <v>0</v>
      </c>
      <c r="F1143" s="268"/>
      <c r="G1143" s="269"/>
      <c r="H1143" s="269"/>
      <c r="I1143" s="270"/>
      <c r="J1143" s="268">
        <v>1</v>
      </c>
      <c r="K1143" s="269">
        <v>84027</v>
      </c>
      <c r="L1143" s="269">
        <v>85596</v>
      </c>
      <c r="M1143" s="270">
        <v>1</v>
      </c>
      <c r="N1143" s="268">
        <v>1</v>
      </c>
      <c r="O1143" s="271"/>
      <c r="P1143" s="271">
        <v>84027</v>
      </c>
      <c r="Q1143" s="271"/>
      <c r="R1143" s="271"/>
      <c r="S1143" s="271">
        <v>-85596</v>
      </c>
      <c r="T1143" s="271"/>
      <c r="U1143" s="272">
        <v>1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153</v>
      </c>
      <c r="B1144" s="267" t="s">
        <v>1645</v>
      </c>
      <c r="C1144" s="267" t="s">
        <v>94</v>
      </c>
      <c r="D1144" s="267" t="s">
        <v>92</v>
      </c>
      <c r="E1144" s="267" t="s">
        <v>0</v>
      </c>
      <c r="F1144" s="268"/>
      <c r="G1144" s="269"/>
      <c r="H1144" s="269"/>
      <c r="I1144" s="270"/>
      <c r="J1144" s="268">
        <v>1</v>
      </c>
      <c r="K1144" s="269">
        <v>84216</v>
      </c>
      <c r="L1144" s="269">
        <v>85388</v>
      </c>
      <c r="M1144" s="270">
        <v>1</v>
      </c>
      <c r="N1144" s="268">
        <v>1</v>
      </c>
      <c r="O1144" s="271"/>
      <c r="P1144" s="271">
        <v>84216</v>
      </c>
      <c r="Q1144" s="271"/>
      <c r="R1144" s="271"/>
      <c r="S1144" s="271">
        <v>-85388</v>
      </c>
      <c r="T1144" s="271"/>
      <c r="U1144" s="272">
        <v>1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153</v>
      </c>
      <c r="B1145" s="267" t="s">
        <v>390</v>
      </c>
      <c r="C1145" s="267" t="s">
        <v>94</v>
      </c>
      <c r="D1145" s="267" t="s">
        <v>92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84316</v>
      </c>
      <c r="L1145" s="269">
        <v>85150</v>
      </c>
      <c r="M1145" s="270">
        <v>1</v>
      </c>
      <c r="N1145" s="268">
        <v>1</v>
      </c>
      <c r="O1145" s="271"/>
      <c r="P1145" s="271">
        <v>84316</v>
      </c>
      <c r="Q1145" s="271"/>
      <c r="R1145" s="271"/>
      <c r="S1145" s="271">
        <v>-85150</v>
      </c>
      <c r="T1145" s="271"/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153</v>
      </c>
      <c r="B1146" s="267" t="s">
        <v>1646</v>
      </c>
      <c r="C1146" s="267" t="s">
        <v>94</v>
      </c>
      <c r="D1146" s="267" t="s">
        <v>92</v>
      </c>
      <c r="E1146" s="267" t="s">
        <v>0</v>
      </c>
      <c r="F1146" s="268"/>
      <c r="G1146" s="269"/>
      <c r="H1146" s="269"/>
      <c r="I1146" s="270"/>
      <c r="J1146" s="268">
        <v>1</v>
      </c>
      <c r="K1146" s="269">
        <v>83480</v>
      </c>
      <c r="L1146" s="269">
        <v>85975</v>
      </c>
      <c r="M1146" s="270">
        <v>1</v>
      </c>
      <c r="N1146" s="268">
        <v>1</v>
      </c>
      <c r="O1146" s="271"/>
      <c r="P1146" s="271">
        <v>83480</v>
      </c>
      <c r="Q1146" s="271"/>
      <c r="R1146" s="271"/>
      <c r="S1146" s="271">
        <v>-85975</v>
      </c>
      <c r="T1146" s="271"/>
      <c r="U1146" s="272">
        <v>1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153</v>
      </c>
      <c r="B1147" s="267" t="s">
        <v>391</v>
      </c>
      <c r="C1147" s="267" t="s">
        <v>94</v>
      </c>
      <c r="D1147" s="267" t="s">
        <v>92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84235</v>
      </c>
      <c r="L1147" s="269">
        <v>85185</v>
      </c>
      <c r="M1147" s="270">
        <v>1</v>
      </c>
      <c r="N1147" s="268">
        <v>1</v>
      </c>
      <c r="O1147" s="271"/>
      <c r="P1147" s="271">
        <v>84235</v>
      </c>
      <c r="Q1147" s="271"/>
      <c r="R1147" s="271"/>
      <c r="S1147" s="271">
        <v>-85185</v>
      </c>
      <c r="T1147" s="271"/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153</v>
      </c>
      <c r="B1148" s="267" t="s">
        <v>1647</v>
      </c>
      <c r="C1148" s="267" t="s">
        <v>94</v>
      </c>
      <c r="D1148" s="267" t="s">
        <v>92</v>
      </c>
      <c r="E1148" s="267" t="s">
        <v>0</v>
      </c>
      <c r="F1148" s="268"/>
      <c r="G1148" s="269"/>
      <c r="H1148" s="269"/>
      <c r="I1148" s="270"/>
      <c r="J1148" s="268">
        <v>1</v>
      </c>
      <c r="K1148" s="269">
        <v>83645</v>
      </c>
      <c r="L1148" s="269">
        <v>85990</v>
      </c>
      <c r="M1148" s="270">
        <v>1</v>
      </c>
      <c r="N1148" s="268">
        <v>1</v>
      </c>
      <c r="O1148" s="271"/>
      <c r="P1148" s="271">
        <v>83645</v>
      </c>
      <c r="Q1148" s="271"/>
      <c r="R1148" s="271"/>
      <c r="S1148" s="271">
        <v>-85990</v>
      </c>
      <c r="T1148" s="271"/>
      <c r="U1148" s="272">
        <v>1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153</v>
      </c>
      <c r="B1149" s="267" t="s">
        <v>1648</v>
      </c>
      <c r="C1149" s="267" t="s">
        <v>94</v>
      </c>
      <c r="D1149" s="267" t="s">
        <v>92</v>
      </c>
      <c r="E1149" s="267" t="s">
        <v>0</v>
      </c>
      <c r="F1149" s="268"/>
      <c r="G1149" s="269"/>
      <c r="H1149" s="269"/>
      <c r="I1149" s="270"/>
      <c r="J1149" s="268">
        <v>1</v>
      </c>
      <c r="K1149" s="269">
        <v>83926</v>
      </c>
      <c r="L1149" s="269">
        <v>85564</v>
      </c>
      <c r="M1149" s="270">
        <v>1</v>
      </c>
      <c r="N1149" s="268">
        <v>1</v>
      </c>
      <c r="O1149" s="271"/>
      <c r="P1149" s="271">
        <v>83926</v>
      </c>
      <c r="Q1149" s="271"/>
      <c r="R1149" s="271"/>
      <c r="S1149" s="271">
        <v>-85564</v>
      </c>
      <c r="T1149" s="271"/>
      <c r="U1149" s="272">
        <v>1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153</v>
      </c>
      <c r="B1150" s="267" t="s">
        <v>1649</v>
      </c>
      <c r="C1150" s="267" t="s">
        <v>94</v>
      </c>
      <c r="D1150" s="267" t="s">
        <v>92</v>
      </c>
      <c r="E1150" s="267" t="s">
        <v>0</v>
      </c>
      <c r="F1150" s="268"/>
      <c r="G1150" s="269"/>
      <c r="H1150" s="269"/>
      <c r="I1150" s="270"/>
      <c r="J1150" s="268">
        <v>1</v>
      </c>
      <c r="K1150" s="269">
        <v>83977</v>
      </c>
      <c r="L1150" s="269">
        <v>85349</v>
      </c>
      <c r="M1150" s="270">
        <v>1</v>
      </c>
      <c r="N1150" s="268">
        <v>1</v>
      </c>
      <c r="O1150" s="271"/>
      <c r="P1150" s="271">
        <v>83977</v>
      </c>
      <c r="Q1150" s="271"/>
      <c r="R1150" s="271"/>
      <c r="S1150" s="271">
        <v>-85349</v>
      </c>
      <c r="T1150" s="271"/>
      <c r="U1150" s="272">
        <v>1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153</v>
      </c>
      <c r="B1151" s="267" t="s">
        <v>1650</v>
      </c>
      <c r="C1151" s="267" t="s">
        <v>94</v>
      </c>
      <c r="D1151" s="267" t="s">
        <v>92</v>
      </c>
      <c r="E1151" s="267" t="s">
        <v>0</v>
      </c>
      <c r="F1151" s="268"/>
      <c r="G1151" s="269"/>
      <c r="H1151" s="269"/>
      <c r="I1151" s="270"/>
      <c r="J1151" s="268">
        <v>1</v>
      </c>
      <c r="K1151" s="269">
        <v>83906</v>
      </c>
      <c r="L1151" s="269">
        <v>85560</v>
      </c>
      <c r="M1151" s="270">
        <v>1</v>
      </c>
      <c r="N1151" s="268">
        <v>1</v>
      </c>
      <c r="O1151" s="271"/>
      <c r="P1151" s="271">
        <v>83906</v>
      </c>
      <c r="Q1151" s="271"/>
      <c r="R1151" s="271"/>
      <c r="S1151" s="271">
        <v>-85560</v>
      </c>
      <c r="T1151" s="271"/>
      <c r="U1151" s="272">
        <v>1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153</v>
      </c>
      <c r="B1152" s="267" t="s">
        <v>1651</v>
      </c>
      <c r="C1152" s="267" t="s">
        <v>94</v>
      </c>
      <c r="D1152" s="267" t="s">
        <v>92</v>
      </c>
      <c r="E1152" s="267" t="s">
        <v>0</v>
      </c>
      <c r="F1152" s="268"/>
      <c r="G1152" s="269"/>
      <c r="H1152" s="269"/>
      <c r="I1152" s="270"/>
      <c r="J1152" s="268">
        <v>1</v>
      </c>
      <c r="K1152" s="269">
        <v>83665</v>
      </c>
      <c r="L1152" s="269">
        <v>85806</v>
      </c>
      <c r="M1152" s="270">
        <v>1</v>
      </c>
      <c r="N1152" s="268">
        <v>1</v>
      </c>
      <c r="O1152" s="271"/>
      <c r="P1152" s="271">
        <v>83665</v>
      </c>
      <c r="Q1152" s="271"/>
      <c r="R1152" s="271"/>
      <c r="S1152" s="271">
        <v>-85806</v>
      </c>
      <c r="T1152" s="271"/>
      <c r="U1152" s="272">
        <v>1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153</v>
      </c>
      <c r="B1153" s="267" t="s">
        <v>1652</v>
      </c>
      <c r="C1153" s="267" t="s">
        <v>94</v>
      </c>
      <c r="D1153" s="267" t="s">
        <v>92</v>
      </c>
      <c r="E1153" s="267" t="s">
        <v>0</v>
      </c>
      <c r="F1153" s="268"/>
      <c r="G1153" s="269"/>
      <c r="H1153" s="269"/>
      <c r="I1153" s="270"/>
      <c r="J1153" s="268">
        <v>1</v>
      </c>
      <c r="K1153" s="269">
        <v>83855</v>
      </c>
      <c r="L1153" s="269">
        <v>85385</v>
      </c>
      <c r="M1153" s="270">
        <v>1</v>
      </c>
      <c r="N1153" s="268">
        <v>1</v>
      </c>
      <c r="O1153" s="271"/>
      <c r="P1153" s="271">
        <v>83855</v>
      </c>
      <c r="Q1153" s="271"/>
      <c r="R1153" s="271"/>
      <c r="S1153" s="271">
        <v>-85385</v>
      </c>
      <c r="T1153" s="271"/>
      <c r="U1153" s="272">
        <v>1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153</v>
      </c>
      <c r="B1154" s="267" t="s">
        <v>1653</v>
      </c>
      <c r="C1154" s="267" t="s">
        <v>94</v>
      </c>
      <c r="D1154" s="267" t="s">
        <v>92</v>
      </c>
      <c r="E1154" s="267" t="s">
        <v>0</v>
      </c>
      <c r="F1154" s="268"/>
      <c r="G1154" s="269"/>
      <c r="H1154" s="269"/>
      <c r="I1154" s="270"/>
      <c r="J1154" s="268">
        <v>1</v>
      </c>
      <c r="K1154" s="269">
        <v>83650</v>
      </c>
      <c r="L1154" s="269">
        <v>85641</v>
      </c>
      <c r="M1154" s="270">
        <v>1</v>
      </c>
      <c r="N1154" s="268">
        <v>1</v>
      </c>
      <c r="O1154" s="271"/>
      <c r="P1154" s="271">
        <v>83650</v>
      </c>
      <c r="Q1154" s="271"/>
      <c r="R1154" s="271"/>
      <c r="S1154" s="271">
        <v>-85641</v>
      </c>
      <c r="T1154" s="271"/>
      <c r="U1154" s="272">
        <v>1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153</v>
      </c>
      <c r="B1155" s="267" t="s">
        <v>1654</v>
      </c>
      <c r="C1155" s="267" t="s">
        <v>94</v>
      </c>
      <c r="D1155" s="267" t="s">
        <v>92</v>
      </c>
      <c r="E1155" s="267" t="s">
        <v>0</v>
      </c>
      <c r="F1155" s="268"/>
      <c r="G1155" s="269"/>
      <c r="H1155" s="269"/>
      <c r="I1155" s="270"/>
      <c r="J1155" s="268">
        <v>1</v>
      </c>
      <c r="K1155" s="269">
        <v>83871</v>
      </c>
      <c r="L1155" s="269">
        <v>85509</v>
      </c>
      <c r="M1155" s="270">
        <v>1</v>
      </c>
      <c r="N1155" s="268">
        <v>1</v>
      </c>
      <c r="O1155" s="271"/>
      <c r="P1155" s="271">
        <v>83871</v>
      </c>
      <c r="Q1155" s="271"/>
      <c r="R1155" s="271"/>
      <c r="S1155" s="271">
        <v>-85509</v>
      </c>
      <c r="T1155" s="271"/>
      <c r="U1155" s="272">
        <v>1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153</v>
      </c>
      <c r="B1156" s="267" t="s">
        <v>1655</v>
      </c>
      <c r="C1156" s="267" t="s">
        <v>94</v>
      </c>
      <c r="D1156" s="267" t="s">
        <v>92</v>
      </c>
      <c r="E1156" s="267" t="s">
        <v>0</v>
      </c>
      <c r="F1156" s="268"/>
      <c r="G1156" s="269"/>
      <c r="H1156" s="269"/>
      <c r="I1156" s="270"/>
      <c r="J1156" s="268">
        <v>1</v>
      </c>
      <c r="K1156" s="269">
        <v>83892</v>
      </c>
      <c r="L1156" s="269">
        <v>85504</v>
      </c>
      <c r="M1156" s="270">
        <v>1</v>
      </c>
      <c r="N1156" s="268">
        <v>1</v>
      </c>
      <c r="O1156" s="271"/>
      <c r="P1156" s="271">
        <v>83892</v>
      </c>
      <c r="Q1156" s="271"/>
      <c r="R1156" s="271"/>
      <c r="S1156" s="271">
        <v>-85504</v>
      </c>
      <c r="T1156" s="271"/>
      <c r="U1156" s="272">
        <v>1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153</v>
      </c>
      <c r="B1157" s="267" t="s">
        <v>392</v>
      </c>
      <c r="C1157" s="267" t="s">
        <v>94</v>
      </c>
      <c r="D1157" s="267" t="s">
        <v>92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84400</v>
      </c>
      <c r="L1157" s="269">
        <v>85086</v>
      </c>
      <c r="M1157" s="270">
        <v>1</v>
      </c>
      <c r="N1157" s="268">
        <v>1</v>
      </c>
      <c r="O1157" s="271"/>
      <c r="P1157" s="271">
        <v>84400</v>
      </c>
      <c r="Q1157" s="271"/>
      <c r="R1157" s="271"/>
      <c r="S1157" s="271">
        <v>-85086</v>
      </c>
      <c r="T1157" s="271"/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153</v>
      </c>
      <c r="B1158" s="267" t="s">
        <v>1656</v>
      </c>
      <c r="C1158" s="267" t="s">
        <v>94</v>
      </c>
      <c r="D1158" s="267" t="s">
        <v>92</v>
      </c>
      <c r="E1158" s="267" t="s">
        <v>0</v>
      </c>
      <c r="F1158" s="268"/>
      <c r="G1158" s="269"/>
      <c r="H1158" s="269"/>
      <c r="I1158" s="270"/>
      <c r="J1158" s="268">
        <v>1</v>
      </c>
      <c r="K1158" s="269">
        <v>84015</v>
      </c>
      <c r="L1158" s="269">
        <v>85635</v>
      </c>
      <c r="M1158" s="270">
        <v>1</v>
      </c>
      <c r="N1158" s="268">
        <v>1</v>
      </c>
      <c r="O1158" s="271"/>
      <c r="P1158" s="271">
        <v>84015</v>
      </c>
      <c r="Q1158" s="271"/>
      <c r="R1158" s="271"/>
      <c r="S1158" s="271">
        <v>-85635</v>
      </c>
      <c r="T1158" s="271"/>
      <c r="U1158" s="272">
        <v>1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153</v>
      </c>
      <c r="B1159" s="267" t="s">
        <v>393</v>
      </c>
      <c r="C1159" s="267" t="s">
        <v>94</v>
      </c>
      <c r="D1159" s="267" t="s">
        <v>92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84286</v>
      </c>
      <c r="L1159" s="269">
        <v>85172</v>
      </c>
      <c r="M1159" s="270">
        <v>1</v>
      </c>
      <c r="N1159" s="268">
        <v>1</v>
      </c>
      <c r="O1159" s="271"/>
      <c r="P1159" s="271">
        <v>84286</v>
      </c>
      <c r="Q1159" s="271"/>
      <c r="R1159" s="271"/>
      <c r="S1159" s="271">
        <v>-85172</v>
      </c>
      <c r="T1159" s="271"/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153</v>
      </c>
      <c r="B1160" s="267" t="s">
        <v>1657</v>
      </c>
      <c r="C1160" s="267" t="s">
        <v>94</v>
      </c>
      <c r="D1160" s="267" t="s">
        <v>92</v>
      </c>
      <c r="E1160" s="267" t="s">
        <v>0</v>
      </c>
      <c r="F1160" s="268"/>
      <c r="G1160" s="269"/>
      <c r="H1160" s="269"/>
      <c r="I1160" s="270"/>
      <c r="J1160" s="268">
        <v>1</v>
      </c>
      <c r="K1160" s="269">
        <v>83914</v>
      </c>
      <c r="L1160" s="269">
        <v>85603</v>
      </c>
      <c r="M1160" s="270">
        <v>1</v>
      </c>
      <c r="N1160" s="268">
        <v>1</v>
      </c>
      <c r="O1160" s="271"/>
      <c r="P1160" s="271">
        <v>83914</v>
      </c>
      <c r="Q1160" s="271"/>
      <c r="R1160" s="271"/>
      <c r="S1160" s="271">
        <v>-85603</v>
      </c>
      <c r="T1160" s="271"/>
      <c r="U1160" s="272">
        <v>1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153</v>
      </c>
      <c r="B1161" s="267" t="s">
        <v>1658</v>
      </c>
      <c r="C1161" s="267" t="s">
        <v>94</v>
      </c>
      <c r="D1161" s="267" t="s">
        <v>92</v>
      </c>
      <c r="E1161" s="267" t="s">
        <v>0</v>
      </c>
      <c r="F1161" s="268"/>
      <c r="G1161" s="269"/>
      <c r="H1161" s="269"/>
      <c r="I1161" s="270"/>
      <c r="J1161" s="268">
        <v>1</v>
      </c>
      <c r="K1161" s="269">
        <v>83906</v>
      </c>
      <c r="L1161" s="269">
        <v>85372</v>
      </c>
      <c r="M1161" s="270">
        <v>1</v>
      </c>
      <c r="N1161" s="268">
        <v>1</v>
      </c>
      <c r="O1161" s="271"/>
      <c r="P1161" s="271">
        <v>83906</v>
      </c>
      <c r="Q1161" s="271"/>
      <c r="R1161" s="271"/>
      <c r="S1161" s="271">
        <v>-85372</v>
      </c>
      <c r="T1161" s="271"/>
      <c r="U1161" s="272">
        <v>1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153</v>
      </c>
      <c r="B1162" s="267" t="s">
        <v>1659</v>
      </c>
      <c r="C1162" s="267" t="s">
        <v>94</v>
      </c>
      <c r="D1162" s="267" t="s">
        <v>92</v>
      </c>
      <c r="E1162" s="267" t="s">
        <v>0</v>
      </c>
      <c r="F1162" s="268"/>
      <c r="G1162" s="269"/>
      <c r="H1162" s="269"/>
      <c r="I1162" s="270"/>
      <c r="J1162" s="268">
        <v>1</v>
      </c>
      <c r="K1162" s="269">
        <v>84044</v>
      </c>
      <c r="L1162" s="269">
        <v>85379</v>
      </c>
      <c r="M1162" s="270">
        <v>1</v>
      </c>
      <c r="N1162" s="268">
        <v>1</v>
      </c>
      <c r="O1162" s="271"/>
      <c r="P1162" s="271">
        <v>84044</v>
      </c>
      <c r="Q1162" s="271"/>
      <c r="R1162" s="271"/>
      <c r="S1162" s="271">
        <v>-85379</v>
      </c>
      <c r="T1162" s="271"/>
      <c r="U1162" s="272">
        <v>1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153</v>
      </c>
      <c r="B1163" s="267" t="s">
        <v>394</v>
      </c>
      <c r="C1163" s="267" t="s">
        <v>94</v>
      </c>
      <c r="D1163" s="267" t="s">
        <v>92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84422</v>
      </c>
      <c r="L1163" s="269">
        <v>85056</v>
      </c>
      <c r="M1163" s="270">
        <v>1</v>
      </c>
      <c r="N1163" s="268">
        <v>1</v>
      </c>
      <c r="O1163" s="271"/>
      <c r="P1163" s="271">
        <v>84422</v>
      </c>
      <c r="Q1163" s="271"/>
      <c r="R1163" s="271"/>
      <c r="S1163" s="271">
        <v>-85056</v>
      </c>
      <c r="T1163" s="271"/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153</v>
      </c>
      <c r="B1164" s="267" t="s">
        <v>1660</v>
      </c>
      <c r="C1164" s="267" t="s">
        <v>94</v>
      </c>
      <c r="D1164" s="267" t="s">
        <v>92</v>
      </c>
      <c r="E1164" s="267" t="s">
        <v>0</v>
      </c>
      <c r="F1164" s="268"/>
      <c r="G1164" s="269"/>
      <c r="H1164" s="269"/>
      <c r="I1164" s="270"/>
      <c r="J1164" s="268">
        <v>1</v>
      </c>
      <c r="K1164" s="269">
        <v>83827</v>
      </c>
      <c r="L1164" s="269">
        <v>85635</v>
      </c>
      <c r="M1164" s="270">
        <v>1</v>
      </c>
      <c r="N1164" s="268">
        <v>1</v>
      </c>
      <c r="O1164" s="271"/>
      <c r="P1164" s="271">
        <v>83827</v>
      </c>
      <c r="Q1164" s="271"/>
      <c r="R1164" s="271"/>
      <c r="S1164" s="271">
        <v>-85635</v>
      </c>
      <c r="T1164" s="271"/>
      <c r="U1164" s="272">
        <v>1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153</v>
      </c>
      <c r="B1165" s="267" t="s">
        <v>395</v>
      </c>
      <c r="C1165" s="267" t="s">
        <v>94</v>
      </c>
      <c r="D1165" s="267" t="s">
        <v>92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84210</v>
      </c>
      <c r="L1165" s="269">
        <v>85230</v>
      </c>
      <c r="M1165" s="270">
        <v>1</v>
      </c>
      <c r="N1165" s="268">
        <v>1</v>
      </c>
      <c r="O1165" s="271"/>
      <c r="P1165" s="271">
        <v>84210</v>
      </c>
      <c r="Q1165" s="271"/>
      <c r="R1165" s="271"/>
      <c r="S1165" s="271">
        <v>-85230</v>
      </c>
      <c r="T1165" s="271"/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153</v>
      </c>
      <c r="B1166" s="267" t="s">
        <v>1661</v>
      </c>
      <c r="C1166" s="267" t="s">
        <v>94</v>
      </c>
      <c r="D1166" s="267" t="s">
        <v>92</v>
      </c>
      <c r="E1166" s="267" t="s">
        <v>0</v>
      </c>
      <c r="F1166" s="268"/>
      <c r="G1166" s="269"/>
      <c r="H1166" s="269"/>
      <c r="I1166" s="270"/>
      <c r="J1166" s="268">
        <v>1</v>
      </c>
      <c r="K1166" s="269">
        <v>83874</v>
      </c>
      <c r="L1166" s="269">
        <v>85651</v>
      </c>
      <c r="M1166" s="270">
        <v>1</v>
      </c>
      <c r="N1166" s="268">
        <v>1</v>
      </c>
      <c r="O1166" s="271"/>
      <c r="P1166" s="271">
        <v>83874</v>
      </c>
      <c r="Q1166" s="271"/>
      <c r="R1166" s="271"/>
      <c r="S1166" s="271">
        <v>-85651</v>
      </c>
      <c r="T1166" s="271"/>
      <c r="U1166" s="272">
        <v>1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153</v>
      </c>
      <c r="B1167" s="267" t="s">
        <v>1662</v>
      </c>
      <c r="C1167" s="267" t="s">
        <v>94</v>
      </c>
      <c r="D1167" s="267" t="s">
        <v>92</v>
      </c>
      <c r="E1167" s="267" t="s">
        <v>0</v>
      </c>
      <c r="F1167" s="268"/>
      <c r="G1167" s="269"/>
      <c r="H1167" s="269"/>
      <c r="I1167" s="270"/>
      <c r="J1167" s="268">
        <v>1</v>
      </c>
      <c r="K1167" s="269">
        <v>84010</v>
      </c>
      <c r="L1167" s="269">
        <v>85610</v>
      </c>
      <c r="M1167" s="270">
        <v>1</v>
      </c>
      <c r="N1167" s="268">
        <v>1</v>
      </c>
      <c r="O1167" s="271"/>
      <c r="P1167" s="271">
        <v>84010</v>
      </c>
      <c r="Q1167" s="271"/>
      <c r="R1167" s="271"/>
      <c r="S1167" s="271">
        <v>-85610</v>
      </c>
      <c r="T1167" s="271"/>
      <c r="U1167" s="272">
        <v>1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153</v>
      </c>
      <c r="B1168" s="267" t="s">
        <v>1663</v>
      </c>
      <c r="C1168" s="267" t="s">
        <v>94</v>
      </c>
      <c r="D1168" s="267" t="s">
        <v>92</v>
      </c>
      <c r="E1168" s="267" t="s">
        <v>0</v>
      </c>
      <c r="F1168" s="268"/>
      <c r="G1168" s="269"/>
      <c r="H1168" s="269"/>
      <c r="I1168" s="270"/>
      <c r="J1168" s="268">
        <v>1</v>
      </c>
      <c r="K1168" s="269">
        <v>84214</v>
      </c>
      <c r="L1168" s="269">
        <v>85397</v>
      </c>
      <c r="M1168" s="270">
        <v>1</v>
      </c>
      <c r="N1168" s="268">
        <v>1</v>
      </c>
      <c r="O1168" s="271"/>
      <c r="P1168" s="271">
        <v>84214</v>
      </c>
      <c r="Q1168" s="271"/>
      <c r="R1168" s="271"/>
      <c r="S1168" s="271">
        <v>-85397</v>
      </c>
      <c r="T1168" s="271"/>
      <c r="U1168" s="272">
        <v>1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153</v>
      </c>
      <c r="B1169" s="267" t="s">
        <v>396</v>
      </c>
      <c r="C1169" s="267" t="s">
        <v>94</v>
      </c>
      <c r="D1169" s="267" t="s">
        <v>92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84293</v>
      </c>
      <c r="L1169" s="269">
        <v>85166</v>
      </c>
      <c r="M1169" s="270">
        <v>1</v>
      </c>
      <c r="N1169" s="268">
        <v>1</v>
      </c>
      <c r="O1169" s="271"/>
      <c r="P1169" s="271">
        <v>84293</v>
      </c>
      <c r="Q1169" s="271"/>
      <c r="R1169" s="271"/>
      <c r="S1169" s="271">
        <v>-85166</v>
      </c>
      <c r="T1169" s="271"/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153</v>
      </c>
      <c r="B1170" s="267" t="s">
        <v>1664</v>
      </c>
      <c r="C1170" s="267" t="s">
        <v>94</v>
      </c>
      <c r="D1170" s="267" t="s">
        <v>92</v>
      </c>
      <c r="E1170" s="267" t="s">
        <v>0</v>
      </c>
      <c r="F1170" s="268"/>
      <c r="G1170" s="269"/>
      <c r="H1170" s="269"/>
      <c r="I1170" s="270"/>
      <c r="J1170" s="268">
        <v>1</v>
      </c>
      <c r="K1170" s="269">
        <v>83480</v>
      </c>
      <c r="L1170" s="269">
        <v>85975</v>
      </c>
      <c r="M1170" s="270">
        <v>1</v>
      </c>
      <c r="N1170" s="268">
        <v>1</v>
      </c>
      <c r="O1170" s="271"/>
      <c r="P1170" s="271">
        <v>83480</v>
      </c>
      <c r="Q1170" s="271"/>
      <c r="R1170" s="271"/>
      <c r="S1170" s="271">
        <v>-85975</v>
      </c>
      <c r="T1170" s="271"/>
      <c r="U1170" s="272">
        <v>1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153</v>
      </c>
      <c r="B1171" s="267" t="s">
        <v>397</v>
      </c>
      <c r="C1171" s="267" t="s">
        <v>94</v>
      </c>
      <c r="D1171" s="267" t="s">
        <v>92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84179</v>
      </c>
      <c r="L1171" s="269">
        <v>85238</v>
      </c>
      <c r="M1171" s="270">
        <v>1</v>
      </c>
      <c r="N1171" s="268">
        <v>1</v>
      </c>
      <c r="O1171" s="271"/>
      <c r="P1171" s="271">
        <v>84179</v>
      </c>
      <c r="Q1171" s="271"/>
      <c r="R1171" s="271"/>
      <c r="S1171" s="271">
        <v>-85238</v>
      </c>
      <c r="T1171" s="271"/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153</v>
      </c>
      <c r="B1172" s="267" t="s">
        <v>1665</v>
      </c>
      <c r="C1172" s="267" t="s">
        <v>94</v>
      </c>
      <c r="D1172" s="267" t="s">
        <v>92</v>
      </c>
      <c r="E1172" s="267" t="s">
        <v>0</v>
      </c>
      <c r="F1172" s="268"/>
      <c r="G1172" s="269"/>
      <c r="H1172" s="269"/>
      <c r="I1172" s="270"/>
      <c r="J1172" s="268">
        <v>1</v>
      </c>
      <c r="K1172" s="269">
        <v>83620</v>
      </c>
      <c r="L1172" s="269">
        <v>86015</v>
      </c>
      <c r="M1172" s="270">
        <v>1</v>
      </c>
      <c r="N1172" s="268">
        <v>1</v>
      </c>
      <c r="O1172" s="271"/>
      <c r="P1172" s="271">
        <v>83620</v>
      </c>
      <c r="Q1172" s="271"/>
      <c r="R1172" s="271"/>
      <c r="S1172" s="271">
        <v>-86015</v>
      </c>
      <c r="T1172" s="271"/>
      <c r="U1172" s="272">
        <v>1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153</v>
      </c>
      <c r="B1173" s="267" t="s">
        <v>1666</v>
      </c>
      <c r="C1173" s="267" t="s">
        <v>94</v>
      </c>
      <c r="D1173" s="267" t="s">
        <v>92</v>
      </c>
      <c r="E1173" s="267" t="s">
        <v>0</v>
      </c>
      <c r="F1173" s="268"/>
      <c r="G1173" s="269"/>
      <c r="H1173" s="269"/>
      <c r="I1173" s="270"/>
      <c r="J1173" s="268">
        <v>1</v>
      </c>
      <c r="K1173" s="269">
        <v>83886</v>
      </c>
      <c r="L1173" s="269">
        <v>85594</v>
      </c>
      <c r="M1173" s="270">
        <v>1</v>
      </c>
      <c r="N1173" s="268">
        <v>1</v>
      </c>
      <c r="O1173" s="271"/>
      <c r="P1173" s="271">
        <v>83886</v>
      </c>
      <c r="Q1173" s="271"/>
      <c r="R1173" s="271"/>
      <c r="S1173" s="271">
        <v>-85594</v>
      </c>
      <c r="T1173" s="271"/>
      <c r="U1173" s="272">
        <v>1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153</v>
      </c>
      <c r="B1174" s="267" t="s">
        <v>1667</v>
      </c>
      <c r="C1174" s="267" t="s">
        <v>94</v>
      </c>
      <c r="D1174" s="267" t="s">
        <v>92</v>
      </c>
      <c r="E1174" s="267" t="s">
        <v>0</v>
      </c>
      <c r="F1174" s="268"/>
      <c r="G1174" s="269"/>
      <c r="H1174" s="269"/>
      <c r="I1174" s="270"/>
      <c r="J1174" s="268">
        <v>1</v>
      </c>
      <c r="K1174" s="269">
        <v>83952</v>
      </c>
      <c r="L1174" s="269">
        <v>85374</v>
      </c>
      <c r="M1174" s="270">
        <v>1</v>
      </c>
      <c r="N1174" s="268">
        <v>1</v>
      </c>
      <c r="O1174" s="271"/>
      <c r="P1174" s="271">
        <v>83952</v>
      </c>
      <c r="Q1174" s="271"/>
      <c r="R1174" s="271"/>
      <c r="S1174" s="271">
        <v>-85374</v>
      </c>
      <c r="T1174" s="271"/>
      <c r="U1174" s="272">
        <v>1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153</v>
      </c>
      <c r="B1175" s="267" t="s">
        <v>1668</v>
      </c>
      <c r="C1175" s="267" t="s">
        <v>94</v>
      </c>
      <c r="D1175" s="267" t="s">
        <v>92</v>
      </c>
      <c r="E1175" s="267" t="s">
        <v>0</v>
      </c>
      <c r="F1175" s="268"/>
      <c r="G1175" s="269"/>
      <c r="H1175" s="269"/>
      <c r="I1175" s="270"/>
      <c r="J1175" s="268">
        <v>1</v>
      </c>
      <c r="K1175" s="269">
        <v>83883</v>
      </c>
      <c r="L1175" s="269">
        <v>85576</v>
      </c>
      <c r="M1175" s="270">
        <v>1</v>
      </c>
      <c r="N1175" s="268">
        <v>1</v>
      </c>
      <c r="O1175" s="271"/>
      <c r="P1175" s="271">
        <v>83883</v>
      </c>
      <c r="Q1175" s="271"/>
      <c r="R1175" s="271"/>
      <c r="S1175" s="271">
        <v>-85576</v>
      </c>
      <c r="T1175" s="271"/>
      <c r="U1175" s="272">
        <v>1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153</v>
      </c>
      <c r="B1176" s="267" t="s">
        <v>1669</v>
      </c>
      <c r="C1176" s="267" t="s">
        <v>94</v>
      </c>
      <c r="D1176" s="267" t="s">
        <v>92</v>
      </c>
      <c r="E1176" s="267" t="s">
        <v>0</v>
      </c>
      <c r="F1176" s="268"/>
      <c r="G1176" s="269"/>
      <c r="H1176" s="269"/>
      <c r="I1176" s="270"/>
      <c r="J1176" s="268">
        <v>1</v>
      </c>
      <c r="K1176" s="269">
        <v>83665</v>
      </c>
      <c r="L1176" s="269">
        <v>85806</v>
      </c>
      <c r="M1176" s="270">
        <v>1</v>
      </c>
      <c r="N1176" s="268">
        <v>1</v>
      </c>
      <c r="O1176" s="271"/>
      <c r="P1176" s="271">
        <v>83665</v>
      </c>
      <c r="Q1176" s="271"/>
      <c r="R1176" s="271"/>
      <c r="S1176" s="271">
        <v>-85806</v>
      </c>
      <c r="T1176" s="271"/>
      <c r="U1176" s="272">
        <v>1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153</v>
      </c>
      <c r="B1177" s="267" t="s">
        <v>1670</v>
      </c>
      <c r="C1177" s="267" t="s">
        <v>94</v>
      </c>
      <c r="D1177" s="267" t="s">
        <v>92</v>
      </c>
      <c r="E1177" s="267" t="s">
        <v>0</v>
      </c>
      <c r="F1177" s="268"/>
      <c r="G1177" s="269"/>
      <c r="H1177" s="269"/>
      <c r="I1177" s="270"/>
      <c r="J1177" s="268">
        <v>1</v>
      </c>
      <c r="K1177" s="269">
        <v>83799</v>
      </c>
      <c r="L1177" s="269">
        <v>85438</v>
      </c>
      <c r="M1177" s="270">
        <v>1</v>
      </c>
      <c r="N1177" s="268">
        <v>1</v>
      </c>
      <c r="O1177" s="271"/>
      <c r="P1177" s="271">
        <v>83799</v>
      </c>
      <c r="Q1177" s="271"/>
      <c r="R1177" s="271"/>
      <c r="S1177" s="271">
        <v>-85438</v>
      </c>
      <c r="T1177" s="271"/>
      <c r="U1177" s="272">
        <v>1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153</v>
      </c>
      <c r="B1178" s="267" t="s">
        <v>1671</v>
      </c>
      <c r="C1178" s="267" t="s">
        <v>94</v>
      </c>
      <c r="D1178" s="267" t="s">
        <v>92</v>
      </c>
      <c r="E1178" s="267" t="s">
        <v>0</v>
      </c>
      <c r="F1178" s="268"/>
      <c r="G1178" s="269"/>
      <c r="H1178" s="269"/>
      <c r="I1178" s="270"/>
      <c r="J1178" s="268">
        <v>1</v>
      </c>
      <c r="K1178" s="269">
        <v>83625</v>
      </c>
      <c r="L1178" s="269">
        <v>85666</v>
      </c>
      <c r="M1178" s="270">
        <v>1</v>
      </c>
      <c r="N1178" s="268">
        <v>1</v>
      </c>
      <c r="O1178" s="271"/>
      <c r="P1178" s="271">
        <v>83625</v>
      </c>
      <c r="Q1178" s="271"/>
      <c r="R1178" s="271"/>
      <c r="S1178" s="271">
        <v>-85666</v>
      </c>
      <c r="T1178" s="271"/>
      <c r="U1178" s="272">
        <v>1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153</v>
      </c>
      <c r="B1179" s="267" t="s">
        <v>1672</v>
      </c>
      <c r="C1179" s="267" t="s">
        <v>94</v>
      </c>
      <c r="D1179" s="267" t="s">
        <v>92</v>
      </c>
      <c r="E1179" s="267" t="s">
        <v>0</v>
      </c>
      <c r="F1179" s="268"/>
      <c r="G1179" s="269"/>
      <c r="H1179" s="269"/>
      <c r="I1179" s="270"/>
      <c r="J1179" s="268">
        <v>1</v>
      </c>
      <c r="K1179" s="269">
        <v>83831</v>
      </c>
      <c r="L1179" s="269">
        <v>85539</v>
      </c>
      <c r="M1179" s="270">
        <v>1</v>
      </c>
      <c r="N1179" s="268">
        <v>1</v>
      </c>
      <c r="O1179" s="271"/>
      <c r="P1179" s="271">
        <v>83831</v>
      </c>
      <c r="Q1179" s="271"/>
      <c r="R1179" s="271"/>
      <c r="S1179" s="271">
        <v>-85539</v>
      </c>
      <c r="T1179" s="271"/>
      <c r="U1179" s="272">
        <v>1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153</v>
      </c>
      <c r="B1180" s="267" t="s">
        <v>1673</v>
      </c>
      <c r="C1180" s="267" t="s">
        <v>94</v>
      </c>
      <c r="D1180" s="267" t="s">
        <v>92</v>
      </c>
      <c r="E1180" s="267" t="s">
        <v>0</v>
      </c>
      <c r="F1180" s="268"/>
      <c r="G1180" s="269"/>
      <c r="H1180" s="269"/>
      <c r="I1180" s="270"/>
      <c r="J1180" s="268">
        <v>1</v>
      </c>
      <c r="K1180" s="269">
        <v>83867</v>
      </c>
      <c r="L1180" s="269">
        <v>85529</v>
      </c>
      <c r="M1180" s="270">
        <v>1</v>
      </c>
      <c r="N1180" s="268">
        <v>1</v>
      </c>
      <c r="O1180" s="271"/>
      <c r="P1180" s="271">
        <v>83867</v>
      </c>
      <c r="Q1180" s="271"/>
      <c r="R1180" s="271"/>
      <c r="S1180" s="271">
        <v>-85529</v>
      </c>
      <c r="T1180" s="271"/>
      <c r="U1180" s="272">
        <v>1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153</v>
      </c>
      <c r="B1181" s="267" t="s">
        <v>398</v>
      </c>
      <c r="C1181" s="267" t="s">
        <v>94</v>
      </c>
      <c r="D1181" s="267" t="s">
        <v>92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84385</v>
      </c>
      <c r="L1181" s="269">
        <v>85071</v>
      </c>
      <c r="M1181" s="270">
        <v>1</v>
      </c>
      <c r="N1181" s="268">
        <v>1</v>
      </c>
      <c r="O1181" s="271"/>
      <c r="P1181" s="271">
        <v>84385</v>
      </c>
      <c r="Q1181" s="271"/>
      <c r="R1181" s="271"/>
      <c r="S1181" s="271">
        <v>-85071</v>
      </c>
      <c r="T1181" s="271"/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153</v>
      </c>
      <c r="B1182" s="267" t="s">
        <v>1674</v>
      </c>
      <c r="C1182" s="267" t="s">
        <v>94</v>
      </c>
      <c r="D1182" s="267" t="s">
        <v>92</v>
      </c>
      <c r="E1182" s="267" t="s">
        <v>0</v>
      </c>
      <c r="F1182" s="268"/>
      <c r="G1182" s="269"/>
      <c r="H1182" s="269"/>
      <c r="I1182" s="270"/>
      <c r="J1182" s="268">
        <v>1</v>
      </c>
      <c r="K1182" s="269">
        <v>83790</v>
      </c>
      <c r="L1182" s="269">
        <v>85650</v>
      </c>
      <c r="M1182" s="270">
        <v>1</v>
      </c>
      <c r="N1182" s="268">
        <v>1</v>
      </c>
      <c r="O1182" s="271"/>
      <c r="P1182" s="271">
        <v>83790</v>
      </c>
      <c r="Q1182" s="271"/>
      <c r="R1182" s="271"/>
      <c r="S1182" s="271">
        <v>-85650</v>
      </c>
      <c r="T1182" s="271"/>
      <c r="U1182" s="272">
        <v>1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153</v>
      </c>
      <c r="B1183" s="267" t="s">
        <v>399</v>
      </c>
      <c r="C1183" s="267" t="s">
        <v>94</v>
      </c>
      <c r="D1183" s="267" t="s">
        <v>92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84219</v>
      </c>
      <c r="L1183" s="269">
        <v>85208</v>
      </c>
      <c r="M1183" s="270">
        <v>1</v>
      </c>
      <c r="N1183" s="268">
        <v>1</v>
      </c>
      <c r="O1183" s="271"/>
      <c r="P1183" s="271">
        <v>84219</v>
      </c>
      <c r="Q1183" s="271"/>
      <c r="R1183" s="271"/>
      <c r="S1183" s="271">
        <v>-85208</v>
      </c>
      <c r="T1183" s="271"/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153</v>
      </c>
      <c r="B1184" s="267" t="s">
        <v>1675</v>
      </c>
      <c r="C1184" s="267" t="s">
        <v>94</v>
      </c>
      <c r="D1184" s="267" t="s">
        <v>92</v>
      </c>
      <c r="E1184" s="267" t="s">
        <v>0</v>
      </c>
      <c r="F1184" s="268"/>
      <c r="G1184" s="269"/>
      <c r="H1184" s="269"/>
      <c r="I1184" s="270"/>
      <c r="J1184" s="268">
        <v>1</v>
      </c>
      <c r="K1184" s="269">
        <v>83868</v>
      </c>
      <c r="L1184" s="269">
        <v>85634</v>
      </c>
      <c r="M1184" s="270">
        <v>1</v>
      </c>
      <c r="N1184" s="268">
        <v>1</v>
      </c>
      <c r="O1184" s="271"/>
      <c r="P1184" s="271">
        <v>83868</v>
      </c>
      <c r="Q1184" s="271"/>
      <c r="R1184" s="271"/>
      <c r="S1184" s="271">
        <v>-85634</v>
      </c>
      <c r="T1184" s="271"/>
      <c r="U1184" s="272">
        <v>1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153</v>
      </c>
      <c r="B1185" s="267" t="s">
        <v>1676</v>
      </c>
      <c r="C1185" s="267" t="s">
        <v>94</v>
      </c>
      <c r="D1185" s="267" t="s">
        <v>92</v>
      </c>
      <c r="E1185" s="267" t="s">
        <v>0</v>
      </c>
      <c r="F1185" s="268"/>
      <c r="G1185" s="269"/>
      <c r="H1185" s="269"/>
      <c r="I1185" s="270"/>
      <c r="J1185" s="268">
        <v>1</v>
      </c>
      <c r="K1185" s="269">
        <v>83809</v>
      </c>
      <c r="L1185" s="269">
        <v>85618</v>
      </c>
      <c r="M1185" s="270">
        <v>1</v>
      </c>
      <c r="N1185" s="268">
        <v>1</v>
      </c>
      <c r="O1185" s="271"/>
      <c r="P1185" s="271">
        <v>83809</v>
      </c>
      <c r="Q1185" s="271"/>
      <c r="R1185" s="271"/>
      <c r="S1185" s="271">
        <v>-85618</v>
      </c>
      <c r="T1185" s="271"/>
      <c r="U1185" s="272">
        <v>1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153</v>
      </c>
      <c r="B1186" s="267" t="s">
        <v>1677</v>
      </c>
      <c r="C1186" s="267" t="s">
        <v>94</v>
      </c>
      <c r="D1186" s="267" t="s">
        <v>92</v>
      </c>
      <c r="E1186" s="267" t="s">
        <v>0</v>
      </c>
      <c r="F1186" s="268"/>
      <c r="G1186" s="269"/>
      <c r="H1186" s="269"/>
      <c r="I1186" s="270"/>
      <c r="J1186" s="268">
        <v>1</v>
      </c>
      <c r="K1186" s="269">
        <v>83998</v>
      </c>
      <c r="L1186" s="269">
        <v>85410</v>
      </c>
      <c r="M1186" s="270">
        <v>1</v>
      </c>
      <c r="N1186" s="268">
        <v>1</v>
      </c>
      <c r="O1186" s="271"/>
      <c r="P1186" s="271">
        <v>83998</v>
      </c>
      <c r="Q1186" s="271"/>
      <c r="R1186" s="271"/>
      <c r="S1186" s="271">
        <v>-85410</v>
      </c>
      <c r="T1186" s="271"/>
      <c r="U1186" s="272">
        <v>1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153</v>
      </c>
      <c r="B1187" s="267" t="s">
        <v>400</v>
      </c>
      <c r="C1187" s="267" t="s">
        <v>94</v>
      </c>
      <c r="D1187" s="267" t="s">
        <v>92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84408</v>
      </c>
      <c r="L1187" s="269">
        <v>85055</v>
      </c>
      <c r="M1187" s="270">
        <v>1</v>
      </c>
      <c r="N1187" s="268">
        <v>1</v>
      </c>
      <c r="O1187" s="271"/>
      <c r="P1187" s="271">
        <v>84408</v>
      </c>
      <c r="Q1187" s="271"/>
      <c r="R1187" s="271"/>
      <c r="S1187" s="271">
        <v>-85055</v>
      </c>
      <c r="T1187" s="271"/>
      <c r="U1187" s="272">
        <v>1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153</v>
      </c>
      <c r="B1188" s="267" t="s">
        <v>1678</v>
      </c>
      <c r="C1188" s="267" t="s">
        <v>94</v>
      </c>
      <c r="D1188" s="267" t="s">
        <v>92</v>
      </c>
      <c r="E1188" s="267" t="s">
        <v>0</v>
      </c>
      <c r="F1188" s="268"/>
      <c r="G1188" s="269"/>
      <c r="H1188" s="269"/>
      <c r="I1188" s="270"/>
      <c r="J1188" s="268">
        <v>1</v>
      </c>
      <c r="K1188" s="269">
        <v>83813</v>
      </c>
      <c r="L1188" s="269">
        <v>85634</v>
      </c>
      <c r="M1188" s="270">
        <v>1</v>
      </c>
      <c r="N1188" s="268">
        <v>1</v>
      </c>
      <c r="O1188" s="271"/>
      <c r="P1188" s="271">
        <v>83813</v>
      </c>
      <c r="Q1188" s="271"/>
      <c r="R1188" s="271"/>
      <c r="S1188" s="271">
        <v>-85634</v>
      </c>
      <c r="T1188" s="271"/>
      <c r="U1188" s="272">
        <v>1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153</v>
      </c>
      <c r="B1189" s="267" t="s">
        <v>401</v>
      </c>
      <c r="C1189" s="267" t="s">
        <v>94</v>
      </c>
      <c r="D1189" s="267" t="s">
        <v>92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84195</v>
      </c>
      <c r="L1189" s="269">
        <v>85215</v>
      </c>
      <c r="M1189" s="270">
        <v>1</v>
      </c>
      <c r="N1189" s="268">
        <v>1</v>
      </c>
      <c r="O1189" s="271"/>
      <c r="P1189" s="271">
        <v>84195</v>
      </c>
      <c r="Q1189" s="271"/>
      <c r="R1189" s="271"/>
      <c r="S1189" s="271">
        <v>-85215</v>
      </c>
      <c r="T1189" s="271"/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153</v>
      </c>
      <c r="B1190" s="267" t="s">
        <v>1679</v>
      </c>
      <c r="C1190" s="267" t="s">
        <v>94</v>
      </c>
      <c r="D1190" s="267" t="s">
        <v>92</v>
      </c>
      <c r="E1190" s="267" t="s">
        <v>0</v>
      </c>
      <c r="F1190" s="268"/>
      <c r="G1190" s="269"/>
      <c r="H1190" s="269"/>
      <c r="I1190" s="270"/>
      <c r="J1190" s="268">
        <v>1</v>
      </c>
      <c r="K1190" s="269">
        <v>83859</v>
      </c>
      <c r="L1190" s="269">
        <v>85636</v>
      </c>
      <c r="M1190" s="270">
        <v>1</v>
      </c>
      <c r="N1190" s="268">
        <v>1</v>
      </c>
      <c r="O1190" s="271"/>
      <c r="P1190" s="271">
        <v>83859</v>
      </c>
      <c r="Q1190" s="271"/>
      <c r="R1190" s="271"/>
      <c r="S1190" s="271">
        <v>-85636</v>
      </c>
      <c r="T1190" s="271"/>
      <c r="U1190" s="272">
        <v>1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153</v>
      </c>
      <c r="B1191" s="267" t="s">
        <v>1680</v>
      </c>
      <c r="C1191" s="267" t="s">
        <v>94</v>
      </c>
      <c r="D1191" s="267" t="s">
        <v>92</v>
      </c>
      <c r="E1191" s="267" t="s">
        <v>0</v>
      </c>
      <c r="F1191" s="268"/>
      <c r="G1191" s="269"/>
      <c r="H1191" s="269"/>
      <c r="I1191" s="270"/>
      <c r="J1191" s="268">
        <v>1</v>
      </c>
      <c r="K1191" s="269">
        <v>83785</v>
      </c>
      <c r="L1191" s="269">
        <v>85625</v>
      </c>
      <c r="M1191" s="270">
        <v>1</v>
      </c>
      <c r="N1191" s="268">
        <v>1</v>
      </c>
      <c r="O1191" s="271"/>
      <c r="P1191" s="271">
        <v>83785</v>
      </c>
      <c r="Q1191" s="271"/>
      <c r="R1191" s="271"/>
      <c r="S1191" s="271">
        <v>-85625</v>
      </c>
      <c r="T1191" s="271"/>
      <c r="U1191" s="272">
        <v>1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153</v>
      </c>
      <c r="B1192" s="267" t="s">
        <v>1681</v>
      </c>
      <c r="C1192" s="267" t="s">
        <v>94</v>
      </c>
      <c r="D1192" s="267" t="s">
        <v>92</v>
      </c>
      <c r="E1192" s="267" t="s">
        <v>0</v>
      </c>
      <c r="F1192" s="268"/>
      <c r="G1192" s="269"/>
      <c r="H1192" s="269"/>
      <c r="I1192" s="270"/>
      <c r="J1192" s="268">
        <v>1</v>
      </c>
      <c r="K1192" s="269">
        <v>83989</v>
      </c>
      <c r="L1192" s="269">
        <v>85412</v>
      </c>
      <c r="M1192" s="270">
        <v>1</v>
      </c>
      <c r="N1192" s="268">
        <v>1</v>
      </c>
      <c r="O1192" s="271"/>
      <c r="P1192" s="271">
        <v>83989</v>
      </c>
      <c r="Q1192" s="271"/>
      <c r="R1192" s="271"/>
      <c r="S1192" s="271">
        <v>-85412</v>
      </c>
      <c r="T1192" s="271"/>
      <c r="U1192" s="272">
        <v>1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153</v>
      </c>
      <c r="B1193" s="267" t="s">
        <v>402</v>
      </c>
      <c r="C1193" s="267" t="s">
        <v>94</v>
      </c>
      <c r="D1193" s="267" t="s">
        <v>92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84213</v>
      </c>
      <c r="L1193" s="269">
        <v>85215</v>
      </c>
      <c r="M1193" s="270">
        <v>1</v>
      </c>
      <c r="N1193" s="268">
        <v>1</v>
      </c>
      <c r="O1193" s="271"/>
      <c r="P1193" s="271">
        <v>84213</v>
      </c>
      <c r="Q1193" s="271"/>
      <c r="R1193" s="271"/>
      <c r="S1193" s="271">
        <v>-85215</v>
      </c>
      <c r="T1193" s="271"/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153</v>
      </c>
      <c r="B1194" s="267" t="s">
        <v>1682</v>
      </c>
      <c r="C1194" s="267" t="s">
        <v>94</v>
      </c>
      <c r="D1194" s="267" t="s">
        <v>92</v>
      </c>
      <c r="E1194" s="267" t="s">
        <v>0</v>
      </c>
      <c r="F1194" s="268"/>
      <c r="G1194" s="269"/>
      <c r="H1194" s="269"/>
      <c r="I1194" s="270"/>
      <c r="J1194" s="268">
        <v>1</v>
      </c>
      <c r="K1194" s="269">
        <v>83435</v>
      </c>
      <c r="L1194" s="269">
        <v>86020</v>
      </c>
      <c r="M1194" s="270">
        <v>1</v>
      </c>
      <c r="N1194" s="268">
        <v>1</v>
      </c>
      <c r="O1194" s="271"/>
      <c r="P1194" s="271">
        <v>83435</v>
      </c>
      <c r="Q1194" s="271"/>
      <c r="R1194" s="271"/>
      <c r="S1194" s="271">
        <v>-86020</v>
      </c>
      <c r="T1194" s="271"/>
      <c r="U1194" s="272">
        <v>1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153</v>
      </c>
      <c r="B1195" s="267" t="s">
        <v>403</v>
      </c>
      <c r="C1195" s="267" t="s">
        <v>94</v>
      </c>
      <c r="D1195" s="267" t="s">
        <v>92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84180</v>
      </c>
      <c r="L1195" s="269">
        <v>85252</v>
      </c>
      <c r="M1195" s="270">
        <v>1</v>
      </c>
      <c r="N1195" s="268">
        <v>1</v>
      </c>
      <c r="O1195" s="271"/>
      <c r="P1195" s="271">
        <v>84180</v>
      </c>
      <c r="Q1195" s="271"/>
      <c r="R1195" s="271"/>
      <c r="S1195" s="271">
        <v>-85252</v>
      </c>
      <c r="T1195" s="271"/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153</v>
      </c>
      <c r="B1196" s="267" t="s">
        <v>1683</v>
      </c>
      <c r="C1196" s="267" t="s">
        <v>94</v>
      </c>
      <c r="D1196" s="267" t="s">
        <v>92</v>
      </c>
      <c r="E1196" s="267" t="s">
        <v>0</v>
      </c>
      <c r="F1196" s="268"/>
      <c r="G1196" s="269"/>
      <c r="H1196" s="269"/>
      <c r="I1196" s="270"/>
      <c r="J1196" s="268">
        <v>1</v>
      </c>
      <c r="K1196" s="269">
        <v>83410</v>
      </c>
      <c r="L1196" s="269">
        <v>86045</v>
      </c>
      <c r="M1196" s="270">
        <v>1</v>
      </c>
      <c r="N1196" s="268">
        <v>1</v>
      </c>
      <c r="O1196" s="271"/>
      <c r="P1196" s="271">
        <v>83410</v>
      </c>
      <c r="Q1196" s="271"/>
      <c r="R1196" s="271"/>
      <c r="S1196" s="271">
        <v>-86045</v>
      </c>
      <c r="T1196" s="271"/>
      <c r="U1196" s="272">
        <v>1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153</v>
      </c>
      <c r="B1197" s="267" t="s">
        <v>1684</v>
      </c>
      <c r="C1197" s="267" t="s">
        <v>94</v>
      </c>
      <c r="D1197" s="267" t="s">
        <v>92</v>
      </c>
      <c r="E1197" s="267" t="s">
        <v>0</v>
      </c>
      <c r="F1197" s="268"/>
      <c r="G1197" s="269"/>
      <c r="H1197" s="269"/>
      <c r="I1197" s="270"/>
      <c r="J1197" s="268">
        <v>1</v>
      </c>
      <c r="K1197" s="269">
        <v>83841</v>
      </c>
      <c r="L1197" s="269">
        <v>85639</v>
      </c>
      <c r="M1197" s="270">
        <v>1</v>
      </c>
      <c r="N1197" s="268">
        <v>1</v>
      </c>
      <c r="O1197" s="271"/>
      <c r="P1197" s="271">
        <v>83841</v>
      </c>
      <c r="Q1197" s="271"/>
      <c r="R1197" s="271"/>
      <c r="S1197" s="271">
        <v>-85639</v>
      </c>
      <c r="T1197" s="271"/>
      <c r="U1197" s="272">
        <v>1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153</v>
      </c>
      <c r="B1198" s="267" t="s">
        <v>1685</v>
      </c>
      <c r="C1198" s="267" t="s">
        <v>94</v>
      </c>
      <c r="D1198" s="267" t="s">
        <v>92</v>
      </c>
      <c r="E1198" s="267" t="s">
        <v>0</v>
      </c>
      <c r="F1198" s="268"/>
      <c r="G1198" s="269"/>
      <c r="H1198" s="269"/>
      <c r="I1198" s="270"/>
      <c r="J1198" s="268">
        <v>1</v>
      </c>
      <c r="K1198" s="269">
        <v>83856</v>
      </c>
      <c r="L1198" s="269">
        <v>85634</v>
      </c>
      <c r="M1198" s="270">
        <v>1</v>
      </c>
      <c r="N1198" s="268">
        <v>1</v>
      </c>
      <c r="O1198" s="271"/>
      <c r="P1198" s="271">
        <v>83856</v>
      </c>
      <c r="Q1198" s="271"/>
      <c r="R1198" s="271"/>
      <c r="S1198" s="271">
        <v>-85634</v>
      </c>
      <c r="T1198" s="271"/>
      <c r="U1198" s="272">
        <v>1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153</v>
      </c>
      <c r="B1199" s="267" t="s">
        <v>1686</v>
      </c>
      <c r="C1199" s="267" t="s">
        <v>94</v>
      </c>
      <c r="D1199" s="267" t="s">
        <v>92</v>
      </c>
      <c r="E1199" s="267" t="s">
        <v>0</v>
      </c>
      <c r="F1199" s="268"/>
      <c r="G1199" s="269"/>
      <c r="H1199" s="269"/>
      <c r="I1199" s="270"/>
      <c r="J1199" s="268">
        <v>1</v>
      </c>
      <c r="K1199" s="269">
        <v>84013</v>
      </c>
      <c r="L1199" s="269">
        <v>85595</v>
      </c>
      <c r="M1199" s="270">
        <v>1</v>
      </c>
      <c r="N1199" s="268">
        <v>1</v>
      </c>
      <c r="O1199" s="271"/>
      <c r="P1199" s="271">
        <v>84013</v>
      </c>
      <c r="Q1199" s="271"/>
      <c r="R1199" s="271"/>
      <c r="S1199" s="271">
        <v>-85595</v>
      </c>
      <c r="T1199" s="271"/>
      <c r="U1199" s="272">
        <v>1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153</v>
      </c>
      <c r="B1200" s="267" t="s">
        <v>1687</v>
      </c>
      <c r="C1200" s="267" t="s">
        <v>94</v>
      </c>
      <c r="D1200" s="267" t="s">
        <v>92</v>
      </c>
      <c r="E1200" s="267" t="s">
        <v>0</v>
      </c>
      <c r="F1200" s="268"/>
      <c r="G1200" s="269"/>
      <c r="H1200" s="269"/>
      <c r="I1200" s="270"/>
      <c r="J1200" s="268">
        <v>1</v>
      </c>
      <c r="K1200" s="269">
        <v>83830</v>
      </c>
      <c r="L1200" s="269">
        <v>85821</v>
      </c>
      <c r="M1200" s="270">
        <v>1</v>
      </c>
      <c r="N1200" s="268">
        <v>1</v>
      </c>
      <c r="O1200" s="271"/>
      <c r="P1200" s="271">
        <v>83830</v>
      </c>
      <c r="Q1200" s="271"/>
      <c r="R1200" s="271"/>
      <c r="S1200" s="271">
        <v>-85821</v>
      </c>
      <c r="T1200" s="271"/>
      <c r="U1200" s="272">
        <v>1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153</v>
      </c>
      <c r="B1201" s="267" t="s">
        <v>1688</v>
      </c>
      <c r="C1201" s="267" t="s">
        <v>94</v>
      </c>
      <c r="D1201" s="267" t="s">
        <v>92</v>
      </c>
      <c r="E1201" s="267" t="s">
        <v>0</v>
      </c>
      <c r="F1201" s="268"/>
      <c r="G1201" s="269"/>
      <c r="H1201" s="269"/>
      <c r="I1201" s="270"/>
      <c r="J1201" s="268">
        <v>1</v>
      </c>
      <c r="K1201" s="269">
        <v>83980</v>
      </c>
      <c r="L1201" s="269">
        <v>85632</v>
      </c>
      <c r="M1201" s="270">
        <v>1</v>
      </c>
      <c r="N1201" s="268">
        <v>1</v>
      </c>
      <c r="O1201" s="271"/>
      <c r="P1201" s="271">
        <v>83980</v>
      </c>
      <c r="Q1201" s="271"/>
      <c r="R1201" s="271"/>
      <c r="S1201" s="271">
        <v>-85632</v>
      </c>
      <c r="T1201" s="271"/>
      <c r="U1201" s="272">
        <v>1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153</v>
      </c>
      <c r="B1202" s="267" t="s">
        <v>1689</v>
      </c>
      <c r="C1202" s="267" t="s">
        <v>94</v>
      </c>
      <c r="D1202" s="267" t="s">
        <v>92</v>
      </c>
      <c r="E1202" s="267" t="s">
        <v>0</v>
      </c>
      <c r="F1202" s="268"/>
      <c r="G1202" s="269"/>
      <c r="H1202" s="269"/>
      <c r="I1202" s="270"/>
      <c r="J1202" s="268">
        <v>1</v>
      </c>
      <c r="K1202" s="269">
        <v>83805</v>
      </c>
      <c r="L1202" s="269">
        <v>85846</v>
      </c>
      <c r="M1202" s="270">
        <v>1</v>
      </c>
      <c r="N1202" s="268">
        <v>1</v>
      </c>
      <c r="O1202" s="271"/>
      <c r="P1202" s="271">
        <v>83805</v>
      </c>
      <c r="Q1202" s="271"/>
      <c r="R1202" s="271"/>
      <c r="S1202" s="271">
        <v>-85846</v>
      </c>
      <c r="T1202" s="271"/>
      <c r="U1202" s="272">
        <v>1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153</v>
      </c>
      <c r="B1203" s="267" t="s">
        <v>1690</v>
      </c>
      <c r="C1203" s="267" t="s">
        <v>94</v>
      </c>
      <c r="D1203" s="267" t="s">
        <v>92</v>
      </c>
      <c r="E1203" s="267" t="s">
        <v>0</v>
      </c>
      <c r="F1203" s="268"/>
      <c r="G1203" s="269"/>
      <c r="H1203" s="269"/>
      <c r="I1203" s="270"/>
      <c r="J1203" s="268">
        <v>1</v>
      </c>
      <c r="K1203" s="269">
        <v>83996</v>
      </c>
      <c r="L1203" s="269">
        <v>85554</v>
      </c>
      <c r="M1203" s="270">
        <v>1</v>
      </c>
      <c r="N1203" s="268">
        <v>1</v>
      </c>
      <c r="O1203" s="271"/>
      <c r="P1203" s="271">
        <v>83996</v>
      </c>
      <c r="Q1203" s="271"/>
      <c r="R1203" s="271"/>
      <c r="S1203" s="271">
        <v>-85554</v>
      </c>
      <c r="T1203" s="271"/>
      <c r="U1203" s="272">
        <v>1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153</v>
      </c>
      <c r="B1204" s="267" t="s">
        <v>1691</v>
      </c>
      <c r="C1204" s="267" t="s">
        <v>94</v>
      </c>
      <c r="D1204" s="267" t="s">
        <v>92</v>
      </c>
      <c r="E1204" s="267" t="s">
        <v>0</v>
      </c>
      <c r="F1204" s="268"/>
      <c r="G1204" s="269"/>
      <c r="H1204" s="269"/>
      <c r="I1204" s="270"/>
      <c r="J1204" s="268">
        <v>1</v>
      </c>
      <c r="K1204" s="269">
        <v>84011</v>
      </c>
      <c r="L1204" s="269">
        <v>85549</v>
      </c>
      <c r="M1204" s="270">
        <v>1</v>
      </c>
      <c r="N1204" s="268">
        <v>1</v>
      </c>
      <c r="O1204" s="271"/>
      <c r="P1204" s="271">
        <v>84011</v>
      </c>
      <c r="Q1204" s="271"/>
      <c r="R1204" s="271"/>
      <c r="S1204" s="271">
        <v>-85549</v>
      </c>
      <c r="T1204" s="271"/>
      <c r="U1204" s="272">
        <v>1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153</v>
      </c>
      <c r="B1205" s="267" t="s">
        <v>404</v>
      </c>
      <c r="C1205" s="267" t="s">
        <v>94</v>
      </c>
      <c r="D1205" s="267" t="s">
        <v>92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84353</v>
      </c>
      <c r="L1205" s="269">
        <v>85106</v>
      </c>
      <c r="M1205" s="270">
        <v>1</v>
      </c>
      <c r="N1205" s="268">
        <v>1</v>
      </c>
      <c r="O1205" s="271"/>
      <c r="P1205" s="271">
        <v>84353</v>
      </c>
      <c r="Q1205" s="271"/>
      <c r="R1205" s="271"/>
      <c r="S1205" s="271">
        <v>-85106</v>
      </c>
      <c r="T1205" s="271"/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153</v>
      </c>
      <c r="B1206" s="267" t="s">
        <v>1692</v>
      </c>
      <c r="C1206" s="267" t="s">
        <v>94</v>
      </c>
      <c r="D1206" s="267" t="s">
        <v>92</v>
      </c>
      <c r="E1206" s="267" t="s">
        <v>0</v>
      </c>
      <c r="F1206" s="268"/>
      <c r="G1206" s="269"/>
      <c r="H1206" s="269"/>
      <c r="I1206" s="270"/>
      <c r="J1206" s="268">
        <v>1</v>
      </c>
      <c r="K1206" s="269">
        <v>83517</v>
      </c>
      <c r="L1206" s="269">
        <v>85931</v>
      </c>
      <c r="M1206" s="270">
        <v>1</v>
      </c>
      <c r="N1206" s="268">
        <v>1</v>
      </c>
      <c r="O1206" s="271"/>
      <c r="P1206" s="271">
        <v>83517</v>
      </c>
      <c r="Q1206" s="271"/>
      <c r="R1206" s="271"/>
      <c r="S1206" s="271">
        <v>-85931</v>
      </c>
      <c r="T1206" s="271"/>
      <c r="U1206" s="272">
        <v>1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153</v>
      </c>
      <c r="B1207" s="267" t="s">
        <v>405</v>
      </c>
      <c r="C1207" s="267" t="s">
        <v>94</v>
      </c>
      <c r="D1207" s="267" t="s">
        <v>92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84286</v>
      </c>
      <c r="L1207" s="269">
        <v>85142</v>
      </c>
      <c r="M1207" s="270">
        <v>1</v>
      </c>
      <c r="N1207" s="268">
        <v>1</v>
      </c>
      <c r="O1207" s="271"/>
      <c r="P1207" s="271">
        <v>84286</v>
      </c>
      <c r="Q1207" s="271"/>
      <c r="R1207" s="271"/>
      <c r="S1207" s="271">
        <v>-85142</v>
      </c>
      <c r="T1207" s="271"/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153</v>
      </c>
      <c r="B1208" s="267" t="s">
        <v>1693</v>
      </c>
      <c r="C1208" s="267" t="s">
        <v>94</v>
      </c>
      <c r="D1208" s="267" t="s">
        <v>92</v>
      </c>
      <c r="E1208" s="267" t="s">
        <v>0</v>
      </c>
      <c r="F1208" s="268"/>
      <c r="G1208" s="269"/>
      <c r="H1208" s="269"/>
      <c r="I1208" s="270"/>
      <c r="J1208" s="268">
        <v>1</v>
      </c>
      <c r="K1208" s="269">
        <v>83696</v>
      </c>
      <c r="L1208" s="269">
        <v>85947</v>
      </c>
      <c r="M1208" s="270">
        <v>1</v>
      </c>
      <c r="N1208" s="268">
        <v>1</v>
      </c>
      <c r="O1208" s="271"/>
      <c r="P1208" s="271">
        <v>83696</v>
      </c>
      <c r="Q1208" s="271"/>
      <c r="R1208" s="271"/>
      <c r="S1208" s="271">
        <v>-85947</v>
      </c>
      <c r="T1208" s="271"/>
      <c r="U1208" s="272">
        <v>1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153</v>
      </c>
      <c r="B1209" s="267" t="s">
        <v>1694</v>
      </c>
      <c r="C1209" s="267" t="s">
        <v>94</v>
      </c>
      <c r="D1209" s="267" t="s">
        <v>92</v>
      </c>
      <c r="E1209" s="267" t="s">
        <v>0</v>
      </c>
      <c r="F1209" s="268"/>
      <c r="G1209" s="269"/>
      <c r="H1209" s="269"/>
      <c r="I1209" s="270"/>
      <c r="J1209" s="268">
        <v>1</v>
      </c>
      <c r="K1209" s="269">
        <v>83536</v>
      </c>
      <c r="L1209" s="269">
        <v>85899</v>
      </c>
      <c r="M1209" s="270">
        <v>1</v>
      </c>
      <c r="N1209" s="268">
        <v>1</v>
      </c>
      <c r="O1209" s="271"/>
      <c r="P1209" s="271">
        <v>83536</v>
      </c>
      <c r="Q1209" s="271"/>
      <c r="R1209" s="271"/>
      <c r="S1209" s="271">
        <v>-85899</v>
      </c>
      <c r="T1209" s="271"/>
      <c r="U1209" s="272">
        <v>1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153</v>
      </c>
      <c r="B1210" s="267" t="s">
        <v>1695</v>
      </c>
      <c r="C1210" s="267" t="s">
        <v>94</v>
      </c>
      <c r="D1210" s="267" t="s">
        <v>92</v>
      </c>
      <c r="E1210" s="267" t="s">
        <v>0</v>
      </c>
      <c r="F1210" s="268"/>
      <c r="G1210" s="269"/>
      <c r="H1210" s="269"/>
      <c r="I1210" s="270"/>
      <c r="J1210" s="268">
        <v>1</v>
      </c>
      <c r="K1210" s="269">
        <v>83587</v>
      </c>
      <c r="L1210" s="269">
        <v>85684</v>
      </c>
      <c r="M1210" s="270">
        <v>1</v>
      </c>
      <c r="N1210" s="268">
        <v>1</v>
      </c>
      <c r="O1210" s="271"/>
      <c r="P1210" s="271">
        <v>83587</v>
      </c>
      <c r="Q1210" s="271"/>
      <c r="R1210" s="271"/>
      <c r="S1210" s="271">
        <v>-85684</v>
      </c>
      <c r="T1210" s="271"/>
      <c r="U1210" s="272">
        <v>1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153</v>
      </c>
      <c r="B1211" s="267" t="s">
        <v>406</v>
      </c>
      <c r="C1211" s="267" t="s">
        <v>94</v>
      </c>
      <c r="D1211" s="267" t="s">
        <v>92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84337</v>
      </c>
      <c r="L1211" s="269">
        <v>85129</v>
      </c>
      <c r="M1211" s="270">
        <v>1</v>
      </c>
      <c r="N1211" s="268">
        <v>1</v>
      </c>
      <c r="O1211" s="271"/>
      <c r="P1211" s="271">
        <v>84337</v>
      </c>
      <c r="Q1211" s="271"/>
      <c r="R1211" s="271"/>
      <c r="S1211" s="271">
        <v>-85129</v>
      </c>
      <c r="T1211" s="271"/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153</v>
      </c>
      <c r="B1212" s="267" t="s">
        <v>1696</v>
      </c>
      <c r="C1212" s="267" t="s">
        <v>94</v>
      </c>
      <c r="D1212" s="267" t="s">
        <v>92</v>
      </c>
      <c r="E1212" s="267" t="s">
        <v>0</v>
      </c>
      <c r="F1212" s="268"/>
      <c r="G1212" s="269"/>
      <c r="H1212" s="269"/>
      <c r="I1212" s="270"/>
      <c r="J1212" s="268">
        <v>1</v>
      </c>
      <c r="K1212" s="269">
        <v>83524</v>
      </c>
      <c r="L1212" s="269">
        <v>85938</v>
      </c>
      <c r="M1212" s="270">
        <v>1</v>
      </c>
      <c r="N1212" s="268">
        <v>1</v>
      </c>
      <c r="O1212" s="271"/>
      <c r="P1212" s="271">
        <v>83524</v>
      </c>
      <c r="Q1212" s="271"/>
      <c r="R1212" s="271"/>
      <c r="S1212" s="271">
        <v>-85938</v>
      </c>
      <c r="T1212" s="271"/>
      <c r="U1212" s="272">
        <v>1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153</v>
      </c>
      <c r="B1213" s="267" t="s">
        <v>407</v>
      </c>
      <c r="C1213" s="267" t="s">
        <v>94</v>
      </c>
      <c r="D1213" s="267" t="s">
        <v>92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84253</v>
      </c>
      <c r="L1213" s="269">
        <v>85179</v>
      </c>
      <c r="M1213" s="270">
        <v>1</v>
      </c>
      <c r="N1213" s="268">
        <v>1</v>
      </c>
      <c r="O1213" s="271"/>
      <c r="P1213" s="271">
        <v>84253</v>
      </c>
      <c r="Q1213" s="271"/>
      <c r="R1213" s="271"/>
      <c r="S1213" s="271">
        <v>-85179</v>
      </c>
      <c r="T1213" s="271"/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153</v>
      </c>
      <c r="B1214" s="267" t="s">
        <v>1697</v>
      </c>
      <c r="C1214" s="267" t="s">
        <v>94</v>
      </c>
      <c r="D1214" s="267" t="s">
        <v>92</v>
      </c>
      <c r="E1214" s="267" t="s">
        <v>0</v>
      </c>
      <c r="F1214" s="268"/>
      <c r="G1214" s="269"/>
      <c r="H1214" s="269"/>
      <c r="I1214" s="270"/>
      <c r="J1214" s="268">
        <v>1</v>
      </c>
      <c r="K1214" s="269">
        <v>83694</v>
      </c>
      <c r="L1214" s="269">
        <v>85956</v>
      </c>
      <c r="M1214" s="270">
        <v>1</v>
      </c>
      <c r="N1214" s="268">
        <v>1</v>
      </c>
      <c r="O1214" s="271"/>
      <c r="P1214" s="271">
        <v>83694</v>
      </c>
      <c r="Q1214" s="271"/>
      <c r="R1214" s="271"/>
      <c r="S1214" s="271">
        <v>-85956</v>
      </c>
      <c r="T1214" s="271"/>
      <c r="U1214" s="272">
        <v>1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153</v>
      </c>
      <c r="B1215" s="267" t="s">
        <v>1698</v>
      </c>
      <c r="C1215" s="267" t="s">
        <v>94</v>
      </c>
      <c r="D1215" s="267" t="s">
        <v>92</v>
      </c>
      <c r="E1215" s="267" t="s">
        <v>0</v>
      </c>
      <c r="F1215" s="268"/>
      <c r="G1215" s="269"/>
      <c r="H1215" s="269"/>
      <c r="I1215" s="270"/>
      <c r="J1215" s="268">
        <v>1</v>
      </c>
      <c r="K1215" s="269">
        <v>83496</v>
      </c>
      <c r="L1215" s="269">
        <v>85929</v>
      </c>
      <c r="M1215" s="270">
        <v>1</v>
      </c>
      <c r="N1215" s="268">
        <v>1</v>
      </c>
      <c r="O1215" s="271"/>
      <c r="P1215" s="271">
        <v>83496</v>
      </c>
      <c r="Q1215" s="271"/>
      <c r="R1215" s="271"/>
      <c r="S1215" s="271">
        <v>-85929</v>
      </c>
      <c r="T1215" s="271"/>
      <c r="U1215" s="272">
        <v>1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153</v>
      </c>
      <c r="B1216" s="267" t="s">
        <v>1699</v>
      </c>
      <c r="C1216" s="267" t="s">
        <v>94</v>
      </c>
      <c r="D1216" s="267" t="s">
        <v>92</v>
      </c>
      <c r="E1216" s="267" t="s">
        <v>0</v>
      </c>
      <c r="F1216" s="268"/>
      <c r="G1216" s="269"/>
      <c r="H1216" s="269"/>
      <c r="I1216" s="270"/>
      <c r="J1216" s="268">
        <v>1</v>
      </c>
      <c r="K1216" s="269">
        <v>83562</v>
      </c>
      <c r="L1216" s="269">
        <v>85709</v>
      </c>
      <c r="M1216" s="270">
        <v>1</v>
      </c>
      <c r="N1216" s="268">
        <v>1</v>
      </c>
      <c r="O1216" s="271"/>
      <c r="P1216" s="271">
        <v>83562</v>
      </c>
      <c r="Q1216" s="271"/>
      <c r="R1216" s="271"/>
      <c r="S1216" s="271">
        <v>-85709</v>
      </c>
      <c r="T1216" s="271"/>
      <c r="U1216" s="272">
        <v>1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153</v>
      </c>
      <c r="B1217" s="267" t="s">
        <v>408</v>
      </c>
      <c r="C1217" s="267" t="s">
        <v>94</v>
      </c>
      <c r="D1217" s="267" t="s">
        <v>92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84256</v>
      </c>
      <c r="L1217" s="269">
        <v>85164</v>
      </c>
      <c r="M1217" s="270">
        <v>1</v>
      </c>
      <c r="N1217" s="268">
        <v>1</v>
      </c>
      <c r="O1217" s="271"/>
      <c r="P1217" s="271">
        <v>84256</v>
      </c>
      <c r="Q1217" s="271"/>
      <c r="R1217" s="271"/>
      <c r="S1217" s="271">
        <v>-85164</v>
      </c>
      <c r="T1217" s="271"/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153</v>
      </c>
      <c r="B1218" s="267" t="s">
        <v>1700</v>
      </c>
      <c r="C1218" s="267" t="s">
        <v>94</v>
      </c>
      <c r="D1218" s="267" t="s">
        <v>92</v>
      </c>
      <c r="E1218" s="267" t="s">
        <v>0</v>
      </c>
      <c r="F1218" s="268"/>
      <c r="G1218" s="269"/>
      <c r="H1218" s="269"/>
      <c r="I1218" s="270"/>
      <c r="J1218" s="268">
        <v>1</v>
      </c>
      <c r="K1218" s="269">
        <v>83478</v>
      </c>
      <c r="L1218" s="269">
        <v>85969</v>
      </c>
      <c r="M1218" s="270">
        <v>1</v>
      </c>
      <c r="N1218" s="268">
        <v>1</v>
      </c>
      <c r="O1218" s="271"/>
      <c r="P1218" s="271">
        <v>83478</v>
      </c>
      <c r="Q1218" s="271"/>
      <c r="R1218" s="271"/>
      <c r="S1218" s="271">
        <v>-85969</v>
      </c>
      <c r="T1218" s="271"/>
      <c r="U1218" s="272">
        <v>1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153</v>
      </c>
      <c r="B1219" s="267" t="s">
        <v>409</v>
      </c>
      <c r="C1219" s="267" t="s">
        <v>94</v>
      </c>
      <c r="D1219" s="267" t="s">
        <v>92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84239</v>
      </c>
      <c r="L1219" s="269">
        <v>85178</v>
      </c>
      <c r="M1219" s="270">
        <v>1</v>
      </c>
      <c r="N1219" s="268">
        <v>1</v>
      </c>
      <c r="O1219" s="271"/>
      <c r="P1219" s="271">
        <v>84239</v>
      </c>
      <c r="Q1219" s="271"/>
      <c r="R1219" s="271"/>
      <c r="S1219" s="271">
        <v>-85178</v>
      </c>
      <c r="T1219" s="271"/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153</v>
      </c>
      <c r="B1220" s="267" t="s">
        <v>1701</v>
      </c>
      <c r="C1220" s="267" t="s">
        <v>94</v>
      </c>
      <c r="D1220" s="267" t="s">
        <v>92</v>
      </c>
      <c r="E1220" s="267" t="s">
        <v>0</v>
      </c>
      <c r="F1220" s="268"/>
      <c r="G1220" s="269"/>
      <c r="H1220" s="269"/>
      <c r="I1220" s="270"/>
      <c r="J1220" s="268">
        <v>1</v>
      </c>
      <c r="K1220" s="269">
        <v>83469</v>
      </c>
      <c r="L1220" s="269">
        <v>85971</v>
      </c>
      <c r="M1220" s="270">
        <v>1</v>
      </c>
      <c r="N1220" s="268">
        <v>1</v>
      </c>
      <c r="O1220" s="271"/>
      <c r="P1220" s="271">
        <v>83469</v>
      </c>
      <c r="Q1220" s="271"/>
      <c r="R1220" s="271"/>
      <c r="S1220" s="271">
        <v>-85971</v>
      </c>
      <c r="T1220" s="271"/>
      <c r="U1220" s="272">
        <v>1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153</v>
      </c>
      <c r="B1221" s="267" t="s">
        <v>1702</v>
      </c>
      <c r="C1221" s="267" t="s">
        <v>94</v>
      </c>
      <c r="D1221" s="267" t="s">
        <v>92</v>
      </c>
      <c r="E1221" s="267" t="s">
        <v>0</v>
      </c>
      <c r="F1221" s="268"/>
      <c r="G1221" s="269"/>
      <c r="H1221" s="269"/>
      <c r="I1221" s="270"/>
      <c r="J1221" s="268">
        <v>1</v>
      </c>
      <c r="K1221" s="269">
        <v>83661</v>
      </c>
      <c r="L1221" s="269">
        <v>85944</v>
      </c>
      <c r="M1221" s="270">
        <v>1</v>
      </c>
      <c r="N1221" s="268">
        <v>1</v>
      </c>
      <c r="O1221" s="271"/>
      <c r="P1221" s="271">
        <v>83661</v>
      </c>
      <c r="Q1221" s="271"/>
      <c r="R1221" s="271"/>
      <c r="S1221" s="271">
        <v>-85944</v>
      </c>
      <c r="T1221" s="271"/>
      <c r="U1221" s="272">
        <v>1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153</v>
      </c>
      <c r="B1222" s="267" t="s">
        <v>1703</v>
      </c>
      <c r="C1222" s="267" t="s">
        <v>94</v>
      </c>
      <c r="D1222" s="267" t="s">
        <v>92</v>
      </c>
      <c r="E1222" s="267" t="s">
        <v>0</v>
      </c>
      <c r="F1222" s="268"/>
      <c r="G1222" s="269"/>
      <c r="H1222" s="269"/>
      <c r="I1222" s="270"/>
      <c r="J1222" s="268">
        <v>1</v>
      </c>
      <c r="K1222" s="269">
        <v>83676</v>
      </c>
      <c r="L1222" s="269">
        <v>85939</v>
      </c>
      <c r="M1222" s="270">
        <v>1</v>
      </c>
      <c r="N1222" s="268">
        <v>1</v>
      </c>
      <c r="O1222" s="271"/>
      <c r="P1222" s="271">
        <v>83676</v>
      </c>
      <c r="Q1222" s="271"/>
      <c r="R1222" s="271"/>
      <c r="S1222" s="271">
        <v>-85939</v>
      </c>
      <c r="T1222" s="271"/>
      <c r="U1222" s="272">
        <v>1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153</v>
      </c>
      <c r="B1223" s="267" t="s">
        <v>1704</v>
      </c>
      <c r="C1223" s="267" t="s">
        <v>94</v>
      </c>
      <c r="D1223" s="267" t="s">
        <v>92</v>
      </c>
      <c r="E1223" s="267" t="s">
        <v>0</v>
      </c>
      <c r="F1223" s="268"/>
      <c r="G1223" s="269"/>
      <c r="H1223" s="269"/>
      <c r="I1223" s="270"/>
      <c r="J1223" s="268">
        <v>1</v>
      </c>
      <c r="K1223" s="269">
        <v>83963</v>
      </c>
      <c r="L1223" s="269">
        <v>85520</v>
      </c>
      <c r="M1223" s="270">
        <v>1</v>
      </c>
      <c r="N1223" s="268">
        <v>1</v>
      </c>
      <c r="O1223" s="271"/>
      <c r="P1223" s="271">
        <v>83963</v>
      </c>
      <c r="Q1223" s="271"/>
      <c r="R1223" s="271"/>
      <c r="S1223" s="271">
        <v>-85520</v>
      </c>
      <c r="T1223" s="271"/>
      <c r="U1223" s="272">
        <v>1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153</v>
      </c>
      <c r="B1224" s="267" t="s">
        <v>1705</v>
      </c>
      <c r="C1224" s="267" t="s">
        <v>94</v>
      </c>
      <c r="D1224" s="267" t="s">
        <v>92</v>
      </c>
      <c r="E1224" s="267" t="s">
        <v>0</v>
      </c>
      <c r="F1224" s="268"/>
      <c r="G1224" s="269"/>
      <c r="H1224" s="269"/>
      <c r="I1224" s="270"/>
      <c r="J1224" s="268">
        <v>1</v>
      </c>
      <c r="K1224" s="269">
        <v>83998</v>
      </c>
      <c r="L1224" s="269">
        <v>85516</v>
      </c>
      <c r="M1224" s="270">
        <v>1</v>
      </c>
      <c r="N1224" s="268">
        <v>1</v>
      </c>
      <c r="O1224" s="271"/>
      <c r="P1224" s="271">
        <v>83998</v>
      </c>
      <c r="Q1224" s="271"/>
      <c r="R1224" s="271"/>
      <c r="S1224" s="271">
        <v>-85516</v>
      </c>
      <c r="T1224" s="271"/>
      <c r="U1224" s="272">
        <v>1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153</v>
      </c>
      <c r="B1225" s="267" t="s">
        <v>1706</v>
      </c>
      <c r="C1225" s="267" t="s">
        <v>94</v>
      </c>
      <c r="D1225" s="267" t="s">
        <v>92</v>
      </c>
      <c r="E1225" s="267" t="s">
        <v>0</v>
      </c>
      <c r="F1225" s="268"/>
      <c r="G1225" s="269"/>
      <c r="H1225" s="269"/>
      <c r="I1225" s="270"/>
      <c r="J1225" s="268">
        <v>1</v>
      </c>
      <c r="K1225" s="269">
        <v>83930</v>
      </c>
      <c r="L1225" s="269">
        <v>85557</v>
      </c>
      <c r="M1225" s="270">
        <v>1</v>
      </c>
      <c r="N1225" s="268">
        <v>1</v>
      </c>
      <c r="O1225" s="271"/>
      <c r="P1225" s="271">
        <v>83930</v>
      </c>
      <c r="Q1225" s="271"/>
      <c r="R1225" s="271"/>
      <c r="S1225" s="271">
        <v>-85557</v>
      </c>
      <c r="T1225" s="271"/>
      <c r="U1225" s="272">
        <v>1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153</v>
      </c>
      <c r="B1226" s="267" t="s">
        <v>1707</v>
      </c>
      <c r="C1226" s="267" t="s">
        <v>94</v>
      </c>
      <c r="D1226" s="267" t="s">
        <v>92</v>
      </c>
      <c r="E1226" s="267" t="s">
        <v>0</v>
      </c>
      <c r="F1226" s="268"/>
      <c r="G1226" s="269"/>
      <c r="H1226" s="269"/>
      <c r="I1226" s="270"/>
      <c r="J1226" s="268">
        <v>1</v>
      </c>
      <c r="K1226" s="269">
        <v>83996</v>
      </c>
      <c r="L1226" s="269">
        <v>85525</v>
      </c>
      <c r="M1226" s="270">
        <v>1</v>
      </c>
      <c r="N1226" s="268">
        <v>1</v>
      </c>
      <c r="O1226" s="271"/>
      <c r="P1226" s="271">
        <v>83996</v>
      </c>
      <c r="Q1226" s="271"/>
      <c r="R1226" s="271"/>
      <c r="S1226" s="271">
        <v>-85525</v>
      </c>
      <c r="T1226" s="271"/>
      <c r="U1226" s="272">
        <v>1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153</v>
      </c>
      <c r="B1227" s="267" t="s">
        <v>1708</v>
      </c>
      <c r="C1227" s="267" t="s">
        <v>94</v>
      </c>
      <c r="D1227" s="267" t="s">
        <v>92</v>
      </c>
      <c r="E1227" s="267" t="s">
        <v>0</v>
      </c>
      <c r="F1227" s="268"/>
      <c r="G1227" s="269"/>
      <c r="H1227" s="269"/>
      <c r="I1227" s="270"/>
      <c r="J1227" s="268">
        <v>1</v>
      </c>
      <c r="K1227" s="269">
        <v>83914</v>
      </c>
      <c r="L1227" s="269">
        <v>85378</v>
      </c>
      <c r="M1227" s="270">
        <v>1</v>
      </c>
      <c r="N1227" s="268">
        <v>1</v>
      </c>
      <c r="O1227" s="271"/>
      <c r="P1227" s="271">
        <v>83914</v>
      </c>
      <c r="Q1227" s="271"/>
      <c r="R1227" s="271"/>
      <c r="S1227" s="271">
        <v>-85378</v>
      </c>
      <c r="T1227" s="271"/>
      <c r="U1227" s="272">
        <v>1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153</v>
      </c>
      <c r="B1228" s="267" t="s">
        <v>1709</v>
      </c>
      <c r="C1228" s="267" t="s">
        <v>94</v>
      </c>
      <c r="D1228" s="267" t="s">
        <v>92</v>
      </c>
      <c r="E1228" s="267" t="s">
        <v>0</v>
      </c>
      <c r="F1228" s="268"/>
      <c r="G1228" s="269"/>
      <c r="H1228" s="269"/>
      <c r="I1228" s="270"/>
      <c r="J1228" s="268">
        <v>1</v>
      </c>
      <c r="K1228" s="269">
        <v>83945</v>
      </c>
      <c r="L1228" s="269">
        <v>85350</v>
      </c>
      <c r="M1228" s="270">
        <v>1</v>
      </c>
      <c r="N1228" s="268">
        <v>1</v>
      </c>
      <c r="O1228" s="271"/>
      <c r="P1228" s="271">
        <v>83945</v>
      </c>
      <c r="Q1228" s="271"/>
      <c r="R1228" s="271"/>
      <c r="S1228" s="271">
        <v>-85350</v>
      </c>
      <c r="T1228" s="271"/>
      <c r="U1228" s="272">
        <v>1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153</v>
      </c>
      <c r="B1229" s="267" t="s">
        <v>1710</v>
      </c>
      <c r="C1229" s="267" t="s">
        <v>94</v>
      </c>
      <c r="D1229" s="267" t="s">
        <v>92</v>
      </c>
      <c r="E1229" s="267" t="s">
        <v>0</v>
      </c>
      <c r="F1229" s="268"/>
      <c r="G1229" s="269"/>
      <c r="H1229" s="269"/>
      <c r="I1229" s="270"/>
      <c r="J1229" s="268">
        <v>1</v>
      </c>
      <c r="K1229" s="269">
        <v>83943</v>
      </c>
      <c r="L1229" s="269">
        <v>85516</v>
      </c>
      <c r="M1229" s="270">
        <v>1</v>
      </c>
      <c r="N1229" s="268">
        <v>1</v>
      </c>
      <c r="O1229" s="271"/>
      <c r="P1229" s="271">
        <v>83943</v>
      </c>
      <c r="Q1229" s="271"/>
      <c r="R1229" s="271"/>
      <c r="S1229" s="271">
        <v>-85516</v>
      </c>
      <c r="T1229" s="271"/>
      <c r="U1229" s="272">
        <v>1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153</v>
      </c>
      <c r="B1230" s="267" t="s">
        <v>1711</v>
      </c>
      <c r="C1230" s="267" t="s">
        <v>94</v>
      </c>
      <c r="D1230" s="267" t="s">
        <v>92</v>
      </c>
      <c r="E1230" s="267" t="s">
        <v>0</v>
      </c>
      <c r="F1230" s="268"/>
      <c r="G1230" s="269"/>
      <c r="H1230" s="269"/>
      <c r="I1230" s="270"/>
      <c r="J1230" s="268">
        <v>1</v>
      </c>
      <c r="K1230" s="269">
        <v>83702</v>
      </c>
      <c r="L1230" s="269">
        <v>85762</v>
      </c>
      <c r="M1230" s="270">
        <v>1</v>
      </c>
      <c r="N1230" s="268">
        <v>1</v>
      </c>
      <c r="O1230" s="271"/>
      <c r="P1230" s="271">
        <v>83702</v>
      </c>
      <c r="Q1230" s="271"/>
      <c r="R1230" s="271"/>
      <c r="S1230" s="271">
        <v>-85762</v>
      </c>
      <c r="T1230" s="271"/>
      <c r="U1230" s="272">
        <v>1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153</v>
      </c>
      <c r="B1231" s="267" t="s">
        <v>1712</v>
      </c>
      <c r="C1231" s="267" t="s">
        <v>94</v>
      </c>
      <c r="D1231" s="267" t="s">
        <v>92</v>
      </c>
      <c r="E1231" s="267" t="s">
        <v>0</v>
      </c>
      <c r="F1231" s="268"/>
      <c r="G1231" s="269"/>
      <c r="H1231" s="269"/>
      <c r="I1231" s="270"/>
      <c r="J1231" s="268">
        <v>1</v>
      </c>
      <c r="K1231" s="269">
        <v>83876</v>
      </c>
      <c r="L1231" s="269">
        <v>85552</v>
      </c>
      <c r="M1231" s="270">
        <v>1</v>
      </c>
      <c r="N1231" s="268">
        <v>1</v>
      </c>
      <c r="O1231" s="271"/>
      <c r="P1231" s="271">
        <v>83876</v>
      </c>
      <c r="Q1231" s="271"/>
      <c r="R1231" s="271"/>
      <c r="S1231" s="271">
        <v>-85552</v>
      </c>
      <c r="T1231" s="271"/>
      <c r="U1231" s="272">
        <v>1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153</v>
      </c>
      <c r="B1232" s="267" t="s">
        <v>1713</v>
      </c>
      <c r="C1232" s="267" t="s">
        <v>94</v>
      </c>
      <c r="D1232" s="267" t="s">
        <v>92</v>
      </c>
      <c r="E1232" s="267" t="s">
        <v>0</v>
      </c>
      <c r="F1232" s="268"/>
      <c r="G1232" s="269"/>
      <c r="H1232" s="269"/>
      <c r="I1232" s="270"/>
      <c r="J1232" s="268">
        <v>1</v>
      </c>
      <c r="K1232" s="269">
        <v>83671</v>
      </c>
      <c r="L1232" s="269">
        <v>85808</v>
      </c>
      <c r="M1232" s="270">
        <v>1</v>
      </c>
      <c r="N1232" s="268">
        <v>1</v>
      </c>
      <c r="O1232" s="271"/>
      <c r="P1232" s="271">
        <v>83671</v>
      </c>
      <c r="Q1232" s="271"/>
      <c r="R1232" s="271"/>
      <c r="S1232" s="271">
        <v>-85808</v>
      </c>
      <c r="T1232" s="271"/>
      <c r="U1232" s="272">
        <v>1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153</v>
      </c>
      <c r="B1233" s="267" t="s">
        <v>1714</v>
      </c>
      <c r="C1233" s="267" t="s">
        <v>94</v>
      </c>
      <c r="D1233" s="267" t="s">
        <v>92</v>
      </c>
      <c r="E1233" s="267" t="s">
        <v>0</v>
      </c>
      <c r="F1233" s="268"/>
      <c r="G1233" s="269"/>
      <c r="H1233" s="269"/>
      <c r="I1233" s="270"/>
      <c r="J1233" s="268">
        <v>1</v>
      </c>
      <c r="K1233" s="269">
        <v>83536</v>
      </c>
      <c r="L1233" s="269">
        <v>85899</v>
      </c>
      <c r="M1233" s="270">
        <v>1</v>
      </c>
      <c r="N1233" s="268">
        <v>1</v>
      </c>
      <c r="O1233" s="271"/>
      <c r="P1233" s="271">
        <v>83536</v>
      </c>
      <c r="Q1233" s="271"/>
      <c r="R1233" s="271"/>
      <c r="S1233" s="271">
        <v>-85899</v>
      </c>
      <c r="T1233" s="271"/>
      <c r="U1233" s="272">
        <v>1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153</v>
      </c>
      <c r="B1234" s="267" t="s">
        <v>1715</v>
      </c>
      <c r="C1234" s="267" t="s">
        <v>94</v>
      </c>
      <c r="D1234" s="267" t="s">
        <v>92</v>
      </c>
      <c r="E1234" s="267" t="s">
        <v>0</v>
      </c>
      <c r="F1234" s="268"/>
      <c r="G1234" s="269"/>
      <c r="H1234" s="269"/>
      <c r="I1234" s="270"/>
      <c r="J1234" s="268">
        <v>1</v>
      </c>
      <c r="K1234" s="269">
        <v>83557</v>
      </c>
      <c r="L1234" s="269">
        <v>85894</v>
      </c>
      <c r="M1234" s="270">
        <v>1</v>
      </c>
      <c r="N1234" s="268">
        <v>1</v>
      </c>
      <c r="O1234" s="271"/>
      <c r="P1234" s="271">
        <v>83557</v>
      </c>
      <c r="Q1234" s="271"/>
      <c r="R1234" s="271"/>
      <c r="S1234" s="271">
        <v>-85894</v>
      </c>
      <c r="T1234" s="271"/>
      <c r="U1234" s="272">
        <v>1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153</v>
      </c>
      <c r="B1235" s="267" t="s">
        <v>1716</v>
      </c>
      <c r="C1235" s="267" t="s">
        <v>94</v>
      </c>
      <c r="D1235" s="267" t="s">
        <v>92</v>
      </c>
      <c r="E1235" s="267" t="s">
        <v>0</v>
      </c>
      <c r="F1235" s="268"/>
      <c r="G1235" s="269"/>
      <c r="H1235" s="269"/>
      <c r="I1235" s="270"/>
      <c r="J1235" s="268">
        <v>1</v>
      </c>
      <c r="K1235" s="269">
        <v>83927</v>
      </c>
      <c r="L1235" s="269">
        <v>85539</v>
      </c>
      <c r="M1235" s="270">
        <v>1</v>
      </c>
      <c r="N1235" s="268">
        <v>1</v>
      </c>
      <c r="O1235" s="271"/>
      <c r="P1235" s="271">
        <v>83927</v>
      </c>
      <c r="Q1235" s="271"/>
      <c r="R1235" s="271"/>
      <c r="S1235" s="271">
        <v>-85539</v>
      </c>
      <c r="T1235" s="271"/>
      <c r="U1235" s="272">
        <v>1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153</v>
      </c>
      <c r="B1236" s="267" t="s">
        <v>1717</v>
      </c>
      <c r="C1236" s="267" t="s">
        <v>94</v>
      </c>
      <c r="D1236" s="267" t="s">
        <v>92</v>
      </c>
      <c r="E1236" s="267" t="s">
        <v>0</v>
      </c>
      <c r="F1236" s="268"/>
      <c r="G1236" s="269"/>
      <c r="H1236" s="269"/>
      <c r="I1236" s="270"/>
      <c r="J1236" s="268">
        <v>1</v>
      </c>
      <c r="K1236" s="269">
        <v>83709</v>
      </c>
      <c r="L1236" s="269">
        <v>85769</v>
      </c>
      <c r="M1236" s="270">
        <v>1</v>
      </c>
      <c r="N1236" s="268">
        <v>1</v>
      </c>
      <c r="O1236" s="271"/>
      <c r="P1236" s="271">
        <v>83709</v>
      </c>
      <c r="Q1236" s="271"/>
      <c r="R1236" s="271"/>
      <c r="S1236" s="271">
        <v>-85769</v>
      </c>
      <c r="T1236" s="271"/>
      <c r="U1236" s="272">
        <v>1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153</v>
      </c>
      <c r="B1237" s="267" t="s">
        <v>1718</v>
      </c>
      <c r="C1237" s="267" t="s">
        <v>94</v>
      </c>
      <c r="D1237" s="267" t="s">
        <v>92</v>
      </c>
      <c r="E1237" s="267" t="s">
        <v>0</v>
      </c>
      <c r="F1237" s="268"/>
      <c r="G1237" s="269"/>
      <c r="H1237" s="269"/>
      <c r="I1237" s="270"/>
      <c r="J1237" s="268">
        <v>1</v>
      </c>
      <c r="K1237" s="269">
        <v>83843</v>
      </c>
      <c r="L1237" s="269">
        <v>85589</v>
      </c>
      <c r="M1237" s="270">
        <v>1</v>
      </c>
      <c r="N1237" s="268">
        <v>1</v>
      </c>
      <c r="O1237" s="271"/>
      <c r="P1237" s="271">
        <v>83843</v>
      </c>
      <c r="Q1237" s="271"/>
      <c r="R1237" s="271"/>
      <c r="S1237" s="271">
        <v>-85589</v>
      </c>
      <c r="T1237" s="271"/>
      <c r="U1237" s="272">
        <v>1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153</v>
      </c>
      <c r="B1238" s="267" t="s">
        <v>1719</v>
      </c>
      <c r="C1238" s="267" t="s">
        <v>94</v>
      </c>
      <c r="D1238" s="267" t="s">
        <v>92</v>
      </c>
      <c r="E1238" s="267" t="s">
        <v>0</v>
      </c>
      <c r="F1238" s="268"/>
      <c r="G1238" s="269"/>
      <c r="H1238" s="269"/>
      <c r="I1238" s="270"/>
      <c r="J1238" s="268">
        <v>1</v>
      </c>
      <c r="K1238" s="269">
        <v>83669</v>
      </c>
      <c r="L1238" s="269">
        <v>85817</v>
      </c>
      <c r="M1238" s="270">
        <v>1</v>
      </c>
      <c r="N1238" s="268">
        <v>1</v>
      </c>
      <c r="O1238" s="271"/>
      <c r="P1238" s="271">
        <v>83669</v>
      </c>
      <c r="Q1238" s="271"/>
      <c r="R1238" s="271"/>
      <c r="S1238" s="271">
        <v>-85817</v>
      </c>
      <c r="T1238" s="271"/>
      <c r="U1238" s="272">
        <v>1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153</v>
      </c>
      <c r="B1239" s="267" t="s">
        <v>1720</v>
      </c>
      <c r="C1239" s="267" t="s">
        <v>94</v>
      </c>
      <c r="D1239" s="267" t="s">
        <v>92</v>
      </c>
      <c r="E1239" s="267" t="s">
        <v>0</v>
      </c>
      <c r="F1239" s="268"/>
      <c r="G1239" s="269"/>
      <c r="H1239" s="269"/>
      <c r="I1239" s="270"/>
      <c r="J1239" s="268">
        <v>1</v>
      </c>
      <c r="K1239" s="269">
        <v>83496</v>
      </c>
      <c r="L1239" s="269">
        <v>85929</v>
      </c>
      <c r="M1239" s="270">
        <v>1</v>
      </c>
      <c r="N1239" s="268">
        <v>1</v>
      </c>
      <c r="O1239" s="271"/>
      <c r="P1239" s="271">
        <v>83496</v>
      </c>
      <c r="Q1239" s="271"/>
      <c r="R1239" s="271"/>
      <c r="S1239" s="271">
        <v>-85929</v>
      </c>
      <c r="T1239" s="271"/>
      <c r="U1239" s="272">
        <v>1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153</v>
      </c>
      <c r="B1240" s="267" t="s">
        <v>1721</v>
      </c>
      <c r="C1240" s="267" t="s">
        <v>94</v>
      </c>
      <c r="D1240" s="267" t="s">
        <v>92</v>
      </c>
      <c r="E1240" s="267" t="s">
        <v>0</v>
      </c>
      <c r="F1240" s="268"/>
      <c r="G1240" s="269"/>
      <c r="H1240" s="269"/>
      <c r="I1240" s="270"/>
      <c r="J1240" s="268">
        <v>1</v>
      </c>
      <c r="K1240" s="269">
        <v>83532</v>
      </c>
      <c r="L1240" s="269">
        <v>85919</v>
      </c>
      <c r="M1240" s="270">
        <v>1</v>
      </c>
      <c r="N1240" s="268">
        <v>1</v>
      </c>
      <c r="O1240" s="271"/>
      <c r="P1240" s="271">
        <v>83532</v>
      </c>
      <c r="Q1240" s="271"/>
      <c r="R1240" s="271"/>
      <c r="S1240" s="271">
        <v>-85919</v>
      </c>
      <c r="T1240" s="271"/>
      <c r="U1240" s="272">
        <v>1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153</v>
      </c>
      <c r="B1241" s="267" t="s">
        <v>1722</v>
      </c>
      <c r="C1241" s="267" t="s">
        <v>94</v>
      </c>
      <c r="D1241" s="267" t="s">
        <v>92</v>
      </c>
      <c r="E1241" s="267" t="s">
        <v>0</v>
      </c>
      <c r="F1241" s="268"/>
      <c r="G1241" s="269"/>
      <c r="H1241" s="269"/>
      <c r="I1241" s="270"/>
      <c r="J1241" s="268">
        <v>1</v>
      </c>
      <c r="K1241" s="269">
        <v>83876</v>
      </c>
      <c r="L1241" s="269">
        <v>85364</v>
      </c>
      <c r="M1241" s="270">
        <v>1</v>
      </c>
      <c r="N1241" s="268">
        <v>1</v>
      </c>
      <c r="O1241" s="271"/>
      <c r="P1241" s="271">
        <v>83876</v>
      </c>
      <c r="Q1241" s="271"/>
      <c r="R1241" s="271"/>
      <c r="S1241" s="271">
        <v>-85364</v>
      </c>
      <c r="T1241" s="271"/>
      <c r="U1241" s="272">
        <v>1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153</v>
      </c>
      <c r="B1242" s="267" t="s">
        <v>1723</v>
      </c>
      <c r="C1242" s="267" t="s">
        <v>94</v>
      </c>
      <c r="D1242" s="267" t="s">
        <v>92</v>
      </c>
      <c r="E1242" s="267" t="s">
        <v>0</v>
      </c>
      <c r="F1242" s="268"/>
      <c r="G1242" s="269"/>
      <c r="H1242" s="269"/>
      <c r="I1242" s="270"/>
      <c r="J1242" s="268">
        <v>1</v>
      </c>
      <c r="K1242" s="269">
        <v>83693</v>
      </c>
      <c r="L1242" s="269">
        <v>85590</v>
      </c>
      <c r="M1242" s="270">
        <v>1</v>
      </c>
      <c r="N1242" s="268">
        <v>1</v>
      </c>
      <c r="O1242" s="271"/>
      <c r="P1242" s="271">
        <v>83693</v>
      </c>
      <c r="Q1242" s="271"/>
      <c r="R1242" s="271"/>
      <c r="S1242" s="271">
        <v>-85590</v>
      </c>
      <c r="T1242" s="271"/>
      <c r="U1242" s="272">
        <v>1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153</v>
      </c>
      <c r="B1243" s="267" t="s">
        <v>1724</v>
      </c>
      <c r="C1243" s="267" t="s">
        <v>94</v>
      </c>
      <c r="D1243" s="267" t="s">
        <v>92</v>
      </c>
      <c r="E1243" s="267" t="s">
        <v>0</v>
      </c>
      <c r="F1243" s="268"/>
      <c r="G1243" s="269"/>
      <c r="H1243" s="269"/>
      <c r="I1243" s="270"/>
      <c r="J1243" s="268">
        <v>1</v>
      </c>
      <c r="K1243" s="269">
        <v>83859</v>
      </c>
      <c r="L1243" s="269">
        <v>85378</v>
      </c>
      <c r="M1243" s="270">
        <v>1</v>
      </c>
      <c r="N1243" s="268">
        <v>1</v>
      </c>
      <c r="O1243" s="271"/>
      <c r="P1243" s="271">
        <v>83859</v>
      </c>
      <c r="Q1243" s="271"/>
      <c r="R1243" s="271"/>
      <c r="S1243" s="271">
        <v>-85378</v>
      </c>
      <c r="T1243" s="271"/>
      <c r="U1243" s="272">
        <v>1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153</v>
      </c>
      <c r="B1244" s="267" t="s">
        <v>1725</v>
      </c>
      <c r="C1244" s="267" t="s">
        <v>94</v>
      </c>
      <c r="D1244" s="267" t="s">
        <v>92</v>
      </c>
      <c r="E1244" s="267" t="s">
        <v>0</v>
      </c>
      <c r="F1244" s="268"/>
      <c r="G1244" s="269"/>
      <c r="H1244" s="269"/>
      <c r="I1244" s="270"/>
      <c r="J1244" s="268">
        <v>1</v>
      </c>
      <c r="K1244" s="269">
        <v>83684</v>
      </c>
      <c r="L1244" s="269">
        <v>85592</v>
      </c>
      <c r="M1244" s="270">
        <v>1</v>
      </c>
      <c r="N1244" s="268">
        <v>1</v>
      </c>
      <c r="O1244" s="271"/>
      <c r="P1244" s="271">
        <v>83684</v>
      </c>
      <c r="Q1244" s="271"/>
      <c r="R1244" s="271"/>
      <c r="S1244" s="271">
        <v>-85592</v>
      </c>
      <c r="T1244" s="271"/>
      <c r="U1244" s="272">
        <v>1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153</v>
      </c>
      <c r="B1245" s="267" t="s">
        <v>1726</v>
      </c>
      <c r="C1245" s="267" t="s">
        <v>94</v>
      </c>
      <c r="D1245" s="267" t="s">
        <v>92</v>
      </c>
      <c r="E1245" s="267" t="s">
        <v>0</v>
      </c>
      <c r="F1245" s="268"/>
      <c r="G1245" s="269"/>
      <c r="H1245" s="269"/>
      <c r="I1245" s="270"/>
      <c r="J1245" s="268">
        <v>1</v>
      </c>
      <c r="K1245" s="269">
        <v>83481</v>
      </c>
      <c r="L1245" s="269">
        <v>85764</v>
      </c>
      <c r="M1245" s="270">
        <v>1</v>
      </c>
      <c r="N1245" s="268">
        <v>1</v>
      </c>
      <c r="O1245" s="271"/>
      <c r="P1245" s="271">
        <v>83481</v>
      </c>
      <c r="Q1245" s="271"/>
      <c r="R1245" s="271"/>
      <c r="S1245" s="271">
        <v>-85764</v>
      </c>
      <c r="T1245" s="271"/>
      <c r="U1245" s="272">
        <v>1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153</v>
      </c>
      <c r="B1246" s="267" t="s">
        <v>1727</v>
      </c>
      <c r="C1246" s="267" t="s">
        <v>94</v>
      </c>
      <c r="D1246" s="267" t="s">
        <v>92</v>
      </c>
      <c r="E1246" s="267" t="s">
        <v>0</v>
      </c>
      <c r="F1246" s="268"/>
      <c r="G1246" s="269"/>
      <c r="H1246" s="269"/>
      <c r="I1246" s="270"/>
      <c r="J1246" s="268">
        <v>1</v>
      </c>
      <c r="K1246" s="269">
        <v>83496</v>
      </c>
      <c r="L1246" s="269">
        <v>85759</v>
      </c>
      <c r="M1246" s="270">
        <v>1</v>
      </c>
      <c r="N1246" s="268">
        <v>1</v>
      </c>
      <c r="O1246" s="271"/>
      <c r="P1246" s="271">
        <v>83496</v>
      </c>
      <c r="Q1246" s="271"/>
      <c r="R1246" s="271"/>
      <c r="S1246" s="271">
        <v>-85759</v>
      </c>
      <c r="T1246" s="271"/>
      <c r="U1246" s="272">
        <v>1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153</v>
      </c>
      <c r="B1247" s="267" t="s">
        <v>1728</v>
      </c>
      <c r="C1247" s="267" t="s">
        <v>94</v>
      </c>
      <c r="D1247" s="267" t="s">
        <v>92</v>
      </c>
      <c r="E1247" s="267" t="s">
        <v>0</v>
      </c>
      <c r="F1247" s="268"/>
      <c r="G1247" s="269"/>
      <c r="H1247" s="269"/>
      <c r="I1247" s="270"/>
      <c r="J1247" s="268">
        <v>1</v>
      </c>
      <c r="K1247" s="269">
        <v>83908</v>
      </c>
      <c r="L1247" s="269">
        <v>85465</v>
      </c>
      <c r="M1247" s="270">
        <v>1</v>
      </c>
      <c r="N1247" s="268">
        <v>1</v>
      </c>
      <c r="O1247" s="271"/>
      <c r="P1247" s="271">
        <v>83908</v>
      </c>
      <c r="Q1247" s="271"/>
      <c r="R1247" s="271"/>
      <c r="S1247" s="271">
        <v>-85465</v>
      </c>
      <c r="T1247" s="271"/>
      <c r="U1247" s="272">
        <v>1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153</v>
      </c>
      <c r="B1248" s="267" t="s">
        <v>1729</v>
      </c>
      <c r="C1248" s="267" t="s">
        <v>94</v>
      </c>
      <c r="D1248" s="267" t="s">
        <v>92</v>
      </c>
      <c r="E1248" s="267" t="s">
        <v>0</v>
      </c>
      <c r="F1248" s="268"/>
      <c r="G1248" s="269"/>
      <c r="H1248" s="269"/>
      <c r="I1248" s="270"/>
      <c r="J1248" s="268">
        <v>1</v>
      </c>
      <c r="K1248" s="269">
        <v>83943</v>
      </c>
      <c r="L1248" s="269">
        <v>85461</v>
      </c>
      <c r="M1248" s="270">
        <v>1</v>
      </c>
      <c r="N1248" s="268">
        <v>1</v>
      </c>
      <c r="O1248" s="271"/>
      <c r="P1248" s="271">
        <v>83943</v>
      </c>
      <c r="Q1248" s="271"/>
      <c r="R1248" s="271"/>
      <c r="S1248" s="271">
        <v>-85461</v>
      </c>
      <c r="T1248" s="271"/>
      <c r="U1248" s="272">
        <v>1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153</v>
      </c>
      <c r="B1249" s="267" t="s">
        <v>1730</v>
      </c>
      <c r="C1249" s="267" t="s">
        <v>94</v>
      </c>
      <c r="D1249" s="267" t="s">
        <v>92</v>
      </c>
      <c r="E1249" s="267" t="s">
        <v>0</v>
      </c>
      <c r="F1249" s="268"/>
      <c r="G1249" s="269"/>
      <c r="H1249" s="269"/>
      <c r="I1249" s="270"/>
      <c r="J1249" s="268">
        <v>1</v>
      </c>
      <c r="K1249" s="269">
        <v>83875</v>
      </c>
      <c r="L1249" s="269">
        <v>85502</v>
      </c>
      <c r="M1249" s="270">
        <v>1</v>
      </c>
      <c r="N1249" s="268">
        <v>1</v>
      </c>
      <c r="O1249" s="271"/>
      <c r="P1249" s="271">
        <v>83875</v>
      </c>
      <c r="Q1249" s="271"/>
      <c r="R1249" s="271"/>
      <c r="S1249" s="271">
        <v>-85502</v>
      </c>
      <c r="T1249" s="271"/>
      <c r="U1249" s="272">
        <v>1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153</v>
      </c>
      <c r="B1250" s="267" t="s">
        <v>1731</v>
      </c>
      <c r="C1250" s="267" t="s">
        <v>94</v>
      </c>
      <c r="D1250" s="267" t="s">
        <v>92</v>
      </c>
      <c r="E1250" s="267" t="s">
        <v>0</v>
      </c>
      <c r="F1250" s="268"/>
      <c r="G1250" s="269"/>
      <c r="H1250" s="269"/>
      <c r="I1250" s="270"/>
      <c r="J1250" s="268">
        <v>1</v>
      </c>
      <c r="K1250" s="269">
        <v>83941</v>
      </c>
      <c r="L1250" s="269">
        <v>85470</v>
      </c>
      <c r="M1250" s="270">
        <v>1</v>
      </c>
      <c r="N1250" s="268">
        <v>1</v>
      </c>
      <c r="O1250" s="271"/>
      <c r="P1250" s="271">
        <v>83941</v>
      </c>
      <c r="Q1250" s="271"/>
      <c r="R1250" s="271"/>
      <c r="S1250" s="271">
        <v>-85470</v>
      </c>
      <c r="T1250" s="271"/>
      <c r="U1250" s="272">
        <v>1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153</v>
      </c>
      <c r="B1251" s="267" t="s">
        <v>1732</v>
      </c>
      <c r="C1251" s="267" t="s">
        <v>94</v>
      </c>
      <c r="D1251" s="267" t="s">
        <v>92</v>
      </c>
      <c r="E1251" s="267" t="s">
        <v>0</v>
      </c>
      <c r="F1251" s="268"/>
      <c r="G1251" s="269"/>
      <c r="H1251" s="269"/>
      <c r="I1251" s="270"/>
      <c r="J1251" s="268">
        <v>1</v>
      </c>
      <c r="K1251" s="269">
        <v>83829</v>
      </c>
      <c r="L1251" s="269">
        <v>85533</v>
      </c>
      <c r="M1251" s="270">
        <v>1</v>
      </c>
      <c r="N1251" s="268">
        <v>1</v>
      </c>
      <c r="O1251" s="271"/>
      <c r="P1251" s="271">
        <v>83829</v>
      </c>
      <c r="Q1251" s="271"/>
      <c r="R1251" s="271"/>
      <c r="S1251" s="271">
        <v>-85533</v>
      </c>
      <c r="T1251" s="271"/>
      <c r="U1251" s="272">
        <v>1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153</v>
      </c>
      <c r="B1252" s="267" t="s">
        <v>1733</v>
      </c>
      <c r="C1252" s="267" t="s">
        <v>94</v>
      </c>
      <c r="D1252" s="267" t="s">
        <v>92</v>
      </c>
      <c r="E1252" s="267" t="s">
        <v>0</v>
      </c>
      <c r="F1252" s="268"/>
      <c r="G1252" s="269"/>
      <c r="H1252" s="269"/>
      <c r="I1252" s="270"/>
      <c r="J1252" s="268">
        <v>1</v>
      </c>
      <c r="K1252" s="269">
        <v>83860</v>
      </c>
      <c r="L1252" s="269">
        <v>85505</v>
      </c>
      <c r="M1252" s="270">
        <v>1</v>
      </c>
      <c r="N1252" s="268">
        <v>1</v>
      </c>
      <c r="O1252" s="271"/>
      <c r="P1252" s="271">
        <v>83860</v>
      </c>
      <c r="Q1252" s="271"/>
      <c r="R1252" s="271"/>
      <c r="S1252" s="271">
        <v>-85505</v>
      </c>
      <c r="T1252" s="271"/>
      <c r="U1252" s="272">
        <v>1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153</v>
      </c>
      <c r="B1253" s="267" t="s">
        <v>1734</v>
      </c>
      <c r="C1253" s="267" t="s">
        <v>94</v>
      </c>
      <c r="D1253" s="267" t="s">
        <v>92</v>
      </c>
      <c r="E1253" s="267" t="s">
        <v>0</v>
      </c>
      <c r="F1253" s="268"/>
      <c r="G1253" s="269"/>
      <c r="H1253" s="269"/>
      <c r="I1253" s="270"/>
      <c r="J1253" s="268">
        <v>1</v>
      </c>
      <c r="K1253" s="269">
        <v>83881</v>
      </c>
      <c r="L1253" s="269">
        <v>85637</v>
      </c>
      <c r="M1253" s="270">
        <v>1</v>
      </c>
      <c r="N1253" s="268">
        <v>1</v>
      </c>
      <c r="O1253" s="271"/>
      <c r="P1253" s="271">
        <v>83881</v>
      </c>
      <c r="Q1253" s="271"/>
      <c r="R1253" s="271"/>
      <c r="S1253" s="271">
        <v>-85637</v>
      </c>
      <c r="T1253" s="271"/>
      <c r="U1253" s="272">
        <v>1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153</v>
      </c>
      <c r="B1254" s="267" t="s">
        <v>1735</v>
      </c>
      <c r="C1254" s="267" t="s">
        <v>94</v>
      </c>
      <c r="D1254" s="267" t="s">
        <v>92</v>
      </c>
      <c r="E1254" s="267" t="s">
        <v>0</v>
      </c>
      <c r="F1254" s="268"/>
      <c r="G1254" s="269"/>
      <c r="H1254" s="269"/>
      <c r="I1254" s="270"/>
      <c r="J1254" s="268">
        <v>1</v>
      </c>
      <c r="K1254" s="269">
        <v>84221</v>
      </c>
      <c r="L1254" s="269">
        <v>85383</v>
      </c>
      <c r="M1254" s="270">
        <v>1</v>
      </c>
      <c r="N1254" s="268">
        <v>1</v>
      </c>
      <c r="O1254" s="271"/>
      <c r="P1254" s="271">
        <v>84221</v>
      </c>
      <c r="Q1254" s="271"/>
      <c r="R1254" s="271"/>
      <c r="S1254" s="271">
        <v>-85383</v>
      </c>
      <c r="T1254" s="271"/>
      <c r="U1254" s="272">
        <v>1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153</v>
      </c>
      <c r="B1255" s="267" t="s">
        <v>1736</v>
      </c>
      <c r="C1255" s="267" t="s">
        <v>94</v>
      </c>
      <c r="D1255" s="267" t="s">
        <v>92</v>
      </c>
      <c r="E1255" s="267" t="s">
        <v>0</v>
      </c>
      <c r="F1255" s="268"/>
      <c r="G1255" s="269"/>
      <c r="H1255" s="269"/>
      <c r="I1255" s="270"/>
      <c r="J1255" s="268">
        <v>1</v>
      </c>
      <c r="K1255" s="269">
        <v>83627</v>
      </c>
      <c r="L1255" s="269">
        <v>86001</v>
      </c>
      <c r="M1255" s="270">
        <v>1</v>
      </c>
      <c r="N1255" s="268">
        <v>1</v>
      </c>
      <c r="O1255" s="271"/>
      <c r="P1255" s="271">
        <v>83627</v>
      </c>
      <c r="Q1255" s="271"/>
      <c r="R1255" s="271"/>
      <c r="S1255" s="271">
        <v>-86001</v>
      </c>
      <c r="T1255" s="271"/>
      <c r="U1255" s="272">
        <v>1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153</v>
      </c>
      <c r="B1256" s="267" t="s">
        <v>1737</v>
      </c>
      <c r="C1256" s="267" t="s">
        <v>94</v>
      </c>
      <c r="D1256" s="267" t="s">
        <v>92</v>
      </c>
      <c r="E1256" s="267" t="s">
        <v>0</v>
      </c>
      <c r="F1256" s="268"/>
      <c r="G1256" s="269"/>
      <c r="H1256" s="269"/>
      <c r="I1256" s="270"/>
      <c r="J1256" s="268">
        <v>1</v>
      </c>
      <c r="K1256" s="269">
        <v>83959</v>
      </c>
      <c r="L1256" s="269">
        <v>85360</v>
      </c>
      <c r="M1256" s="270">
        <v>1</v>
      </c>
      <c r="N1256" s="268">
        <v>1</v>
      </c>
      <c r="O1256" s="271"/>
      <c r="P1256" s="271">
        <v>83959</v>
      </c>
      <c r="Q1256" s="271"/>
      <c r="R1256" s="271"/>
      <c r="S1256" s="271">
        <v>-85360</v>
      </c>
      <c r="T1256" s="271"/>
      <c r="U1256" s="272">
        <v>1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153</v>
      </c>
      <c r="B1257" s="267" t="s">
        <v>1738</v>
      </c>
      <c r="C1257" s="267" t="s">
        <v>94</v>
      </c>
      <c r="D1257" s="267" t="s">
        <v>92</v>
      </c>
      <c r="E1257" s="267" t="s">
        <v>0</v>
      </c>
      <c r="F1257" s="268"/>
      <c r="G1257" s="269"/>
      <c r="H1257" s="269"/>
      <c r="I1257" s="270"/>
      <c r="J1257" s="268">
        <v>1</v>
      </c>
      <c r="K1257" s="269">
        <v>83632</v>
      </c>
      <c r="L1257" s="269">
        <v>85652</v>
      </c>
      <c r="M1257" s="270">
        <v>1</v>
      </c>
      <c r="N1257" s="268">
        <v>1</v>
      </c>
      <c r="O1257" s="271"/>
      <c r="P1257" s="271">
        <v>83632</v>
      </c>
      <c r="Q1257" s="271"/>
      <c r="R1257" s="271"/>
      <c r="S1257" s="271">
        <v>-85652</v>
      </c>
      <c r="T1257" s="271"/>
      <c r="U1257" s="272">
        <v>1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153</v>
      </c>
      <c r="B1258" s="267" t="s">
        <v>1739</v>
      </c>
      <c r="C1258" s="267" t="s">
        <v>94</v>
      </c>
      <c r="D1258" s="267" t="s">
        <v>92</v>
      </c>
      <c r="E1258" s="267" t="s">
        <v>0</v>
      </c>
      <c r="F1258" s="268"/>
      <c r="G1258" s="269"/>
      <c r="H1258" s="269"/>
      <c r="I1258" s="270"/>
      <c r="J1258" s="268">
        <v>1</v>
      </c>
      <c r="K1258" s="269">
        <v>83874</v>
      </c>
      <c r="L1258" s="269">
        <v>85515</v>
      </c>
      <c r="M1258" s="270">
        <v>1</v>
      </c>
      <c r="N1258" s="268">
        <v>1</v>
      </c>
      <c r="O1258" s="271"/>
      <c r="P1258" s="271">
        <v>83874</v>
      </c>
      <c r="Q1258" s="271"/>
      <c r="R1258" s="271"/>
      <c r="S1258" s="271">
        <v>-85515</v>
      </c>
      <c r="T1258" s="271"/>
      <c r="U1258" s="272">
        <v>1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153</v>
      </c>
      <c r="B1259" s="267" t="s">
        <v>1740</v>
      </c>
      <c r="C1259" s="267" t="s">
        <v>94</v>
      </c>
      <c r="D1259" s="267" t="s">
        <v>92</v>
      </c>
      <c r="E1259" s="267" t="s">
        <v>0</v>
      </c>
      <c r="F1259" s="268"/>
      <c r="G1259" s="269"/>
      <c r="H1259" s="269"/>
      <c r="I1259" s="270"/>
      <c r="J1259" s="268">
        <v>1</v>
      </c>
      <c r="K1259" s="269">
        <v>83880</v>
      </c>
      <c r="L1259" s="269">
        <v>85623</v>
      </c>
      <c r="M1259" s="270">
        <v>1</v>
      </c>
      <c r="N1259" s="268">
        <v>1</v>
      </c>
      <c r="O1259" s="271"/>
      <c r="P1259" s="271">
        <v>83880</v>
      </c>
      <c r="Q1259" s="271"/>
      <c r="R1259" s="271"/>
      <c r="S1259" s="271">
        <v>-85623</v>
      </c>
      <c r="T1259" s="271"/>
      <c r="U1259" s="272">
        <v>1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153</v>
      </c>
      <c r="B1260" s="267" t="s">
        <v>1741</v>
      </c>
      <c r="C1260" s="267" t="s">
        <v>94</v>
      </c>
      <c r="D1260" s="267" t="s">
        <v>92</v>
      </c>
      <c r="E1260" s="267" t="s">
        <v>0</v>
      </c>
      <c r="F1260" s="268"/>
      <c r="G1260" s="269"/>
      <c r="H1260" s="269"/>
      <c r="I1260" s="270"/>
      <c r="J1260" s="268">
        <v>1</v>
      </c>
      <c r="K1260" s="269">
        <v>84010</v>
      </c>
      <c r="L1260" s="269">
        <v>85399</v>
      </c>
      <c r="M1260" s="270">
        <v>1</v>
      </c>
      <c r="N1260" s="268">
        <v>1</v>
      </c>
      <c r="O1260" s="271"/>
      <c r="P1260" s="271">
        <v>84010</v>
      </c>
      <c r="Q1260" s="271"/>
      <c r="R1260" s="271"/>
      <c r="S1260" s="271">
        <v>-85399</v>
      </c>
      <c r="T1260" s="271"/>
      <c r="U1260" s="272">
        <v>1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153</v>
      </c>
      <c r="B1261" s="267" t="s">
        <v>1742</v>
      </c>
      <c r="C1261" s="267" t="s">
        <v>94</v>
      </c>
      <c r="D1261" s="267" t="s">
        <v>92</v>
      </c>
      <c r="E1261" s="267" t="s">
        <v>0</v>
      </c>
      <c r="F1261" s="268"/>
      <c r="G1261" s="269"/>
      <c r="H1261" s="269"/>
      <c r="I1261" s="270"/>
      <c r="J1261" s="268">
        <v>1</v>
      </c>
      <c r="K1261" s="269">
        <v>83431</v>
      </c>
      <c r="L1261" s="269">
        <v>86032</v>
      </c>
      <c r="M1261" s="270">
        <v>1</v>
      </c>
      <c r="N1261" s="268">
        <v>1</v>
      </c>
      <c r="O1261" s="271"/>
      <c r="P1261" s="271">
        <v>83431</v>
      </c>
      <c r="Q1261" s="271"/>
      <c r="R1261" s="271"/>
      <c r="S1261" s="271">
        <v>-86032</v>
      </c>
      <c r="T1261" s="271"/>
      <c r="U1261" s="272">
        <v>1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153</v>
      </c>
      <c r="B1262" s="267" t="s">
        <v>1743</v>
      </c>
      <c r="C1262" s="267" t="s">
        <v>94</v>
      </c>
      <c r="D1262" s="267" t="s">
        <v>92</v>
      </c>
      <c r="E1262" s="267" t="s">
        <v>0</v>
      </c>
      <c r="F1262" s="268"/>
      <c r="G1262" s="269"/>
      <c r="H1262" s="269"/>
      <c r="I1262" s="270"/>
      <c r="J1262" s="268">
        <v>1</v>
      </c>
      <c r="K1262" s="269">
        <v>83877</v>
      </c>
      <c r="L1262" s="269">
        <v>85621</v>
      </c>
      <c r="M1262" s="270">
        <v>1</v>
      </c>
      <c r="N1262" s="268">
        <v>1</v>
      </c>
      <c r="O1262" s="271"/>
      <c r="P1262" s="271">
        <v>83877</v>
      </c>
      <c r="Q1262" s="271"/>
      <c r="R1262" s="271"/>
      <c r="S1262" s="271">
        <v>-85621</v>
      </c>
      <c r="T1262" s="271"/>
      <c r="U1262" s="272">
        <v>1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153</v>
      </c>
      <c r="B1263" s="267" t="s">
        <v>1744</v>
      </c>
      <c r="C1263" s="267" t="s">
        <v>94</v>
      </c>
      <c r="D1263" s="267" t="s">
        <v>92</v>
      </c>
      <c r="E1263" s="267" t="s">
        <v>0</v>
      </c>
      <c r="F1263" s="268"/>
      <c r="G1263" s="269"/>
      <c r="H1263" s="269"/>
      <c r="I1263" s="270"/>
      <c r="J1263" s="268">
        <v>1</v>
      </c>
      <c r="K1263" s="269">
        <v>83826</v>
      </c>
      <c r="L1263" s="269">
        <v>85833</v>
      </c>
      <c r="M1263" s="270">
        <v>1</v>
      </c>
      <c r="N1263" s="268">
        <v>1</v>
      </c>
      <c r="O1263" s="271"/>
      <c r="P1263" s="271">
        <v>83826</v>
      </c>
      <c r="Q1263" s="271"/>
      <c r="R1263" s="271"/>
      <c r="S1263" s="271">
        <v>-85833</v>
      </c>
      <c r="T1263" s="271"/>
      <c r="U1263" s="272">
        <v>1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153</v>
      </c>
      <c r="B1264" s="267" t="s">
        <v>1745</v>
      </c>
      <c r="C1264" s="267" t="s">
        <v>94</v>
      </c>
      <c r="D1264" s="267" t="s">
        <v>92</v>
      </c>
      <c r="E1264" s="267" t="s">
        <v>0</v>
      </c>
      <c r="F1264" s="268"/>
      <c r="G1264" s="269"/>
      <c r="H1264" s="269"/>
      <c r="I1264" s="270"/>
      <c r="J1264" s="268">
        <v>1</v>
      </c>
      <c r="K1264" s="269">
        <v>84032</v>
      </c>
      <c r="L1264" s="269">
        <v>85536</v>
      </c>
      <c r="M1264" s="270">
        <v>1</v>
      </c>
      <c r="N1264" s="268">
        <v>1</v>
      </c>
      <c r="O1264" s="271"/>
      <c r="P1264" s="271">
        <v>84032</v>
      </c>
      <c r="Q1264" s="271"/>
      <c r="R1264" s="271"/>
      <c r="S1264" s="271">
        <v>-85536</v>
      </c>
      <c r="T1264" s="271"/>
      <c r="U1264" s="272">
        <v>1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153</v>
      </c>
      <c r="B1265" s="267" t="s">
        <v>1746</v>
      </c>
      <c r="C1265" s="267" t="s">
        <v>94</v>
      </c>
      <c r="D1265" s="267" t="s">
        <v>92</v>
      </c>
      <c r="E1265" s="267" t="s">
        <v>0</v>
      </c>
      <c r="F1265" s="268"/>
      <c r="G1265" s="269"/>
      <c r="H1265" s="269"/>
      <c r="I1265" s="270"/>
      <c r="J1265" s="268">
        <v>1</v>
      </c>
      <c r="K1265" s="269">
        <v>83664</v>
      </c>
      <c r="L1265" s="269">
        <v>85986</v>
      </c>
      <c r="M1265" s="270">
        <v>1</v>
      </c>
      <c r="N1265" s="268">
        <v>1</v>
      </c>
      <c r="O1265" s="271"/>
      <c r="P1265" s="271">
        <v>83664</v>
      </c>
      <c r="Q1265" s="271"/>
      <c r="R1265" s="271"/>
      <c r="S1265" s="271">
        <v>-85986</v>
      </c>
      <c r="T1265" s="271"/>
      <c r="U1265" s="272">
        <v>1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153</v>
      </c>
      <c r="B1266" s="267" t="s">
        <v>1747</v>
      </c>
      <c r="C1266" s="267" t="s">
        <v>94</v>
      </c>
      <c r="D1266" s="267" t="s">
        <v>92</v>
      </c>
      <c r="E1266" s="267" t="s">
        <v>0</v>
      </c>
      <c r="F1266" s="268"/>
      <c r="G1266" s="269"/>
      <c r="H1266" s="269"/>
      <c r="I1266" s="270"/>
      <c r="J1266" s="268">
        <v>1</v>
      </c>
      <c r="K1266" s="269">
        <v>83532</v>
      </c>
      <c r="L1266" s="269">
        <v>85739</v>
      </c>
      <c r="M1266" s="270">
        <v>1</v>
      </c>
      <c r="N1266" s="268">
        <v>1</v>
      </c>
      <c r="O1266" s="271"/>
      <c r="P1266" s="271">
        <v>83532</v>
      </c>
      <c r="Q1266" s="271"/>
      <c r="R1266" s="271"/>
      <c r="S1266" s="271">
        <v>-85739</v>
      </c>
      <c r="T1266" s="271"/>
      <c r="U1266" s="272">
        <v>1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153</v>
      </c>
      <c r="B1267" s="267" t="s">
        <v>1748</v>
      </c>
      <c r="C1267" s="267" t="s">
        <v>94</v>
      </c>
      <c r="D1267" s="267" t="s">
        <v>92</v>
      </c>
      <c r="E1267" s="267" t="s">
        <v>0</v>
      </c>
      <c r="F1267" s="268"/>
      <c r="G1267" s="269"/>
      <c r="H1267" s="269"/>
      <c r="I1267" s="270"/>
      <c r="J1267" s="268">
        <v>1</v>
      </c>
      <c r="K1267" s="269">
        <v>83439</v>
      </c>
      <c r="L1267" s="269">
        <v>86001</v>
      </c>
      <c r="M1267" s="270">
        <v>1</v>
      </c>
      <c r="N1267" s="268">
        <v>1</v>
      </c>
      <c r="O1267" s="271"/>
      <c r="P1267" s="271">
        <v>83439</v>
      </c>
      <c r="Q1267" s="271"/>
      <c r="R1267" s="271"/>
      <c r="S1267" s="271">
        <v>-86001</v>
      </c>
      <c r="T1267" s="271"/>
      <c r="U1267" s="272">
        <v>1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153</v>
      </c>
      <c r="B1268" s="267" t="s">
        <v>1749</v>
      </c>
      <c r="C1268" s="267" t="s">
        <v>94</v>
      </c>
      <c r="D1268" s="267" t="s">
        <v>92</v>
      </c>
      <c r="E1268" s="267" t="s">
        <v>0</v>
      </c>
      <c r="F1268" s="268"/>
      <c r="G1268" s="269"/>
      <c r="H1268" s="269"/>
      <c r="I1268" s="270"/>
      <c r="J1268" s="268">
        <v>1</v>
      </c>
      <c r="K1268" s="269">
        <v>83646</v>
      </c>
      <c r="L1268" s="269">
        <v>85969</v>
      </c>
      <c r="M1268" s="270">
        <v>1</v>
      </c>
      <c r="N1268" s="268">
        <v>1</v>
      </c>
      <c r="O1268" s="271"/>
      <c r="P1268" s="271">
        <v>83646</v>
      </c>
      <c r="Q1268" s="271"/>
      <c r="R1268" s="271"/>
      <c r="S1268" s="271">
        <v>-85969</v>
      </c>
      <c r="T1268" s="271"/>
      <c r="U1268" s="272">
        <v>1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153</v>
      </c>
      <c r="B1269" s="267" t="s">
        <v>1750</v>
      </c>
      <c r="C1269" s="267" t="s">
        <v>94</v>
      </c>
      <c r="D1269" s="267" t="s">
        <v>92</v>
      </c>
      <c r="E1269" s="267" t="s">
        <v>0</v>
      </c>
      <c r="F1269" s="268"/>
      <c r="G1269" s="269"/>
      <c r="H1269" s="269"/>
      <c r="I1269" s="270"/>
      <c r="J1269" s="268">
        <v>1</v>
      </c>
      <c r="K1269" s="269">
        <v>83966</v>
      </c>
      <c r="L1269" s="269">
        <v>85555</v>
      </c>
      <c r="M1269" s="270">
        <v>1</v>
      </c>
      <c r="N1269" s="268">
        <v>1</v>
      </c>
      <c r="O1269" s="271"/>
      <c r="P1269" s="271">
        <v>83966</v>
      </c>
      <c r="Q1269" s="271"/>
      <c r="R1269" s="271"/>
      <c r="S1269" s="271">
        <v>-85555</v>
      </c>
      <c r="T1269" s="271"/>
      <c r="U1269" s="272">
        <v>1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153</v>
      </c>
      <c r="B1270" s="267" t="s">
        <v>1751</v>
      </c>
      <c r="C1270" s="267" t="s">
        <v>94</v>
      </c>
      <c r="D1270" s="267" t="s">
        <v>92</v>
      </c>
      <c r="E1270" s="267" t="s">
        <v>0</v>
      </c>
      <c r="F1270" s="268"/>
      <c r="G1270" s="269"/>
      <c r="H1270" s="269"/>
      <c r="I1270" s="270"/>
      <c r="J1270" s="268">
        <v>1</v>
      </c>
      <c r="K1270" s="269">
        <v>83915</v>
      </c>
      <c r="L1270" s="269">
        <v>85380</v>
      </c>
      <c r="M1270" s="270">
        <v>1</v>
      </c>
      <c r="N1270" s="268">
        <v>1</v>
      </c>
      <c r="O1270" s="271"/>
      <c r="P1270" s="271">
        <v>83915</v>
      </c>
      <c r="Q1270" s="271"/>
      <c r="R1270" s="271"/>
      <c r="S1270" s="271">
        <v>-85380</v>
      </c>
      <c r="T1270" s="271"/>
      <c r="U1270" s="272">
        <v>1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153</v>
      </c>
      <c r="B1271" s="267" t="s">
        <v>1752</v>
      </c>
      <c r="C1271" s="267" t="s">
        <v>94</v>
      </c>
      <c r="D1271" s="267" t="s">
        <v>92</v>
      </c>
      <c r="E1271" s="267" t="s">
        <v>0</v>
      </c>
      <c r="F1271" s="268"/>
      <c r="G1271" s="269"/>
      <c r="H1271" s="269"/>
      <c r="I1271" s="270"/>
      <c r="J1271" s="268">
        <v>1</v>
      </c>
      <c r="K1271" s="269">
        <v>83639</v>
      </c>
      <c r="L1271" s="269">
        <v>85847</v>
      </c>
      <c r="M1271" s="270">
        <v>1</v>
      </c>
      <c r="N1271" s="268">
        <v>1</v>
      </c>
      <c r="O1271" s="271"/>
      <c r="P1271" s="271">
        <v>83639</v>
      </c>
      <c r="Q1271" s="271"/>
      <c r="R1271" s="271"/>
      <c r="S1271" s="271">
        <v>-85847</v>
      </c>
      <c r="T1271" s="271"/>
      <c r="U1271" s="272">
        <v>1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153</v>
      </c>
      <c r="B1272" s="267" t="s">
        <v>1753</v>
      </c>
      <c r="C1272" s="267" t="s">
        <v>94</v>
      </c>
      <c r="D1272" s="267" t="s">
        <v>92</v>
      </c>
      <c r="E1272" s="267" t="s">
        <v>0</v>
      </c>
      <c r="F1272" s="268"/>
      <c r="G1272" s="269"/>
      <c r="H1272" s="269"/>
      <c r="I1272" s="270"/>
      <c r="J1272" s="268">
        <v>1</v>
      </c>
      <c r="K1272" s="269">
        <v>83502</v>
      </c>
      <c r="L1272" s="269">
        <v>85949</v>
      </c>
      <c r="M1272" s="270">
        <v>1</v>
      </c>
      <c r="N1272" s="268">
        <v>1</v>
      </c>
      <c r="O1272" s="271"/>
      <c r="P1272" s="271">
        <v>83502</v>
      </c>
      <c r="Q1272" s="271"/>
      <c r="R1272" s="271"/>
      <c r="S1272" s="271">
        <v>-85949</v>
      </c>
      <c r="T1272" s="271"/>
      <c r="U1272" s="272">
        <v>1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153</v>
      </c>
      <c r="B1273" s="267" t="s">
        <v>1754</v>
      </c>
      <c r="C1273" s="267" t="s">
        <v>94</v>
      </c>
      <c r="D1273" s="267" t="s">
        <v>92</v>
      </c>
      <c r="E1273" s="267" t="s">
        <v>0</v>
      </c>
      <c r="F1273" s="268"/>
      <c r="G1273" s="269"/>
      <c r="H1273" s="269"/>
      <c r="I1273" s="270"/>
      <c r="J1273" s="268">
        <v>1</v>
      </c>
      <c r="K1273" s="269">
        <v>83654</v>
      </c>
      <c r="L1273" s="269">
        <v>85622</v>
      </c>
      <c r="M1273" s="270">
        <v>1</v>
      </c>
      <c r="N1273" s="268">
        <v>1</v>
      </c>
      <c r="O1273" s="271"/>
      <c r="P1273" s="271">
        <v>83654</v>
      </c>
      <c r="Q1273" s="271"/>
      <c r="R1273" s="271"/>
      <c r="S1273" s="271">
        <v>-85622</v>
      </c>
      <c r="T1273" s="271"/>
      <c r="U1273" s="272">
        <v>1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153</v>
      </c>
      <c r="B1274" s="267" t="s">
        <v>1755</v>
      </c>
      <c r="C1274" s="267" t="s">
        <v>94</v>
      </c>
      <c r="D1274" s="267" t="s">
        <v>92</v>
      </c>
      <c r="E1274" s="267" t="s">
        <v>0</v>
      </c>
      <c r="F1274" s="268"/>
      <c r="G1274" s="269"/>
      <c r="H1274" s="269"/>
      <c r="I1274" s="270"/>
      <c r="J1274" s="268">
        <v>1</v>
      </c>
      <c r="K1274" s="269">
        <v>83466</v>
      </c>
      <c r="L1274" s="269">
        <v>85789</v>
      </c>
      <c r="M1274" s="270">
        <v>1</v>
      </c>
      <c r="N1274" s="268">
        <v>1</v>
      </c>
      <c r="O1274" s="271"/>
      <c r="P1274" s="271">
        <v>83466</v>
      </c>
      <c r="Q1274" s="271"/>
      <c r="R1274" s="271"/>
      <c r="S1274" s="271">
        <v>-85789</v>
      </c>
      <c r="T1274" s="271"/>
      <c r="U1274" s="272">
        <v>1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153</v>
      </c>
      <c r="B1275" s="267" t="s">
        <v>1756</v>
      </c>
      <c r="C1275" s="267" t="s">
        <v>94</v>
      </c>
      <c r="D1275" s="267" t="s">
        <v>92</v>
      </c>
      <c r="E1275" s="267" t="s">
        <v>0</v>
      </c>
      <c r="F1275" s="268"/>
      <c r="G1275" s="269"/>
      <c r="H1275" s="269"/>
      <c r="I1275" s="270"/>
      <c r="J1275" s="268">
        <v>1</v>
      </c>
      <c r="K1275" s="269">
        <v>83911</v>
      </c>
      <c r="L1275" s="269">
        <v>85500</v>
      </c>
      <c r="M1275" s="270">
        <v>1</v>
      </c>
      <c r="N1275" s="268">
        <v>1</v>
      </c>
      <c r="O1275" s="271"/>
      <c r="P1275" s="271">
        <v>83911</v>
      </c>
      <c r="Q1275" s="271"/>
      <c r="R1275" s="271"/>
      <c r="S1275" s="271">
        <v>-85500</v>
      </c>
      <c r="T1275" s="271"/>
      <c r="U1275" s="272">
        <v>1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153</v>
      </c>
      <c r="B1276" s="267" t="s">
        <v>1757</v>
      </c>
      <c r="C1276" s="267" t="s">
        <v>94</v>
      </c>
      <c r="D1276" s="267" t="s">
        <v>92</v>
      </c>
      <c r="E1276" s="267" t="s">
        <v>0</v>
      </c>
      <c r="F1276" s="268"/>
      <c r="G1276" s="269"/>
      <c r="H1276" s="269"/>
      <c r="I1276" s="270"/>
      <c r="J1276" s="268">
        <v>1</v>
      </c>
      <c r="K1276" s="269">
        <v>83830</v>
      </c>
      <c r="L1276" s="269">
        <v>85535</v>
      </c>
      <c r="M1276" s="270">
        <v>1</v>
      </c>
      <c r="N1276" s="268">
        <v>1</v>
      </c>
      <c r="O1276" s="271"/>
      <c r="P1276" s="271">
        <v>83830</v>
      </c>
      <c r="Q1276" s="271"/>
      <c r="R1276" s="271"/>
      <c r="S1276" s="271">
        <v>-85535</v>
      </c>
      <c r="T1276" s="271"/>
      <c r="U1276" s="272">
        <v>1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153</v>
      </c>
      <c r="B1277" s="267" t="s">
        <v>1758</v>
      </c>
      <c r="C1277" s="267" t="s">
        <v>94</v>
      </c>
      <c r="D1277" s="267" t="s">
        <v>92</v>
      </c>
      <c r="E1277" s="267" t="s">
        <v>0</v>
      </c>
      <c r="F1277" s="268"/>
      <c r="G1277" s="269"/>
      <c r="H1277" s="269"/>
      <c r="I1277" s="270"/>
      <c r="J1277" s="268">
        <v>1</v>
      </c>
      <c r="K1277" s="269">
        <v>83865</v>
      </c>
      <c r="L1277" s="269">
        <v>85660</v>
      </c>
      <c r="M1277" s="270">
        <v>1</v>
      </c>
      <c r="N1277" s="268">
        <v>1</v>
      </c>
      <c r="O1277" s="271"/>
      <c r="P1277" s="271">
        <v>83865</v>
      </c>
      <c r="Q1277" s="271"/>
      <c r="R1277" s="271"/>
      <c r="S1277" s="271">
        <v>-85660</v>
      </c>
      <c r="T1277" s="271"/>
      <c r="U1277" s="272">
        <v>1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153</v>
      </c>
      <c r="B1278" s="267" t="s">
        <v>1759</v>
      </c>
      <c r="C1278" s="267" t="s">
        <v>94</v>
      </c>
      <c r="D1278" s="267" t="s">
        <v>92</v>
      </c>
      <c r="E1278" s="267" t="s">
        <v>0</v>
      </c>
      <c r="F1278" s="268"/>
      <c r="G1278" s="269"/>
      <c r="H1278" s="269"/>
      <c r="I1278" s="270"/>
      <c r="J1278" s="268">
        <v>1</v>
      </c>
      <c r="K1278" s="269">
        <v>84205</v>
      </c>
      <c r="L1278" s="269">
        <v>85406</v>
      </c>
      <c r="M1278" s="270">
        <v>1</v>
      </c>
      <c r="N1278" s="268">
        <v>1</v>
      </c>
      <c r="O1278" s="271"/>
      <c r="P1278" s="271">
        <v>84205</v>
      </c>
      <c r="Q1278" s="271"/>
      <c r="R1278" s="271"/>
      <c r="S1278" s="271">
        <v>-85406</v>
      </c>
      <c r="T1278" s="271"/>
      <c r="U1278" s="272">
        <v>1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153</v>
      </c>
      <c r="B1279" s="267" t="s">
        <v>1760</v>
      </c>
      <c r="C1279" s="267" t="s">
        <v>94</v>
      </c>
      <c r="D1279" s="267" t="s">
        <v>92</v>
      </c>
      <c r="E1279" s="267" t="s">
        <v>0</v>
      </c>
      <c r="F1279" s="268"/>
      <c r="G1279" s="269"/>
      <c r="H1279" s="269"/>
      <c r="I1279" s="270"/>
      <c r="J1279" s="268">
        <v>1</v>
      </c>
      <c r="K1279" s="269">
        <v>83634</v>
      </c>
      <c r="L1279" s="269">
        <v>86008</v>
      </c>
      <c r="M1279" s="270">
        <v>1</v>
      </c>
      <c r="N1279" s="268">
        <v>1</v>
      </c>
      <c r="O1279" s="271"/>
      <c r="P1279" s="271">
        <v>83634</v>
      </c>
      <c r="Q1279" s="271"/>
      <c r="R1279" s="271"/>
      <c r="S1279" s="271">
        <v>-86008</v>
      </c>
      <c r="T1279" s="271"/>
      <c r="U1279" s="272">
        <v>1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153</v>
      </c>
      <c r="B1280" s="267" t="s">
        <v>1761</v>
      </c>
      <c r="C1280" s="267" t="s">
        <v>94</v>
      </c>
      <c r="D1280" s="267" t="s">
        <v>92</v>
      </c>
      <c r="E1280" s="267" t="s">
        <v>0</v>
      </c>
      <c r="F1280" s="268"/>
      <c r="G1280" s="269"/>
      <c r="H1280" s="269"/>
      <c r="I1280" s="270"/>
      <c r="J1280" s="268">
        <v>1</v>
      </c>
      <c r="K1280" s="269">
        <v>83966</v>
      </c>
      <c r="L1280" s="269">
        <v>85367</v>
      </c>
      <c r="M1280" s="270">
        <v>1</v>
      </c>
      <c r="N1280" s="268">
        <v>1</v>
      </c>
      <c r="O1280" s="271"/>
      <c r="P1280" s="271">
        <v>83966</v>
      </c>
      <c r="Q1280" s="271"/>
      <c r="R1280" s="271"/>
      <c r="S1280" s="271">
        <v>-85367</v>
      </c>
      <c r="T1280" s="271"/>
      <c r="U1280" s="272">
        <v>1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153</v>
      </c>
      <c r="B1281" s="267" t="s">
        <v>1762</v>
      </c>
      <c r="C1281" s="267" t="s">
        <v>94</v>
      </c>
      <c r="D1281" s="267" t="s">
        <v>92</v>
      </c>
      <c r="E1281" s="267" t="s">
        <v>0</v>
      </c>
      <c r="F1281" s="268"/>
      <c r="G1281" s="269"/>
      <c r="H1281" s="269"/>
      <c r="I1281" s="270"/>
      <c r="J1281" s="268">
        <v>1</v>
      </c>
      <c r="K1281" s="269">
        <v>83639</v>
      </c>
      <c r="L1281" s="269">
        <v>85659</v>
      </c>
      <c r="M1281" s="270">
        <v>1</v>
      </c>
      <c r="N1281" s="268">
        <v>1</v>
      </c>
      <c r="O1281" s="271"/>
      <c r="P1281" s="271">
        <v>83639</v>
      </c>
      <c r="Q1281" s="271"/>
      <c r="R1281" s="271"/>
      <c r="S1281" s="271">
        <v>-85659</v>
      </c>
      <c r="T1281" s="271"/>
      <c r="U1281" s="272">
        <v>1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153</v>
      </c>
      <c r="B1282" s="267" t="s">
        <v>1763</v>
      </c>
      <c r="C1282" s="267" t="s">
        <v>94</v>
      </c>
      <c r="D1282" s="267" t="s">
        <v>92</v>
      </c>
      <c r="E1282" s="267" t="s">
        <v>0</v>
      </c>
      <c r="F1282" s="268"/>
      <c r="G1282" s="269"/>
      <c r="H1282" s="269"/>
      <c r="I1282" s="270"/>
      <c r="J1282" s="268">
        <v>1</v>
      </c>
      <c r="K1282" s="269">
        <v>83881</v>
      </c>
      <c r="L1282" s="269">
        <v>85522</v>
      </c>
      <c r="M1282" s="270">
        <v>1</v>
      </c>
      <c r="N1282" s="268">
        <v>1</v>
      </c>
      <c r="O1282" s="271"/>
      <c r="P1282" s="271">
        <v>83881</v>
      </c>
      <c r="Q1282" s="271"/>
      <c r="R1282" s="271"/>
      <c r="S1282" s="271">
        <v>-85522</v>
      </c>
      <c r="T1282" s="271"/>
      <c r="U1282" s="272">
        <v>1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153</v>
      </c>
      <c r="B1283" s="267" t="s">
        <v>1764</v>
      </c>
      <c r="C1283" s="267" t="s">
        <v>94</v>
      </c>
      <c r="D1283" s="267" t="s">
        <v>92</v>
      </c>
      <c r="E1283" s="267" t="s">
        <v>0</v>
      </c>
      <c r="F1283" s="268"/>
      <c r="G1283" s="269"/>
      <c r="H1283" s="269"/>
      <c r="I1283" s="270"/>
      <c r="J1283" s="268">
        <v>1</v>
      </c>
      <c r="K1283" s="269">
        <v>83887</v>
      </c>
      <c r="L1283" s="269">
        <v>85630</v>
      </c>
      <c r="M1283" s="270">
        <v>1</v>
      </c>
      <c r="N1283" s="268">
        <v>1</v>
      </c>
      <c r="O1283" s="271"/>
      <c r="P1283" s="271">
        <v>83887</v>
      </c>
      <c r="Q1283" s="271"/>
      <c r="R1283" s="271"/>
      <c r="S1283" s="271">
        <v>-85630</v>
      </c>
      <c r="T1283" s="271"/>
      <c r="U1283" s="272">
        <v>1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153</v>
      </c>
      <c r="B1284" s="267" t="s">
        <v>1765</v>
      </c>
      <c r="C1284" s="267" t="s">
        <v>94</v>
      </c>
      <c r="D1284" s="267" t="s">
        <v>92</v>
      </c>
      <c r="E1284" s="267" t="s">
        <v>0</v>
      </c>
      <c r="F1284" s="268"/>
      <c r="G1284" s="269"/>
      <c r="H1284" s="269"/>
      <c r="I1284" s="270"/>
      <c r="J1284" s="268">
        <v>1</v>
      </c>
      <c r="K1284" s="269">
        <v>84017</v>
      </c>
      <c r="L1284" s="269">
        <v>85406</v>
      </c>
      <c r="M1284" s="270">
        <v>1</v>
      </c>
      <c r="N1284" s="268">
        <v>1</v>
      </c>
      <c r="O1284" s="271"/>
      <c r="P1284" s="271">
        <v>84017</v>
      </c>
      <c r="Q1284" s="271"/>
      <c r="R1284" s="271"/>
      <c r="S1284" s="271">
        <v>-85406</v>
      </c>
      <c r="T1284" s="271"/>
      <c r="U1284" s="272">
        <v>1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153</v>
      </c>
      <c r="B1285" s="267" t="s">
        <v>1766</v>
      </c>
      <c r="C1285" s="267" t="s">
        <v>94</v>
      </c>
      <c r="D1285" s="267" t="s">
        <v>92</v>
      </c>
      <c r="E1285" s="267" t="s">
        <v>0</v>
      </c>
      <c r="F1285" s="268"/>
      <c r="G1285" s="269"/>
      <c r="H1285" s="269"/>
      <c r="I1285" s="270"/>
      <c r="J1285" s="268">
        <v>1</v>
      </c>
      <c r="K1285" s="269">
        <v>83454</v>
      </c>
      <c r="L1285" s="269">
        <v>86016</v>
      </c>
      <c r="M1285" s="270">
        <v>1</v>
      </c>
      <c r="N1285" s="268">
        <v>1</v>
      </c>
      <c r="O1285" s="271"/>
      <c r="P1285" s="271">
        <v>83454</v>
      </c>
      <c r="Q1285" s="271"/>
      <c r="R1285" s="271"/>
      <c r="S1285" s="271">
        <v>-86016</v>
      </c>
      <c r="T1285" s="271"/>
      <c r="U1285" s="272">
        <v>1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153</v>
      </c>
      <c r="B1286" s="267" t="s">
        <v>1767</v>
      </c>
      <c r="C1286" s="267" t="s">
        <v>94</v>
      </c>
      <c r="D1286" s="267" t="s">
        <v>92</v>
      </c>
      <c r="E1286" s="267" t="s">
        <v>0</v>
      </c>
      <c r="F1286" s="268"/>
      <c r="G1286" s="269"/>
      <c r="H1286" s="269"/>
      <c r="I1286" s="270"/>
      <c r="J1286" s="268">
        <v>1</v>
      </c>
      <c r="K1286" s="269">
        <v>83860</v>
      </c>
      <c r="L1286" s="269">
        <v>85635</v>
      </c>
      <c r="M1286" s="270">
        <v>1</v>
      </c>
      <c r="N1286" s="268">
        <v>1</v>
      </c>
      <c r="O1286" s="271"/>
      <c r="P1286" s="271">
        <v>83860</v>
      </c>
      <c r="Q1286" s="271"/>
      <c r="R1286" s="271"/>
      <c r="S1286" s="271">
        <v>-85635</v>
      </c>
      <c r="T1286" s="271"/>
      <c r="U1286" s="272">
        <v>1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153</v>
      </c>
      <c r="B1287" s="267" t="s">
        <v>1768</v>
      </c>
      <c r="C1287" s="267" t="s">
        <v>94</v>
      </c>
      <c r="D1287" s="267" t="s">
        <v>92</v>
      </c>
      <c r="E1287" s="267" t="s">
        <v>0</v>
      </c>
      <c r="F1287" s="268"/>
      <c r="G1287" s="269"/>
      <c r="H1287" s="269"/>
      <c r="I1287" s="270"/>
      <c r="J1287" s="268">
        <v>1</v>
      </c>
      <c r="K1287" s="269">
        <v>83849</v>
      </c>
      <c r="L1287" s="269">
        <v>85817</v>
      </c>
      <c r="M1287" s="270">
        <v>1</v>
      </c>
      <c r="N1287" s="268">
        <v>1</v>
      </c>
      <c r="O1287" s="271"/>
      <c r="P1287" s="271">
        <v>83849</v>
      </c>
      <c r="Q1287" s="271"/>
      <c r="R1287" s="271"/>
      <c r="S1287" s="271">
        <v>-85817</v>
      </c>
      <c r="T1287" s="271"/>
      <c r="U1287" s="272">
        <v>1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153</v>
      </c>
      <c r="B1288" s="267" t="s">
        <v>1769</v>
      </c>
      <c r="C1288" s="267" t="s">
        <v>94</v>
      </c>
      <c r="D1288" s="267" t="s">
        <v>92</v>
      </c>
      <c r="E1288" s="267" t="s">
        <v>0</v>
      </c>
      <c r="F1288" s="268"/>
      <c r="G1288" s="269"/>
      <c r="H1288" s="269"/>
      <c r="I1288" s="270"/>
      <c r="J1288" s="268">
        <v>1</v>
      </c>
      <c r="K1288" s="269">
        <v>84015</v>
      </c>
      <c r="L1288" s="269">
        <v>85550</v>
      </c>
      <c r="M1288" s="270">
        <v>1</v>
      </c>
      <c r="N1288" s="268">
        <v>1</v>
      </c>
      <c r="O1288" s="271"/>
      <c r="P1288" s="271">
        <v>84015</v>
      </c>
      <c r="Q1288" s="271"/>
      <c r="R1288" s="271"/>
      <c r="S1288" s="271">
        <v>-85550</v>
      </c>
      <c r="T1288" s="271"/>
      <c r="U1288" s="272">
        <v>1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153</v>
      </c>
      <c r="B1289" s="267" t="s">
        <v>1770</v>
      </c>
      <c r="C1289" s="267" t="s">
        <v>94</v>
      </c>
      <c r="D1289" s="267" t="s">
        <v>92</v>
      </c>
      <c r="E1289" s="267" t="s">
        <v>0</v>
      </c>
      <c r="F1289" s="268"/>
      <c r="G1289" s="269"/>
      <c r="H1289" s="269"/>
      <c r="I1289" s="270"/>
      <c r="J1289" s="268">
        <v>1</v>
      </c>
      <c r="K1289" s="269">
        <v>83641</v>
      </c>
      <c r="L1289" s="269">
        <v>86002</v>
      </c>
      <c r="M1289" s="270">
        <v>1</v>
      </c>
      <c r="N1289" s="268">
        <v>1</v>
      </c>
      <c r="O1289" s="271"/>
      <c r="P1289" s="271">
        <v>83641</v>
      </c>
      <c r="Q1289" s="271"/>
      <c r="R1289" s="271"/>
      <c r="S1289" s="271">
        <v>-86002</v>
      </c>
      <c r="T1289" s="271"/>
      <c r="U1289" s="272">
        <v>1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153</v>
      </c>
      <c r="B1290" s="267" t="s">
        <v>1771</v>
      </c>
      <c r="C1290" s="267" t="s">
        <v>94</v>
      </c>
      <c r="D1290" s="267" t="s">
        <v>92</v>
      </c>
      <c r="E1290" s="267" t="s">
        <v>0</v>
      </c>
      <c r="F1290" s="268"/>
      <c r="G1290" s="269"/>
      <c r="H1290" s="269"/>
      <c r="I1290" s="270"/>
      <c r="J1290" s="268">
        <v>1</v>
      </c>
      <c r="K1290" s="269">
        <v>83532</v>
      </c>
      <c r="L1290" s="269">
        <v>85739</v>
      </c>
      <c r="M1290" s="270">
        <v>1</v>
      </c>
      <c r="N1290" s="268">
        <v>1</v>
      </c>
      <c r="O1290" s="271"/>
      <c r="P1290" s="271">
        <v>83532</v>
      </c>
      <c r="Q1290" s="271"/>
      <c r="R1290" s="271"/>
      <c r="S1290" s="271">
        <v>-85739</v>
      </c>
      <c r="T1290" s="271"/>
      <c r="U1290" s="272">
        <v>1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153</v>
      </c>
      <c r="B1291" s="267" t="s">
        <v>1772</v>
      </c>
      <c r="C1291" s="267" t="s">
        <v>94</v>
      </c>
      <c r="D1291" s="267" t="s">
        <v>92</v>
      </c>
      <c r="E1291" s="267" t="s">
        <v>0</v>
      </c>
      <c r="F1291" s="268"/>
      <c r="G1291" s="269"/>
      <c r="H1291" s="269"/>
      <c r="I1291" s="270"/>
      <c r="J1291" s="268">
        <v>1</v>
      </c>
      <c r="K1291" s="269">
        <v>83423</v>
      </c>
      <c r="L1291" s="269">
        <v>86024</v>
      </c>
      <c r="M1291" s="270">
        <v>1</v>
      </c>
      <c r="N1291" s="268">
        <v>1</v>
      </c>
      <c r="O1291" s="271"/>
      <c r="P1291" s="271">
        <v>83423</v>
      </c>
      <c r="Q1291" s="271"/>
      <c r="R1291" s="271"/>
      <c r="S1291" s="271">
        <v>-86024</v>
      </c>
      <c r="T1291" s="271"/>
      <c r="U1291" s="272">
        <v>1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153</v>
      </c>
      <c r="B1292" s="267" t="s">
        <v>1773</v>
      </c>
      <c r="C1292" s="267" t="s">
        <v>94</v>
      </c>
      <c r="D1292" s="267" t="s">
        <v>92</v>
      </c>
      <c r="E1292" s="267" t="s">
        <v>0</v>
      </c>
      <c r="F1292" s="268"/>
      <c r="G1292" s="269"/>
      <c r="H1292" s="269"/>
      <c r="I1292" s="270"/>
      <c r="J1292" s="268">
        <v>1</v>
      </c>
      <c r="K1292" s="269">
        <v>83606</v>
      </c>
      <c r="L1292" s="269">
        <v>85999</v>
      </c>
      <c r="M1292" s="270">
        <v>1</v>
      </c>
      <c r="N1292" s="268">
        <v>1</v>
      </c>
      <c r="O1292" s="271"/>
      <c r="P1292" s="271">
        <v>83606</v>
      </c>
      <c r="Q1292" s="271"/>
      <c r="R1292" s="271"/>
      <c r="S1292" s="271">
        <v>-85999</v>
      </c>
      <c r="T1292" s="271"/>
      <c r="U1292" s="272">
        <v>1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153</v>
      </c>
      <c r="B1293" s="267" t="s">
        <v>1774</v>
      </c>
      <c r="C1293" s="267" t="s">
        <v>94</v>
      </c>
      <c r="D1293" s="267" t="s">
        <v>92</v>
      </c>
      <c r="E1293" s="267" t="s">
        <v>0</v>
      </c>
      <c r="F1293" s="268"/>
      <c r="G1293" s="269"/>
      <c r="H1293" s="269"/>
      <c r="I1293" s="270"/>
      <c r="J1293" s="268">
        <v>1</v>
      </c>
      <c r="K1293" s="269">
        <v>83943</v>
      </c>
      <c r="L1293" s="269">
        <v>85571</v>
      </c>
      <c r="M1293" s="270">
        <v>1</v>
      </c>
      <c r="N1293" s="268">
        <v>1</v>
      </c>
      <c r="O1293" s="271"/>
      <c r="P1293" s="271">
        <v>83943</v>
      </c>
      <c r="Q1293" s="271"/>
      <c r="R1293" s="271"/>
      <c r="S1293" s="271">
        <v>-85571</v>
      </c>
      <c r="T1293" s="271"/>
      <c r="U1293" s="272">
        <v>1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153</v>
      </c>
      <c r="B1294" s="267" t="s">
        <v>1775</v>
      </c>
      <c r="C1294" s="267" t="s">
        <v>94</v>
      </c>
      <c r="D1294" s="267" t="s">
        <v>92</v>
      </c>
      <c r="E1294" s="267" t="s">
        <v>0</v>
      </c>
      <c r="F1294" s="268"/>
      <c r="G1294" s="269"/>
      <c r="H1294" s="269"/>
      <c r="I1294" s="270"/>
      <c r="J1294" s="268">
        <v>1</v>
      </c>
      <c r="K1294" s="269">
        <v>83859</v>
      </c>
      <c r="L1294" s="269">
        <v>85433</v>
      </c>
      <c r="M1294" s="270">
        <v>1</v>
      </c>
      <c r="N1294" s="268">
        <v>1</v>
      </c>
      <c r="O1294" s="271"/>
      <c r="P1294" s="271">
        <v>83859</v>
      </c>
      <c r="Q1294" s="271"/>
      <c r="R1294" s="271"/>
      <c r="S1294" s="271">
        <v>-85433</v>
      </c>
      <c r="T1294" s="271"/>
      <c r="U1294" s="272">
        <v>1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153</v>
      </c>
      <c r="B1295" s="267" t="s">
        <v>1776</v>
      </c>
      <c r="C1295" s="267" t="s">
        <v>94</v>
      </c>
      <c r="D1295" s="267" t="s">
        <v>92</v>
      </c>
      <c r="E1295" s="267" t="s">
        <v>0</v>
      </c>
      <c r="F1295" s="268"/>
      <c r="G1295" s="269"/>
      <c r="H1295" s="269"/>
      <c r="I1295" s="270"/>
      <c r="J1295" s="268">
        <v>1</v>
      </c>
      <c r="K1295" s="269">
        <v>83616</v>
      </c>
      <c r="L1295" s="269">
        <v>85863</v>
      </c>
      <c r="M1295" s="270">
        <v>1</v>
      </c>
      <c r="N1295" s="268">
        <v>1</v>
      </c>
      <c r="O1295" s="271"/>
      <c r="P1295" s="271">
        <v>83616</v>
      </c>
      <c r="Q1295" s="271"/>
      <c r="R1295" s="271"/>
      <c r="S1295" s="271">
        <v>-85863</v>
      </c>
      <c r="T1295" s="271"/>
      <c r="U1295" s="272">
        <v>1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153</v>
      </c>
      <c r="B1296" s="267" t="s">
        <v>1777</v>
      </c>
      <c r="C1296" s="267" t="s">
        <v>94</v>
      </c>
      <c r="D1296" s="267" t="s">
        <v>92</v>
      </c>
      <c r="E1296" s="267" t="s">
        <v>0</v>
      </c>
      <c r="F1296" s="268"/>
      <c r="G1296" s="269"/>
      <c r="H1296" s="269"/>
      <c r="I1296" s="270"/>
      <c r="J1296" s="268">
        <v>1</v>
      </c>
      <c r="K1296" s="269">
        <v>83502</v>
      </c>
      <c r="L1296" s="269">
        <v>85949</v>
      </c>
      <c r="M1296" s="270">
        <v>1</v>
      </c>
      <c r="N1296" s="268">
        <v>1</v>
      </c>
      <c r="O1296" s="271"/>
      <c r="P1296" s="271">
        <v>83502</v>
      </c>
      <c r="Q1296" s="271"/>
      <c r="R1296" s="271"/>
      <c r="S1296" s="271">
        <v>-85949</v>
      </c>
      <c r="T1296" s="271"/>
      <c r="U1296" s="272">
        <v>1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153</v>
      </c>
      <c r="B1297" s="267" t="s">
        <v>1778</v>
      </c>
      <c r="C1297" s="267" t="s">
        <v>94</v>
      </c>
      <c r="D1297" s="267" t="s">
        <v>92</v>
      </c>
      <c r="E1297" s="267" t="s">
        <v>0</v>
      </c>
      <c r="F1297" s="268"/>
      <c r="G1297" s="269"/>
      <c r="H1297" s="269"/>
      <c r="I1297" s="270"/>
      <c r="J1297" s="268">
        <v>1</v>
      </c>
      <c r="K1297" s="269">
        <v>83638</v>
      </c>
      <c r="L1297" s="269">
        <v>85645</v>
      </c>
      <c r="M1297" s="270">
        <v>1</v>
      </c>
      <c r="N1297" s="268">
        <v>1</v>
      </c>
      <c r="O1297" s="271"/>
      <c r="P1297" s="271">
        <v>83638</v>
      </c>
      <c r="Q1297" s="271"/>
      <c r="R1297" s="271"/>
      <c r="S1297" s="271">
        <v>-85645</v>
      </c>
      <c r="T1297" s="271"/>
      <c r="U1297" s="272">
        <v>1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153</v>
      </c>
      <c r="B1298" s="267" t="s">
        <v>1779</v>
      </c>
      <c r="C1298" s="267" t="s">
        <v>94</v>
      </c>
      <c r="D1298" s="267" t="s">
        <v>92</v>
      </c>
      <c r="E1298" s="267" t="s">
        <v>0</v>
      </c>
      <c r="F1298" s="268"/>
      <c r="G1298" s="269"/>
      <c r="H1298" s="269"/>
      <c r="I1298" s="270"/>
      <c r="J1298" s="268">
        <v>1</v>
      </c>
      <c r="K1298" s="269">
        <v>83426</v>
      </c>
      <c r="L1298" s="269">
        <v>85819</v>
      </c>
      <c r="M1298" s="270">
        <v>1</v>
      </c>
      <c r="N1298" s="268">
        <v>1</v>
      </c>
      <c r="O1298" s="271"/>
      <c r="P1298" s="271">
        <v>83426</v>
      </c>
      <c r="Q1298" s="271"/>
      <c r="R1298" s="271"/>
      <c r="S1298" s="271">
        <v>-85819</v>
      </c>
      <c r="T1298" s="271"/>
      <c r="U1298" s="272">
        <v>1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153</v>
      </c>
      <c r="B1299" s="267" t="s">
        <v>1780</v>
      </c>
      <c r="C1299" s="267" t="s">
        <v>94</v>
      </c>
      <c r="D1299" s="267" t="s">
        <v>92</v>
      </c>
      <c r="E1299" s="267" t="s">
        <v>0</v>
      </c>
      <c r="F1299" s="268"/>
      <c r="G1299" s="269"/>
      <c r="H1299" s="269"/>
      <c r="I1299" s="270"/>
      <c r="J1299" s="268">
        <v>1</v>
      </c>
      <c r="K1299" s="269">
        <v>83888</v>
      </c>
      <c r="L1299" s="269">
        <v>85516</v>
      </c>
      <c r="M1299" s="270">
        <v>1</v>
      </c>
      <c r="N1299" s="268">
        <v>1</v>
      </c>
      <c r="O1299" s="271"/>
      <c r="P1299" s="271">
        <v>83888</v>
      </c>
      <c r="Q1299" s="271"/>
      <c r="R1299" s="271"/>
      <c r="S1299" s="271">
        <v>-85516</v>
      </c>
      <c r="T1299" s="271"/>
      <c r="U1299" s="272">
        <v>1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153</v>
      </c>
      <c r="B1300" s="267" t="s">
        <v>1781</v>
      </c>
      <c r="C1300" s="267" t="s">
        <v>94</v>
      </c>
      <c r="D1300" s="267" t="s">
        <v>92</v>
      </c>
      <c r="E1300" s="267" t="s">
        <v>0</v>
      </c>
      <c r="F1300" s="268"/>
      <c r="G1300" s="269"/>
      <c r="H1300" s="269"/>
      <c r="I1300" s="270"/>
      <c r="J1300" s="268">
        <v>1</v>
      </c>
      <c r="K1300" s="269">
        <v>83774</v>
      </c>
      <c r="L1300" s="269">
        <v>85588</v>
      </c>
      <c r="M1300" s="270">
        <v>1</v>
      </c>
      <c r="N1300" s="268">
        <v>1</v>
      </c>
      <c r="O1300" s="271"/>
      <c r="P1300" s="271">
        <v>83774</v>
      </c>
      <c r="Q1300" s="271"/>
      <c r="R1300" s="271"/>
      <c r="S1300" s="271">
        <v>-85588</v>
      </c>
      <c r="T1300" s="271"/>
      <c r="U1300" s="272">
        <v>1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153</v>
      </c>
      <c r="B1301" s="267" t="s">
        <v>1782</v>
      </c>
      <c r="C1301" s="267" t="s">
        <v>94</v>
      </c>
      <c r="D1301" s="267" t="s">
        <v>92</v>
      </c>
      <c r="E1301" s="267" t="s">
        <v>0</v>
      </c>
      <c r="F1301" s="268"/>
      <c r="G1301" s="269"/>
      <c r="H1301" s="269"/>
      <c r="I1301" s="270"/>
      <c r="J1301" s="268">
        <v>1</v>
      </c>
      <c r="K1301" s="269">
        <v>83850</v>
      </c>
      <c r="L1301" s="269">
        <v>85645</v>
      </c>
      <c r="M1301" s="270">
        <v>1</v>
      </c>
      <c r="N1301" s="268">
        <v>1</v>
      </c>
      <c r="O1301" s="271"/>
      <c r="P1301" s="271">
        <v>83850</v>
      </c>
      <c r="Q1301" s="271"/>
      <c r="R1301" s="271"/>
      <c r="S1301" s="271">
        <v>-85645</v>
      </c>
      <c r="T1301" s="271"/>
      <c r="U1301" s="272">
        <v>1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153</v>
      </c>
      <c r="B1302" s="267" t="s">
        <v>1783</v>
      </c>
      <c r="C1302" s="267" t="s">
        <v>94</v>
      </c>
      <c r="D1302" s="267" t="s">
        <v>92</v>
      </c>
      <c r="E1302" s="267" t="s">
        <v>0</v>
      </c>
      <c r="F1302" s="268"/>
      <c r="G1302" s="269"/>
      <c r="H1302" s="269"/>
      <c r="I1302" s="270"/>
      <c r="J1302" s="268">
        <v>1</v>
      </c>
      <c r="K1302" s="269">
        <v>83980</v>
      </c>
      <c r="L1302" s="269">
        <v>85421</v>
      </c>
      <c r="M1302" s="270">
        <v>1</v>
      </c>
      <c r="N1302" s="268">
        <v>1</v>
      </c>
      <c r="O1302" s="271"/>
      <c r="P1302" s="271">
        <v>83980</v>
      </c>
      <c r="Q1302" s="271"/>
      <c r="R1302" s="271"/>
      <c r="S1302" s="271">
        <v>-85421</v>
      </c>
      <c r="T1302" s="271"/>
      <c r="U1302" s="272">
        <v>1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153</v>
      </c>
      <c r="B1303" s="267" t="s">
        <v>1784</v>
      </c>
      <c r="C1303" s="267" t="s">
        <v>94</v>
      </c>
      <c r="D1303" s="267" t="s">
        <v>92</v>
      </c>
      <c r="E1303" s="267" t="s">
        <v>0</v>
      </c>
      <c r="F1303" s="268"/>
      <c r="G1303" s="269"/>
      <c r="H1303" s="269"/>
      <c r="I1303" s="270"/>
      <c r="J1303" s="268">
        <v>1</v>
      </c>
      <c r="K1303" s="269">
        <v>83423</v>
      </c>
      <c r="L1303" s="269">
        <v>86024</v>
      </c>
      <c r="M1303" s="270">
        <v>1</v>
      </c>
      <c r="N1303" s="268">
        <v>1</v>
      </c>
      <c r="O1303" s="271"/>
      <c r="P1303" s="271">
        <v>83423</v>
      </c>
      <c r="Q1303" s="271"/>
      <c r="R1303" s="271"/>
      <c r="S1303" s="271">
        <v>-86024</v>
      </c>
      <c r="T1303" s="271"/>
      <c r="U1303" s="272">
        <v>1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153</v>
      </c>
      <c r="B1304" s="267" t="s">
        <v>1785</v>
      </c>
      <c r="C1304" s="267" t="s">
        <v>94</v>
      </c>
      <c r="D1304" s="267" t="s">
        <v>92</v>
      </c>
      <c r="E1304" s="267" t="s">
        <v>0</v>
      </c>
      <c r="F1304" s="268"/>
      <c r="G1304" s="269"/>
      <c r="H1304" s="269"/>
      <c r="I1304" s="270"/>
      <c r="J1304" s="268">
        <v>1</v>
      </c>
      <c r="K1304" s="269">
        <v>83869</v>
      </c>
      <c r="L1304" s="269">
        <v>85613</v>
      </c>
      <c r="M1304" s="270">
        <v>1</v>
      </c>
      <c r="N1304" s="268">
        <v>1</v>
      </c>
      <c r="O1304" s="271"/>
      <c r="P1304" s="271">
        <v>83869</v>
      </c>
      <c r="Q1304" s="271"/>
      <c r="R1304" s="271"/>
      <c r="S1304" s="271">
        <v>-85613</v>
      </c>
      <c r="T1304" s="271"/>
      <c r="U1304" s="272">
        <v>1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153</v>
      </c>
      <c r="B1305" s="267" t="s">
        <v>1786</v>
      </c>
      <c r="C1305" s="267" t="s">
        <v>94</v>
      </c>
      <c r="D1305" s="267" t="s">
        <v>92</v>
      </c>
      <c r="E1305" s="267" t="s">
        <v>0</v>
      </c>
      <c r="F1305" s="268"/>
      <c r="G1305" s="269"/>
      <c r="H1305" s="269"/>
      <c r="I1305" s="270"/>
      <c r="J1305" s="268">
        <v>1</v>
      </c>
      <c r="K1305" s="269">
        <v>83608</v>
      </c>
      <c r="L1305" s="269">
        <v>85855</v>
      </c>
      <c r="M1305" s="270">
        <v>1</v>
      </c>
      <c r="N1305" s="268">
        <v>1</v>
      </c>
      <c r="O1305" s="271"/>
      <c r="P1305" s="271">
        <v>83608</v>
      </c>
      <c r="Q1305" s="271"/>
      <c r="R1305" s="271"/>
      <c r="S1305" s="271">
        <v>-85855</v>
      </c>
      <c r="T1305" s="271"/>
      <c r="U1305" s="272">
        <v>1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153</v>
      </c>
      <c r="B1306" s="267" t="s">
        <v>1787</v>
      </c>
      <c r="C1306" s="267" t="s">
        <v>94</v>
      </c>
      <c r="D1306" s="267" t="s">
        <v>92</v>
      </c>
      <c r="E1306" s="267" t="s">
        <v>0</v>
      </c>
      <c r="F1306" s="268"/>
      <c r="G1306" s="269"/>
      <c r="H1306" s="269"/>
      <c r="I1306" s="270"/>
      <c r="J1306" s="268">
        <v>1</v>
      </c>
      <c r="K1306" s="269">
        <v>83814</v>
      </c>
      <c r="L1306" s="269">
        <v>85558</v>
      </c>
      <c r="M1306" s="270">
        <v>1</v>
      </c>
      <c r="N1306" s="268">
        <v>1</v>
      </c>
      <c r="O1306" s="271"/>
      <c r="P1306" s="271">
        <v>83814</v>
      </c>
      <c r="Q1306" s="271"/>
      <c r="R1306" s="271"/>
      <c r="S1306" s="271">
        <v>-85558</v>
      </c>
      <c r="T1306" s="271"/>
      <c r="U1306" s="272">
        <v>1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153</v>
      </c>
      <c r="B1307" s="267" t="s">
        <v>1788</v>
      </c>
      <c r="C1307" s="267" t="s">
        <v>94</v>
      </c>
      <c r="D1307" s="267" t="s">
        <v>92</v>
      </c>
      <c r="E1307" s="267" t="s">
        <v>0</v>
      </c>
      <c r="F1307" s="268"/>
      <c r="G1307" s="269"/>
      <c r="H1307" s="269"/>
      <c r="I1307" s="270"/>
      <c r="J1307" s="268">
        <v>1</v>
      </c>
      <c r="K1307" s="269">
        <v>83873</v>
      </c>
      <c r="L1307" s="269">
        <v>85629</v>
      </c>
      <c r="M1307" s="270">
        <v>1</v>
      </c>
      <c r="N1307" s="268">
        <v>1</v>
      </c>
      <c r="O1307" s="271"/>
      <c r="P1307" s="271">
        <v>83873</v>
      </c>
      <c r="Q1307" s="271"/>
      <c r="R1307" s="271"/>
      <c r="S1307" s="271">
        <v>-85629</v>
      </c>
      <c r="T1307" s="271"/>
      <c r="U1307" s="272">
        <v>1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153</v>
      </c>
      <c r="B1308" s="267" t="s">
        <v>1789</v>
      </c>
      <c r="C1308" s="267" t="s">
        <v>94</v>
      </c>
      <c r="D1308" s="267" t="s">
        <v>92</v>
      </c>
      <c r="E1308" s="267" t="s">
        <v>0</v>
      </c>
      <c r="F1308" s="268"/>
      <c r="G1308" s="269"/>
      <c r="H1308" s="269"/>
      <c r="I1308" s="270"/>
      <c r="J1308" s="268">
        <v>1</v>
      </c>
      <c r="K1308" s="269">
        <v>84003</v>
      </c>
      <c r="L1308" s="269">
        <v>85405</v>
      </c>
      <c r="M1308" s="270">
        <v>1</v>
      </c>
      <c r="N1308" s="268">
        <v>1</v>
      </c>
      <c r="O1308" s="271"/>
      <c r="P1308" s="271">
        <v>84003</v>
      </c>
      <c r="Q1308" s="271"/>
      <c r="R1308" s="271"/>
      <c r="S1308" s="271">
        <v>-85405</v>
      </c>
      <c r="T1308" s="271"/>
      <c r="U1308" s="272">
        <v>1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153</v>
      </c>
      <c r="B1309" s="267" t="s">
        <v>1790</v>
      </c>
      <c r="C1309" s="267" t="s">
        <v>94</v>
      </c>
      <c r="D1309" s="267" t="s">
        <v>92</v>
      </c>
      <c r="E1309" s="267" t="s">
        <v>0</v>
      </c>
      <c r="F1309" s="268"/>
      <c r="G1309" s="269"/>
      <c r="H1309" s="269"/>
      <c r="I1309" s="270"/>
      <c r="J1309" s="268">
        <v>1</v>
      </c>
      <c r="K1309" s="269">
        <v>83439</v>
      </c>
      <c r="L1309" s="269">
        <v>86001</v>
      </c>
      <c r="M1309" s="270">
        <v>1</v>
      </c>
      <c r="N1309" s="268">
        <v>1</v>
      </c>
      <c r="O1309" s="271"/>
      <c r="P1309" s="271">
        <v>83439</v>
      </c>
      <c r="Q1309" s="271"/>
      <c r="R1309" s="271"/>
      <c r="S1309" s="271">
        <v>-86001</v>
      </c>
      <c r="T1309" s="271"/>
      <c r="U1309" s="272">
        <v>1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153</v>
      </c>
      <c r="B1310" s="267" t="s">
        <v>1791</v>
      </c>
      <c r="C1310" s="267" t="s">
        <v>94</v>
      </c>
      <c r="D1310" s="267" t="s">
        <v>92</v>
      </c>
      <c r="E1310" s="267" t="s">
        <v>0</v>
      </c>
      <c r="F1310" s="268"/>
      <c r="G1310" s="269"/>
      <c r="H1310" s="269"/>
      <c r="I1310" s="270"/>
      <c r="J1310" s="268">
        <v>1</v>
      </c>
      <c r="K1310" s="269">
        <v>83845</v>
      </c>
      <c r="L1310" s="269">
        <v>85620</v>
      </c>
      <c r="M1310" s="270">
        <v>1</v>
      </c>
      <c r="N1310" s="268">
        <v>1</v>
      </c>
      <c r="O1310" s="271"/>
      <c r="P1310" s="271">
        <v>83845</v>
      </c>
      <c r="Q1310" s="271"/>
      <c r="R1310" s="271"/>
      <c r="S1310" s="271">
        <v>-85620</v>
      </c>
      <c r="T1310" s="271"/>
      <c r="U1310" s="272">
        <v>1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153</v>
      </c>
      <c r="B1311" s="267" t="s">
        <v>1792</v>
      </c>
      <c r="C1311" s="267" t="s">
        <v>94</v>
      </c>
      <c r="D1311" s="267" t="s">
        <v>92</v>
      </c>
      <c r="E1311" s="267" t="s">
        <v>0</v>
      </c>
      <c r="F1311" s="268"/>
      <c r="G1311" s="269"/>
      <c r="H1311" s="269"/>
      <c r="I1311" s="270"/>
      <c r="J1311" s="268">
        <v>1</v>
      </c>
      <c r="K1311" s="269">
        <v>83624</v>
      </c>
      <c r="L1311" s="269">
        <v>85832</v>
      </c>
      <c r="M1311" s="270">
        <v>1</v>
      </c>
      <c r="N1311" s="268">
        <v>1</v>
      </c>
      <c r="O1311" s="271"/>
      <c r="P1311" s="271">
        <v>83624</v>
      </c>
      <c r="Q1311" s="271"/>
      <c r="R1311" s="271"/>
      <c r="S1311" s="271">
        <v>-85832</v>
      </c>
      <c r="T1311" s="271"/>
      <c r="U1311" s="272">
        <v>1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153</v>
      </c>
      <c r="B1312" s="267" t="s">
        <v>1793</v>
      </c>
      <c r="C1312" s="267" t="s">
        <v>94</v>
      </c>
      <c r="D1312" s="267" t="s">
        <v>92</v>
      </c>
      <c r="E1312" s="267" t="s">
        <v>0</v>
      </c>
      <c r="F1312" s="268"/>
      <c r="G1312" s="269"/>
      <c r="H1312" s="269"/>
      <c r="I1312" s="270"/>
      <c r="J1312" s="268">
        <v>1</v>
      </c>
      <c r="K1312" s="269">
        <v>83790</v>
      </c>
      <c r="L1312" s="269">
        <v>85565</v>
      </c>
      <c r="M1312" s="270">
        <v>1</v>
      </c>
      <c r="N1312" s="268">
        <v>1</v>
      </c>
      <c r="O1312" s="271"/>
      <c r="P1312" s="271">
        <v>83790</v>
      </c>
      <c r="Q1312" s="271"/>
      <c r="R1312" s="271"/>
      <c r="S1312" s="271">
        <v>-85565</v>
      </c>
      <c r="T1312" s="271"/>
      <c r="U1312" s="272">
        <v>1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153</v>
      </c>
      <c r="B1313" s="267" t="s">
        <v>1794</v>
      </c>
      <c r="C1313" s="267" t="s">
        <v>94</v>
      </c>
      <c r="D1313" s="267" t="s">
        <v>92</v>
      </c>
      <c r="E1313" s="267" t="s">
        <v>0</v>
      </c>
      <c r="F1313" s="268"/>
      <c r="G1313" s="269"/>
      <c r="H1313" s="269"/>
      <c r="I1313" s="270"/>
      <c r="J1313" s="268">
        <v>1</v>
      </c>
      <c r="K1313" s="269">
        <v>83417</v>
      </c>
      <c r="L1313" s="269">
        <v>86031</v>
      </c>
      <c r="M1313" s="270">
        <v>1</v>
      </c>
      <c r="N1313" s="268">
        <v>1</v>
      </c>
      <c r="O1313" s="271"/>
      <c r="P1313" s="271">
        <v>83417</v>
      </c>
      <c r="Q1313" s="271"/>
      <c r="R1313" s="271"/>
      <c r="S1313" s="271">
        <v>-86031</v>
      </c>
      <c r="T1313" s="271"/>
      <c r="U1313" s="272">
        <v>1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153</v>
      </c>
      <c r="B1314" s="267" t="s">
        <v>1795</v>
      </c>
      <c r="C1314" s="267" t="s">
        <v>94</v>
      </c>
      <c r="D1314" s="267" t="s">
        <v>92</v>
      </c>
      <c r="E1314" s="267" t="s">
        <v>0</v>
      </c>
      <c r="F1314" s="268"/>
      <c r="G1314" s="269"/>
      <c r="H1314" s="269"/>
      <c r="I1314" s="270"/>
      <c r="J1314" s="268">
        <v>1</v>
      </c>
      <c r="K1314" s="269">
        <v>83436</v>
      </c>
      <c r="L1314" s="269">
        <v>85999</v>
      </c>
      <c r="M1314" s="270">
        <v>1</v>
      </c>
      <c r="N1314" s="268">
        <v>1</v>
      </c>
      <c r="O1314" s="271"/>
      <c r="P1314" s="271">
        <v>83436</v>
      </c>
      <c r="Q1314" s="271"/>
      <c r="R1314" s="271"/>
      <c r="S1314" s="271">
        <v>-85999</v>
      </c>
      <c r="T1314" s="271"/>
      <c r="U1314" s="272">
        <v>1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153</v>
      </c>
      <c r="B1315" s="267" t="s">
        <v>1796</v>
      </c>
      <c r="C1315" s="267" t="s">
        <v>94</v>
      </c>
      <c r="D1315" s="267" t="s">
        <v>92</v>
      </c>
      <c r="E1315" s="267" t="s">
        <v>0</v>
      </c>
      <c r="F1315" s="268"/>
      <c r="G1315" s="269"/>
      <c r="H1315" s="269"/>
      <c r="I1315" s="270"/>
      <c r="J1315" s="268">
        <v>1</v>
      </c>
      <c r="K1315" s="269">
        <v>83424</v>
      </c>
      <c r="L1315" s="269">
        <v>86038</v>
      </c>
      <c r="M1315" s="270">
        <v>1</v>
      </c>
      <c r="N1315" s="268">
        <v>1</v>
      </c>
      <c r="O1315" s="271"/>
      <c r="P1315" s="271">
        <v>83424</v>
      </c>
      <c r="Q1315" s="271"/>
      <c r="R1315" s="271"/>
      <c r="S1315" s="271">
        <v>-86038</v>
      </c>
      <c r="T1315" s="271"/>
      <c r="U1315" s="272">
        <v>1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153</v>
      </c>
      <c r="B1316" s="267" t="s">
        <v>1797</v>
      </c>
      <c r="C1316" s="267" t="s">
        <v>94</v>
      </c>
      <c r="D1316" s="267" t="s">
        <v>92</v>
      </c>
      <c r="E1316" s="267" t="s">
        <v>0</v>
      </c>
      <c r="F1316" s="268"/>
      <c r="G1316" s="269"/>
      <c r="H1316" s="269"/>
      <c r="I1316" s="270"/>
      <c r="J1316" s="268">
        <v>1</v>
      </c>
      <c r="K1316" s="269">
        <v>83396</v>
      </c>
      <c r="L1316" s="269">
        <v>86029</v>
      </c>
      <c r="M1316" s="270">
        <v>1</v>
      </c>
      <c r="N1316" s="268">
        <v>1</v>
      </c>
      <c r="O1316" s="271"/>
      <c r="P1316" s="271">
        <v>83396</v>
      </c>
      <c r="Q1316" s="271"/>
      <c r="R1316" s="271"/>
      <c r="S1316" s="271">
        <v>-86029</v>
      </c>
      <c r="T1316" s="271"/>
      <c r="U1316" s="272">
        <v>1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153</v>
      </c>
      <c r="B1317" s="267" t="s">
        <v>1798</v>
      </c>
      <c r="C1317" s="267" t="s">
        <v>94</v>
      </c>
      <c r="D1317" s="267" t="s">
        <v>92</v>
      </c>
      <c r="E1317" s="267" t="s">
        <v>0</v>
      </c>
      <c r="F1317" s="268"/>
      <c r="G1317" s="269"/>
      <c r="H1317" s="269"/>
      <c r="I1317" s="270"/>
      <c r="J1317" s="268">
        <v>1</v>
      </c>
      <c r="K1317" s="269">
        <v>83863</v>
      </c>
      <c r="L1317" s="269">
        <v>85620</v>
      </c>
      <c r="M1317" s="270">
        <v>1</v>
      </c>
      <c r="N1317" s="268">
        <v>1</v>
      </c>
      <c r="O1317" s="271"/>
      <c r="P1317" s="271">
        <v>83863</v>
      </c>
      <c r="Q1317" s="271"/>
      <c r="R1317" s="271"/>
      <c r="S1317" s="271">
        <v>-85620</v>
      </c>
      <c r="T1317" s="271"/>
      <c r="U1317" s="272">
        <v>1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153</v>
      </c>
      <c r="B1318" s="267" t="s">
        <v>1799</v>
      </c>
      <c r="C1318" s="267" t="s">
        <v>94</v>
      </c>
      <c r="D1318" s="267" t="s">
        <v>92</v>
      </c>
      <c r="E1318" s="267" t="s">
        <v>0</v>
      </c>
      <c r="F1318" s="268"/>
      <c r="G1318" s="269"/>
      <c r="H1318" s="269"/>
      <c r="I1318" s="270"/>
      <c r="J1318" s="268">
        <v>1</v>
      </c>
      <c r="K1318" s="269">
        <v>83830</v>
      </c>
      <c r="L1318" s="269">
        <v>85657</v>
      </c>
      <c r="M1318" s="270">
        <v>1</v>
      </c>
      <c r="N1318" s="268">
        <v>1</v>
      </c>
      <c r="O1318" s="271"/>
      <c r="P1318" s="271">
        <v>83830</v>
      </c>
      <c r="Q1318" s="271"/>
      <c r="R1318" s="271"/>
      <c r="S1318" s="271">
        <v>-85657</v>
      </c>
      <c r="T1318" s="271"/>
      <c r="U1318" s="272">
        <v>1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153</v>
      </c>
      <c r="B1319" s="267" t="s">
        <v>1800</v>
      </c>
      <c r="C1319" s="267" t="s">
        <v>94</v>
      </c>
      <c r="D1319" s="267" t="s">
        <v>92</v>
      </c>
      <c r="E1319" s="267" t="s">
        <v>0</v>
      </c>
      <c r="F1319" s="268"/>
      <c r="G1319" s="269"/>
      <c r="H1319" s="269"/>
      <c r="I1319" s="270"/>
      <c r="J1319" s="268">
        <v>1</v>
      </c>
      <c r="K1319" s="269">
        <v>83812</v>
      </c>
      <c r="L1319" s="269">
        <v>85832</v>
      </c>
      <c r="M1319" s="270">
        <v>1</v>
      </c>
      <c r="N1319" s="268">
        <v>1</v>
      </c>
      <c r="O1319" s="271"/>
      <c r="P1319" s="271">
        <v>83812</v>
      </c>
      <c r="Q1319" s="271"/>
      <c r="R1319" s="271"/>
      <c r="S1319" s="271">
        <v>-85832</v>
      </c>
      <c r="T1319" s="271"/>
      <c r="U1319" s="272">
        <v>1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153</v>
      </c>
      <c r="B1320" s="267" t="s">
        <v>1801</v>
      </c>
      <c r="C1320" s="267" t="s">
        <v>94</v>
      </c>
      <c r="D1320" s="267" t="s">
        <v>92</v>
      </c>
      <c r="E1320" s="267" t="s">
        <v>0</v>
      </c>
      <c r="F1320" s="268"/>
      <c r="G1320" s="269"/>
      <c r="H1320" s="269"/>
      <c r="I1320" s="270"/>
      <c r="J1320" s="268">
        <v>1</v>
      </c>
      <c r="K1320" s="269">
        <v>83646</v>
      </c>
      <c r="L1320" s="269">
        <v>85969</v>
      </c>
      <c r="M1320" s="270">
        <v>1</v>
      </c>
      <c r="N1320" s="268">
        <v>1</v>
      </c>
      <c r="O1320" s="271"/>
      <c r="P1320" s="271">
        <v>83646</v>
      </c>
      <c r="Q1320" s="271"/>
      <c r="R1320" s="271"/>
      <c r="S1320" s="271">
        <v>-85969</v>
      </c>
      <c r="T1320" s="271"/>
      <c r="U1320" s="272">
        <v>1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153</v>
      </c>
      <c r="B1321" s="267" t="s">
        <v>1802</v>
      </c>
      <c r="C1321" s="267" t="s">
        <v>94</v>
      </c>
      <c r="D1321" s="267" t="s">
        <v>92</v>
      </c>
      <c r="E1321" s="267" t="s">
        <v>0</v>
      </c>
      <c r="F1321" s="268"/>
      <c r="G1321" s="269"/>
      <c r="H1321" s="269"/>
      <c r="I1321" s="270"/>
      <c r="J1321" s="268">
        <v>1</v>
      </c>
      <c r="K1321" s="269">
        <v>83819</v>
      </c>
      <c r="L1321" s="269">
        <v>85839</v>
      </c>
      <c r="M1321" s="270">
        <v>1</v>
      </c>
      <c r="N1321" s="268">
        <v>1</v>
      </c>
      <c r="O1321" s="271"/>
      <c r="P1321" s="271">
        <v>83819</v>
      </c>
      <c r="Q1321" s="271"/>
      <c r="R1321" s="271"/>
      <c r="S1321" s="271">
        <v>-85839</v>
      </c>
      <c r="T1321" s="271"/>
      <c r="U1321" s="272">
        <v>1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153</v>
      </c>
      <c r="B1322" s="267" t="s">
        <v>1803</v>
      </c>
      <c r="C1322" s="267" t="s">
        <v>94</v>
      </c>
      <c r="D1322" s="267" t="s">
        <v>92</v>
      </c>
      <c r="E1322" s="267" t="s">
        <v>0</v>
      </c>
      <c r="F1322" s="268"/>
      <c r="G1322" s="269"/>
      <c r="H1322" s="269"/>
      <c r="I1322" s="270"/>
      <c r="J1322" s="268">
        <v>1</v>
      </c>
      <c r="K1322" s="269">
        <v>83606</v>
      </c>
      <c r="L1322" s="269">
        <v>85999</v>
      </c>
      <c r="M1322" s="270">
        <v>1</v>
      </c>
      <c r="N1322" s="268">
        <v>1</v>
      </c>
      <c r="O1322" s="271"/>
      <c r="P1322" s="271">
        <v>83606</v>
      </c>
      <c r="Q1322" s="271"/>
      <c r="R1322" s="271"/>
      <c r="S1322" s="271">
        <v>-85999</v>
      </c>
      <c r="T1322" s="271"/>
      <c r="U1322" s="272">
        <v>1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153</v>
      </c>
      <c r="B1323" s="267" t="s">
        <v>1804</v>
      </c>
      <c r="C1323" s="267" t="s">
        <v>94</v>
      </c>
      <c r="D1323" s="267" t="s">
        <v>92</v>
      </c>
      <c r="E1323" s="267" t="s">
        <v>0</v>
      </c>
      <c r="F1323" s="268"/>
      <c r="G1323" s="269"/>
      <c r="H1323" s="269"/>
      <c r="I1323" s="270"/>
      <c r="J1323" s="268">
        <v>1</v>
      </c>
      <c r="K1323" s="269">
        <v>84018</v>
      </c>
      <c r="L1323" s="269">
        <v>85535</v>
      </c>
      <c r="M1323" s="270">
        <v>1</v>
      </c>
      <c r="N1323" s="268">
        <v>1</v>
      </c>
      <c r="O1323" s="271"/>
      <c r="P1323" s="271">
        <v>84018</v>
      </c>
      <c r="Q1323" s="271"/>
      <c r="R1323" s="271"/>
      <c r="S1323" s="271">
        <v>-85535</v>
      </c>
      <c r="T1323" s="271"/>
      <c r="U1323" s="272">
        <v>1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153</v>
      </c>
      <c r="B1324" s="267" t="s">
        <v>1805</v>
      </c>
      <c r="C1324" s="267" t="s">
        <v>94</v>
      </c>
      <c r="D1324" s="267" t="s">
        <v>92</v>
      </c>
      <c r="E1324" s="267" t="s">
        <v>0</v>
      </c>
      <c r="F1324" s="268"/>
      <c r="G1324" s="269"/>
      <c r="H1324" s="269"/>
      <c r="I1324" s="270"/>
      <c r="J1324" s="268">
        <v>1</v>
      </c>
      <c r="K1324" s="269">
        <v>83985</v>
      </c>
      <c r="L1324" s="269">
        <v>85572</v>
      </c>
      <c r="M1324" s="270">
        <v>1</v>
      </c>
      <c r="N1324" s="268">
        <v>1</v>
      </c>
      <c r="O1324" s="271"/>
      <c r="P1324" s="271">
        <v>83985</v>
      </c>
      <c r="Q1324" s="271"/>
      <c r="R1324" s="271"/>
      <c r="S1324" s="271">
        <v>-85572</v>
      </c>
      <c r="T1324" s="271"/>
      <c r="U1324" s="272">
        <v>1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153</v>
      </c>
      <c r="B1325" s="267" t="s">
        <v>1806</v>
      </c>
      <c r="C1325" s="267" t="s">
        <v>94</v>
      </c>
      <c r="D1325" s="267" t="s">
        <v>92</v>
      </c>
      <c r="E1325" s="267" t="s">
        <v>0</v>
      </c>
      <c r="F1325" s="268"/>
      <c r="G1325" s="269"/>
      <c r="H1325" s="269"/>
      <c r="I1325" s="270"/>
      <c r="J1325" s="268">
        <v>1</v>
      </c>
      <c r="K1325" s="269">
        <v>83701</v>
      </c>
      <c r="L1325" s="269">
        <v>85942</v>
      </c>
      <c r="M1325" s="270">
        <v>1</v>
      </c>
      <c r="N1325" s="268">
        <v>1</v>
      </c>
      <c r="O1325" s="271"/>
      <c r="P1325" s="271">
        <v>83701</v>
      </c>
      <c r="Q1325" s="271"/>
      <c r="R1325" s="271"/>
      <c r="S1325" s="271">
        <v>-85942</v>
      </c>
      <c r="T1325" s="271"/>
      <c r="U1325" s="272">
        <v>1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153</v>
      </c>
      <c r="B1326" s="267" t="s">
        <v>1807</v>
      </c>
      <c r="C1326" s="267" t="s">
        <v>94</v>
      </c>
      <c r="D1326" s="267" t="s">
        <v>92</v>
      </c>
      <c r="E1326" s="267" t="s">
        <v>0</v>
      </c>
      <c r="F1326" s="268"/>
      <c r="G1326" s="269"/>
      <c r="H1326" s="269"/>
      <c r="I1326" s="270"/>
      <c r="J1326" s="268">
        <v>1</v>
      </c>
      <c r="K1326" s="269">
        <v>83569</v>
      </c>
      <c r="L1326" s="269">
        <v>85695</v>
      </c>
      <c r="M1326" s="270">
        <v>1</v>
      </c>
      <c r="N1326" s="268">
        <v>1</v>
      </c>
      <c r="O1326" s="271"/>
      <c r="P1326" s="271">
        <v>83569</v>
      </c>
      <c r="Q1326" s="271"/>
      <c r="R1326" s="271"/>
      <c r="S1326" s="271">
        <v>-85695</v>
      </c>
      <c r="T1326" s="271"/>
      <c r="U1326" s="272">
        <v>1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153</v>
      </c>
      <c r="B1327" s="267" t="s">
        <v>1808</v>
      </c>
      <c r="C1327" s="267" t="s">
        <v>94</v>
      </c>
      <c r="D1327" s="267" t="s">
        <v>92</v>
      </c>
      <c r="E1327" s="267" t="s">
        <v>0</v>
      </c>
      <c r="F1327" s="268"/>
      <c r="G1327" s="269"/>
      <c r="H1327" s="269"/>
      <c r="I1327" s="270"/>
      <c r="J1327" s="268">
        <v>1</v>
      </c>
      <c r="K1327" s="269">
        <v>83490</v>
      </c>
      <c r="L1327" s="269">
        <v>85958</v>
      </c>
      <c r="M1327" s="270">
        <v>1</v>
      </c>
      <c r="N1327" s="268">
        <v>1</v>
      </c>
      <c r="O1327" s="271"/>
      <c r="P1327" s="271">
        <v>83490</v>
      </c>
      <c r="Q1327" s="271"/>
      <c r="R1327" s="271"/>
      <c r="S1327" s="271">
        <v>-85958</v>
      </c>
      <c r="T1327" s="271"/>
      <c r="U1327" s="272">
        <v>1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153</v>
      </c>
      <c r="B1328" s="267" t="s">
        <v>1809</v>
      </c>
      <c r="C1328" s="267" t="s">
        <v>94</v>
      </c>
      <c r="D1328" s="267" t="s">
        <v>92</v>
      </c>
      <c r="E1328" s="267" t="s">
        <v>0</v>
      </c>
      <c r="F1328" s="268"/>
      <c r="G1328" s="269"/>
      <c r="H1328" s="269"/>
      <c r="I1328" s="270"/>
      <c r="J1328" s="268">
        <v>1</v>
      </c>
      <c r="K1328" s="269">
        <v>83697</v>
      </c>
      <c r="L1328" s="269">
        <v>85926</v>
      </c>
      <c r="M1328" s="270">
        <v>1</v>
      </c>
      <c r="N1328" s="268">
        <v>1</v>
      </c>
      <c r="O1328" s="271"/>
      <c r="P1328" s="271">
        <v>83697</v>
      </c>
      <c r="Q1328" s="271"/>
      <c r="R1328" s="271"/>
      <c r="S1328" s="271">
        <v>-85926</v>
      </c>
      <c r="T1328" s="271"/>
      <c r="U1328" s="272">
        <v>1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153</v>
      </c>
      <c r="B1329" s="267" t="s">
        <v>1810</v>
      </c>
      <c r="C1329" s="267" t="s">
        <v>94</v>
      </c>
      <c r="D1329" s="267" t="s">
        <v>92</v>
      </c>
      <c r="E1329" s="267" t="s">
        <v>0</v>
      </c>
      <c r="F1329" s="268"/>
      <c r="G1329" s="269"/>
      <c r="H1329" s="269"/>
      <c r="I1329" s="270"/>
      <c r="J1329" s="268">
        <v>1</v>
      </c>
      <c r="K1329" s="269">
        <v>83576</v>
      </c>
      <c r="L1329" s="269">
        <v>85890</v>
      </c>
      <c r="M1329" s="270">
        <v>1</v>
      </c>
      <c r="N1329" s="268">
        <v>1</v>
      </c>
      <c r="O1329" s="271"/>
      <c r="P1329" s="271">
        <v>83576</v>
      </c>
      <c r="Q1329" s="271"/>
      <c r="R1329" s="271"/>
      <c r="S1329" s="271">
        <v>-85890</v>
      </c>
      <c r="T1329" s="271"/>
      <c r="U1329" s="272">
        <v>1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153</v>
      </c>
      <c r="B1330" s="267" t="s">
        <v>1811</v>
      </c>
      <c r="C1330" s="267" t="s">
        <v>94</v>
      </c>
      <c r="D1330" s="267" t="s">
        <v>92</v>
      </c>
      <c r="E1330" s="267" t="s">
        <v>0</v>
      </c>
      <c r="F1330" s="268"/>
      <c r="G1330" s="269"/>
      <c r="H1330" s="269"/>
      <c r="I1330" s="270"/>
      <c r="J1330" s="268">
        <v>1</v>
      </c>
      <c r="K1330" s="269">
        <v>83525</v>
      </c>
      <c r="L1330" s="269">
        <v>85715</v>
      </c>
      <c r="M1330" s="270">
        <v>1</v>
      </c>
      <c r="N1330" s="268">
        <v>1</v>
      </c>
      <c r="O1330" s="271"/>
      <c r="P1330" s="271">
        <v>83525</v>
      </c>
      <c r="Q1330" s="271"/>
      <c r="R1330" s="271"/>
      <c r="S1330" s="271">
        <v>-85715</v>
      </c>
      <c r="T1330" s="271"/>
      <c r="U1330" s="272">
        <v>1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153</v>
      </c>
      <c r="B1331" s="267" t="s">
        <v>1812</v>
      </c>
      <c r="C1331" s="267" t="s">
        <v>94</v>
      </c>
      <c r="D1331" s="267" t="s">
        <v>92</v>
      </c>
      <c r="E1331" s="267" t="s">
        <v>0</v>
      </c>
      <c r="F1331" s="268"/>
      <c r="G1331" s="269"/>
      <c r="H1331" s="269"/>
      <c r="I1331" s="270"/>
      <c r="J1331" s="268">
        <v>1</v>
      </c>
      <c r="K1331" s="269">
        <v>83685</v>
      </c>
      <c r="L1331" s="269">
        <v>85965</v>
      </c>
      <c r="M1331" s="270">
        <v>1</v>
      </c>
      <c r="N1331" s="268">
        <v>1</v>
      </c>
      <c r="O1331" s="271"/>
      <c r="P1331" s="271">
        <v>83685</v>
      </c>
      <c r="Q1331" s="271"/>
      <c r="R1331" s="271"/>
      <c r="S1331" s="271">
        <v>-85965</v>
      </c>
      <c r="T1331" s="271"/>
      <c r="U1331" s="272">
        <v>1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153</v>
      </c>
      <c r="B1332" s="267" t="s">
        <v>1813</v>
      </c>
      <c r="C1332" s="267" t="s">
        <v>94</v>
      </c>
      <c r="D1332" s="267" t="s">
        <v>92</v>
      </c>
      <c r="E1332" s="267" t="s">
        <v>0</v>
      </c>
      <c r="F1332" s="268"/>
      <c r="G1332" s="269"/>
      <c r="H1332" s="269"/>
      <c r="I1332" s="270"/>
      <c r="J1332" s="268">
        <v>1</v>
      </c>
      <c r="K1332" s="269">
        <v>83576</v>
      </c>
      <c r="L1332" s="269">
        <v>85702</v>
      </c>
      <c r="M1332" s="270">
        <v>1</v>
      </c>
      <c r="N1332" s="268">
        <v>1</v>
      </c>
      <c r="O1332" s="271"/>
      <c r="P1332" s="271">
        <v>83576</v>
      </c>
      <c r="Q1332" s="271"/>
      <c r="R1332" s="271"/>
      <c r="S1332" s="271">
        <v>-85702</v>
      </c>
      <c r="T1332" s="271"/>
      <c r="U1332" s="272">
        <v>1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153</v>
      </c>
      <c r="B1333" s="267" t="s">
        <v>1814</v>
      </c>
      <c r="C1333" s="267" t="s">
        <v>94</v>
      </c>
      <c r="D1333" s="267" t="s">
        <v>92</v>
      </c>
      <c r="E1333" s="267" t="s">
        <v>0</v>
      </c>
      <c r="F1333" s="268"/>
      <c r="G1333" s="269"/>
      <c r="H1333" s="269"/>
      <c r="I1333" s="270"/>
      <c r="J1333" s="268">
        <v>1</v>
      </c>
      <c r="K1333" s="269">
        <v>83497</v>
      </c>
      <c r="L1333" s="269">
        <v>85965</v>
      </c>
      <c r="M1333" s="270">
        <v>1</v>
      </c>
      <c r="N1333" s="268">
        <v>1</v>
      </c>
      <c r="O1333" s="271"/>
      <c r="P1333" s="271">
        <v>83497</v>
      </c>
      <c r="Q1333" s="271"/>
      <c r="R1333" s="271"/>
      <c r="S1333" s="271">
        <v>-85965</v>
      </c>
      <c r="T1333" s="271"/>
      <c r="U1333" s="272">
        <v>1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153</v>
      </c>
      <c r="B1334" s="267" t="s">
        <v>1815</v>
      </c>
      <c r="C1334" s="267" t="s">
        <v>94</v>
      </c>
      <c r="D1334" s="267" t="s">
        <v>92</v>
      </c>
      <c r="E1334" s="267" t="s">
        <v>0</v>
      </c>
      <c r="F1334" s="268"/>
      <c r="G1334" s="269"/>
      <c r="H1334" s="269"/>
      <c r="I1334" s="270"/>
      <c r="J1334" s="268">
        <v>1</v>
      </c>
      <c r="K1334" s="269">
        <v>83680</v>
      </c>
      <c r="L1334" s="269">
        <v>85940</v>
      </c>
      <c r="M1334" s="270">
        <v>1</v>
      </c>
      <c r="N1334" s="268">
        <v>1</v>
      </c>
      <c r="O1334" s="271"/>
      <c r="P1334" s="271">
        <v>83680</v>
      </c>
      <c r="Q1334" s="271"/>
      <c r="R1334" s="271"/>
      <c r="S1334" s="271">
        <v>-85940</v>
      </c>
      <c r="T1334" s="271"/>
      <c r="U1334" s="272">
        <v>1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153</v>
      </c>
      <c r="B1335" s="267" t="s">
        <v>1816</v>
      </c>
      <c r="C1335" s="267" t="s">
        <v>94</v>
      </c>
      <c r="D1335" s="267" t="s">
        <v>92</v>
      </c>
      <c r="E1335" s="267" t="s">
        <v>0</v>
      </c>
      <c r="F1335" s="268"/>
      <c r="G1335" s="269"/>
      <c r="H1335" s="269"/>
      <c r="I1335" s="270"/>
      <c r="J1335" s="268">
        <v>1</v>
      </c>
      <c r="K1335" s="269">
        <v>83553</v>
      </c>
      <c r="L1335" s="269">
        <v>85906</v>
      </c>
      <c r="M1335" s="270">
        <v>1</v>
      </c>
      <c r="N1335" s="268">
        <v>1</v>
      </c>
      <c r="O1335" s="271"/>
      <c r="P1335" s="271">
        <v>83553</v>
      </c>
      <c r="Q1335" s="271"/>
      <c r="R1335" s="271"/>
      <c r="S1335" s="271">
        <v>-85906</v>
      </c>
      <c r="T1335" s="271"/>
      <c r="U1335" s="272">
        <v>1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153</v>
      </c>
      <c r="B1336" s="267" t="s">
        <v>1817</v>
      </c>
      <c r="C1336" s="267" t="s">
        <v>94</v>
      </c>
      <c r="D1336" s="267" t="s">
        <v>92</v>
      </c>
      <c r="E1336" s="267" t="s">
        <v>0</v>
      </c>
      <c r="F1336" s="268"/>
      <c r="G1336" s="269"/>
      <c r="H1336" s="269"/>
      <c r="I1336" s="270"/>
      <c r="J1336" s="268">
        <v>1</v>
      </c>
      <c r="K1336" s="269">
        <v>83469</v>
      </c>
      <c r="L1336" s="269">
        <v>85768</v>
      </c>
      <c r="M1336" s="270">
        <v>1</v>
      </c>
      <c r="N1336" s="268">
        <v>1</v>
      </c>
      <c r="O1336" s="271"/>
      <c r="P1336" s="271">
        <v>83469</v>
      </c>
      <c r="Q1336" s="271"/>
      <c r="R1336" s="271"/>
      <c r="S1336" s="271">
        <v>-85768</v>
      </c>
      <c r="T1336" s="271"/>
      <c r="U1336" s="272">
        <v>1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153</v>
      </c>
      <c r="B1337" s="267" t="s">
        <v>1818</v>
      </c>
      <c r="C1337" s="267" t="s">
        <v>94</v>
      </c>
      <c r="D1337" s="267" t="s">
        <v>92</v>
      </c>
      <c r="E1337" s="267" t="s">
        <v>0</v>
      </c>
      <c r="F1337" s="268"/>
      <c r="G1337" s="269"/>
      <c r="H1337" s="269"/>
      <c r="I1337" s="270"/>
      <c r="J1337" s="268">
        <v>1</v>
      </c>
      <c r="K1337" s="269">
        <v>83460</v>
      </c>
      <c r="L1337" s="269">
        <v>85980</v>
      </c>
      <c r="M1337" s="270">
        <v>1</v>
      </c>
      <c r="N1337" s="268">
        <v>1</v>
      </c>
      <c r="O1337" s="271"/>
      <c r="P1337" s="271">
        <v>83460</v>
      </c>
      <c r="Q1337" s="271"/>
      <c r="R1337" s="271"/>
      <c r="S1337" s="271">
        <v>-85980</v>
      </c>
      <c r="T1337" s="271"/>
      <c r="U1337" s="272">
        <v>1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153</v>
      </c>
      <c r="B1338" s="267" t="s">
        <v>1819</v>
      </c>
      <c r="C1338" s="267" t="s">
        <v>94</v>
      </c>
      <c r="D1338" s="267" t="s">
        <v>92</v>
      </c>
      <c r="E1338" s="267" t="s">
        <v>0</v>
      </c>
      <c r="F1338" s="268"/>
      <c r="G1338" s="269"/>
      <c r="H1338" s="269"/>
      <c r="I1338" s="270"/>
      <c r="J1338" s="268">
        <v>1</v>
      </c>
      <c r="K1338" s="269">
        <v>83479</v>
      </c>
      <c r="L1338" s="269">
        <v>85948</v>
      </c>
      <c r="M1338" s="270">
        <v>1</v>
      </c>
      <c r="N1338" s="268">
        <v>1</v>
      </c>
      <c r="O1338" s="271"/>
      <c r="P1338" s="271">
        <v>83479</v>
      </c>
      <c r="Q1338" s="271"/>
      <c r="R1338" s="271"/>
      <c r="S1338" s="271">
        <v>-85948</v>
      </c>
      <c r="T1338" s="271"/>
      <c r="U1338" s="272">
        <v>1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153</v>
      </c>
      <c r="B1339" s="267" t="s">
        <v>1820</v>
      </c>
      <c r="C1339" s="267" t="s">
        <v>94</v>
      </c>
      <c r="D1339" s="267" t="s">
        <v>92</v>
      </c>
      <c r="E1339" s="267" t="s">
        <v>0</v>
      </c>
      <c r="F1339" s="268"/>
      <c r="G1339" s="269"/>
      <c r="H1339" s="269"/>
      <c r="I1339" s="270"/>
      <c r="J1339" s="268">
        <v>1</v>
      </c>
      <c r="K1339" s="269">
        <v>83483</v>
      </c>
      <c r="L1339" s="269">
        <v>85964</v>
      </c>
      <c r="M1339" s="270">
        <v>1</v>
      </c>
      <c r="N1339" s="268">
        <v>1</v>
      </c>
      <c r="O1339" s="271"/>
      <c r="P1339" s="271">
        <v>83483</v>
      </c>
      <c r="Q1339" s="271"/>
      <c r="R1339" s="271"/>
      <c r="S1339" s="271">
        <v>-85964</v>
      </c>
      <c r="T1339" s="271"/>
      <c r="U1339" s="272">
        <v>1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153</v>
      </c>
      <c r="B1340" s="267" t="s">
        <v>1821</v>
      </c>
      <c r="C1340" s="267" t="s">
        <v>94</v>
      </c>
      <c r="D1340" s="267" t="s">
        <v>92</v>
      </c>
      <c r="E1340" s="267" t="s">
        <v>0</v>
      </c>
      <c r="F1340" s="268"/>
      <c r="G1340" s="269"/>
      <c r="H1340" s="269"/>
      <c r="I1340" s="270"/>
      <c r="J1340" s="268">
        <v>1</v>
      </c>
      <c r="K1340" s="269">
        <v>83455</v>
      </c>
      <c r="L1340" s="269">
        <v>85955</v>
      </c>
      <c r="M1340" s="270">
        <v>1</v>
      </c>
      <c r="N1340" s="268">
        <v>1</v>
      </c>
      <c r="O1340" s="271"/>
      <c r="P1340" s="271">
        <v>83455</v>
      </c>
      <c r="Q1340" s="271"/>
      <c r="R1340" s="271"/>
      <c r="S1340" s="271">
        <v>-85955</v>
      </c>
      <c r="T1340" s="271"/>
      <c r="U1340" s="272">
        <v>1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153</v>
      </c>
      <c r="B1341" s="267" t="s">
        <v>1822</v>
      </c>
      <c r="C1341" s="267" t="s">
        <v>94</v>
      </c>
      <c r="D1341" s="267" t="s">
        <v>92</v>
      </c>
      <c r="E1341" s="267" t="s">
        <v>0</v>
      </c>
      <c r="F1341" s="268"/>
      <c r="G1341" s="269"/>
      <c r="H1341" s="269"/>
      <c r="I1341" s="270"/>
      <c r="J1341" s="268">
        <v>1</v>
      </c>
      <c r="K1341" s="269">
        <v>83683</v>
      </c>
      <c r="L1341" s="269">
        <v>85925</v>
      </c>
      <c r="M1341" s="270">
        <v>1</v>
      </c>
      <c r="N1341" s="268">
        <v>1</v>
      </c>
      <c r="O1341" s="271"/>
      <c r="P1341" s="271">
        <v>83683</v>
      </c>
      <c r="Q1341" s="271"/>
      <c r="R1341" s="271"/>
      <c r="S1341" s="271">
        <v>-85925</v>
      </c>
      <c r="T1341" s="271"/>
      <c r="U1341" s="272">
        <v>1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153</v>
      </c>
      <c r="B1342" s="267" t="s">
        <v>1823</v>
      </c>
      <c r="C1342" s="267" t="s">
        <v>94</v>
      </c>
      <c r="D1342" s="267" t="s">
        <v>92</v>
      </c>
      <c r="E1342" s="267" t="s">
        <v>0</v>
      </c>
      <c r="F1342" s="268"/>
      <c r="G1342" s="269"/>
      <c r="H1342" s="269"/>
      <c r="I1342" s="270"/>
      <c r="J1342" s="268">
        <v>1</v>
      </c>
      <c r="K1342" s="269">
        <v>83650</v>
      </c>
      <c r="L1342" s="269">
        <v>85962</v>
      </c>
      <c r="M1342" s="270">
        <v>1</v>
      </c>
      <c r="N1342" s="268">
        <v>1</v>
      </c>
      <c r="O1342" s="271"/>
      <c r="P1342" s="271">
        <v>83650</v>
      </c>
      <c r="Q1342" s="271"/>
      <c r="R1342" s="271"/>
      <c r="S1342" s="271">
        <v>-85962</v>
      </c>
      <c r="T1342" s="271"/>
      <c r="U1342" s="272">
        <v>1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153</v>
      </c>
      <c r="B1343" s="267" t="s">
        <v>1824</v>
      </c>
      <c r="C1343" s="267" t="s">
        <v>94</v>
      </c>
      <c r="D1343" s="267" t="s">
        <v>92</v>
      </c>
      <c r="E1343" s="267" t="s">
        <v>0</v>
      </c>
      <c r="F1343" s="268"/>
      <c r="G1343" s="269"/>
      <c r="H1343" s="269"/>
      <c r="I1343" s="270"/>
      <c r="J1343" s="268">
        <v>1</v>
      </c>
      <c r="K1343" s="269">
        <v>84003</v>
      </c>
      <c r="L1343" s="269">
        <v>85511</v>
      </c>
      <c r="M1343" s="270">
        <v>1</v>
      </c>
      <c r="N1343" s="268">
        <v>1</v>
      </c>
      <c r="O1343" s="271"/>
      <c r="P1343" s="271">
        <v>84003</v>
      </c>
      <c r="Q1343" s="271"/>
      <c r="R1343" s="271"/>
      <c r="S1343" s="271">
        <v>-85511</v>
      </c>
      <c r="T1343" s="271"/>
      <c r="U1343" s="272">
        <v>1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153</v>
      </c>
      <c r="B1344" s="267" t="s">
        <v>1825</v>
      </c>
      <c r="C1344" s="267" t="s">
        <v>94</v>
      </c>
      <c r="D1344" s="267" t="s">
        <v>92</v>
      </c>
      <c r="E1344" s="267" t="s">
        <v>0</v>
      </c>
      <c r="F1344" s="268"/>
      <c r="G1344" s="269"/>
      <c r="H1344" s="269"/>
      <c r="I1344" s="270"/>
      <c r="J1344" s="268">
        <v>1</v>
      </c>
      <c r="K1344" s="269">
        <v>83936</v>
      </c>
      <c r="L1344" s="269">
        <v>85547</v>
      </c>
      <c r="M1344" s="270">
        <v>1</v>
      </c>
      <c r="N1344" s="268">
        <v>1</v>
      </c>
      <c r="O1344" s="271"/>
      <c r="P1344" s="271">
        <v>83936</v>
      </c>
      <c r="Q1344" s="271"/>
      <c r="R1344" s="271"/>
      <c r="S1344" s="271">
        <v>-85547</v>
      </c>
      <c r="T1344" s="271"/>
      <c r="U1344" s="272">
        <v>1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153</v>
      </c>
      <c r="B1345" s="267" t="s">
        <v>1826</v>
      </c>
      <c r="C1345" s="267" t="s">
        <v>94</v>
      </c>
      <c r="D1345" s="267" t="s">
        <v>92</v>
      </c>
      <c r="E1345" s="267" t="s">
        <v>0</v>
      </c>
      <c r="F1345" s="268"/>
      <c r="G1345" s="269"/>
      <c r="H1345" s="269"/>
      <c r="I1345" s="270"/>
      <c r="J1345" s="268">
        <v>1</v>
      </c>
      <c r="K1345" s="269">
        <v>83987</v>
      </c>
      <c r="L1345" s="269">
        <v>85534</v>
      </c>
      <c r="M1345" s="270">
        <v>1</v>
      </c>
      <c r="N1345" s="268">
        <v>1</v>
      </c>
      <c r="O1345" s="271"/>
      <c r="P1345" s="271">
        <v>83987</v>
      </c>
      <c r="Q1345" s="271"/>
      <c r="R1345" s="271"/>
      <c r="S1345" s="271">
        <v>-85534</v>
      </c>
      <c r="T1345" s="271"/>
      <c r="U1345" s="272">
        <v>1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153</v>
      </c>
      <c r="B1346" s="267" t="s">
        <v>1827</v>
      </c>
      <c r="C1346" s="267" t="s">
        <v>94</v>
      </c>
      <c r="D1346" s="267" t="s">
        <v>92</v>
      </c>
      <c r="E1346" s="267" t="s">
        <v>0</v>
      </c>
      <c r="F1346" s="268"/>
      <c r="G1346" s="269"/>
      <c r="H1346" s="269"/>
      <c r="I1346" s="270"/>
      <c r="J1346" s="268">
        <v>1</v>
      </c>
      <c r="K1346" s="269">
        <v>83903</v>
      </c>
      <c r="L1346" s="269">
        <v>85584</v>
      </c>
      <c r="M1346" s="270">
        <v>1</v>
      </c>
      <c r="N1346" s="268">
        <v>1</v>
      </c>
      <c r="O1346" s="271"/>
      <c r="P1346" s="271">
        <v>83903</v>
      </c>
      <c r="Q1346" s="271"/>
      <c r="R1346" s="271"/>
      <c r="S1346" s="271">
        <v>-85584</v>
      </c>
      <c r="T1346" s="271"/>
      <c r="U1346" s="272">
        <v>1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153</v>
      </c>
      <c r="B1347" s="267" t="s">
        <v>1828</v>
      </c>
      <c r="C1347" s="267" t="s">
        <v>94</v>
      </c>
      <c r="D1347" s="267" t="s">
        <v>92</v>
      </c>
      <c r="E1347" s="267" t="s">
        <v>0</v>
      </c>
      <c r="F1347" s="268"/>
      <c r="G1347" s="269"/>
      <c r="H1347" s="269"/>
      <c r="I1347" s="270"/>
      <c r="J1347" s="268">
        <v>1</v>
      </c>
      <c r="K1347" s="269">
        <v>83936</v>
      </c>
      <c r="L1347" s="269">
        <v>85359</v>
      </c>
      <c r="M1347" s="270">
        <v>1</v>
      </c>
      <c r="N1347" s="268">
        <v>1</v>
      </c>
      <c r="O1347" s="271"/>
      <c r="P1347" s="271">
        <v>83936</v>
      </c>
      <c r="Q1347" s="271"/>
      <c r="R1347" s="271"/>
      <c r="S1347" s="271">
        <v>-85359</v>
      </c>
      <c r="T1347" s="271"/>
      <c r="U1347" s="272">
        <v>1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153</v>
      </c>
      <c r="B1348" s="267" t="s">
        <v>1829</v>
      </c>
      <c r="C1348" s="267" t="s">
        <v>94</v>
      </c>
      <c r="D1348" s="267" t="s">
        <v>92</v>
      </c>
      <c r="E1348" s="267" t="s">
        <v>0</v>
      </c>
      <c r="F1348" s="268"/>
      <c r="G1348" s="269"/>
      <c r="H1348" s="269"/>
      <c r="I1348" s="270"/>
      <c r="J1348" s="268">
        <v>1</v>
      </c>
      <c r="K1348" s="269">
        <v>83919</v>
      </c>
      <c r="L1348" s="269">
        <v>85373</v>
      </c>
      <c r="M1348" s="270">
        <v>1</v>
      </c>
      <c r="N1348" s="268">
        <v>1</v>
      </c>
      <c r="O1348" s="271"/>
      <c r="P1348" s="271">
        <v>83919</v>
      </c>
      <c r="Q1348" s="271"/>
      <c r="R1348" s="271"/>
      <c r="S1348" s="271">
        <v>-85373</v>
      </c>
      <c r="T1348" s="271"/>
      <c r="U1348" s="272">
        <v>1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153</v>
      </c>
      <c r="B1349" s="267" t="s">
        <v>1830</v>
      </c>
      <c r="C1349" s="267" t="s">
        <v>94</v>
      </c>
      <c r="D1349" s="267" t="s">
        <v>92</v>
      </c>
      <c r="E1349" s="267" t="s">
        <v>0</v>
      </c>
      <c r="F1349" s="268"/>
      <c r="G1349" s="269"/>
      <c r="H1349" s="269"/>
      <c r="I1349" s="270"/>
      <c r="J1349" s="268">
        <v>1</v>
      </c>
      <c r="K1349" s="269">
        <v>83676</v>
      </c>
      <c r="L1349" s="269">
        <v>85803</v>
      </c>
      <c r="M1349" s="270">
        <v>1</v>
      </c>
      <c r="N1349" s="268">
        <v>1</v>
      </c>
      <c r="O1349" s="271"/>
      <c r="P1349" s="271">
        <v>83676</v>
      </c>
      <c r="Q1349" s="271"/>
      <c r="R1349" s="271"/>
      <c r="S1349" s="271">
        <v>-85803</v>
      </c>
      <c r="T1349" s="271"/>
      <c r="U1349" s="272">
        <v>1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153</v>
      </c>
      <c r="B1350" s="267" t="s">
        <v>1831</v>
      </c>
      <c r="C1350" s="267" t="s">
        <v>94</v>
      </c>
      <c r="D1350" s="267" t="s">
        <v>92</v>
      </c>
      <c r="E1350" s="267" t="s">
        <v>0</v>
      </c>
      <c r="F1350" s="268"/>
      <c r="G1350" s="269"/>
      <c r="H1350" s="269"/>
      <c r="I1350" s="270"/>
      <c r="J1350" s="268">
        <v>1</v>
      </c>
      <c r="K1350" s="269">
        <v>83539</v>
      </c>
      <c r="L1350" s="269">
        <v>85905</v>
      </c>
      <c r="M1350" s="270">
        <v>1</v>
      </c>
      <c r="N1350" s="268">
        <v>1</v>
      </c>
      <c r="O1350" s="271"/>
      <c r="P1350" s="271">
        <v>83539</v>
      </c>
      <c r="Q1350" s="271"/>
      <c r="R1350" s="271"/>
      <c r="S1350" s="271">
        <v>-85905</v>
      </c>
      <c r="T1350" s="271"/>
      <c r="U1350" s="272">
        <v>1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153</v>
      </c>
      <c r="B1351" s="267" t="s">
        <v>1832</v>
      </c>
      <c r="C1351" s="267" t="s">
        <v>94</v>
      </c>
      <c r="D1351" s="267" t="s">
        <v>92</v>
      </c>
      <c r="E1351" s="267" t="s">
        <v>0</v>
      </c>
      <c r="F1351" s="268"/>
      <c r="G1351" s="269"/>
      <c r="H1351" s="269"/>
      <c r="I1351" s="270"/>
      <c r="J1351" s="268">
        <v>1</v>
      </c>
      <c r="K1351" s="269">
        <v>83675</v>
      </c>
      <c r="L1351" s="269">
        <v>85789</v>
      </c>
      <c r="M1351" s="270">
        <v>1</v>
      </c>
      <c r="N1351" s="268">
        <v>1</v>
      </c>
      <c r="O1351" s="271"/>
      <c r="P1351" s="271">
        <v>83675</v>
      </c>
      <c r="Q1351" s="271"/>
      <c r="R1351" s="271"/>
      <c r="S1351" s="271">
        <v>-85789</v>
      </c>
      <c r="T1351" s="271"/>
      <c r="U1351" s="272">
        <v>1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153</v>
      </c>
      <c r="B1352" s="267" t="s">
        <v>1833</v>
      </c>
      <c r="C1352" s="267" t="s">
        <v>94</v>
      </c>
      <c r="D1352" s="267" t="s">
        <v>92</v>
      </c>
      <c r="E1352" s="267" t="s">
        <v>0</v>
      </c>
      <c r="F1352" s="268"/>
      <c r="G1352" s="269"/>
      <c r="H1352" s="269"/>
      <c r="I1352" s="270"/>
      <c r="J1352" s="268">
        <v>1</v>
      </c>
      <c r="K1352" s="269">
        <v>83487</v>
      </c>
      <c r="L1352" s="269">
        <v>85956</v>
      </c>
      <c r="M1352" s="270">
        <v>1</v>
      </c>
      <c r="N1352" s="268">
        <v>1</v>
      </c>
      <c r="O1352" s="271"/>
      <c r="P1352" s="271">
        <v>83487</v>
      </c>
      <c r="Q1352" s="271"/>
      <c r="R1352" s="271"/>
      <c r="S1352" s="271">
        <v>-85956</v>
      </c>
      <c r="T1352" s="271"/>
      <c r="U1352" s="272">
        <v>1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153</v>
      </c>
      <c r="B1353" s="267" t="s">
        <v>1834</v>
      </c>
      <c r="C1353" s="267" t="s">
        <v>94</v>
      </c>
      <c r="D1353" s="267" t="s">
        <v>92</v>
      </c>
      <c r="E1353" s="267" t="s">
        <v>0</v>
      </c>
      <c r="F1353" s="268"/>
      <c r="G1353" s="269"/>
      <c r="H1353" s="269"/>
      <c r="I1353" s="270"/>
      <c r="J1353" s="268">
        <v>1</v>
      </c>
      <c r="K1353" s="269">
        <v>83576</v>
      </c>
      <c r="L1353" s="269">
        <v>85890</v>
      </c>
      <c r="M1353" s="270">
        <v>1</v>
      </c>
      <c r="N1353" s="268">
        <v>1</v>
      </c>
      <c r="O1353" s="271"/>
      <c r="P1353" s="271">
        <v>83576</v>
      </c>
      <c r="Q1353" s="271"/>
      <c r="R1353" s="271"/>
      <c r="S1353" s="271">
        <v>-85890</v>
      </c>
      <c r="T1353" s="271"/>
      <c r="U1353" s="272">
        <v>1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153</v>
      </c>
      <c r="B1354" s="267" t="s">
        <v>1835</v>
      </c>
      <c r="C1354" s="267" t="s">
        <v>94</v>
      </c>
      <c r="D1354" s="267" t="s">
        <v>92</v>
      </c>
      <c r="E1354" s="267" t="s">
        <v>0</v>
      </c>
      <c r="F1354" s="268"/>
      <c r="G1354" s="269"/>
      <c r="H1354" s="269"/>
      <c r="I1354" s="270"/>
      <c r="J1354" s="268">
        <v>1</v>
      </c>
      <c r="K1354" s="269">
        <v>83495</v>
      </c>
      <c r="L1354" s="269">
        <v>85925</v>
      </c>
      <c r="M1354" s="270">
        <v>1</v>
      </c>
      <c r="N1354" s="268">
        <v>1</v>
      </c>
      <c r="O1354" s="271"/>
      <c r="P1354" s="271">
        <v>83495</v>
      </c>
      <c r="Q1354" s="271"/>
      <c r="R1354" s="271"/>
      <c r="S1354" s="271">
        <v>-85925</v>
      </c>
      <c r="T1354" s="271"/>
      <c r="U1354" s="272">
        <v>1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153</v>
      </c>
      <c r="B1355" s="267" t="s">
        <v>1836</v>
      </c>
      <c r="C1355" s="267" t="s">
        <v>94</v>
      </c>
      <c r="D1355" s="267" t="s">
        <v>92</v>
      </c>
      <c r="E1355" s="267" t="s">
        <v>0</v>
      </c>
      <c r="F1355" s="268"/>
      <c r="G1355" s="269"/>
      <c r="H1355" s="269"/>
      <c r="I1355" s="270"/>
      <c r="J1355" s="268">
        <v>1</v>
      </c>
      <c r="K1355" s="269">
        <v>83660</v>
      </c>
      <c r="L1355" s="269">
        <v>85826</v>
      </c>
      <c r="M1355" s="270">
        <v>1</v>
      </c>
      <c r="N1355" s="268">
        <v>1</v>
      </c>
      <c r="O1355" s="271"/>
      <c r="P1355" s="271">
        <v>83660</v>
      </c>
      <c r="Q1355" s="271"/>
      <c r="R1355" s="271"/>
      <c r="S1355" s="271">
        <v>-85826</v>
      </c>
      <c r="T1355" s="271"/>
      <c r="U1355" s="272">
        <v>1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153</v>
      </c>
      <c r="B1356" s="267" t="s">
        <v>1837</v>
      </c>
      <c r="C1356" s="267" t="s">
        <v>94</v>
      </c>
      <c r="D1356" s="267" t="s">
        <v>92</v>
      </c>
      <c r="E1356" s="267" t="s">
        <v>0</v>
      </c>
      <c r="F1356" s="268"/>
      <c r="G1356" s="269"/>
      <c r="H1356" s="269"/>
      <c r="I1356" s="270"/>
      <c r="J1356" s="268">
        <v>1</v>
      </c>
      <c r="K1356" s="269">
        <v>83546</v>
      </c>
      <c r="L1356" s="269">
        <v>85912</v>
      </c>
      <c r="M1356" s="270">
        <v>1</v>
      </c>
      <c r="N1356" s="268">
        <v>1</v>
      </c>
      <c r="O1356" s="271"/>
      <c r="P1356" s="271">
        <v>83546</v>
      </c>
      <c r="Q1356" s="271"/>
      <c r="R1356" s="271"/>
      <c r="S1356" s="271">
        <v>-85912</v>
      </c>
      <c r="T1356" s="271"/>
      <c r="U1356" s="272">
        <v>1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153</v>
      </c>
      <c r="B1357" s="267" t="s">
        <v>1838</v>
      </c>
      <c r="C1357" s="267" t="s">
        <v>94</v>
      </c>
      <c r="D1357" s="267" t="s">
        <v>92</v>
      </c>
      <c r="E1357" s="267" t="s">
        <v>0</v>
      </c>
      <c r="F1357" s="268"/>
      <c r="G1357" s="269"/>
      <c r="H1357" s="269"/>
      <c r="I1357" s="270"/>
      <c r="J1357" s="268">
        <v>1</v>
      </c>
      <c r="K1357" s="269">
        <v>83682</v>
      </c>
      <c r="L1357" s="269">
        <v>85796</v>
      </c>
      <c r="M1357" s="270">
        <v>1</v>
      </c>
      <c r="N1357" s="268">
        <v>1</v>
      </c>
      <c r="O1357" s="271"/>
      <c r="P1357" s="271">
        <v>83682</v>
      </c>
      <c r="Q1357" s="271"/>
      <c r="R1357" s="271"/>
      <c r="S1357" s="271">
        <v>-85796</v>
      </c>
      <c r="T1357" s="271"/>
      <c r="U1357" s="272">
        <v>1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153</v>
      </c>
      <c r="B1358" s="267" t="s">
        <v>1839</v>
      </c>
      <c r="C1358" s="267" t="s">
        <v>94</v>
      </c>
      <c r="D1358" s="267" t="s">
        <v>92</v>
      </c>
      <c r="E1358" s="267" t="s">
        <v>0</v>
      </c>
      <c r="F1358" s="268"/>
      <c r="G1358" s="269"/>
      <c r="H1358" s="269"/>
      <c r="I1358" s="270"/>
      <c r="J1358" s="268">
        <v>1</v>
      </c>
      <c r="K1358" s="269">
        <v>83470</v>
      </c>
      <c r="L1358" s="269">
        <v>85970</v>
      </c>
      <c r="M1358" s="270">
        <v>1</v>
      </c>
      <c r="N1358" s="268">
        <v>1</v>
      </c>
      <c r="O1358" s="271"/>
      <c r="P1358" s="271">
        <v>83470</v>
      </c>
      <c r="Q1358" s="271"/>
      <c r="R1358" s="271"/>
      <c r="S1358" s="271">
        <v>-85970</v>
      </c>
      <c r="T1358" s="271"/>
      <c r="U1358" s="272">
        <v>1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153</v>
      </c>
      <c r="B1359" s="267" t="s">
        <v>1840</v>
      </c>
      <c r="C1359" s="267" t="s">
        <v>94</v>
      </c>
      <c r="D1359" s="267" t="s">
        <v>92</v>
      </c>
      <c r="E1359" s="267" t="s">
        <v>0</v>
      </c>
      <c r="F1359" s="268"/>
      <c r="G1359" s="269"/>
      <c r="H1359" s="269"/>
      <c r="I1359" s="270"/>
      <c r="J1359" s="268">
        <v>1</v>
      </c>
      <c r="K1359" s="269">
        <v>83553</v>
      </c>
      <c r="L1359" s="269">
        <v>85906</v>
      </c>
      <c r="M1359" s="270">
        <v>1</v>
      </c>
      <c r="N1359" s="268">
        <v>1</v>
      </c>
      <c r="O1359" s="271"/>
      <c r="P1359" s="271">
        <v>83553</v>
      </c>
      <c r="Q1359" s="271"/>
      <c r="R1359" s="271"/>
      <c r="S1359" s="271">
        <v>-85906</v>
      </c>
      <c r="T1359" s="271"/>
      <c r="U1359" s="272">
        <v>1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153</v>
      </c>
      <c r="B1360" s="267" t="s">
        <v>1841</v>
      </c>
      <c r="C1360" s="267" t="s">
        <v>94</v>
      </c>
      <c r="D1360" s="267" t="s">
        <v>92</v>
      </c>
      <c r="E1360" s="267" t="s">
        <v>0</v>
      </c>
      <c r="F1360" s="268"/>
      <c r="G1360" s="269"/>
      <c r="H1360" s="269"/>
      <c r="I1360" s="270"/>
      <c r="J1360" s="268">
        <v>1</v>
      </c>
      <c r="K1360" s="269">
        <v>83439</v>
      </c>
      <c r="L1360" s="269">
        <v>85978</v>
      </c>
      <c r="M1360" s="270">
        <v>1</v>
      </c>
      <c r="N1360" s="268">
        <v>1</v>
      </c>
      <c r="O1360" s="271"/>
      <c r="P1360" s="271">
        <v>83439</v>
      </c>
      <c r="Q1360" s="271"/>
      <c r="R1360" s="271"/>
      <c r="S1360" s="271">
        <v>-85978</v>
      </c>
      <c r="T1360" s="271"/>
      <c r="U1360" s="272">
        <v>1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153</v>
      </c>
      <c r="B1361" s="267" t="s">
        <v>1842</v>
      </c>
      <c r="C1361" s="267" t="s">
        <v>94</v>
      </c>
      <c r="D1361" s="267" t="s">
        <v>92</v>
      </c>
      <c r="E1361" s="267" t="s">
        <v>0</v>
      </c>
      <c r="F1361" s="268"/>
      <c r="G1361" s="269"/>
      <c r="H1361" s="269"/>
      <c r="I1361" s="270"/>
      <c r="J1361" s="268">
        <v>1</v>
      </c>
      <c r="K1361" s="269">
        <v>83675</v>
      </c>
      <c r="L1361" s="269">
        <v>85601</v>
      </c>
      <c r="M1361" s="270">
        <v>1</v>
      </c>
      <c r="N1361" s="268">
        <v>1</v>
      </c>
      <c r="O1361" s="271"/>
      <c r="P1361" s="271">
        <v>83675</v>
      </c>
      <c r="Q1361" s="271"/>
      <c r="R1361" s="271"/>
      <c r="S1361" s="271">
        <v>-85601</v>
      </c>
      <c r="T1361" s="271"/>
      <c r="U1361" s="272">
        <v>1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153</v>
      </c>
      <c r="B1362" s="267" t="s">
        <v>1843</v>
      </c>
      <c r="C1362" s="267" t="s">
        <v>94</v>
      </c>
      <c r="D1362" s="267" t="s">
        <v>92</v>
      </c>
      <c r="E1362" s="267" t="s">
        <v>0</v>
      </c>
      <c r="F1362" s="268"/>
      <c r="G1362" s="269"/>
      <c r="H1362" s="269"/>
      <c r="I1362" s="270"/>
      <c r="J1362" s="268">
        <v>1</v>
      </c>
      <c r="K1362" s="269">
        <v>83509</v>
      </c>
      <c r="L1362" s="269">
        <v>85738</v>
      </c>
      <c r="M1362" s="270">
        <v>1</v>
      </c>
      <c r="N1362" s="268">
        <v>1</v>
      </c>
      <c r="O1362" s="271"/>
      <c r="P1362" s="271">
        <v>83509</v>
      </c>
      <c r="Q1362" s="271"/>
      <c r="R1362" s="271"/>
      <c r="S1362" s="271">
        <v>-85738</v>
      </c>
      <c r="T1362" s="271"/>
      <c r="U1362" s="272">
        <v>1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153</v>
      </c>
      <c r="B1363" s="267" t="s">
        <v>1844</v>
      </c>
      <c r="C1363" s="267" t="s">
        <v>94</v>
      </c>
      <c r="D1363" s="267" t="s">
        <v>92</v>
      </c>
      <c r="E1363" s="267" t="s">
        <v>0</v>
      </c>
      <c r="F1363" s="268"/>
      <c r="G1363" s="269"/>
      <c r="H1363" s="269"/>
      <c r="I1363" s="270"/>
      <c r="J1363" s="268">
        <v>1</v>
      </c>
      <c r="K1363" s="269">
        <v>83698</v>
      </c>
      <c r="L1363" s="269">
        <v>85585</v>
      </c>
      <c r="M1363" s="270">
        <v>1</v>
      </c>
      <c r="N1363" s="268">
        <v>1</v>
      </c>
      <c r="O1363" s="271"/>
      <c r="P1363" s="271">
        <v>83698</v>
      </c>
      <c r="Q1363" s="271"/>
      <c r="R1363" s="271"/>
      <c r="S1363" s="271">
        <v>-85585</v>
      </c>
      <c r="T1363" s="271"/>
      <c r="U1363" s="272">
        <v>1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153</v>
      </c>
      <c r="B1364" s="267" t="s">
        <v>1845</v>
      </c>
      <c r="C1364" s="267" t="s">
        <v>94</v>
      </c>
      <c r="D1364" s="267" t="s">
        <v>92</v>
      </c>
      <c r="E1364" s="267" t="s">
        <v>0</v>
      </c>
      <c r="F1364" s="268"/>
      <c r="G1364" s="269"/>
      <c r="H1364" s="269"/>
      <c r="I1364" s="270"/>
      <c r="J1364" s="268">
        <v>1</v>
      </c>
      <c r="K1364" s="269">
        <v>83485</v>
      </c>
      <c r="L1364" s="269">
        <v>85745</v>
      </c>
      <c r="M1364" s="270">
        <v>1</v>
      </c>
      <c r="N1364" s="268">
        <v>1</v>
      </c>
      <c r="O1364" s="271"/>
      <c r="P1364" s="271">
        <v>83485</v>
      </c>
      <c r="Q1364" s="271"/>
      <c r="R1364" s="271"/>
      <c r="S1364" s="271">
        <v>-85745</v>
      </c>
      <c r="T1364" s="271"/>
      <c r="U1364" s="272">
        <v>1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153</v>
      </c>
      <c r="B1365" s="267" t="s">
        <v>1846</v>
      </c>
      <c r="C1365" s="267" t="s">
        <v>94</v>
      </c>
      <c r="D1365" s="267" t="s">
        <v>92</v>
      </c>
      <c r="E1365" s="267" t="s">
        <v>0</v>
      </c>
      <c r="F1365" s="268"/>
      <c r="G1365" s="269"/>
      <c r="H1365" s="269"/>
      <c r="I1365" s="270"/>
      <c r="J1365" s="268">
        <v>1</v>
      </c>
      <c r="K1365" s="269">
        <v>83503</v>
      </c>
      <c r="L1365" s="269">
        <v>85745</v>
      </c>
      <c r="M1365" s="270">
        <v>1</v>
      </c>
      <c r="N1365" s="268">
        <v>1</v>
      </c>
      <c r="O1365" s="271"/>
      <c r="P1365" s="271">
        <v>83503</v>
      </c>
      <c r="Q1365" s="271"/>
      <c r="R1365" s="271"/>
      <c r="S1365" s="271">
        <v>-85745</v>
      </c>
      <c r="T1365" s="271"/>
      <c r="U1365" s="272">
        <v>1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153</v>
      </c>
      <c r="B1366" s="267" t="s">
        <v>1847</v>
      </c>
      <c r="C1366" s="267" t="s">
        <v>94</v>
      </c>
      <c r="D1366" s="267" t="s">
        <v>92</v>
      </c>
      <c r="E1366" s="267" t="s">
        <v>0</v>
      </c>
      <c r="F1366" s="268"/>
      <c r="G1366" s="269"/>
      <c r="H1366" s="269"/>
      <c r="I1366" s="270"/>
      <c r="J1366" s="268">
        <v>1</v>
      </c>
      <c r="K1366" s="269">
        <v>83470</v>
      </c>
      <c r="L1366" s="269">
        <v>85782</v>
      </c>
      <c r="M1366" s="270">
        <v>1</v>
      </c>
      <c r="N1366" s="268">
        <v>1</v>
      </c>
      <c r="O1366" s="271"/>
      <c r="P1366" s="271">
        <v>83470</v>
      </c>
      <c r="Q1366" s="271"/>
      <c r="R1366" s="271"/>
      <c r="S1366" s="271">
        <v>-85782</v>
      </c>
      <c r="T1366" s="271"/>
      <c r="U1366" s="272">
        <v>1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153</v>
      </c>
      <c r="B1367" s="267" t="s">
        <v>1848</v>
      </c>
      <c r="C1367" s="267" t="s">
        <v>94</v>
      </c>
      <c r="D1367" s="267" t="s">
        <v>92</v>
      </c>
      <c r="E1367" s="267" t="s">
        <v>0</v>
      </c>
      <c r="F1367" s="268"/>
      <c r="G1367" s="269"/>
      <c r="H1367" s="269"/>
      <c r="I1367" s="270"/>
      <c r="J1367" s="268">
        <v>1</v>
      </c>
      <c r="K1367" s="269">
        <v>83948</v>
      </c>
      <c r="L1367" s="269">
        <v>85456</v>
      </c>
      <c r="M1367" s="270">
        <v>1</v>
      </c>
      <c r="N1367" s="268">
        <v>1</v>
      </c>
      <c r="O1367" s="271"/>
      <c r="P1367" s="271">
        <v>83948</v>
      </c>
      <c r="Q1367" s="271"/>
      <c r="R1367" s="271"/>
      <c r="S1367" s="271">
        <v>-85456</v>
      </c>
      <c r="T1367" s="271"/>
      <c r="U1367" s="272">
        <v>1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153</v>
      </c>
      <c r="B1368" s="267" t="s">
        <v>1849</v>
      </c>
      <c r="C1368" s="267" t="s">
        <v>94</v>
      </c>
      <c r="D1368" s="267" t="s">
        <v>92</v>
      </c>
      <c r="E1368" s="267" t="s">
        <v>0</v>
      </c>
      <c r="F1368" s="268"/>
      <c r="G1368" s="269"/>
      <c r="H1368" s="269"/>
      <c r="I1368" s="270"/>
      <c r="J1368" s="268">
        <v>1</v>
      </c>
      <c r="K1368" s="269">
        <v>83881</v>
      </c>
      <c r="L1368" s="269">
        <v>85492</v>
      </c>
      <c r="M1368" s="270">
        <v>1</v>
      </c>
      <c r="N1368" s="268">
        <v>1</v>
      </c>
      <c r="O1368" s="271"/>
      <c r="P1368" s="271">
        <v>83881</v>
      </c>
      <c r="Q1368" s="271"/>
      <c r="R1368" s="271"/>
      <c r="S1368" s="271">
        <v>-85492</v>
      </c>
      <c r="T1368" s="271"/>
      <c r="U1368" s="272">
        <v>1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153</v>
      </c>
      <c r="B1369" s="267" t="s">
        <v>1850</v>
      </c>
      <c r="C1369" s="267" t="s">
        <v>94</v>
      </c>
      <c r="D1369" s="267" t="s">
        <v>92</v>
      </c>
      <c r="E1369" s="267" t="s">
        <v>0</v>
      </c>
      <c r="F1369" s="268"/>
      <c r="G1369" s="269"/>
      <c r="H1369" s="269"/>
      <c r="I1369" s="270"/>
      <c r="J1369" s="268">
        <v>1</v>
      </c>
      <c r="K1369" s="269">
        <v>83932</v>
      </c>
      <c r="L1369" s="269">
        <v>85479</v>
      </c>
      <c r="M1369" s="270">
        <v>1</v>
      </c>
      <c r="N1369" s="268">
        <v>1</v>
      </c>
      <c r="O1369" s="271"/>
      <c r="P1369" s="271">
        <v>83932</v>
      </c>
      <c r="Q1369" s="271"/>
      <c r="R1369" s="271"/>
      <c r="S1369" s="271">
        <v>-85479</v>
      </c>
      <c r="T1369" s="271"/>
      <c r="U1369" s="272">
        <v>1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153</v>
      </c>
      <c r="B1370" s="267" t="s">
        <v>1851</v>
      </c>
      <c r="C1370" s="267" t="s">
        <v>94</v>
      </c>
      <c r="D1370" s="267" t="s">
        <v>92</v>
      </c>
      <c r="E1370" s="267" t="s">
        <v>0</v>
      </c>
      <c r="F1370" s="268"/>
      <c r="G1370" s="269"/>
      <c r="H1370" s="269"/>
      <c r="I1370" s="270"/>
      <c r="J1370" s="268">
        <v>1</v>
      </c>
      <c r="K1370" s="269">
        <v>83848</v>
      </c>
      <c r="L1370" s="269">
        <v>85529</v>
      </c>
      <c r="M1370" s="270">
        <v>1</v>
      </c>
      <c r="N1370" s="268">
        <v>1</v>
      </c>
      <c r="O1370" s="271"/>
      <c r="P1370" s="271">
        <v>83848</v>
      </c>
      <c r="Q1370" s="271"/>
      <c r="R1370" s="271"/>
      <c r="S1370" s="271">
        <v>-85529</v>
      </c>
      <c r="T1370" s="271"/>
      <c r="U1370" s="272">
        <v>1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153</v>
      </c>
      <c r="B1371" s="267" t="s">
        <v>1852</v>
      </c>
      <c r="C1371" s="267" t="s">
        <v>94</v>
      </c>
      <c r="D1371" s="267" t="s">
        <v>92</v>
      </c>
      <c r="E1371" s="267" t="s">
        <v>0</v>
      </c>
      <c r="F1371" s="268"/>
      <c r="G1371" s="269"/>
      <c r="H1371" s="269"/>
      <c r="I1371" s="270"/>
      <c r="J1371" s="268">
        <v>1</v>
      </c>
      <c r="K1371" s="269">
        <v>83851</v>
      </c>
      <c r="L1371" s="269">
        <v>85514</v>
      </c>
      <c r="M1371" s="270">
        <v>1</v>
      </c>
      <c r="N1371" s="268">
        <v>1</v>
      </c>
      <c r="O1371" s="271"/>
      <c r="P1371" s="271">
        <v>83851</v>
      </c>
      <c r="Q1371" s="271"/>
      <c r="R1371" s="271"/>
      <c r="S1371" s="271">
        <v>-85514</v>
      </c>
      <c r="T1371" s="271"/>
      <c r="U1371" s="272">
        <v>1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153</v>
      </c>
      <c r="B1372" s="267" t="s">
        <v>1853</v>
      </c>
      <c r="C1372" s="267" t="s">
        <v>94</v>
      </c>
      <c r="D1372" s="267" t="s">
        <v>92</v>
      </c>
      <c r="E1372" s="267" t="s">
        <v>0</v>
      </c>
      <c r="F1372" s="268"/>
      <c r="G1372" s="269"/>
      <c r="H1372" s="269"/>
      <c r="I1372" s="270"/>
      <c r="J1372" s="268">
        <v>1</v>
      </c>
      <c r="K1372" s="269">
        <v>83834</v>
      </c>
      <c r="L1372" s="269">
        <v>85528</v>
      </c>
      <c r="M1372" s="270">
        <v>1</v>
      </c>
      <c r="N1372" s="268">
        <v>1</v>
      </c>
      <c r="O1372" s="271"/>
      <c r="P1372" s="271">
        <v>83834</v>
      </c>
      <c r="Q1372" s="271"/>
      <c r="R1372" s="271"/>
      <c r="S1372" s="271">
        <v>-85528</v>
      </c>
      <c r="T1372" s="271"/>
      <c r="U1372" s="272">
        <v>1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153</v>
      </c>
      <c r="B1373" s="267" t="s">
        <v>410</v>
      </c>
      <c r="C1373" s="267" t="s">
        <v>94</v>
      </c>
      <c r="D1373" s="267" t="s">
        <v>92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84865</v>
      </c>
      <c r="L1373" s="269">
        <v>85255</v>
      </c>
      <c r="M1373" s="270">
        <v>1</v>
      </c>
      <c r="N1373" s="268">
        <v>1</v>
      </c>
      <c r="O1373" s="271"/>
      <c r="P1373" s="271">
        <v>84865</v>
      </c>
      <c r="Q1373" s="271"/>
      <c r="R1373" s="271"/>
      <c r="S1373" s="271">
        <v>-85255</v>
      </c>
      <c r="T1373" s="271"/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153</v>
      </c>
      <c r="B1374" s="267" t="s">
        <v>411</v>
      </c>
      <c r="C1374" s="267" t="s">
        <v>94</v>
      </c>
      <c r="D1374" s="267" t="s">
        <v>92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84840</v>
      </c>
      <c r="L1374" s="269">
        <v>85280</v>
      </c>
      <c r="M1374" s="270">
        <v>1</v>
      </c>
      <c r="N1374" s="268">
        <v>1</v>
      </c>
      <c r="O1374" s="271"/>
      <c r="P1374" s="271">
        <v>84840</v>
      </c>
      <c r="Q1374" s="271"/>
      <c r="R1374" s="271"/>
      <c r="S1374" s="271">
        <v>-85280</v>
      </c>
      <c r="T1374" s="271"/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153</v>
      </c>
      <c r="B1375" s="267" t="s">
        <v>412</v>
      </c>
      <c r="C1375" s="267" t="s">
        <v>94</v>
      </c>
      <c r="D1375" s="267" t="s">
        <v>92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84795</v>
      </c>
      <c r="L1375" s="269">
        <v>85325</v>
      </c>
      <c r="M1375" s="270">
        <v>1</v>
      </c>
      <c r="N1375" s="268">
        <v>1</v>
      </c>
      <c r="O1375" s="271"/>
      <c r="P1375" s="271">
        <v>84795</v>
      </c>
      <c r="Q1375" s="271"/>
      <c r="R1375" s="271"/>
      <c r="S1375" s="271">
        <v>-85325</v>
      </c>
      <c r="T1375" s="271"/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153</v>
      </c>
      <c r="B1376" s="267" t="s">
        <v>413</v>
      </c>
      <c r="C1376" s="267" t="s">
        <v>94</v>
      </c>
      <c r="D1376" s="267" t="s">
        <v>92</v>
      </c>
      <c r="E1376" s="267" t="s">
        <v>0</v>
      </c>
      <c r="F1376" s="268"/>
      <c r="G1376" s="269"/>
      <c r="H1376" s="269"/>
      <c r="I1376" s="270"/>
      <c r="J1376" s="268">
        <v>3</v>
      </c>
      <c r="K1376" s="269">
        <v>84879</v>
      </c>
      <c r="L1376" s="269">
        <v>85225</v>
      </c>
      <c r="M1376" s="270">
        <v>1</v>
      </c>
      <c r="N1376" s="268">
        <v>3</v>
      </c>
      <c r="O1376" s="271"/>
      <c r="P1376" s="271">
        <v>84879</v>
      </c>
      <c r="Q1376" s="271"/>
      <c r="R1376" s="271"/>
      <c r="S1376" s="271">
        <v>-85225</v>
      </c>
      <c r="T1376" s="271"/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153</v>
      </c>
      <c r="B1377" s="267" t="s">
        <v>1854</v>
      </c>
      <c r="C1377" s="267" t="s">
        <v>94</v>
      </c>
      <c r="D1377" s="267" t="s">
        <v>92</v>
      </c>
      <c r="E1377" s="267" t="s">
        <v>0</v>
      </c>
      <c r="F1377" s="268"/>
      <c r="G1377" s="269"/>
      <c r="H1377" s="269"/>
      <c r="I1377" s="270"/>
      <c r="J1377" s="268">
        <v>1</v>
      </c>
      <c r="K1377" s="269">
        <v>84490</v>
      </c>
      <c r="L1377" s="269">
        <v>85575</v>
      </c>
      <c r="M1377" s="270">
        <v>1</v>
      </c>
      <c r="N1377" s="268">
        <v>1</v>
      </c>
      <c r="O1377" s="271"/>
      <c r="P1377" s="271">
        <v>84490</v>
      </c>
      <c r="Q1377" s="271"/>
      <c r="R1377" s="271"/>
      <c r="S1377" s="271">
        <v>-85575</v>
      </c>
      <c r="T1377" s="271"/>
      <c r="U1377" s="272">
        <v>1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153</v>
      </c>
      <c r="B1378" s="267" t="s">
        <v>414</v>
      </c>
      <c r="C1378" s="267" t="s">
        <v>94</v>
      </c>
      <c r="D1378" s="267" t="s">
        <v>92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84847</v>
      </c>
      <c r="L1378" s="269">
        <v>85266</v>
      </c>
      <c r="M1378" s="270">
        <v>1</v>
      </c>
      <c r="N1378" s="268">
        <v>1</v>
      </c>
      <c r="O1378" s="271"/>
      <c r="P1378" s="271">
        <v>84847</v>
      </c>
      <c r="Q1378" s="271"/>
      <c r="R1378" s="271"/>
      <c r="S1378" s="271">
        <v>-85266</v>
      </c>
      <c r="T1378" s="271"/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153</v>
      </c>
      <c r="B1379" s="267" t="s">
        <v>415</v>
      </c>
      <c r="C1379" s="267" t="s">
        <v>94</v>
      </c>
      <c r="D1379" s="267" t="s">
        <v>92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84816</v>
      </c>
      <c r="L1379" s="269">
        <v>85312</v>
      </c>
      <c r="M1379" s="270">
        <v>1</v>
      </c>
      <c r="N1379" s="268">
        <v>1</v>
      </c>
      <c r="O1379" s="271"/>
      <c r="P1379" s="271">
        <v>84816</v>
      </c>
      <c r="Q1379" s="271"/>
      <c r="R1379" s="271"/>
      <c r="S1379" s="271">
        <v>-85312</v>
      </c>
      <c r="T1379" s="271"/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153</v>
      </c>
      <c r="B1380" s="267" t="s">
        <v>416</v>
      </c>
      <c r="C1380" s="267" t="s">
        <v>94</v>
      </c>
      <c r="D1380" s="267" t="s">
        <v>92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84865</v>
      </c>
      <c r="L1380" s="269">
        <v>85209</v>
      </c>
      <c r="M1380" s="270">
        <v>1</v>
      </c>
      <c r="N1380" s="268">
        <v>1</v>
      </c>
      <c r="O1380" s="271"/>
      <c r="P1380" s="271">
        <v>84865</v>
      </c>
      <c r="Q1380" s="271"/>
      <c r="R1380" s="271"/>
      <c r="S1380" s="271">
        <v>-85209</v>
      </c>
      <c r="T1380" s="271"/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153</v>
      </c>
      <c r="B1381" s="267" t="s">
        <v>1855</v>
      </c>
      <c r="C1381" s="267" t="s">
        <v>94</v>
      </c>
      <c r="D1381" s="267" t="s">
        <v>92</v>
      </c>
      <c r="E1381" s="267" t="s">
        <v>0</v>
      </c>
      <c r="F1381" s="268"/>
      <c r="G1381" s="269"/>
      <c r="H1381" s="269"/>
      <c r="I1381" s="270"/>
      <c r="J1381" s="268">
        <v>1</v>
      </c>
      <c r="K1381" s="269">
        <v>84460</v>
      </c>
      <c r="L1381" s="269">
        <v>85605</v>
      </c>
      <c r="M1381" s="270">
        <v>1</v>
      </c>
      <c r="N1381" s="268">
        <v>1</v>
      </c>
      <c r="O1381" s="271"/>
      <c r="P1381" s="271">
        <v>84460</v>
      </c>
      <c r="Q1381" s="271"/>
      <c r="R1381" s="271"/>
      <c r="S1381" s="271">
        <v>-85605</v>
      </c>
      <c r="T1381" s="271"/>
      <c r="U1381" s="272">
        <v>1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153</v>
      </c>
      <c r="B1382" s="267" t="s">
        <v>417</v>
      </c>
      <c r="C1382" s="267" t="s">
        <v>94</v>
      </c>
      <c r="D1382" s="267" t="s">
        <v>92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84854</v>
      </c>
      <c r="L1382" s="269">
        <v>85273</v>
      </c>
      <c r="M1382" s="270">
        <v>1</v>
      </c>
      <c r="N1382" s="268">
        <v>1</v>
      </c>
      <c r="O1382" s="271"/>
      <c r="P1382" s="271">
        <v>84854</v>
      </c>
      <c r="Q1382" s="271"/>
      <c r="R1382" s="271"/>
      <c r="S1382" s="271">
        <v>-85273</v>
      </c>
      <c r="T1382" s="271"/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153</v>
      </c>
      <c r="B1383" s="267" t="s">
        <v>418</v>
      </c>
      <c r="C1383" s="267" t="s">
        <v>94</v>
      </c>
      <c r="D1383" s="267" t="s">
        <v>92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84814</v>
      </c>
      <c r="L1383" s="269">
        <v>85321</v>
      </c>
      <c r="M1383" s="270">
        <v>1</v>
      </c>
      <c r="N1383" s="268">
        <v>1</v>
      </c>
      <c r="O1383" s="271"/>
      <c r="P1383" s="271">
        <v>84814</v>
      </c>
      <c r="Q1383" s="271"/>
      <c r="R1383" s="271"/>
      <c r="S1383" s="271">
        <v>-85321</v>
      </c>
      <c r="T1383" s="271"/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153</v>
      </c>
      <c r="B1384" s="267" t="s">
        <v>419</v>
      </c>
      <c r="C1384" s="267" t="s">
        <v>94</v>
      </c>
      <c r="D1384" s="267" t="s">
        <v>92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84880</v>
      </c>
      <c r="L1384" s="269">
        <v>85204</v>
      </c>
      <c r="M1384" s="270">
        <v>1</v>
      </c>
      <c r="N1384" s="268">
        <v>1</v>
      </c>
      <c r="O1384" s="271"/>
      <c r="P1384" s="271">
        <v>84880</v>
      </c>
      <c r="Q1384" s="271"/>
      <c r="R1384" s="271"/>
      <c r="S1384" s="271">
        <v>-85204</v>
      </c>
      <c r="T1384" s="271"/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153</v>
      </c>
      <c r="B1385" s="267" t="s">
        <v>1856</v>
      </c>
      <c r="C1385" s="267" t="s">
        <v>94</v>
      </c>
      <c r="D1385" s="267" t="s">
        <v>92</v>
      </c>
      <c r="E1385" s="267" t="s">
        <v>0</v>
      </c>
      <c r="F1385" s="268"/>
      <c r="G1385" s="269"/>
      <c r="H1385" s="269"/>
      <c r="I1385" s="270"/>
      <c r="J1385" s="268">
        <v>1</v>
      </c>
      <c r="K1385" s="269">
        <v>84435</v>
      </c>
      <c r="L1385" s="269">
        <v>85630</v>
      </c>
      <c r="M1385" s="270">
        <v>1</v>
      </c>
      <c r="N1385" s="268">
        <v>1</v>
      </c>
      <c r="O1385" s="271"/>
      <c r="P1385" s="271">
        <v>84435</v>
      </c>
      <c r="Q1385" s="271"/>
      <c r="R1385" s="271"/>
      <c r="S1385" s="271">
        <v>-85630</v>
      </c>
      <c r="T1385" s="271"/>
      <c r="U1385" s="272">
        <v>1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153</v>
      </c>
      <c r="B1386" s="267" t="s">
        <v>420</v>
      </c>
      <c r="C1386" s="267" t="s">
        <v>94</v>
      </c>
      <c r="D1386" s="267" t="s">
        <v>92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84808</v>
      </c>
      <c r="L1386" s="269">
        <v>85304</v>
      </c>
      <c r="M1386" s="270">
        <v>1</v>
      </c>
      <c r="N1386" s="268">
        <v>1</v>
      </c>
      <c r="O1386" s="271"/>
      <c r="P1386" s="271">
        <v>84808</v>
      </c>
      <c r="Q1386" s="271"/>
      <c r="R1386" s="271"/>
      <c r="S1386" s="271">
        <v>-85304</v>
      </c>
      <c r="T1386" s="271"/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153</v>
      </c>
      <c r="B1387" s="267" t="s">
        <v>421</v>
      </c>
      <c r="C1387" s="267" t="s">
        <v>94</v>
      </c>
      <c r="D1387" s="267" t="s">
        <v>92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84799</v>
      </c>
      <c r="L1387" s="269">
        <v>85306</v>
      </c>
      <c r="M1387" s="270">
        <v>1</v>
      </c>
      <c r="N1387" s="268">
        <v>1</v>
      </c>
      <c r="O1387" s="271"/>
      <c r="P1387" s="271">
        <v>84799</v>
      </c>
      <c r="Q1387" s="271"/>
      <c r="R1387" s="271"/>
      <c r="S1387" s="271">
        <v>-85306</v>
      </c>
      <c r="T1387" s="271"/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153</v>
      </c>
      <c r="B1388" s="267" t="s">
        <v>422</v>
      </c>
      <c r="C1388" s="267" t="s">
        <v>94</v>
      </c>
      <c r="D1388" s="267" t="s">
        <v>92</v>
      </c>
      <c r="E1388" s="267" t="s">
        <v>0</v>
      </c>
      <c r="F1388" s="268"/>
      <c r="G1388" s="269"/>
      <c r="H1388" s="269"/>
      <c r="I1388" s="270"/>
      <c r="J1388" s="268">
        <v>1</v>
      </c>
      <c r="K1388" s="269">
        <v>84901</v>
      </c>
      <c r="L1388" s="269">
        <v>85199</v>
      </c>
      <c r="M1388" s="270">
        <v>1</v>
      </c>
      <c r="N1388" s="268">
        <v>1</v>
      </c>
      <c r="O1388" s="271"/>
      <c r="P1388" s="271">
        <v>84901</v>
      </c>
      <c r="Q1388" s="271"/>
      <c r="R1388" s="271"/>
      <c r="S1388" s="271">
        <v>-85199</v>
      </c>
      <c r="T1388" s="271"/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153</v>
      </c>
      <c r="B1389" s="267" t="s">
        <v>1857</v>
      </c>
      <c r="C1389" s="267" t="s">
        <v>94</v>
      </c>
      <c r="D1389" s="267" t="s">
        <v>92</v>
      </c>
      <c r="E1389" s="267" t="s">
        <v>0</v>
      </c>
      <c r="F1389" s="268"/>
      <c r="G1389" s="269"/>
      <c r="H1389" s="269"/>
      <c r="I1389" s="270"/>
      <c r="J1389" s="268">
        <v>1</v>
      </c>
      <c r="K1389" s="269">
        <v>84600</v>
      </c>
      <c r="L1389" s="269">
        <v>85645</v>
      </c>
      <c r="M1389" s="270">
        <v>1</v>
      </c>
      <c r="N1389" s="268">
        <v>1</v>
      </c>
      <c r="O1389" s="271"/>
      <c r="P1389" s="271">
        <v>84600</v>
      </c>
      <c r="Q1389" s="271"/>
      <c r="R1389" s="271"/>
      <c r="S1389" s="271">
        <v>-85645</v>
      </c>
      <c r="T1389" s="271"/>
      <c r="U1389" s="272">
        <v>1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153</v>
      </c>
      <c r="B1390" s="267" t="s">
        <v>423</v>
      </c>
      <c r="C1390" s="267" t="s">
        <v>94</v>
      </c>
      <c r="D1390" s="267" t="s">
        <v>92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84726</v>
      </c>
      <c r="L1390" s="269">
        <v>85424</v>
      </c>
      <c r="M1390" s="270">
        <v>1</v>
      </c>
      <c r="N1390" s="268">
        <v>1</v>
      </c>
      <c r="O1390" s="271"/>
      <c r="P1390" s="271">
        <v>84726</v>
      </c>
      <c r="Q1390" s="271"/>
      <c r="R1390" s="271"/>
      <c r="S1390" s="271">
        <v>-85424</v>
      </c>
      <c r="T1390" s="271"/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153</v>
      </c>
      <c r="B1391" s="267" t="s">
        <v>424</v>
      </c>
      <c r="C1391" s="267" t="s">
        <v>94</v>
      </c>
      <c r="D1391" s="267" t="s">
        <v>92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84731</v>
      </c>
      <c r="L1391" s="269">
        <v>85409</v>
      </c>
      <c r="M1391" s="270">
        <v>1</v>
      </c>
      <c r="N1391" s="268">
        <v>1</v>
      </c>
      <c r="O1391" s="271"/>
      <c r="P1391" s="271">
        <v>84731</v>
      </c>
      <c r="Q1391" s="271"/>
      <c r="R1391" s="271"/>
      <c r="S1391" s="271">
        <v>-85409</v>
      </c>
      <c r="T1391" s="271"/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153</v>
      </c>
      <c r="B1392" s="267" t="s">
        <v>425</v>
      </c>
      <c r="C1392" s="267" t="s">
        <v>94</v>
      </c>
      <c r="D1392" s="267" t="s">
        <v>92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84736</v>
      </c>
      <c r="L1392" s="269">
        <v>85388</v>
      </c>
      <c r="M1392" s="270">
        <v>1</v>
      </c>
      <c r="N1392" s="268">
        <v>1</v>
      </c>
      <c r="O1392" s="271"/>
      <c r="P1392" s="271">
        <v>84736</v>
      </c>
      <c r="Q1392" s="271"/>
      <c r="R1392" s="271"/>
      <c r="S1392" s="271">
        <v>-85388</v>
      </c>
      <c r="T1392" s="271"/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153</v>
      </c>
      <c r="B1393" s="267" t="s">
        <v>1858</v>
      </c>
      <c r="C1393" s="267" t="s">
        <v>94</v>
      </c>
      <c r="D1393" s="267" t="s">
        <v>92</v>
      </c>
      <c r="E1393" s="267" t="s">
        <v>0</v>
      </c>
      <c r="F1393" s="268"/>
      <c r="G1393" s="269"/>
      <c r="H1393" s="269"/>
      <c r="I1393" s="270"/>
      <c r="J1393" s="268">
        <v>1</v>
      </c>
      <c r="K1393" s="269">
        <v>84305</v>
      </c>
      <c r="L1393" s="269">
        <v>85760</v>
      </c>
      <c r="M1393" s="270">
        <v>1</v>
      </c>
      <c r="N1393" s="268">
        <v>1</v>
      </c>
      <c r="O1393" s="271"/>
      <c r="P1393" s="271">
        <v>84305</v>
      </c>
      <c r="Q1393" s="271"/>
      <c r="R1393" s="271"/>
      <c r="S1393" s="271">
        <v>-85760</v>
      </c>
      <c r="T1393" s="271"/>
      <c r="U1393" s="272">
        <v>1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153</v>
      </c>
      <c r="B1394" s="267" t="s">
        <v>1859</v>
      </c>
      <c r="C1394" s="267" t="s">
        <v>94</v>
      </c>
      <c r="D1394" s="267" t="s">
        <v>92</v>
      </c>
      <c r="E1394" s="267" t="s">
        <v>0</v>
      </c>
      <c r="F1394" s="268"/>
      <c r="G1394" s="269"/>
      <c r="H1394" s="269"/>
      <c r="I1394" s="270"/>
      <c r="J1394" s="268">
        <v>1</v>
      </c>
      <c r="K1394" s="269">
        <v>84125</v>
      </c>
      <c r="L1394" s="269">
        <v>85995</v>
      </c>
      <c r="M1394" s="270">
        <v>1</v>
      </c>
      <c r="N1394" s="268">
        <v>1</v>
      </c>
      <c r="O1394" s="271"/>
      <c r="P1394" s="271">
        <v>84125</v>
      </c>
      <c r="Q1394" s="271"/>
      <c r="R1394" s="271"/>
      <c r="S1394" s="271">
        <v>-85995</v>
      </c>
      <c r="T1394" s="271"/>
      <c r="U1394" s="272">
        <v>1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153</v>
      </c>
      <c r="B1395" s="267" t="s">
        <v>1860</v>
      </c>
      <c r="C1395" s="267" t="s">
        <v>94</v>
      </c>
      <c r="D1395" s="267" t="s">
        <v>92</v>
      </c>
      <c r="E1395" s="267" t="s">
        <v>0</v>
      </c>
      <c r="F1395" s="268"/>
      <c r="G1395" s="269"/>
      <c r="H1395" s="269"/>
      <c r="I1395" s="270"/>
      <c r="J1395" s="268">
        <v>1</v>
      </c>
      <c r="K1395" s="269">
        <v>84100</v>
      </c>
      <c r="L1395" s="269">
        <v>86020</v>
      </c>
      <c r="M1395" s="270">
        <v>1</v>
      </c>
      <c r="N1395" s="268">
        <v>1</v>
      </c>
      <c r="O1395" s="271"/>
      <c r="P1395" s="271">
        <v>84100</v>
      </c>
      <c r="Q1395" s="271"/>
      <c r="R1395" s="271"/>
      <c r="S1395" s="271">
        <v>-86020</v>
      </c>
      <c r="T1395" s="271"/>
      <c r="U1395" s="272">
        <v>1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153</v>
      </c>
      <c r="B1396" s="267" t="s">
        <v>1861</v>
      </c>
      <c r="C1396" s="267" t="s">
        <v>94</v>
      </c>
      <c r="D1396" s="267" t="s">
        <v>92</v>
      </c>
      <c r="E1396" s="267" t="s">
        <v>0</v>
      </c>
      <c r="F1396" s="268"/>
      <c r="G1396" s="269"/>
      <c r="H1396" s="269"/>
      <c r="I1396" s="270"/>
      <c r="J1396" s="268">
        <v>1</v>
      </c>
      <c r="K1396" s="269">
        <v>84085</v>
      </c>
      <c r="L1396" s="269">
        <v>85855</v>
      </c>
      <c r="M1396" s="270">
        <v>1</v>
      </c>
      <c r="N1396" s="268">
        <v>1</v>
      </c>
      <c r="O1396" s="271"/>
      <c r="P1396" s="271">
        <v>84085</v>
      </c>
      <c r="Q1396" s="271"/>
      <c r="R1396" s="271"/>
      <c r="S1396" s="271">
        <v>-85855</v>
      </c>
      <c r="T1396" s="271"/>
      <c r="U1396" s="272">
        <v>1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153</v>
      </c>
      <c r="B1397" s="267" t="s">
        <v>1862</v>
      </c>
      <c r="C1397" s="267" t="s">
        <v>94</v>
      </c>
      <c r="D1397" s="267" t="s">
        <v>92</v>
      </c>
      <c r="E1397" s="267" t="s">
        <v>0</v>
      </c>
      <c r="F1397" s="268"/>
      <c r="G1397" s="269"/>
      <c r="H1397" s="269"/>
      <c r="I1397" s="270"/>
      <c r="J1397" s="268">
        <v>1</v>
      </c>
      <c r="K1397" s="269">
        <v>84139</v>
      </c>
      <c r="L1397" s="269">
        <v>85965</v>
      </c>
      <c r="M1397" s="270">
        <v>1</v>
      </c>
      <c r="N1397" s="268">
        <v>1</v>
      </c>
      <c r="O1397" s="271"/>
      <c r="P1397" s="271">
        <v>84139</v>
      </c>
      <c r="Q1397" s="271"/>
      <c r="R1397" s="271"/>
      <c r="S1397" s="271">
        <v>-85965</v>
      </c>
      <c r="T1397" s="271"/>
      <c r="U1397" s="272">
        <v>1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153</v>
      </c>
      <c r="B1398" s="267" t="s">
        <v>426</v>
      </c>
      <c r="C1398" s="267" t="s">
        <v>94</v>
      </c>
      <c r="D1398" s="267" t="s">
        <v>92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84821</v>
      </c>
      <c r="L1398" s="269">
        <v>85307</v>
      </c>
      <c r="M1398" s="270">
        <v>1</v>
      </c>
      <c r="N1398" s="268">
        <v>1</v>
      </c>
      <c r="O1398" s="271"/>
      <c r="P1398" s="271">
        <v>84821</v>
      </c>
      <c r="Q1398" s="271"/>
      <c r="R1398" s="271"/>
      <c r="S1398" s="271">
        <v>-85307</v>
      </c>
      <c r="T1398" s="271"/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153</v>
      </c>
      <c r="B1399" s="267" t="s">
        <v>427</v>
      </c>
      <c r="C1399" s="267" t="s">
        <v>94</v>
      </c>
      <c r="D1399" s="267" t="s">
        <v>92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84887</v>
      </c>
      <c r="L1399" s="269">
        <v>85190</v>
      </c>
      <c r="M1399" s="270">
        <v>1</v>
      </c>
      <c r="N1399" s="268">
        <v>1</v>
      </c>
      <c r="O1399" s="271"/>
      <c r="P1399" s="271">
        <v>84887</v>
      </c>
      <c r="Q1399" s="271"/>
      <c r="R1399" s="271"/>
      <c r="S1399" s="271">
        <v>-85190</v>
      </c>
      <c r="T1399" s="271"/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153</v>
      </c>
      <c r="B1400" s="267" t="s">
        <v>1863</v>
      </c>
      <c r="C1400" s="267" t="s">
        <v>94</v>
      </c>
      <c r="D1400" s="267" t="s">
        <v>92</v>
      </c>
      <c r="E1400" s="267" t="s">
        <v>0</v>
      </c>
      <c r="F1400" s="268"/>
      <c r="G1400" s="269"/>
      <c r="H1400" s="269"/>
      <c r="I1400" s="270"/>
      <c r="J1400" s="268">
        <v>1</v>
      </c>
      <c r="K1400" s="269">
        <v>84442</v>
      </c>
      <c r="L1400" s="269">
        <v>85616</v>
      </c>
      <c r="M1400" s="270">
        <v>1</v>
      </c>
      <c r="N1400" s="268">
        <v>1</v>
      </c>
      <c r="O1400" s="271"/>
      <c r="P1400" s="271">
        <v>84442</v>
      </c>
      <c r="Q1400" s="271"/>
      <c r="R1400" s="271"/>
      <c r="S1400" s="271">
        <v>-85616</v>
      </c>
      <c r="T1400" s="271"/>
      <c r="U1400" s="272">
        <v>1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153</v>
      </c>
      <c r="B1401" s="267" t="s">
        <v>428</v>
      </c>
      <c r="C1401" s="267" t="s">
        <v>94</v>
      </c>
      <c r="D1401" s="267" t="s">
        <v>92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84820</v>
      </c>
      <c r="L1401" s="269">
        <v>85293</v>
      </c>
      <c r="M1401" s="270">
        <v>1</v>
      </c>
      <c r="N1401" s="268">
        <v>1</v>
      </c>
      <c r="O1401" s="271"/>
      <c r="P1401" s="271">
        <v>84820</v>
      </c>
      <c r="Q1401" s="271"/>
      <c r="R1401" s="271"/>
      <c r="S1401" s="271">
        <v>-85293</v>
      </c>
      <c r="T1401" s="271"/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153</v>
      </c>
      <c r="B1402" s="267" t="s">
        <v>429</v>
      </c>
      <c r="C1402" s="267" t="s">
        <v>94</v>
      </c>
      <c r="D1402" s="267" t="s">
        <v>92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84922</v>
      </c>
      <c r="L1402" s="269">
        <v>85186</v>
      </c>
      <c r="M1402" s="270">
        <v>1</v>
      </c>
      <c r="N1402" s="268">
        <v>1</v>
      </c>
      <c r="O1402" s="271"/>
      <c r="P1402" s="271">
        <v>84922</v>
      </c>
      <c r="Q1402" s="271"/>
      <c r="R1402" s="271"/>
      <c r="S1402" s="271">
        <v>-85186</v>
      </c>
      <c r="T1402" s="271"/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153</v>
      </c>
      <c r="B1403" s="267" t="s">
        <v>1864</v>
      </c>
      <c r="C1403" s="267" t="s">
        <v>94</v>
      </c>
      <c r="D1403" s="267" t="s">
        <v>92</v>
      </c>
      <c r="E1403" s="267" t="s">
        <v>0</v>
      </c>
      <c r="F1403" s="268"/>
      <c r="G1403" s="269"/>
      <c r="H1403" s="269"/>
      <c r="I1403" s="270"/>
      <c r="J1403" s="268">
        <v>1</v>
      </c>
      <c r="K1403" s="269">
        <v>84621</v>
      </c>
      <c r="L1403" s="269">
        <v>85632</v>
      </c>
      <c r="M1403" s="270">
        <v>1</v>
      </c>
      <c r="N1403" s="268">
        <v>1</v>
      </c>
      <c r="O1403" s="271"/>
      <c r="P1403" s="271">
        <v>84621</v>
      </c>
      <c r="Q1403" s="271"/>
      <c r="R1403" s="271"/>
      <c r="S1403" s="271">
        <v>-85632</v>
      </c>
      <c r="T1403" s="271"/>
      <c r="U1403" s="272">
        <v>1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153</v>
      </c>
      <c r="B1404" s="267" t="s">
        <v>430</v>
      </c>
      <c r="C1404" s="267" t="s">
        <v>94</v>
      </c>
      <c r="D1404" s="267" t="s">
        <v>92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84717</v>
      </c>
      <c r="L1404" s="269">
        <v>85393</v>
      </c>
      <c r="M1404" s="270">
        <v>1</v>
      </c>
      <c r="N1404" s="268">
        <v>1</v>
      </c>
      <c r="O1404" s="271"/>
      <c r="P1404" s="271">
        <v>84717</v>
      </c>
      <c r="Q1404" s="271"/>
      <c r="R1404" s="271"/>
      <c r="S1404" s="271">
        <v>-85393</v>
      </c>
      <c r="T1404" s="271"/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153</v>
      </c>
      <c r="B1405" s="267" t="s">
        <v>431</v>
      </c>
      <c r="C1405" s="267" t="s">
        <v>94</v>
      </c>
      <c r="D1405" s="267" t="s">
        <v>92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84722</v>
      </c>
      <c r="L1405" s="269">
        <v>85372</v>
      </c>
      <c r="M1405" s="270">
        <v>1</v>
      </c>
      <c r="N1405" s="268">
        <v>1</v>
      </c>
      <c r="O1405" s="271"/>
      <c r="P1405" s="271">
        <v>84722</v>
      </c>
      <c r="Q1405" s="271"/>
      <c r="R1405" s="271"/>
      <c r="S1405" s="271">
        <v>-85372</v>
      </c>
      <c r="T1405" s="271"/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153</v>
      </c>
      <c r="B1406" s="267" t="s">
        <v>1865</v>
      </c>
      <c r="C1406" s="267" t="s">
        <v>94</v>
      </c>
      <c r="D1406" s="267" t="s">
        <v>92</v>
      </c>
      <c r="E1406" s="267" t="s">
        <v>0</v>
      </c>
      <c r="F1406" s="268"/>
      <c r="G1406" s="269"/>
      <c r="H1406" s="269"/>
      <c r="I1406" s="270"/>
      <c r="J1406" s="268">
        <v>1</v>
      </c>
      <c r="K1406" s="269">
        <v>84291</v>
      </c>
      <c r="L1406" s="269">
        <v>85744</v>
      </c>
      <c r="M1406" s="270">
        <v>1</v>
      </c>
      <c r="N1406" s="268">
        <v>1</v>
      </c>
      <c r="O1406" s="271"/>
      <c r="P1406" s="271">
        <v>84291</v>
      </c>
      <c r="Q1406" s="271"/>
      <c r="R1406" s="271"/>
      <c r="S1406" s="271">
        <v>-85744</v>
      </c>
      <c r="T1406" s="271"/>
      <c r="U1406" s="272">
        <v>1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153</v>
      </c>
      <c r="B1407" s="267" t="s">
        <v>1866</v>
      </c>
      <c r="C1407" s="267" t="s">
        <v>94</v>
      </c>
      <c r="D1407" s="267" t="s">
        <v>92</v>
      </c>
      <c r="E1407" s="267" t="s">
        <v>0</v>
      </c>
      <c r="F1407" s="268"/>
      <c r="G1407" s="269"/>
      <c r="H1407" s="269"/>
      <c r="I1407" s="270"/>
      <c r="J1407" s="268">
        <v>1</v>
      </c>
      <c r="K1407" s="269">
        <v>84070</v>
      </c>
      <c r="L1407" s="269">
        <v>86050</v>
      </c>
      <c r="M1407" s="270">
        <v>1</v>
      </c>
      <c r="N1407" s="268">
        <v>1</v>
      </c>
      <c r="O1407" s="271"/>
      <c r="P1407" s="271">
        <v>84070</v>
      </c>
      <c r="Q1407" s="271"/>
      <c r="R1407" s="271"/>
      <c r="S1407" s="271">
        <v>-86050</v>
      </c>
      <c r="T1407" s="271"/>
      <c r="U1407" s="272">
        <v>1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153</v>
      </c>
      <c r="B1408" s="267" t="s">
        <v>1867</v>
      </c>
      <c r="C1408" s="267" t="s">
        <v>94</v>
      </c>
      <c r="D1408" s="267" t="s">
        <v>92</v>
      </c>
      <c r="E1408" s="267" t="s">
        <v>0</v>
      </c>
      <c r="F1408" s="268"/>
      <c r="G1408" s="269"/>
      <c r="H1408" s="269"/>
      <c r="I1408" s="270"/>
      <c r="J1408" s="268">
        <v>1</v>
      </c>
      <c r="K1408" s="269">
        <v>84055</v>
      </c>
      <c r="L1408" s="269">
        <v>85885</v>
      </c>
      <c r="M1408" s="270">
        <v>1</v>
      </c>
      <c r="N1408" s="268">
        <v>1</v>
      </c>
      <c r="O1408" s="271"/>
      <c r="P1408" s="271">
        <v>84055</v>
      </c>
      <c r="Q1408" s="271"/>
      <c r="R1408" s="271"/>
      <c r="S1408" s="271">
        <v>-85885</v>
      </c>
      <c r="T1408" s="271"/>
      <c r="U1408" s="272">
        <v>1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153</v>
      </c>
      <c r="B1409" s="267" t="s">
        <v>1868</v>
      </c>
      <c r="C1409" s="267" t="s">
        <v>94</v>
      </c>
      <c r="D1409" s="267" t="s">
        <v>92</v>
      </c>
      <c r="E1409" s="267" t="s">
        <v>0</v>
      </c>
      <c r="F1409" s="268"/>
      <c r="G1409" s="269"/>
      <c r="H1409" s="269"/>
      <c r="I1409" s="270"/>
      <c r="J1409" s="268">
        <v>1</v>
      </c>
      <c r="K1409" s="269">
        <v>84109</v>
      </c>
      <c r="L1409" s="269">
        <v>85995</v>
      </c>
      <c r="M1409" s="270">
        <v>1</v>
      </c>
      <c r="N1409" s="268">
        <v>1</v>
      </c>
      <c r="O1409" s="271"/>
      <c r="P1409" s="271">
        <v>84109</v>
      </c>
      <c r="Q1409" s="271"/>
      <c r="R1409" s="271"/>
      <c r="S1409" s="271">
        <v>-85995</v>
      </c>
      <c r="T1409" s="271"/>
      <c r="U1409" s="272">
        <v>1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153</v>
      </c>
      <c r="B1410" s="267" t="s">
        <v>432</v>
      </c>
      <c r="C1410" s="267" t="s">
        <v>94</v>
      </c>
      <c r="D1410" s="267" t="s">
        <v>92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84805</v>
      </c>
      <c r="L1410" s="269">
        <v>85330</v>
      </c>
      <c r="M1410" s="270">
        <v>1</v>
      </c>
      <c r="N1410" s="268">
        <v>1</v>
      </c>
      <c r="O1410" s="271"/>
      <c r="P1410" s="271">
        <v>84805</v>
      </c>
      <c r="Q1410" s="271"/>
      <c r="R1410" s="271"/>
      <c r="S1410" s="271">
        <v>-85330</v>
      </c>
      <c r="T1410" s="271"/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153</v>
      </c>
      <c r="B1411" s="267" t="s">
        <v>433</v>
      </c>
      <c r="C1411" s="267" t="s">
        <v>94</v>
      </c>
      <c r="D1411" s="267" t="s">
        <v>92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84854</v>
      </c>
      <c r="L1411" s="269">
        <v>85227</v>
      </c>
      <c r="M1411" s="270">
        <v>1</v>
      </c>
      <c r="N1411" s="268">
        <v>1</v>
      </c>
      <c r="O1411" s="271"/>
      <c r="P1411" s="271">
        <v>84854</v>
      </c>
      <c r="Q1411" s="271"/>
      <c r="R1411" s="271"/>
      <c r="S1411" s="271">
        <v>-85227</v>
      </c>
      <c r="T1411" s="271"/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153</v>
      </c>
      <c r="B1412" s="267" t="s">
        <v>1869</v>
      </c>
      <c r="C1412" s="267" t="s">
        <v>94</v>
      </c>
      <c r="D1412" s="267" t="s">
        <v>92</v>
      </c>
      <c r="E1412" s="267" t="s">
        <v>0</v>
      </c>
      <c r="F1412" s="268"/>
      <c r="G1412" s="269"/>
      <c r="H1412" s="269"/>
      <c r="I1412" s="270"/>
      <c r="J1412" s="268">
        <v>1</v>
      </c>
      <c r="K1412" s="269">
        <v>84449</v>
      </c>
      <c r="L1412" s="269">
        <v>85623</v>
      </c>
      <c r="M1412" s="270">
        <v>1</v>
      </c>
      <c r="N1412" s="268">
        <v>1</v>
      </c>
      <c r="O1412" s="271"/>
      <c r="P1412" s="271">
        <v>84449</v>
      </c>
      <c r="Q1412" s="271"/>
      <c r="R1412" s="271"/>
      <c r="S1412" s="271">
        <v>-85623</v>
      </c>
      <c r="T1412" s="271"/>
      <c r="U1412" s="272">
        <v>1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153</v>
      </c>
      <c r="B1413" s="267" t="s">
        <v>434</v>
      </c>
      <c r="C1413" s="267" t="s">
        <v>94</v>
      </c>
      <c r="D1413" s="267" t="s">
        <v>92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84827</v>
      </c>
      <c r="L1413" s="269">
        <v>85300</v>
      </c>
      <c r="M1413" s="270">
        <v>1</v>
      </c>
      <c r="N1413" s="268">
        <v>1</v>
      </c>
      <c r="O1413" s="271"/>
      <c r="P1413" s="271">
        <v>84827</v>
      </c>
      <c r="Q1413" s="271"/>
      <c r="R1413" s="271"/>
      <c r="S1413" s="271">
        <v>-85300</v>
      </c>
      <c r="T1413" s="271"/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153</v>
      </c>
      <c r="B1414" s="267" t="s">
        <v>435</v>
      </c>
      <c r="C1414" s="267" t="s">
        <v>94</v>
      </c>
      <c r="D1414" s="267" t="s">
        <v>92</v>
      </c>
      <c r="E1414" s="267" t="s">
        <v>0</v>
      </c>
      <c r="F1414" s="268"/>
      <c r="G1414" s="269"/>
      <c r="H1414" s="269"/>
      <c r="I1414" s="270"/>
      <c r="J1414" s="268">
        <v>1</v>
      </c>
      <c r="K1414" s="269">
        <v>84920</v>
      </c>
      <c r="L1414" s="269">
        <v>85195</v>
      </c>
      <c r="M1414" s="270">
        <v>1</v>
      </c>
      <c r="N1414" s="268">
        <v>1</v>
      </c>
      <c r="O1414" s="271"/>
      <c r="P1414" s="271">
        <v>84920</v>
      </c>
      <c r="Q1414" s="271"/>
      <c r="R1414" s="271"/>
      <c r="S1414" s="271">
        <v>-85195</v>
      </c>
      <c r="T1414" s="271"/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153</v>
      </c>
      <c r="B1415" s="267" t="s">
        <v>1870</v>
      </c>
      <c r="C1415" s="267" t="s">
        <v>94</v>
      </c>
      <c r="D1415" s="267" t="s">
        <v>92</v>
      </c>
      <c r="E1415" s="267" t="s">
        <v>0</v>
      </c>
      <c r="F1415" s="268"/>
      <c r="G1415" s="269"/>
      <c r="H1415" s="269"/>
      <c r="I1415" s="270"/>
      <c r="J1415" s="268">
        <v>1</v>
      </c>
      <c r="K1415" s="269">
        <v>84619</v>
      </c>
      <c r="L1415" s="269">
        <v>85641</v>
      </c>
      <c r="M1415" s="270">
        <v>1</v>
      </c>
      <c r="N1415" s="268">
        <v>1</v>
      </c>
      <c r="O1415" s="271"/>
      <c r="P1415" s="271">
        <v>84619</v>
      </c>
      <c r="Q1415" s="271"/>
      <c r="R1415" s="271"/>
      <c r="S1415" s="271">
        <v>-85641</v>
      </c>
      <c r="T1415" s="271"/>
      <c r="U1415" s="272">
        <v>1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153</v>
      </c>
      <c r="B1416" s="267" t="s">
        <v>436</v>
      </c>
      <c r="C1416" s="267" t="s">
        <v>94</v>
      </c>
      <c r="D1416" s="267" t="s">
        <v>92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84727</v>
      </c>
      <c r="L1416" s="269">
        <v>85403</v>
      </c>
      <c r="M1416" s="270">
        <v>1</v>
      </c>
      <c r="N1416" s="268">
        <v>1</v>
      </c>
      <c r="O1416" s="271"/>
      <c r="P1416" s="271">
        <v>84727</v>
      </c>
      <c r="Q1416" s="271"/>
      <c r="R1416" s="271"/>
      <c r="S1416" s="271">
        <v>-85403</v>
      </c>
      <c r="T1416" s="271"/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153</v>
      </c>
      <c r="B1417" s="267" t="s">
        <v>437</v>
      </c>
      <c r="C1417" s="267" t="s">
        <v>94</v>
      </c>
      <c r="D1417" s="267" t="s">
        <v>92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84737</v>
      </c>
      <c r="L1417" s="269">
        <v>85367</v>
      </c>
      <c r="M1417" s="270">
        <v>1</v>
      </c>
      <c r="N1417" s="268">
        <v>1</v>
      </c>
      <c r="O1417" s="271"/>
      <c r="P1417" s="271">
        <v>84737</v>
      </c>
      <c r="Q1417" s="271"/>
      <c r="R1417" s="271"/>
      <c r="S1417" s="271">
        <v>-85367</v>
      </c>
      <c r="T1417" s="271"/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153</v>
      </c>
      <c r="B1418" s="267" t="s">
        <v>1871</v>
      </c>
      <c r="C1418" s="267" t="s">
        <v>94</v>
      </c>
      <c r="D1418" s="267" t="s">
        <v>92</v>
      </c>
      <c r="E1418" s="267" t="s">
        <v>0</v>
      </c>
      <c r="F1418" s="268"/>
      <c r="G1418" s="269"/>
      <c r="H1418" s="269"/>
      <c r="I1418" s="270"/>
      <c r="J1418" s="268">
        <v>1</v>
      </c>
      <c r="K1418" s="269">
        <v>84306</v>
      </c>
      <c r="L1418" s="269">
        <v>85739</v>
      </c>
      <c r="M1418" s="270">
        <v>1</v>
      </c>
      <c r="N1418" s="268">
        <v>1</v>
      </c>
      <c r="O1418" s="271"/>
      <c r="P1418" s="271">
        <v>84306</v>
      </c>
      <c r="Q1418" s="271"/>
      <c r="R1418" s="271"/>
      <c r="S1418" s="271">
        <v>-85739</v>
      </c>
      <c r="T1418" s="271"/>
      <c r="U1418" s="272">
        <v>1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153</v>
      </c>
      <c r="B1419" s="267" t="s">
        <v>1872</v>
      </c>
      <c r="C1419" s="267" t="s">
        <v>94</v>
      </c>
      <c r="D1419" s="267" t="s">
        <v>92</v>
      </c>
      <c r="E1419" s="267" t="s">
        <v>0</v>
      </c>
      <c r="F1419" s="268"/>
      <c r="G1419" s="269"/>
      <c r="H1419" s="269"/>
      <c r="I1419" s="270"/>
      <c r="J1419" s="268">
        <v>1</v>
      </c>
      <c r="K1419" s="269">
        <v>84070</v>
      </c>
      <c r="L1419" s="269">
        <v>86050</v>
      </c>
      <c r="M1419" s="270">
        <v>1</v>
      </c>
      <c r="N1419" s="268">
        <v>1</v>
      </c>
      <c r="O1419" s="271"/>
      <c r="P1419" s="271">
        <v>84070</v>
      </c>
      <c r="Q1419" s="271"/>
      <c r="R1419" s="271"/>
      <c r="S1419" s="271">
        <v>-86050</v>
      </c>
      <c r="T1419" s="271"/>
      <c r="U1419" s="272">
        <v>1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153</v>
      </c>
      <c r="B1420" s="267" t="s">
        <v>1873</v>
      </c>
      <c r="C1420" s="267" t="s">
        <v>94</v>
      </c>
      <c r="D1420" s="267" t="s">
        <v>92</v>
      </c>
      <c r="E1420" s="267" t="s">
        <v>0</v>
      </c>
      <c r="F1420" s="268"/>
      <c r="G1420" s="269"/>
      <c r="H1420" s="269"/>
      <c r="I1420" s="270"/>
      <c r="J1420" s="268">
        <v>1</v>
      </c>
      <c r="K1420" s="269">
        <v>84030</v>
      </c>
      <c r="L1420" s="269">
        <v>85910</v>
      </c>
      <c r="M1420" s="270">
        <v>1</v>
      </c>
      <c r="N1420" s="268">
        <v>1</v>
      </c>
      <c r="O1420" s="271"/>
      <c r="P1420" s="271">
        <v>84030</v>
      </c>
      <c r="Q1420" s="271"/>
      <c r="R1420" s="271"/>
      <c r="S1420" s="271">
        <v>-85910</v>
      </c>
      <c r="T1420" s="271"/>
      <c r="U1420" s="272">
        <v>1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153</v>
      </c>
      <c r="B1421" s="267" t="s">
        <v>1874</v>
      </c>
      <c r="C1421" s="267" t="s">
        <v>94</v>
      </c>
      <c r="D1421" s="267" t="s">
        <v>92</v>
      </c>
      <c r="E1421" s="267" t="s">
        <v>0</v>
      </c>
      <c r="F1421" s="268"/>
      <c r="G1421" s="269"/>
      <c r="H1421" s="269"/>
      <c r="I1421" s="270"/>
      <c r="J1421" s="268">
        <v>1</v>
      </c>
      <c r="K1421" s="269">
        <v>84084</v>
      </c>
      <c r="L1421" s="269">
        <v>86020</v>
      </c>
      <c r="M1421" s="270">
        <v>1</v>
      </c>
      <c r="N1421" s="268">
        <v>1</v>
      </c>
      <c r="O1421" s="271"/>
      <c r="P1421" s="271">
        <v>84084</v>
      </c>
      <c r="Q1421" s="271"/>
      <c r="R1421" s="271"/>
      <c r="S1421" s="271">
        <v>-86020</v>
      </c>
      <c r="T1421" s="271"/>
      <c r="U1421" s="272">
        <v>1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153</v>
      </c>
      <c r="B1422" s="267" t="s">
        <v>438</v>
      </c>
      <c r="C1422" s="267" t="s">
        <v>94</v>
      </c>
      <c r="D1422" s="267" t="s">
        <v>92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84790</v>
      </c>
      <c r="L1422" s="269">
        <v>85315</v>
      </c>
      <c r="M1422" s="270">
        <v>1</v>
      </c>
      <c r="N1422" s="268">
        <v>1</v>
      </c>
      <c r="O1422" s="271"/>
      <c r="P1422" s="271">
        <v>84790</v>
      </c>
      <c r="Q1422" s="271"/>
      <c r="R1422" s="271"/>
      <c r="S1422" s="271">
        <v>-85315</v>
      </c>
      <c r="T1422" s="271"/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153</v>
      </c>
      <c r="B1423" s="267" t="s">
        <v>439</v>
      </c>
      <c r="C1423" s="267" t="s">
        <v>94</v>
      </c>
      <c r="D1423" s="267" t="s">
        <v>92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84808</v>
      </c>
      <c r="L1423" s="269">
        <v>85258</v>
      </c>
      <c r="M1423" s="270">
        <v>1</v>
      </c>
      <c r="N1423" s="268">
        <v>1</v>
      </c>
      <c r="O1423" s="271"/>
      <c r="P1423" s="271">
        <v>84808</v>
      </c>
      <c r="Q1423" s="271"/>
      <c r="R1423" s="271"/>
      <c r="S1423" s="271">
        <v>-85258</v>
      </c>
      <c r="T1423" s="271"/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153</v>
      </c>
      <c r="B1424" s="267" t="s">
        <v>1875</v>
      </c>
      <c r="C1424" s="267" t="s">
        <v>94</v>
      </c>
      <c r="D1424" s="267" t="s">
        <v>92</v>
      </c>
      <c r="E1424" s="267" t="s">
        <v>0</v>
      </c>
      <c r="F1424" s="268"/>
      <c r="G1424" s="269"/>
      <c r="H1424" s="269"/>
      <c r="I1424" s="270"/>
      <c r="J1424" s="268">
        <v>1</v>
      </c>
      <c r="K1424" s="269">
        <v>84403</v>
      </c>
      <c r="L1424" s="269">
        <v>85654</v>
      </c>
      <c r="M1424" s="270">
        <v>1</v>
      </c>
      <c r="N1424" s="268">
        <v>1</v>
      </c>
      <c r="O1424" s="271"/>
      <c r="P1424" s="271">
        <v>84403</v>
      </c>
      <c r="Q1424" s="271"/>
      <c r="R1424" s="271"/>
      <c r="S1424" s="271">
        <v>-85654</v>
      </c>
      <c r="T1424" s="271"/>
      <c r="U1424" s="272">
        <v>1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153</v>
      </c>
      <c r="B1425" s="267" t="s">
        <v>440</v>
      </c>
      <c r="C1425" s="267" t="s">
        <v>94</v>
      </c>
      <c r="D1425" s="267" t="s">
        <v>92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84813</v>
      </c>
      <c r="L1425" s="269">
        <v>85299</v>
      </c>
      <c r="M1425" s="270">
        <v>1</v>
      </c>
      <c r="N1425" s="268">
        <v>1</v>
      </c>
      <c r="O1425" s="271"/>
      <c r="P1425" s="271">
        <v>84813</v>
      </c>
      <c r="Q1425" s="271"/>
      <c r="R1425" s="271"/>
      <c r="S1425" s="271">
        <v>-85299</v>
      </c>
      <c r="T1425" s="271"/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153</v>
      </c>
      <c r="B1426" s="267" t="s">
        <v>441</v>
      </c>
      <c r="C1426" s="267" t="s">
        <v>94</v>
      </c>
      <c r="D1426" s="267" t="s">
        <v>92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84839</v>
      </c>
      <c r="L1426" s="269">
        <v>85230</v>
      </c>
      <c r="M1426" s="270">
        <v>1</v>
      </c>
      <c r="N1426" s="268">
        <v>1</v>
      </c>
      <c r="O1426" s="271"/>
      <c r="P1426" s="271">
        <v>84839</v>
      </c>
      <c r="Q1426" s="271"/>
      <c r="R1426" s="271"/>
      <c r="S1426" s="271">
        <v>-85230</v>
      </c>
      <c r="T1426" s="271"/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153</v>
      </c>
      <c r="B1427" s="267" t="s">
        <v>1876</v>
      </c>
      <c r="C1427" s="267" t="s">
        <v>94</v>
      </c>
      <c r="D1427" s="267" t="s">
        <v>92</v>
      </c>
      <c r="E1427" s="267" t="s">
        <v>0</v>
      </c>
      <c r="F1427" s="268"/>
      <c r="G1427" s="269"/>
      <c r="H1427" s="269"/>
      <c r="I1427" s="270"/>
      <c r="J1427" s="268">
        <v>1</v>
      </c>
      <c r="K1427" s="269">
        <v>84394</v>
      </c>
      <c r="L1427" s="269">
        <v>85656</v>
      </c>
      <c r="M1427" s="270">
        <v>1</v>
      </c>
      <c r="N1427" s="268">
        <v>1</v>
      </c>
      <c r="O1427" s="271"/>
      <c r="P1427" s="271">
        <v>84394</v>
      </c>
      <c r="Q1427" s="271"/>
      <c r="R1427" s="271"/>
      <c r="S1427" s="271">
        <v>-85656</v>
      </c>
      <c r="T1427" s="271"/>
      <c r="U1427" s="272">
        <v>1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153</v>
      </c>
      <c r="B1428" s="267" t="s">
        <v>442</v>
      </c>
      <c r="C1428" s="267" t="s">
        <v>94</v>
      </c>
      <c r="D1428" s="267" t="s">
        <v>92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84748</v>
      </c>
      <c r="L1428" s="269">
        <v>85398</v>
      </c>
      <c r="M1428" s="270">
        <v>1</v>
      </c>
      <c r="N1428" s="268">
        <v>1</v>
      </c>
      <c r="O1428" s="271"/>
      <c r="P1428" s="271">
        <v>84748</v>
      </c>
      <c r="Q1428" s="271"/>
      <c r="R1428" s="271"/>
      <c r="S1428" s="271">
        <v>-85398</v>
      </c>
      <c r="T1428" s="271"/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153</v>
      </c>
      <c r="B1429" s="267" t="s">
        <v>443</v>
      </c>
      <c r="C1429" s="267" t="s">
        <v>94</v>
      </c>
      <c r="D1429" s="267" t="s">
        <v>92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84753</v>
      </c>
      <c r="L1429" s="269">
        <v>85383</v>
      </c>
      <c r="M1429" s="270">
        <v>1</v>
      </c>
      <c r="N1429" s="268">
        <v>1</v>
      </c>
      <c r="O1429" s="271"/>
      <c r="P1429" s="271">
        <v>84753</v>
      </c>
      <c r="Q1429" s="271"/>
      <c r="R1429" s="271"/>
      <c r="S1429" s="271">
        <v>-85383</v>
      </c>
      <c r="T1429" s="271"/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153</v>
      </c>
      <c r="B1430" s="267" t="s">
        <v>1877</v>
      </c>
      <c r="C1430" s="267" t="s">
        <v>94</v>
      </c>
      <c r="D1430" s="267" t="s">
        <v>92</v>
      </c>
      <c r="E1430" s="267" t="s">
        <v>0</v>
      </c>
      <c r="F1430" s="268"/>
      <c r="G1430" s="269"/>
      <c r="H1430" s="269"/>
      <c r="I1430" s="270"/>
      <c r="J1430" s="268">
        <v>1</v>
      </c>
      <c r="K1430" s="269">
        <v>84327</v>
      </c>
      <c r="L1430" s="269">
        <v>85734</v>
      </c>
      <c r="M1430" s="270">
        <v>1</v>
      </c>
      <c r="N1430" s="268">
        <v>1</v>
      </c>
      <c r="O1430" s="271"/>
      <c r="P1430" s="271">
        <v>84327</v>
      </c>
      <c r="Q1430" s="271"/>
      <c r="R1430" s="271"/>
      <c r="S1430" s="271">
        <v>-85734</v>
      </c>
      <c r="T1430" s="271"/>
      <c r="U1430" s="272">
        <v>1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153</v>
      </c>
      <c r="B1431" s="267" t="s">
        <v>1878</v>
      </c>
      <c r="C1431" s="267" t="s">
        <v>94</v>
      </c>
      <c r="D1431" s="267" t="s">
        <v>92</v>
      </c>
      <c r="E1431" s="267" t="s">
        <v>0</v>
      </c>
      <c r="F1431" s="268"/>
      <c r="G1431" s="269"/>
      <c r="H1431" s="269"/>
      <c r="I1431" s="270"/>
      <c r="J1431" s="268">
        <v>1</v>
      </c>
      <c r="K1431" s="269">
        <v>84235</v>
      </c>
      <c r="L1431" s="269">
        <v>86065</v>
      </c>
      <c r="M1431" s="270">
        <v>1</v>
      </c>
      <c r="N1431" s="268">
        <v>1</v>
      </c>
      <c r="O1431" s="271"/>
      <c r="P1431" s="271">
        <v>84235</v>
      </c>
      <c r="Q1431" s="271"/>
      <c r="R1431" s="271"/>
      <c r="S1431" s="271">
        <v>-86065</v>
      </c>
      <c r="T1431" s="271"/>
      <c r="U1431" s="272">
        <v>1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153</v>
      </c>
      <c r="B1432" s="267" t="s">
        <v>1879</v>
      </c>
      <c r="C1432" s="267" t="s">
        <v>94</v>
      </c>
      <c r="D1432" s="267" t="s">
        <v>92</v>
      </c>
      <c r="E1432" s="267" t="s">
        <v>0</v>
      </c>
      <c r="F1432" s="268"/>
      <c r="G1432" s="269"/>
      <c r="H1432" s="269"/>
      <c r="I1432" s="270"/>
      <c r="J1432" s="268">
        <v>1</v>
      </c>
      <c r="K1432" s="269">
        <v>84210</v>
      </c>
      <c r="L1432" s="269">
        <v>86090</v>
      </c>
      <c r="M1432" s="270">
        <v>1</v>
      </c>
      <c r="N1432" s="268">
        <v>1</v>
      </c>
      <c r="O1432" s="271"/>
      <c r="P1432" s="271">
        <v>84210</v>
      </c>
      <c r="Q1432" s="271"/>
      <c r="R1432" s="271"/>
      <c r="S1432" s="271">
        <v>-86090</v>
      </c>
      <c r="T1432" s="271"/>
      <c r="U1432" s="272">
        <v>1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153</v>
      </c>
      <c r="B1433" s="267" t="s">
        <v>1880</v>
      </c>
      <c r="C1433" s="267" t="s">
        <v>94</v>
      </c>
      <c r="D1433" s="267" t="s">
        <v>92</v>
      </c>
      <c r="E1433" s="267" t="s">
        <v>0</v>
      </c>
      <c r="F1433" s="268"/>
      <c r="G1433" s="269"/>
      <c r="H1433" s="269"/>
      <c r="I1433" s="270"/>
      <c r="J1433" s="268">
        <v>1</v>
      </c>
      <c r="K1433" s="269">
        <v>84249</v>
      </c>
      <c r="L1433" s="269">
        <v>86035</v>
      </c>
      <c r="M1433" s="270">
        <v>1</v>
      </c>
      <c r="N1433" s="268">
        <v>1</v>
      </c>
      <c r="O1433" s="271"/>
      <c r="P1433" s="271">
        <v>84249</v>
      </c>
      <c r="Q1433" s="271"/>
      <c r="R1433" s="271"/>
      <c r="S1433" s="271">
        <v>-86035</v>
      </c>
      <c r="T1433" s="271"/>
      <c r="U1433" s="272">
        <v>1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153</v>
      </c>
      <c r="B1434" s="267" t="s">
        <v>444</v>
      </c>
      <c r="C1434" s="267" t="s">
        <v>94</v>
      </c>
      <c r="D1434" s="267" t="s">
        <v>92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84708</v>
      </c>
      <c r="L1434" s="269">
        <v>85435</v>
      </c>
      <c r="M1434" s="270">
        <v>1</v>
      </c>
      <c r="N1434" s="268">
        <v>1</v>
      </c>
      <c r="O1434" s="271"/>
      <c r="P1434" s="271">
        <v>84708</v>
      </c>
      <c r="Q1434" s="271"/>
      <c r="R1434" s="271"/>
      <c r="S1434" s="271">
        <v>-85435</v>
      </c>
      <c r="T1434" s="271"/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153</v>
      </c>
      <c r="B1435" s="267" t="s">
        <v>445</v>
      </c>
      <c r="C1435" s="267" t="s">
        <v>94</v>
      </c>
      <c r="D1435" s="267" t="s">
        <v>92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84677</v>
      </c>
      <c r="L1435" s="269">
        <v>85481</v>
      </c>
      <c r="M1435" s="270">
        <v>1</v>
      </c>
      <c r="N1435" s="268">
        <v>1</v>
      </c>
      <c r="O1435" s="271"/>
      <c r="P1435" s="271">
        <v>84677</v>
      </c>
      <c r="Q1435" s="271"/>
      <c r="R1435" s="271"/>
      <c r="S1435" s="271">
        <v>-85481</v>
      </c>
      <c r="T1435" s="271"/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153</v>
      </c>
      <c r="B1436" s="267" t="s">
        <v>1881</v>
      </c>
      <c r="C1436" s="267" t="s">
        <v>94</v>
      </c>
      <c r="D1436" s="267" t="s">
        <v>92</v>
      </c>
      <c r="E1436" s="267" t="s">
        <v>0</v>
      </c>
      <c r="F1436" s="268"/>
      <c r="G1436" s="269"/>
      <c r="H1436" s="269"/>
      <c r="I1436" s="270"/>
      <c r="J1436" s="268">
        <v>1</v>
      </c>
      <c r="K1436" s="269">
        <v>84321</v>
      </c>
      <c r="L1436" s="269">
        <v>85774</v>
      </c>
      <c r="M1436" s="270">
        <v>1</v>
      </c>
      <c r="N1436" s="268">
        <v>1</v>
      </c>
      <c r="O1436" s="271"/>
      <c r="P1436" s="271">
        <v>84321</v>
      </c>
      <c r="Q1436" s="271"/>
      <c r="R1436" s="271"/>
      <c r="S1436" s="271">
        <v>-85774</v>
      </c>
      <c r="T1436" s="271"/>
      <c r="U1436" s="272">
        <v>1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153</v>
      </c>
      <c r="B1437" s="267" t="s">
        <v>446</v>
      </c>
      <c r="C1437" s="267" t="s">
        <v>94</v>
      </c>
      <c r="D1437" s="267" t="s">
        <v>92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84745</v>
      </c>
      <c r="L1437" s="269">
        <v>85402</v>
      </c>
      <c r="M1437" s="270">
        <v>1</v>
      </c>
      <c r="N1437" s="268">
        <v>1</v>
      </c>
      <c r="O1437" s="271"/>
      <c r="P1437" s="271">
        <v>84745</v>
      </c>
      <c r="Q1437" s="271"/>
      <c r="R1437" s="271"/>
      <c r="S1437" s="271">
        <v>-85402</v>
      </c>
      <c r="T1437" s="271"/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153</v>
      </c>
      <c r="B1438" s="267" t="s">
        <v>447</v>
      </c>
      <c r="C1438" s="267" t="s">
        <v>94</v>
      </c>
      <c r="D1438" s="267" t="s">
        <v>92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84705</v>
      </c>
      <c r="L1438" s="269">
        <v>85450</v>
      </c>
      <c r="M1438" s="270">
        <v>1</v>
      </c>
      <c r="N1438" s="268">
        <v>1</v>
      </c>
      <c r="O1438" s="271"/>
      <c r="P1438" s="271">
        <v>84705</v>
      </c>
      <c r="Q1438" s="271"/>
      <c r="R1438" s="271"/>
      <c r="S1438" s="271">
        <v>-85450</v>
      </c>
      <c r="T1438" s="271"/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153</v>
      </c>
      <c r="B1439" s="267" t="s">
        <v>1882</v>
      </c>
      <c r="C1439" s="267" t="s">
        <v>94</v>
      </c>
      <c r="D1439" s="267" t="s">
        <v>92</v>
      </c>
      <c r="E1439" s="267" t="s">
        <v>0</v>
      </c>
      <c r="F1439" s="268"/>
      <c r="G1439" s="269"/>
      <c r="H1439" s="269"/>
      <c r="I1439" s="270"/>
      <c r="J1439" s="268">
        <v>1</v>
      </c>
      <c r="K1439" s="269">
        <v>84326</v>
      </c>
      <c r="L1439" s="269">
        <v>85759</v>
      </c>
      <c r="M1439" s="270">
        <v>1</v>
      </c>
      <c r="N1439" s="268">
        <v>1</v>
      </c>
      <c r="O1439" s="271"/>
      <c r="P1439" s="271">
        <v>84326</v>
      </c>
      <c r="Q1439" s="271"/>
      <c r="R1439" s="271"/>
      <c r="S1439" s="271">
        <v>-85759</v>
      </c>
      <c r="T1439" s="271"/>
      <c r="U1439" s="272">
        <v>1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153</v>
      </c>
      <c r="B1440" s="267" t="s">
        <v>448</v>
      </c>
      <c r="C1440" s="267" t="s">
        <v>94</v>
      </c>
      <c r="D1440" s="267" t="s">
        <v>92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84749</v>
      </c>
      <c r="L1440" s="269">
        <v>85367</v>
      </c>
      <c r="M1440" s="270">
        <v>1</v>
      </c>
      <c r="N1440" s="268">
        <v>1</v>
      </c>
      <c r="O1440" s="271"/>
      <c r="P1440" s="271">
        <v>84749</v>
      </c>
      <c r="Q1440" s="271"/>
      <c r="R1440" s="271"/>
      <c r="S1440" s="271">
        <v>-85367</v>
      </c>
      <c r="T1440" s="271"/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153</v>
      </c>
      <c r="B1441" s="267" t="s">
        <v>449</v>
      </c>
      <c r="C1441" s="267" t="s">
        <v>94</v>
      </c>
      <c r="D1441" s="267" t="s">
        <v>92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84740</v>
      </c>
      <c r="L1441" s="269">
        <v>85369</v>
      </c>
      <c r="M1441" s="270">
        <v>1</v>
      </c>
      <c r="N1441" s="268">
        <v>1</v>
      </c>
      <c r="O1441" s="271"/>
      <c r="P1441" s="271">
        <v>84740</v>
      </c>
      <c r="Q1441" s="271"/>
      <c r="R1441" s="271"/>
      <c r="S1441" s="271">
        <v>-85369</v>
      </c>
      <c r="T1441" s="271"/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153</v>
      </c>
      <c r="B1442" s="267" t="s">
        <v>1883</v>
      </c>
      <c r="C1442" s="267" t="s">
        <v>94</v>
      </c>
      <c r="D1442" s="267" t="s">
        <v>92</v>
      </c>
      <c r="E1442" s="267" t="s">
        <v>0</v>
      </c>
      <c r="F1442" s="268"/>
      <c r="G1442" s="269"/>
      <c r="H1442" s="269"/>
      <c r="I1442" s="270"/>
      <c r="J1442" s="268">
        <v>1</v>
      </c>
      <c r="K1442" s="269">
        <v>84541</v>
      </c>
      <c r="L1442" s="269">
        <v>85708</v>
      </c>
      <c r="M1442" s="270">
        <v>1</v>
      </c>
      <c r="N1442" s="268">
        <v>1</v>
      </c>
      <c r="O1442" s="271"/>
      <c r="P1442" s="271">
        <v>84541</v>
      </c>
      <c r="Q1442" s="271"/>
      <c r="R1442" s="271"/>
      <c r="S1442" s="271">
        <v>-85708</v>
      </c>
      <c r="T1442" s="271"/>
      <c r="U1442" s="272">
        <v>1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153</v>
      </c>
      <c r="B1443" s="267" t="s">
        <v>1884</v>
      </c>
      <c r="C1443" s="267" t="s">
        <v>94</v>
      </c>
      <c r="D1443" s="267" t="s">
        <v>92</v>
      </c>
      <c r="E1443" s="267" t="s">
        <v>0</v>
      </c>
      <c r="F1443" s="268"/>
      <c r="G1443" s="269"/>
      <c r="H1443" s="269"/>
      <c r="I1443" s="270"/>
      <c r="J1443" s="268">
        <v>1</v>
      </c>
      <c r="K1443" s="269">
        <v>83940</v>
      </c>
      <c r="L1443" s="269">
        <v>86180</v>
      </c>
      <c r="M1443" s="270">
        <v>1</v>
      </c>
      <c r="N1443" s="268">
        <v>1</v>
      </c>
      <c r="O1443" s="271"/>
      <c r="P1443" s="271">
        <v>83940</v>
      </c>
      <c r="Q1443" s="271"/>
      <c r="R1443" s="271"/>
      <c r="S1443" s="271">
        <v>-86180</v>
      </c>
      <c r="T1443" s="271"/>
      <c r="U1443" s="272">
        <v>1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153</v>
      </c>
      <c r="B1444" s="267" t="s">
        <v>1885</v>
      </c>
      <c r="C1444" s="267" t="s">
        <v>94</v>
      </c>
      <c r="D1444" s="267" t="s">
        <v>92</v>
      </c>
      <c r="E1444" s="267" t="s">
        <v>0</v>
      </c>
      <c r="F1444" s="268"/>
      <c r="G1444" s="269"/>
      <c r="H1444" s="269"/>
      <c r="I1444" s="270"/>
      <c r="J1444" s="268">
        <v>1</v>
      </c>
      <c r="K1444" s="269">
        <v>83915</v>
      </c>
      <c r="L1444" s="269">
        <v>86205</v>
      </c>
      <c r="M1444" s="270">
        <v>1</v>
      </c>
      <c r="N1444" s="268">
        <v>1</v>
      </c>
      <c r="O1444" s="271"/>
      <c r="P1444" s="271">
        <v>83915</v>
      </c>
      <c r="Q1444" s="271"/>
      <c r="R1444" s="271"/>
      <c r="S1444" s="271">
        <v>-86205</v>
      </c>
      <c r="T1444" s="271"/>
      <c r="U1444" s="272">
        <v>1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153</v>
      </c>
      <c r="B1445" s="267" t="s">
        <v>1886</v>
      </c>
      <c r="C1445" s="267" t="s">
        <v>94</v>
      </c>
      <c r="D1445" s="267" t="s">
        <v>92</v>
      </c>
      <c r="E1445" s="267" t="s">
        <v>0</v>
      </c>
      <c r="F1445" s="268"/>
      <c r="G1445" s="269"/>
      <c r="H1445" s="269"/>
      <c r="I1445" s="270"/>
      <c r="J1445" s="268">
        <v>1</v>
      </c>
      <c r="K1445" s="269">
        <v>83900</v>
      </c>
      <c r="L1445" s="269">
        <v>86040</v>
      </c>
      <c r="M1445" s="270">
        <v>1</v>
      </c>
      <c r="N1445" s="268">
        <v>1</v>
      </c>
      <c r="O1445" s="271"/>
      <c r="P1445" s="271">
        <v>83900</v>
      </c>
      <c r="Q1445" s="271"/>
      <c r="R1445" s="271"/>
      <c r="S1445" s="271">
        <v>-86040</v>
      </c>
      <c r="T1445" s="271"/>
      <c r="U1445" s="272">
        <v>1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153</v>
      </c>
      <c r="B1446" s="267" t="s">
        <v>1887</v>
      </c>
      <c r="C1446" s="267" t="s">
        <v>94</v>
      </c>
      <c r="D1446" s="267" t="s">
        <v>92</v>
      </c>
      <c r="E1446" s="267" t="s">
        <v>0</v>
      </c>
      <c r="F1446" s="268"/>
      <c r="G1446" s="269"/>
      <c r="H1446" s="269"/>
      <c r="I1446" s="270"/>
      <c r="J1446" s="268">
        <v>1</v>
      </c>
      <c r="K1446" s="269">
        <v>84107</v>
      </c>
      <c r="L1446" s="269">
        <v>86006</v>
      </c>
      <c r="M1446" s="270">
        <v>1</v>
      </c>
      <c r="N1446" s="268">
        <v>1</v>
      </c>
      <c r="O1446" s="271"/>
      <c r="P1446" s="271">
        <v>84107</v>
      </c>
      <c r="Q1446" s="271"/>
      <c r="R1446" s="271"/>
      <c r="S1446" s="271">
        <v>-86006</v>
      </c>
      <c r="T1446" s="271"/>
      <c r="U1446" s="272">
        <v>1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153</v>
      </c>
      <c r="B1447" s="267" t="s">
        <v>1888</v>
      </c>
      <c r="C1447" s="267" t="s">
        <v>94</v>
      </c>
      <c r="D1447" s="267" t="s">
        <v>92</v>
      </c>
      <c r="E1447" s="267" t="s">
        <v>0</v>
      </c>
      <c r="F1447" s="268"/>
      <c r="G1447" s="269"/>
      <c r="H1447" s="269"/>
      <c r="I1447" s="270"/>
      <c r="J1447" s="268">
        <v>1</v>
      </c>
      <c r="K1447" s="269">
        <v>84076</v>
      </c>
      <c r="L1447" s="269">
        <v>86052</v>
      </c>
      <c r="M1447" s="270">
        <v>1</v>
      </c>
      <c r="N1447" s="268">
        <v>1</v>
      </c>
      <c r="O1447" s="271"/>
      <c r="P1447" s="271">
        <v>84076</v>
      </c>
      <c r="Q1447" s="271"/>
      <c r="R1447" s="271"/>
      <c r="S1447" s="271">
        <v>-86052</v>
      </c>
      <c r="T1447" s="271"/>
      <c r="U1447" s="272">
        <v>1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153</v>
      </c>
      <c r="B1448" s="267" t="s">
        <v>1889</v>
      </c>
      <c r="C1448" s="267" t="s">
        <v>94</v>
      </c>
      <c r="D1448" s="267" t="s">
        <v>92</v>
      </c>
      <c r="E1448" s="267" t="s">
        <v>0</v>
      </c>
      <c r="F1448" s="268"/>
      <c r="G1448" s="269"/>
      <c r="H1448" s="269"/>
      <c r="I1448" s="270"/>
      <c r="J1448" s="268">
        <v>1</v>
      </c>
      <c r="K1448" s="269">
        <v>84125</v>
      </c>
      <c r="L1448" s="269">
        <v>85949</v>
      </c>
      <c r="M1448" s="270">
        <v>1</v>
      </c>
      <c r="N1448" s="268">
        <v>1</v>
      </c>
      <c r="O1448" s="271"/>
      <c r="P1448" s="271">
        <v>84125</v>
      </c>
      <c r="Q1448" s="271"/>
      <c r="R1448" s="271"/>
      <c r="S1448" s="271">
        <v>-85949</v>
      </c>
      <c r="T1448" s="271"/>
      <c r="U1448" s="272">
        <v>1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153</v>
      </c>
      <c r="B1449" s="267" t="s">
        <v>1890</v>
      </c>
      <c r="C1449" s="267" t="s">
        <v>94</v>
      </c>
      <c r="D1449" s="267" t="s">
        <v>92</v>
      </c>
      <c r="E1449" s="267" t="s">
        <v>0</v>
      </c>
      <c r="F1449" s="268"/>
      <c r="G1449" s="269"/>
      <c r="H1449" s="269"/>
      <c r="I1449" s="270"/>
      <c r="J1449" s="268">
        <v>1</v>
      </c>
      <c r="K1449" s="269">
        <v>84114</v>
      </c>
      <c r="L1449" s="269">
        <v>86013</v>
      </c>
      <c r="M1449" s="270">
        <v>1</v>
      </c>
      <c r="N1449" s="268">
        <v>1</v>
      </c>
      <c r="O1449" s="271"/>
      <c r="P1449" s="271">
        <v>84114</v>
      </c>
      <c r="Q1449" s="271"/>
      <c r="R1449" s="271"/>
      <c r="S1449" s="271">
        <v>-86013</v>
      </c>
      <c r="T1449" s="271"/>
      <c r="U1449" s="272">
        <v>1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153</v>
      </c>
      <c r="B1450" s="267" t="s">
        <v>1891</v>
      </c>
      <c r="C1450" s="267" t="s">
        <v>94</v>
      </c>
      <c r="D1450" s="267" t="s">
        <v>92</v>
      </c>
      <c r="E1450" s="267" t="s">
        <v>0</v>
      </c>
      <c r="F1450" s="268"/>
      <c r="G1450" s="269"/>
      <c r="H1450" s="269"/>
      <c r="I1450" s="270"/>
      <c r="J1450" s="268">
        <v>1</v>
      </c>
      <c r="K1450" s="269">
        <v>84074</v>
      </c>
      <c r="L1450" s="269">
        <v>86061</v>
      </c>
      <c r="M1450" s="270">
        <v>1</v>
      </c>
      <c r="N1450" s="268">
        <v>1</v>
      </c>
      <c r="O1450" s="271"/>
      <c r="P1450" s="271">
        <v>84074</v>
      </c>
      <c r="Q1450" s="271"/>
      <c r="R1450" s="271"/>
      <c r="S1450" s="271">
        <v>-86061</v>
      </c>
      <c r="T1450" s="271"/>
      <c r="U1450" s="272">
        <v>1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153</v>
      </c>
      <c r="B1451" s="267" t="s">
        <v>1892</v>
      </c>
      <c r="C1451" s="267" t="s">
        <v>94</v>
      </c>
      <c r="D1451" s="267" t="s">
        <v>92</v>
      </c>
      <c r="E1451" s="267" t="s">
        <v>0</v>
      </c>
      <c r="F1451" s="268"/>
      <c r="G1451" s="269"/>
      <c r="H1451" s="269"/>
      <c r="I1451" s="270"/>
      <c r="J1451" s="268">
        <v>1</v>
      </c>
      <c r="K1451" s="269">
        <v>84140</v>
      </c>
      <c r="L1451" s="269">
        <v>85944</v>
      </c>
      <c r="M1451" s="270">
        <v>1</v>
      </c>
      <c r="N1451" s="268">
        <v>1</v>
      </c>
      <c r="O1451" s="271"/>
      <c r="P1451" s="271">
        <v>84140</v>
      </c>
      <c r="Q1451" s="271"/>
      <c r="R1451" s="271"/>
      <c r="S1451" s="271">
        <v>-85944</v>
      </c>
      <c r="T1451" s="271"/>
      <c r="U1451" s="272">
        <v>1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153</v>
      </c>
      <c r="B1452" s="267" t="s">
        <v>1893</v>
      </c>
      <c r="C1452" s="267" t="s">
        <v>94</v>
      </c>
      <c r="D1452" s="267" t="s">
        <v>92</v>
      </c>
      <c r="E1452" s="267" t="s">
        <v>0</v>
      </c>
      <c r="F1452" s="268"/>
      <c r="G1452" s="269"/>
      <c r="H1452" s="269"/>
      <c r="I1452" s="270"/>
      <c r="J1452" s="268">
        <v>1</v>
      </c>
      <c r="K1452" s="269">
        <v>84098</v>
      </c>
      <c r="L1452" s="269">
        <v>85834</v>
      </c>
      <c r="M1452" s="270">
        <v>1</v>
      </c>
      <c r="N1452" s="268">
        <v>1</v>
      </c>
      <c r="O1452" s="271"/>
      <c r="P1452" s="271">
        <v>84098</v>
      </c>
      <c r="Q1452" s="271"/>
      <c r="R1452" s="271"/>
      <c r="S1452" s="271">
        <v>-85834</v>
      </c>
      <c r="T1452" s="271"/>
      <c r="U1452" s="272">
        <v>1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153</v>
      </c>
      <c r="B1453" s="267" t="s">
        <v>1894</v>
      </c>
      <c r="C1453" s="267" t="s">
        <v>94</v>
      </c>
      <c r="D1453" s="267" t="s">
        <v>92</v>
      </c>
      <c r="E1453" s="267" t="s">
        <v>0</v>
      </c>
      <c r="F1453" s="268"/>
      <c r="G1453" s="269"/>
      <c r="H1453" s="269"/>
      <c r="I1453" s="270"/>
      <c r="J1453" s="268">
        <v>1</v>
      </c>
      <c r="K1453" s="269">
        <v>84089</v>
      </c>
      <c r="L1453" s="269">
        <v>85836</v>
      </c>
      <c r="M1453" s="270">
        <v>1</v>
      </c>
      <c r="N1453" s="268">
        <v>1</v>
      </c>
      <c r="O1453" s="271"/>
      <c r="P1453" s="271">
        <v>84089</v>
      </c>
      <c r="Q1453" s="271"/>
      <c r="R1453" s="271"/>
      <c r="S1453" s="271">
        <v>-85836</v>
      </c>
      <c r="T1453" s="271"/>
      <c r="U1453" s="272">
        <v>1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153</v>
      </c>
      <c r="B1454" s="267" t="s">
        <v>1895</v>
      </c>
      <c r="C1454" s="267" t="s">
        <v>94</v>
      </c>
      <c r="D1454" s="267" t="s">
        <v>92</v>
      </c>
      <c r="E1454" s="267" t="s">
        <v>0</v>
      </c>
      <c r="F1454" s="268"/>
      <c r="G1454" s="269"/>
      <c r="H1454" s="269"/>
      <c r="I1454" s="270"/>
      <c r="J1454" s="268">
        <v>1</v>
      </c>
      <c r="K1454" s="269">
        <v>84191</v>
      </c>
      <c r="L1454" s="269">
        <v>85729</v>
      </c>
      <c r="M1454" s="270">
        <v>1</v>
      </c>
      <c r="N1454" s="268">
        <v>1</v>
      </c>
      <c r="O1454" s="271"/>
      <c r="P1454" s="271">
        <v>84191</v>
      </c>
      <c r="Q1454" s="271"/>
      <c r="R1454" s="271"/>
      <c r="S1454" s="271">
        <v>-85729</v>
      </c>
      <c r="T1454" s="271"/>
      <c r="U1454" s="272">
        <v>1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153</v>
      </c>
      <c r="B1455" s="267" t="s">
        <v>1896</v>
      </c>
      <c r="C1455" s="267" t="s">
        <v>94</v>
      </c>
      <c r="D1455" s="267" t="s">
        <v>92</v>
      </c>
      <c r="E1455" s="267" t="s">
        <v>0</v>
      </c>
      <c r="F1455" s="268"/>
      <c r="G1455" s="269"/>
      <c r="H1455" s="269"/>
      <c r="I1455" s="270"/>
      <c r="J1455" s="268">
        <v>1</v>
      </c>
      <c r="K1455" s="269">
        <v>83986</v>
      </c>
      <c r="L1455" s="269">
        <v>86164</v>
      </c>
      <c r="M1455" s="270">
        <v>1</v>
      </c>
      <c r="N1455" s="268">
        <v>1</v>
      </c>
      <c r="O1455" s="271"/>
      <c r="P1455" s="271">
        <v>83986</v>
      </c>
      <c r="Q1455" s="271"/>
      <c r="R1455" s="271"/>
      <c r="S1455" s="271">
        <v>-86164</v>
      </c>
      <c r="T1455" s="271"/>
      <c r="U1455" s="272">
        <v>1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153</v>
      </c>
      <c r="B1456" s="267" t="s">
        <v>1897</v>
      </c>
      <c r="C1456" s="267" t="s">
        <v>94</v>
      </c>
      <c r="D1456" s="267" t="s">
        <v>92</v>
      </c>
      <c r="E1456" s="267" t="s">
        <v>0</v>
      </c>
      <c r="F1456" s="268"/>
      <c r="G1456" s="269"/>
      <c r="H1456" s="269"/>
      <c r="I1456" s="270"/>
      <c r="J1456" s="268">
        <v>1</v>
      </c>
      <c r="K1456" s="269">
        <v>83991</v>
      </c>
      <c r="L1456" s="269">
        <v>86149</v>
      </c>
      <c r="M1456" s="270">
        <v>1</v>
      </c>
      <c r="N1456" s="268">
        <v>1</v>
      </c>
      <c r="O1456" s="271"/>
      <c r="P1456" s="271">
        <v>83991</v>
      </c>
      <c r="Q1456" s="271"/>
      <c r="R1456" s="271"/>
      <c r="S1456" s="271">
        <v>-86149</v>
      </c>
      <c r="T1456" s="271"/>
      <c r="U1456" s="272">
        <v>1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153</v>
      </c>
      <c r="B1457" s="267" t="s">
        <v>1898</v>
      </c>
      <c r="C1457" s="267" t="s">
        <v>94</v>
      </c>
      <c r="D1457" s="267" t="s">
        <v>92</v>
      </c>
      <c r="E1457" s="267" t="s">
        <v>0</v>
      </c>
      <c r="F1457" s="268"/>
      <c r="G1457" s="269"/>
      <c r="H1457" s="269"/>
      <c r="I1457" s="270"/>
      <c r="J1457" s="268">
        <v>1</v>
      </c>
      <c r="K1457" s="269">
        <v>83996</v>
      </c>
      <c r="L1457" s="269">
        <v>86128</v>
      </c>
      <c r="M1457" s="270">
        <v>1</v>
      </c>
      <c r="N1457" s="268">
        <v>1</v>
      </c>
      <c r="O1457" s="271"/>
      <c r="P1457" s="271">
        <v>83996</v>
      </c>
      <c r="Q1457" s="271"/>
      <c r="R1457" s="271"/>
      <c r="S1457" s="271">
        <v>-86128</v>
      </c>
      <c r="T1457" s="271"/>
      <c r="U1457" s="272">
        <v>1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153</v>
      </c>
      <c r="B1458" s="267" t="s">
        <v>450</v>
      </c>
      <c r="C1458" s="267" t="s">
        <v>94</v>
      </c>
      <c r="D1458" s="267" t="s">
        <v>92</v>
      </c>
      <c r="E1458" s="267" t="s">
        <v>0</v>
      </c>
      <c r="F1458" s="268"/>
      <c r="G1458" s="269"/>
      <c r="H1458" s="269"/>
      <c r="I1458" s="270"/>
      <c r="J1458" s="268">
        <v>1</v>
      </c>
      <c r="K1458" s="269">
        <v>84927</v>
      </c>
      <c r="L1458" s="269">
        <v>85181</v>
      </c>
      <c r="M1458" s="270">
        <v>1</v>
      </c>
      <c r="N1458" s="268">
        <v>1</v>
      </c>
      <c r="O1458" s="271"/>
      <c r="P1458" s="271">
        <v>84927</v>
      </c>
      <c r="Q1458" s="271"/>
      <c r="R1458" s="271"/>
      <c r="S1458" s="271">
        <v>-85181</v>
      </c>
      <c r="T1458" s="271"/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153</v>
      </c>
      <c r="B1459" s="267" t="s">
        <v>1899</v>
      </c>
      <c r="C1459" s="267" t="s">
        <v>94</v>
      </c>
      <c r="D1459" s="267" t="s">
        <v>92</v>
      </c>
      <c r="E1459" s="267" t="s">
        <v>0</v>
      </c>
      <c r="F1459" s="268"/>
      <c r="G1459" s="269"/>
      <c r="H1459" s="269"/>
      <c r="I1459" s="270"/>
      <c r="J1459" s="268">
        <v>1</v>
      </c>
      <c r="K1459" s="269">
        <v>84626</v>
      </c>
      <c r="L1459" s="269">
        <v>85627</v>
      </c>
      <c r="M1459" s="270">
        <v>1</v>
      </c>
      <c r="N1459" s="268">
        <v>1</v>
      </c>
      <c r="O1459" s="271"/>
      <c r="P1459" s="271">
        <v>84626</v>
      </c>
      <c r="Q1459" s="271"/>
      <c r="R1459" s="271"/>
      <c r="S1459" s="271">
        <v>-85627</v>
      </c>
      <c r="T1459" s="271"/>
      <c r="U1459" s="272">
        <v>1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153</v>
      </c>
      <c r="B1460" s="267" t="s">
        <v>451</v>
      </c>
      <c r="C1460" s="267" t="s">
        <v>94</v>
      </c>
      <c r="D1460" s="267" t="s">
        <v>92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84744</v>
      </c>
      <c r="L1460" s="269">
        <v>85353</v>
      </c>
      <c r="M1460" s="270">
        <v>1</v>
      </c>
      <c r="N1460" s="268">
        <v>1</v>
      </c>
      <c r="O1460" s="271"/>
      <c r="P1460" s="271">
        <v>84744</v>
      </c>
      <c r="Q1460" s="271"/>
      <c r="R1460" s="271"/>
      <c r="S1460" s="271">
        <v>-85353</v>
      </c>
      <c r="T1460" s="271"/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153</v>
      </c>
      <c r="B1461" s="267" t="s">
        <v>1900</v>
      </c>
      <c r="C1461" s="267" t="s">
        <v>94</v>
      </c>
      <c r="D1461" s="267" t="s">
        <v>92</v>
      </c>
      <c r="E1461" s="267" t="s">
        <v>0</v>
      </c>
      <c r="F1461" s="268"/>
      <c r="G1461" s="269"/>
      <c r="H1461" s="269"/>
      <c r="I1461" s="270"/>
      <c r="J1461" s="268">
        <v>1</v>
      </c>
      <c r="K1461" s="269">
        <v>84313</v>
      </c>
      <c r="L1461" s="269">
        <v>85725</v>
      </c>
      <c r="M1461" s="270">
        <v>1</v>
      </c>
      <c r="N1461" s="268">
        <v>1</v>
      </c>
      <c r="O1461" s="271"/>
      <c r="P1461" s="271">
        <v>84313</v>
      </c>
      <c r="Q1461" s="271"/>
      <c r="R1461" s="271"/>
      <c r="S1461" s="271">
        <v>-85725</v>
      </c>
      <c r="T1461" s="271"/>
      <c r="U1461" s="272">
        <v>1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153</v>
      </c>
      <c r="B1462" s="267" t="s">
        <v>1901</v>
      </c>
      <c r="C1462" s="267" t="s">
        <v>94</v>
      </c>
      <c r="D1462" s="267" t="s">
        <v>92</v>
      </c>
      <c r="E1462" s="267" t="s">
        <v>0</v>
      </c>
      <c r="F1462" s="268"/>
      <c r="G1462" s="269"/>
      <c r="H1462" s="269"/>
      <c r="I1462" s="270"/>
      <c r="J1462" s="268">
        <v>1</v>
      </c>
      <c r="K1462" s="269">
        <v>84037</v>
      </c>
      <c r="L1462" s="269">
        <v>85896</v>
      </c>
      <c r="M1462" s="270">
        <v>1</v>
      </c>
      <c r="N1462" s="268">
        <v>1</v>
      </c>
      <c r="O1462" s="271"/>
      <c r="P1462" s="271">
        <v>84037</v>
      </c>
      <c r="Q1462" s="271"/>
      <c r="R1462" s="271"/>
      <c r="S1462" s="271">
        <v>-85896</v>
      </c>
      <c r="T1462" s="271"/>
      <c r="U1462" s="272">
        <v>1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153</v>
      </c>
      <c r="B1463" s="267" t="s">
        <v>1902</v>
      </c>
      <c r="C1463" s="267" t="s">
        <v>94</v>
      </c>
      <c r="D1463" s="267" t="s">
        <v>92</v>
      </c>
      <c r="E1463" s="267" t="s">
        <v>0</v>
      </c>
      <c r="F1463" s="268"/>
      <c r="G1463" s="269"/>
      <c r="H1463" s="269"/>
      <c r="I1463" s="270"/>
      <c r="J1463" s="268">
        <v>1</v>
      </c>
      <c r="K1463" s="269">
        <v>84091</v>
      </c>
      <c r="L1463" s="269">
        <v>86006</v>
      </c>
      <c r="M1463" s="270">
        <v>1</v>
      </c>
      <c r="N1463" s="268">
        <v>1</v>
      </c>
      <c r="O1463" s="271"/>
      <c r="P1463" s="271">
        <v>84091</v>
      </c>
      <c r="Q1463" s="271"/>
      <c r="R1463" s="271"/>
      <c r="S1463" s="271">
        <v>-86006</v>
      </c>
      <c r="T1463" s="271"/>
      <c r="U1463" s="272">
        <v>1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153</v>
      </c>
      <c r="B1464" s="267" t="s">
        <v>452</v>
      </c>
      <c r="C1464" s="267" t="s">
        <v>94</v>
      </c>
      <c r="D1464" s="267" t="s">
        <v>92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84860</v>
      </c>
      <c r="L1464" s="269">
        <v>85217</v>
      </c>
      <c r="M1464" s="270">
        <v>1</v>
      </c>
      <c r="N1464" s="268">
        <v>1</v>
      </c>
      <c r="O1464" s="271"/>
      <c r="P1464" s="271">
        <v>84860</v>
      </c>
      <c r="Q1464" s="271"/>
      <c r="R1464" s="271"/>
      <c r="S1464" s="271">
        <v>-85217</v>
      </c>
      <c r="T1464" s="271"/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153</v>
      </c>
      <c r="B1465" s="267" t="s">
        <v>1903</v>
      </c>
      <c r="C1465" s="267" t="s">
        <v>94</v>
      </c>
      <c r="D1465" s="267" t="s">
        <v>92</v>
      </c>
      <c r="E1465" s="267" t="s">
        <v>0</v>
      </c>
      <c r="F1465" s="268"/>
      <c r="G1465" s="269"/>
      <c r="H1465" s="269"/>
      <c r="I1465" s="270"/>
      <c r="J1465" s="268">
        <v>1</v>
      </c>
      <c r="K1465" s="269">
        <v>84415</v>
      </c>
      <c r="L1465" s="269">
        <v>85643</v>
      </c>
      <c r="M1465" s="270">
        <v>1</v>
      </c>
      <c r="N1465" s="268">
        <v>1</v>
      </c>
      <c r="O1465" s="271"/>
      <c r="P1465" s="271">
        <v>84415</v>
      </c>
      <c r="Q1465" s="271"/>
      <c r="R1465" s="271"/>
      <c r="S1465" s="271">
        <v>-85643</v>
      </c>
      <c r="T1465" s="271"/>
      <c r="U1465" s="272">
        <v>1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153</v>
      </c>
      <c r="B1466" s="267" t="s">
        <v>453</v>
      </c>
      <c r="C1466" s="267" t="s">
        <v>94</v>
      </c>
      <c r="D1466" s="267" t="s">
        <v>92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84774</v>
      </c>
      <c r="L1466" s="269">
        <v>85370</v>
      </c>
      <c r="M1466" s="270">
        <v>1</v>
      </c>
      <c r="N1466" s="268">
        <v>1</v>
      </c>
      <c r="O1466" s="271"/>
      <c r="P1466" s="271">
        <v>84774</v>
      </c>
      <c r="Q1466" s="271"/>
      <c r="R1466" s="271"/>
      <c r="S1466" s="271">
        <v>-85370</v>
      </c>
      <c r="T1466" s="271"/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153</v>
      </c>
      <c r="B1467" s="267" t="s">
        <v>1904</v>
      </c>
      <c r="C1467" s="267" t="s">
        <v>94</v>
      </c>
      <c r="D1467" s="267" t="s">
        <v>92</v>
      </c>
      <c r="E1467" s="267" t="s">
        <v>0</v>
      </c>
      <c r="F1467" s="268"/>
      <c r="G1467" s="269"/>
      <c r="H1467" s="269"/>
      <c r="I1467" s="270"/>
      <c r="J1467" s="268">
        <v>1</v>
      </c>
      <c r="K1467" s="269">
        <v>84348</v>
      </c>
      <c r="L1467" s="269">
        <v>85721</v>
      </c>
      <c r="M1467" s="270">
        <v>1</v>
      </c>
      <c r="N1467" s="268">
        <v>1</v>
      </c>
      <c r="O1467" s="271"/>
      <c r="P1467" s="271">
        <v>84348</v>
      </c>
      <c r="Q1467" s="271"/>
      <c r="R1467" s="271"/>
      <c r="S1467" s="271">
        <v>-85721</v>
      </c>
      <c r="T1467" s="271"/>
      <c r="U1467" s="272">
        <v>1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153</v>
      </c>
      <c r="B1468" s="267" t="s">
        <v>1905</v>
      </c>
      <c r="C1468" s="267" t="s">
        <v>94</v>
      </c>
      <c r="D1468" s="267" t="s">
        <v>92</v>
      </c>
      <c r="E1468" s="267" t="s">
        <v>0</v>
      </c>
      <c r="F1468" s="268"/>
      <c r="G1468" s="269"/>
      <c r="H1468" s="269"/>
      <c r="I1468" s="270"/>
      <c r="J1468" s="268">
        <v>1</v>
      </c>
      <c r="K1468" s="269">
        <v>84231</v>
      </c>
      <c r="L1468" s="269">
        <v>86077</v>
      </c>
      <c r="M1468" s="270">
        <v>1</v>
      </c>
      <c r="N1468" s="268">
        <v>1</v>
      </c>
      <c r="O1468" s="271"/>
      <c r="P1468" s="271">
        <v>84231</v>
      </c>
      <c r="Q1468" s="271"/>
      <c r="R1468" s="271"/>
      <c r="S1468" s="271">
        <v>-86077</v>
      </c>
      <c r="T1468" s="271"/>
      <c r="U1468" s="272">
        <v>1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153</v>
      </c>
      <c r="B1469" s="267" t="s">
        <v>1906</v>
      </c>
      <c r="C1469" s="267" t="s">
        <v>94</v>
      </c>
      <c r="D1469" s="267" t="s">
        <v>92</v>
      </c>
      <c r="E1469" s="267" t="s">
        <v>0</v>
      </c>
      <c r="F1469" s="268"/>
      <c r="G1469" s="269"/>
      <c r="H1469" s="269"/>
      <c r="I1469" s="270"/>
      <c r="J1469" s="268">
        <v>1</v>
      </c>
      <c r="K1469" s="269">
        <v>84270</v>
      </c>
      <c r="L1469" s="269">
        <v>86022</v>
      </c>
      <c r="M1469" s="270">
        <v>1</v>
      </c>
      <c r="N1469" s="268">
        <v>1</v>
      </c>
      <c r="O1469" s="271"/>
      <c r="P1469" s="271">
        <v>84270</v>
      </c>
      <c r="Q1469" s="271"/>
      <c r="R1469" s="271"/>
      <c r="S1469" s="271">
        <v>-86022</v>
      </c>
      <c r="T1469" s="271"/>
      <c r="U1469" s="272">
        <v>1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153</v>
      </c>
      <c r="B1470" s="267" t="s">
        <v>454</v>
      </c>
      <c r="C1470" s="267" t="s">
        <v>94</v>
      </c>
      <c r="D1470" s="267" t="s">
        <v>92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84691</v>
      </c>
      <c r="L1470" s="269">
        <v>85434</v>
      </c>
      <c r="M1470" s="270">
        <v>1</v>
      </c>
      <c r="N1470" s="268">
        <v>1</v>
      </c>
      <c r="O1470" s="271"/>
      <c r="P1470" s="271">
        <v>84691</v>
      </c>
      <c r="Q1470" s="271"/>
      <c r="R1470" s="271"/>
      <c r="S1470" s="271">
        <v>-85434</v>
      </c>
      <c r="T1470" s="271"/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153</v>
      </c>
      <c r="B1471" s="267" t="s">
        <v>1907</v>
      </c>
      <c r="C1471" s="267" t="s">
        <v>94</v>
      </c>
      <c r="D1471" s="267" t="s">
        <v>92</v>
      </c>
      <c r="E1471" s="267" t="s">
        <v>0</v>
      </c>
      <c r="F1471" s="268"/>
      <c r="G1471" s="269"/>
      <c r="H1471" s="269"/>
      <c r="I1471" s="270"/>
      <c r="J1471" s="268">
        <v>1</v>
      </c>
      <c r="K1471" s="269">
        <v>84312</v>
      </c>
      <c r="L1471" s="269">
        <v>85743</v>
      </c>
      <c r="M1471" s="270">
        <v>1</v>
      </c>
      <c r="N1471" s="268">
        <v>1</v>
      </c>
      <c r="O1471" s="271"/>
      <c r="P1471" s="271">
        <v>84312</v>
      </c>
      <c r="Q1471" s="271"/>
      <c r="R1471" s="271"/>
      <c r="S1471" s="271">
        <v>-85743</v>
      </c>
      <c r="T1471" s="271"/>
      <c r="U1471" s="272">
        <v>1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153</v>
      </c>
      <c r="B1472" s="267" t="s">
        <v>455</v>
      </c>
      <c r="C1472" s="267" t="s">
        <v>94</v>
      </c>
      <c r="D1472" s="267" t="s">
        <v>92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84726</v>
      </c>
      <c r="L1472" s="269">
        <v>85353</v>
      </c>
      <c r="M1472" s="270">
        <v>1</v>
      </c>
      <c r="N1472" s="268">
        <v>1</v>
      </c>
      <c r="O1472" s="271"/>
      <c r="P1472" s="271">
        <v>84726</v>
      </c>
      <c r="Q1472" s="271"/>
      <c r="R1472" s="271"/>
      <c r="S1472" s="271">
        <v>-85353</v>
      </c>
      <c r="T1472" s="271"/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153</v>
      </c>
      <c r="B1473" s="267" t="s">
        <v>1908</v>
      </c>
      <c r="C1473" s="267" t="s">
        <v>94</v>
      </c>
      <c r="D1473" s="267" t="s">
        <v>92</v>
      </c>
      <c r="E1473" s="267" t="s">
        <v>0</v>
      </c>
      <c r="F1473" s="268"/>
      <c r="G1473" s="269"/>
      <c r="H1473" s="269"/>
      <c r="I1473" s="270"/>
      <c r="J1473" s="268">
        <v>1</v>
      </c>
      <c r="K1473" s="269">
        <v>84527</v>
      </c>
      <c r="L1473" s="269">
        <v>85692</v>
      </c>
      <c r="M1473" s="270">
        <v>1</v>
      </c>
      <c r="N1473" s="268">
        <v>1</v>
      </c>
      <c r="O1473" s="271"/>
      <c r="P1473" s="271">
        <v>84527</v>
      </c>
      <c r="Q1473" s="271"/>
      <c r="R1473" s="271"/>
      <c r="S1473" s="271">
        <v>-85692</v>
      </c>
      <c r="T1473" s="271"/>
      <c r="U1473" s="272">
        <v>1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153</v>
      </c>
      <c r="B1474" s="267" t="s">
        <v>1909</v>
      </c>
      <c r="C1474" s="267" t="s">
        <v>94</v>
      </c>
      <c r="D1474" s="267" t="s">
        <v>92</v>
      </c>
      <c r="E1474" s="267" t="s">
        <v>0</v>
      </c>
      <c r="F1474" s="268"/>
      <c r="G1474" s="269"/>
      <c r="H1474" s="269"/>
      <c r="I1474" s="270"/>
      <c r="J1474" s="268">
        <v>1</v>
      </c>
      <c r="K1474" s="269">
        <v>83901</v>
      </c>
      <c r="L1474" s="269">
        <v>86189</v>
      </c>
      <c r="M1474" s="270">
        <v>1</v>
      </c>
      <c r="N1474" s="268">
        <v>1</v>
      </c>
      <c r="O1474" s="271"/>
      <c r="P1474" s="271">
        <v>83901</v>
      </c>
      <c r="Q1474" s="271"/>
      <c r="R1474" s="271"/>
      <c r="S1474" s="271">
        <v>-86189</v>
      </c>
      <c r="T1474" s="271"/>
      <c r="U1474" s="272">
        <v>1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153</v>
      </c>
      <c r="B1475" s="267" t="s">
        <v>1910</v>
      </c>
      <c r="C1475" s="267" t="s">
        <v>94</v>
      </c>
      <c r="D1475" s="267" t="s">
        <v>92</v>
      </c>
      <c r="E1475" s="267" t="s">
        <v>0</v>
      </c>
      <c r="F1475" s="268"/>
      <c r="G1475" s="269"/>
      <c r="H1475" s="269"/>
      <c r="I1475" s="270"/>
      <c r="J1475" s="268">
        <v>1</v>
      </c>
      <c r="K1475" s="269">
        <v>83886</v>
      </c>
      <c r="L1475" s="269">
        <v>86024</v>
      </c>
      <c r="M1475" s="270">
        <v>1</v>
      </c>
      <c r="N1475" s="268">
        <v>1</v>
      </c>
      <c r="O1475" s="271"/>
      <c r="P1475" s="271">
        <v>83886</v>
      </c>
      <c r="Q1475" s="271"/>
      <c r="R1475" s="271"/>
      <c r="S1475" s="271">
        <v>-86024</v>
      </c>
      <c r="T1475" s="271"/>
      <c r="U1475" s="272">
        <v>1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153</v>
      </c>
      <c r="B1476" s="267" t="s">
        <v>1911</v>
      </c>
      <c r="C1476" s="267" t="s">
        <v>94</v>
      </c>
      <c r="D1476" s="267" t="s">
        <v>92</v>
      </c>
      <c r="E1476" s="267" t="s">
        <v>0</v>
      </c>
      <c r="F1476" s="268"/>
      <c r="G1476" s="269"/>
      <c r="H1476" s="269"/>
      <c r="I1476" s="270"/>
      <c r="J1476" s="268">
        <v>1</v>
      </c>
      <c r="K1476" s="269">
        <v>84044</v>
      </c>
      <c r="L1476" s="269">
        <v>86091</v>
      </c>
      <c r="M1476" s="270">
        <v>1</v>
      </c>
      <c r="N1476" s="268">
        <v>1</v>
      </c>
      <c r="O1476" s="271"/>
      <c r="P1476" s="271">
        <v>84044</v>
      </c>
      <c r="Q1476" s="271"/>
      <c r="R1476" s="271"/>
      <c r="S1476" s="271">
        <v>-86091</v>
      </c>
      <c r="T1476" s="271"/>
      <c r="U1476" s="272">
        <v>1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153</v>
      </c>
      <c r="B1477" s="267" t="s">
        <v>1912</v>
      </c>
      <c r="C1477" s="267" t="s">
        <v>94</v>
      </c>
      <c r="D1477" s="267" t="s">
        <v>92</v>
      </c>
      <c r="E1477" s="267" t="s">
        <v>0</v>
      </c>
      <c r="F1477" s="268"/>
      <c r="G1477" s="269"/>
      <c r="H1477" s="269"/>
      <c r="I1477" s="270"/>
      <c r="J1477" s="268">
        <v>1</v>
      </c>
      <c r="K1477" s="269">
        <v>84110</v>
      </c>
      <c r="L1477" s="269">
        <v>85974</v>
      </c>
      <c r="M1477" s="270">
        <v>1</v>
      </c>
      <c r="N1477" s="268">
        <v>1</v>
      </c>
      <c r="O1477" s="271"/>
      <c r="P1477" s="271">
        <v>84110</v>
      </c>
      <c r="Q1477" s="271"/>
      <c r="R1477" s="271"/>
      <c r="S1477" s="271">
        <v>-85974</v>
      </c>
      <c r="T1477" s="271"/>
      <c r="U1477" s="272">
        <v>1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153</v>
      </c>
      <c r="B1478" s="267" t="s">
        <v>1913</v>
      </c>
      <c r="C1478" s="267" t="s">
        <v>94</v>
      </c>
      <c r="D1478" s="267" t="s">
        <v>92</v>
      </c>
      <c r="E1478" s="267" t="s">
        <v>0</v>
      </c>
      <c r="F1478" s="268"/>
      <c r="G1478" s="269"/>
      <c r="H1478" s="269"/>
      <c r="I1478" s="270"/>
      <c r="J1478" s="268">
        <v>1</v>
      </c>
      <c r="K1478" s="269">
        <v>84059</v>
      </c>
      <c r="L1478" s="269">
        <v>85866</v>
      </c>
      <c r="M1478" s="270">
        <v>1</v>
      </c>
      <c r="N1478" s="268">
        <v>1</v>
      </c>
      <c r="O1478" s="271"/>
      <c r="P1478" s="271">
        <v>84059</v>
      </c>
      <c r="Q1478" s="271"/>
      <c r="R1478" s="271"/>
      <c r="S1478" s="271">
        <v>-85866</v>
      </c>
      <c r="T1478" s="271"/>
      <c r="U1478" s="272">
        <v>1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153</v>
      </c>
      <c r="B1479" s="267" t="s">
        <v>1914</v>
      </c>
      <c r="C1479" s="267" t="s">
        <v>94</v>
      </c>
      <c r="D1479" s="267" t="s">
        <v>92</v>
      </c>
      <c r="E1479" s="267" t="s">
        <v>0</v>
      </c>
      <c r="F1479" s="268"/>
      <c r="G1479" s="269"/>
      <c r="H1479" s="269"/>
      <c r="I1479" s="270"/>
      <c r="J1479" s="268">
        <v>1</v>
      </c>
      <c r="K1479" s="269">
        <v>84161</v>
      </c>
      <c r="L1479" s="269">
        <v>85759</v>
      </c>
      <c r="M1479" s="270">
        <v>1</v>
      </c>
      <c r="N1479" s="268">
        <v>1</v>
      </c>
      <c r="O1479" s="271"/>
      <c r="P1479" s="271">
        <v>84161</v>
      </c>
      <c r="Q1479" s="271"/>
      <c r="R1479" s="271"/>
      <c r="S1479" s="271">
        <v>-85759</v>
      </c>
      <c r="T1479" s="271"/>
      <c r="U1479" s="272">
        <v>1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153</v>
      </c>
      <c r="B1480" s="267" t="s">
        <v>1915</v>
      </c>
      <c r="C1480" s="267" t="s">
        <v>94</v>
      </c>
      <c r="D1480" s="267" t="s">
        <v>92</v>
      </c>
      <c r="E1480" s="267" t="s">
        <v>0</v>
      </c>
      <c r="F1480" s="268"/>
      <c r="G1480" s="269"/>
      <c r="H1480" s="269"/>
      <c r="I1480" s="270"/>
      <c r="J1480" s="268">
        <v>1</v>
      </c>
      <c r="K1480" s="269">
        <v>83961</v>
      </c>
      <c r="L1480" s="269">
        <v>86179</v>
      </c>
      <c r="M1480" s="270">
        <v>1</v>
      </c>
      <c r="N1480" s="268">
        <v>1</v>
      </c>
      <c r="O1480" s="271"/>
      <c r="P1480" s="271">
        <v>83961</v>
      </c>
      <c r="Q1480" s="271"/>
      <c r="R1480" s="271"/>
      <c r="S1480" s="271">
        <v>-86179</v>
      </c>
      <c r="T1480" s="271"/>
      <c r="U1480" s="272">
        <v>1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153</v>
      </c>
      <c r="B1481" s="267" t="s">
        <v>1916</v>
      </c>
      <c r="C1481" s="267" t="s">
        <v>94</v>
      </c>
      <c r="D1481" s="267" t="s">
        <v>92</v>
      </c>
      <c r="E1481" s="267" t="s">
        <v>0</v>
      </c>
      <c r="F1481" s="268"/>
      <c r="G1481" s="269"/>
      <c r="H1481" s="269"/>
      <c r="I1481" s="270"/>
      <c r="J1481" s="268">
        <v>1</v>
      </c>
      <c r="K1481" s="269">
        <v>83966</v>
      </c>
      <c r="L1481" s="269">
        <v>86158</v>
      </c>
      <c r="M1481" s="270">
        <v>1</v>
      </c>
      <c r="N1481" s="268">
        <v>1</v>
      </c>
      <c r="O1481" s="271"/>
      <c r="P1481" s="271">
        <v>83966</v>
      </c>
      <c r="Q1481" s="271"/>
      <c r="R1481" s="271"/>
      <c r="S1481" s="271">
        <v>-86158</v>
      </c>
      <c r="T1481" s="271"/>
      <c r="U1481" s="272">
        <v>1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153</v>
      </c>
      <c r="B1482" s="267" t="s">
        <v>456</v>
      </c>
      <c r="C1482" s="267" t="s">
        <v>94</v>
      </c>
      <c r="D1482" s="267" t="s">
        <v>92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84911</v>
      </c>
      <c r="L1482" s="269">
        <v>85204</v>
      </c>
      <c r="M1482" s="270">
        <v>1</v>
      </c>
      <c r="N1482" s="268">
        <v>1</v>
      </c>
      <c r="O1482" s="271"/>
      <c r="P1482" s="271">
        <v>84911</v>
      </c>
      <c r="Q1482" s="271"/>
      <c r="R1482" s="271"/>
      <c r="S1482" s="271">
        <v>-85204</v>
      </c>
      <c r="T1482" s="271"/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153</v>
      </c>
      <c r="B1483" s="267" t="s">
        <v>1917</v>
      </c>
      <c r="C1483" s="267" t="s">
        <v>94</v>
      </c>
      <c r="D1483" s="267" t="s">
        <v>92</v>
      </c>
      <c r="E1483" s="267" t="s">
        <v>0</v>
      </c>
      <c r="F1483" s="268"/>
      <c r="G1483" s="269"/>
      <c r="H1483" s="269"/>
      <c r="I1483" s="270"/>
      <c r="J1483" s="268">
        <v>1</v>
      </c>
      <c r="K1483" s="269">
        <v>84610</v>
      </c>
      <c r="L1483" s="269">
        <v>85650</v>
      </c>
      <c r="M1483" s="270">
        <v>1</v>
      </c>
      <c r="N1483" s="268">
        <v>1</v>
      </c>
      <c r="O1483" s="271"/>
      <c r="P1483" s="271">
        <v>84610</v>
      </c>
      <c r="Q1483" s="271"/>
      <c r="R1483" s="271"/>
      <c r="S1483" s="271">
        <v>-85650</v>
      </c>
      <c r="T1483" s="271"/>
      <c r="U1483" s="272">
        <v>1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153</v>
      </c>
      <c r="B1484" s="267" t="s">
        <v>457</v>
      </c>
      <c r="C1484" s="267" t="s">
        <v>94</v>
      </c>
      <c r="D1484" s="267" t="s">
        <v>92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84711</v>
      </c>
      <c r="L1484" s="269">
        <v>85390</v>
      </c>
      <c r="M1484" s="270">
        <v>1</v>
      </c>
      <c r="N1484" s="268">
        <v>1</v>
      </c>
      <c r="O1484" s="271"/>
      <c r="P1484" s="271">
        <v>84711</v>
      </c>
      <c r="Q1484" s="271"/>
      <c r="R1484" s="271"/>
      <c r="S1484" s="271">
        <v>-85390</v>
      </c>
      <c r="T1484" s="271"/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153</v>
      </c>
      <c r="B1485" s="267" t="s">
        <v>1918</v>
      </c>
      <c r="C1485" s="267" t="s">
        <v>94</v>
      </c>
      <c r="D1485" s="267" t="s">
        <v>92</v>
      </c>
      <c r="E1485" s="267" t="s">
        <v>0</v>
      </c>
      <c r="F1485" s="268"/>
      <c r="G1485" s="269"/>
      <c r="H1485" s="269"/>
      <c r="I1485" s="270"/>
      <c r="J1485" s="268">
        <v>1</v>
      </c>
      <c r="K1485" s="269">
        <v>84280</v>
      </c>
      <c r="L1485" s="269">
        <v>85762</v>
      </c>
      <c r="M1485" s="270">
        <v>1</v>
      </c>
      <c r="N1485" s="268">
        <v>1</v>
      </c>
      <c r="O1485" s="271"/>
      <c r="P1485" s="271">
        <v>84280</v>
      </c>
      <c r="Q1485" s="271"/>
      <c r="R1485" s="271"/>
      <c r="S1485" s="271">
        <v>-85762</v>
      </c>
      <c r="T1485" s="271"/>
      <c r="U1485" s="272">
        <v>1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153</v>
      </c>
      <c r="B1486" s="267" t="s">
        <v>1919</v>
      </c>
      <c r="C1486" s="267" t="s">
        <v>94</v>
      </c>
      <c r="D1486" s="267" t="s">
        <v>92</v>
      </c>
      <c r="E1486" s="267" t="s">
        <v>0</v>
      </c>
      <c r="F1486" s="268"/>
      <c r="G1486" s="269"/>
      <c r="H1486" s="269"/>
      <c r="I1486" s="270"/>
      <c r="J1486" s="268">
        <v>1</v>
      </c>
      <c r="K1486" s="269">
        <v>84044</v>
      </c>
      <c r="L1486" s="269">
        <v>85903</v>
      </c>
      <c r="M1486" s="270">
        <v>1</v>
      </c>
      <c r="N1486" s="268">
        <v>1</v>
      </c>
      <c r="O1486" s="271"/>
      <c r="P1486" s="271">
        <v>84044</v>
      </c>
      <c r="Q1486" s="271"/>
      <c r="R1486" s="271"/>
      <c r="S1486" s="271">
        <v>-85903</v>
      </c>
      <c r="T1486" s="271"/>
      <c r="U1486" s="272">
        <v>1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153</v>
      </c>
      <c r="B1487" s="267" t="s">
        <v>1920</v>
      </c>
      <c r="C1487" s="267" t="s">
        <v>94</v>
      </c>
      <c r="D1487" s="267" t="s">
        <v>92</v>
      </c>
      <c r="E1487" s="267" t="s">
        <v>0</v>
      </c>
      <c r="F1487" s="268"/>
      <c r="G1487" s="269"/>
      <c r="H1487" s="269"/>
      <c r="I1487" s="270"/>
      <c r="J1487" s="268">
        <v>1</v>
      </c>
      <c r="K1487" s="269">
        <v>84098</v>
      </c>
      <c r="L1487" s="269">
        <v>86013</v>
      </c>
      <c r="M1487" s="270">
        <v>1</v>
      </c>
      <c r="N1487" s="268">
        <v>1</v>
      </c>
      <c r="O1487" s="271"/>
      <c r="P1487" s="271">
        <v>84098</v>
      </c>
      <c r="Q1487" s="271"/>
      <c r="R1487" s="271"/>
      <c r="S1487" s="271">
        <v>-86013</v>
      </c>
      <c r="T1487" s="271"/>
      <c r="U1487" s="272">
        <v>1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153</v>
      </c>
      <c r="B1488" s="267" t="s">
        <v>458</v>
      </c>
      <c r="C1488" s="267" t="s">
        <v>94</v>
      </c>
      <c r="D1488" s="267" t="s">
        <v>92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84827</v>
      </c>
      <c r="L1488" s="269">
        <v>85254</v>
      </c>
      <c r="M1488" s="270">
        <v>1</v>
      </c>
      <c r="N1488" s="268">
        <v>1</v>
      </c>
      <c r="O1488" s="271"/>
      <c r="P1488" s="271">
        <v>84827</v>
      </c>
      <c r="Q1488" s="271"/>
      <c r="R1488" s="271"/>
      <c r="S1488" s="271">
        <v>-85254</v>
      </c>
      <c r="T1488" s="271"/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153</v>
      </c>
      <c r="B1489" s="267" t="s">
        <v>1921</v>
      </c>
      <c r="C1489" s="267" t="s">
        <v>94</v>
      </c>
      <c r="D1489" s="267" t="s">
        <v>92</v>
      </c>
      <c r="E1489" s="267" t="s">
        <v>0</v>
      </c>
      <c r="F1489" s="268"/>
      <c r="G1489" s="269"/>
      <c r="H1489" s="269"/>
      <c r="I1489" s="270"/>
      <c r="J1489" s="268">
        <v>1</v>
      </c>
      <c r="K1489" s="269">
        <v>84422</v>
      </c>
      <c r="L1489" s="269">
        <v>85650</v>
      </c>
      <c r="M1489" s="270">
        <v>1</v>
      </c>
      <c r="N1489" s="268">
        <v>1</v>
      </c>
      <c r="O1489" s="271"/>
      <c r="P1489" s="271">
        <v>84422</v>
      </c>
      <c r="Q1489" s="271"/>
      <c r="R1489" s="271"/>
      <c r="S1489" s="271">
        <v>-85650</v>
      </c>
      <c r="T1489" s="271"/>
      <c r="U1489" s="272">
        <v>1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153</v>
      </c>
      <c r="B1490" s="267" t="s">
        <v>459</v>
      </c>
      <c r="C1490" s="267" t="s">
        <v>94</v>
      </c>
      <c r="D1490" s="267" t="s">
        <v>92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84767</v>
      </c>
      <c r="L1490" s="269">
        <v>85394</v>
      </c>
      <c r="M1490" s="270">
        <v>1</v>
      </c>
      <c r="N1490" s="268">
        <v>1</v>
      </c>
      <c r="O1490" s="271"/>
      <c r="P1490" s="271">
        <v>84767</v>
      </c>
      <c r="Q1490" s="271"/>
      <c r="R1490" s="271"/>
      <c r="S1490" s="271">
        <v>-85394</v>
      </c>
      <c r="T1490" s="271"/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153</v>
      </c>
      <c r="B1491" s="267" t="s">
        <v>1922</v>
      </c>
      <c r="C1491" s="267" t="s">
        <v>94</v>
      </c>
      <c r="D1491" s="267" t="s">
        <v>92</v>
      </c>
      <c r="E1491" s="267" t="s">
        <v>0</v>
      </c>
      <c r="F1491" s="268"/>
      <c r="G1491" s="269"/>
      <c r="H1491" s="269"/>
      <c r="I1491" s="270"/>
      <c r="J1491" s="268">
        <v>1</v>
      </c>
      <c r="K1491" s="269">
        <v>84346</v>
      </c>
      <c r="L1491" s="269">
        <v>85730</v>
      </c>
      <c r="M1491" s="270">
        <v>1</v>
      </c>
      <c r="N1491" s="268">
        <v>1</v>
      </c>
      <c r="O1491" s="271"/>
      <c r="P1491" s="271">
        <v>84346</v>
      </c>
      <c r="Q1491" s="271"/>
      <c r="R1491" s="271"/>
      <c r="S1491" s="271">
        <v>-85730</v>
      </c>
      <c r="T1491" s="271"/>
      <c r="U1491" s="272">
        <v>1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153</v>
      </c>
      <c r="B1492" s="267" t="s">
        <v>1923</v>
      </c>
      <c r="C1492" s="267" t="s">
        <v>94</v>
      </c>
      <c r="D1492" s="267" t="s">
        <v>92</v>
      </c>
      <c r="E1492" s="267" t="s">
        <v>0</v>
      </c>
      <c r="F1492" s="268"/>
      <c r="G1492" s="269"/>
      <c r="H1492" s="269"/>
      <c r="I1492" s="270"/>
      <c r="J1492" s="268">
        <v>1</v>
      </c>
      <c r="K1492" s="269">
        <v>84254</v>
      </c>
      <c r="L1492" s="269">
        <v>86061</v>
      </c>
      <c r="M1492" s="270">
        <v>1</v>
      </c>
      <c r="N1492" s="268">
        <v>1</v>
      </c>
      <c r="O1492" s="271"/>
      <c r="P1492" s="271">
        <v>84254</v>
      </c>
      <c r="Q1492" s="271"/>
      <c r="R1492" s="271"/>
      <c r="S1492" s="271">
        <v>-86061</v>
      </c>
      <c r="T1492" s="271"/>
      <c r="U1492" s="272">
        <v>1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153</v>
      </c>
      <c r="B1493" s="267" t="s">
        <v>1924</v>
      </c>
      <c r="C1493" s="267" t="s">
        <v>94</v>
      </c>
      <c r="D1493" s="267" t="s">
        <v>92</v>
      </c>
      <c r="E1493" s="267" t="s">
        <v>0</v>
      </c>
      <c r="F1493" s="268"/>
      <c r="G1493" s="269"/>
      <c r="H1493" s="269"/>
      <c r="I1493" s="270"/>
      <c r="J1493" s="268">
        <v>1</v>
      </c>
      <c r="K1493" s="269">
        <v>84268</v>
      </c>
      <c r="L1493" s="269">
        <v>86031</v>
      </c>
      <c r="M1493" s="270">
        <v>1</v>
      </c>
      <c r="N1493" s="268">
        <v>1</v>
      </c>
      <c r="O1493" s="271"/>
      <c r="P1493" s="271">
        <v>84268</v>
      </c>
      <c r="Q1493" s="271"/>
      <c r="R1493" s="271"/>
      <c r="S1493" s="271">
        <v>-86031</v>
      </c>
      <c r="T1493" s="271"/>
      <c r="U1493" s="272">
        <v>1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153</v>
      </c>
      <c r="B1494" s="267" t="s">
        <v>460</v>
      </c>
      <c r="C1494" s="267" t="s">
        <v>94</v>
      </c>
      <c r="D1494" s="267" t="s">
        <v>92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84678</v>
      </c>
      <c r="L1494" s="269">
        <v>85460</v>
      </c>
      <c r="M1494" s="270">
        <v>1</v>
      </c>
      <c r="N1494" s="268">
        <v>1</v>
      </c>
      <c r="O1494" s="271"/>
      <c r="P1494" s="271">
        <v>84678</v>
      </c>
      <c r="Q1494" s="271"/>
      <c r="R1494" s="271"/>
      <c r="S1494" s="271">
        <v>-85460</v>
      </c>
      <c r="T1494" s="271"/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153</v>
      </c>
      <c r="B1495" s="267" t="s">
        <v>1925</v>
      </c>
      <c r="C1495" s="267" t="s">
        <v>94</v>
      </c>
      <c r="D1495" s="267" t="s">
        <v>92</v>
      </c>
      <c r="E1495" s="267" t="s">
        <v>0</v>
      </c>
      <c r="F1495" s="268"/>
      <c r="G1495" s="269"/>
      <c r="H1495" s="269"/>
      <c r="I1495" s="270"/>
      <c r="J1495" s="268">
        <v>1</v>
      </c>
      <c r="K1495" s="269">
        <v>84322</v>
      </c>
      <c r="L1495" s="269">
        <v>85753</v>
      </c>
      <c r="M1495" s="270">
        <v>1</v>
      </c>
      <c r="N1495" s="268">
        <v>1</v>
      </c>
      <c r="O1495" s="271"/>
      <c r="P1495" s="271">
        <v>84322</v>
      </c>
      <c r="Q1495" s="271"/>
      <c r="R1495" s="271"/>
      <c r="S1495" s="271">
        <v>-85753</v>
      </c>
      <c r="T1495" s="271"/>
      <c r="U1495" s="272">
        <v>1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153</v>
      </c>
      <c r="B1496" s="267" t="s">
        <v>461</v>
      </c>
      <c r="C1496" s="267" t="s">
        <v>94</v>
      </c>
      <c r="D1496" s="267" t="s">
        <v>92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84750</v>
      </c>
      <c r="L1496" s="269">
        <v>85346</v>
      </c>
      <c r="M1496" s="270">
        <v>1</v>
      </c>
      <c r="N1496" s="268">
        <v>1</v>
      </c>
      <c r="O1496" s="271"/>
      <c r="P1496" s="271">
        <v>84750</v>
      </c>
      <c r="Q1496" s="271"/>
      <c r="R1496" s="271"/>
      <c r="S1496" s="271">
        <v>-85346</v>
      </c>
      <c r="T1496" s="271"/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153</v>
      </c>
      <c r="B1497" s="267" t="s">
        <v>1926</v>
      </c>
      <c r="C1497" s="267" t="s">
        <v>94</v>
      </c>
      <c r="D1497" s="267" t="s">
        <v>92</v>
      </c>
      <c r="E1497" s="267" t="s">
        <v>0</v>
      </c>
      <c r="F1497" s="268"/>
      <c r="G1497" s="269"/>
      <c r="H1497" s="269"/>
      <c r="I1497" s="270"/>
      <c r="J1497" s="268">
        <v>1</v>
      </c>
      <c r="K1497" s="269">
        <v>84542</v>
      </c>
      <c r="L1497" s="269">
        <v>85687</v>
      </c>
      <c r="M1497" s="270">
        <v>1</v>
      </c>
      <c r="N1497" s="268">
        <v>1</v>
      </c>
      <c r="O1497" s="271"/>
      <c r="P1497" s="271">
        <v>84542</v>
      </c>
      <c r="Q1497" s="271"/>
      <c r="R1497" s="271"/>
      <c r="S1497" s="271">
        <v>-85687</v>
      </c>
      <c r="T1497" s="271"/>
      <c r="U1497" s="272">
        <v>1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153</v>
      </c>
      <c r="B1498" s="267" t="s">
        <v>1927</v>
      </c>
      <c r="C1498" s="267" t="s">
        <v>94</v>
      </c>
      <c r="D1498" s="267" t="s">
        <v>92</v>
      </c>
      <c r="E1498" s="267" t="s">
        <v>0</v>
      </c>
      <c r="F1498" s="268"/>
      <c r="G1498" s="269"/>
      <c r="H1498" s="269"/>
      <c r="I1498" s="270"/>
      <c r="J1498" s="268">
        <v>1</v>
      </c>
      <c r="K1498" s="269">
        <v>83941</v>
      </c>
      <c r="L1498" s="269">
        <v>86159</v>
      </c>
      <c r="M1498" s="270">
        <v>1</v>
      </c>
      <c r="N1498" s="268">
        <v>1</v>
      </c>
      <c r="O1498" s="271"/>
      <c r="P1498" s="271">
        <v>83941</v>
      </c>
      <c r="Q1498" s="271"/>
      <c r="R1498" s="271"/>
      <c r="S1498" s="271">
        <v>-86159</v>
      </c>
      <c r="T1498" s="271"/>
      <c r="U1498" s="272">
        <v>1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153</v>
      </c>
      <c r="B1499" s="267" t="s">
        <v>1928</v>
      </c>
      <c r="C1499" s="267" t="s">
        <v>94</v>
      </c>
      <c r="D1499" s="267" t="s">
        <v>92</v>
      </c>
      <c r="E1499" s="267" t="s">
        <v>0</v>
      </c>
      <c r="F1499" s="268"/>
      <c r="G1499" s="269"/>
      <c r="H1499" s="269"/>
      <c r="I1499" s="270"/>
      <c r="J1499" s="268">
        <v>1</v>
      </c>
      <c r="K1499" s="269">
        <v>83901</v>
      </c>
      <c r="L1499" s="269">
        <v>86019</v>
      </c>
      <c r="M1499" s="270">
        <v>1</v>
      </c>
      <c r="N1499" s="268">
        <v>1</v>
      </c>
      <c r="O1499" s="271"/>
      <c r="P1499" s="271">
        <v>83901</v>
      </c>
      <c r="Q1499" s="271"/>
      <c r="R1499" s="271"/>
      <c r="S1499" s="271">
        <v>-86019</v>
      </c>
      <c r="T1499" s="271"/>
      <c r="U1499" s="272">
        <v>1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153</v>
      </c>
      <c r="B1500" s="267" t="s">
        <v>1929</v>
      </c>
      <c r="C1500" s="267" t="s">
        <v>94</v>
      </c>
      <c r="D1500" s="267" t="s">
        <v>92</v>
      </c>
      <c r="E1500" s="267" t="s">
        <v>0</v>
      </c>
      <c r="F1500" s="268"/>
      <c r="G1500" s="269"/>
      <c r="H1500" s="269"/>
      <c r="I1500" s="270"/>
      <c r="J1500" s="268">
        <v>1</v>
      </c>
      <c r="K1500" s="269">
        <v>84021</v>
      </c>
      <c r="L1500" s="269">
        <v>86107</v>
      </c>
      <c r="M1500" s="270">
        <v>1</v>
      </c>
      <c r="N1500" s="268">
        <v>1</v>
      </c>
      <c r="O1500" s="271"/>
      <c r="P1500" s="271">
        <v>84021</v>
      </c>
      <c r="Q1500" s="271"/>
      <c r="R1500" s="271"/>
      <c r="S1500" s="271">
        <v>-86107</v>
      </c>
      <c r="T1500" s="271"/>
      <c r="U1500" s="272">
        <v>1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153</v>
      </c>
      <c r="B1501" s="267" t="s">
        <v>1930</v>
      </c>
      <c r="C1501" s="267" t="s">
        <v>94</v>
      </c>
      <c r="D1501" s="267" t="s">
        <v>92</v>
      </c>
      <c r="E1501" s="267" t="s">
        <v>0</v>
      </c>
      <c r="F1501" s="268"/>
      <c r="G1501" s="269"/>
      <c r="H1501" s="269"/>
      <c r="I1501" s="270"/>
      <c r="J1501" s="268">
        <v>1</v>
      </c>
      <c r="K1501" s="269">
        <v>84070</v>
      </c>
      <c r="L1501" s="269">
        <v>86004</v>
      </c>
      <c r="M1501" s="270">
        <v>1</v>
      </c>
      <c r="N1501" s="268">
        <v>1</v>
      </c>
      <c r="O1501" s="271"/>
      <c r="P1501" s="271">
        <v>84070</v>
      </c>
      <c r="Q1501" s="271"/>
      <c r="R1501" s="271"/>
      <c r="S1501" s="271">
        <v>-86004</v>
      </c>
      <c r="T1501" s="271"/>
      <c r="U1501" s="272">
        <v>1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153</v>
      </c>
      <c r="B1502" s="267" t="s">
        <v>1931</v>
      </c>
      <c r="C1502" s="267" t="s">
        <v>94</v>
      </c>
      <c r="D1502" s="267" t="s">
        <v>92</v>
      </c>
      <c r="E1502" s="267" t="s">
        <v>0</v>
      </c>
      <c r="F1502" s="268"/>
      <c r="G1502" s="269"/>
      <c r="H1502" s="269"/>
      <c r="I1502" s="270"/>
      <c r="J1502" s="268">
        <v>1</v>
      </c>
      <c r="K1502" s="269">
        <v>84043</v>
      </c>
      <c r="L1502" s="269">
        <v>85889</v>
      </c>
      <c r="M1502" s="270">
        <v>1</v>
      </c>
      <c r="N1502" s="268">
        <v>1</v>
      </c>
      <c r="O1502" s="271"/>
      <c r="P1502" s="271">
        <v>84043</v>
      </c>
      <c r="Q1502" s="271"/>
      <c r="R1502" s="271"/>
      <c r="S1502" s="271">
        <v>-85889</v>
      </c>
      <c r="T1502" s="271"/>
      <c r="U1502" s="272">
        <v>1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153</v>
      </c>
      <c r="B1503" s="267" t="s">
        <v>1932</v>
      </c>
      <c r="C1503" s="267" t="s">
        <v>94</v>
      </c>
      <c r="D1503" s="267" t="s">
        <v>92</v>
      </c>
      <c r="E1503" s="267" t="s">
        <v>0</v>
      </c>
      <c r="F1503" s="268"/>
      <c r="G1503" s="269"/>
      <c r="H1503" s="269"/>
      <c r="I1503" s="270"/>
      <c r="J1503" s="268">
        <v>1</v>
      </c>
      <c r="K1503" s="269">
        <v>84136</v>
      </c>
      <c r="L1503" s="269">
        <v>85784</v>
      </c>
      <c r="M1503" s="270">
        <v>1</v>
      </c>
      <c r="N1503" s="268">
        <v>1</v>
      </c>
      <c r="O1503" s="271"/>
      <c r="P1503" s="271">
        <v>84136</v>
      </c>
      <c r="Q1503" s="271"/>
      <c r="R1503" s="271"/>
      <c r="S1503" s="271">
        <v>-85784</v>
      </c>
      <c r="T1503" s="271"/>
      <c r="U1503" s="272">
        <v>1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153</v>
      </c>
      <c r="B1504" s="267" t="s">
        <v>1933</v>
      </c>
      <c r="C1504" s="267" t="s">
        <v>94</v>
      </c>
      <c r="D1504" s="267" t="s">
        <v>92</v>
      </c>
      <c r="E1504" s="267" t="s">
        <v>0</v>
      </c>
      <c r="F1504" s="268"/>
      <c r="G1504" s="269"/>
      <c r="H1504" s="269"/>
      <c r="I1504" s="270"/>
      <c r="J1504" s="268">
        <v>1</v>
      </c>
      <c r="K1504" s="269">
        <v>83931</v>
      </c>
      <c r="L1504" s="269">
        <v>86219</v>
      </c>
      <c r="M1504" s="270">
        <v>1</v>
      </c>
      <c r="N1504" s="268">
        <v>1</v>
      </c>
      <c r="O1504" s="271"/>
      <c r="P1504" s="271">
        <v>83931</v>
      </c>
      <c r="Q1504" s="271"/>
      <c r="R1504" s="271"/>
      <c r="S1504" s="271">
        <v>-86219</v>
      </c>
      <c r="T1504" s="271"/>
      <c r="U1504" s="272">
        <v>1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153</v>
      </c>
      <c r="B1505" s="267" t="s">
        <v>1934</v>
      </c>
      <c r="C1505" s="267" t="s">
        <v>94</v>
      </c>
      <c r="D1505" s="267" t="s">
        <v>92</v>
      </c>
      <c r="E1505" s="267" t="s">
        <v>0</v>
      </c>
      <c r="F1505" s="268"/>
      <c r="G1505" s="269"/>
      <c r="H1505" s="269"/>
      <c r="I1505" s="270"/>
      <c r="J1505" s="268">
        <v>1</v>
      </c>
      <c r="K1505" s="269">
        <v>83941</v>
      </c>
      <c r="L1505" s="269">
        <v>86183</v>
      </c>
      <c r="M1505" s="270">
        <v>1</v>
      </c>
      <c r="N1505" s="268">
        <v>1</v>
      </c>
      <c r="O1505" s="271"/>
      <c r="P1505" s="271">
        <v>83941</v>
      </c>
      <c r="Q1505" s="271"/>
      <c r="R1505" s="271"/>
      <c r="S1505" s="271">
        <v>-86183</v>
      </c>
      <c r="T1505" s="271"/>
      <c r="U1505" s="272">
        <v>1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153</v>
      </c>
      <c r="B1506" s="267" t="s">
        <v>462</v>
      </c>
      <c r="C1506" s="267" t="s">
        <v>94</v>
      </c>
      <c r="D1506" s="267" t="s">
        <v>92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84830</v>
      </c>
      <c r="L1506" s="269">
        <v>85239</v>
      </c>
      <c r="M1506" s="270">
        <v>1</v>
      </c>
      <c r="N1506" s="268">
        <v>1</v>
      </c>
      <c r="O1506" s="271"/>
      <c r="P1506" s="271">
        <v>84830</v>
      </c>
      <c r="Q1506" s="271"/>
      <c r="R1506" s="271"/>
      <c r="S1506" s="271">
        <v>-85239</v>
      </c>
      <c r="T1506" s="271"/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153</v>
      </c>
      <c r="B1507" s="267" t="s">
        <v>1935</v>
      </c>
      <c r="C1507" s="267" t="s">
        <v>94</v>
      </c>
      <c r="D1507" s="267" t="s">
        <v>92</v>
      </c>
      <c r="E1507" s="267" t="s">
        <v>0</v>
      </c>
      <c r="F1507" s="268"/>
      <c r="G1507" s="269"/>
      <c r="H1507" s="269"/>
      <c r="I1507" s="270"/>
      <c r="J1507" s="268">
        <v>1</v>
      </c>
      <c r="K1507" s="269">
        <v>84385</v>
      </c>
      <c r="L1507" s="269">
        <v>85665</v>
      </c>
      <c r="M1507" s="270">
        <v>1</v>
      </c>
      <c r="N1507" s="268">
        <v>1</v>
      </c>
      <c r="O1507" s="271"/>
      <c r="P1507" s="271">
        <v>84385</v>
      </c>
      <c r="Q1507" s="271"/>
      <c r="R1507" s="271"/>
      <c r="S1507" s="271">
        <v>-85665</v>
      </c>
      <c r="T1507" s="271"/>
      <c r="U1507" s="272">
        <v>1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153</v>
      </c>
      <c r="B1508" s="267" t="s">
        <v>463</v>
      </c>
      <c r="C1508" s="267" t="s">
        <v>94</v>
      </c>
      <c r="D1508" s="267" t="s">
        <v>92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84660</v>
      </c>
      <c r="L1508" s="269">
        <v>85442</v>
      </c>
      <c r="M1508" s="270">
        <v>1</v>
      </c>
      <c r="N1508" s="268">
        <v>1</v>
      </c>
      <c r="O1508" s="271"/>
      <c r="P1508" s="271">
        <v>84660</v>
      </c>
      <c r="Q1508" s="271"/>
      <c r="R1508" s="271"/>
      <c r="S1508" s="271">
        <v>-85442</v>
      </c>
      <c r="T1508" s="271"/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153</v>
      </c>
      <c r="B1509" s="267" t="s">
        <v>1936</v>
      </c>
      <c r="C1509" s="267" t="s">
        <v>94</v>
      </c>
      <c r="D1509" s="267" t="s">
        <v>92</v>
      </c>
      <c r="E1509" s="267" t="s">
        <v>0</v>
      </c>
      <c r="F1509" s="268"/>
      <c r="G1509" s="269"/>
      <c r="H1509" s="269"/>
      <c r="I1509" s="270"/>
      <c r="J1509" s="268">
        <v>1</v>
      </c>
      <c r="K1509" s="269">
        <v>84234</v>
      </c>
      <c r="L1509" s="269">
        <v>85793</v>
      </c>
      <c r="M1509" s="270">
        <v>1</v>
      </c>
      <c r="N1509" s="268">
        <v>1</v>
      </c>
      <c r="O1509" s="271"/>
      <c r="P1509" s="271">
        <v>84234</v>
      </c>
      <c r="Q1509" s="271"/>
      <c r="R1509" s="271"/>
      <c r="S1509" s="271">
        <v>-85793</v>
      </c>
      <c r="T1509" s="271"/>
      <c r="U1509" s="272">
        <v>1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153</v>
      </c>
      <c r="B1510" s="267" t="s">
        <v>1937</v>
      </c>
      <c r="C1510" s="267" t="s">
        <v>94</v>
      </c>
      <c r="D1510" s="267" t="s">
        <v>92</v>
      </c>
      <c r="E1510" s="267" t="s">
        <v>0</v>
      </c>
      <c r="F1510" s="268"/>
      <c r="G1510" s="269"/>
      <c r="H1510" s="269"/>
      <c r="I1510" s="270"/>
      <c r="J1510" s="268">
        <v>1</v>
      </c>
      <c r="K1510" s="269">
        <v>84013</v>
      </c>
      <c r="L1510" s="269">
        <v>86099</v>
      </c>
      <c r="M1510" s="270">
        <v>1</v>
      </c>
      <c r="N1510" s="268">
        <v>1</v>
      </c>
      <c r="O1510" s="271"/>
      <c r="P1510" s="271">
        <v>84013</v>
      </c>
      <c r="Q1510" s="271"/>
      <c r="R1510" s="271"/>
      <c r="S1510" s="271">
        <v>-86099</v>
      </c>
      <c r="T1510" s="271"/>
      <c r="U1510" s="272">
        <v>1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153</v>
      </c>
      <c r="B1511" s="267" t="s">
        <v>1938</v>
      </c>
      <c r="C1511" s="267" t="s">
        <v>94</v>
      </c>
      <c r="D1511" s="267" t="s">
        <v>92</v>
      </c>
      <c r="E1511" s="267" t="s">
        <v>0</v>
      </c>
      <c r="F1511" s="268"/>
      <c r="G1511" s="269"/>
      <c r="H1511" s="269"/>
      <c r="I1511" s="270"/>
      <c r="J1511" s="268">
        <v>1</v>
      </c>
      <c r="K1511" s="269">
        <v>84052</v>
      </c>
      <c r="L1511" s="269">
        <v>86044</v>
      </c>
      <c r="M1511" s="270">
        <v>1</v>
      </c>
      <c r="N1511" s="268">
        <v>1</v>
      </c>
      <c r="O1511" s="271"/>
      <c r="P1511" s="271">
        <v>84052</v>
      </c>
      <c r="Q1511" s="271"/>
      <c r="R1511" s="271"/>
      <c r="S1511" s="271">
        <v>-86044</v>
      </c>
      <c r="T1511" s="271"/>
      <c r="U1511" s="272">
        <v>1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153</v>
      </c>
      <c r="B1512" s="267" t="s">
        <v>464</v>
      </c>
      <c r="C1512" s="267" t="s">
        <v>94</v>
      </c>
      <c r="D1512" s="267" t="s">
        <v>92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84813</v>
      </c>
      <c r="L1512" s="269">
        <v>85253</v>
      </c>
      <c r="M1512" s="270">
        <v>1</v>
      </c>
      <c r="N1512" s="268">
        <v>1</v>
      </c>
      <c r="O1512" s="271"/>
      <c r="P1512" s="271">
        <v>84813</v>
      </c>
      <c r="Q1512" s="271"/>
      <c r="R1512" s="271"/>
      <c r="S1512" s="271">
        <v>-85253</v>
      </c>
      <c r="T1512" s="271"/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153</v>
      </c>
      <c r="B1513" s="267" t="s">
        <v>1939</v>
      </c>
      <c r="C1513" s="267" t="s">
        <v>94</v>
      </c>
      <c r="D1513" s="267" t="s">
        <v>92</v>
      </c>
      <c r="E1513" s="267" t="s">
        <v>0</v>
      </c>
      <c r="F1513" s="268"/>
      <c r="G1513" s="269"/>
      <c r="H1513" s="269"/>
      <c r="I1513" s="270"/>
      <c r="J1513" s="268">
        <v>1</v>
      </c>
      <c r="K1513" s="269">
        <v>84408</v>
      </c>
      <c r="L1513" s="269">
        <v>85649</v>
      </c>
      <c r="M1513" s="270">
        <v>1</v>
      </c>
      <c r="N1513" s="268">
        <v>1</v>
      </c>
      <c r="O1513" s="271"/>
      <c r="P1513" s="271">
        <v>84408</v>
      </c>
      <c r="Q1513" s="271"/>
      <c r="R1513" s="271"/>
      <c r="S1513" s="271">
        <v>-85649</v>
      </c>
      <c r="T1513" s="271"/>
      <c r="U1513" s="272">
        <v>1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153</v>
      </c>
      <c r="B1514" s="267" t="s">
        <v>465</v>
      </c>
      <c r="C1514" s="267" t="s">
        <v>94</v>
      </c>
      <c r="D1514" s="267" t="s">
        <v>92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84686</v>
      </c>
      <c r="L1514" s="269">
        <v>85429</v>
      </c>
      <c r="M1514" s="270">
        <v>1</v>
      </c>
      <c r="N1514" s="268">
        <v>1</v>
      </c>
      <c r="O1514" s="271"/>
      <c r="P1514" s="271">
        <v>84686</v>
      </c>
      <c r="Q1514" s="271"/>
      <c r="R1514" s="271"/>
      <c r="S1514" s="271">
        <v>-85429</v>
      </c>
      <c r="T1514" s="271"/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153</v>
      </c>
      <c r="B1515" s="267" t="s">
        <v>1940</v>
      </c>
      <c r="C1515" s="267" t="s">
        <v>94</v>
      </c>
      <c r="D1515" s="267" t="s">
        <v>92</v>
      </c>
      <c r="E1515" s="267" t="s">
        <v>0</v>
      </c>
      <c r="F1515" s="268"/>
      <c r="G1515" s="269"/>
      <c r="H1515" s="269"/>
      <c r="I1515" s="270"/>
      <c r="J1515" s="268">
        <v>1</v>
      </c>
      <c r="K1515" s="269">
        <v>84265</v>
      </c>
      <c r="L1515" s="269">
        <v>85765</v>
      </c>
      <c r="M1515" s="270">
        <v>1</v>
      </c>
      <c r="N1515" s="268">
        <v>1</v>
      </c>
      <c r="O1515" s="271"/>
      <c r="P1515" s="271">
        <v>84265</v>
      </c>
      <c r="Q1515" s="271"/>
      <c r="R1515" s="271"/>
      <c r="S1515" s="271">
        <v>-85765</v>
      </c>
      <c r="T1515" s="271"/>
      <c r="U1515" s="272">
        <v>1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153</v>
      </c>
      <c r="B1516" s="267" t="s">
        <v>1941</v>
      </c>
      <c r="C1516" s="267" t="s">
        <v>94</v>
      </c>
      <c r="D1516" s="267" t="s">
        <v>92</v>
      </c>
      <c r="E1516" s="267" t="s">
        <v>0</v>
      </c>
      <c r="F1516" s="268"/>
      <c r="G1516" s="269"/>
      <c r="H1516" s="269"/>
      <c r="I1516" s="270"/>
      <c r="J1516" s="268">
        <v>1</v>
      </c>
      <c r="K1516" s="269">
        <v>84029</v>
      </c>
      <c r="L1516" s="269">
        <v>86076</v>
      </c>
      <c r="M1516" s="270">
        <v>1</v>
      </c>
      <c r="N1516" s="268">
        <v>1</v>
      </c>
      <c r="O1516" s="271"/>
      <c r="P1516" s="271">
        <v>84029</v>
      </c>
      <c r="Q1516" s="271"/>
      <c r="R1516" s="271"/>
      <c r="S1516" s="271">
        <v>-86076</v>
      </c>
      <c r="T1516" s="271"/>
      <c r="U1516" s="272">
        <v>1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153</v>
      </c>
      <c r="B1517" s="267" t="s">
        <v>1942</v>
      </c>
      <c r="C1517" s="267" t="s">
        <v>94</v>
      </c>
      <c r="D1517" s="267" t="s">
        <v>92</v>
      </c>
      <c r="E1517" s="267" t="s">
        <v>0</v>
      </c>
      <c r="F1517" s="268"/>
      <c r="G1517" s="269"/>
      <c r="H1517" s="269"/>
      <c r="I1517" s="270"/>
      <c r="J1517" s="268">
        <v>1</v>
      </c>
      <c r="K1517" s="269">
        <v>84043</v>
      </c>
      <c r="L1517" s="269">
        <v>86046</v>
      </c>
      <c r="M1517" s="270">
        <v>1</v>
      </c>
      <c r="N1517" s="268">
        <v>1</v>
      </c>
      <c r="O1517" s="271"/>
      <c r="P1517" s="271">
        <v>84043</v>
      </c>
      <c r="Q1517" s="271"/>
      <c r="R1517" s="271"/>
      <c r="S1517" s="271">
        <v>-86046</v>
      </c>
      <c r="T1517" s="271"/>
      <c r="U1517" s="272">
        <v>1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153</v>
      </c>
      <c r="B1518" s="267" t="s">
        <v>466</v>
      </c>
      <c r="C1518" s="267" t="s">
        <v>94</v>
      </c>
      <c r="D1518" s="267" t="s">
        <v>92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84730</v>
      </c>
      <c r="L1518" s="269">
        <v>85409</v>
      </c>
      <c r="M1518" s="270">
        <v>1</v>
      </c>
      <c r="N1518" s="268">
        <v>1</v>
      </c>
      <c r="O1518" s="271"/>
      <c r="P1518" s="271">
        <v>84730</v>
      </c>
      <c r="Q1518" s="271"/>
      <c r="R1518" s="271"/>
      <c r="S1518" s="271">
        <v>-85409</v>
      </c>
      <c r="T1518" s="271"/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153</v>
      </c>
      <c r="B1519" s="267" t="s">
        <v>1943</v>
      </c>
      <c r="C1519" s="267" t="s">
        <v>94</v>
      </c>
      <c r="D1519" s="267" t="s">
        <v>92</v>
      </c>
      <c r="E1519" s="267" t="s">
        <v>0</v>
      </c>
      <c r="F1519" s="268"/>
      <c r="G1519" s="269"/>
      <c r="H1519" s="269"/>
      <c r="I1519" s="270"/>
      <c r="J1519" s="268">
        <v>1</v>
      </c>
      <c r="K1519" s="269">
        <v>84343</v>
      </c>
      <c r="L1519" s="269">
        <v>85748</v>
      </c>
      <c r="M1519" s="270">
        <v>1</v>
      </c>
      <c r="N1519" s="268">
        <v>1</v>
      </c>
      <c r="O1519" s="271"/>
      <c r="P1519" s="271">
        <v>84343</v>
      </c>
      <c r="Q1519" s="271"/>
      <c r="R1519" s="271"/>
      <c r="S1519" s="271">
        <v>-85748</v>
      </c>
      <c r="T1519" s="271"/>
      <c r="U1519" s="272">
        <v>1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153</v>
      </c>
      <c r="B1520" s="267" t="s">
        <v>467</v>
      </c>
      <c r="C1520" s="267" t="s">
        <v>94</v>
      </c>
      <c r="D1520" s="267" t="s">
        <v>92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84767</v>
      </c>
      <c r="L1520" s="269">
        <v>85376</v>
      </c>
      <c r="M1520" s="270">
        <v>1</v>
      </c>
      <c r="N1520" s="268">
        <v>1</v>
      </c>
      <c r="O1520" s="271"/>
      <c r="P1520" s="271">
        <v>84767</v>
      </c>
      <c r="Q1520" s="271"/>
      <c r="R1520" s="271"/>
      <c r="S1520" s="271">
        <v>-85376</v>
      </c>
      <c r="T1520" s="271"/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153</v>
      </c>
      <c r="B1521" s="267" t="s">
        <v>1944</v>
      </c>
      <c r="C1521" s="267" t="s">
        <v>94</v>
      </c>
      <c r="D1521" s="267" t="s">
        <v>92</v>
      </c>
      <c r="E1521" s="267" t="s">
        <v>0</v>
      </c>
      <c r="F1521" s="268"/>
      <c r="G1521" s="269"/>
      <c r="H1521" s="269"/>
      <c r="I1521" s="270"/>
      <c r="J1521" s="268">
        <v>1</v>
      </c>
      <c r="K1521" s="269">
        <v>84348</v>
      </c>
      <c r="L1521" s="269">
        <v>85733</v>
      </c>
      <c r="M1521" s="270">
        <v>1</v>
      </c>
      <c r="N1521" s="268">
        <v>1</v>
      </c>
      <c r="O1521" s="271"/>
      <c r="P1521" s="271">
        <v>84348</v>
      </c>
      <c r="Q1521" s="271"/>
      <c r="R1521" s="271"/>
      <c r="S1521" s="271">
        <v>-85733</v>
      </c>
      <c r="T1521" s="271"/>
      <c r="U1521" s="272">
        <v>1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153</v>
      </c>
      <c r="B1522" s="267" t="s">
        <v>1945</v>
      </c>
      <c r="C1522" s="267" t="s">
        <v>94</v>
      </c>
      <c r="D1522" s="267" t="s">
        <v>92</v>
      </c>
      <c r="E1522" s="267" t="s">
        <v>0</v>
      </c>
      <c r="F1522" s="268"/>
      <c r="G1522" s="269"/>
      <c r="H1522" s="269"/>
      <c r="I1522" s="270"/>
      <c r="J1522" s="268">
        <v>1</v>
      </c>
      <c r="K1522" s="269">
        <v>83962</v>
      </c>
      <c r="L1522" s="269">
        <v>86154</v>
      </c>
      <c r="M1522" s="270">
        <v>1</v>
      </c>
      <c r="N1522" s="268">
        <v>1</v>
      </c>
      <c r="O1522" s="271"/>
      <c r="P1522" s="271">
        <v>83962</v>
      </c>
      <c r="Q1522" s="271"/>
      <c r="R1522" s="271"/>
      <c r="S1522" s="271">
        <v>-86154</v>
      </c>
      <c r="T1522" s="271"/>
      <c r="U1522" s="272">
        <v>1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153</v>
      </c>
      <c r="B1523" s="267" t="s">
        <v>1946</v>
      </c>
      <c r="C1523" s="267" t="s">
        <v>94</v>
      </c>
      <c r="D1523" s="267" t="s">
        <v>92</v>
      </c>
      <c r="E1523" s="267" t="s">
        <v>0</v>
      </c>
      <c r="F1523" s="268"/>
      <c r="G1523" s="269"/>
      <c r="H1523" s="269"/>
      <c r="I1523" s="270"/>
      <c r="J1523" s="268">
        <v>1</v>
      </c>
      <c r="K1523" s="269">
        <v>83937</v>
      </c>
      <c r="L1523" s="269">
        <v>86179</v>
      </c>
      <c r="M1523" s="270">
        <v>1</v>
      </c>
      <c r="N1523" s="268">
        <v>1</v>
      </c>
      <c r="O1523" s="271"/>
      <c r="P1523" s="271">
        <v>83937</v>
      </c>
      <c r="Q1523" s="271"/>
      <c r="R1523" s="271"/>
      <c r="S1523" s="271">
        <v>-86179</v>
      </c>
      <c r="T1523" s="271"/>
      <c r="U1523" s="272">
        <v>1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153</v>
      </c>
      <c r="B1524" s="267" t="s">
        <v>1947</v>
      </c>
      <c r="C1524" s="267" t="s">
        <v>94</v>
      </c>
      <c r="D1524" s="267" t="s">
        <v>92</v>
      </c>
      <c r="E1524" s="267" t="s">
        <v>0</v>
      </c>
      <c r="F1524" s="268"/>
      <c r="G1524" s="269"/>
      <c r="H1524" s="269"/>
      <c r="I1524" s="270"/>
      <c r="J1524" s="268">
        <v>1</v>
      </c>
      <c r="K1524" s="269">
        <v>84217</v>
      </c>
      <c r="L1524" s="269">
        <v>86076</v>
      </c>
      <c r="M1524" s="270">
        <v>1</v>
      </c>
      <c r="N1524" s="268">
        <v>1</v>
      </c>
      <c r="O1524" s="271"/>
      <c r="P1524" s="271">
        <v>84217</v>
      </c>
      <c r="Q1524" s="271"/>
      <c r="R1524" s="271"/>
      <c r="S1524" s="271">
        <v>-86076</v>
      </c>
      <c r="T1524" s="271"/>
      <c r="U1524" s="272">
        <v>1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153</v>
      </c>
      <c r="B1525" s="267" t="s">
        <v>1948</v>
      </c>
      <c r="C1525" s="267" t="s">
        <v>94</v>
      </c>
      <c r="D1525" s="267" t="s">
        <v>92</v>
      </c>
      <c r="E1525" s="267" t="s">
        <v>0</v>
      </c>
      <c r="F1525" s="268"/>
      <c r="G1525" s="269"/>
      <c r="H1525" s="269"/>
      <c r="I1525" s="270"/>
      <c r="J1525" s="268">
        <v>1</v>
      </c>
      <c r="K1525" s="269">
        <v>84235</v>
      </c>
      <c r="L1525" s="269">
        <v>86019</v>
      </c>
      <c r="M1525" s="270">
        <v>1</v>
      </c>
      <c r="N1525" s="268">
        <v>1</v>
      </c>
      <c r="O1525" s="271"/>
      <c r="P1525" s="271">
        <v>84235</v>
      </c>
      <c r="Q1525" s="271"/>
      <c r="R1525" s="271"/>
      <c r="S1525" s="271">
        <v>-86019</v>
      </c>
      <c r="T1525" s="271"/>
      <c r="U1525" s="272">
        <v>1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153</v>
      </c>
      <c r="B1526" s="267" t="s">
        <v>1949</v>
      </c>
      <c r="C1526" s="267" t="s">
        <v>94</v>
      </c>
      <c r="D1526" s="267" t="s">
        <v>92</v>
      </c>
      <c r="E1526" s="267" t="s">
        <v>0</v>
      </c>
      <c r="F1526" s="268"/>
      <c r="G1526" s="269"/>
      <c r="H1526" s="269"/>
      <c r="I1526" s="270"/>
      <c r="J1526" s="268">
        <v>1</v>
      </c>
      <c r="K1526" s="269">
        <v>84224</v>
      </c>
      <c r="L1526" s="269">
        <v>86083</v>
      </c>
      <c r="M1526" s="270">
        <v>1</v>
      </c>
      <c r="N1526" s="268">
        <v>1</v>
      </c>
      <c r="O1526" s="271"/>
      <c r="P1526" s="271">
        <v>84224</v>
      </c>
      <c r="Q1526" s="271"/>
      <c r="R1526" s="271"/>
      <c r="S1526" s="271">
        <v>-86083</v>
      </c>
      <c r="T1526" s="271"/>
      <c r="U1526" s="272">
        <v>1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153</v>
      </c>
      <c r="B1527" s="267" t="s">
        <v>1950</v>
      </c>
      <c r="C1527" s="267" t="s">
        <v>94</v>
      </c>
      <c r="D1527" s="267" t="s">
        <v>92</v>
      </c>
      <c r="E1527" s="267" t="s">
        <v>0</v>
      </c>
      <c r="F1527" s="268"/>
      <c r="G1527" s="269"/>
      <c r="H1527" s="269"/>
      <c r="I1527" s="270"/>
      <c r="J1527" s="268">
        <v>1</v>
      </c>
      <c r="K1527" s="269">
        <v>84250</v>
      </c>
      <c r="L1527" s="269">
        <v>86014</v>
      </c>
      <c r="M1527" s="270">
        <v>1</v>
      </c>
      <c r="N1527" s="268">
        <v>1</v>
      </c>
      <c r="O1527" s="271"/>
      <c r="P1527" s="271">
        <v>84250</v>
      </c>
      <c r="Q1527" s="271"/>
      <c r="R1527" s="271"/>
      <c r="S1527" s="271">
        <v>-86014</v>
      </c>
      <c r="T1527" s="271"/>
      <c r="U1527" s="272">
        <v>1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153</v>
      </c>
      <c r="B1528" s="267" t="s">
        <v>1951</v>
      </c>
      <c r="C1528" s="267" t="s">
        <v>94</v>
      </c>
      <c r="D1528" s="267" t="s">
        <v>92</v>
      </c>
      <c r="E1528" s="267" t="s">
        <v>0</v>
      </c>
      <c r="F1528" s="268"/>
      <c r="G1528" s="269"/>
      <c r="H1528" s="269"/>
      <c r="I1528" s="270"/>
      <c r="J1528" s="268">
        <v>1</v>
      </c>
      <c r="K1528" s="269">
        <v>84096</v>
      </c>
      <c r="L1528" s="269">
        <v>86234</v>
      </c>
      <c r="M1528" s="270">
        <v>1</v>
      </c>
      <c r="N1528" s="268">
        <v>1</v>
      </c>
      <c r="O1528" s="271"/>
      <c r="P1528" s="271">
        <v>84096</v>
      </c>
      <c r="Q1528" s="271"/>
      <c r="R1528" s="271"/>
      <c r="S1528" s="271">
        <v>-86234</v>
      </c>
      <c r="T1528" s="271"/>
      <c r="U1528" s="272">
        <v>1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153</v>
      </c>
      <c r="B1529" s="267" t="s">
        <v>1952</v>
      </c>
      <c r="C1529" s="267" t="s">
        <v>94</v>
      </c>
      <c r="D1529" s="267" t="s">
        <v>92</v>
      </c>
      <c r="E1529" s="267" t="s">
        <v>0</v>
      </c>
      <c r="F1529" s="268"/>
      <c r="G1529" s="269"/>
      <c r="H1529" s="269"/>
      <c r="I1529" s="270"/>
      <c r="J1529" s="268">
        <v>1</v>
      </c>
      <c r="K1529" s="269">
        <v>84101</v>
      </c>
      <c r="L1529" s="269">
        <v>86219</v>
      </c>
      <c r="M1529" s="270">
        <v>1</v>
      </c>
      <c r="N1529" s="268">
        <v>1</v>
      </c>
      <c r="O1529" s="271"/>
      <c r="P1529" s="271">
        <v>84101</v>
      </c>
      <c r="Q1529" s="271"/>
      <c r="R1529" s="271"/>
      <c r="S1529" s="271">
        <v>-86219</v>
      </c>
      <c r="T1529" s="271"/>
      <c r="U1529" s="272">
        <v>1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153</v>
      </c>
      <c r="B1530" s="267" t="s">
        <v>468</v>
      </c>
      <c r="C1530" s="267" t="s">
        <v>94</v>
      </c>
      <c r="D1530" s="267" t="s">
        <v>92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84682</v>
      </c>
      <c r="L1530" s="269">
        <v>85476</v>
      </c>
      <c r="M1530" s="270">
        <v>1</v>
      </c>
      <c r="N1530" s="268">
        <v>1</v>
      </c>
      <c r="O1530" s="271"/>
      <c r="P1530" s="271">
        <v>84682</v>
      </c>
      <c r="Q1530" s="271"/>
      <c r="R1530" s="271"/>
      <c r="S1530" s="271">
        <v>-85476</v>
      </c>
      <c r="T1530" s="271"/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153</v>
      </c>
      <c r="B1531" s="267" t="s">
        <v>1953</v>
      </c>
      <c r="C1531" s="267" t="s">
        <v>94</v>
      </c>
      <c r="D1531" s="267" t="s">
        <v>92</v>
      </c>
      <c r="E1531" s="267" t="s">
        <v>0</v>
      </c>
      <c r="F1531" s="268"/>
      <c r="G1531" s="269"/>
      <c r="H1531" s="269"/>
      <c r="I1531" s="270"/>
      <c r="J1531" s="268">
        <v>1</v>
      </c>
      <c r="K1531" s="269">
        <v>84303</v>
      </c>
      <c r="L1531" s="269">
        <v>85785</v>
      </c>
      <c r="M1531" s="270">
        <v>1</v>
      </c>
      <c r="N1531" s="268">
        <v>1</v>
      </c>
      <c r="O1531" s="271"/>
      <c r="P1531" s="271">
        <v>84303</v>
      </c>
      <c r="Q1531" s="271"/>
      <c r="R1531" s="271"/>
      <c r="S1531" s="271">
        <v>-85785</v>
      </c>
      <c r="T1531" s="271"/>
      <c r="U1531" s="272">
        <v>1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153</v>
      </c>
      <c r="B1532" s="267" t="s">
        <v>469</v>
      </c>
      <c r="C1532" s="267" t="s">
        <v>94</v>
      </c>
      <c r="D1532" s="267" t="s">
        <v>92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84681</v>
      </c>
      <c r="L1532" s="269">
        <v>85462</v>
      </c>
      <c r="M1532" s="270">
        <v>1</v>
      </c>
      <c r="N1532" s="268">
        <v>1</v>
      </c>
      <c r="O1532" s="271"/>
      <c r="P1532" s="271">
        <v>84681</v>
      </c>
      <c r="Q1532" s="271"/>
      <c r="R1532" s="271"/>
      <c r="S1532" s="271">
        <v>-85462</v>
      </c>
      <c r="T1532" s="271"/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153</v>
      </c>
      <c r="B1533" s="267" t="s">
        <v>1954</v>
      </c>
      <c r="C1533" s="267" t="s">
        <v>94</v>
      </c>
      <c r="D1533" s="267" t="s">
        <v>92</v>
      </c>
      <c r="E1533" s="267" t="s">
        <v>0</v>
      </c>
      <c r="F1533" s="268"/>
      <c r="G1533" s="269"/>
      <c r="H1533" s="269"/>
      <c r="I1533" s="270"/>
      <c r="J1533" s="268">
        <v>1</v>
      </c>
      <c r="K1533" s="269">
        <v>84482</v>
      </c>
      <c r="L1533" s="269">
        <v>85801</v>
      </c>
      <c r="M1533" s="270">
        <v>1</v>
      </c>
      <c r="N1533" s="268">
        <v>1</v>
      </c>
      <c r="O1533" s="271"/>
      <c r="P1533" s="271">
        <v>84482</v>
      </c>
      <c r="Q1533" s="271"/>
      <c r="R1533" s="271"/>
      <c r="S1533" s="271">
        <v>-85801</v>
      </c>
      <c r="T1533" s="271"/>
      <c r="U1533" s="272">
        <v>1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153</v>
      </c>
      <c r="B1534" s="267" t="s">
        <v>1955</v>
      </c>
      <c r="C1534" s="267" t="s">
        <v>94</v>
      </c>
      <c r="D1534" s="267" t="s">
        <v>92</v>
      </c>
      <c r="E1534" s="267" t="s">
        <v>0</v>
      </c>
      <c r="F1534" s="268"/>
      <c r="G1534" s="269"/>
      <c r="H1534" s="269"/>
      <c r="I1534" s="270"/>
      <c r="J1534" s="268">
        <v>1</v>
      </c>
      <c r="K1534" s="269">
        <v>83931</v>
      </c>
      <c r="L1534" s="269">
        <v>86219</v>
      </c>
      <c r="M1534" s="270">
        <v>1</v>
      </c>
      <c r="N1534" s="268">
        <v>1</v>
      </c>
      <c r="O1534" s="271"/>
      <c r="P1534" s="271">
        <v>83931</v>
      </c>
      <c r="Q1534" s="271"/>
      <c r="R1534" s="271"/>
      <c r="S1534" s="271">
        <v>-86219</v>
      </c>
      <c r="T1534" s="271"/>
      <c r="U1534" s="272">
        <v>1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153</v>
      </c>
      <c r="B1535" s="267" t="s">
        <v>1956</v>
      </c>
      <c r="C1535" s="267" t="s">
        <v>94</v>
      </c>
      <c r="D1535" s="267" t="s">
        <v>92</v>
      </c>
      <c r="E1535" s="267" t="s">
        <v>0</v>
      </c>
      <c r="F1535" s="268"/>
      <c r="G1535" s="269"/>
      <c r="H1535" s="269"/>
      <c r="I1535" s="270"/>
      <c r="J1535" s="268">
        <v>1</v>
      </c>
      <c r="K1535" s="269">
        <v>83916</v>
      </c>
      <c r="L1535" s="269">
        <v>86054</v>
      </c>
      <c r="M1535" s="270">
        <v>1</v>
      </c>
      <c r="N1535" s="268">
        <v>1</v>
      </c>
      <c r="O1535" s="271"/>
      <c r="P1535" s="271">
        <v>83916</v>
      </c>
      <c r="Q1535" s="271"/>
      <c r="R1535" s="271"/>
      <c r="S1535" s="271">
        <v>-86054</v>
      </c>
      <c r="T1535" s="271"/>
      <c r="U1535" s="272">
        <v>1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153</v>
      </c>
      <c r="B1536" s="267" t="s">
        <v>470</v>
      </c>
      <c r="C1536" s="267" t="s">
        <v>94</v>
      </c>
      <c r="D1536" s="267" t="s">
        <v>92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84696</v>
      </c>
      <c r="L1536" s="269">
        <v>85459</v>
      </c>
      <c r="M1536" s="270">
        <v>1</v>
      </c>
      <c r="N1536" s="268">
        <v>1</v>
      </c>
      <c r="O1536" s="271"/>
      <c r="P1536" s="271">
        <v>84696</v>
      </c>
      <c r="Q1536" s="271"/>
      <c r="R1536" s="271"/>
      <c r="S1536" s="271">
        <v>-85459</v>
      </c>
      <c r="T1536" s="271"/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153</v>
      </c>
      <c r="B1537" s="267" t="s">
        <v>1957</v>
      </c>
      <c r="C1537" s="267" t="s">
        <v>94</v>
      </c>
      <c r="D1537" s="267" t="s">
        <v>92</v>
      </c>
      <c r="E1537" s="267" t="s">
        <v>0</v>
      </c>
      <c r="F1537" s="268"/>
      <c r="G1537" s="269"/>
      <c r="H1537" s="269"/>
      <c r="I1537" s="270"/>
      <c r="J1537" s="268">
        <v>1</v>
      </c>
      <c r="K1537" s="269">
        <v>84340</v>
      </c>
      <c r="L1537" s="269">
        <v>85752</v>
      </c>
      <c r="M1537" s="270">
        <v>1</v>
      </c>
      <c r="N1537" s="268">
        <v>1</v>
      </c>
      <c r="O1537" s="271"/>
      <c r="P1537" s="271">
        <v>84340</v>
      </c>
      <c r="Q1537" s="271"/>
      <c r="R1537" s="271"/>
      <c r="S1537" s="271">
        <v>-85752</v>
      </c>
      <c r="T1537" s="271"/>
      <c r="U1537" s="272">
        <v>1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153</v>
      </c>
      <c r="B1538" s="267" t="s">
        <v>471</v>
      </c>
      <c r="C1538" s="267" t="s">
        <v>94</v>
      </c>
      <c r="D1538" s="267" t="s">
        <v>92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84718</v>
      </c>
      <c r="L1538" s="269">
        <v>85429</v>
      </c>
      <c r="M1538" s="270">
        <v>1</v>
      </c>
      <c r="N1538" s="268">
        <v>1</v>
      </c>
      <c r="O1538" s="271"/>
      <c r="P1538" s="271">
        <v>84718</v>
      </c>
      <c r="Q1538" s="271"/>
      <c r="R1538" s="271"/>
      <c r="S1538" s="271">
        <v>-85429</v>
      </c>
      <c r="T1538" s="271"/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153</v>
      </c>
      <c r="B1539" s="267" t="s">
        <v>1958</v>
      </c>
      <c r="C1539" s="267" t="s">
        <v>94</v>
      </c>
      <c r="D1539" s="267" t="s">
        <v>92</v>
      </c>
      <c r="E1539" s="267" t="s">
        <v>0</v>
      </c>
      <c r="F1539" s="268"/>
      <c r="G1539" s="269"/>
      <c r="H1539" s="269"/>
      <c r="I1539" s="270"/>
      <c r="J1539" s="268">
        <v>1</v>
      </c>
      <c r="K1539" s="269">
        <v>84510</v>
      </c>
      <c r="L1539" s="269">
        <v>85770</v>
      </c>
      <c r="M1539" s="270">
        <v>1</v>
      </c>
      <c r="N1539" s="268">
        <v>1</v>
      </c>
      <c r="O1539" s="271"/>
      <c r="P1539" s="271">
        <v>84510</v>
      </c>
      <c r="Q1539" s="271"/>
      <c r="R1539" s="271"/>
      <c r="S1539" s="271">
        <v>-85770</v>
      </c>
      <c r="T1539" s="271"/>
      <c r="U1539" s="272">
        <v>1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153</v>
      </c>
      <c r="B1540" s="267" t="s">
        <v>1959</v>
      </c>
      <c r="C1540" s="267" t="s">
        <v>94</v>
      </c>
      <c r="D1540" s="267" t="s">
        <v>92</v>
      </c>
      <c r="E1540" s="267" t="s">
        <v>0</v>
      </c>
      <c r="F1540" s="268"/>
      <c r="G1540" s="269"/>
      <c r="H1540" s="269"/>
      <c r="I1540" s="270"/>
      <c r="J1540" s="268">
        <v>1</v>
      </c>
      <c r="K1540" s="269">
        <v>83961</v>
      </c>
      <c r="L1540" s="269">
        <v>86179</v>
      </c>
      <c r="M1540" s="270">
        <v>1</v>
      </c>
      <c r="N1540" s="268">
        <v>1</v>
      </c>
      <c r="O1540" s="271"/>
      <c r="P1540" s="271">
        <v>83961</v>
      </c>
      <c r="Q1540" s="271"/>
      <c r="R1540" s="271"/>
      <c r="S1540" s="271">
        <v>-86179</v>
      </c>
      <c r="T1540" s="271"/>
      <c r="U1540" s="272">
        <v>1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153</v>
      </c>
      <c r="B1541" s="267" t="s">
        <v>1960</v>
      </c>
      <c r="C1541" s="267" t="s">
        <v>94</v>
      </c>
      <c r="D1541" s="267" t="s">
        <v>92</v>
      </c>
      <c r="E1541" s="267" t="s">
        <v>0</v>
      </c>
      <c r="F1541" s="268"/>
      <c r="G1541" s="269"/>
      <c r="H1541" s="269"/>
      <c r="I1541" s="270"/>
      <c r="J1541" s="268">
        <v>1</v>
      </c>
      <c r="K1541" s="269">
        <v>83921</v>
      </c>
      <c r="L1541" s="269">
        <v>86039</v>
      </c>
      <c r="M1541" s="270">
        <v>1</v>
      </c>
      <c r="N1541" s="268">
        <v>1</v>
      </c>
      <c r="O1541" s="271"/>
      <c r="P1541" s="271">
        <v>83921</v>
      </c>
      <c r="Q1541" s="271"/>
      <c r="R1541" s="271"/>
      <c r="S1541" s="271">
        <v>-86039</v>
      </c>
      <c r="T1541" s="271"/>
      <c r="U1541" s="272">
        <v>1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153</v>
      </c>
      <c r="B1542" s="267" t="s">
        <v>472</v>
      </c>
      <c r="C1542" s="267" t="s">
        <v>94</v>
      </c>
      <c r="D1542" s="267" t="s">
        <v>92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84731</v>
      </c>
      <c r="L1542" s="269">
        <v>85378</v>
      </c>
      <c r="M1542" s="270">
        <v>1</v>
      </c>
      <c r="N1542" s="268">
        <v>1</v>
      </c>
      <c r="O1542" s="271"/>
      <c r="P1542" s="271">
        <v>84731</v>
      </c>
      <c r="Q1542" s="271"/>
      <c r="R1542" s="271"/>
      <c r="S1542" s="271">
        <v>-85378</v>
      </c>
      <c r="T1542" s="271"/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153</v>
      </c>
      <c r="B1543" s="267" t="s">
        <v>1961</v>
      </c>
      <c r="C1543" s="267" t="s">
        <v>94</v>
      </c>
      <c r="D1543" s="267" t="s">
        <v>92</v>
      </c>
      <c r="E1543" s="267" t="s">
        <v>0</v>
      </c>
      <c r="F1543" s="268"/>
      <c r="G1543" s="269"/>
      <c r="H1543" s="269"/>
      <c r="I1543" s="270"/>
      <c r="J1543" s="268">
        <v>1</v>
      </c>
      <c r="K1543" s="269">
        <v>84344</v>
      </c>
      <c r="L1543" s="269">
        <v>85717</v>
      </c>
      <c r="M1543" s="270">
        <v>1</v>
      </c>
      <c r="N1543" s="268">
        <v>1</v>
      </c>
      <c r="O1543" s="271"/>
      <c r="P1543" s="271">
        <v>84344</v>
      </c>
      <c r="Q1543" s="271"/>
      <c r="R1543" s="271"/>
      <c r="S1543" s="271">
        <v>-85717</v>
      </c>
      <c r="T1543" s="271"/>
      <c r="U1543" s="272">
        <v>1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153</v>
      </c>
      <c r="B1544" s="267" t="s">
        <v>473</v>
      </c>
      <c r="C1544" s="267" t="s">
        <v>94</v>
      </c>
      <c r="D1544" s="267" t="s">
        <v>92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84754</v>
      </c>
      <c r="L1544" s="269">
        <v>85362</v>
      </c>
      <c r="M1544" s="270">
        <v>1</v>
      </c>
      <c r="N1544" s="268">
        <v>1</v>
      </c>
      <c r="O1544" s="271"/>
      <c r="P1544" s="271">
        <v>84754</v>
      </c>
      <c r="Q1544" s="271"/>
      <c r="R1544" s="271"/>
      <c r="S1544" s="271">
        <v>-85362</v>
      </c>
      <c r="T1544" s="271"/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153</v>
      </c>
      <c r="B1545" s="267" t="s">
        <v>1962</v>
      </c>
      <c r="C1545" s="267" t="s">
        <v>94</v>
      </c>
      <c r="D1545" s="267" t="s">
        <v>92</v>
      </c>
      <c r="E1545" s="267" t="s">
        <v>0</v>
      </c>
      <c r="F1545" s="268"/>
      <c r="G1545" s="269"/>
      <c r="H1545" s="269"/>
      <c r="I1545" s="270"/>
      <c r="J1545" s="268">
        <v>1</v>
      </c>
      <c r="K1545" s="269">
        <v>84335</v>
      </c>
      <c r="L1545" s="269">
        <v>85719</v>
      </c>
      <c r="M1545" s="270">
        <v>1</v>
      </c>
      <c r="N1545" s="268">
        <v>1</v>
      </c>
      <c r="O1545" s="271"/>
      <c r="P1545" s="271">
        <v>84335</v>
      </c>
      <c r="Q1545" s="271"/>
      <c r="R1545" s="271"/>
      <c r="S1545" s="271">
        <v>-85719</v>
      </c>
      <c r="T1545" s="271"/>
      <c r="U1545" s="272">
        <v>1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153</v>
      </c>
      <c r="B1546" s="267" t="s">
        <v>1963</v>
      </c>
      <c r="C1546" s="267" t="s">
        <v>94</v>
      </c>
      <c r="D1546" s="267" t="s">
        <v>92</v>
      </c>
      <c r="E1546" s="267" t="s">
        <v>0</v>
      </c>
      <c r="F1546" s="268"/>
      <c r="G1546" s="269"/>
      <c r="H1546" s="269"/>
      <c r="I1546" s="270"/>
      <c r="J1546" s="268">
        <v>1</v>
      </c>
      <c r="K1546" s="269">
        <v>84176</v>
      </c>
      <c r="L1546" s="269">
        <v>86128</v>
      </c>
      <c r="M1546" s="270">
        <v>1</v>
      </c>
      <c r="N1546" s="268">
        <v>1</v>
      </c>
      <c r="O1546" s="271"/>
      <c r="P1546" s="271">
        <v>84176</v>
      </c>
      <c r="Q1546" s="271"/>
      <c r="R1546" s="271"/>
      <c r="S1546" s="271">
        <v>-86128</v>
      </c>
      <c r="T1546" s="271"/>
      <c r="U1546" s="272">
        <v>1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153</v>
      </c>
      <c r="B1547" s="267" t="s">
        <v>1964</v>
      </c>
      <c r="C1547" s="267" t="s">
        <v>94</v>
      </c>
      <c r="D1547" s="267" t="s">
        <v>92</v>
      </c>
      <c r="E1547" s="267" t="s">
        <v>0</v>
      </c>
      <c r="F1547" s="268"/>
      <c r="G1547" s="269"/>
      <c r="H1547" s="269"/>
      <c r="I1547" s="270"/>
      <c r="J1547" s="268">
        <v>1</v>
      </c>
      <c r="K1547" s="269">
        <v>84151</v>
      </c>
      <c r="L1547" s="269">
        <v>86153</v>
      </c>
      <c r="M1547" s="270">
        <v>1</v>
      </c>
      <c r="N1547" s="268">
        <v>1</v>
      </c>
      <c r="O1547" s="271"/>
      <c r="P1547" s="271">
        <v>84151</v>
      </c>
      <c r="Q1547" s="271"/>
      <c r="R1547" s="271"/>
      <c r="S1547" s="271">
        <v>-86153</v>
      </c>
      <c r="T1547" s="271"/>
      <c r="U1547" s="272">
        <v>1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153</v>
      </c>
      <c r="B1548" s="267" t="s">
        <v>1965</v>
      </c>
      <c r="C1548" s="267" t="s">
        <v>94</v>
      </c>
      <c r="D1548" s="267" t="s">
        <v>92</v>
      </c>
      <c r="E1548" s="267" t="s">
        <v>0</v>
      </c>
      <c r="F1548" s="268"/>
      <c r="G1548" s="269"/>
      <c r="H1548" s="269"/>
      <c r="I1548" s="270"/>
      <c r="J1548" s="268">
        <v>1</v>
      </c>
      <c r="K1548" s="269">
        <v>83922</v>
      </c>
      <c r="L1548" s="269">
        <v>86191</v>
      </c>
      <c r="M1548" s="270">
        <v>1</v>
      </c>
      <c r="N1548" s="268">
        <v>1</v>
      </c>
      <c r="O1548" s="271"/>
      <c r="P1548" s="271">
        <v>83922</v>
      </c>
      <c r="Q1548" s="271"/>
      <c r="R1548" s="271"/>
      <c r="S1548" s="271">
        <v>-86191</v>
      </c>
      <c r="T1548" s="271"/>
      <c r="U1548" s="272">
        <v>1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153</v>
      </c>
      <c r="B1549" s="267" t="s">
        <v>1966</v>
      </c>
      <c r="C1549" s="267" t="s">
        <v>94</v>
      </c>
      <c r="D1549" s="267" t="s">
        <v>92</v>
      </c>
      <c r="E1549" s="267" t="s">
        <v>0</v>
      </c>
      <c r="F1549" s="268"/>
      <c r="G1549" s="269"/>
      <c r="H1549" s="269"/>
      <c r="I1549" s="270"/>
      <c r="J1549" s="268">
        <v>1</v>
      </c>
      <c r="K1549" s="269">
        <v>83891</v>
      </c>
      <c r="L1549" s="269">
        <v>86237</v>
      </c>
      <c r="M1549" s="270">
        <v>1</v>
      </c>
      <c r="N1549" s="268">
        <v>1</v>
      </c>
      <c r="O1549" s="271"/>
      <c r="P1549" s="271">
        <v>83891</v>
      </c>
      <c r="Q1549" s="271"/>
      <c r="R1549" s="271"/>
      <c r="S1549" s="271">
        <v>-86237</v>
      </c>
      <c r="T1549" s="271"/>
      <c r="U1549" s="272">
        <v>1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153</v>
      </c>
      <c r="B1550" s="267" t="s">
        <v>1967</v>
      </c>
      <c r="C1550" s="267" t="s">
        <v>94</v>
      </c>
      <c r="D1550" s="267" t="s">
        <v>92</v>
      </c>
      <c r="E1550" s="267" t="s">
        <v>0</v>
      </c>
      <c r="F1550" s="268"/>
      <c r="G1550" s="269"/>
      <c r="H1550" s="269"/>
      <c r="I1550" s="270"/>
      <c r="J1550" s="268">
        <v>1</v>
      </c>
      <c r="K1550" s="269">
        <v>83929</v>
      </c>
      <c r="L1550" s="269">
        <v>86198</v>
      </c>
      <c r="M1550" s="270">
        <v>1</v>
      </c>
      <c r="N1550" s="268">
        <v>1</v>
      </c>
      <c r="O1550" s="271"/>
      <c r="P1550" s="271">
        <v>83929</v>
      </c>
      <c r="Q1550" s="271"/>
      <c r="R1550" s="271"/>
      <c r="S1550" s="271">
        <v>-86198</v>
      </c>
      <c r="T1550" s="271"/>
      <c r="U1550" s="272">
        <v>1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153</v>
      </c>
      <c r="B1551" s="267" t="s">
        <v>1968</v>
      </c>
      <c r="C1551" s="267" t="s">
        <v>94</v>
      </c>
      <c r="D1551" s="267" t="s">
        <v>92</v>
      </c>
      <c r="E1551" s="267" t="s">
        <v>0</v>
      </c>
      <c r="F1551" s="268"/>
      <c r="G1551" s="269"/>
      <c r="H1551" s="269"/>
      <c r="I1551" s="270"/>
      <c r="J1551" s="268">
        <v>1</v>
      </c>
      <c r="K1551" s="269">
        <v>83889</v>
      </c>
      <c r="L1551" s="269">
        <v>86246</v>
      </c>
      <c r="M1551" s="270">
        <v>1</v>
      </c>
      <c r="N1551" s="268">
        <v>1</v>
      </c>
      <c r="O1551" s="271"/>
      <c r="P1551" s="271">
        <v>83889</v>
      </c>
      <c r="Q1551" s="271"/>
      <c r="R1551" s="271"/>
      <c r="S1551" s="271">
        <v>-86246</v>
      </c>
      <c r="T1551" s="271"/>
      <c r="U1551" s="272">
        <v>1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153</v>
      </c>
      <c r="B1552" s="267" t="s">
        <v>1969</v>
      </c>
      <c r="C1552" s="267" t="s">
        <v>94</v>
      </c>
      <c r="D1552" s="267" t="s">
        <v>92</v>
      </c>
      <c r="E1552" s="267" t="s">
        <v>0</v>
      </c>
      <c r="F1552" s="268"/>
      <c r="G1552" s="269"/>
      <c r="H1552" s="269"/>
      <c r="I1552" s="270"/>
      <c r="J1552" s="268">
        <v>1</v>
      </c>
      <c r="K1552" s="269">
        <v>83913</v>
      </c>
      <c r="L1552" s="269">
        <v>86019</v>
      </c>
      <c r="M1552" s="270">
        <v>1</v>
      </c>
      <c r="N1552" s="268">
        <v>1</v>
      </c>
      <c r="O1552" s="271"/>
      <c r="P1552" s="271">
        <v>83913</v>
      </c>
      <c r="Q1552" s="271"/>
      <c r="R1552" s="271"/>
      <c r="S1552" s="271">
        <v>-86019</v>
      </c>
      <c r="T1552" s="271"/>
      <c r="U1552" s="272">
        <v>1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153</v>
      </c>
      <c r="B1553" s="267" t="s">
        <v>1970</v>
      </c>
      <c r="C1553" s="267" t="s">
        <v>94</v>
      </c>
      <c r="D1553" s="267" t="s">
        <v>92</v>
      </c>
      <c r="E1553" s="267" t="s">
        <v>0</v>
      </c>
      <c r="F1553" s="268"/>
      <c r="G1553" s="269"/>
      <c r="H1553" s="269"/>
      <c r="I1553" s="270"/>
      <c r="J1553" s="268">
        <v>1</v>
      </c>
      <c r="K1553" s="269">
        <v>83904</v>
      </c>
      <c r="L1553" s="269">
        <v>86021</v>
      </c>
      <c r="M1553" s="270">
        <v>1</v>
      </c>
      <c r="N1553" s="268">
        <v>1</v>
      </c>
      <c r="O1553" s="271"/>
      <c r="P1553" s="271">
        <v>83904</v>
      </c>
      <c r="Q1553" s="271"/>
      <c r="R1553" s="271"/>
      <c r="S1553" s="271">
        <v>-86021</v>
      </c>
      <c r="T1553" s="271"/>
      <c r="U1553" s="272">
        <v>1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153</v>
      </c>
      <c r="B1554" s="267" t="s">
        <v>1971</v>
      </c>
      <c r="C1554" s="267" t="s">
        <v>94</v>
      </c>
      <c r="D1554" s="267" t="s">
        <v>92</v>
      </c>
      <c r="E1554" s="267" t="s">
        <v>0</v>
      </c>
      <c r="F1554" s="268"/>
      <c r="G1554" s="269"/>
      <c r="H1554" s="269"/>
      <c r="I1554" s="270"/>
      <c r="J1554" s="268">
        <v>1</v>
      </c>
      <c r="K1554" s="269">
        <v>84081</v>
      </c>
      <c r="L1554" s="269">
        <v>86047</v>
      </c>
      <c r="M1554" s="270">
        <v>1</v>
      </c>
      <c r="N1554" s="268">
        <v>1</v>
      </c>
      <c r="O1554" s="271"/>
      <c r="P1554" s="271">
        <v>84081</v>
      </c>
      <c r="Q1554" s="271"/>
      <c r="R1554" s="271"/>
      <c r="S1554" s="271">
        <v>-86047</v>
      </c>
      <c r="T1554" s="271"/>
      <c r="U1554" s="272">
        <v>1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153</v>
      </c>
      <c r="B1555" s="267" t="s">
        <v>1972</v>
      </c>
      <c r="C1555" s="267" t="s">
        <v>94</v>
      </c>
      <c r="D1555" s="267" t="s">
        <v>92</v>
      </c>
      <c r="E1555" s="267" t="s">
        <v>0</v>
      </c>
      <c r="F1555" s="268"/>
      <c r="G1555" s="269"/>
      <c r="H1555" s="269"/>
      <c r="I1555" s="270"/>
      <c r="J1555" s="268">
        <v>1</v>
      </c>
      <c r="K1555" s="269">
        <v>84147</v>
      </c>
      <c r="L1555" s="269">
        <v>85930</v>
      </c>
      <c r="M1555" s="270">
        <v>1</v>
      </c>
      <c r="N1555" s="268">
        <v>1</v>
      </c>
      <c r="O1555" s="271"/>
      <c r="P1555" s="271">
        <v>84147</v>
      </c>
      <c r="Q1555" s="271"/>
      <c r="R1555" s="271"/>
      <c r="S1555" s="271">
        <v>-85930</v>
      </c>
      <c r="T1555" s="271"/>
      <c r="U1555" s="272">
        <v>1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153</v>
      </c>
      <c r="B1556" s="267" t="s">
        <v>1973</v>
      </c>
      <c r="C1556" s="267" t="s">
        <v>94</v>
      </c>
      <c r="D1556" s="267" t="s">
        <v>92</v>
      </c>
      <c r="E1556" s="267" t="s">
        <v>0</v>
      </c>
      <c r="F1556" s="268"/>
      <c r="G1556" s="269"/>
      <c r="H1556" s="269"/>
      <c r="I1556" s="270"/>
      <c r="J1556" s="268">
        <v>1</v>
      </c>
      <c r="K1556" s="269">
        <v>84080</v>
      </c>
      <c r="L1556" s="269">
        <v>86033</v>
      </c>
      <c r="M1556" s="270">
        <v>1</v>
      </c>
      <c r="N1556" s="268">
        <v>1</v>
      </c>
      <c r="O1556" s="271"/>
      <c r="P1556" s="271">
        <v>84080</v>
      </c>
      <c r="Q1556" s="271"/>
      <c r="R1556" s="271"/>
      <c r="S1556" s="271">
        <v>-86033</v>
      </c>
      <c r="T1556" s="271"/>
      <c r="U1556" s="272">
        <v>1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153</v>
      </c>
      <c r="B1557" s="267" t="s">
        <v>1974</v>
      </c>
      <c r="C1557" s="267" t="s">
        <v>94</v>
      </c>
      <c r="D1557" s="267" t="s">
        <v>92</v>
      </c>
      <c r="E1557" s="267" t="s">
        <v>0</v>
      </c>
      <c r="F1557" s="268"/>
      <c r="G1557" s="269"/>
      <c r="H1557" s="269"/>
      <c r="I1557" s="270"/>
      <c r="J1557" s="268">
        <v>1</v>
      </c>
      <c r="K1557" s="269">
        <v>84182</v>
      </c>
      <c r="L1557" s="269">
        <v>85926</v>
      </c>
      <c r="M1557" s="270">
        <v>1</v>
      </c>
      <c r="N1557" s="268">
        <v>1</v>
      </c>
      <c r="O1557" s="271"/>
      <c r="P1557" s="271">
        <v>84182</v>
      </c>
      <c r="Q1557" s="271"/>
      <c r="R1557" s="271"/>
      <c r="S1557" s="271">
        <v>-85926</v>
      </c>
      <c r="T1557" s="271"/>
      <c r="U1557" s="272">
        <v>1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153</v>
      </c>
      <c r="B1558" s="267" t="s">
        <v>1975</v>
      </c>
      <c r="C1558" s="267" t="s">
        <v>94</v>
      </c>
      <c r="D1558" s="267" t="s">
        <v>92</v>
      </c>
      <c r="E1558" s="267" t="s">
        <v>0</v>
      </c>
      <c r="F1558" s="268"/>
      <c r="G1558" s="269"/>
      <c r="H1558" s="269"/>
      <c r="I1558" s="270"/>
      <c r="J1558" s="268">
        <v>1</v>
      </c>
      <c r="K1558" s="269">
        <v>83977</v>
      </c>
      <c r="L1558" s="269">
        <v>86133</v>
      </c>
      <c r="M1558" s="270">
        <v>1</v>
      </c>
      <c r="N1558" s="268">
        <v>1</v>
      </c>
      <c r="O1558" s="271"/>
      <c r="P1558" s="271">
        <v>83977</v>
      </c>
      <c r="Q1558" s="271"/>
      <c r="R1558" s="271"/>
      <c r="S1558" s="271">
        <v>-86133</v>
      </c>
      <c r="T1558" s="271"/>
      <c r="U1558" s="272">
        <v>1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153</v>
      </c>
      <c r="B1559" s="267" t="s">
        <v>1976</v>
      </c>
      <c r="C1559" s="267" t="s">
        <v>94</v>
      </c>
      <c r="D1559" s="267" t="s">
        <v>92</v>
      </c>
      <c r="E1559" s="267" t="s">
        <v>0</v>
      </c>
      <c r="F1559" s="268"/>
      <c r="G1559" s="269"/>
      <c r="H1559" s="269"/>
      <c r="I1559" s="270"/>
      <c r="J1559" s="268">
        <v>1</v>
      </c>
      <c r="K1559" s="269">
        <v>83982</v>
      </c>
      <c r="L1559" s="269">
        <v>86112</v>
      </c>
      <c r="M1559" s="270">
        <v>1</v>
      </c>
      <c r="N1559" s="268">
        <v>1</v>
      </c>
      <c r="O1559" s="271"/>
      <c r="P1559" s="271">
        <v>83982</v>
      </c>
      <c r="Q1559" s="271"/>
      <c r="R1559" s="271"/>
      <c r="S1559" s="271">
        <v>-86112</v>
      </c>
      <c r="T1559" s="271"/>
      <c r="U1559" s="272">
        <v>1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153</v>
      </c>
      <c r="B1560" s="267" t="s">
        <v>1977</v>
      </c>
      <c r="C1560" s="267" t="s">
        <v>94</v>
      </c>
      <c r="D1560" s="267" t="s">
        <v>92</v>
      </c>
      <c r="E1560" s="267" t="s">
        <v>0</v>
      </c>
      <c r="F1560" s="268"/>
      <c r="G1560" s="269"/>
      <c r="H1560" s="269"/>
      <c r="I1560" s="270"/>
      <c r="J1560" s="268">
        <v>1</v>
      </c>
      <c r="K1560" s="269">
        <v>84065</v>
      </c>
      <c r="L1560" s="269">
        <v>86070</v>
      </c>
      <c r="M1560" s="270">
        <v>1</v>
      </c>
      <c r="N1560" s="268">
        <v>1</v>
      </c>
      <c r="O1560" s="271"/>
      <c r="P1560" s="271">
        <v>84065</v>
      </c>
      <c r="Q1560" s="271"/>
      <c r="R1560" s="271"/>
      <c r="S1560" s="271">
        <v>-86070</v>
      </c>
      <c r="T1560" s="271"/>
      <c r="U1560" s="272">
        <v>1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153</v>
      </c>
      <c r="B1561" s="267" t="s">
        <v>1978</v>
      </c>
      <c r="C1561" s="267" t="s">
        <v>94</v>
      </c>
      <c r="D1561" s="267" t="s">
        <v>92</v>
      </c>
      <c r="E1561" s="267" t="s">
        <v>0</v>
      </c>
      <c r="F1561" s="268"/>
      <c r="G1561" s="269"/>
      <c r="H1561" s="269"/>
      <c r="I1561" s="270"/>
      <c r="J1561" s="268">
        <v>1</v>
      </c>
      <c r="K1561" s="269">
        <v>84114</v>
      </c>
      <c r="L1561" s="269">
        <v>85967</v>
      </c>
      <c r="M1561" s="270">
        <v>1</v>
      </c>
      <c r="N1561" s="268">
        <v>1</v>
      </c>
      <c r="O1561" s="271"/>
      <c r="P1561" s="271">
        <v>84114</v>
      </c>
      <c r="Q1561" s="271"/>
      <c r="R1561" s="271"/>
      <c r="S1561" s="271">
        <v>-85967</v>
      </c>
      <c r="T1561" s="271"/>
      <c r="U1561" s="272">
        <v>1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153</v>
      </c>
      <c r="B1562" s="267" t="s">
        <v>1979</v>
      </c>
      <c r="C1562" s="267" t="s">
        <v>94</v>
      </c>
      <c r="D1562" s="267" t="s">
        <v>92</v>
      </c>
      <c r="E1562" s="267" t="s">
        <v>0</v>
      </c>
      <c r="F1562" s="268"/>
      <c r="G1562" s="269"/>
      <c r="H1562" s="269"/>
      <c r="I1562" s="270"/>
      <c r="J1562" s="268">
        <v>1</v>
      </c>
      <c r="K1562" s="269">
        <v>84087</v>
      </c>
      <c r="L1562" s="269">
        <v>86040</v>
      </c>
      <c r="M1562" s="270">
        <v>1</v>
      </c>
      <c r="N1562" s="268">
        <v>1</v>
      </c>
      <c r="O1562" s="271"/>
      <c r="P1562" s="271">
        <v>84087</v>
      </c>
      <c r="Q1562" s="271"/>
      <c r="R1562" s="271"/>
      <c r="S1562" s="271">
        <v>-86040</v>
      </c>
      <c r="T1562" s="271"/>
      <c r="U1562" s="272">
        <v>1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153</v>
      </c>
      <c r="B1563" s="267" t="s">
        <v>1980</v>
      </c>
      <c r="C1563" s="267" t="s">
        <v>94</v>
      </c>
      <c r="D1563" s="267" t="s">
        <v>92</v>
      </c>
      <c r="E1563" s="267" t="s">
        <v>0</v>
      </c>
      <c r="F1563" s="268"/>
      <c r="G1563" s="269"/>
      <c r="H1563" s="269"/>
      <c r="I1563" s="270"/>
      <c r="J1563" s="268">
        <v>1</v>
      </c>
      <c r="K1563" s="269">
        <v>84180</v>
      </c>
      <c r="L1563" s="269">
        <v>85935</v>
      </c>
      <c r="M1563" s="270">
        <v>1</v>
      </c>
      <c r="N1563" s="268">
        <v>1</v>
      </c>
      <c r="O1563" s="271"/>
      <c r="P1563" s="271">
        <v>84180</v>
      </c>
      <c r="Q1563" s="271"/>
      <c r="R1563" s="271"/>
      <c r="S1563" s="271">
        <v>-85935</v>
      </c>
      <c r="T1563" s="271"/>
      <c r="U1563" s="272">
        <v>1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153</v>
      </c>
      <c r="B1564" s="267" t="s">
        <v>1981</v>
      </c>
      <c r="C1564" s="267" t="s">
        <v>94</v>
      </c>
      <c r="D1564" s="267" t="s">
        <v>92</v>
      </c>
      <c r="E1564" s="267" t="s">
        <v>0</v>
      </c>
      <c r="F1564" s="268"/>
      <c r="G1564" s="269"/>
      <c r="H1564" s="269"/>
      <c r="I1564" s="270"/>
      <c r="J1564" s="268">
        <v>1</v>
      </c>
      <c r="K1564" s="269">
        <v>83987</v>
      </c>
      <c r="L1564" s="269">
        <v>86143</v>
      </c>
      <c r="M1564" s="270">
        <v>1</v>
      </c>
      <c r="N1564" s="268">
        <v>1</v>
      </c>
      <c r="O1564" s="271"/>
      <c r="P1564" s="271">
        <v>83987</v>
      </c>
      <c r="Q1564" s="271"/>
      <c r="R1564" s="271"/>
      <c r="S1564" s="271">
        <v>-86143</v>
      </c>
      <c r="T1564" s="271"/>
      <c r="U1564" s="272">
        <v>1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153</v>
      </c>
      <c r="B1565" s="267" t="s">
        <v>1982</v>
      </c>
      <c r="C1565" s="267" t="s">
        <v>94</v>
      </c>
      <c r="D1565" s="267" t="s">
        <v>92</v>
      </c>
      <c r="E1565" s="267" t="s">
        <v>0</v>
      </c>
      <c r="F1565" s="268"/>
      <c r="G1565" s="269"/>
      <c r="H1565" s="269"/>
      <c r="I1565" s="270"/>
      <c r="J1565" s="268">
        <v>1</v>
      </c>
      <c r="K1565" s="269">
        <v>83997</v>
      </c>
      <c r="L1565" s="269">
        <v>86107</v>
      </c>
      <c r="M1565" s="270">
        <v>1</v>
      </c>
      <c r="N1565" s="268">
        <v>1</v>
      </c>
      <c r="O1565" s="271"/>
      <c r="P1565" s="271">
        <v>83997</v>
      </c>
      <c r="Q1565" s="271"/>
      <c r="R1565" s="271"/>
      <c r="S1565" s="271">
        <v>-86107</v>
      </c>
      <c r="T1565" s="271"/>
      <c r="U1565" s="272">
        <v>1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153</v>
      </c>
      <c r="B1566" s="267" t="s">
        <v>1983</v>
      </c>
      <c r="C1566" s="267" t="s">
        <v>94</v>
      </c>
      <c r="D1566" s="267" t="s">
        <v>92</v>
      </c>
      <c r="E1566" s="267" t="s">
        <v>0</v>
      </c>
      <c r="F1566" s="268"/>
      <c r="G1566" s="269"/>
      <c r="H1566" s="269"/>
      <c r="I1566" s="270"/>
      <c r="J1566" s="268">
        <v>1</v>
      </c>
      <c r="K1566" s="269">
        <v>84080</v>
      </c>
      <c r="L1566" s="269">
        <v>85845</v>
      </c>
      <c r="M1566" s="270">
        <v>1</v>
      </c>
      <c r="N1566" s="268">
        <v>1</v>
      </c>
      <c r="O1566" s="271"/>
      <c r="P1566" s="271">
        <v>84080</v>
      </c>
      <c r="Q1566" s="271"/>
      <c r="R1566" s="271"/>
      <c r="S1566" s="271">
        <v>-85845</v>
      </c>
      <c r="T1566" s="271"/>
      <c r="U1566" s="272">
        <v>1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153</v>
      </c>
      <c r="B1567" s="267" t="s">
        <v>1984</v>
      </c>
      <c r="C1567" s="267" t="s">
        <v>94</v>
      </c>
      <c r="D1567" s="267" t="s">
        <v>92</v>
      </c>
      <c r="E1567" s="267" t="s">
        <v>0</v>
      </c>
      <c r="F1567" s="268"/>
      <c r="G1567" s="269"/>
      <c r="H1567" s="269"/>
      <c r="I1567" s="270"/>
      <c r="J1567" s="268">
        <v>1</v>
      </c>
      <c r="K1567" s="269">
        <v>84098</v>
      </c>
      <c r="L1567" s="269">
        <v>85788</v>
      </c>
      <c r="M1567" s="270">
        <v>1</v>
      </c>
      <c r="N1567" s="268">
        <v>1</v>
      </c>
      <c r="O1567" s="271"/>
      <c r="P1567" s="271">
        <v>84098</v>
      </c>
      <c r="Q1567" s="271"/>
      <c r="R1567" s="271"/>
      <c r="S1567" s="271">
        <v>-85788</v>
      </c>
      <c r="T1567" s="271"/>
      <c r="U1567" s="272">
        <v>1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153</v>
      </c>
      <c r="B1568" s="267" t="s">
        <v>1985</v>
      </c>
      <c r="C1568" s="267" t="s">
        <v>94</v>
      </c>
      <c r="D1568" s="267" t="s">
        <v>92</v>
      </c>
      <c r="E1568" s="267" t="s">
        <v>0</v>
      </c>
      <c r="F1568" s="268"/>
      <c r="G1568" s="269"/>
      <c r="H1568" s="269"/>
      <c r="I1568" s="270"/>
      <c r="J1568" s="268">
        <v>1</v>
      </c>
      <c r="K1568" s="269">
        <v>84103</v>
      </c>
      <c r="L1568" s="269">
        <v>85829</v>
      </c>
      <c r="M1568" s="270">
        <v>1</v>
      </c>
      <c r="N1568" s="268">
        <v>1</v>
      </c>
      <c r="O1568" s="271"/>
      <c r="P1568" s="271">
        <v>84103</v>
      </c>
      <c r="Q1568" s="271"/>
      <c r="R1568" s="271"/>
      <c r="S1568" s="271">
        <v>-85829</v>
      </c>
      <c r="T1568" s="271"/>
      <c r="U1568" s="272">
        <v>1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153</v>
      </c>
      <c r="B1569" s="267" t="s">
        <v>1986</v>
      </c>
      <c r="C1569" s="267" t="s">
        <v>94</v>
      </c>
      <c r="D1569" s="267" t="s">
        <v>92</v>
      </c>
      <c r="E1569" s="267" t="s">
        <v>0</v>
      </c>
      <c r="F1569" s="268"/>
      <c r="G1569" s="269"/>
      <c r="H1569" s="269"/>
      <c r="I1569" s="270"/>
      <c r="J1569" s="268">
        <v>1</v>
      </c>
      <c r="K1569" s="269">
        <v>84129</v>
      </c>
      <c r="L1569" s="269">
        <v>85760</v>
      </c>
      <c r="M1569" s="270">
        <v>1</v>
      </c>
      <c r="N1569" s="268">
        <v>1</v>
      </c>
      <c r="O1569" s="271"/>
      <c r="P1569" s="271">
        <v>84129</v>
      </c>
      <c r="Q1569" s="271"/>
      <c r="R1569" s="271"/>
      <c r="S1569" s="271">
        <v>-85760</v>
      </c>
      <c r="T1569" s="271"/>
      <c r="U1569" s="272">
        <v>1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153</v>
      </c>
      <c r="B1570" s="267" t="s">
        <v>1987</v>
      </c>
      <c r="C1570" s="267" t="s">
        <v>94</v>
      </c>
      <c r="D1570" s="267" t="s">
        <v>92</v>
      </c>
      <c r="E1570" s="267" t="s">
        <v>0</v>
      </c>
      <c r="F1570" s="268"/>
      <c r="G1570" s="269"/>
      <c r="H1570" s="269"/>
      <c r="I1570" s="270"/>
      <c r="J1570" s="268">
        <v>1</v>
      </c>
      <c r="K1570" s="269">
        <v>84038</v>
      </c>
      <c r="L1570" s="269">
        <v>85928</v>
      </c>
      <c r="M1570" s="270">
        <v>1</v>
      </c>
      <c r="N1570" s="268">
        <v>1</v>
      </c>
      <c r="O1570" s="271"/>
      <c r="P1570" s="271">
        <v>84038</v>
      </c>
      <c r="Q1570" s="271"/>
      <c r="R1570" s="271"/>
      <c r="S1570" s="271">
        <v>-85928</v>
      </c>
      <c r="T1570" s="271"/>
      <c r="U1570" s="272">
        <v>1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153</v>
      </c>
      <c r="B1571" s="267" t="s">
        <v>1988</v>
      </c>
      <c r="C1571" s="267" t="s">
        <v>94</v>
      </c>
      <c r="D1571" s="267" t="s">
        <v>92</v>
      </c>
      <c r="E1571" s="267" t="s">
        <v>0</v>
      </c>
      <c r="F1571" s="268"/>
      <c r="G1571" s="269"/>
      <c r="H1571" s="269"/>
      <c r="I1571" s="270"/>
      <c r="J1571" s="268">
        <v>1</v>
      </c>
      <c r="K1571" s="269">
        <v>84043</v>
      </c>
      <c r="L1571" s="269">
        <v>85913</v>
      </c>
      <c r="M1571" s="270">
        <v>1</v>
      </c>
      <c r="N1571" s="268">
        <v>1</v>
      </c>
      <c r="O1571" s="271"/>
      <c r="P1571" s="271">
        <v>84043</v>
      </c>
      <c r="Q1571" s="271"/>
      <c r="R1571" s="271"/>
      <c r="S1571" s="271">
        <v>-85913</v>
      </c>
      <c r="T1571" s="271"/>
      <c r="U1571" s="272">
        <v>1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153</v>
      </c>
      <c r="B1572" s="267" t="s">
        <v>1989</v>
      </c>
      <c r="C1572" s="267" t="s">
        <v>94</v>
      </c>
      <c r="D1572" s="267" t="s">
        <v>92</v>
      </c>
      <c r="E1572" s="267" t="s">
        <v>0</v>
      </c>
      <c r="F1572" s="268"/>
      <c r="G1572" s="269"/>
      <c r="H1572" s="269"/>
      <c r="I1572" s="270"/>
      <c r="J1572" s="268">
        <v>1</v>
      </c>
      <c r="K1572" s="269">
        <v>83968</v>
      </c>
      <c r="L1572" s="269">
        <v>86175</v>
      </c>
      <c r="M1572" s="270">
        <v>1</v>
      </c>
      <c r="N1572" s="268">
        <v>1</v>
      </c>
      <c r="O1572" s="271"/>
      <c r="P1572" s="271">
        <v>83968</v>
      </c>
      <c r="Q1572" s="271"/>
      <c r="R1572" s="271"/>
      <c r="S1572" s="271">
        <v>-86175</v>
      </c>
      <c r="T1572" s="271"/>
      <c r="U1572" s="272">
        <v>1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153</v>
      </c>
      <c r="B1573" s="267" t="s">
        <v>1990</v>
      </c>
      <c r="C1573" s="267" t="s">
        <v>94</v>
      </c>
      <c r="D1573" s="267" t="s">
        <v>92</v>
      </c>
      <c r="E1573" s="267" t="s">
        <v>0</v>
      </c>
      <c r="F1573" s="268"/>
      <c r="G1573" s="269"/>
      <c r="H1573" s="269"/>
      <c r="I1573" s="270"/>
      <c r="J1573" s="268">
        <v>1</v>
      </c>
      <c r="K1573" s="269">
        <v>83937</v>
      </c>
      <c r="L1573" s="269">
        <v>86221</v>
      </c>
      <c r="M1573" s="270">
        <v>1</v>
      </c>
      <c r="N1573" s="268">
        <v>1</v>
      </c>
      <c r="O1573" s="271"/>
      <c r="P1573" s="271">
        <v>83937</v>
      </c>
      <c r="Q1573" s="271"/>
      <c r="R1573" s="271"/>
      <c r="S1573" s="271">
        <v>-86221</v>
      </c>
      <c r="T1573" s="271"/>
      <c r="U1573" s="272">
        <v>1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153</v>
      </c>
      <c r="B1574" s="267" t="s">
        <v>1991</v>
      </c>
      <c r="C1574" s="267" t="s">
        <v>94</v>
      </c>
      <c r="D1574" s="267" t="s">
        <v>92</v>
      </c>
      <c r="E1574" s="267" t="s">
        <v>0</v>
      </c>
      <c r="F1574" s="268"/>
      <c r="G1574" s="269"/>
      <c r="H1574" s="269"/>
      <c r="I1574" s="270"/>
      <c r="J1574" s="268">
        <v>1</v>
      </c>
      <c r="K1574" s="269">
        <v>84005</v>
      </c>
      <c r="L1574" s="269">
        <v>86142</v>
      </c>
      <c r="M1574" s="270">
        <v>1</v>
      </c>
      <c r="N1574" s="268">
        <v>1</v>
      </c>
      <c r="O1574" s="271"/>
      <c r="P1574" s="271">
        <v>84005</v>
      </c>
      <c r="Q1574" s="271"/>
      <c r="R1574" s="271"/>
      <c r="S1574" s="271">
        <v>-86142</v>
      </c>
      <c r="T1574" s="271"/>
      <c r="U1574" s="272">
        <v>1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153</v>
      </c>
      <c r="B1575" s="267" t="s">
        <v>1992</v>
      </c>
      <c r="C1575" s="267" t="s">
        <v>94</v>
      </c>
      <c r="D1575" s="267" t="s">
        <v>92</v>
      </c>
      <c r="E1575" s="267" t="s">
        <v>0</v>
      </c>
      <c r="F1575" s="268"/>
      <c r="G1575" s="269"/>
      <c r="H1575" s="269"/>
      <c r="I1575" s="270"/>
      <c r="J1575" s="268">
        <v>1</v>
      </c>
      <c r="K1575" s="269">
        <v>83965</v>
      </c>
      <c r="L1575" s="269">
        <v>86190</v>
      </c>
      <c r="M1575" s="270">
        <v>1</v>
      </c>
      <c r="N1575" s="268">
        <v>1</v>
      </c>
      <c r="O1575" s="271"/>
      <c r="P1575" s="271">
        <v>83965</v>
      </c>
      <c r="Q1575" s="271"/>
      <c r="R1575" s="271"/>
      <c r="S1575" s="271">
        <v>-86190</v>
      </c>
      <c r="T1575" s="271"/>
      <c r="U1575" s="272">
        <v>1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153</v>
      </c>
      <c r="B1576" s="267" t="s">
        <v>1993</v>
      </c>
      <c r="C1576" s="267" t="s">
        <v>94</v>
      </c>
      <c r="D1576" s="267" t="s">
        <v>92</v>
      </c>
      <c r="E1576" s="267" t="s">
        <v>0</v>
      </c>
      <c r="F1576" s="268"/>
      <c r="G1576" s="269"/>
      <c r="H1576" s="269"/>
      <c r="I1576" s="270"/>
      <c r="J1576" s="268">
        <v>1</v>
      </c>
      <c r="K1576" s="269">
        <v>84009</v>
      </c>
      <c r="L1576" s="269">
        <v>86107</v>
      </c>
      <c r="M1576" s="270">
        <v>1</v>
      </c>
      <c r="N1576" s="268">
        <v>1</v>
      </c>
      <c r="O1576" s="271"/>
      <c r="P1576" s="271">
        <v>84009</v>
      </c>
      <c r="Q1576" s="271"/>
      <c r="R1576" s="271"/>
      <c r="S1576" s="271">
        <v>-86107</v>
      </c>
      <c r="T1576" s="271"/>
      <c r="U1576" s="272">
        <v>1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153</v>
      </c>
      <c r="B1577" s="267" t="s">
        <v>1994</v>
      </c>
      <c r="C1577" s="267" t="s">
        <v>94</v>
      </c>
      <c r="D1577" s="267" t="s">
        <v>92</v>
      </c>
      <c r="E1577" s="267" t="s">
        <v>0</v>
      </c>
      <c r="F1577" s="268"/>
      <c r="G1577" s="269"/>
      <c r="H1577" s="269"/>
      <c r="I1577" s="270"/>
      <c r="J1577" s="268">
        <v>1</v>
      </c>
      <c r="K1577" s="269">
        <v>84000</v>
      </c>
      <c r="L1577" s="269">
        <v>86109</v>
      </c>
      <c r="M1577" s="270">
        <v>1</v>
      </c>
      <c r="N1577" s="268">
        <v>1</v>
      </c>
      <c r="O1577" s="271"/>
      <c r="P1577" s="271">
        <v>84000</v>
      </c>
      <c r="Q1577" s="271"/>
      <c r="R1577" s="271"/>
      <c r="S1577" s="271">
        <v>-86109</v>
      </c>
      <c r="T1577" s="271"/>
      <c r="U1577" s="272">
        <v>1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153</v>
      </c>
      <c r="B1578" s="267" t="s">
        <v>1995</v>
      </c>
      <c r="C1578" s="267" t="s">
        <v>94</v>
      </c>
      <c r="D1578" s="267" t="s">
        <v>92</v>
      </c>
      <c r="E1578" s="267" t="s">
        <v>0</v>
      </c>
      <c r="F1578" s="268"/>
      <c r="G1578" s="269"/>
      <c r="H1578" s="269"/>
      <c r="I1578" s="270"/>
      <c r="J1578" s="268">
        <v>1</v>
      </c>
      <c r="K1578" s="269">
        <v>84353</v>
      </c>
      <c r="L1578" s="269">
        <v>85716</v>
      </c>
      <c r="M1578" s="270">
        <v>1</v>
      </c>
      <c r="N1578" s="268">
        <v>1</v>
      </c>
      <c r="O1578" s="271"/>
      <c r="P1578" s="271">
        <v>84353</v>
      </c>
      <c r="Q1578" s="271"/>
      <c r="R1578" s="271"/>
      <c r="S1578" s="271">
        <v>-85716</v>
      </c>
      <c r="T1578" s="271"/>
      <c r="U1578" s="272">
        <v>1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153</v>
      </c>
      <c r="B1579" s="267" t="s">
        <v>1996</v>
      </c>
      <c r="C1579" s="267" t="s">
        <v>94</v>
      </c>
      <c r="D1579" s="267" t="s">
        <v>92</v>
      </c>
      <c r="E1579" s="267" t="s">
        <v>0</v>
      </c>
      <c r="F1579" s="268"/>
      <c r="G1579" s="269"/>
      <c r="H1579" s="269"/>
      <c r="I1579" s="270"/>
      <c r="J1579" s="268">
        <v>1</v>
      </c>
      <c r="K1579" s="269">
        <v>84275</v>
      </c>
      <c r="L1579" s="269">
        <v>86017</v>
      </c>
      <c r="M1579" s="270">
        <v>1</v>
      </c>
      <c r="N1579" s="268">
        <v>1</v>
      </c>
      <c r="O1579" s="271"/>
      <c r="P1579" s="271">
        <v>84275</v>
      </c>
      <c r="Q1579" s="271"/>
      <c r="R1579" s="271"/>
      <c r="S1579" s="271">
        <v>-86017</v>
      </c>
      <c r="T1579" s="271"/>
      <c r="U1579" s="272">
        <v>1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153</v>
      </c>
      <c r="B1580" s="267" t="s">
        <v>1997</v>
      </c>
      <c r="C1580" s="267" t="s">
        <v>94</v>
      </c>
      <c r="D1580" s="267" t="s">
        <v>92</v>
      </c>
      <c r="E1580" s="267" t="s">
        <v>0</v>
      </c>
      <c r="F1580" s="268"/>
      <c r="G1580" s="269"/>
      <c r="H1580" s="269"/>
      <c r="I1580" s="270"/>
      <c r="J1580" s="268">
        <v>1</v>
      </c>
      <c r="K1580" s="269">
        <v>84549</v>
      </c>
      <c r="L1580" s="269">
        <v>85673</v>
      </c>
      <c r="M1580" s="270">
        <v>1</v>
      </c>
      <c r="N1580" s="268">
        <v>1</v>
      </c>
      <c r="O1580" s="271"/>
      <c r="P1580" s="271">
        <v>84549</v>
      </c>
      <c r="Q1580" s="271"/>
      <c r="R1580" s="271"/>
      <c r="S1580" s="271">
        <v>-85673</v>
      </c>
      <c r="T1580" s="271"/>
      <c r="U1580" s="272">
        <v>1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153</v>
      </c>
      <c r="B1581" s="267" t="s">
        <v>1998</v>
      </c>
      <c r="C1581" s="267" t="s">
        <v>94</v>
      </c>
      <c r="D1581" s="267" t="s">
        <v>92</v>
      </c>
      <c r="E1581" s="267" t="s">
        <v>0</v>
      </c>
      <c r="F1581" s="268"/>
      <c r="G1581" s="269"/>
      <c r="H1581" s="269"/>
      <c r="I1581" s="270"/>
      <c r="J1581" s="268">
        <v>1</v>
      </c>
      <c r="K1581" s="269">
        <v>83908</v>
      </c>
      <c r="L1581" s="269">
        <v>86005</v>
      </c>
      <c r="M1581" s="270">
        <v>1</v>
      </c>
      <c r="N1581" s="268">
        <v>1</v>
      </c>
      <c r="O1581" s="271"/>
      <c r="P1581" s="271">
        <v>83908</v>
      </c>
      <c r="Q1581" s="271"/>
      <c r="R1581" s="271"/>
      <c r="S1581" s="271">
        <v>-86005</v>
      </c>
      <c r="T1581" s="271"/>
      <c r="U1581" s="272">
        <v>1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153</v>
      </c>
      <c r="B1582" s="267" t="s">
        <v>1999</v>
      </c>
      <c r="C1582" s="267" t="s">
        <v>94</v>
      </c>
      <c r="D1582" s="267" t="s">
        <v>92</v>
      </c>
      <c r="E1582" s="267" t="s">
        <v>0</v>
      </c>
      <c r="F1582" s="268"/>
      <c r="G1582" s="269"/>
      <c r="H1582" s="269"/>
      <c r="I1582" s="270"/>
      <c r="J1582" s="268">
        <v>1</v>
      </c>
      <c r="K1582" s="269">
        <v>84143</v>
      </c>
      <c r="L1582" s="269">
        <v>85770</v>
      </c>
      <c r="M1582" s="270">
        <v>1</v>
      </c>
      <c r="N1582" s="268">
        <v>1</v>
      </c>
      <c r="O1582" s="271"/>
      <c r="P1582" s="271">
        <v>84143</v>
      </c>
      <c r="Q1582" s="271"/>
      <c r="R1582" s="271"/>
      <c r="S1582" s="271">
        <v>-85770</v>
      </c>
      <c r="T1582" s="271"/>
      <c r="U1582" s="272">
        <v>1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153</v>
      </c>
      <c r="B1583" s="267" t="s">
        <v>2000</v>
      </c>
      <c r="C1583" s="267" t="s">
        <v>94</v>
      </c>
      <c r="D1583" s="267" t="s">
        <v>92</v>
      </c>
      <c r="E1583" s="267" t="s">
        <v>0</v>
      </c>
      <c r="F1583" s="268"/>
      <c r="G1583" s="269"/>
      <c r="H1583" s="269"/>
      <c r="I1583" s="270"/>
      <c r="J1583" s="268">
        <v>1</v>
      </c>
      <c r="K1583" s="269">
        <v>83948</v>
      </c>
      <c r="L1583" s="269">
        <v>86169</v>
      </c>
      <c r="M1583" s="270">
        <v>1</v>
      </c>
      <c r="N1583" s="268">
        <v>1</v>
      </c>
      <c r="O1583" s="271"/>
      <c r="P1583" s="271">
        <v>83948</v>
      </c>
      <c r="Q1583" s="271"/>
      <c r="R1583" s="271"/>
      <c r="S1583" s="271">
        <v>-86169</v>
      </c>
      <c r="T1583" s="271"/>
      <c r="U1583" s="272">
        <v>1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153</v>
      </c>
      <c r="B1584" s="267" t="s">
        <v>2001</v>
      </c>
      <c r="C1584" s="267" t="s">
        <v>94</v>
      </c>
      <c r="D1584" s="267" t="s">
        <v>92</v>
      </c>
      <c r="E1584" s="267" t="s">
        <v>0</v>
      </c>
      <c r="F1584" s="268"/>
      <c r="G1584" s="269"/>
      <c r="H1584" s="269"/>
      <c r="I1584" s="270"/>
      <c r="J1584" s="268">
        <v>1</v>
      </c>
      <c r="K1584" s="269">
        <v>84286</v>
      </c>
      <c r="L1584" s="269">
        <v>85752</v>
      </c>
      <c r="M1584" s="270">
        <v>1</v>
      </c>
      <c r="N1584" s="268">
        <v>1</v>
      </c>
      <c r="O1584" s="271"/>
      <c r="P1584" s="271">
        <v>84286</v>
      </c>
      <c r="Q1584" s="271"/>
      <c r="R1584" s="271"/>
      <c r="S1584" s="271">
        <v>-85752</v>
      </c>
      <c r="T1584" s="271"/>
      <c r="U1584" s="272">
        <v>1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153</v>
      </c>
      <c r="B1585" s="267" t="s">
        <v>2002</v>
      </c>
      <c r="C1585" s="267" t="s">
        <v>94</v>
      </c>
      <c r="D1585" s="267" t="s">
        <v>92</v>
      </c>
      <c r="E1585" s="267" t="s">
        <v>0</v>
      </c>
      <c r="F1585" s="268"/>
      <c r="G1585" s="269"/>
      <c r="H1585" s="269"/>
      <c r="I1585" s="270"/>
      <c r="J1585" s="268">
        <v>1</v>
      </c>
      <c r="K1585" s="269">
        <v>84064</v>
      </c>
      <c r="L1585" s="269">
        <v>86033</v>
      </c>
      <c r="M1585" s="270">
        <v>1</v>
      </c>
      <c r="N1585" s="268">
        <v>1</v>
      </c>
      <c r="O1585" s="271"/>
      <c r="P1585" s="271">
        <v>84064</v>
      </c>
      <c r="Q1585" s="271"/>
      <c r="R1585" s="271"/>
      <c r="S1585" s="271">
        <v>-86033</v>
      </c>
      <c r="T1585" s="271"/>
      <c r="U1585" s="272">
        <v>1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153</v>
      </c>
      <c r="B1586" s="267" t="s">
        <v>2003</v>
      </c>
      <c r="C1586" s="267" t="s">
        <v>94</v>
      </c>
      <c r="D1586" s="267" t="s">
        <v>92</v>
      </c>
      <c r="E1586" s="267" t="s">
        <v>0</v>
      </c>
      <c r="F1586" s="268"/>
      <c r="G1586" s="269"/>
      <c r="H1586" s="269"/>
      <c r="I1586" s="270"/>
      <c r="J1586" s="268">
        <v>1</v>
      </c>
      <c r="K1586" s="269">
        <v>84369</v>
      </c>
      <c r="L1586" s="269">
        <v>85720</v>
      </c>
      <c r="M1586" s="270">
        <v>1</v>
      </c>
      <c r="N1586" s="268">
        <v>1</v>
      </c>
      <c r="O1586" s="271"/>
      <c r="P1586" s="271">
        <v>84369</v>
      </c>
      <c r="Q1586" s="271"/>
      <c r="R1586" s="271"/>
      <c r="S1586" s="271">
        <v>-85720</v>
      </c>
      <c r="T1586" s="271"/>
      <c r="U1586" s="272">
        <v>1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153</v>
      </c>
      <c r="B1587" s="267" t="s">
        <v>2004</v>
      </c>
      <c r="C1587" s="267" t="s">
        <v>94</v>
      </c>
      <c r="D1587" s="267" t="s">
        <v>92</v>
      </c>
      <c r="E1587" s="267" t="s">
        <v>0</v>
      </c>
      <c r="F1587" s="268"/>
      <c r="G1587" s="269"/>
      <c r="H1587" s="269"/>
      <c r="I1587" s="270"/>
      <c r="J1587" s="268">
        <v>1</v>
      </c>
      <c r="K1587" s="269">
        <v>83958</v>
      </c>
      <c r="L1587" s="269">
        <v>86166</v>
      </c>
      <c r="M1587" s="270">
        <v>1</v>
      </c>
      <c r="N1587" s="268">
        <v>1</v>
      </c>
      <c r="O1587" s="271"/>
      <c r="P1587" s="271">
        <v>83958</v>
      </c>
      <c r="Q1587" s="271"/>
      <c r="R1587" s="271"/>
      <c r="S1587" s="271">
        <v>-86166</v>
      </c>
      <c r="T1587" s="271"/>
      <c r="U1587" s="272">
        <v>1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153</v>
      </c>
      <c r="B1588" s="267" t="s">
        <v>2005</v>
      </c>
      <c r="C1588" s="267" t="s">
        <v>94</v>
      </c>
      <c r="D1588" s="267" t="s">
        <v>92</v>
      </c>
      <c r="E1588" s="267" t="s">
        <v>0</v>
      </c>
      <c r="F1588" s="268"/>
      <c r="G1588" s="269"/>
      <c r="H1588" s="269"/>
      <c r="I1588" s="270"/>
      <c r="J1588" s="268">
        <v>1</v>
      </c>
      <c r="K1588" s="269">
        <v>84271</v>
      </c>
      <c r="L1588" s="269">
        <v>86001</v>
      </c>
      <c r="M1588" s="270">
        <v>1</v>
      </c>
      <c r="N1588" s="268">
        <v>1</v>
      </c>
      <c r="O1588" s="271"/>
      <c r="P1588" s="271">
        <v>84271</v>
      </c>
      <c r="Q1588" s="271"/>
      <c r="R1588" s="271"/>
      <c r="S1588" s="271">
        <v>-86001</v>
      </c>
      <c r="T1588" s="271"/>
      <c r="U1588" s="272">
        <v>1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153</v>
      </c>
      <c r="B1589" s="267" t="s">
        <v>2006</v>
      </c>
      <c r="C1589" s="267" t="s">
        <v>94</v>
      </c>
      <c r="D1589" s="267" t="s">
        <v>92</v>
      </c>
      <c r="E1589" s="267" t="s">
        <v>0</v>
      </c>
      <c r="F1589" s="268"/>
      <c r="G1589" s="269"/>
      <c r="H1589" s="269"/>
      <c r="I1589" s="270"/>
      <c r="J1589" s="268">
        <v>1</v>
      </c>
      <c r="K1589" s="269">
        <v>84122</v>
      </c>
      <c r="L1589" s="269">
        <v>86206</v>
      </c>
      <c r="M1589" s="270">
        <v>1</v>
      </c>
      <c r="N1589" s="268">
        <v>1</v>
      </c>
      <c r="O1589" s="271"/>
      <c r="P1589" s="271">
        <v>84122</v>
      </c>
      <c r="Q1589" s="271"/>
      <c r="R1589" s="271"/>
      <c r="S1589" s="271">
        <v>-86206</v>
      </c>
      <c r="T1589" s="271"/>
      <c r="U1589" s="272">
        <v>1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153</v>
      </c>
      <c r="B1590" s="267" t="s">
        <v>2007</v>
      </c>
      <c r="C1590" s="267" t="s">
        <v>94</v>
      </c>
      <c r="D1590" s="267" t="s">
        <v>92</v>
      </c>
      <c r="E1590" s="267" t="s">
        <v>0</v>
      </c>
      <c r="F1590" s="268"/>
      <c r="G1590" s="269"/>
      <c r="H1590" s="269"/>
      <c r="I1590" s="270"/>
      <c r="J1590" s="268">
        <v>1</v>
      </c>
      <c r="K1590" s="269">
        <v>84496</v>
      </c>
      <c r="L1590" s="269">
        <v>85754</v>
      </c>
      <c r="M1590" s="270">
        <v>1</v>
      </c>
      <c r="N1590" s="268">
        <v>1</v>
      </c>
      <c r="O1590" s="271"/>
      <c r="P1590" s="271">
        <v>84496</v>
      </c>
      <c r="Q1590" s="271"/>
      <c r="R1590" s="271"/>
      <c r="S1590" s="271">
        <v>-85754</v>
      </c>
      <c r="T1590" s="271"/>
      <c r="U1590" s="272">
        <v>1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153</v>
      </c>
      <c r="B1591" s="267" t="s">
        <v>2008</v>
      </c>
      <c r="C1591" s="267" t="s">
        <v>94</v>
      </c>
      <c r="D1591" s="267" t="s">
        <v>92</v>
      </c>
      <c r="E1591" s="267" t="s">
        <v>0</v>
      </c>
      <c r="F1591" s="268"/>
      <c r="G1591" s="269"/>
      <c r="H1591" s="269"/>
      <c r="I1591" s="270"/>
      <c r="J1591" s="268">
        <v>1</v>
      </c>
      <c r="K1591" s="269">
        <v>83907</v>
      </c>
      <c r="L1591" s="269">
        <v>86023</v>
      </c>
      <c r="M1591" s="270">
        <v>1</v>
      </c>
      <c r="N1591" s="268">
        <v>1</v>
      </c>
      <c r="O1591" s="271"/>
      <c r="P1591" s="271">
        <v>83907</v>
      </c>
      <c r="Q1591" s="271"/>
      <c r="R1591" s="271"/>
      <c r="S1591" s="271">
        <v>-86023</v>
      </c>
      <c r="T1591" s="271"/>
      <c r="U1591" s="272">
        <v>1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153</v>
      </c>
      <c r="B1592" s="267" t="s">
        <v>2009</v>
      </c>
      <c r="C1592" s="267" t="s">
        <v>94</v>
      </c>
      <c r="D1592" s="267" t="s">
        <v>92</v>
      </c>
      <c r="E1592" s="267" t="s">
        <v>0</v>
      </c>
      <c r="F1592" s="268"/>
      <c r="G1592" s="269"/>
      <c r="H1592" s="269"/>
      <c r="I1592" s="270"/>
      <c r="J1592" s="268">
        <v>1</v>
      </c>
      <c r="K1592" s="269">
        <v>84321</v>
      </c>
      <c r="L1592" s="269">
        <v>85703</v>
      </c>
      <c r="M1592" s="270">
        <v>1</v>
      </c>
      <c r="N1592" s="268">
        <v>1</v>
      </c>
      <c r="O1592" s="271"/>
      <c r="P1592" s="271">
        <v>84321</v>
      </c>
      <c r="Q1592" s="271"/>
      <c r="R1592" s="271"/>
      <c r="S1592" s="271">
        <v>-85703</v>
      </c>
      <c r="T1592" s="271"/>
      <c r="U1592" s="272">
        <v>1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153</v>
      </c>
      <c r="B1593" s="267" t="s">
        <v>2010</v>
      </c>
      <c r="C1593" s="267" t="s">
        <v>94</v>
      </c>
      <c r="D1593" s="267" t="s">
        <v>92</v>
      </c>
      <c r="E1593" s="267" t="s">
        <v>0</v>
      </c>
      <c r="F1593" s="268"/>
      <c r="G1593" s="269"/>
      <c r="H1593" s="269"/>
      <c r="I1593" s="270"/>
      <c r="J1593" s="268">
        <v>1</v>
      </c>
      <c r="K1593" s="269">
        <v>84137</v>
      </c>
      <c r="L1593" s="269">
        <v>86137</v>
      </c>
      <c r="M1593" s="270">
        <v>1</v>
      </c>
      <c r="N1593" s="268">
        <v>1</v>
      </c>
      <c r="O1593" s="271"/>
      <c r="P1593" s="271">
        <v>84137</v>
      </c>
      <c r="Q1593" s="271"/>
      <c r="R1593" s="271"/>
      <c r="S1593" s="271">
        <v>-86137</v>
      </c>
      <c r="T1593" s="271"/>
      <c r="U1593" s="272">
        <v>1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153</v>
      </c>
      <c r="B1594" s="267" t="s">
        <v>2011</v>
      </c>
      <c r="C1594" s="267" t="s">
        <v>94</v>
      </c>
      <c r="D1594" s="267" t="s">
        <v>92</v>
      </c>
      <c r="E1594" s="267" t="s">
        <v>0</v>
      </c>
      <c r="F1594" s="268"/>
      <c r="G1594" s="269"/>
      <c r="H1594" s="269"/>
      <c r="I1594" s="270"/>
      <c r="J1594" s="268">
        <v>1</v>
      </c>
      <c r="K1594" s="269">
        <v>83875</v>
      </c>
      <c r="L1594" s="269">
        <v>86230</v>
      </c>
      <c r="M1594" s="270">
        <v>1</v>
      </c>
      <c r="N1594" s="268">
        <v>1</v>
      </c>
      <c r="O1594" s="271"/>
      <c r="P1594" s="271">
        <v>83875</v>
      </c>
      <c r="Q1594" s="271"/>
      <c r="R1594" s="271"/>
      <c r="S1594" s="271">
        <v>-86230</v>
      </c>
      <c r="T1594" s="271"/>
      <c r="U1594" s="272">
        <v>1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153</v>
      </c>
      <c r="B1595" s="267" t="s">
        <v>2012</v>
      </c>
      <c r="C1595" s="267" t="s">
        <v>94</v>
      </c>
      <c r="D1595" s="267" t="s">
        <v>92</v>
      </c>
      <c r="E1595" s="267" t="s">
        <v>0</v>
      </c>
      <c r="F1595" s="268"/>
      <c r="G1595" s="269"/>
      <c r="H1595" s="269"/>
      <c r="I1595" s="270"/>
      <c r="J1595" s="268">
        <v>1</v>
      </c>
      <c r="K1595" s="269">
        <v>83890</v>
      </c>
      <c r="L1595" s="269">
        <v>86005</v>
      </c>
      <c r="M1595" s="270">
        <v>1</v>
      </c>
      <c r="N1595" s="268">
        <v>1</v>
      </c>
      <c r="O1595" s="271"/>
      <c r="P1595" s="271">
        <v>83890</v>
      </c>
      <c r="Q1595" s="271"/>
      <c r="R1595" s="271"/>
      <c r="S1595" s="271">
        <v>-86005</v>
      </c>
      <c r="T1595" s="271"/>
      <c r="U1595" s="272">
        <v>1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153</v>
      </c>
      <c r="B1596" s="267" t="s">
        <v>2013</v>
      </c>
      <c r="C1596" s="267" t="s">
        <v>94</v>
      </c>
      <c r="D1596" s="267" t="s">
        <v>92</v>
      </c>
      <c r="E1596" s="267" t="s">
        <v>0</v>
      </c>
      <c r="F1596" s="268"/>
      <c r="G1596" s="269"/>
      <c r="H1596" s="269"/>
      <c r="I1596" s="270"/>
      <c r="J1596" s="268">
        <v>1</v>
      </c>
      <c r="K1596" s="269">
        <v>84150</v>
      </c>
      <c r="L1596" s="269">
        <v>85965</v>
      </c>
      <c r="M1596" s="270">
        <v>1</v>
      </c>
      <c r="N1596" s="268">
        <v>1</v>
      </c>
      <c r="O1596" s="271"/>
      <c r="P1596" s="271">
        <v>84150</v>
      </c>
      <c r="Q1596" s="271"/>
      <c r="R1596" s="271"/>
      <c r="S1596" s="271">
        <v>-85965</v>
      </c>
      <c r="T1596" s="271"/>
      <c r="U1596" s="272">
        <v>1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153</v>
      </c>
      <c r="B1597" s="267" t="s">
        <v>2014</v>
      </c>
      <c r="C1597" s="267" t="s">
        <v>94</v>
      </c>
      <c r="D1597" s="267" t="s">
        <v>92</v>
      </c>
      <c r="E1597" s="267" t="s">
        <v>0</v>
      </c>
      <c r="F1597" s="268"/>
      <c r="G1597" s="269"/>
      <c r="H1597" s="269"/>
      <c r="I1597" s="270"/>
      <c r="J1597" s="268">
        <v>1</v>
      </c>
      <c r="K1597" s="269">
        <v>83967</v>
      </c>
      <c r="L1597" s="269">
        <v>86137</v>
      </c>
      <c r="M1597" s="270">
        <v>1</v>
      </c>
      <c r="N1597" s="268">
        <v>1</v>
      </c>
      <c r="O1597" s="271"/>
      <c r="P1597" s="271">
        <v>83967</v>
      </c>
      <c r="Q1597" s="271"/>
      <c r="R1597" s="271"/>
      <c r="S1597" s="271">
        <v>-86137</v>
      </c>
      <c r="T1597" s="271"/>
      <c r="U1597" s="272">
        <v>1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153</v>
      </c>
      <c r="B1598" s="267" t="s">
        <v>2015</v>
      </c>
      <c r="C1598" s="267" t="s">
        <v>94</v>
      </c>
      <c r="D1598" s="267" t="s">
        <v>92</v>
      </c>
      <c r="E1598" s="267" t="s">
        <v>0</v>
      </c>
      <c r="F1598" s="268"/>
      <c r="G1598" s="269"/>
      <c r="H1598" s="269"/>
      <c r="I1598" s="270"/>
      <c r="J1598" s="268">
        <v>1</v>
      </c>
      <c r="K1598" s="269">
        <v>84099</v>
      </c>
      <c r="L1598" s="269">
        <v>85790</v>
      </c>
      <c r="M1598" s="270">
        <v>1</v>
      </c>
      <c r="N1598" s="268">
        <v>1</v>
      </c>
      <c r="O1598" s="271"/>
      <c r="P1598" s="271">
        <v>84099</v>
      </c>
      <c r="Q1598" s="271"/>
      <c r="R1598" s="271"/>
      <c r="S1598" s="271">
        <v>-85790</v>
      </c>
      <c r="T1598" s="271"/>
      <c r="U1598" s="272">
        <v>1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153</v>
      </c>
      <c r="B1599" s="267" t="s">
        <v>2016</v>
      </c>
      <c r="C1599" s="267" t="s">
        <v>94</v>
      </c>
      <c r="D1599" s="267" t="s">
        <v>92</v>
      </c>
      <c r="E1599" s="267" t="s">
        <v>0</v>
      </c>
      <c r="F1599" s="268"/>
      <c r="G1599" s="269"/>
      <c r="H1599" s="269"/>
      <c r="I1599" s="270"/>
      <c r="J1599" s="268">
        <v>1</v>
      </c>
      <c r="K1599" s="269">
        <v>84013</v>
      </c>
      <c r="L1599" s="269">
        <v>85943</v>
      </c>
      <c r="M1599" s="270">
        <v>1</v>
      </c>
      <c r="N1599" s="268">
        <v>1</v>
      </c>
      <c r="O1599" s="271"/>
      <c r="P1599" s="271">
        <v>84013</v>
      </c>
      <c r="Q1599" s="271"/>
      <c r="R1599" s="271"/>
      <c r="S1599" s="271">
        <v>-85943</v>
      </c>
      <c r="T1599" s="271"/>
      <c r="U1599" s="272">
        <v>1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153</v>
      </c>
      <c r="B1600" s="267" t="s">
        <v>2017</v>
      </c>
      <c r="C1600" s="267" t="s">
        <v>94</v>
      </c>
      <c r="D1600" s="267" t="s">
        <v>92</v>
      </c>
      <c r="E1600" s="267" t="s">
        <v>0</v>
      </c>
      <c r="F1600" s="268"/>
      <c r="G1600" s="269"/>
      <c r="H1600" s="269"/>
      <c r="I1600" s="270"/>
      <c r="J1600" s="268">
        <v>1</v>
      </c>
      <c r="K1600" s="269">
        <v>83935</v>
      </c>
      <c r="L1600" s="269">
        <v>86220</v>
      </c>
      <c r="M1600" s="270">
        <v>1</v>
      </c>
      <c r="N1600" s="268">
        <v>1</v>
      </c>
      <c r="O1600" s="271"/>
      <c r="P1600" s="271">
        <v>83935</v>
      </c>
      <c r="Q1600" s="271"/>
      <c r="R1600" s="271"/>
      <c r="S1600" s="271">
        <v>-86220</v>
      </c>
      <c r="T1600" s="271"/>
      <c r="U1600" s="272">
        <v>1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153</v>
      </c>
      <c r="B1601" s="267" t="s">
        <v>2018</v>
      </c>
      <c r="C1601" s="267" t="s">
        <v>94</v>
      </c>
      <c r="D1601" s="267" t="s">
        <v>92</v>
      </c>
      <c r="E1601" s="267" t="s">
        <v>0</v>
      </c>
      <c r="F1601" s="268"/>
      <c r="G1601" s="269"/>
      <c r="H1601" s="269"/>
      <c r="I1601" s="270"/>
      <c r="J1601" s="268">
        <v>1</v>
      </c>
      <c r="K1601" s="269">
        <v>83970</v>
      </c>
      <c r="L1601" s="269">
        <v>86139</v>
      </c>
      <c r="M1601" s="270">
        <v>1</v>
      </c>
      <c r="N1601" s="268">
        <v>1</v>
      </c>
      <c r="O1601" s="271"/>
      <c r="P1601" s="271">
        <v>83970</v>
      </c>
      <c r="Q1601" s="271"/>
      <c r="R1601" s="271"/>
      <c r="S1601" s="271">
        <v>-86139</v>
      </c>
      <c r="T1601" s="271"/>
      <c r="U1601" s="272">
        <v>1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153</v>
      </c>
      <c r="B1602" s="267" t="s">
        <v>2019</v>
      </c>
      <c r="C1602" s="267" t="s">
        <v>94</v>
      </c>
      <c r="D1602" s="267" t="s">
        <v>92</v>
      </c>
      <c r="E1602" s="267" t="s">
        <v>0</v>
      </c>
      <c r="F1602" s="268"/>
      <c r="G1602" s="269"/>
      <c r="H1602" s="269"/>
      <c r="I1602" s="270"/>
      <c r="J1602" s="268">
        <v>1</v>
      </c>
      <c r="K1602" s="269">
        <v>84337</v>
      </c>
      <c r="L1602" s="269">
        <v>85739</v>
      </c>
      <c r="M1602" s="270">
        <v>1</v>
      </c>
      <c r="N1602" s="268">
        <v>1</v>
      </c>
      <c r="O1602" s="271"/>
      <c r="P1602" s="271">
        <v>84337</v>
      </c>
      <c r="Q1602" s="271"/>
      <c r="R1602" s="271"/>
      <c r="S1602" s="271">
        <v>-85739</v>
      </c>
      <c r="T1602" s="271"/>
      <c r="U1602" s="272">
        <v>1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153</v>
      </c>
      <c r="B1603" s="267" t="s">
        <v>2020</v>
      </c>
      <c r="C1603" s="267" t="s">
        <v>94</v>
      </c>
      <c r="D1603" s="267" t="s">
        <v>92</v>
      </c>
      <c r="E1603" s="267" t="s">
        <v>0</v>
      </c>
      <c r="F1603" s="268"/>
      <c r="G1603" s="269"/>
      <c r="H1603" s="269"/>
      <c r="I1603" s="270"/>
      <c r="J1603" s="268">
        <v>1</v>
      </c>
      <c r="K1603" s="269">
        <v>84259</v>
      </c>
      <c r="L1603" s="269">
        <v>86040</v>
      </c>
      <c r="M1603" s="270">
        <v>1</v>
      </c>
      <c r="N1603" s="268">
        <v>1</v>
      </c>
      <c r="O1603" s="271"/>
      <c r="P1603" s="271">
        <v>84259</v>
      </c>
      <c r="Q1603" s="271"/>
      <c r="R1603" s="271"/>
      <c r="S1603" s="271">
        <v>-86040</v>
      </c>
      <c r="T1603" s="271"/>
      <c r="U1603" s="272">
        <v>1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153</v>
      </c>
      <c r="B1604" s="267" t="s">
        <v>2021</v>
      </c>
      <c r="C1604" s="267" t="s">
        <v>94</v>
      </c>
      <c r="D1604" s="267" t="s">
        <v>92</v>
      </c>
      <c r="E1604" s="267" t="s">
        <v>0</v>
      </c>
      <c r="F1604" s="268"/>
      <c r="G1604" s="269"/>
      <c r="H1604" s="269"/>
      <c r="I1604" s="270"/>
      <c r="J1604" s="268">
        <v>1</v>
      </c>
      <c r="K1604" s="269">
        <v>84516</v>
      </c>
      <c r="L1604" s="269">
        <v>85710</v>
      </c>
      <c r="M1604" s="270">
        <v>1</v>
      </c>
      <c r="N1604" s="268">
        <v>1</v>
      </c>
      <c r="O1604" s="271"/>
      <c r="P1604" s="271">
        <v>84516</v>
      </c>
      <c r="Q1604" s="271"/>
      <c r="R1604" s="271"/>
      <c r="S1604" s="271">
        <v>-85710</v>
      </c>
      <c r="T1604" s="271"/>
      <c r="U1604" s="272">
        <v>1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153</v>
      </c>
      <c r="B1605" s="267" t="s">
        <v>2022</v>
      </c>
      <c r="C1605" s="267" t="s">
        <v>94</v>
      </c>
      <c r="D1605" s="267" t="s">
        <v>92</v>
      </c>
      <c r="E1605" s="267" t="s">
        <v>0</v>
      </c>
      <c r="F1605" s="268"/>
      <c r="G1605" s="269"/>
      <c r="H1605" s="269"/>
      <c r="I1605" s="270"/>
      <c r="J1605" s="268">
        <v>1</v>
      </c>
      <c r="K1605" s="269">
        <v>83875</v>
      </c>
      <c r="L1605" s="269">
        <v>86042</v>
      </c>
      <c r="M1605" s="270">
        <v>1</v>
      </c>
      <c r="N1605" s="268">
        <v>1</v>
      </c>
      <c r="O1605" s="271"/>
      <c r="P1605" s="271">
        <v>83875</v>
      </c>
      <c r="Q1605" s="271"/>
      <c r="R1605" s="271"/>
      <c r="S1605" s="271">
        <v>-86042</v>
      </c>
      <c r="T1605" s="271"/>
      <c r="U1605" s="272">
        <v>1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153</v>
      </c>
      <c r="B1606" s="267" t="s">
        <v>2023</v>
      </c>
      <c r="C1606" s="267" t="s">
        <v>94</v>
      </c>
      <c r="D1606" s="267" t="s">
        <v>92</v>
      </c>
      <c r="E1606" s="267" t="s">
        <v>0</v>
      </c>
      <c r="F1606" s="268"/>
      <c r="G1606" s="269"/>
      <c r="H1606" s="269"/>
      <c r="I1606" s="270"/>
      <c r="J1606" s="268">
        <v>1</v>
      </c>
      <c r="K1606" s="269">
        <v>84150</v>
      </c>
      <c r="L1606" s="269">
        <v>85777</v>
      </c>
      <c r="M1606" s="270">
        <v>1</v>
      </c>
      <c r="N1606" s="268">
        <v>1</v>
      </c>
      <c r="O1606" s="271"/>
      <c r="P1606" s="271">
        <v>84150</v>
      </c>
      <c r="Q1606" s="271"/>
      <c r="R1606" s="271"/>
      <c r="S1606" s="271">
        <v>-85777</v>
      </c>
      <c r="T1606" s="271"/>
      <c r="U1606" s="272">
        <v>1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153</v>
      </c>
      <c r="B1607" s="267" t="s">
        <v>2024</v>
      </c>
      <c r="C1607" s="267" t="s">
        <v>94</v>
      </c>
      <c r="D1607" s="267" t="s">
        <v>92</v>
      </c>
      <c r="E1607" s="267" t="s">
        <v>0</v>
      </c>
      <c r="F1607" s="268"/>
      <c r="G1607" s="269"/>
      <c r="H1607" s="269"/>
      <c r="I1607" s="270"/>
      <c r="J1607" s="268">
        <v>1</v>
      </c>
      <c r="K1607" s="269">
        <v>83955</v>
      </c>
      <c r="L1607" s="269">
        <v>86176</v>
      </c>
      <c r="M1607" s="270">
        <v>1</v>
      </c>
      <c r="N1607" s="268">
        <v>1</v>
      </c>
      <c r="O1607" s="271"/>
      <c r="P1607" s="271">
        <v>83955</v>
      </c>
      <c r="Q1607" s="271"/>
      <c r="R1607" s="271"/>
      <c r="S1607" s="271">
        <v>-86176</v>
      </c>
      <c r="T1607" s="271"/>
      <c r="U1607" s="272">
        <v>1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153</v>
      </c>
      <c r="B1608" s="267" t="s">
        <v>2025</v>
      </c>
      <c r="C1608" s="267" t="s">
        <v>94</v>
      </c>
      <c r="D1608" s="267" t="s">
        <v>92</v>
      </c>
      <c r="E1608" s="267" t="s">
        <v>0</v>
      </c>
      <c r="F1608" s="268"/>
      <c r="G1608" s="269"/>
      <c r="H1608" s="269"/>
      <c r="I1608" s="270"/>
      <c r="J1608" s="268">
        <v>1</v>
      </c>
      <c r="K1608" s="269">
        <v>84253</v>
      </c>
      <c r="L1608" s="269">
        <v>85789</v>
      </c>
      <c r="M1608" s="270">
        <v>1</v>
      </c>
      <c r="N1608" s="268">
        <v>1</v>
      </c>
      <c r="O1608" s="271"/>
      <c r="P1608" s="271">
        <v>84253</v>
      </c>
      <c r="Q1608" s="271"/>
      <c r="R1608" s="271"/>
      <c r="S1608" s="271">
        <v>-85789</v>
      </c>
      <c r="T1608" s="271"/>
      <c r="U1608" s="272">
        <v>1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153</v>
      </c>
      <c r="B1609" s="267" t="s">
        <v>2026</v>
      </c>
      <c r="C1609" s="267" t="s">
        <v>94</v>
      </c>
      <c r="D1609" s="267" t="s">
        <v>92</v>
      </c>
      <c r="E1609" s="267" t="s">
        <v>0</v>
      </c>
      <c r="F1609" s="268"/>
      <c r="G1609" s="269"/>
      <c r="H1609" s="269"/>
      <c r="I1609" s="270"/>
      <c r="J1609" s="268">
        <v>1</v>
      </c>
      <c r="K1609" s="269">
        <v>84071</v>
      </c>
      <c r="L1609" s="269">
        <v>86040</v>
      </c>
      <c r="M1609" s="270">
        <v>1</v>
      </c>
      <c r="N1609" s="268">
        <v>1</v>
      </c>
      <c r="O1609" s="271"/>
      <c r="P1609" s="271">
        <v>84071</v>
      </c>
      <c r="Q1609" s="271"/>
      <c r="R1609" s="271"/>
      <c r="S1609" s="271">
        <v>-86040</v>
      </c>
      <c r="T1609" s="271"/>
      <c r="U1609" s="272">
        <v>1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153</v>
      </c>
      <c r="B1610" s="267" t="s">
        <v>2027</v>
      </c>
      <c r="C1610" s="267" t="s">
        <v>94</v>
      </c>
      <c r="D1610" s="267" t="s">
        <v>92</v>
      </c>
      <c r="E1610" s="267" t="s">
        <v>0</v>
      </c>
      <c r="F1610" s="268"/>
      <c r="G1610" s="269"/>
      <c r="H1610" s="269"/>
      <c r="I1610" s="270"/>
      <c r="J1610" s="268">
        <v>1</v>
      </c>
      <c r="K1610" s="269">
        <v>84362</v>
      </c>
      <c r="L1610" s="269">
        <v>85744</v>
      </c>
      <c r="M1610" s="270">
        <v>1</v>
      </c>
      <c r="N1610" s="268">
        <v>1</v>
      </c>
      <c r="O1610" s="271"/>
      <c r="P1610" s="271">
        <v>84362</v>
      </c>
      <c r="Q1610" s="271"/>
      <c r="R1610" s="271"/>
      <c r="S1610" s="271">
        <v>-85744</v>
      </c>
      <c r="T1610" s="271"/>
      <c r="U1610" s="272">
        <v>1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153</v>
      </c>
      <c r="B1611" s="267" t="s">
        <v>2028</v>
      </c>
      <c r="C1611" s="267" t="s">
        <v>94</v>
      </c>
      <c r="D1611" s="267" t="s">
        <v>92</v>
      </c>
      <c r="E1611" s="267" t="s">
        <v>0</v>
      </c>
      <c r="F1611" s="268"/>
      <c r="G1611" s="269"/>
      <c r="H1611" s="269"/>
      <c r="I1611" s="270"/>
      <c r="J1611" s="268">
        <v>1</v>
      </c>
      <c r="K1611" s="269">
        <v>83981</v>
      </c>
      <c r="L1611" s="269">
        <v>86150</v>
      </c>
      <c r="M1611" s="270">
        <v>1</v>
      </c>
      <c r="N1611" s="268">
        <v>1</v>
      </c>
      <c r="O1611" s="271"/>
      <c r="P1611" s="271">
        <v>83981</v>
      </c>
      <c r="Q1611" s="271"/>
      <c r="R1611" s="271"/>
      <c r="S1611" s="271">
        <v>-86150</v>
      </c>
      <c r="T1611" s="271"/>
      <c r="U1611" s="272">
        <v>1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153</v>
      </c>
      <c r="B1612" s="267" t="s">
        <v>2029</v>
      </c>
      <c r="C1612" s="267" t="s">
        <v>94</v>
      </c>
      <c r="D1612" s="267" t="s">
        <v>92</v>
      </c>
      <c r="E1612" s="267" t="s">
        <v>0</v>
      </c>
      <c r="F1612" s="268"/>
      <c r="G1612" s="269"/>
      <c r="H1612" s="269"/>
      <c r="I1612" s="270"/>
      <c r="J1612" s="268">
        <v>1</v>
      </c>
      <c r="K1612" s="269">
        <v>84254</v>
      </c>
      <c r="L1612" s="269">
        <v>86015</v>
      </c>
      <c r="M1612" s="270">
        <v>1</v>
      </c>
      <c r="N1612" s="268">
        <v>1</v>
      </c>
      <c r="O1612" s="271"/>
      <c r="P1612" s="271">
        <v>84254</v>
      </c>
      <c r="Q1612" s="271"/>
      <c r="R1612" s="271"/>
      <c r="S1612" s="271">
        <v>-86015</v>
      </c>
      <c r="T1612" s="271"/>
      <c r="U1612" s="272">
        <v>1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153</v>
      </c>
      <c r="B1613" s="267" t="s">
        <v>2030</v>
      </c>
      <c r="C1613" s="267" t="s">
        <v>94</v>
      </c>
      <c r="D1613" s="267" t="s">
        <v>92</v>
      </c>
      <c r="E1613" s="267" t="s">
        <v>0</v>
      </c>
      <c r="F1613" s="268"/>
      <c r="G1613" s="269"/>
      <c r="H1613" s="269"/>
      <c r="I1613" s="270"/>
      <c r="J1613" s="268">
        <v>1</v>
      </c>
      <c r="K1613" s="269">
        <v>84115</v>
      </c>
      <c r="L1613" s="269">
        <v>86230</v>
      </c>
      <c r="M1613" s="270">
        <v>1</v>
      </c>
      <c r="N1613" s="268">
        <v>1</v>
      </c>
      <c r="O1613" s="271"/>
      <c r="P1613" s="271">
        <v>84115</v>
      </c>
      <c r="Q1613" s="271"/>
      <c r="R1613" s="271"/>
      <c r="S1613" s="271">
        <v>-86230</v>
      </c>
      <c r="T1613" s="271"/>
      <c r="U1613" s="272">
        <v>1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153</v>
      </c>
      <c r="B1614" s="267" t="s">
        <v>2031</v>
      </c>
      <c r="C1614" s="267" t="s">
        <v>94</v>
      </c>
      <c r="D1614" s="267" t="s">
        <v>92</v>
      </c>
      <c r="E1614" s="267" t="s">
        <v>0</v>
      </c>
      <c r="F1614" s="268"/>
      <c r="G1614" s="269"/>
      <c r="H1614" s="269"/>
      <c r="I1614" s="270"/>
      <c r="J1614" s="268">
        <v>1</v>
      </c>
      <c r="K1614" s="269">
        <v>84483</v>
      </c>
      <c r="L1614" s="269">
        <v>85780</v>
      </c>
      <c r="M1614" s="270">
        <v>1</v>
      </c>
      <c r="N1614" s="268">
        <v>1</v>
      </c>
      <c r="O1614" s="271"/>
      <c r="P1614" s="271">
        <v>84483</v>
      </c>
      <c r="Q1614" s="271"/>
      <c r="R1614" s="271"/>
      <c r="S1614" s="271">
        <v>-85780</v>
      </c>
      <c r="T1614" s="271"/>
      <c r="U1614" s="272">
        <v>1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153</v>
      </c>
      <c r="B1615" s="267" t="s">
        <v>2032</v>
      </c>
      <c r="C1615" s="267" t="s">
        <v>94</v>
      </c>
      <c r="D1615" s="267" t="s">
        <v>92</v>
      </c>
      <c r="E1615" s="267" t="s">
        <v>0</v>
      </c>
      <c r="F1615" s="268"/>
      <c r="G1615" s="269"/>
      <c r="H1615" s="269"/>
      <c r="I1615" s="270"/>
      <c r="J1615" s="268">
        <v>1</v>
      </c>
      <c r="K1615" s="269">
        <v>83917</v>
      </c>
      <c r="L1615" s="269">
        <v>86033</v>
      </c>
      <c r="M1615" s="270">
        <v>1</v>
      </c>
      <c r="N1615" s="268">
        <v>1</v>
      </c>
      <c r="O1615" s="271"/>
      <c r="P1615" s="271">
        <v>83917</v>
      </c>
      <c r="Q1615" s="271"/>
      <c r="R1615" s="271"/>
      <c r="S1615" s="271">
        <v>-86033</v>
      </c>
      <c r="T1615" s="271"/>
      <c r="U1615" s="272">
        <v>1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153</v>
      </c>
      <c r="B1616" s="267" t="s">
        <v>2033</v>
      </c>
      <c r="C1616" s="267" t="s">
        <v>94</v>
      </c>
      <c r="D1616" s="267" t="s">
        <v>92</v>
      </c>
      <c r="E1616" s="267" t="s">
        <v>0</v>
      </c>
      <c r="F1616" s="268"/>
      <c r="G1616" s="269"/>
      <c r="H1616" s="269"/>
      <c r="I1616" s="270"/>
      <c r="J1616" s="268">
        <v>1</v>
      </c>
      <c r="K1616" s="269">
        <v>84345</v>
      </c>
      <c r="L1616" s="269">
        <v>85696</v>
      </c>
      <c r="M1616" s="270">
        <v>1</v>
      </c>
      <c r="N1616" s="268">
        <v>1</v>
      </c>
      <c r="O1616" s="271"/>
      <c r="P1616" s="271">
        <v>84345</v>
      </c>
      <c r="Q1616" s="271"/>
      <c r="R1616" s="271"/>
      <c r="S1616" s="271">
        <v>-85696</v>
      </c>
      <c r="T1616" s="271"/>
      <c r="U1616" s="272">
        <v>1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153</v>
      </c>
      <c r="B1617" s="267" t="s">
        <v>2034</v>
      </c>
      <c r="C1617" s="267" t="s">
        <v>94</v>
      </c>
      <c r="D1617" s="267" t="s">
        <v>92</v>
      </c>
      <c r="E1617" s="267" t="s">
        <v>0</v>
      </c>
      <c r="F1617" s="268"/>
      <c r="G1617" s="269"/>
      <c r="H1617" s="269"/>
      <c r="I1617" s="270"/>
      <c r="J1617" s="268">
        <v>1</v>
      </c>
      <c r="K1617" s="269">
        <v>84177</v>
      </c>
      <c r="L1617" s="269">
        <v>86107</v>
      </c>
      <c r="M1617" s="270">
        <v>1</v>
      </c>
      <c r="N1617" s="268">
        <v>1</v>
      </c>
      <c r="O1617" s="271"/>
      <c r="P1617" s="271">
        <v>84177</v>
      </c>
      <c r="Q1617" s="271"/>
      <c r="R1617" s="271"/>
      <c r="S1617" s="271">
        <v>-86107</v>
      </c>
      <c r="T1617" s="271"/>
      <c r="U1617" s="272">
        <v>1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153</v>
      </c>
      <c r="B1618" s="267" t="s">
        <v>2035</v>
      </c>
      <c r="C1618" s="267" t="s">
        <v>94</v>
      </c>
      <c r="D1618" s="267" t="s">
        <v>92</v>
      </c>
      <c r="E1618" s="267" t="s">
        <v>0</v>
      </c>
      <c r="F1618" s="268"/>
      <c r="G1618" s="269"/>
      <c r="H1618" s="269"/>
      <c r="I1618" s="270"/>
      <c r="J1618" s="268">
        <v>1</v>
      </c>
      <c r="K1618" s="269">
        <v>83892</v>
      </c>
      <c r="L1618" s="269">
        <v>86216</v>
      </c>
      <c r="M1618" s="270">
        <v>1</v>
      </c>
      <c r="N1618" s="268">
        <v>1</v>
      </c>
      <c r="O1618" s="271"/>
      <c r="P1618" s="271">
        <v>83892</v>
      </c>
      <c r="Q1618" s="271"/>
      <c r="R1618" s="271"/>
      <c r="S1618" s="271">
        <v>-86216</v>
      </c>
      <c r="T1618" s="271"/>
      <c r="U1618" s="272">
        <v>1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153</v>
      </c>
      <c r="B1619" s="267" t="s">
        <v>2036</v>
      </c>
      <c r="C1619" s="267" t="s">
        <v>94</v>
      </c>
      <c r="D1619" s="267" t="s">
        <v>92</v>
      </c>
      <c r="E1619" s="267" t="s">
        <v>0</v>
      </c>
      <c r="F1619" s="268"/>
      <c r="G1619" s="269"/>
      <c r="H1619" s="269"/>
      <c r="I1619" s="270"/>
      <c r="J1619" s="268">
        <v>1</v>
      </c>
      <c r="K1619" s="269">
        <v>83914</v>
      </c>
      <c r="L1619" s="269">
        <v>85998</v>
      </c>
      <c r="M1619" s="270">
        <v>1</v>
      </c>
      <c r="N1619" s="268">
        <v>1</v>
      </c>
      <c r="O1619" s="271"/>
      <c r="P1619" s="271">
        <v>83914</v>
      </c>
      <c r="Q1619" s="271"/>
      <c r="R1619" s="271"/>
      <c r="S1619" s="271">
        <v>-85998</v>
      </c>
      <c r="T1619" s="271"/>
      <c r="U1619" s="272">
        <v>1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153</v>
      </c>
      <c r="B1620" s="267" t="s">
        <v>2037</v>
      </c>
      <c r="C1620" s="267" t="s">
        <v>94</v>
      </c>
      <c r="D1620" s="267" t="s">
        <v>92</v>
      </c>
      <c r="E1620" s="267" t="s">
        <v>0</v>
      </c>
      <c r="F1620" s="268"/>
      <c r="G1620" s="269"/>
      <c r="H1620" s="269"/>
      <c r="I1620" s="270"/>
      <c r="J1620" s="268">
        <v>1</v>
      </c>
      <c r="K1620" s="269">
        <v>84127</v>
      </c>
      <c r="L1620" s="269">
        <v>85981</v>
      </c>
      <c r="M1620" s="270">
        <v>1</v>
      </c>
      <c r="N1620" s="268">
        <v>1</v>
      </c>
      <c r="O1620" s="271"/>
      <c r="P1620" s="271">
        <v>84127</v>
      </c>
      <c r="Q1620" s="271"/>
      <c r="R1620" s="271"/>
      <c r="S1620" s="271">
        <v>-85981</v>
      </c>
      <c r="T1620" s="271"/>
      <c r="U1620" s="272">
        <v>1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153</v>
      </c>
      <c r="B1621" s="267" t="s">
        <v>2038</v>
      </c>
      <c r="C1621" s="267" t="s">
        <v>94</v>
      </c>
      <c r="D1621" s="267" t="s">
        <v>92</v>
      </c>
      <c r="E1621" s="267" t="s">
        <v>0</v>
      </c>
      <c r="F1621" s="268"/>
      <c r="G1621" s="269"/>
      <c r="H1621" s="269"/>
      <c r="I1621" s="270"/>
      <c r="J1621" s="268">
        <v>1</v>
      </c>
      <c r="K1621" s="269">
        <v>83927</v>
      </c>
      <c r="L1621" s="269">
        <v>86167</v>
      </c>
      <c r="M1621" s="270">
        <v>1</v>
      </c>
      <c r="N1621" s="268">
        <v>1</v>
      </c>
      <c r="O1621" s="271"/>
      <c r="P1621" s="271">
        <v>83927</v>
      </c>
      <c r="Q1621" s="271"/>
      <c r="R1621" s="271"/>
      <c r="S1621" s="271">
        <v>-86167</v>
      </c>
      <c r="T1621" s="271"/>
      <c r="U1621" s="272">
        <v>1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153</v>
      </c>
      <c r="B1622" s="267" t="s">
        <v>2039</v>
      </c>
      <c r="C1622" s="267" t="s">
        <v>94</v>
      </c>
      <c r="D1622" s="267" t="s">
        <v>92</v>
      </c>
      <c r="E1622" s="267" t="s">
        <v>0</v>
      </c>
      <c r="F1622" s="268"/>
      <c r="G1622" s="269"/>
      <c r="H1622" s="269"/>
      <c r="I1622" s="270"/>
      <c r="J1622" s="268">
        <v>1</v>
      </c>
      <c r="K1622" s="269">
        <v>84043</v>
      </c>
      <c r="L1622" s="269">
        <v>85843</v>
      </c>
      <c r="M1622" s="270">
        <v>1</v>
      </c>
      <c r="N1622" s="268">
        <v>1</v>
      </c>
      <c r="O1622" s="271"/>
      <c r="P1622" s="271">
        <v>84043</v>
      </c>
      <c r="Q1622" s="271"/>
      <c r="R1622" s="271"/>
      <c r="S1622" s="271">
        <v>-85843</v>
      </c>
      <c r="T1622" s="271"/>
      <c r="U1622" s="272">
        <v>1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153</v>
      </c>
      <c r="B1623" s="267" t="s">
        <v>2040</v>
      </c>
      <c r="C1623" s="267" t="s">
        <v>94</v>
      </c>
      <c r="D1623" s="267" t="s">
        <v>92</v>
      </c>
      <c r="E1623" s="267" t="s">
        <v>0</v>
      </c>
      <c r="F1623" s="268"/>
      <c r="G1623" s="269"/>
      <c r="H1623" s="269"/>
      <c r="I1623" s="270"/>
      <c r="J1623" s="268">
        <v>1</v>
      </c>
      <c r="K1623" s="269">
        <v>83983</v>
      </c>
      <c r="L1623" s="269">
        <v>85983</v>
      </c>
      <c r="M1623" s="270">
        <v>1</v>
      </c>
      <c r="N1623" s="268">
        <v>1</v>
      </c>
      <c r="O1623" s="271"/>
      <c r="P1623" s="271">
        <v>83983</v>
      </c>
      <c r="Q1623" s="271"/>
      <c r="R1623" s="271"/>
      <c r="S1623" s="271">
        <v>-85983</v>
      </c>
      <c r="T1623" s="271"/>
      <c r="U1623" s="272">
        <v>1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153</v>
      </c>
      <c r="B1624" s="267" t="s">
        <v>2041</v>
      </c>
      <c r="C1624" s="267" t="s">
        <v>94</v>
      </c>
      <c r="D1624" s="267" t="s">
        <v>92</v>
      </c>
      <c r="E1624" s="267" t="s">
        <v>0</v>
      </c>
      <c r="F1624" s="268"/>
      <c r="G1624" s="269"/>
      <c r="H1624" s="269"/>
      <c r="I1624" s="270"/>
      <c r="J1624" s="268">
        <v>1</v>
      </c>
      <c r="K1624" s="269">
        <v>83882</v>
      </c>
      <c r="L1624" s="269">
        <v>86276</v>
      </c>
      <c r="M1624" s="270">
        <v>1</v>
      </c>
      <c r="N1624" s="268">
        <v>1</v>
      </c>
      <c r="O1624" s="271"/>
      <c r="P1624" s="271">
        <v>83882</v>
      </c>
      <c r="Q1624" s="271"/>
      <c r="R1624" s="271"/>
      <c r="S1624" s="271">
        <v>-86276</v>
      </c>
      <c r="T1624" s="271"/>
      <c r="U1624" s="272">
        <v>1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153</v>
      </c>
      <c r="B1625" s="267" t="s">
        <v>2042</v>
      </c>
      <c r="C1625" s="267" t="s">
        <v>94</v>
      </c>
      <c r="D1625" s="267" t="s">
        <v>92</v>
      </c>
      <c r="E1625" s="267" t="s">
        <v>0</v>
      </c>
      <c r="F1625" s="268"/>
      <c r="G1625" s="269"/>
      <c r="H1625" s="269"/>
      <c r="I1625" s="270"/>
      <c r="J1625" s="268">
        <v>1</v>
      </c>
      <c r="K1625" s="269">
        <v>83954</v>
      </c>
      <c r="L1625" s="269">
        <v>86162</v>
      </c>
      <c r="M1625" s="270">
        <v>1</v>
      </c>
      <c r="N1625" s="268">
        <v>1</v>
      </c>
      <c r="O1625" s="271"/>
      <c r="P1625" s="271">
        <v>83954</v>
      </c>
      <c r="Q1625" s="271"/>
      <c r="R1625" s="271"/>
      <c r="S1625" s="271">
        <v>-86162</v>
      </c>
      <c r="T1625" s="271"/>
      <c r="U1625" s="272">
        <v>1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153</v>
      </c>
      <c r="B1626" s="267" t="s">
        <v>2043</v>
      </c>
      <c r="C1626" s="267" t="s">
        <v>94</v>
      </c>
      <c r="D1626" s="267" t="s">
        <v>92</v>
      </c>
      <c r="E1626" s="267" t="s">
        <v>0</v>
      </c>
      <c r="F1626" s="268"/>
      <c r="G1626" s="269"/>
      <c r="H1626" s="269"/>
      <c r="I1626" s="270"/>
      <c r="J1626" s="268">
        <v>1</v>
      </c>
      <c r="K1626" s="269">
        <v>84256</v>
      </c>
      <c r="L1626" s="269">
        <v>85774</v>
      </c>
      <c r="M1626" s="270">
        <v>1</v>
      </c>
      <c r="N1626" s="268">
        <v>1</v>
      </c>
      <c r="O1626" s="271"/>
      <c r="P1626" s="271">
        <v>84256</v>
      </c>
      <c r="Q1626" s="271"/>
      <c r="R1626" s="271"/>
      <c r="S1626" s="271">
        <v>-85774</v>
      </c>
      <c r="T1626" s="271"/>
      <c r="U1626" s="272">
        <v>1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153</v>
      </c>
      <c r="B1627" s="267" t="s">
        <v>2044</v>
      </c>
      <c r="C1627" s="267" t="s">
        <v>94</v>
      </c>
      <c r="D1627" s="267" t="s">
        <v>92</v>
      </c>
      <c r="E1627" s="267" t="s">
        <v>0</v>
      </c>
      <c r="F1627" s="268"/>
      <c r="G1627" s="269"/>
      <c r="H1627" s="269"/>
      <c r="I1627" s="270"/>
      <c r="J1627" s="268">
        <v>1</v>
      </c>
      <c r="K1627" s="269">
        <v>84034</v>
      </c>
      <c r="L1627" s="269">
        <v>86055</v>
      </c>
      <c r="M1627" s="270">
        <v>1</v>
      </c>
      <c r="N1627" s="268">
        <v>1</v>
      </c>
      <c r="O1627" s="271"/>
      <c r="P1627" s="271">
        <v>84034</v>
      </c>
      <c r="Q1627" s="271"/>
      <c r="R1627" s="271"/>
      <c r="S1627" s="271">
        <v>-86055</v>
      </c>
      <c r="T1627" s="271"/>
      <c r="U1627" s="272">
        <v>1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153</v>
      </c>
      <c r="B1628" s="267" t="s">
        <v>2045</v>
      </c>
      <c r="C1628" s="267" t="s">
        <v>94</v>
      </c>
      <c r="D1628" s="267" t="s">
        <v>92</v>
      </c>
      <c r="E1628" s="267" t="s">
        <v>0</v>
      </c>
      <c r="F1628" s="268"/>
      <c r="G1628" s="269"/>
      <c r="H1628" s="269"/>
      <c r="I1628" s="270"/>
      <c r="J1628" s="268">
        <v>1</v>
      </c>
      <c r="K1628" s="269">
        <v>84255</v>
      </c>
      <c r="L1628" s="269">
        <v>85792</v>
      </c>
      <c r="M1628" s="270">
        <v>1</v>
      </c>
      <c r="N1628" s="268">
        <v>1</v>
      </c>
      <c r="O1628" s="271"/>
      <c r="P1628" s="271">
        <v>84255</v>
      </c>
      <c r="Q1628" s="271"/>
      <c r="R1628" s="271"/>
      <c r="S1628" s="271">
        <v>-85792</v>
      </c>
      <c r="T1628" s="271"/>
      <c r="U1628" s="272">
        <v>1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153</v>
      </c>
      <c r="B1629" s="267" t="s">
        <v>2046</v>
      </c>
      <c r="C1629" s="267" t="s">
        <v>94</v>
      </c>
      <c r="D1629" s="267" t="s">
        <v>92</v>
      </c>
      <c r="E1629" s="267" t="s">
        <v>0</v>
      </c>
      <c r="F1629" s="268"/>
      <c r="G1629" s="269"/>
      <c r="H1629" s="269"/>
      <c r="I1629" s="270"/>
      <c r="J1629" s="268">
        <v>1</v>
      </c>
      <c r="K1629" s="269">
        <v>83844</v>
      </c>
      <c r="L1629" s="269">
        <v>86238</v>
      </c>
      <c r="M1629" s="270">
        <v>1</v>
      </c>
      <c r="N1629" s="268">
        <v>1</v>
      </c>
      <c r="O1629" s="271"/>
      <c r="P1629" s="271">
        <v>83844</v>
      </c>
      <c r="Q1629" s="271"/>
      <c r="R1629" s="271"/>
      <c r="S1629" s="271">
        <v>-86238</v>
      </c>
      <c r="T1629" s="271"/>
      <c r="U1629" s="272">
        <v>1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153</v>
      </c>
      <c r="B1630" s="267" t="s">
        <v>2047</v>
      </c>
      <c r="C1630" s="267" t="s">
        <v>94</v>
      </c>
      <c r="D1630" s="267" t="s">
        <v>92</v>
      </c>
      <c r="E1630" s="267" t="s">
        <v>0</v>
      </c>
      <c r="F1630" s="268"/>
      <c r="G1630" s="269"/>
      <c r="H1630" s="269"/>
      <c r="I1630" s="270"/>
      <c r="J1630" s="268">
        <v>1</v>
      </c>
      <c r="K1630" s="269">
        <v>84053</v>
      </c>
      <c r="L1630" s="269">
        <v>86023</v>
      </c>
      <c r="M1630" s="270">
        <v>1</v>
      </c>
      <c r="N1630" s="268">
        <v>1</v>
      </c>
      <c r="O1630" s="271"/>
      <c r="P1630" s="271">
        <v>84053</v>
      </c>
      <c r="Q1630" s="271"/>
      <c r="R1630" s="271"/>
      <c r="S1630" s="271">
        <v>-86023</v>
      </c>
      <c r="T1630" s="271"/>
      <c r="U1630" s="272">
        <v>1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153</v>
      </c>
      <c r="B1631" s="267" t="s">
        <v>2048</v>
      </c>
      <c r="C1631" s="267" t="s">
        <v>94</v>
      </c>
      <c r="D1631" s="267" t="s">
        <v>92</v>
      </c>
      <c r="E1631" s="267" t="s">
        <v>0</v>
      </c>
      <c r="F1631" s="268"/>
      <c r="G1631" s="269"/>
      <c r="H1631" s="269"/>
      <c r="I1631" s="270"/>
      <c r="J1631" s="268">
        <v>1</v>
      </c>
      <c r="K1631" s="269">
        <v>83904</v>
      </c>
      <c r="L1631" s="269">
        <v>86228</v>
      </c>
      <c r="M1631" s="270">
        <v>1</v>
      </c>
      <c r="N1631" s="268">
        <v>1</v>
      </c>
      <c r="O1631" s="271"/>
      <c r="P1631" s="271">
        <v>83904</v>
      </c>
      <c r="Q1631" s="271"/>
      <c r="R1631" s="271"/>
      <c r="S1631" s="271">
        <v>-86228</v>
      </c>
      <c r="T1631" s="271"/>
      <c r="U1631" s="272">
        <v>1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153</v>
      </c>
      <c r="B1632" s="267" t="s">
        <v>2049</v>
      </c>
      <c r="C1632" s="267" t="s">
        <v>94</v>
      </c>
      <c r="D1632" s="267" t="s">
        <v>92</v>
      </c>
      <c r="E1632" s="267" t="s">
        <v>0</v>
      </c>
      <c r="F1632" s="268"/>
      <c r="G1632" s="269"/>
      <c r="H1632" s="269"/>
      <c r="I1632" s="270"/>
      <c r="J1632" s="268">
        <v>1</v>
      </c>
      <c r="K1632" s="269">
        <v>84239</v>
      </c>
      <c r="L1632" s="269">
        <v>85788</v>
      </c>
      <c r="M1632" s="270">
        <v>1</v>
      </c>
      <c r="N1632" s="268">
        <v>1</v>
      </c>
      <c r="O1632" s="271"/>
      <c r="P1632" s="271">
        <v>84239</v>
      </c>
      <c r="Q1632" s="271"/>
      <c r="R1632" s="271"/>
      <c r="S1632" s="271">
        <v>-85788</v>
      </c>
      <c r="T1632" s="271"/>
      <c r="U1632" s="272">
        <v>1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153</v>
      </c>
      <c r="B1633" s="267" t="s">
        <v>2050</v>
      </c>
      <c r="C1633" s="267" t="s">
        <v>94</v>
      </c>
      <c r="D1633" s="267" t="s">
        <v>92</v>
      </c>
      <c r="E1633" s="267" t="s">
        <v>0</v>
      </c>
      <c r="F1633" s="268"/>
      <c r="G1633" s="269"/>
      <c r="H1633" s="269"/>
      <c r="I1633" s="270"/>
      <c r="J1633" s="268">
        <v>1</v>
      </c>
      <c r="K1633" s="269">
        <v>84057</v>
      </c>
      <c r="L1633" s="269">
        <v>86039</v>
      </c>
      <c r="M1633" s="270">
        <v>1</v>
      </c>
      <c r="N1633" s="268">
        <v>1</v>
      </c>
      <c r="O1633" s="271"/>
      <c r="P1633" s="271">
        <v>84057</v>
      </c>
      <c r="Q1633" s="271"/>
      <c r="R1633" s="271"/>
      <c r="S1633" s="271">
        <v>-86039</v>
      </c>
      <c r="T1633" s="271"/>
      <c r="U1633" s="272">
        <v>1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153</v>
      </c>
      <c r="B1634" s="267" t="s">
        <v>2051</v>
      </c>
      <c r="C1634" s="267" t="s">
        <v>94</v>
      </c>
      <c r="D1634" s="267" t="s">
        <v>92</v>
      </c>
      <c r="E1634" s="267" t="s">
        <v>0</v>
      </c>
      <c r="F1634" s="268"/>
      <c r="G1634" s="269"/>
      <c r="H1634" s="269"/>
      <c r="I1634" s="270"/>
      <c r="J1634" s="268">
        <v>1</v>
      </c>
      <c r="K1634" s="269">
        <v>84281</v>
      </c>
      <c r="L1634" s="269">
        <v>85779</v>
      </c>
      <c r="M1634" s="270">
        <v>1</v>
      </c>
      <c r="N1634" s="268">
        <v>1</v>
      </c>
      <c r="O1634" s="271"/>
      <c r="P1634" s="271">
        <v>84281</v>
      </c>
      <c r="Q1634" s="271"/>
      <c r="R1634" s="271"/>
      <c r="S1634" s="271">
        <v>-85779</v>
      </c>
      <c r="T1634" s="271"/>
      <c r="U1634" s="272">
        <v>1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153</v>
      </c>
      <c r="B1635" s="267" t="s">
        <v>2052</v>
      </c>
      <c r="C1635" s="267" t="s">
        <v>94</v>
      </c>
      <c r="D1635" s="267" t="s">
        <v>92</v>
      </c>
      <c r="E1635" s="267" t="s">
        <v>0</v>
      </c>
      <c r="F1635" s="268"/>
      <c r="G1635" s="269"/>
      <c r="H1635" s="269"/>
      <c r="I1635" s="270"/>
      <c r="J1635" s="268">
        <v>1</v>
      </c>
      <c r="K1635" s="269">
        <v>83900</v>
      </c>
      <c r="L1635" s="269">
        <v>86185</v>
      </c>
      <c r="M1635" s="270">
        <v>1</v>
      </c>
      <c r="N1635" s="268">
        <v>1</v>
      </c>
      <c r="O1635" s="271"/>
      <c r="P1635" s="271">
        <v>83900</v>
      </c>
      <c r="Q1635" s="271"/>
      <c r="R1635" s="271"/>
      <c r="S1635" s="271">
        <v>-86185</v>
      </c>
      <c r="T1635" s="271"/>
      <c r="U1635" s="272">
        <v>1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153</v>
      </c>
      <c r="B1636" s="267" t="s">
        <v>2053</v>
      </c>
      <c r="C1636" s="267" t="s">
        <v>94</v>
      </c>
      <c r="D1636" s="267" t="s">
        <v>92</v>
      </c>
      <c r="E1636" s="267" t="s">
        <v>0</v>
      </c>
      <c r="F1636" s="268"/>
      <c r="G1636" s="269"/>
      <c r="H1636" s="269"/>
      <c r="I1636" s="270"/>
      <c r="J1636" s="268">
        <v>1</v>
      </c>
      <c r="K1636" s="269">
        <v>84029</v>
      </c>
      <c r="L1636" s="269">
        <v>86030</v>
      </c>
      <c r="M1636" s="270">
        <v>1</v>
      </c>
      <c r="N1636" s="268">
        <v>1</v>
      </c>
      <c r="O1636" s="271"/>
      <c r="P1636" s="271">
        <v>84029</v>
      </c>
      <c r="Q1636" s="271"/>
      <c r="R1636" s="271"/>
      <c r="S1636" s="271">
        <v>-86030</v>
      </c>
      <c r="T1636" s="271"/>
      <c r="U1636" s="272">
        <v>1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153</v>
      </c>
      <c r="B1637" s="267" t="s">
        <v>2054</v>
      </c>
      <c r="C1637" s="267" t="s">
        <v>94</v>
      </c>
      <c r="D1637" s="267" t="s">
        <v>92</v>
      </c>
      <c r="E1637" s="267" t="s">
        <v>0</v>
      </c>
      <c r="F1637" s="268"/>
      <c r="G1637" s="269"/>
      <c r="H1637" s="269"/>
      <c r="I1637" s="270"/>
      <c r="J1637" s="268">
        <v>1</v>
      </c>
      <c r="K1637" s="269">
        <v>83890</v>
      </c>
      <c r="L1637" s="269">
        <v>86245</v>
      </c>
      <c r="M1637" s="270">
        <v>1</v>
      </c>
      <c r="N1637" s="268">
        <v>1</v>
      </c>
      <c r="O1637" s="271"/>
      <c r="P1637" s="271">
        <v>83890</v>
      </c>
      <c r="Q1637" s="271"/>
      <c r="R1637" s="271"/>
      <c r="S1637" s="271">
        <v>-86245</v>
      </c>
      <c r="T1637" s="271"/>
      <c r="U1637" s="272">
        <v>1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153</v>
      </c>
      <c r="B1638" s="267" t="s">
        <v>2055</v>
      </c>
      <c r="C1638" s="267" t="s">
        <v>94</v>
      </c>
      <c r="D1638" s="267" t="s">
        <v>92</v>
      </c>
      <c r="E1638" s="267" t="s">
        <v>0</v>
      </c>
      <c r="F1638" s="268"/>
      <c r="G1638" s="269"/>
      <c r="H1638" s="269"/>
      <c r="I1638" s="270"/>
      <c r="J1638" s="268">
        <v>1</v>
      </c>
      <c r="K1638" s="269">
        <v>84325</v>
      </c>
      <c r="L1638" s="269">
        <v>85759</v>
      </c>
      <c r="M1638" s="270">
        <v>1</v>
      </c>
      <c r="N1638" s="268">
        <v>1</v>
      </c>
      <c r="O1638" s="271"/>
      <c r="P1638" s="271">
        <v>84325</v>
      </c>
      <c r="Q1638" s="271"/>
      <c r="R1638" s="271"/>
      <c r="S1638" s="271">
        <v>-85759</v>
      </c>
      <c r="T1638" s="271"/>
      <c r="U1638" s="272">
        <v>1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153</v>
      </c>
      <c r="B1639" s="267" t="s">
        <v>2056</v>
      </c>
      <c r="C1639" s="267" t="s">
        <v>94</v>
      </c>
      <c r="D1639" s="267" t="s">
        <v>92</v>
      </c>
      <c r="E1639" s="267" t="s">
        <v>0</v>
      </c>
      <c r="F1639" s="268"/>
      <c r="G1639" s="269"/>
      <c r="H1639" s="269"/>
      <c r="I1639" s="270"/>
      <c r="J1639" s="268">
        <v>1</v>
      </c>
      <c r="K1639" s="269">
        <v>83953</v>
      </c>
      <c r="L1639" s="269">
        <v>86193</v>
      </c>
      <c r="M1639" s="270">
        <v>1</v>
      </c>
      <c r="N1639" s="268">
        <v>1</v>
      </c>
      <c r="O1639" s="271"/>
      <c r="P1639" s="271">
        <v>83953</v>
      </c>
      <c r="Q1639" s="271"/>
      <c r="R1639" s="271"/>
      <c r="S1639" s="271">
        <v>-86193</v>
      </c>
      <c r="T1639" s="271"/>
      <c r="U1639" s="272">
        <v>1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153</v>
      </c>
      <c r="B1640" s="267" t="s">
        <v>2057</v>
      </c>
      <c r="C1640" s="267" t="s">
        <v>94</v>
      </c>
      <c r="D1640" s="267" t="s">
        <v>92</v>
      </c>
      <c r="E1640" s="267" t="s">
        <v>0</v>
      </c>
      <c r="F1640" s="268"/>
      <c r="G1640" s="269"/>
      <c r="H1640" s="269"/>
      <c r="I1640" s="270"/>
      <c r="J1640" s="268">
        <v>1</v>
      </c>
      <c r="K1640" s="269">
        <v>84362</v>
      </c>
      <c r="L1640" s="269">
        <v>85726</v>
      </c>
      <c r="M1640" s="270">
        <v>1</v>
      </c>
      <c r="N1640" s="268">
        <v>1</v>
      </c>
      <c r="O1640" s="271"/>
      <c r="P1640" s="271">
        <v>84362</v>
      </c>
      <c r="Q1640" s="271"/>
      <c r="R1640" s="271"/>
      <c r="S1640" s="271">
        <v>-85726</v>
      </c>
      <c r="T1640" s="271"/>
      <c r="U1640" s="272">
        <v>1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153</v>
      </c>
      <c r="B1641" s="267" t="s">
        <v>2058</v>
      </c>
      <c r="C1641" s="267" t="s">
        <v>94</v>
      </c>
      <c r="D1641" s="267" t="s">
        <v>92</v>
      </c>
      <c r="E1641" s="267" t="s">
        <v>0</v>
      </c>
      <c r="F1641" s="268"/>
      <c r="G1641" s="269"/>
      <c r="H1641" s="269"/>
      <c r="I1641" s="270"/>
      <c r="J1641" s="268">
        <v>1</v>
      </c>
      <c r="K1641" s="269">
        <v>83983</v>
      </c>
      <c r="L1641" s="269">
        <v>86153</v>
      </c>
      <c r="M1641" s="270">
        <v>1</v>
      </c>
      <c r="N1641" s="268">
        <v>1</v>
      </c>
      <c r="O1641" s="271"/>
      <c r="P1641" s="271">
        <v>83983</v>
      </c>
      <c r="Q1641" s="271"/>
      <c r="R1641" s="271"/>
      <c r="S1641" s="271">
        <v>-86153</v>
      </c>
      <c r="T1641" s="271"/>
      <c r="U1641" s="272">
        <v>1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153</v>
      </c>
      <c r="B1642" s="267" t="s">
        <v>2059</v>
      </c>
      <c r="C1642" s="267" t="s">
        <v>94</v>
      </c>
      <c r="D1642" s="267" t="s">
        <v>92</v>
      </c>
      <c r="E1642" s="267" t="s">
        <v>0</v>
      </c>
      <c r="F1642" s="268"/>
      <c r="G1642" s="269"/>
      <c r="H1642" s="269"/>
      <c r="I1642" s="270"/>
      <c r="J1642" s="268">
        <v>1</v>
      </c>
      <c r="K1642" s="269">
        <v>83944</v>
      </c>
      <c r="L1642" s="269">
        <v>86165</v>
      </c>
      <c r="M1642" s="270">
        <v>1</v>
      </c>
      <c r="N1642" s="268">
        <v>1</v>
      </c>
      <c r="O1642" s="271"/>
      <c r="P1642" s="271">
        <v>83944</v>
      </c>
      <c r="Q1642" s="271"/>
      <c r="R1642" s="271"/>
      <c r="S1642" s="271">
        <v>-86165</v>
      </c>
      <c r="T1642" s="271"/>
      <c r="U1642" s="272">
        <v>1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153</v>
      </c>
      <c r="B1643" s="267" t="s">
        <v>2060</v>
      </c>
      <c r="C1643" s="267" t="s">
        <v>94</v>
      </c>
      <c r="D1643" s="267" t="s">
        <v>92</v>
      </c>
      <c r="E1643" s="267" t="s">
        <v>0</v>
      </c>
      <c r="F1643" s="268"/>
      <c r="G1643" s="269"/>
      <c r="H1643" s="269"/>
      <c r="I1643" s="270"/>
      <c r="J1643" s="268">
        <v>1</v>
      </c>
      <c r="K1643" s="269">
        <v>83951</v>
      </c>
      <c r="L1643" s="269">
        <v>86172</v>
      </c>
      <c r="M1643" s="270">
        <v>1</v>
      </c>
      <c r="N1643" s="268">
        <v>1</v>
      </c>
      <c r="O1643" s="271"/>
      <c r="P1643" s="271">
        <v>83951</v>
      </c>
      <c r="Q1643" s="271"/>
      <c r="R1643" s="271"/>
      <c r="S1643" s="271">
        <v>-86172</v>
      </c>
      <c r="T1643" s="271"/>
      <c r="U1643" s="272">
        <v>1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153</v>
      </c>
      <c r="B1644" s="267" t="s">
        <v>2061</v>
      </c>
      <c r="C1644" s="267" t="s">
        <v>94</v>
      </c>
      <c r="D1644" s="267" t="s">
        <v>92</v>
      </c>
      <c r="E1644" s="267" t="s">
        <v>0</v>
      </c>
      <c r="F1644" s="268"/>
      <c r="G1644" s="269"/>
      <c r="H1644" s="269"/>
      <c r="I1644" s="270"/>
      <c r="J1644" s="268">
        <v>1</v>
      </c>
      <c r="K1644" s="269">
        <v>84257</v>
      </c>
      <c r="L1644" s="269">
        <v>86000</v>
      </c>
      <c r="M1644" s="270">
        <v>1</v>
      </c>
      <c r="N1644" s="268">
        <v>1</v>
      </c>
      <c r="O1644" s="271"/>
      <c r="P1644" s="271">
        <v>84257</v>
      </c>
      <c r="Q1644" s="271"/>
      <c r="R1644" s="271"/>
      <c r="S1644" s="271">
        <v>-86000</v>
      </c>
      <c r="T1644" s="271"/>
      <c r="U1644" s="272">
        <v>1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153</v>
      </c>
      <c r="B1645" s="267" t="s">
        <v>2062</v>
      </c>
      <c r="C1645" s="267" t="s">
        <v>94</v>
      </c>
      <c r="D1645" s="267" t="s">
        <v>92</v>
      </c>
      <c r="E1645" s="267" t="s">
        <v>0</v>
      </c>
      <c r="F1645" s="268"/>
      <c r="G1645" s="269"/>
      <c r="H1645" s="269"/>
      <c r="I1645" s="270"/>
      <c r="J1645" s="268">
        <v>1</v>
      </c>
      <c r="K1645" s="269">
        <v>84087</v>
      </c>
      <c r="L1645" s="269">
        <v>86203</v>
      </c>
      <c r="M1645" s="270">
        <v>1</v>
      </c>
      <c r="N1645" s="268">
        <v>1</v>
      </c>
      <c r="O1645" s="271"/>
      <c r="P1645" s="271">
        <v>84087</v>
      </c>
      <c r="Q1645" s="271"/>
      <c r="R1645" s="271"/>
      <c r="S1645" s="271">
        <v>-86203</v>
      </c>
      <c r="T1645" s="271"/>
      <c r="U1645" s="272">
        <v>1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153</v>
      </c>
      <c r="B1646" s="267" t="s">
        <v>2063</v>
      </c>
      <c r="C1646" s="267" t="s">
        <v>94</v>
      </c>
      <c r="D1646" s="267" t="s">
        <v>92</v>
      </c>
      <c r="E1646" s="267" t="s">
        <v>0</v>
      </c>
      <c r="F1646" s="268"/>
      <c r="G1646" s="269"/>
      <c r="H1646" s="269"/>
      <c r="I1646" s="270"/>
      <c r="J1646" s="268">
        <v>1</v>
      </c>
      <c r="K1646" s="269">
        <v>84224</v>
      </c>
      <c r="L1646" s="269">
        <v>86037</v>
      </c>
      <c r="M1646" s="270">
        <v>1</v>
      </c>
      <c r="N1646" s="268">
        <v>1</v>
      </c>
      <c r="O1646" s="271"/>
      <c r="P1646" s="271">
        <v>84224</v>
      </c>
      <c r="Q1646" s="271"/>
      <c r="R1646" s="271"/>
      <c r="S1646" s="271">
        <v>-86037</v>
      </c>
      <c r="T1646" s="271"/>
      <c r="U1646" s="272">
        <v>1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153</v>
      </c>
      <c r="B1647" s="267" t="s">
        <v>2064</v>
      </c>
      <c r="C1647" s="267" t="s">
        <v>94</v>
      </c>
      <c r="D1647" s="267" t="s">
        <v>92</v>
      </c>
      <c r="E1647" s="267" t="s">
        <v>0</v>
      </c>
      <c r="F1647" s="268"/>
      <c r="G1647" s="269"/>
      <c r="H1647" s="269"/>
      <c r="I1647" s="270"/>
      <c r="J1647" s="268">
        <v>1</v>
      </c>
      <c r="K1647" s="269">
        <v>84097</v>
      </c>
      <c r="L1647" s="269">
        <v>86213</v>
      </c>
      <c r="M1647" s="270">
        <v>1</v>
      </c>
      <c r="N1647" s="268">
        <v>1</v>
      </c>
      <c r="O1647" s="271"/>
      <c r="P1647" s="271">
        <v>84097</v>
      </c>
      <c r="Q1647" s="271"/>
      <c r="R1647" s="271"/>
      <c r="S1647" s="271">
        <v>-86213</v>
      </c>
      <c r="T1647" s="271"/>
      <c r="U1647" s="272">
        <v>1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153</v>
      </c>
      <c r="B1648" s="267" t="s">
        <v>2065</v>
      </c>
      <c r="C1648" s="267" t="s">
        <v>94</v>
      </c>
      <c r="D1648" s="267" t="s">
        <v>92</v>
      </c>
      <c r="E1648" s="267" t="s">
        <v>0</v>
      </c>
      <c r="F1648" s="268"/>
      <c r="G1648" s="269"/>
      <c r="H1648" s="269"/>
      <c r="I1648" s="270"/>
      <c r="J1648" s="268">
        <v>1</v>
      </c>
      <c r="K1648" s="269">
        <v>84078</v>
      </c>
      <c r="L1648" s="269">
        <v>86245</v>
      </c>
      <c r="M1648" s="270">
        <v>1</v>
      </c>
      <c r="N1648" s="268">
        <v>1</v>
      </c>
      <c r="O1648" s="271"/>
      <c r="P1648" s="271">
        <v>84078</v>
      </c>
      <c r="Q1648" s="271"/>
      <c r="R1648" s="271"/>
      <c r="S1648" s="271">
        <v>-86245</v>
      </c>
      <c r="T1648" s="271"/>
      <c r="U1648" s="272">
        <v>1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153</v>
      </c>
      <c r="B1649" s="267" t="s">
        <v>2066</v>
      </c>
      <c r="C1649" s="267" t="s">
        <v>94</v>
      </c>
      <c r="D1649" s="267" t="s">
        <v>92</v>
      </c>
      <c r="E1649" s="267" t="s">
        <v>0</v>
      </c>
      <c r="F1649" s="268"/>
      <c r="G1649" s="269"/>
      <c r="H1649" s="269"/>
      <c r="I1649" s="270"/>
      <c r="J1649" s="268">
        <v>1</v>
      </c>
      <c r="K1649" s="269">
        <v>84115</v>
      </c>
      <c r="L1649" s="269">
        <v>86212</v>
      </c>
      <c r="M1649" s="270">
        <v>1</v>
      </c>
      <c r="N1649" s="268">
        <v>1</v>
      </c>
      <c r="O1649" s="271"/>
      <c r="P1649" s="271">
        <v>84115</v>
      </c>
      <c r="Q1649" s="271"/>
      <c r="R1649" s="271"/>
      <c r="S1649" s="271">
        <v>-86212</v>
      </c>
      <c r="T1649" s="271"/>
      <c r="U1649" s="272">
        <v>1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153</v>
      </c>
      <c r="B1650" s="267" t="s">
        <v>2067</v>
      </c>
      <c r="C1650" s="267" t="s">
        <v>94</v>
      </c>
      <c r="D1650" s="267" t="s">
        <v>92</v>
      </c>
      <c r="E1650" s="267" t="s">
        <v>0</v>
      </c>
      <c r="F1650" s="268"/>
      <c r="G1650" s="269"/>
      <c r="H1650" s="269"/>
      <c r="I1650" s="270"/>
      <c r="J1650" s="268">
        <v>1</v>
      </c>
      <c r="K1650" s="269">
        <v>84487</v>
      </c>
      <c r="L1650" s="269">
        <v>85796</v>
      </c>
      <c r="M1650" s="270">
        <v>1</v>
      </c>
      <c r="N1650" s="268">
        <v>1</v>
      </c>
      <c r="O1650" s="271"/>
      <c r="P1650" s="271">
        <v>84487</v>
      </c>
      <c r="Q1650" s="271"/>
      <c r="R1650" s="271"/>
      <c r="S1650" s="271">
        <v>-85796</v>
      </c>
      <c r="T1650" s="271"/>
      <c r="U1650" s="272">
        <v>1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153</v>
      </c>
      <c r="B1651" s="267" t="s">
        <v>2068</v>
      </c>
      <c r="C1651" s="267" t="s">
        <v>94</v>
      </c>
      <c r="D1651" s="267" t="s">
        <v>92</v>
      </c>
      <c r="E1651" s="267" t="s">
        <v>0</v>
      </c>
      <c r="F1651" s="268"/>
      <c r="G1651" s="269"/>
      <c r="H1651" s="269"/>
      <c r="I1651" s="270"/>
      <c r="J1651" s="268">
        <v>1</v>
      </c>
      <c r="K1651" s="269">
        <v>83898</v>
      </c>
      <c r="L1651" s="269">
        <v>86065</v>
      </c>
      <c r="M1651" s="270">
        <v>1</v>
      </c>
      <c r="N1651" s="268">
        <v>1</v>
      </c>
      <c r="O1651" s="271"/>
      <c r="P1651" s="271">
        <v>83898</v>
      </c>
      <c r="Q1651" s="271"/>
      <c r="R1651" s="271"/>
      <c r="S1651" s="271">
        <v>-86065</v>
      </c>
      <c r="T1651" s="271"/>
      <c r="U1651" s="272">
        <v>1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153</v>
      </c>
      <c r="B1652" s="267" t="s">
        <v>2069</v>
      </c>
      <c r="C1652" s="267" t="s">
        <v>94</v>
      </c>
      <c r="D1652" s="267" t="s">
        <v>92</v>
      </c>
      <c r="E1652" s="267" t="s">
        <v>0</v>
      </c>
      <c r="F1652" s="268"/>
      <c r="G1652" s="269"/>
      <c r="H1652" s="269"/>
      <c r="I1652" s="270"/>
      <c r="J1652" s="268">
        <v>1</v>
      </c>
      <c r="K1652" s="269">
        <v>84276</v>
      </c>
      <c r="L1652" s="269">
        <v>85812</v>
      </c>
      <c r="M1652" s="270">
        <v>1</v>
      </c>
      <c r="N1652" s="268">
        <v>1</v>
      </c>
      <c r="O1652" s="271"/>
      <c r="P1652" s="271">
        <v>84276</v>
      </c>
      <c r="Q1652" s="271"/>
      <c r="R1652" s="271"/>
      <c r="S1652" s="271">
        <v>-85812</v>
      </c>
      <c r="T1652" s="271"/>
      <c r="U1652" s="272">
        <v>1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153</v>
      </c>
      <c r="B1653" s="267" t="s">
        <v>2070</v>
      </c>
      <c r="C1653" s="267" t="s">
        <v>94</v>
      </c>
      <c r="D1653" s="267" t="s">
        <v>92</v>
      </c>
      <c r="E1653" s="267" t="s">
        <v>0</v>
      </c>
      <c r="F1653" s="268"/>
      <c r="G1653" s="269"/>
      <c r="H1653" s="269"/>
      <c r="I1653" s="270"/>
      <c r="J1653" s="268">
        <v>1</v>
      </c>
      <c r="K1653" s="269">
        <v>84092</v>
      </c>
      <c r="L1653" s="269">
        <v>86246</v>
      </c>
      <c r="M1653" s="270">
        <v>1</v>
      </c>
      <c r="N1653" s="268">
        <v>1</v>
      </c>
      <c r="O1653" s="271"/>
      <c r="P1653" s="271">
        <v>84092</v>
      </c>
      <c r="Q1653" s="271"/>
      <c r="R1653" s="271"/>
      <c r="S1653" s="271">
        <v>-86246</v>
      </c>
      <c r="T1653" s="271"/>
      <c r="U1653" s="272">
        <v>1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153</v>
      </c>
      <c r="B1654" s="267" t="s">
        <v>2071</v>
      </c>
      <c r="C1654" s="267" t="s">
        <v>94</v>
      </c>
      <c r="D1654" s="267" t="s">
        <v>92</v>
      </c>
      <c r="E1654" s="267" t="s">
        <v>0</v>
      </c>
      <c r="F1654" s="268"/>
      <c r="G1654" s="269"/>
      <c r="H1654" s="269"/>
      <c r="I1654" s="270"/>
      <c r="J1654" s="268">
        <v>1</v>
      </c>
      <c r="K1654" s="269">
        <v>83905</v>
      </c>
      <c r="L1654" s="269">
        <v>86260</v>
      </c>
      <c r="M1654" s="270">
        <v>1</v>
      </c>
      <c r="N1654" s="268">
        <v>1</v>
      </c>
      <c r="O1654" s="271"/>
      <c r="P1654" s="271">
        <v>83905</v>
      </c>
      <c r="Q1654" s="271"/>
      <c r="R1654" s="271"/>
      <c r="S1654" s="271">
        <v>-86260</v>
      </c>
      <c r="T1654" s="271"/>
      <c r="U1654" s="272">
        <v>1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153</v>
      </c>
      <c r="B1655" s="267" t="s">
        <v>2072</v>
      </c>
      <c r="C1655" s="267" t="s">
        <v>94</v>
      </c>
      <c r="D1655" s="267" t="s">
        <v>92</v>
      </c>
      <c r="E1655" s="267" t="s">
        <v>0</v>
      </c>
      <c r="F1655" s="268"/>
      <c r="G1655" s="269"/>
      <c r="H1655" s="269"/>
      <c r="I1655" s="270"/>
      <c r="J1655" s="268">
        <v>1</v>
      </c>
      <c r="K1655" s="269">
        <v>83920</v>
      </c>
      <c r="L1655" s="269">
        <v>86035</v>
      </c>
      <c r="M1655" s="270">
        <v>1</v>
      </c>
      <c r="N1655" s="268">
        <v>1</v>
      </c>
      <c r="O1655" s="271"/>
      <c r="P1655" s="271">
        <v>83920</v>
      </c>
      <c r="Q1655" s="271"/>
      <c r="R1655" s="271"/>
      <c r="S1655" s="271">
        <v>-86035</v>
      </c>
      <c r="T1655" s="271"/>
      <c r="U1655" s="272">
        <v>1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153</v>
      </c>
      <c r="B1656" s="267" t="s">
        <v>2073</v>
      </c>
      <c r="C1656" s="267" t="s">
        <v>94</v>
      </c>
      <c r="D1656" s="267" t="s">
        <v>92</v>
      </c>
      <c r="E1656" s="267" t="s">
        <v>0</v>
      </c>
      <c r="F1656" s="268"/>
      <c r="G1656" s="269"/>
      <c r="H1656" s="269"/>
      <c r="I1656" s="270"/>
      <c r="J1656" s="268">
        <v>1</v>
      </c>
      <c r="K1656" s="269">
        <v>84501</v>
      </c>
      <c r="L1656" s="269">
        <v>85779</v>
      </c>
      <c r="M1656" s="270">
        <v>1</v>
      </c>
      <c r="N1656" s="268">
        <v>1</v>
      </c>
      <c r="O1656" s="271"/>
      <c r="P1656" s="271">
        <v>84501</v>
      </c>
      <c r="Q1656" s="271"/>
      <c r="R1656" s="271"/>
      <c r="S1656" s="271">
        <v>-85779</v>
      </c>
      <c r="T1656" s="271"/>
      <c r="U1656" s="272">
        <v>1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153</v>
      </c>
      <c r="B1657" s="267" t="s">
        <v>2074</v>
      </c>
      <c r="C1657" s="267" t="s">
        <v>94</v>
      </c>
      <c r="D1657" s="267" t="s">
        <v>92</v>
      </c>
      <c r="E1657" s="267" t="s">
        <v>0</v>
      </c>
      <c r="F1657" s="268"/>
      <c r="G1657" s="269"/>
      <c r="H1657" s="269"/>
      <c r="I1657" s="270"/>
      <c r="J1657" s="268">
        <v>1</v>
      </c>
      <c r="K1657" s="269">
        <v>83935</v>
      </c>
      <c r="L1657" s="269">
        <v>86032</v>
      </c>
      <c r="M1657" s="270">
        <v>1</v>
      </c>
      <c r="N1657" s="268">
        <v>1</v>
      </c>
      <c r="O1657" s="271"/>
      <c r="P1657" s="271">
        <v>83935</v>
      </c>
      <c r="Q1657" s="271"/>
      <c r="R1657" s="271"/>
      <c r="S1657" s="271">
        <v>-86032</v>
      </c>
      <c r="T1657" s="271"/>
      <c r="U1657" s="272">
        <v>1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153</v>
      </c>
      <c r="B1658" s="267" t="s">
        <v>2075</v>
      </c>
      <c r="C1658" s="267" t="s">
        <v>94</v>
      </c>
      <c r="D1658" s="267" t="s">
        <v>92</v>
      </c>
      <c r="E1658" s="267" t="s">
        <v>0</v>
      </c>
      <c r="F1658" s="268"/>
      <c r="G1658" s="269"/>
      <c r="H1658" s="269"/>
      <c r="I1658" s="270"/>
      <c r="J1658" s="268">
        <v>1</v>
      </c>
      <c r="K1658" s="269">
        <v>84313</v>
      </c>
      <c r="L1658" s="269">
        <v>85779</v>
      </c>
      <c r="M1658" s="270">
        <v>1</v>
      </c>
      <c r="N1658" s="268">
        <v>1</v>
      </c>
      <c r="O1658" s="271"/>
      <c r="P1658" s="271">
        <v>84313</v>
      </c>
      <c r="Q1658" s="271"/>
      <c r="R1658" s="271"/>
      <c r="S1658" s="271">
        <v>-85779</v>
      </c>
      <c r="T1658" s="271"/>
      <c r="U1658" s="272">
        <v>1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153</v>
      </c>
      <c r="B1659" s="267" t="s">
        <v>2076</v>
      </c>
      <c r="C1659" s="267" t="s">
        <v>94</v>
      </c>
      <c r="D1659" s="267" t="s">
        <v>92</v>
      </c>
      <c r="E1659" s="267" t="s">
        <v>0</v>
      </c>
      <c r="F1659" s="268"/>
      <c r="G1659" s="269"/>
      <c r="H1659" s="269"/>
      <c r="I1659" s="270"/>
      <c r="J1659" s="268">
        <v>1</v>
      </c>
      <c r="K1659" s="269">
        <v>84145</v>
      </c>
      <c r="L1659" s="269">
        <v>86190</v>
      </c>
      <c r="M1659" s="270">
        <v>1</v>
      </c>
      <c r="N1659" s="268">
        <v>1</v>
      </c>
      <c r="O1659" s="271"/>
      <c r="P1659" s="271">
        <v>84145</v>
      </c>
      <c r="Q1659" s="271"/>
      <c r="R1659" s="271"/>
      <c r="S1659" s="271">
        <v>-86190</v>
      </c>
      <c r="T1659" s="271"/>
      <c r="U1659" s="272">
        <v>1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153</v>
      </c>
      <c r="B1660" s="267" t="s">
        <v>2077</v>
      </c>
      <c r="C1660" s="267" t="s">
        <v>94</v>
      </c>
      <c r="D1660" s="267" t="s">
        <v>92</v>
      </c>
      <c r="E1660" s="267" t="s">
        <v>0</v>
      </c>
      <c r="F1660" s="268"/>
      <c r="G1660" s="269"/>
      <c r="H1660" s="269"/>
      <c r="I1660" s="270"/>
      <c r="J1660" s="268">
        <v>1</v>
      </c>
      <c r="K1660" s="269">
        <v>83912</v>
      </c>
      <c r="L1660" s="269">
        <v>86236</v>
      </c>
      <c r="M1660" s="270">
        <v>1</v>
      </c>
      <c r="N1660" s="268">
        <v>1</v>
      </c>
      <c r="O1660" s="271"/>
      <c r="P1660" s="271">
        <v>83912</v>
      </c>
      <c r="Q1660" s="271"/>
      <c r="R1660" s="271"/>
      <c r="S1660" s="271">
        <v>-86236</v>
      </c>
      <c r="T1660" s="271"/>
      <c r="U1660" s="272">
        <v>1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153</v>
      </c>
      <c r="B1661" s="267" t="s">
        <v>2078</v>
      </c>
      <c r="C1661" s="267" t="s">
        <v>94</v>
      </c>
      <c r="D1661" s="267" t="s">
        <v>92</v>
      </c>
      <c r="E1661" s="267" t="s">
        <v>0</v>
      </c>
      <c r="F1661" s="268"/>
      <c r="G1661" s="269"/>
      <c r="H1661" s="269"/>
      <c r="I1661" s="270"/>
      <c r="J1661" s="268">
        <v>1</v>
      </c>
      <c r="K1661" s="269">
        <v>83934</v>
      </c>
      <c r="L1661" s="269">
        <v>86018</v>
      </c>
      <c r="M1661" s="270">
        <v>1</v>
      </c>
      <c r="N1661" s="268">
        <v>1</v>
      </c>
      <c r="O1661" s="271"/>
      <c r="P1661" s="271">
        <v>83934</v>
      </c>
      <c r="Q1661" s="271"/>
      <c r="R1661" s="271"/>
      <c r="S1661" s="271">
        <v>-86018</v>
      </c>
      <c r="T1661" s="271"/>
      <c r="U1661" s="272">
        <v>1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153</v>
      </c>
      <c r="B1662" s="267" t="s">
        <v>2079</v>
      </c>
      <c r="C1662" s="267" t="s">
        <v>94</v>
      </c>
      <c r="D1662" s="267" t="s">
        <v>92</v>
      </c>
      <c r="E1662" s="267" t="s">
        <v>0</v>
      </c>
      <c r="F1662" s="268"/>
      <c r="G1662" s="269"/>
      <c r="H1662" s="269"/>
      <c r="I1662" s="270"/>
      <c r="J1662" s="268">
        <v>1</v>
      </c>
      <c r="K1662" s="269">
        <v>84326</v>
      </c>
      <c r="L1662" s="269">
        <v>85728</v>
      </c>
      <c r="M1662" s="270">
        <v>1</v>
      </c>
      <c r="N1662" s="268">
        <v>1</v>
      </c>
      <c r="O1662" s="271"/>
      <c r="P1662" s="271">
        <v>84326</v>
      </c>
      <c r="Q1662" s="271"/>
      <c r="R1662" s="271"/>
      <c r="S1662" s="271">
        <v>-85728</v>
      </c>
      <c r="T1662" s="271"/>
      <c r="U1662" s="272">
        <v>1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153</v>
      </c>
      <c r="B1663" s="267" t="s">
        <v>2080</v>
      </c>
      <c r="C1663" s="267" t="s">
        <v>94</v>
      </c>
      <c r="D1663" s="267" t="s">
        <v>92</v>
      </c>
      <c r="E1663" s="267" t="s">
        <v>0</v>
      </c>
      <c r="F1663" s="268"/>
      <c r="G1663" s="269"/>
      <c r="H1663" s="269"/>
      <c r="I1663" s="270"/>
      <c r="J1663" s="268">
        <v>1</v>
      </c>
      <c r="K1663" s="269">
        <v>83954</v>
      </c>
      <c r="L1663" s="269">
        <v>86162</v>
      </c>
      <c r="M1663" s="270">
        <v>1</v>
      </c>
      <c r="N1663" s="268">
        <v>1</v>
      </c>
      <c r="O1663" s="271"/>
      <c r="P1663" s="271">
        <v>83954</v>
      </c>
      <c r="Q1663" s="271"/>
      <c r="R1663" s="271"/>
      <c r="S1663" s="271">
        <v>-86162</v>
      </c>
      <c r="T1663" s="271"/>
      <c r="U1663" s="272">
        <v>1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153</v>
      </c>
      <c r="B1664" s="267" t="s">
        <v>2081</v>
      </c>
      <c r="C1664" s="267" t="s">
        <v>94</v>
      </c>
      <c r="D1664" s="267" t="s">
        <v>92</v>
      </c>
      <c r="E1664" s="267" t="s">
        <v>0</v>
      </c>
      <c r="F1664" s="268"/>
      <c r="G1664" s="269"/>
      <c r="H1664" s="269"/>
      <c r="I1664" s="270"/>
      <c r="J1664" s="268">
        <v>1</v>
      </c>
      <c r="K1664" s="269">
        <v>84349</v>
      </c>
      <c r="L1664" s="269">
        <v>85712</v>
      </c>
      <c r="M1664" s="270">
        <v>1</v>
      </c>
      <c r="N1664" s="268">
        <v>1</v>
      </c>
      <c r="O1664" s="271"/>
      <c r="P1664" s="271">
        <v>84349</v>
      </c>
      <c r="Q1664" s="271"/>
      <c r="R1664" s="271"/>
      <c r="S1664" s="271">
        <v>-85712</v>
      </c>
      <c r="T1664" s="271"/>
      <c r="U1664" s="272">
        <v>1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153</v>
      </c>
      <c r="B1665" s="267" t="s">
        <v>2082</v>
      </c>
      <c r="C1665" s="267" t="s">
        <v>94</v>
      </c>
      <c r="D1665" s="267" t="s">
        <v>92</v>
      </c>
      <c r="E1665" s="267" t="s">
        <v>0</v>
      </c>
      <c r="F1665" s="268"/>
      <c r="G1665" s="269"/>
      <c r="H1665" s="269"/>
      <c r="I1665" s="270"/>
      <c r="J1665" s="268">
        <v>1</v>
      </c>
      <c r="K1665" s="269">
        <v>83970</v>
      </c>
      <c r="L1665" s="269">
        <v>86139</v>
      </c>
      <c r="M1665" s="270">
        <v>1</v>
      </c>
      <c r="N1665" s="268">
        <v>1</v>
      </c>
      <c r="O1665" s="271"/>
      <c r="P1665" s="271">
        <v>83970</v>
      </c>
      <c r="Q1665" s="271"/>
      <c r="R1665" s="271"/>
      <c r="S1665" s="271">
        <v>-86139</v>
      </c>
      <c r="T1665" s="271"/>
      <c r="U1665" s="272">
        <v>1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153</v>
      </c>
      <c r="B1666" s="267" t="s">
        <v>2083</v>
      </c>
      <c r="C1666" s="267" t="s">
        <v>94</v>
      </c>
      <c r="D1666" s="267" t="s">
        <v>92</v>
      </c>
      <c r="E1666" s="267" t="s">
        <v>0</v>
      </c>
      <c r="F1666" s="268"/>
      <c r="G1666" s="269"/>
      <c r="H1666" s="269"/>
      <c r="I1666" s="270"/>
      <c r="J1666" s="268">
        <v>1</v>
      </c>
      <c r="K1666" s="269">
        <v>84158</v>
      </c>
      <c r="L1666" s="269">
        <v>86139</v>
      </c>
      <c r="M1666" s="270">
        <v>1</v>
      </c>
      <c r="N1666" s="268">
        <v>1</v>
      </c>
      <c r="O1666" s="271"/>
      <c r="P1666" s="271">
        <v>84158</v>
      </c>
      <c r="Q1666" s="271"/>
      <c r="R1666" s="271"/>
      <c r="S1666" s="271">
        <v>-86139</v>
      </c>
      <c r="T1666" s="271"/>
      <c r="U1666" s="272">
        <v>1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153</v>
      </c>
      <c r="B1667" s="267" t="s">
        <v>2084</v>
      </c>
      <c r="C1667" s="267" t="s">
        <v>94</v>
      </c>
      <c r="D1667" s="267" t="s">
        <v>92</v>
      </c>
      <c r="E1667" s="267" t="s">
        <v>0</v>
      </c>
      <c r="F1667" s="268"/>
      <c r="G1667" s="269"/>
      <c r="H1667" s="269"/>
      <c r="I1667" s="270"/>
      <c r="J1667" s="268">
        <v>1</v>
      </c>
      <c r="K1667" s="269">
        <v>84165</v>
      </c>
      <c r="L1667" s="269">
        <v>86146</v>
      </c>
      <c r="M1667" s="270">
        <v>1</v>
      </c>
      <c r="N1667" s="268">
        <v>1</v>
      </c>
      <c r="O1667" s="271"/>
      <c r="P1667" s="271">
        <v>84165</v>
      </c>
      <c r="Q1667" s="271"/>
      <c r="R1667" s="271"/>
      <c r="S1667" s="271">
        <v>-86146</v>
      </c>
      <c r="T1667" s="271"/>
      <c r="U1667" s="272">
        <v>1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153</v>
      </c>
      <c r="B1668" s="267" t="s">
        <v>2085</v>
      </c>
      <c r="C1668" s="267" t="s">
        <v>94</v>
      </c>
      <c r="D1668" s="267" t="s">
        <v>92</v>
      </c>
      <c r="E1668" s="267" t="s">
        <v>0</v>
      </c>
      <c r="F1668" s="268"/>
      <c r="G1668" s="269"/>
      <c r="H1668" s="269"/>
      <c r="I1668" s="270"/>
      <c r="J1668" s="268">
        <v>1</v>
      </c>
      <c r="K1668" s="269">
        <v>83896</v>
      </c>
      <c r="L1668" s="269">
        <v>86232</v>
      </c>
      <c r="M1668" s="270">
        <v>1</v>
      </c>
      <c r="N1668" s="268">
        <v>1</v>
      </c>
      <c r="O1668" s="271"/>
      <c r="P1668" s="271">
        <v>83896</v>
      </c>
      <c r="Q1668" s="271"/>
      <c r="R1668" s="271"/>
      <c r="S1668" s="271">
        <v>-86232</v>
      </c>
      <c r="T1668" s="271"/>
      <c r="U1668" s="272">
        <v>1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153</v>
      </c>
      <c r="B1669" s="267" t="s">
        <v>2086</v>
      </c>
      <c r="C1669" s="267" t="s">
        <v>94</v>
      </c>
      <c r="D1669" s="267" t="s">
        <v>92</v>
      </c>
      <c r="E1669" s="267" t="s">
        <v>0</v>
      </c>
      <c r="F1669" s="268"/>
      <c r="G1669" s="269"/>
      <c r="H1669" s="269"/>
      <c r="I1669" s="270"/>
      <c r="J1669" s="268">
        <v>1</v>
      </c>
      <c r="K1669" s="269">
        <v>83895</v>
      </c>
      <c r="L1669" s="269">
        <v>86218</v>
      </c>
      <c r="M1669" s="270">
        <v>1</v>
      </c>
      <c r="N1669" s="268">
        <v>1</v>
      </c>
      <c r="O1669" s="271"/>
      <c r="P1669" s="271">
        <v>83895</v>
      </c>
      <c r="Q1669" s="271"/>
      <c r="R1669" s="271"/>
      <c r="S1669" s="271">
        <v>-86218</v>
      </c>
      <c r="T1669" s="271"/>
      <c r="U1669" s="272">
        <v>1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153</v>
      </c>
      <c r="B1670" s="267" t="s">
        <v>2087</v>
      </c>
      <c r="C1670" s="267" t="s">
        <v>94</v>
      </c>
      <c r="D1670" s="267" t="s">
        <v>92</v>
      </c>
      <c r="E1670" s="267" t="s">
        <v>0</v>
      </c>
      <c r="F1670" s="268"/>
      <c r="G1670" s="269"/>
      <c r="H1670" s="269"/>
      <c r="I1670" s="270"/>
      <c r="J1670" s="268">
        <v>1</v>
      </c>
      <c r="K1670" s="269">
        <v>83880</v>
      </c>
      <c r="L1670" s="269">
        <v>86255</v>
      </c>
      <c r="M1670" s="270">
        <v>1</v>
      </c>
      <c r="N1670" s="268">
        <v>1</v>
      </c>
      <c r="O1670" s="271"/>
      <c r="P1670" s="271">
        <v>83880</v>
      </c>
      <c r="Q1670" s="271"/>
      <c r="R1670" s="271"/>
      <c r="S1670" s="271">
        <v>-86255</v>
      </c>
      <c r="T1670" s="271"/>
      <c r="U1670" s="272">
        <v>1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153</v>
      </c>
      <c r="B1671" s="267" t="s">
        <v>2088</v>
      </c>
      <c r="C1671" s="267" t="s">
        <v>94</v>
      </c>
      <c r="D1671" s="267" t="s">
        <v>92</v>
      </c>
      <c r="E1671" s="267" t="s">
        <v>0</v>
      </c>
      <c r="F1671" s="268"/>
      <c r="G1671" s="269"/>
      <c r="H1671" s="269"/>
      <c r="I1671" s="270"/>
      <c r="J1671" s="268">
        <v>1</v>
      </c>
      <c r="K1671" s="269">
        <v>83902</v>
      </c>
      <c r="L1671" s="269">
        <v>86225</v>
      </c>
      <c r="M1671" s="270">
        <v>1</v>
      </c>
      <c r="N1671" s="268">
        <v>1</v>
      </c>
      <c r="O1671" s="271"/>
      <c r="P1671" s="271">
        <v>83902</v>
      </c>
      <c r="Q1671" s="271"/>
      <c r="R1671" s="271"/>
      <c r="S1671" s="271">
        <v>-86225</v>
      </c>
      <c r="T1671" s="271"/>
      <c r="U1671" s="272">
        <v>1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153</v>
      </c>
      <c r="B1672" s="267" t="s">
        <v>2089</v>
      </c>
      <c r="C1672" s="267" t="s">
        <v>94</v>
      </c>
      <c r="D1672" s="267" t="s">
        <v>92</v>
      </c>
      <c r="E1672" s="267" t="s">
        <v>0</v>
      </c>
      <c r="F1672" s="268"/>
      <c r="G1672" s="269"/>
      <c r="H1672" s="269"/>
      <c r="I1672" s="270"/>
      <c r="J1672" s="268">
        <v>1</v>
      </c>
      <c r="K1672" s="269">
        <v>83895</v>
      </c>
      <c r="L1672" s="269">
        <v>86030</v>
      </c>
      <c r="M1672" s="270">
        <v>1</v>
      </c>
      <c r="N1672" s="268">
        <v>1</v>
      </c>
      <c r="O1672" s="271"/>
      <c r="P1672" s="271">
        <v>83895</v>
      </c>
      <c r="Q1672" s="271"/>
      <c r="R1672" s="271"/>
      <c r="S1672" s="271">
        <v>-86030</v>
      </c>
      <c r="T1672" s="271"/>
      <c r="U1672" s="272">
        <v>1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153</v>
      </c>
      <c r="B1673" s="267" t="s">
        <v>2090</v>
      </c>
      <c r="C1673" s="267" t="s">
        <v>94</v>
      </c>
      <c r="D1673" s="267" t="s">
        <v>92</v>
      </c>
      <c r="E1673" s="267" t="s">
        <v>0</v>
      </c>
      <c r="F1673" s="268"/>
      <c r="G1673" s="269"/>
      <c r="H1673" s="269"/>
      <c r="I1673" s="270"/>
      <c r="J1673" s="268">
        <v>1</v>
      </c>
      <c r="K1673" s="269">
        <v>83918</v>
      </c>
      <c r="L1673" s="269">
        <v>86014</v>
      </c>
      <c r="M1673" s="270">
        <v>1</v>
      </c>
      <c r="N1673" s="268">
        <v>1</v>
      </c>
      <c r="O1673" s="271"/>
      <c r="P1673" s="271">
        <v>83918</v>
      </c>
      <c r="Q1673" s="271"/>
      <c r="R1673" s="271"/>
      <c r="S1673" s="271">
        <v>-86014</v>
      </c>
      <c r="T1673" s="271"/>
      <c r="U1673" s="272">
        <v>1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153</v>
      </c>
      <c r="B1674" s="267" t="s">
        <v>2091</v>
      </c>
      <c r="C1674" s="267" t="s">
        <v>94</v>
      </c>
      <c r="D1674" s="267" t="s">
        <v>92</v>
      </c>
      <c r="E1674" s="267" t="s">
        <v>0</v>
      </c>
      <c r="F1674" s="268"/>
      <c r="G1674" s="269"/>
      <c r="H1674" s="269"/>
      <c r="I1674" s="270"/>
      <c r="J1674" s="268">
        <v>1</v>
      </c>
      <c r="K1674" s="269">
        <v>84187</v>
      </c>
      <c r="L1674" s="269">
        <v>85921</v>
      </c>
      <c r="M1674" s="270">
        <v>1</v>
      </c>
      <c r="N1674" s="268">
        <v>1</v>
      </c>
      <c r="O1674" s="271"/>
      <c r="P1674" s="271">
        <v>84187</v>
      </c>
      <c r="Q1674" s="271"/>
      <c r="R1674" s="271"/>
      <c r="S1674" s="271">
        <v>-85921</v>
      </c>
      <c r="T1674" s="271"/>
      <c r="U1674" s="272">
        <v>1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153</v>
      </c>
      <c r="B1675" s="267" t="s">
        <v>2092</v>
      </c>
      <c r="C1675" s="267" t="s">
        <v>94</v>
      </c>
      <c r="D1675" s="267" t="s">
        <v>92</v>
      </c>
      <c r="E1675" s="267" t="s">
        <v>0</v>
      </c>
      <c r="F1675" s="268"/>
      <c r="G1675" s="269"/>
      <c r="H1675" s="269"/>
      <c r="I1675" s="270"/>
      <c r="J1675" s="268">
        <v>1</v>
      </c>
      <c r="K1675" s="269">
        <v>84004</v>
      </c>
      <c r="L1675" s="269">
        <v>86093</v>
      </c>
      <c r="M1675" s="270">
        <v>1</v>
      </c>
      <c r="N1675" s="268">
        <v>1</v>
      </c>
      <c r="O1675" s="271"/>
      <c r="P1675" s="271">
        <v>84004</v>
      </c>
      <c r="Q1675" s="271"/>
      <c r="R1675" s="271"/>
      <c r="S1675" s="271">
        <v>-86093</v>
      </c>
      <c r="T1675" s="271"/>
      <c r="U1675" s="272">
        <v>1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153</v>
      </c>
      <c r="B1676" s="267" t="s">
        <v>2093</v>
      </c>
      <c r="C1676" s="267" t="s">
        <v>94</v>
      </c>
      <c r="D1676" s="267" t="s">
        <v>92</v>
      </c>
      <c r="E1676" s="267" t="s">
        <v>0</v>
      </c>
      <c r="F1676" s="268"/>
      <c r="G1676" s="269"/>
      <c r="H1676" s="269"/>
      <c r="I1676" s="270"/>
      <c r="J1676" s="268">
        <v>1</v>
      </c>
      <c r="K1676" s="269">
        <v>84120</v>
      </c>
      <c r="L1676" s="269">
        <v>85957</v>
      </c>
      <c r="M1676" s="270">
        <v>1</v>
      </c>
      <c r="N1676" s="268">
        <v>1</v>
      </c>
      <c r="O1676" s="271"/>
      <c r="P1676" s="271">
        <v>84120</v>
      </c>
      <c r="Q1676" s="271"/>
      <c r="R1676" s="271"/>
      <c r="S1676" s="271">
        <v>-85957</v>
      </c>
      <c r="T1676" s="271"/>
      <c r="U1676" s="272">
        <v>1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153</v>
      </c>
      <c r="B1677" s="267" t="s">
        <v>2094</v>
      </c>
      <c r="C1677" s="267" t="s">
        <v>94</v>
      </c>
      <c r="D1677" s="267" t="s">
        <v>92</v>
      </c>
      <c r="E1677" s="267" t="s">
        <v>0</v>
      </c>
      <c r="F1677" s="268"/>
      <c r="G1677" s="269"/>
      <c r="H1677" s="269"/>
      <c r="I1677" s="270"/>
      <c r="J1677" s="268">
        <v>1</v>
      </c>
      <c r="K1677" s="269">
        <v>84034</v>
      </c>
      <c r="L1677" s="269">
        <v>86110</v>
      </c>
      <c r="M1677" s="270">
        <v>1</v>
      </c>
      <c r="N1677" s="268">
        <v>1</v>
      </c>
      <c r="O1677" s="271"/>
      <c r="P1677" s="271">
        <v>84034</v>
      </c>
      <c r="Q1677" s="271"/>
      <c r="R1677" s="271"/>
      <c r="S1677" s="271">
        <v>-86110</v>
      </c>
      <c r="T1677" s="271"/>
      <c r="U1677" s="272">
        <v>1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153</v>
      </c>
      <c r="B1678" s="267" t="s">
        <v>2095</v>
      </c>
      <c r="C1678" s="267" t="s">
        <v>94</v>
      </c>
      <c r="D1678" s="267" t="s">
        <v>92</v>
      </c>
      <c r="E1678" s="267" t="s">
        <v>0</v>
      </c>
      <c r="F1678" s="268"/>
      <c r="G1678" s="269"/>
      <c r="H1678" s="269"/>
      <c r="I1678" s="270"/>
      <c r="J1678" s="268">
        <v>1</v>
      </c>
      <c r="K1678" s="269">
        <v>83951</v>
      </c>
      <c r="L1678" s="269">
        <v>86174</v>
      </c>
      <c r="M1678" s="270">
        <v>1</v>
      </c>
      <c r="N1678" s="268">
        <v>1</v>
      </c>
      <c r="O1678" s="271"/>
      <c r="P1678" s="271">
        <v>83951</v>
      </c>
      <c r="Q1678" s="271"/>
      <c r="R1678" s="271"/>
      <c r="S1678" s="271">
        <v>-86174</v>
      </c>
      <c r="T1678" s="271"/>
      <c r="U1678" s="272">
        <v>1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153</v>
      </c>
      <c r="B1679" s="267" t="s">
        <v>2096</v>
      </c>
      <c r="C1679" s="267" t="s">
        <v>94</v>
      </c>
      <c r="D1679" s="267" t="s">
        <v>92</v>
      </c>
      <c r="E1679" s="267" t="s">
        <v>0</v>
      </c>
      <c r="F1679" s="268"/>
      <c r="G1679" s="269"/>
      <c r="H1679" s="269"/>
      <c r="I1679" s="270"/>
      <c r="J1679" s="268">
        <v>1</v>
      </c>
      <c r="K1679" s="269">
        <v>83986</v>
      </c>
      <c r="L1679" s="269">
        <v>86093</v>
      </c>
      <c r="M1679" s="270">
        <v>1</v>
      </c>
      <c r="N1679" s="268">
        <v>1</v>
      </c>
      <c r="O1679" s="271"/>
      <c r="P1679" s="271">
        <v>83986</v>
      </c>
      <c r="Q1679" s="271"/>
      <c r="R1679" s="271"/>
      <c r="S1679" s="271">
        <v>-86093</v>
      </c>
      <c r="T1679" s="271"/>
      <c r="U1679" s="272">
        <v>1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153</v>
      </c>
      <c r="B1680" s="267" t="s">
        <v>2097</v>
      </c>
      <c r="C1680" s="267" t="s">
        <v>94</v>
      </c>
      <c r="D1680" s="267" t="s">
        <v>92</v>
      </c>
      <c r="E1680" s="267" t="s">
        <v>0</v>
      </c>
      <c r="F1680" s="268"/>
      <c r="G1680" s="269"/>
      <c r="H1680" s="269"/>
      <c r="I1680" s="270"/>
      <c r="J1680" s="268">
        <v>1</v>
      </c>
      <c r="K1680" s="269">
        <v>84171</v>
      </c>
      <c r="L1680" s="269">
        <v>85944</v>
      </c>
      <c r="M1680" s="270">
        <v>1</v>
      </c>
      <c r="N1680" s="268">
        <v>1</v>
      </c>
      <c r="O1680" s="271"/>
      <c r="P1680" s="271">
        <v>84171</v>
      </c>
      <c r="Q1680" s="271"/>
      <c r="R1680" s="271"/>
      <c r="S1680" s="271">
        <v>-85944</v>
      </c>
      <c r="T1680" s="271"/>
      <c r="U1680" s="272">
        <v>1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153</v>
      </c>
      <c r="B1681" s="267" t="s">
        <v>2098</v>
      </c>
      <c r="C1681" s="267" t="s">
        <v>94</v>
      </c>
      <c r="D1681" s="267" t="s">
        <v>92</v>
      </c>
      <c r="E1681" s="267" t="s">
        <v>0</v>
      </c>
      <c r="F1681" s="268"/>
      <c r="G1681" s="269"/>
      <c r="H1681" s="269"/>
      <c r="I1681" s="270"/>
      <c r="J1681" s="268">
        <v>1</v>
      </c>
      <c r="K1681" s="269">
        <v>83971</v>
      </c>
      <c r="L1681" s="269">
        <v>86130</v>
      </c>
      <c r="M1681" s="270">
        <v>1</v>
      </c>
      <c r="N1681" s="268">
        <v>1</v>
      </c>
      <c r="O1681" s="271"/>
      <c r="P1681" s="271">
        <v>83971</v>
      </c>
      <c r="Q1681" s="271"/>
      <c r="R1681" s="271"/>
      <c r="S1681" s="271">
        <v>-86130</v>
      </c>
      <c r="T1681" s="271"/>
      <c r="U1681" s="272">
        <v>1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153</v>
      </c>
      <c r="B1682" s="267" t="s">
        <v>2099</v>
      </c>
      <c r="C1682" s="267" t="s">
        <v>94</v>
      </c>
      <c r="D1682" s="267" t="s">
        <v>92</v>
      </c>
      <c r="E1682" s="267" t="s">
        <v>0</v>
      </c>
      <c r="F1682" s="268"/>
      <c r="G1682" s="269"/>
      <c r="H1682" s="269"/>
      <c r="I1682" s="270"/>
      <c r="J1682" s="268">
        <v>1</v>
      </c>
      <c r="K1682" s="269">
        <v>84087</v>
      </c>
      <c r="L1682" s="269">
        <v>85994</v>
      </c>
      <c r="M1682" s="270">
        <v>1</v>
      </c>
      <c r="N1682" s="268">
        <v>1</v>
      </c>
      <c r="O1682" s="271"/>
      <c r="P1682" s="271">
        <v>84087</v>
      </c>
      <c r="Q1682" s="271"/>
      <c r="R1682" s="271"/>
      <c r="S1682" s="271">
        <v>-85994</v>
      </c>
      <c r="T1682" s="271"/>
      <c r="U1682" s="272">
        <v>1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153</v>
      </c>
      <c r="B1683" s="267" t="s">
        <v>2100</v>
      </c>
      <c r="C1683" s="267" t="s">
        <v>94</v>
      </c>
      <c r="D1683" s="267" t="s">
        <v>92</v>
      </c>
      <c r="E1683" s="267" t="s">
        <v>0</v>
      </c>
      <c r="F1683" s="268"/>
      <c r="G1683" s="269"/>
      <c r="H1683" s="269"/>
      <c r="I1683" s="270"/>
      <c r="J1683" s="268">
        <v>1</v>
      </c>
      <c r="K1683" s="269">
        <v>84027</v>
      </c>
      <c r="L1683" s="269">
        <v>86134</v>
      </c>
      <c r="M1683" s="270">
        <v>1</v>
      </c>
      <c r="N1683" s="268">
        <v>1</v>
      </c>
      <c r="O1683" s="271"/>
      <c r="P1683" s="271">
        <v>84027</v>
      </c>
      <c r="Q1683" s="271"/>
      <c r="R1683" s="271"/>
      <c r="S1683" s="271">
        <v>-86134</v>
      </c>
      <c r="T1683" s="271"/>
      <c r="U1683" s="272">
        <v>1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153</v>
      </c>
      <c r="B1684" s="267" t="s">
        <v>2101</v>
      </c>
      <c r="C1684" s="267" t="s">
        <v>94</v>
      </c>
      <c r="D1684" s="267" t="s">
        <v>92</v>
      </c>
      <c r="E1684" s="267" t="s">
        <v>0</v>
      </c>
      <c r="F1684" s="268"/>
      <c r="G1684" s="269"/>
      <c r="H1684" s="269"/>
      <c r="I1684" s="270"/>
      <c r="J1684" s="268">
        <v>1</v>
      </c>
      <c r="K1684" s="269">
        <v>83938</v>
      </c>
      <c r="L1684" s="269">
        <v>86200</v>
      </c>
      <c r="M1684" s="270">
        <v>1</v>
      </c>
      <c r="N1684" s="268">
        <v>1</v>
      </c>
      <c r="O1684" s="271"/>
      <c r="P1684" s="271">
        <v>83938</v>
      </c>
      <c r="Q1684" s="271"/>
      <c r="R1684" s="271"/>
      <c r="S1684" s="271">
        <v>-86200</v>
      </c>
      <c r="T1684" s="271"/>
      <c r="U1684" s="272">
        <v>1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153</v>
      </c>
      <c r="B1685" s="267" t="s">
        <v>2102</v>
      </c>
      <c r="C1685" s="267" t="s">
        <v>94</v>
      </c>
      <c r="D1685" s="267" t="s">
        <v>92</v>
      </c>
      <c r="E1685" s="267" t="s">
        <v>0</v>
      </c>
      <c r="F1685" s="268"/>
      <c r="G1685" s="269"/>
      <c r="H1685" s="269"/>
      <c r="I1685" s="270"/>
      <c r="J1685" s="268">
        <v>1</v>
      </c>
      <c r="K1685" s="269">
        <v>84010</v>
      </c>
      <c r="L1685" s="269">
        <v>86086</v>
      </c>
      <c r="M1685" s="270">
        <v>1</v>
      </c>
      <c r="N1685" s="268">
        <v>1</v>
      </c>
      <c r="O1685" s="271"/>
      <c r="P1685" s="271">
        <v>84010</v>
      </c>
      <c r="Q1685" s="271"/>
      <c r="R1685" s="271"/>
      <c r="S1685" s="271">
        <v>-86086</v>
      </c>
      <c r="T1685" s="271"/>
      <c r="U1685" s="272">
        <v>1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153</v>
      </c>
      <c r="B1686" s="267" t="s">
        <v>2103</v>
      </c>
      <c r="C1686" s="267" t="s">
        <v>94</v>
      </c>
      <c r="D1686" s="267" t="s">
        <v>92</v>
      </c>
      <c r="E1686" s="267" t="s">
        <v>0</v>
      </c>
      <c r="F1686" s="268"/>
      <c r="G1686" s="269"/>
      <c r="H1686" s="269"/>
      <c r="I1686" s="270"/>
      <c r="J1686" s="268">
        <v>1</v>
      </c>
      <c r="K1686" s="269">
        <v>84120</v>
      </c>
      <c r="L1686" s="269">
        <v>85769</v>
      </c>
      <c r="M1686" s="270">
        <v>1</v>
      </c>
      <c r="N1686" s="268">
        <v>1</v>
      </c>
      <c r="O1686" s="271"/>
      <c r="P1686" s="271">
        <v>84120</v>
      </c>
      <c r="Q1686" s="271"/>
      <c r="R1686" s="271"/>
      <c r="S1686" s="271">
        <v>-85769</v>
      </c>
      <c r="T1686" s="271"/>
      <c r="U1686" s="272">
        <v>1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153</v>
      </c>
      <c r="B1687" s="267" t="s">
        <v>2104</v>
      </c>
      <c r="C1687" s="267" t="s">
        <v>94</v>
      </c>
      <c r="D1687" s="267" t="s">
        <v>92</v>
      </c>
      <c r="E1687" s="267" t="s">
        <v>0</v>
      </c>
      <c r="F1687" s="268"/>
      <c r="G1687" s="269"/>
      <c r="H1687" s="269"/>
      <c r="I1687" s="270"/>
      <c r="J1687" s="268">
        <v>1</v>
      </c>
      <c r="K1687" s="269">
        <v>83950</v>
      </c>
      <c r="L1687" s="269">
        <v>85972</v>
      </c>
      <c r="M1687" s="270">
        <v>1</v>
      </c>
      <c r="N1687" s="268">
        <v>1</v>
      </c>
      <c r="O1687" s="271"/>
      <c r="P1687" s="271">
        <v>83950</v>
      </c>
      <c r="Q1687" s="271"/>
      <c r="R1687" s="271"/>
      <c r="S1687" s="271">
        <v>-85972</v>
      </c>
      <c r="T1687" s="271"/>
      <c r="U1687" s="272">
        <v>1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153</v>
      </c>
      <c r="B1688" s="267" t="s">
        <v>2105</v>
      </c>
      <c r="C1688" s="267" t="s">
        <v>94</v>
      </c>
      <c r="D1688" s="267" t="s">
        <v>92</v>
      </c>
      <c r="E1688" s="267" t="s">
        <v>0</v>
      </c>
      <c r="F1688" s="268"/>
      <c r="G1688" s="269"/>
      <c r="H1688" s="269"/>
      <c r="I1688" s="270"/>
      <c r="J1688" s="268">
        <v>1</v>
      </c>
      <c r="K1688" s="269">
        <v>84103</v>
      </c>
      <c r="L1688" s="269">
        <v>85783</v>
      </c>
      <c r="M1688" s="270">
        <v>1</v>
      </c>
      <c r="N1688" s="268">
        <v>1</v>
      </c>
      <c r="O1688" s="271"/>
      <c r="P1688" s="271">
        <v>84103</v>
      </c>
      <c r="Q1688" s="271"/>
      <c r="R1688" s="271"/>
      <c r="S1688" s="271">
        <v>-85783</v>
      </c>
      <c r="T1688" s="271"/>
      <c r="U1688" s="272">
        <v>1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153</v>
      </c>
      <c r="B1689" s="267" t="s">
        <v>2106</v>
      </c>
      <c r="C1689" s="267" t="s">
        <v>94</v>
      </c>
      <c r="D1689" s="267" t="s">
        <v>92</v>
      </c>
      <c r="E1689" s="267" t="s">
        <v>0</v>
      </c>
      <c r="F1689" s="268"/>
      <c r="G1689" s="269"/>
      <c r="H1689" s="269"/>
      <c r="I1689" s="270"/>
      <c r="J1689" s="268">
        <v>1</v>
      </c>
      <c r="K1689" s="269">
        <v>83976</v>
      </c>
      <c r="L1689" s="269">
        <v>85959</v>
      </c>
      <c r="M1689" s="270">
        <v>1</v>
      </c>
      <c r="N1689" s="268">
        <v>1</v>
      </c>
      <c r="O1689" s="271"/>
      <c r="P1689" s="271">
        <v>83976</v>
      </c>
      <c r="Q1689" s="271"/>
      <c r="R1689" s="271"/>
      <c r="S1689" s="271">
        <v>-85959</v>
      </c>
      <c r="T1689" s="271"/>
      <c r="U1689" s="272">
        <v>1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153</v>
      </c>
      <c r="B1690" s="267" t="s">
        <v>2107</v>
      </c>
      <c r="C1690" s="267" t="s">
        <v>94</v>
      </c>
      <c r="D1690" s="267" t="s">
        <v>92</v>
      </c>
      <c r="E1690" s="267" t="s">
        <v>0</v>
      </c>
      <c r="F1690" s="268"/>
      <c r="G1690" s="269"/>
      <c r="H1690" s="269"/>
      <c r="I1690" s="270"/>
      <c r="J1690" s="268">
        <v>1</v>
      </c>
      <c r="K1690" s="269">
        <v>84020</v>
      </c>
      <c r="L1690" s="269">
        <v>85939</v>
      </c>
      <c r="M1690" s="270">
        <v>1</v>
      </c>
      <c r="N1690" s="268">
        <v>1</v>
      </c>
      <c r="O1690" s="271"/>
      <c r="P1690" s="271">
        <v>84020</v>
      </c>
      <c r="Q1690" s="271"/>
      <c r="R1690" s="271"/>
      <c r="S1690" s="271">
        <v>-85939</v>
      </c>
      <c r="T1690" s="271"/>
      <c r="U1690" s="272">
        <v>1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153</v>
      </c>
      <c r="B1691" s="267" t="s">
        <v>2108</v>
      </c>
      <c r="C1691" s="267" t="s">
        <v>94</v>
      </c>
      <c r="D1691" s="267" t="s">
        <v>92</v>
      </c>
      <c r="E1691" s="267" t="s">
        <v>0</v>
      </c>
      <c r="F1691" s="268"/>
      <c r="G1691" s="269"/>
      <c r="H1691" s="269"/>
      <c r="I1691" s="270"/>
      <c r="J1691" s="268">
        <v>1</v>
      </c>
      <c r="K1691" s="269">
        <v>84057</v>
      </c>
      <c r="L1691" s="269">
        <v>85906</v>
      </c>
      <c r="M1691" s="270">
        <v>1</v>
      </c>
      <c r="N1691" s="268">
        <v>1</v>
      </c>
      <c r="O1691" s="271"/>
      <c r="P1691" s="271">
        <v>84057</v>
      </c>
      <c r="Q1691" s="271"/>
      <c r="R1691" s="271"/>
      <c r="S1691" s="271">
        <v>-85906</v>
      </c>
      <c r="T1691" s="271"/>
      <c r="U1691" s="272">
        <v>1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153</v>
      </c>
      <c r="B1692" s="267" t="s">
        <v>2109</v>
      </c>
      <c r="C1692" s="267" t="s">
        <v>94</v>
      </c>
      <c r="D1692" s="267" t="s">
        <v>92</v>
      </c>
      <c r="E1692" s="267" t="s">
        <v>0</v>
      </c>
      <c r="F1692" s="268"/>
      <c r="G1692" s="269"/>
      <c r="H1692" s="269"/>
      <c r="I1692" s="270"/>
      <c r="J1692" s="268">
        <v>1</v>
      </c>
      <c r="K1692" s="269">
        <v>83942</v>
      </c>
      <c r="L1692" s="269">
        <v>86216</v>
      </c>
      <c r="M1692" s="270">
        <v>1</v>
      </c>
      <c r="N1692" s="268">
        <v>1</v>
      </c>
      <c r="O1692" s="271"/>
      <c r="P1692" s="271">
        <v>83942</v>
      </c>
      <c r="Q1692" s="271"/>
      <c r="R1692" s="271"/>
      <c r="S1692" s="271">
        <v>-86216</v>
      </c>
      <c r="T1692" s="271"/>
      <c r="U1692" s="272">
        <v>1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153</v>
      </c>
      <c r="B1693" s="267" t="s">
        <v>2110</v>
      </c>
      <c r="C1693" s="267" t="s">
        <v>94</v>
      </c>
      <c r="D1693" s="267" t="s">
        <v>92</v>
      </c>
      <c r="E1693" s="267" t="s">
        <v>0</v>
      </c>
      <c r="F1693" s="268"/>
      <c r="G1693" s="269"/>
      <c r="H1693" s="269"/>
      <c r="I1693" s="270"/>
      <c r="J1693" s="268">
        <v>1</v>
      </c>
      <c r="K1693" s="269">
        <v>83941</v>
      </c>
      <c r="L1693" s="269">
        <v>86202</v>
      </c>
      <c r="M1693" s="270">
        <v>1</v>
      </c>
      <c r="N1693" s="268">
        <v>1</v>
      </c>
      <c r="O1693" s="271"/>
      <c r="P1693" s="271">
        <v>83941</v>
      </c>
      <c r="Q1693" s="271"/>
      <c r="R1693" s="271"/>
      <c r="S1693" s="271">
        <v>-86202</v>
      </c>
      <c r="T1693" s="271"/>
      <c r="U1693" s="272">
        <v>1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153</v>
      </c>
      <c r="B1694" s="267" t="s">
        <v>2111</v>
      </c>
      <c r="C1694" s="267" t="s">
        <v>94</v>
      </c>
      <c r="D1694" s="267" t="s">
        <v>92</v>
      </c>
      <c r="E1694" s="267" t="s">
        <v>0</v>
      </c>
      <c r="F1694" s="268"/>
      <c r="G1694" s="269"/>
      <c r="H1694" s="269"/>
      <c r="I1694" s="270"/>
      <c r="J1694" s="268">
        <v>1</v>
      </c>
      <c r="K1694" s="269">
        <v>83956</v>
      </c>
      <c r="L1694" s="269">
        <v>86199</v>
      </c>
      <c r="M1694" s="270">
        <v>1</v>
      </c>
      <c r="N1694" s="268">
        <v>1</v>
      </c>
      <c r="O1694" s="271"/>
      <c r="P1694" s="271">
        <v>83956</v>
      </c>
      <c r="Q1694" s="271"/>
      <c r="R1694" s="271"/>
      <c r="S1694" s="271">
        <v>-86199</v>
      </c>
      <c r="T1694" s="271"/>
      <c r="U1694" s="272">
        <v>1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153</v>
      </c>
      <c r="B1695" s="267" t="s">
        <v>2112</v>
      </c>
      <c r="C1695" s="267" t="s">
        <v>94</v>
      </c>
      <c r="D1695" s="267" t="s">
        <v>92</v>
      </c>
      <c r="E1695" s="267" t="s">
        <v>0</v>
      </c>
      <c r="F1695" s="268"/>
      <c r="G1695" s="269"/>
      <c r="H1695" s="269"/>
      <c r="I1695" s="270"/>
      <c r="J1695" s="268">
        <v>1</v>
      </c>
      <c r="K1695" s="269">
        <v>83978</v>
      </c>
      <c r="L1695" s="269">
        <v>86169</v>
      </c>
      <c r="M1695" s="270">
        <v>1</v>
      </c>
      <c r="N1695" s="268">
        <v>1</v>
      </c>
      <c r="O1695" s="271"/>
      <c r="P1695" s="271">
        <v>83978</v>
      </c>
      <c r="Q1695" s="271"/>
      <c r="R1695" s="271"/>
      <c r="S1695" s="271">
        <v>-86169</v>
      </c>
      <c r="T1695" s="271"/>
      <c r="U1695" s="272">
        <v>1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153</v>
      </c>
      <c r="B1696" s="267" t="s">
        <v>2113</v>
      </c>
      <c r="C1696" s="267" t="s">
        <v>94</v>
      </c>
      <c r="D1696" s="267" t="s">
        <v>92</v>
      </c>
      <c r="E1696" s="267" t="s">
        <v>0</v>
      </c>
      <c r="F1696" s="268"/>
      <c r="G1696" s="269"/>
      <c r="H1696" s="269"/>
      <c r="I1696" s="270"/>
      <c r="J1696" s="268">
        <v>1</v>
      </c>
      <c r="K1696" s="269">
        <v>83991</v>
      </c>
      <c r="L1696" s="269">
        <v>86118</v>
      </c>
      <c r="M1696" s="270">
        <v>1</v>
      </c>
      <c r="N1696" s="268">
        <v>1</v>
      </c>
      <c r="O1696" s="271"/>
      <c r="P1696" s="271">
        <v>83991</v>
      </c>
      <c r="Q1696" s="271"/>
      <c r="R1696" s="271"/>
      <c r="S1696" s="271">
        <v>-86118</v>
      </c>
      <c r="T1696" s="271"/>
      <c r="U1696" s="272">
        <v>1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153</v>
      </c>
      <c r="B1697" s="267" t="s">
        <v>2114</v>
      </c>
      <c r="C1697" s="267" t="s">
        <v>94</v>
      </c>
      <c r="D1697" s="267" t="s">
        <v>92</v>
      </c>
      <c r="E1697" s="267" t="s">
        <v>0</v>
      </c>
      <c r="F1697" s="268"/>
      <c r="G1697" s="269"/>
      <c r="H1697" s="269"/>
      <c r="I1697" s="270"/>
      <c r="J1697" s="268">
        <v>1</v>
      </c>
      <c r="K1697" s="269">
        <v>84014</v>
      </c>
      <c r="L1697" s="269">
        <v>86102</v>
      </c>
      <c r="M1697" s="270">
        <v>1</v>
      </c>
      <c r="N1697" s="268">
        <v>1</v>
      </c>
      <c r="O1697" s="271"/>
      <c r="P1697" s="271">
        <v>84014</v>
      </c>
      <c r="Q1697" s="271"/>
      <c r="R1697" s="271"/>
      <c r="S1697" s="271">
        <v>-86102</v>
      </c>
      <c r="T1697" s="271"/>
      <c r="U1697" s="272">
        <v>1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153</v>
      </c>
      <c r="B1698" s="267" t="s">
        <v>2115</v>
      </c>
      <c r="C1698" s="267" t="s">
        <v>94</v>
      </c>
      <c r="D1698" s="267" t="s">
        <v>92</v>
      </c>
      <c r="E1698" s="267" t="s">
        <v>0</v>
      </c>
      <c r="F1698" s="268"/>
      <c r="G1698" s="269"/>
      <c r="H1698" s="269"/>
      <c r="I1698" s="270"/>
      <c r="J1698" s="268">
        <v>1</v>
      </c>
      <c r="K1698" s="269">
        <v>85005</v>
      </c>
      <c r="L1698" s="269">
        <v>85805</v>
      </c>
      <c r="M1698" s="270">
        <v>1</v>
      </c>
      <c r="N1698" s="268">
        <v>1</v>
      </c>
      <c r="O1698" s="271"/>
      <c r="P1698" s="271">
        <v>85005</v>
      </c>
      <c r="Q1698" s="271"/>
      <c r="R1698" s="271"/>
      <c r="S1698" s="271">
        <v>-85805</v>
      </c>
      <c r="T1698" s="271"/>
      <c r="U1698" s="272">
        <v>1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153</v>
      </c>
      <c r="B1699" s="267" t="s">
        <v>2116</v>
      </c>
      <c r="C1699" s="267" t="s">
        <v>94</v>
      </c>
      <c r="D1699" s="267" t="s">
        <v>92</v>
      </c>
      <c r="E1699" s="267" t="s">
        <v>0</v>
      </c>
      <c r="F1699" s="268"/>
      <c r="G1699" s="269"/>
      <c r="H1699" s="269"/>
      <c r="I1699" s="270"/>
      <c r="J1699" s="268">
        <v>1</v>
      </c>
      <c r="K1699" s="269">
        <v>84980</v>
      </c>
      <c r="L1699" s="269">
        <v>85830</v>
      </c>
      <c r="M1699" s="270">
        <v>1</v>
      </c>
      <c r="N1699" s="268">
        <v>1</v>
      </c>
      <c r="O1699" s="271"/>
      <c r="P1699" s="271">
        <v>84980</v>
      </c>
      <c r="Q1699" s="271"/>
      <c r="R1699" s="271"/>
      <c r="S1699" s="271">
        <v>-85830</v>
      </c>
      <c r="T1699" s="271"/>
      <c r="U1699" s="272">
        <v>1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153</v>
      </c>
      <c r="B1700" s="267" t="s">
        <v>2117</v>
      </c>
      <c r="C1700" s="267" t="s">
        <v>94</v>
      </c>
      <c r="D1700" s="267" t="s">
        <v>92</v>
      </c>
      <c r="E1700" s="267" t="s">
        <v>0</v>
      </c>
      <c r="F1700" s="268"/>
      <c r="G1700" s="269"/>
      <c r="H1700" s="269"/>
      <c r="I1700" s="270"/>
      <c r="J1700" s="268">
        <v>1</v>
      </c>
      <c r="K1700" s="269">
        <v>85145</v>
      </c>
      <c r="L1700" s="269">
        <v>85845</v>
      </c>
      <c r="M1700" s="270">
        <v>1</v>
      </c>
      <c r="N1700" s="268">
        <v>1</v>
      </c>
      <c r="O1700" s="271"/>
      <c r="P1700" s="271">
        <v>85145</v>
      </c>
      <c r="Q1700" s="271"/>
      <c r="R1700" s="271"/>
      <c r="S1700" s="271">
        <v>-85845</v>
      </c>
      <c r="T1700" s="271"/>
      <c r="U1700" s="272">
        <v>1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153</v>
      </c>
      <c r="B1701" s="267" t="s">
        <v>2118</v>
      </c>
      <c r="C1701" s="267" t="s">
        <v>94</v>
      </c>
      <c r="D1701" s="267" t="s">
        <v>92</v>
      </c>
      <c r="E1701" s="267" t="s">
        <v>0</v>
      </c>
      <c r="F1701" s="268"/>
      <c r="G1701" s="269"/>
      <c r="H1701" s="269"/>
      <c r="I1701" s="270"/>
      <c r="J1701" s="268">
        <v>1</v>
      </c>
      <c r="K1701" s="269">
        <v>84850</v>
      </c>
      <c r="L1701" s="269">
        <v>85960</v>
      </c>
      <c r="M1701" s="270">
        <v>1</v>
      </c>
      <c r="N1701" s="268">
        <v>1</v>
      </c>
      <c r="O1701" s="271"/>
      <c r="P1701" s="271">
        <v>84850</v>
      </c>
      <c r="Q1701" s="271"/>
      <c r="R1701" s="271"/>
      <c r="S1701" s="271">
        <v>-85960</v>
      </c>
      <c r="T1701" s="271"/>
      <c r="U1701" s="272">
        <v>1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153</v>
      </c>
      <c r="B1702" s="267" t="s">
        <v>2119</v>
      </c>
      <c r="C1702" s="267" t="s">
        <v>94</v>
      </c>
      <c r="D1702" s="267" t="s">
        <v>92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85095</v>
      </c>
      <c r="L1702" s="269">
        <v>85770</v>
      </c>
      <c r="M1702" s="270">
        <v>1</v>
      </c>
      <c r="N1702" s="268">
        <v>1</v>
      </c>
      <c r="O1702" s="271"/>
      <c r="P1702" s="271">
        <v>85095</v>
      </c>
      <c r="Q1702" s="271"/>
      <c r="R1702" s="271"/>
      <c r="S1702" s="271">
        <v>-85770</v>
      </c>
      <c r="T1702" s="271"/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153</v>
      </c>
      <c r="B1703" s="267" t="s">
        <v>2120</v>
      </c>
      <c r="C1703" s="267" t="s">
        <v>94</v>
      </c>
      <c r="D1703" s="267" t="s">
        <v>92</v>
      </c>
      <c r="E1703" s="267" t="s">
        <v>0</v>
      </c>
      <c r="F1703" s="268"/>
      <c r="G1703" s="269"/>
      <c r="H1703" s="269"/>
      <c r="I1703" s="270"/>
      <c r="J1703" s="268">
        <v>1</v>
      </c>
      <c r="K1703" s="269">
        <v>84987</v>
      </c>
      <c r="L1703" s="269">
        <v>85816</v>
      </c>
      <c r="M1703" s="270">
        <v>1</v>
      </c>
      <c r="N1703" s="268">
        <v>1</v>
      </c>
      <c r="O1703" s="271"/>
      <c r="P1703" s="271">
        <v>84987</v>
      </c>
      <c r="Q1703" s="271"/>
      <c r="R1703" s="271"/>
      <c r="S1703" s="271">
        <v>-85816</v>
      </c>
      <c r="T1703" s="271"/>
      <c r="U1703" s="272">
        <v>1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153</v>
      </c>
      <c r="B1704" s="267" t="s">
        <v>2121</v>
      </c>
      <c r="C1704" s="267" t="s">
        <v>94</v>
      </c>
      <c r="D1704" s="267" t="s">
        <v>92</v>
      </c>
      <c r="E1704" s="267" t="s">
        <v>0</v>
      </c>
      <c r="F1704" s="268"/>
      <c r="G1704" s="269"/>
      <c r="H1704" s="269"/>
      <c r="I1704" s="270"/>
      <c r="J1704" s="268">
        <v>1</v>
      </c>
      <c r="K1704" s="269">
        <v>85166</v>
      </c>
      <c r="L1704" s="269">
        <v>85832</v>
      </c>
      <c r="M1704" s="270">
        <v>1</v>
      </c>
      <c r="N1704" s="268">
        <v>1</v>
      </c>
      <c r="O1704" s="271"/>
      <c r="P1704" s="271">
        <v>85166</v>
      </c>
      <c r="Q1704" s="271"/>
      <c r="R1704" s="271"/>
      <c r="S1704" s="271">
        <v>-85832</v>
      </c>
      <c r="T1704" s="271"/>
      <c r="U1704" s="272">
        <v>1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153</v>
      </c>
      <c r="B1705" s="267" t="s">
        <v>2122</v>
      </c>
      <c r="C1705" s="267" t="s">
        <v>94</v>
      </c>
      <c r="D1705" s="267" t="s">
        <v>92</v>
      </c>
      <c r="E1705" s="267" t="s">
        <v>0</v>
      </c>
      <c r="F1705" s="268"/>
      <c r="G1705" s="269"/>
      <c r="H1705" s="269"/>
      <c r="I1705" s="270"/>
      <c r="J1705" s="268">
        <v>1</v>
      </c>
      <c r="K1705" s="269">
        <v>84836</v>
      </c>
      <c r="L1705" s="269">
        <v>85944</v>
      </c>
      <c r="M1705" s="270">
        <v>1</v>
      </c>
      <c r="N1705" s="268">
        <v>1</v>
      </c>
      <c r="O1705" s="271"/>
      <c r="P1705" s="271">
        <v>84836</v>
      </c>
      <c r="Q1705" s="271"/>
      <c r="R1705" s="271"/>
      <c r="S1705" s="271">
        <v>-85944</v>
      </c>
      <c r="T1705" s="271"/>
      <c r="U1705" s="272">
        <v>1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153</v>
      </c>
      <c r="B1706" s="267" t="s">
        <v>2123</v>
      </c>
      <c r="C1706" s="267" t="s">
        <v>94</v>
      </c>
      <c r="D1706" s="267" t="s">
        <v>92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85065</v>
      </c>
      <c r="L1706" s="269">
        <v>85800</v>
      </c>
      <c r="M1706" s="270">
        <v>1</v>
      </c>
      <c r="N1706" s="268">
        <v>1</v>
      </c>
      <c r="O1706" s="271"/>
      <c r="P1706" s="271">
        <v>85065</v>
      </c>
      <c r="Q1706" s="271"/>
      <c r="R1706" s="271"/>
      <c r="S1706" s="271">
        <v>-85800</v>
      </c>
      <c r="T1706" s="271"/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153</v>
      </c>
      <c r="B1707" s="267" t="s">
        <v>2124</v>
      </c>
      <c r="C1707" s="267" t="s">
        <v>94</v>
      </c>
      <c r="D1707" s="267" t="s">
        <v>92</v>
      </c>
      <c r="E1707" s="267" t="s">
        <v>0</v>
      </c>
      <c r="F1707" s="268"/>
      <c r="G1707" s="269"/>
      <c r="H1707" s="269"/>
      <c r="I1707" s="270"/>
      <c r="J1707" s="268">
        <v>1</v>
      </c>
      <c r="K1707" s="269">
        <v>84994</v>
      </c>
      <c r="L1707" s="269">
        <v>85823</v>
      </c>
      <c r="M1707" s="270">
        <v>1</v>
      </c>
      <c r="N1707" s="268">
        <v>1</v>
      </c>
      <c r="O1707" s="271"/>
      <c r="P1707" s="271">
        <v>84994</v>
      </c>
      <c r="Q1707" s="271"/>
      <c r="R1707" s="271"/>
      <c r="S1707" s="271">
        <v>-85823</v>
      </c>
      <c r="T1707" s="271"/>
      <c r="U1707" s="272">
        <v>1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153</v>
      </c>
      <c r="B1708" s="267" t="s">
        <v>2125</v>
      </c>
      <c r="C1708" s="267" t="s">
        <v>94</v>
      </c>
      <c r="D1708" s="267" t="s">
        <v>92</v>
      </c>
      <c r="E1708" s="267" t="s">
        <v>0</v>
      </c>
      <c r="F1708" s="268"/>
      <c r="G1708" s="269"/>
      <c r="H1708" s="269"/>
      <c r="I1708" s="270"/>
      <c r="J1708" s="268">
        <v>1</v>
      </c>
      <c r="K1708" s="269">
        <v>85164</v>
      </c>
      <c r="L1708" s="269">
        <v>85841</v>
      </c>
      <c r="M1708" s="270">
        <v>1</v>
      </c>
      <c r="N1708" s="268">
        <v>1</v>
      </c>
      <c r="O1708" s="271"/>
      <c r="P1708" s="271">
        <v>85164</v>
      </c>
      <c r="Q1708" s="271"/>
      <c r="R1708" s="271"/>
      <c r="S1708" s="271">
        <v>-85841</v>
      </c>
      <c r="T1708" s="271"/>
      <c r="U1708" s="272">
        <v>1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153</v>
      </c>
      <c r="B1709" s="267" t="s">
        <v>2126</v>
      </c>
      <c r="C1709" s="267" t="s">
        <v>94</v>
      </c>
      <c r="D1709" s="267" t="s">
        <v>92</v>
      </c>
      <c r="E1709" s="267" t="s">
        <v>0</v>
      </c>
      <c r="F1709" s="268"/>
      <c r="G1709" s="269"/>
      <c r="H1709" s="269"/>
      <c r="I1709" s="270"/>
      <c r="J1709" s="268">
        <v>1</v>
      </c>
      <c r="K1709" s="269">
        <v>84851</v>
      </c>
      <c r="L1709" s="269">
        <v>85939</v>
      </c>
      <c r="M1709" s="270">
        <v>1</v>
      </c>
      <c r="N1709" s="268">
        <v>1</v>
      </c>
      <c r="O1709" s="271"/>
      <c r="P1709" s="271">
        <v>84851</v>
      </c>
      <c r="Q1709" s="271"/>
      <c r="R1709" s="271"/>
      <c r="S1709" s="271">
        <v>-85939</v>
      </c>
      <c r="T1709" s="271"/>
      <c r="U1709" s="272">
        <v>1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153</v>
      </c>
      <c r="B1710" s="267" t="s">
        <v>2127</v>
      </c>
      <c r="C1710" s="267" t="s">
        <v>94</v>
      </c>
      <c r="D1710" s="267" t="s">
        <v>92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85040</v>
      </c>
      <c r="L1710" s="269">
        <v>85825</v>
      </c>
      <c r="M1710" s="270">
        <v>1</v>
      </c>
      <c r="N1710" s="268">
        <v>1</v>
      </c>
      <c r="O1710" s="271"/>
      <c r="P1710" s="271">
        <v>85040</v>
      </c>
      <c r="Q1710" s="271"/>
      <c r="R1710" s="271"/>
      <c r="S1710" s="271">
        <v>-85825</v>
      </c>
      <c r="T1710" s="271"/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153</v>
      </c>
      <c r="B1711" s="267" t="s">
        <v>2128</v>
      </c>
      <c r="C1711" s="267" t="s">
        <v>94</v>
      </c>
      <c r="D1711" s="267" t="s">
        <v>92</v>
      </c>
      <c r="E1711" s="267" t="s">
        <v>0</v>
      </c>
      <c r="F1711" s="268"/>
      <c r="G1711" s="269"/>
      <c r="H1711" s="269"/>
      <c r="I1711" s="270"/>
      <c r="J1711" s="268">
        <v>1</v>
      </c>
      <c r="K1711" s="269">
        <v>84948</v>
      </c>
      <c r="L1711" s="269">
        <v>85854</v>
      </c>
      <c r="M1711" s="270">
        <v>1</v>
      </c>
      <c r="N1711" s="268">
        <v>1</v>
      </c>
      <c r="O1711" s="271"/>
      <c r="P1711" s="271">
        <v>84948</v>
      </c>
      <c r="Q1711" s="271"/>
      <c r="R1711" s="271"/>
      <c r="S1711" s="271">
        <v>-85854</v>
      </c>
      <c r="T1711" s="271"/>
      <c r="U1711" s="272">
        <v>1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153</v>
      </c>
      <c r="B1712" s="267" t="s">
        <v>2129</v>
      </c>
      <c r="C1712" s="267" t="s">
        <v>94</v>
      </c>
      <c r="D1712" s="267" t="s">
        <v>92</v>
      </c>
      <c r="E1712" s="267" t="s">
        <v>0</v>
      </c>
      <c r="F1712" s="268"/>
      <c r="G1712" s="269"/>
      <c r="H1712" s="269"/>
      <c r="I1712" s="270"/>
      <c r="J1712" s="268">
        <v>1</v>
      </c>
      <c r="K1712" s="269">
        <v>84939</v>
      </c>
      <c r="L1712" s="269">
        <v>85856</v>
      </c>
      <c r="M1712" s="270">
        <v>1</v>
      </c>
      <c r="N1712" s="268">
        <v>1</v>
      </c>
      <c r="O1712" s="271"/>
      <c r="P1712" s="271">
        <v>84939</v>
      </c>
      <c r="Q1712" s="271"/>
      <c r="R1712" s="271"/>
      <c r="S1712" s="271">
        <v>-85856</v>
      </c>
      <c r="T1712" s="271"/>
      <c r="U1712" s="272">
        <v>1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153</v>
      </c>
      <c r="B1713" s="267" t="s">
        <v>2130</v>
      </c>
      <c r="C1713" s="267" t="s">
        <v>94</v>
      </c>
      <c r="D1713" s="267" t="s">
        <v>92</v>
      </c>
      <c r="E1713" s="267" t="s">
        <v>0</v>
      </c>
      <c r="F1713" s="268"/>
      <c r="G1713" s="269"/>
      <c r="H1713" s="269"/>
      <c r="I1713" s="270"/>
      <c r="J1713" s="268">
        <v>1</v>
      </c>
      <c r="K1713" s="269">
        <v>84872</v>
      </c>
      <c r="L1713" s="269">
        <v>85934</v>
      </c>
      <c r="M1713" s="270">
        <v>1</v>
      </c>
      <c r="N1713" s="268">
        <v>1</v>
      </c>
      <c r="O1713" s="271"/>
      <c r="P1713" s="271">
        <v>84872</v>
      </c>
      <c r="Q1713" s="271"/>
      <c r="R1713" s="271"/>
      <c r="S1713" s="271">
        <v>-85934</v>
      </c>
      <c r="T1713" s="271"/>
      <c r="U1713" s="272">
        <v>1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153</v>
      </c>
      <c r="B1714" s="267" t="s">
        <v>2131</v>
      </c>
      <c r="C1714" s="267" t="s">
        <v>94</v>
      </c>
      <c r="D1714" s="267" t="s">
        <v>92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84995</v>
      </c>
      <c r="L1714" s="269">
        <v>85870</v>
      </c>
      <c r="M1714" s="270">
        <v>1</v>
      </c>
      <c r="N1714" s="268">
        <v>1</v>
      </c>
      <c r="O1714" s="271"/>
      <c r="P1714" s="271">
        <v>84995</v>
      </c>
      <c r="Q1714" s="271"/>
      <c r="R1714" s="271"/>
      <c r="S1714" s="271">
        <v>-85870</v>
      </c>
      <c r="T1714" s="271"/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153</v>
      </c>
      <c r="B1715" s="267" t="s">
        <v>2132</v>
      </c>
      <c r="C1715" s="267" t="s">
        <v>94</v>
      </c>
      <c r="D1715" s="267" t="s">
        <v>92</v>
      </c>
      <c r="E1715" s="267" t="s">
        <v>0</v>
      </c>
      <c r="F1715" s="268"/>
      <c r="G1715" s="269"/>
      <c r="H1715" s="269"/>
      <c r="I1715" s="270"/>
      <c r="J1715" s="268">
        <v>1</v>
      </c>
      <c r="K1715" s="269">
        <v>84866</v>
      </c>
      <c r="L1715" s="269">
        <v>85974</v>
      </c>
      <c r="M1715" s="270">
        <v>1</v>
      </c>
      <c r="N1715" s="268">
        <v>1</v>
      </c>
      <c r="O1715" s="271"/>
      <c r="P1715" s="271">
        <v>84866</v>
      </c>
      <c r="Q1715" s="271"/>
      <c r="R1715" s="271"/>
      <c r="S1715" s="271">
        <v>-85974</v>
      </c>
      <c r="T1715" s="271"/>
      <c r="U1715" s="272">
        <v>1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153</v>
      </c>
      <c r="B1716" s="267" t="s">
        <v>2133</v>
      </c>
      <c r="C1716" s="267" t="s">
        <v>94</v>
      </c>
      <c r="D1716" s="267" t="s">
        <v>92</v>
      </c>
      <c r="E1716" s="267" t="s">
        <v>0</v>
      </c>
      <c r="F1716" s="268"/>
      <c r="G1716" s="269"/>
      <c r="H1716" s="269"/>
      <c r="I1716" s="270"/>
      <c r="J1716" s="268">
        <v>1</v>
      </c>
      <c r="K1716" s="269">
        <v>84871</v>
      </c>
      <c r="L1716" s="269">
        <v>85959</v>
      </c>
      <c r="M1716" s="270">
        <v>1</v>
      </c>
      <c r="N1716" s="268">
        <v>1</v>
      </c>
      <c r="O1716" s="271"/>
      <c r="P1716" s="271">
        <v>84871</v>
      </c>
      <c r="Q1716" s="271"/>
      <c r="R1716" s="271"/>
      <c r="S1716" s="271">
        <v>-85959</v>
      </c>
      <c r="T1716" s="271"/>
      <c r="U1716" s="272">
        <v>1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153</v>
      </c>
      <c r="B1717" s="267" t="s">
        <v>2134</v>
      </c>
      <c r="C1717" s="267" t="s">
        <v>94</v>
      </c>
      <c r="D1717" s="267" t="s">
        <v>92</v>
      </c>
      <c r="E1717" s="267" t="s">
        <v>0</v>
      </c>
      <c r="F1717" s="268"/>
      <c r="G1717" s="269"/>
      <c r="H1717" s="269"/>
      <c r="I1717" s="270"/>
      <c r="J1717" s="268">
        <v>1</v>
      </c>
      <c r="K1717" s="269">
        <v>85086</v>
      </c>
      <c r="L1717" s="269">
        <v>85908</v>
      </c>
      <c r="M1717" s="270">
        <v>1</v>
      </c>
      <c r="N1717" s="268">
        <v>1</v>
      </c>
      <c r="O1717" s="271"/>
      <c r="P1717" s="271">
        <v>85086</v>
      </c>
      <c r="Q1717" s="271"/>
      <c r="R1717" s="271"/>
      <c r="S1717" s="271">
        <v>-85908</v>
      </c>
      <c r="T1717" s="271"/>
      <c r="U1717" s="272">
        <v>1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153</v>
      </c>
      <c r="B1718" s="267" t="s">
        <v>2135</v>
      </c>
      <c r="C1718" s="267" t="s">
        <v>94</v>
      </c>
      <c r="D1718" s="267" t="s">
        <v>92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85079</v>
      </c>
      <c r="L1718" s="269">
        <v>85770</v>
      </c>
      <c r="M1718" s="270">
        <v>1</v>
      </c>
      <c r="N1718" s="268">
        <v>1</v>
      </c>
      <c r="O1718" s="271"/>
      <c r="P1718" s="271">
        <v>85079</v>
      </c>
      <c r="Q1718" s="271"/>
      <c r="R1718" s="271"/>
      <c r="S1718" s="271">
        <v>-85770</v>
      </c>
      <c r="T1718" s="271"/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153</v>
      </c>
      <c r="B1719" s="267" t="s">
        <v>2136</v>
      </c>
      <c r="C1719" s="267" t="s">
        <v>94</v>
      </c>
      <c r="D1719" s="267" t="s">
        <v>92</v>
      </c>
      <c r="E1719" s="267" t="s">
        <v>0</v>
      </c>
      <c r="F1719" s="268"/>
      <c r="G1719" s="269"/>
      <c r="H1719" s="269"/>
      <c r="I1719" s="270"/>
      <c r="J1719" s="268">
        <v>1</v>
      </c>
      <c r="K1719" s="269">
        <v>84675</v>
      </c>
      <c r="L1719" s="269">
        <v>86135</v>
      </c>
      <c r="M1719" s="270">
        <v>1</v>
      </c>
      <c r="N1719" s="268">
        <v>1</v>
      </c>
      <c r="O1719" s="271"/>
      <c r="P1719" s="271">
        <v>84675</v>
      </c>
      <c r="Q1719" s="271"/>
      <c r="R1719" s="271"/>
      <c r="S1719" s="271">
        <v>-86135</v>
      </c>
      <c r="T1719" s="271"/>
      <c r="U1719" s="272">
        <v>1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153</v>
      </c>
      <c r="B1720" s="267" t="s">
        <v>2137</v>
      </c>
      <c r="C1720" s="267" t="s">
        <v>94</v>
      </c>
      <c r="D1720" s="267" t="s">
        <v>92</v>
      </c>
      <c r="E1720" s="267" t="s">
        <v>0</v>
      </c>
      <c r="F1720" s="268"/>
      <c r="G1720" s="269"/>
      <c r="H1720" s="269"/>
      <c r="I1720" s="270"/>
      <c r="J1720" s="268">
        <v>1</v>
      </c>
      <c r="K1720" s="269">
        <v>84650</v>
      </c>
      <c r="L1720" s="269">
        <v>86160</v>
      </c>
      <c r="M1720" s="270">
        <v>1</v>
      </c>
      <c r="N1720" s="268">
        <v>1</v>
      </c>
      <c r="O1720" s="271"/>
      <c r="P1720" s="271">
        <v>84650</v>
      </c>
      <c r="Q1720" s="271"/>
      <c r="R1720" s="271"/>
      <c r="S1720" s="271">
        <v>-86160</v>
      </c>
      <c r="T1720" s="271"/>
      <c r="U1720" s="272">
        <v>1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153</v>
      </c>
      <c r="B1721" s="267" t="s">
        <v>2138</v>
      </c>
      <c r="C1721" s="267" t="s">
        <v>94</v>
      </c>
      <c r="D1721" s="267" t="s">
        <v>92</v>
      </c>
      <c r="E1721" s="267" t="s">
        <v>0</v>
      </c>
      <c r="F1721" s="268"/>
      <c r="G1721" s="269"/>
      <c r="H1721" s="269"/>
      <c r="I1721" s="270"/>
      <c r="J1721" s="268">
        <v>1</v>
      </c>
      <c r="K1721" s="269">
        <v>84815</v>
      </c>
      <c r="L1721" s="269">
        <v>86175</v>
      </c>
      <c r="M1721" s="270">
        <v>1</v>
      </c>
      <c r="N1721" s="268">
        <v>1</v>
      </c>
      <c r="O1721" s="271"/>
      <c r="P1721" s="271">
        <v>84815</v>
      </c>
      <c r="Q1721" s="271"/>
      <c r="R1721" s="271"/>
      <c r="S1721" s="271">
        <v>-86175</v>
      </c>
      <c r="T1721" s="271"/>
      <c r="U1721" s="272">
        <v>1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153</v>
      </c>
      <c r="B1722" s="267" t="s">
        <v>2139</v>
      </c>
      <c r="C1722" s="267" t="s">
        <v>94</v>
      </c>
      <c r="D1722" s="267" t="s">
        <v>92</v>
      </c>
      <c r="E1722" s="267" t="s">
        <v>0</v>
      </c>
      <c r="F1722" s="268"/>
      <c r="G1722" s="269"/>
      <c r="H1722" s="269"/>
      <c r="I1722" s="270"/>
      <c r="J1722" s="268">
        <v>1</v>
      </c>
      <c r="K1722" s="269">
        <v>84705</v>
      </c>
      <c r="L1722" s="269">
        <v>86121</v>
      </c>
      <c r="M1722" s="270">
        <v>1</v>
      </c>
      <c r="N1722" s="268">
        <v>1</v>
      </c>
      <c r="O1722" s="271"/>
      <c r="P1722" s="271">
        <v>84705</v>
      </c>
      <c r="Q1722" s="271"/>
      <c r="R1722" s="271"/>
      <c r="S1722" s="271">
        <v>-86121</v>
      </c>
      <c r="T1722" s="271"/>
      <c r="U1722" s="272">
        <v>1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153</v>
      </c>
      <c r="B1723" s="267" t="s">
        <v>2140</v>
      </c>
      <c r="C1723" s="267" t="s">
        <v>94</v>
      </c>
      <c r="D1723" s="267" t="s">
        <v>92</v>
      </c>
      <c r="E1723" s="267" t="s">
        <v>0</v>
      </c>
      <c r="F1723" s="268"/>
      <c r="G1723" s="269"/>
      <c r="H1723" s="269"/>
      <c r="I1723" s="270"/>
      <c r="J1723" s="268">
        <v>1</v>
      </c>
      <c r="K1723" s="269">
        <v>85171</v>
      </c>
      <c r="L1723" s="269">
        <v>85827</v>
      </c>
      <c r="M1723" s="270">
        <v>1</v>
      </c>
      <c r="N1723" s="268">
        <v>1</v>
      </c>
      <c r="O1723" s="271"/>
      <c r="P1723" s="271">
        <v>85171</v>
      </c>
      <c r="Q1723" s="271"/>
      <c r="R1723" s="271"/>
      <c r="S1723" s="271">
        <v>-85827</v>
      </c>
      <c r="T1723" s="271"/>
      <c r="U1723" s="272">
        <v>1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153</v>
      </c>
      <c r="B1724" s="267" t="s">
        <v>2141</v>
      </c>
      <c r="C1724" s="267" t="s">
        <v>94</v>
      </c>
      <c r="D1724" s="267" t="s">
        <v>92</v>
      </c>
      <c r="E1724" s="267" t="s">
        <v>0</v>
      </c>
      <c r="F1724" s="268"/>
      <c r="G1724" s="269"/>
      <c r="H1724" s="269"/>
      <c r="I1724" s="270"/>
      <c r="J1724" s="268">
        <v>1</v>
      </c>
      <c r="K1724" s="269">
        <v>84858</v>
      </c>
      <c r="L1724" s="269">
        <v>85925</v>
      </c>
      <c r="M1724" s="270">
        <v>1</v>
      </c>
      <c r="N1724" s="268">
        <v>1</v>
      </c>
      <c r="O1724" s="271"/>
      <c r="P1724" s="271">
        <v>84858</v>
      </c>
      <c r="Q1724" s="271"/>
      <c r="R1724" s="271"/>
      <c r="S1724" s="271">
        <v>-85925</v>
      </c>
      <c r="T1724" s="271"/>
      <c r="U1724" s="272">
        <v>1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153</v>
      </c>
      <c r="B1725" s="267" t="s">
        <v>2142</v>
      </c>
      <c r="C1725" s="267" t="s">
        <v>94</v>
      </c>
      <c r="D1725" s="267" t="s">
        <v>92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85047</v>
      </c>
      <c r="L1725" s="269">
        <v>85811</v>
      </c>
      <c r="M1725" s="270">
        <v>1</v>
      </c>
      <c r="N1725" s="268">
        <v>1</v>
      </c>
      <c r="O1725" s="271"/>
      <c r="P1725" s="271">
        <v>85047</v>
      </c>
      <c r="Q1725" s="271"/>
      <c r="R1725" s="271"/>
      <c r="S1725" s="271">
        <v>-85811</v>
      </c>
      <c r="T1725" s="271"/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153</v>
      </c>
      <c r="B1726" s="267" t="s">
        <v>2143</v>
      </c>
      <c r="C1726" s="267" t="s">
        <v>94</v>
      </c>
      <c r="D1726" s="267" t="s">
        <v>92</v>
      </c>
      <c r="E1726" s="267" t="s">
        <v>0</v>
      </c>
      <c r="F1726" s="268"/>
      <c r="G1726" s="269"/>
      <c r="H1726" s="269"/>
      <c r="I1726" s="270"/>
      <c r="J1726" s="268">
        <v>1</v>
      </c>
      <c r="K1726" s="269">
        <v>84960</v>
      </c>
      <c r="L1726" s="269">
        <v>85843</v>
      </c>
      <c r="M1726" s="270">
        <v>1</v>
      </c>
      <c r="N1726" s="268">
        <v>1</v>
      </c>
      <c r="O1726" s="271"/>
      <c r="P1726" s="271">
        <v>84960</v>
      </c>
      <c r="Q1726" s="271"/>
      <c r="R1726" s="271"/>
      <c r="S1726" s="271">
        <v>-85843</v>
      </c>
      <c r="T1726" s="271"/>
      <c r="U1726" s="272">
        <v>1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153</v>
      </c>
      <c r="B1727" s="267" t="s">
        <v>2144</v>
      </c>
      <c r="C1727" s="267" t="s">
        <v>94</v>
      </c>
      <c r="D1727" s="267" t="s">
        <v>92</v>
      </c>
      <c r="E1727" s="267" t="s">
        <v>0</v>
      </c>
      <c r="F1727" s="268"/>
      <c r="G1727" s="269"/>
      <c r="H1727" s="269"/>
      <c r="I1727" s="270"/>
      <c r="J1727" s="268">
        <v>1</v>
      </c>
      <c r="K1727" s="269">
        <v>84893</v>
      </c>
      <c r="L1727" s="269">
        <v>85921</v>
      </c>
      <c r="M1727" s="270">
        <v>1</v>
      </c>
      <c r="N1727" s="268">
        <v>1</v>
      </c>
      <c r="O1727" s="271"/>
      <c r="P1727" s="271">
        <v>84893</v>
      </c>
      <c r="Q1727" s="271"/>
      <c r="R1727" s="271"/>
      <c r="S1727" s="271">
        <v>-85921</v>
      </c>
      <c r="T1727" s="271"/>
      <c r="U1727" s="272">
        <v>1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153</v>
      </c>
      <c r="B1728" s="267" t="s">
        <v>2145</v>
      </c>
      <c r="C1728" s="267" t="s">
        <v>94</v>
      </c>
      <c r="D1728" s="267" t="s">
        <v>92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85016</v>
      </c>
      <c r="L1728" s="269">
        <v>85857</v>
      </c>
      <c r="M1728" s="270">
        <v>1</v>
      </c>
      <c r="N1728" s="268">
        <v>1</v>
      </c>
      <c r="O1728" s="271"/>
      <c r="P1728" s="271">
        <v>85016</v>
      </c>
      <c r="Q1728" s="271"/>
      <c r="R1728" s="271"/>
      <c r="S1728" s="271">
        <v>-85857</v>
      </c>
      <c r="T1728" s="271"/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153</v>
      </c>
      <c r="B1729" s="267" t="s">
        <v>2146</v>
      </c>
      <c r="C1729" s="267" t="s">
        <v>94</v>
      </c>
      <c r="D1729" s="267" t="s">
        <v>92</v>
      </c>
      <c r="E1729" s="267" t="s">
        <v>0</v>
      </c>
      <c r="F1729" s="268"/>
      <c r="G1729" s="269"/>
      <c r="H1729" s="269"/>
      <c r="I1729" s="270"/>
      <c r="J1729" s="268">
        <v>1</v>
      </c>
      <c r="K1729" s="269">
        <v>84857</v>
      </c>
      <c r="L1729" s="269">
        <v>85943</v>
      </c>
      <c r="M1729" s="270">
        <v>1</v>
      </c>
      <c r="N1729" s="268">
        <v>1</v>
      </c>
      <c r="O1729" s="271"/>
      <c r="P1729" s="271">
        <v>84857</v>
      </c>
      <c r="Q1729" s="271"/>
      <c r="R1729" s="271"/>
      <c r="S1729" s="271">
        <v>-85943</v>
      </c>
      <c r="T1729" s="271"/>
      <c r="U1729" s="272">
        <v>1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153</v>
      </c>
      <c r="B1730" s="267" t="s">
        <v>2147</v>
      </c>
      <c r="C1730" s="267" t="s">
        <v>94</v>
      </c>
      <c r="D1730" s="267" t="s">
        <v>92</v>
      </c>
      <c r="E1730" s="267" t="s">
        <v>0</v>
      </c>
      <c r="F1730" s="268"/>
      <c r="G1730" s="269"/>
      <c r="H1730" s="269"/>
      <c r="I1730" s="270"/>
      <c r="J1730" s="268">
        <v>1</v>
      </c>
      <c r="K1730" s="269">
        <v>85072</v>
      </c>
      <c r="L1730" s="269">
        <v>85892</v>
      </c>
      <c r="M1730" s="270">
        <v>1</v>
      </c>
      <c r="N1730" s="268">
        <v>1</v>
      </c>
      <c r="O1730" s="271"/>
      <c r="P1730" s="271">
        <v>85072</v>
      </c>
      <c r="Q1730" s="271"/>
      <c r="R1730" s="271"/>
      <c r="S1730" s="271">
        <v>-85892</v>
      </c>
      <c r="T1730" s="271"/>
      <c r="U1730" s="272">
        <v>1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153</v>
      </c>
      <c r="B1731" s="267" t="s">
        <v>2148</v>
      </c>
      <c r="C1731" s="267" t="s">
        <v>94</v>
      </c>
      <c r="D1731" s="267" t="s">
        <v>92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85065</v>
      </c>
      <c r="L1731" s="269">
        <v>85754</v>
      </c>
      <c r="M1731" s="270">
        <v>1</v>
      </c>
      <c r="N1731" s="268">
        <v>1</v>
      </c>
      <c r="O1731" s="271"/>
      <c r="P1731" s="271">
        <v>85065</v>
      </c>
      <c r="Q1731" s="271"/>
      <c r="R1731" s="271"/>
      <c r="S1731" s="271">
        <v>-85754</v>
      </c>
      <c r="T1731" s="271"/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153</v>
      </c>
      <c r="B1732" s="267" t="s">
        <v>2149</v>
      </c>
      <c r="C1732" s="267" t="s">
        <v>94</v>
      </c>
      <c r="D1732" s="267" t="s">
        <v>92</v>
      </c>
      <c r="E1732" s="267" t="s">
        <v>0</v>
      </c>
      <c r="F1732" s="268"/>
      <c r="G1732" s="269"/>
      <c r="H1732" s="269"/>
      <c r="I1732" s="270"/>
      <c r="J1732" s="268">
        <v>1</v>
      </c>
      <c r="K1732" s="269">
        <v>84620</v>
      </c>
      <c r="L1732" s="269">
        <v>86190</v>
      </c>
      <c r="M1732" s="270">
        <v>1</v>
      </c>
      <c r="N1732" s="268">
        <v>1</v>
      </c>
      <c r="O1732" s="271"/>
      <c r="P1732" s="271">
        <v>84620</v>
      </c>
      <c r="Q1732" s="271"/>
      <c r="R1732" s="271"/>
      <c r="S1732" s="271">
        <v>-86190</v>
      </c>
      <c r="T1732" s="271"/>
      <c r="U1732" s="272">
        <v>1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153</v>
      </c>
      <c r="B1733" s="267" t="s">
        <v>2150</v>
      </c>
      <c r="C1733" s="267" t="s">
        <v>94</v>
      </c>
      <c r="D1733" s="267" t="s">
        <v>92</v>
      </c>
      <c r="E1733" s="267" t="s">
        <v>0</v>
      </c>
      <c r="F1733" s="268"/>
      <c r="G1733" s="269"/>
      <c r="H1733" s="269"/>
      <c r="I1733" s="270"/>
      <c r="J1733" s="268">
        <v>1</v>
      </c>
      <c r="K1733" s="269">
        <v>84785</v>
      </c>
      <c r="L1733" s="269">
        <v>86205</v>
      </c>
      <c r="M1733" s="270">
        <v>1</v>
      </c>
      <c r="N1733" s="268">
        <v>1</v>
      </c>
      <c r="O1733" s="271"/>
      <c r="P1733" s="271">
        <v>84785</v>
      </c>
      <c r="Q1733" s="271"/>
      <c r="R1733" s="271"/>
      <c r="S1733" s="271">
        <v>-86205</v>
      </c>
      <c r="T1733" s="271"/>
      <c r="U1733" s="272">
        <v>1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153</v>
      </c>
      <c r="B1734" s="267" t="s">
        <v>2151</v>
      </c>
      <c r="C1734" s="267" t="s">
        <v>94</v>
      </c>
      <c r="D1734" s="267" t="s">
        <v>92</v>
      </c>
      <c r="E1734" s="267" t="s">
        <v>0</v>
      </c>
      <c r="F1734" s="268"/>
      <c r="G1734" s="269"/>
      <c r="H1734" s="269"/>
      <c r="I1734" s="270"/>
      <c r="J1734" s="268">
        <v>1</v>
      </c>
      <c r="K1734" s="269">
        <v>84675</v>
      </c>
      <c r="L1734" s="269">
        <v>86151</v>
      </c>
      <c r="M1734" s="270">
        <v>1</v>
      </c>
      <c r="N1734" s="268">
        <v>1</v>
      </c>
      <c r="O1734" s="271"/>
      <c r="P1734" s="271">
        <v>84675</v>
      </c>
      <c r="Q1734" s="271"/>
      <c r="R1734" s="271"/>
      <c r="S1734" s="271">
        <v>-86151</v>
      </c>
      <c r="T1734" s="271"/>
      <c r="U1734" s="272">
        <v>1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153</v>
      </c>
      <c r="B1735" s="267" t="s">
        <v>2152</v>
      </c>
      <c r="C1735" s="267" t="s">
        <v>94</v>
      </c>
      <c r="D1735" s="267" t="s">
        <v>92</v>
      </c>
      <c r="E1735" s="267" t="s">
        <v>0</v>
      </c>
      <c r="F1735" s="268"/>
      <c r="G1735" s="269"/>
      <c r="H1735" s="269"/>
      <c r="I1735" s="270"/>
      <c r="J1735" s="268">
        <v>1</v>
      </c>
      <c r="K1735" s="269">
        <v>85155</v>
      </c>
      <c r="L1735" s="269">
        <v>85850</v>
      </c>
      <c r="M1735" s="270">
        <v>1</v>
      </c>
      <c r="N1735" s="268">
        <v>1</v>
      </c>
      <c r="O1735" s="271"/>
      <c r="P1735" s="271">
        <v>85155</v>
      </c>
      <c r="Q1735" s="271"/>
      <c r="R1735" s="271"/>
      <c r="S1735" s="271">
        <v>-85850</v>
      </c>
      <c r="T1735" s="271"/>
      <c r="U1735" s="272">
        <v>1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153</v>
      </c>
      <c r="B1736" s="267" t="s">
        <v>2153</v>
      </c>
      <c r="C1736" s="267" t="s">
        <v>94</v>
      </c>
      <c r="D1736" s="267" t="s">
        <v>92</v>
      </c>
      <c r="E1736" s="267" t="s">
        <v>0</v>
      </c>
      <c r="F1736" s="268"/>
      <c r="G1736" s="269"/>
      <c r="H1736" s="269"/>
      <c r="I1736" s="270"/>
      <c r="J1736" s="268">
        <v>1</v>
      </c>
      <c r="K1736" s="269">
        <v>84825</v>
      </c>
      <c r="L1736" s="269">
        <v>85962</v>
      </c>
      <c r="M1736" s="270">
        <v>1</v>
      </c>
      <c r="N1736" s="268">
        <v>1</v>
      </c>
      <c r="O1736" s="271"/>
      <c r="P1736" s="271">
        <v>84825</v>
      </c>
      <c r="Q1736" s="271"/>
      <c r="R1736" s="271"/>
      <c r="S1736" s="271">
        <v>-85962</v>
      </c>
      <c r="T1736" s="271"/>
      <c r="U1736" s="272">
        <v>1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153</v>
      </c>
      <c r="B1737" s="267" t="s">
        <v>2154</v>
      </c>
      <c r="C1737" s="267" t="s">
        <v>94</v>
      </c>
      <c r="D1737" s="267" t="s">
        <v>92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85054</v>
      </c>
      <c r="L1737" s="269">
        <v>85818</v>
      </c>
      <c r="M1737" s="270">
        <v>1</v>
      </c>
      <c r="N1737" s="268">
        <v>1</v>
      </c>
      <c r="O1737" s="271"/>
      <c r="P1737" s="271">
        <v>85054</v>
      </c>
      <c r="Q1737" s="271"/>
      <c r="R1737" s="271"/>
      <c r="S1737" s="271">
        <v>-85818</v>
      </c>
      <c r="T1737" s="271"/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153</v>
      </c>
      <c r="B1738" s="267" t="s">
        <v>2155</v>
      </c>
      <c r="C1738" s="267" t="s">
        <v>94</v>
      </c>
      <c r="D1738" s="267" t="s">
        <v>92</v>
      </c>
      <c r="E1738" s="267" t="s">
        <v>0</v>
      </c>
      <c r="F1738" s="268"/>
      <c r="G1738" s="269"/>
      <c r="H1738" s="269"/>
      <c r="I1738" s="270"/>
      <c r="J1738" s="268">
        <v>1</v>
      </c>
      <c r="K1738" s="269">
        <v>84967</v>
      </c>
      <c r="L1738" s="269">
        <v>85850</v>
      </c>
      <c r="M1738" s="270">
        <v>1</v>
      </c>
      <c r="N1738" s="268">
        <v>1</v>
      </c>
      <c r="O1738" s="271"/>
      <c r="P1738" s="271">
        <v>84967</v>
      </c>
      <c r="Q1738" s="271"/>
      <c r="R1738" s="271"/>
      <c r="S1738" s="271">
        <v>-85850</v>
      </c>
      <c r="T1738" s="271"/>
      <c r="U1738" s="272">
        <v>1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153</v>
      </c>
      <c r="B1739" s="267" t="s">
        <v>2156</v>
      </c>
      <c r="C1739" s="267" t="s">
        <v>94</v>
      </c>
      <c r="D1739" s="267" t="s">
        <v>92</v>
      </c>
      <c r="E1739" s="267" t="s">
        <v>0</v>
      </c>
      <c r="F1739" s="268"/>
      <c r="G1739" s="269"/>
      <c r="H1739" s="269"/>
      <c r="I1739" s="270"/>
      <c r="J1739" s="268">
        <v>1</v>
      </c>
      <c r="K1739" s="269">
        <v>84891</v>
      </c>
      <c r="L1739" s="269">
        <v>85930</v>
      </c>
      <c r="M1739" s="270">
        <v>1</v>
      </c>
      <c r="N1739" s="268">
        <v>1</v>
      </c>
      <c r="O1739" s="271"/>
      <c r="P1739" s="271">
        <v>84891</v>
      </c>
      <c r="Q1739" s="271"/>
      <c r="R1739" s="271"/>
      <c r="S1739" s="271">
        <v>-85930</v>
      </c>
      <c r="T1739" s="271"/>
      <c r="U1739" s="272">
        <v>1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153</v>
      </c>
      <c r="B1740" s="267" t="s">
        <v>2157</v>
      </c>
      <c r="C1740" s="267" t="s">
        <v>94</v>
      </c>
      <c r="D1740" s="267" t="s">
        <v>92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85014</v>
      </c>
      <c r="L1740" s="269">
        <v>85866</v>
      </c>
      <c r="M1740" s="270">
        <v>1</v>
      </c>
      <c r="N1740" s="268">
        <v>1</v>
      </c>
      <c r="O1740" s="271"/>
      <c r="P1740" s="271">
        <v>85014</v>
      </c>
      <c r="Q1740" s="271"/>
      <c r="R1740" s="271"/>
      <c r="S1740" s="271">
        <v>-85866</v>
      </c>
      <c r="T1740" s="271"/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153</v>
      </c>
      <c r="B1741" s="267" t="s">
        <v>2158</v>
      </c>
      <c r="C1741" s="267" t="s">
        <v>94</v>
      </c>
      <c r="D1741" s="267" t="s">
        <v>92</v>
      </c>
      <c r="E1741" s="267" t="s">
        <v>0</v>
      </c>
      <c r="F1741" s="268"/>
      <c r="G1741" s="269"/>
      <c r="H1741" s="269"/>
      <c r="I1741" s="270"/>
      <c r="J1741" s="268">
        <v>1</v>
      </c>
      <c r="K1741" s="269">
        <v>84867</v>
      </c>
      <c r="L1741" s="269">
        <v>85953</v>
      </c>
      <c r="M1741" s="270">
        <v>1</v>
      </c>
      <c r="N1741" s="268">
        <v>1</v>
      </c>
      <c r="O1741" s="271"/>
      <c r="P1741" s="271">
        <v>84867</v>
      </c>
      <c r="Q1741" s="271"/>
      <c r="R1741" s="271"/>
      <c r="S1741" s="271">
        <v>-85953</v>
      </c>
      <c r="T1741" s="271"/>
      <c r="U1741" s="272">
        <v>1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153</v>
      </c>
      <c r="B1742" s="267" t="s">
        <v>2159</v>
      </c>
      <c r="C1742" s="267" t="s">
        <v>94</v>
      </c>
      <c r="D1742" s="267" t="s">
        <v>92</v>
      </c>
      <c r="E1742" s="267" t="s">
        <v>0</v>
      </c>
      <c r="F1742" s="268"/>
      <c r="G1742" s="269"/>
      <c r="H1742" s="269"/>
      <c r="I1742" s="270"/>
      <c r="J1742" s="268">
        <v>1</v>
      </c>
      <c r="K1742" s="269">
        <v>85087</v>
      </c>
      <c r="L1742" s="269">
        <v>85887</v>
      </c>
      <c r="M1742" s="270">
        <v>1</v>
      </c>
      <c r="N1742" s="268">
        <v>1</v>
      </c>
      <c r="O1742" s="271"/>
      <c r="P1742" s="271">
        <v>85087</v>
      </c>
      <c r="Q1742" s="271"/>
      <c r="R1742" s="271"/>
      <c r="S1742" s="271">
        <v>-85887</v>
      </c>
      <c r="T1742" s="271"/>
      <c r="U1742" s="272">
        <v>1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153</v>
      </c>
      <c r="B1743" s="267" t="s">
        <v>2160</v>
      </c>
      <c r="C1743" s="267" t="s">
        <v>94</v>
      </c>
      <c r="D1743" s="267" t="s">
        <v>92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85080</v>
      </c>
      <c r="L1743" s="269">
        <v>85749</v>
      </c>
      <c r="M1743" s="270">
        <v>1</v>
      </c>
      <c r="N1743" s="268">
        <v>1</v>
      </c>
      <c r="O1743" s="271"/>
      <c r="P1743" s="271">
        <v>85080</v>
      </c>
      <c r="Q1743" s="271"/>
      <c r="R1743" s="271"/>
      <c r="S1743" s="271">
        <v>-85749</v>
      </c>
      <c r="T1743" s="271"/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153</v>
      </c>
      <c r="B1744" s="267" t="s">
        <v>2161</v>
      </c>
      <c r="C1744" s="267" t="s">
        <v>94</v>
      </c>
      <c r="D1744" s="267" t="s">
        <v>92</v>
      </c>
      <c r="E1744" s="267" t="s">
        <v>0</v>
      </c>
      <c r="F1744" s="268"/>
      <c r="G1744" s="269"/>
      <c r="H1744" s="269"/>
      <c r="I1744" s="270"/>
      <c r="J1744" s="268">
        <v>1</v>
      </c>
      <c r="K1744" s="269">
        <v>84620</v>
      </c>
      <c r="L1744" s="269">
        <v>86190</v>
      </c>
      <c r="M1744" s="270">
        <v>1</v>
      </c>
      <c r="N1744" s="268">
        <v>1</v>
      </c>
      <c r="O1744" s="271"/>
      <c r="P1744" s="271">
        <v>84620</v>
      </c>
      <c r="Q1744" s="271"/>
      <c r="R1744" s="271"/>
      <c r="S1744" s="271">
        <v>-86190</v>
      </c>
      <c r="T1744" s="271"/>
      <c r="U1744" s="272">
        <v>1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153</v>
      </c>
      <c r="B1745" s="267" t="s">
        <v>2162</v>
      </c>
      <c r="C1745" s="267" t="s">
        <v>94</v>
      </c>
      <c r="D1745" s="267" t="s">
        <v>92</v>
      </c>
      <c r="E1745" s="267" t="s">
        <v>0</v>
      </c>
      <c r="F1745" s="268"/>
      <c r="G1745" s="269"/>
      <c r="H1745" s="269"/>
      <c r="I1745" s="270"/>
      <c r="J1745" s="268">
        <v>1</v>
      </c>
      <c r="K1745" s="269">
        <v>84760</v>
      </c>
      <c r="L1745" s="269">
        <v>86230</v>
      </c>
      <c r="M1745" s="270">
        <v>1</v>
      </c>
      <c r="N1745" s="268">
        <v>1</v>
      </c>
      <c r="O1745" s="271"/>
      <c r="P1745" s="271">
        <v>84760</v>
      </c>
      <c r="Q1745" s="271"/>
      <c r="R1745" s="271"/>
      <c r="S1745" s="271">
        <v>-86230</v>
      </c>
      <c r="T1745" s="271"/>
      <c r="U1745" s="272">
        <v>1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153</v>
      </c>
      <c r="B1746" s="267" t="s">
        <v>2163</v>
      </c>
      <c r="C1746" s="267" t="s">
        <v>94</v>
      </c>
      <c r="D1746" s="267" t="s">
        <v>92</v>
      </c>
      <c r="E1746" s="267" t="s">
        <v>0</v>
      </c>
      <c r="F1746" s="268"/>
      <c r="G1746" s="269"/>
      <c r="H1746" s="269"/>
      <c r="I1746" s="270"/>
      <c r="J1746" s="268">
        <v>1</v>
      </c>
      <c r="K1746" s="269">
        <v>84650</v>
      </c>
      <c r="L1746" s="269">
        <v>86176</v>
      </c>
      <c r="M1746" s="270">
        <v>1</v>
      </c>
      <c r="N1746" s="268">
        <v>1</v>
      </c>
      <c r="O1746" s="271"/>
      <c r="P1746" s="271">
        <v>84650</v>
      </c>
      <c r="Q1746" s="271"/>
      <c r="R1746" s="271"/>
      <c r="S1746" s="271">
        <v>-86176</v>
      </c>
      <c r="T1746" s="271"/>
      <c r="U1746" s="272">
        <v>1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153</v>
      </c>
      <c r="B1747" s="267" t="s">
        <v>2164</v>
      </c>
      <c r="C1747" s="267" t="s">
        <v>94</v>
      </c>
      <c r="D1747" s="267" t="s">
        <v>92</v>
      </c>
      <c r="E1747" s="267" t="s">
        <v>0</v>
      </c>
      <c r="F1747" s="268"/>
      <c r="G1747" s="269"/>
      <c r="H1747" s="269"/>
      <c r="I1747" s="270"/>
      <c r="J1747" s="268">
        <v>1</v>
      </c>
      <c r="K1747" s="269">
        <v>84930</v>
      </c>
      <c r="L1747" s="269">
        <v>85865</v>
      </c>
      <c r="M1747" s="270">
        <v>1</v>
      </c>
      <c r="N1747" s="268">
        <v>1</v>
      </c>
      <c r="O1747" s="271"/>
      <c r="P1747" s="271">
        <v>84930</v>
      </c>
      <c r="Q1747" s="271"/>
      <c r="R1747" s="271"/>
      <c r="S1747" s="271">
        <v>-85865</v>
      </c>
      <c r="T1747" s="271"/>
      <c r="U1747" s="272">
        <v>1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153</v>
      </c>
      <c r="B1748" s="267" t="s">
        <v>2165</v>
      </c>
      <c r="C1748" s="267" t="s">
        <v>94</v>
      </c>
      <c r="D1748" s="267" t="s">
        <v>92</v>
      </c>
      <c r="E1748" s="267" t="s">
        <v>0</v>
      </c>
      <c r="F1748" s="268"/>
      <c r="G1748" s="269"/>
      <c r="H1748" s="269"/>
      <c r="I1748" s="270"/>
      <c r="J1748" s="268">
        <v>1</v>
      </c>
      <c r="K1748" s="269">
        <v>84779</v>
      </c>
      <c r="L1748" s="269">
        <v>85993</v>
      </c>
      <c r="M1748" s="270">
        <v>1</v>
      </c>
      <c r="N1748" s="268">
        <v>1</v>
      </c>
      <c r="O1748" s="271"/>
      <c r="P1748" s="271">
        <v>84779</v>
      </c>
      <c r="Q1748" s="271"/>
      <c r="R1748" s="271"/>
      <c r="S1748" s="271">
        <v>-85993</v>
      </c>
      <c r="T1748" s="271"/>
      <c r="U1748" s="272">
        <v>1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153</v>
      </c>
      <c r="B1749" s="267" t="s">
        <v>2166</v>
      </c>
      <c r="C1749" s="267" t="s">
        <v>94</v>
      </c>
      <c r="D1749" s="267" t="s">
        <v>92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85008</v>
      </c>
      <c r="L1749" s="269">
        <v>85849</v>
      </c>
      <c r="M1749" s="270">
        <v>1</v>
      </c>
      <c r="N1749" s="268">
        <v>1</v>
      </c>
      <c r="O1749" s="271"/>
      <c r="P1749" s="271">
        <v>85008</v>
      </c>
      <c r="Q1749" s="271"/>
      <c r="R1749" s="271"/>
      <c r="S1749" s="271">
        <v>-85849</v>
      </c>
      <c r="T1749" s="271"/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153</v>
      </c>
      <c r="B1750" s="267" t="s">
        <v>2167</v>
      </c>
      <c r="C1750" s="267" t="s">
        <v>94</v>
      </c>
      <c r="D1750" s="267" t="s">
        <v>92</v>
      </c>
      <c r="E1750" s="267" t="s">
        <v>0</v>
      </c>
      <c r="F1750" s="268"/>
      <c r="G1750" s="269"/>
      <c r="H1750" s="269"/>
      <c r="I1750" s="270"/>
      <c r="J1750" s="268">
        <v>1</v>
      </c>
      <c r="K1750" s="269">
        <v>84953</v>
      </c>
      <c r="L1750" s="269">
        <v>85849</v>
      </c>
      <c r="M1750" s="270">
        <v>1</v>
      </c>
      <c r="N1750" s="268">
        <v>1</v>
      </c>
      <c r="O1750" s="271"/>
      <c r="P1750" s="271">
        <v>84953</v>
      </c>
      <c r="Q1750" s="271"/>
      <c r="R1750" s="271"/>
      <c r="S1750" s="271">
        <v>-85849</v>
      </c>
      <c r="T1750" s="271"/>
      <c r="U1750" s="272">
        <v>1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153</v>
      </c>
      <c r="B1751" s="267" t="s">
        <v>2168</v>
      </c>
      <c r="C1751" s="267" t="s">
        <v>94</v>
      </c>
      <c r="D1751" s="267" t="s">
        <v>92</v>
      </c>
      <c r="E1751" s="267" t="s">
        <v>0</v>
      </c>
      <c r="F1751" s="268"/>
      <c r="G1751" s="269"/>
      <c r="H1751" s="269"/>
      <c r="I1751" s="270"/>
      <c r="J1751" s="268">
        <v>1</v>
      </c>
      <c r="K1751" s="269">
        <v>84810</v>
      </c>
      <c r="L1751" s="269">
        <v>85965</v>
      </c>
      <c r="M1751" s="270">
        <v>1</v>
      </c>
      <c r="N1751" s="268">
        <v>1</v>
      </c>
      <c r="O1751" s="271"/>
      <c r="P1751" s="271">
        <v>84810</v>
      </c>
      <c r="Q1751" s="271"/>
      <c r="R1751" s="271"/>
      <c r="S1751" s="271">
        <v>-85965</v>
      </c>
      <c r="T1751" s="271"/>
      <c r="U1751" s="272">
        <v>1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153</v>
      </c>
      <c r="B1752" s="267" t="s">
        <v>2169</v>
      </c>
      <c r="C1752" s="267" t="s">
        <v>94</v>
      </c>
      <c r="D1752" s="267" t="s">
        <v>92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84999</v>
      </c>
      <c r="L1752" s="269">
        <v>85851</v>
      </c>
      <c r="M1752" s="270">
        <v>1</v>
      </c>
      <c r="N1752" s="268">
        <v>1</v>
      </c>
      <c r="O1752" s="271"/>
      <c r="P1752" s="271">
        <v>84999</v>
      </c>
      <c r="Q1752" s="271"/>
      <c r="R1752" s="271"/>
      <c r="S1752" s="271">
        <v>-85851</v>
      </c>
      <c r="T1752" s="271"/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153</v>
      </c>
      <c r="B1753" s="267" t="s">
        <v>2170</v>
      </c>
      <c r="C1753" s="267" t="s">
        <v>94</v>
      </c>
      <c r="D1753" s="267" t="s">
        <v>92</v>
      </c>
      <c r="E1753" s="267" t="s">
        <v>0</v>
      </c>
      <c r="F1753" s="268"/>
      <c r="G1753" s="269"/>
      <c r="H1753" s="269"/>
      <c r="I1753" s="270"/>
      <c r="J1753" s="268">
        <v>1</v>
      </c>
      <c r="K1753" s="269">
        <v>84888</v>
      </c>
      <c r="L1753" s="269">
        <v>85948</v>
      </c>
      <c r="M1753" s="270">
        <v>1</v>
      </c>
      <c r="N1753" s="268">
        <v>1</v>
      </c>
      <c r="O1753" s="271"/>
      <c r="P1753" s="271">
        <v>84888</v>
      </c>
      <c r="Q1753" s="271"/>
      <c r="R1753" s="271"/>
      <c r="S1753" s="271">
        <v>-85948</v>
      </c>
      <c r="T1753" s="271"/>
      <c r="U1753" s="272">
        <v>1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153</v>
      </c>
      <c r="B1754" s="267" t="s">
        <v>2171</v>
      </c>
      <c r="C1754" s="267" t="s">
        <v>94</v>
      </c>
      <c r="D1754" s="267" t="s">
        <v>92</v>
      </c>
      <c r="E1754" s="267" t="s">
        <v>0</v>
      </c>
      <c r="F1754" s="268"/>
      <c r="G1754" s="269"/>
      <c r="H1754" s="269"/>
      <c r="I1754" s="270"/>
      <c r="J1754" s="268">
        <v>1</v>
      </c>
      <c r="K1754" s="269">
        <v>84893</v>
      </c>
      <c r="L1754" s="269">
        <v>85933</v>
      </c>
      <c r="M1754" s="270">
        <v>1</v>
      </c>
      <c r="N1754" s="268">
        <v>1</v>
      </c>
      <c r="O1754" s="271"/>
      <c r="P1754" s="271">
        <v>84893</v>
      </c>
      <c r="Q1754" s="271"/>
      <c r="R1754" s="271"/>
      <c r="S1754" s="271">
        <v>-85933</v>
      </c>
      <c r="T1754" s="271"/>
      <c r="U1754" s="272">
        <v>1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153</v>
      </c>
      <c r="B1755" s="267" t="s">
        <v>2172</v>
      </c>
      <c r="C1755" s="267" t="s">
        <v>94</v>
      </c>
      <c r="D1755" s="267" t="s">
        <v>92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85101</v>
      </c>
      <c r="L1755" s="269">
        <v>85744</v>
      </c>
      <c r="M1755" s="270">
        <v>1</v>
      </c>
      <c r="N1755" s="268">
        <v>1</v>
      </c>
      <c r="O1755" s="271"/>
      <c r="P1755" s="271">
        <v>85101</v>
      </c>
      <c r="Q1755" s="271"/>
      <c r="R1755" s="271"/>
      <c r="S1755" s="271">
        <v>-85744</v>
      </c>
      <c r="T1755" s="271"/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153</v>
      </c>
      <c r="B1756" s="267" t="s">
        <v>2173</v>
      </c>
      <c r="C1756" s="267" t="s">
        <v>94</v>
      </c>
      <c r="D1756" s="267" t="s">
        <v>92</v>
      </c>
      <c r="E1756" s="267" t="s">
        <v>0</v>
      </c>
      <c r="F1756" s="268"/>
      <c r="G1756" s="269"/>
      <c r="H1756" s="269"/>
      <c r="I1756" s="270"/>
      <c r="J1756" s="268">
        <v>1</v>
      </c>
      <c r="K1756" s="269">
        <v>84575</v>
      </c>
      <c r="L1756" s="269">
        <v>86235</v>
      </c>
      <c r="M1756" s="270">
        <v>1</v>
      </c>
      <c r="N1756" s="268">
        <v>1</v>
      </c>
      <c r="O1756" s="271"/>
      <c r="P1756" s="271">
        <v>84575</v>
      </c>
      <c r="Q1756" s="271"/>
      <c r="R1756" s="271"/>
      <c r="S1756" s="271">
        <v>-86235</v>
      </c>
      <c r="T1756" s="271"/>
      <c r="U1756" s="272">
        <v>1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153</v>
      </c>
      <c r="B1757" s="267" t="s">
        <v>2174</v>
      </c>
      <c r="C1757" s="267" t="s">
        <v>94</v>
      </c>
      <c r="D1757" s="267" t="s">
        <v>92</v>
      </c>
      <c r="E1757" s="267" t="s">
        <v>0</v>
      </c>
      <c r="F1757" s="268"/>
      <c r="G1757" s="269"/>
      <c r="H1757" s="269"/>
      <c r="I1757" s="270"/>
      <c r="J1757" s="268">
        <v>1</v>
      </c>
      <c r="K1757" s="269">
        <v>84550</v>
      </c>
      <c r="L1757" s="269">
        <v>86260</v>
      </c>
      <c r="M1757" s="270">
        <v>1</v>
      </c>
      <c r="N1757" s="268">
        <v>1</v>
      </c>
      <c r="O1757" s="271"/>
      <c r="P1757" s="271">
        <v>84550</v>
      </c>
      <c r="Q1757" s="271"/>
      <c r="R1757" s="271"/>
      <c r="S1757" s="271">
        <v>-86260</v>
      </c>
      <c r="T1757" s="271"/>
      <c r="U1757" s="272">
        <v>1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153</v>
      </c>
      <c r="B1758" s="267" t="s">
        <v>2175</v>
      </c>
      <c r="C1758" s="267" t="s">
        <v>94</v>
      </c>
      <c r="D1758" s="267" t="s">
        <v>92</v>
      </c>
      <c r="E1758" s="267" t="s">
        <v>0</v>
      </c>
      <c r="F1758" s="268"/>
      <c r="G1758" s="269"/>
      <c r="H1758" s="269"/>
      <c r="I1758" s="270"/>
      <c r="J1758" s="268">
        <v>1</v>
      </c>
      <c r="K1758" s="269">
        <v>84605</v>
      </c>
      <c r="L1758" s="269">
        <v>86221</v>
      </c>
      <c r="M1758" s="270">
        <v>1</v>
      </c>
      <c r="N1758" s="268">
        <v>1</v>
      </c>
      <c r="O1758" s="271"/>
      <c r="P1758" s="271">
        <v>84605</v>
      </c>
      <c r="Q1758" s="271"/>
      <c r="R1758" s="271"/>
      <c r="S1758" s="271">
        <v>-86221</v>
      </c>
      <c r="T1758" s="271"/>
      <c r="U1758" s="272">
        <v>1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153</v>
      </c>
      <c r="B1759" s="267" t="s">
        <v>2176</v>
      </c>
      <c r="C1759" s="267" t="s">
        <v>94</v>
      </c>
      <c r="D1759" s="267" t="s">
        <v>92</v>
      </c>
      <c r="E1759" s="267" t="s">
        <v>0</v>
      </c>
      <c r="F1759" s="268"/>
      <c r="G1759" s="269"/>
      <c r="H1759" s="269"/>
      <c r="I1759" s="270"/>
      <c r="J1759" s="268">
        <v>1</v>
      </c>
      <c r="K1759" s="269">
        <v>84848</v>
      </c>
      <c r="L1759" s="269">
        <v>85985</v>
      </c>
      <c r="M1759" s="270">
        <v>1</v>
      </c>
      <c r="N1759" s="268">
        <v>1</v>
      </c>
      <c r="O1759" s="271"/>
      <c r="P1759" s="271">
        <v>84848</v>
      </c>
      <c r="Q1759" s="271"/>
      <c r="R1759" s="271"/>
      <c r="S1759" s="271">
        <v>-85985</v>
      </c>
      <c r="T1759" s="271"/>
      <c r="U1759" s="272">
        <v>1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153</v>
      </c>
      <c r="B1760" s="267" t="s">
        <v>2177</v>
      </c>
      <c r="C1760" s="267" t="s">
        <v>94</v>
      </c>
      <c r="D1760" s="267" t="s">
        <v>92</v>
      </c>
      <c r="E1760" s="267" t="s">
        <v>0</v>
      </c>
      <c r="F1760" s="268"/>
      <c r="G1760" s="269"/>
      <c r="H1760" s="269"/>
      <c r="I1760" s="270"/>
      <c r="J1760" s="268">
        <v>1</v>
      </c>
      <c r="K1760" s="269">
        <v>85027</v>
      </c>
      <c r="L1760" s="269">
        <v>86001</v>
      </c>
      <c r="M1760" s="270">
        <v>1</v>
      </c>
      <c r="N1760" s="268">
        <v>1</v>
      </c>
      <c r="O1760" s="271"/>
      <c r="P1760" s="271">
        <v>85027</v>
      </c>
      <c r="Q1760" s="271"/>
      <c r="R1760" s="271"/>
      <c r="S1760" s="271">
        <v>-86001</v>
      </c>
      <c r="T1760" s="271"/>
      <c r="U1760" s="272">
        <v>1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153</v>
      </c>
      <c r="B1761" s="267" t="s">
        <v>2178</v>
      </c>
      <c r="C1761" s="267" t="s">
        <v>94</v>
      </c>
      <c r="D1761" s="267" t="s">
        <v>92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84926</v>
      </c>
      <c r="L1761" s="269">
        <v>85969</v>
      </c>
      <c r="M1761" s="270">
        <v>1</v>
      </c>
      <c r="N1761" s="268">
        <v>1</v>
      </c>
      <c r="O1761" s="271"/>
      <c r="P1761" s="271">
        <v>84926</v>
      </c>
      <c r="Q1761" s="271"/>
      <c r="R1761" s="271"/>
      <c r="S1761" s="271">
        <v>-85969</v>
      </c>
      <c r="T1761" s="271"/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153</v>
      </c>
      <c r="B1762" s="267" t="s">
        <v>2179</v>
      </c>
      <c r="C1762" s="267" t="s">
        <v>94</v>
      </c>
      <c r="D1762" s="267" t="s">
        <v>92</v>
      </c>
      <c r="E1762" s="267" t="s">
        <v>0</v>
      </c>
      <c r="F1762" s="268"/>
      <c r="G1762" s="269"/>
      <c r="H1762" s="269"/>
      <c r="I1762" s="270"/>
      <c r="J1762" s="268">
        <v>1</v>
      </c>
      <c r="K1762" s="269">
        <v>84885</v>
      </c>
      <c r="L1762" s="269">
        <v>85952</v>
      </c>
      <c r="M1762" s="270">
        <v>1</v>
      </c>
      <c r="N1762" s="268">
        <v>1</v>
      </c>
      <c r="O1762" s="271"/>
      <c r="P1762" s="271">
        <v>84885</v>
      </c>
      <c r="Q1762" s="271"/>
      <c r="R1762" s="271"/>
      <c r="S1762" s="271">
        <v>-85952</v>
      </c>
      <c r="T1762" s="271"/>
      <c r="U1762" s="272">
        <v>1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153</v>
      </c>
      <c r="B1763" s="267" t="s">
        <v>2180</v>
      </c>
      <c r="C1763" s="267" t="s">
        <v>94</v>
      </c>
      <c r="D1763" s="267" t="s">
        <v>92</v>
      </c>
      <c r="E1763" s="267" t="s">
        <v>0</v>
      </c>
      <c r="F1763" s="268"/>
      <c r="G1763" s="269"/>
      <c r="H1763" s="269"/>
      <c r="I1763" s="270"/>
      <c r="J1763" s="268">
        <v>1</v>
      </c>
      <c r="K1763" s="269">
        <v>85055</v>
      </c>
      <c r="L1763" s="269">
        <v>85970</v>
      </c>
      <c r="M1763" s="270">
        <v>1</v>
      </c>
      <c r="N1763" s="268">
        <v>1</v>
      </c>
      <c r="O1763" s="271"/>
      <c r="P1763" s="271">
        <v>85055</v>
      </c>
      <c r="Q1763" s="271"/>
      <c r="R1763" s="271"/>
      <c r="S1763" s="271">
        <v>-85970</v>
      </c>
      <c r="T1763" s="271"/>
      <c r="U1763" s="272">
        <v>1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153</v>
      </c>
      <c r="B1764" s="267" t="s">
        <v>2181</v>
      </c>
      <c r="C1764" s="267" t="s">
        <v>94</v>
      </c>
      <c r="D1764" s="267" t="s">
        <v>92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84931</v>
      </c>
      <c r="L1764" s="269">
        <v>85954</v>
      </c>
      <c r="M1764" s="270">
        <v>1</v>
      </c>
      <c r="N1764" s="268">
        <v>1</v>
      </c>
      <c r="O1764" s="271"/>
      <c r="P1764" s="271">
        <v>84931</v>
      </c>
      <c r="Q1764" s="271"/>
      <c r="R1764" s="271"/>
      <c r="S1764" s="271">
        <v>-85954</v>
      </c>
      <c r="T1764" s="271"/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153</v>
      </c>
      <c r="B1765" s="267" t="s">
        <v>2182</v>
      </c>
      <c r="C1765" s="267" t="s">
        <v>94</v>
      </c>
      <c r="D1765" s="267" t="s">
        <v>92</v>
      </c>
      <c r="E1765" s="267" t="s">
        <v>0</v>
      </c>
      <c r="F1765" s="268"/>
      <c r="G1765" s="269"/>
      <c r="H1765" s="269"/>
      <c r="I1765" s="270"/>
      <c r="J1765" s="268">
        <v>1</v>
      </c>
      <c r="K1765" s="269">
        <v>84889</v>
      </c>
      <c r="L1765" s="269">
        <v>85917</v>
      </c>
      <c r="M1765" s="270">
        <v>1</v>
      </c>
      <c r="N1765" s="268">
        <v>1</v>
      </c>
      <c r="O1765" s="271"/>
      <c r="P1765" s="271">
        <v>84889</v>
      </c>
      <c r="Q1765" s="271"/>
      <c r="R1765" s="271"/>
      <c r="S1765" s="271">
        <v>-85917</v>
      </c>
      <c r="T1765" s="271"/>
      <c r="U1765" s="272">
        <v>1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153</v>
      </c>
      <c r="B1766" s="267" t="s">
        <v>2183</v>
      </c>
      <c r="C1766" s="267" t="s">
        <v>94</v>
      </c>
      <c r="D1766" s="267" t="s">
        <v>92</v>
      </c>
      <c r="E1766" s="267" t="s">
        <v>0</v>
      </c>
      <c r="F1766" s="268"/>
      <c r="G1766" s="269"/>
      <c r="H1766" s="269"/>
      <c r="I1766" s="270"/>
      <c r="J1766" s="268">
        <v>1</v>
      </c>
      <c r="K1766" s="269">
        <v>84880</v>
      </c>
      <c r="L1766" s="269">
        <v>85919</v>
      </c>
      <c r="M1766" s="270">
        <v>1</v>
      </c>
      <c r="N1766" s="268">
        <v>1</v>
      </c>
      <c r="O1766" s="271"/>
      <c r="P1766" s="271">
        <v>84880</v>
      </c>
      <c r="Q1766" s="271"/>
      <c r="R1766" s="271"/>
      <c r="S1766" s="271">
        <v>-85919</v>
      </c>
      <c r="T1766" s="271"/>
      <c r="U1766" s="272">
        <v>1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153</v>
      </c>
      <c r="B1767" s="267" t="s">
        <v>2184</v>
      </c>
      <c r="C1767" s="267" t="s">
        <v>94</v>
      </c>
      <c r="D1767" s="267" t="s">
        <v>92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84936</v>
      </c>
      <c r="L1767" s="269">
        <v>85933</v>
      </c>
      <c r="M1767" s="270">
        <v>1</v>
      </c>
      <c r="N1767" s="268">
        <v>1</v>
      </c>
      <c r="O1767" s="271"/>
      <c r="P1767" s="271">
        <v>84936</v>
      </c>
      <c r="Q1767" s="271"/>
      <c r="R1767" s="271"/>
      <c r="S1767" s="271">
        <v>-85933</v>
      </c>
      <c r="T1767" s="271"/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153</v>
      </c>
      <c r="B1768" s="267" t="s">
        <v>2185</v>
      </c>
      <c r="C1768" s="267" t="s">
        <v>94</v>
      </c>
      <c r="D1768" s="267" t="s">
        <v>92</v>
      </c>
      <c r="E1768" s="267" t="s">
        <v>0</v>
      </c>
      <c r="F1768" s="268"/>
      <c r="G1768" s="269"/>
      <c r="H1768" s="269"/>
      <c r="I1768" s="270"/>
      <c r="J1768" s="268">
        <v>1</v>
      </c>
      <c r="K1768" s="269">
        <v>84659</v>
      </c>
      <c r="L1768" s="269">
        <v>86135</v>
      </c>
      <c r="M1768" s="270">
        <v>1</v>
      </c>
      <c r="N1768" s="268">
        <v>1</v>
      </c>
      <c r="O1768" s="271"/>
      <c r="P1768" s="271">
        <v>84659</v>
      </c>
      <c r="Q1768" s="271"/>
      <c r="R1768" s="271"/>
      <c r="S1768" s="271">
        <v>-86135</v>
      </c>
      <c r="T1768" s="271"/>
      <c r="U1768" s="272">
        <v>1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153</v>
      </c>
      <c r="B1769" s="267" t="s">
        <v>2186</v>
      </c>
      <c r="C1769" s="267" t="s">
        <v>94</v>
      </c>
      <c r="D1769" s="267" t="s">
        <v>92</v>
      </c>
      <c r="E1769" s="267" t="s">
        <v>0</v>
      </c>
      <c r="F1769" s="268"/>
      <c r="G1769" s="269"/>
      <c r="H1769" s="269"/>
      <c r="I1769" s="270"/>
      <c r="J1769" s="268">
        <v>1</v>
      </c>
      <c r="K1769" s="269">
        <v>84634</v>
      </c>
      <c r="L1769" s="269">
        <v>86160</v>
      </c>
      <c r="M1769" s="270">
        <v>1</v>
      </c>
      <c r="N1769" s="268">
        <v>1</v>
      </c>
      <c r="O1769" s="271"/>
      <c r="P1769" s="271">
        <v>84634</v>
      </c>
      <c r="Q1769" s="271"/>
      <c r="R1769" s="271"/>
      <c r="S1769" s="271">
        <v>-86160</v>
      </c>
      <c r="T1769" s="271"/>
      <c r="U1769" s="272">
        <v>1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153</v>
      </c>
      <c r="B1770" s="267" t="s">
        <v>2187</v>
      </c>
      <c r="C1770" s="267" t="s">
        <v>94</v>
      </c>
      <c r="D1770" s="267" t="s">
        <v>92</v>
      </c>
      <c r="E1770" s="267" t="s">
        <v>0</v>
      </c>
      <c r="F1770" s="268"/>
      <c r="G1770" s="269"/>
      <c r="H1770" s="269"/>
      <c r="I1770" s="270"/>
      <c r="J1770" s="268">
        <v>1</v>
      </c>
      <c r="K1770" s="269">
        <v>84799</v>
      </c>
      <c r="L1770" s="269">
        <v>86175</v>
      </c>
      <c r="M1770" s="270">
        <v>1</v>
      </c>
      <c r="N1770" s="268">
        <v>1</v>
      </c>
      <c r="O1770" s="271"/>
      <c r="P1770" s="271">
        <v>84799</v>
      </c>
      <c r="Q1770" s="271"/>
      <c r="R1770" s="271"/>
      <c r="S1770" s="271">
        <v>-86175</v>
      </c>
      <c r="T1770" s="271"/>
      <c r="U1770" s="272">
        <v>1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153</v>
      </c>
      <c r="B1771" s="267" t="s">
        <v>2188</v>
      </c>
      <c r="C1771" s="267" t="s">
        <v>94</v>
      </c>
      <c r="D1771" s="267" t="s">
        <v>92</v>
      </c>
      <c r="E1771" s="267" t="s">
        <v>0</v>
      </c>
      <c r="F1771" s="268"/>
      <c r="G1771" s="269"/>
      <c r="H1771" s="269"/>
      <c r="I1771" s="270"/>
      <c r="J1771" s="268">
        <v>1</v>
      </c>
      <c r="K1771" s="269">
        <v>84657</v>
      </c>
      <c r="L1771" s="269">
        <v>86146</v>
      </c>
      <c r="M1771" s="270">
        <v>1</v>
      </c>
      <c r="N1771" s="268">
        <v>1</v>
      </c>
      <c r="O1771" s="271"/>
      <c r="P1771" s="271">
        <v>84657</v>
      </c>
      <c r="Q1771" s="271"/>
      <c r="R1771" s="271"/>
      <c r="S1771" s="271">
        <v>-86146</v>
      </c>
      <c r="T1771" s="271"/>
      <c r="U1771" s="272">
        <v>1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153</v>
      </c>
      <c r="B1772" s="267" t="s">
        <v>2189</v>
      </c>
      <c r="C1772" s="267" t="s">
        <v>94</v>
      </c>
      <c r="D1772" s="267" t="s">
        <v>92</v>
      </c>
      <c r="E1772" s="267" t="s">
        <v>0</v>
      </c>
      <c r="F1772" s="268"/>
      <c r="G1772" s="269"/>
      <c r="H1772" s="269"/>
      <c r="I1772" s="270"/>
      <c r="J1772" s="268">
        <v>1</v>
      </c>
      <c r="K1772" s="269">
        <v>84836</v>
      </c>
      <c r="L1772" s="269">
        <v>86162</v>
      </c>
      <c r="M1772" s="270">
        <v>1</v>
      </c>
      <c r="N1772" s="268">
        <v>1</v>
      </c>
      <c r="O1772" s="271"/>
      <c r="P1772" s="271">
        <v>84836</v>
      </c>
      <c r="Q1772" s="271"/>
      <c r="R1772" s="271"/>
      <c r="S1772" s="271">
        <v>-86162</v>
      </c>
      <c r="T1772" s="271"/>
      <c r="U1772" s="272">
        <v>1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153</v>
      </c>
      <c r="B1773" s="267" t="s">
        <v>2190</v>
      </c>
      <c r="C1773" s="267" t="s">
        <v>94</v>
      </c>
      <c r="D1773" s="267" t="s">
        <v>92</v>
      </c>
      <c r="E1773" s="267" t="s">
        <v>0</v>
      </c>
      <c r="F1773" s="268"/>
      <c r="G1773" s="269"/>
      <c r="H1773" s="269"/>
      <c r="I1773" s="270"/>
      <c r="J1773" s="268">
        <v>1</v>
      </c>
      <c r="K1773" s="269">
        <v>84506</v>
      </c>
      <c r="L1773" s="269">
        <v>86274</v>
      </c>
      <c r="M1773" s="270">
        <v>1</v>
      </c>
      <c r="N1773" s="268">
        <v>1</v>
      </c>
      <c r="O1773" s="271"/>
      <c r="P1773" s="271">
        <v>84506</v>
      </c>
      <c r="Q1773" s="271"/>
      <c r="R1773" s="271"/>
      <c r="S1773" s="271">
        <v>-86274</v>
      </c>
      <c r="T1773" s="271"/>
      <c r="U1773" s="272">
        <v>1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153</v>
      </c>
      <c r="B1774" s="267" t="s">
        <v>2191</v>
      </c>
      <c r="C1774" s="267" t="s">
        <v>94</v>
      </c>
      <c r="D1774" s="267" t="s">
        <v>92</v>
      </c>
      <c r="E1774" s="267" t="s">
        <v>0</v>
      </c>
      <c r="F1774" s="268"/>
      <c r="G1774" s="269"/>
      <c r="H1774" s="269"/>
      <c r="I1774" s="270"/>
      <c r="J1774" s="268">
        <v>1</v>
      </c>
      <c r="K1774" s="269">
        <v>84664</v>
      </c>
      <c r="L1774" s="269">
        <v>86153</v>
      </c>
      <c r="M1774" s="270">
        <v>1</v>
      </c>
      <c r="N1774" s="268">
        <v>1</v>
      </c>
      <c r="O1774" s="271"/>
      <c r="P1774" s="271">
        <v>84664</v>
      </c>
      <c r="Q1774" s="271"/>
      <c r="R1774" s="271"/>
      <c r="S1774" s="271">
        <v>-86153</v>
      </c>
      <c r="T1774" s="271"/>
      <c r="U1774" s="272">
        <v>1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153</v>
      </c>
      <c r="B1775" s="267" t="s">
        <v>2192</v>
      </c>
      <c r="C1775" s="267" t="s">
        <v>94</v>
      </c>
      <c r="D1775" s="267" t="s">
        <v>92</v>
      </c>
      <c r="E1775" s="267" t="s">
        <v>0</v>
      </c>
      <c r="F1775" s="268"/>
      <c r="G1775" s="269"/>
      <c r="H1775" s="269"/>
      <c r="I1775" s="270"/>
      <c r="J1775" s="268">
        <v>1</v>
      </c>
      <c r="K1775" s="269">
        <v>84834</v>
      </c>
      <c r="L1775" s="269">
        <v>86171</v>
      </c>
      <c r="M1775" s="270">
        <v>1</v>
      </c>
      <c r="N1775" s="268">
        <v>1</v>
      </c>
      <c r="O1775" s="271"/>
      <c r="P1775" s="271">
        <v>84834</v>
      </c>
      <c r="Q1775" s="271"/>
      <c r="R1775" s="271"/>
      <c r="S1775" s="271">
        <v>-86171</v>
      </c>
      <c r="T1775" s="271"/>
      <c r="U1775" s="272">
        <v>1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153</v>
      </c>
      <c r="B1776" s="267" t="s">
        <v>2193</v>
      </c>
      <c r="C1776" s="267" t="s">
        <v>94</v>
      </c>
      <c r="D1776" s="267" t="s">
        <v>92</v>
      </c>
      <c r="E1776" s="267" t="s">
        <v>0</v>
      </c>
      <c r="F1776" s="268"/>
      <c r="G1776" s="269"/>
      <c r="H1776" s="269"/>
      <c r="I1776" s="270"/>
      <c r="J1776" s="268">
        <v>1</v>
      </c>
      <c r="K1776" s="269">
        <v>84521</v>
      </c>
      <c r="L1776" s="269">
        <v>86269</v>
      </c>
      <c r="M1776" s="270">
        <v>1</v>
      </c>
      <c r="N1776" s="268">
        <v>1</v>
      </c>
      <c r="O1776" s="271"/>
      <c r="P1776" s="271">
        <v>84521</v>
      </c>
      <c r="Q1776" s="271"/>
      <c r="R1776" s="271"/>
      <c r="S1776" s="271">
        <v>-86269</v>
      </c>
      <c r="T1776" s="271"/>
      <c r="U1776" s="272">
        <v>1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153</v>
      </c>
      <c r="B1777" s="267" t="s">
        <v>2194</v>
      </c>
      <c r="C1777" s="267" t="s">
        <v>94</v>
      </c>
      <c r="D1777" s="267" t="s">
        <v>92</v>
      </c>
      <c r="E1777" s="267" t="s">
        <v>0</v>
      </c>
      <c r="F1777" s="268"/>
      <c r="G1777" s="269"/>
      <c r="H1777" s="269"/>
      <c r="I1777" s="270"/>
      <c r="J1777" s="268">
        <v>1</v>
      </c>
      <c r="K1777" s="269">
        <v>84618</v>
      </c>
      <c r="L1777" s="269">
        <v>86184</v>
      </c>
      <c r="M1777" s="270">
        <v>1</v>
      </c>
      <c r="N1777" s="268">
        <v>1</v>
      </c>
      <c r="O1777" s="271"/>
      <c r="P1777" s="271">
        <v>84618</v>
      </c>
      <c r="Q1777" s="271"/>
      <c r="R1777" s="271"/>
      <c r="S1777" s="271">
        <v>-86184</v>
      </c>
      <c r="T1777" s="271"/>
      <c r="U1777" s="272">
        <v>1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153</v>
      </c>
      <c r="B1778" s="267" t="s">
        <v>2195</v>
      </c>
      <c r="C1778" s="267" t="s">
        <v>94</v>
      </c>
      <c r="D1778" s="267" t="s">
        <v>92</v>
      </c>
      <c r="E1778" s="267" t="s">
        <v>0</v>
      </c>
      <c r="F1778" s="268"/>
      <c r="G1778" s="269"/>
      <c r="H1778" s="269"/>
      <c r="I1778" s="270"/>
      <c r="J1778" s="268">
        <v>1</v>
      </c>
      <c r="K1778" s="269">
        <v>84609</v>
      </c>
      <c r="L1778" s="269">
        <v>86186</v>
      </c>
      <c r="M1778" s="270">
        <v>1</v>
      </c>
      <c r="N1778" s="268">
        <v>1</v>
      </c>
      <c r="O1778" s="271"/>
      <c r="P1778" s="271">
        <v>84609</v>
      </c>
      <c r="Q1778" s="271"/>
      <c r="R1778" s="271"/>
      <c r="S1778" s="271">
        <v>-86186</v>
      </c>
      <c r="T1778" s="271"/>
      <c r="U1778" s="272">
        <v>1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153</v>
      </c>
      <c r="B1779" s="267" t="s">
        <v>2196</v>
      </c>
      <c r="C1779" s="267" t="s">
        <v>94</v>
      </c>
      <c r="D1779" s="267" t="s">
        <v>92</v>
      </c>
      <c r="E1779" s="267" t="s">
        <v>0</v>
      </c>
      <c r="F1779" s="268"/>
      <c r="G1779" s="269"/>
      <c r="H1779" s="269"/>
      <c r="I1779" s="270"/>
      <c r="J1779" s="268">
        <v>1</v>
      </c>
      <c r="K1779" s="269">
        <v>84542</v>
      </c>
      <c r="L1779" s="269">
        <v>86264</v>
      </c>
      <c r="M1779" s="270">
        <v>1</v>
      </c>
      <c r="N1779" s="268">
        <v>1</v>
      </c>
      <c r="O1779" s="271"/>
      <c r="P1779" s="271">
        <v>84542</v>
      </c>
      <c r="Q1779" s="271"/>
      <c r="R1779" s="271"/>
      <c r="S1779" s="271">
        <v>-86264</v>
      </c>
      <c r="T1779" s="271"/>
      <c r="U1779" s="272">
        <v>1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153</v>
      </c>
      <c r="B1780" s="267" t="s">
        <v>2197</v>
      </c>
      <c r="C1780" s="267" t="s">
        <v>94</v>
      </c>
      <c r="D1780" s="267" t="s">
        <v>92</v>
      </c>
      <c r="E1780" s="267" t="s">
        <v>0</v>
      </c>
      <c r="F1780" s="268"/>
      <c r="G1780" s="269"/>
      <c r="H1780" s="269"/>
      <c r="I1780" s="270"/>
      <c r="J1780" s="268">
        <v>1</v>
      </c>
      <c r="K1780" s="269">
        <v>84721</v>
      </c>
      <c r="L1780" s="269">
        <v>86135</v>
      </c>
      <c r="M1780" s="270">
        <v>1</v>
      </c>
      <c r="N1780" s="268">
        <v>1</v>
      </c>
      <c r="O1780" s="271"/>
      <c r="P1780" s="271">
        <v>84721</v>
      </c>
      <c r="Q1780" s="271"/>
      <c r="R1780" s="271"/>
      <c r="S1780" s="271">
        <v>-86135</v>
      </c>
      <c r="T1780" s="271"/>
      <c r="U1780" s="272">
        <v>1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153</v>
      </c>
      <c r="B1781" s="267" t="s">
        <v>2198</v>
      </c>
      <c r="C1781" s="267" t="s">
        <v>94</v>
      </c>
      <c r="D1781" s="267" t="s">
        <v>92</v>
      </c>
      <c r="E1781" s="267" t="s">
        <v>0</v>
      </c>
      <c r="F1781" s="268"/>
      <c r="G1781" s="269"/>
      <c r="H1781" s="269"/>
      <c r="I1781" s="270"/>
      <c r="J1781" s="268">
        <v>1</v>
      </c>
      <c r="K1781" s="269">
        <v>84726</v>
      </c>
      <c r="L1781" s="269">
        <v>86120</v>
      </c>
      <c r="M1781" s="270">
        <v>1</v>
      </c>
      <c r="N1781" s="268">
        <v>1</v>
      </c>
      <c r="O1781" s="271"/>
      <c r="P1781" s="271">
        <v>84726</v>
      </c>
      <c r="Q1781" s="271"/>
      <c r="R1781" s="271"/>
      <c r="S1781" s="271">
        <v>-86120</v>
      </c>
      <c r="T1781" s="271"/>
      <c r="U1781" s="272">
        <v>1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153</v>
      </c>
      <c r="B1782" s="267" t="s">
        <v>2199</v>
      </c>
      <c r="C1782" s="267" t="s">
        <v>94</v>
      </c>
      <c r="D1782" s="267" t="s">
        <v>92</v>
      </c>
      <c r="E1782" s="267" t="s">
        <v>0</v>
      </c>
      <c r="F1782" s="268"/>
      <c r="G1782" s="269"/>
      <c r="H1782" s="269"/>
      <c r="I1782" s="270"/>
      <c r="J1782" s="268">
        <v>1</v>
      </c>
      <c r="K1782" s="269">
        <v>84941</v>
      </c>
      <c r="L1782" s="269">
        <v>86069</v>
      </c>
      <c r="M1782" s="270">
        <v>1</v>
      </c>
      <c r="N1782" s="268">
        <v>1</v>
      </c>
      <c r="O1782" s="271"/>
      <c r="P1782" s="271">
        <v>84941</v>
      </c>
      <c r="Q1782" s="271"/>
      <c r="R1782" s="271"/>
      <c r="S1782" s="271">
        <v>-86069</v>
      </c>
      <c r="T1782" s="271"/>
      <c r="U1782" s="272">
        <v>1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153</v>
      </c>
      <c r="B1783" s="267" t="s">
        <v>2200</v>
      </c>
      <c r="C1783" s="267" t="s">
        <v>94</v>
      </c>
      <c r="D1783" s="267" t="s">
        <v>92</v>
      </c>
      <c r="E1783" s="267" t="s">
        <v>0</v>
      </c>
      <c r="F1783" s="268"/>
      <c r="G1783" s="269"/>
      <c r="H1783" s="269"/>
      <c r="I1783" s="270"/>
      <c r="J1783" s="268">
        <v>1</v>
      </c>
      <c r="K1783" s="269">
        <v>84898</v>
      </c>
      <c r="L1783" s="269">
        <v>85916</v>
      </c>
      <c r="M1783" s="270">
        <v>1</v>
      </c>
      <c r="N1783" s="268">
        <v>1</v>
      </c>
      <c r="O1783" s="271"/>
      <c r="P1783" s="271">
        <v>84898</v>
      </c>
      <c r="Q1783" s="271"/>
      <c r="R1783" s="271"/>
      <c r="S1783" s="271">
        <v>-85916</v>
      </c>
      <c r="T1783" s="271"/>
      <c r="U1783" s="272">
        <v>1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153</v>
      </c>
      <c r="B1784" s="267" t="s">
        <v>2201</v>
      </c>
      <c r="C1784" s="267" t="s">
        <v>94</v>
      </c>
      <c r="D1784" s="267" t="s">
        <v>92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85021</v>
      </c>
      <c r="L1784" s="269">
        <v>85852</v>
      </c>
      <c r="M1784" s="270">
        <v>1</v>
      </c>
      <c r="N1784" s="268">
        <v>1</v>
      </c>
      <c r="O1784" s="271"/>
      <c r="P1784" s="271">
        <v>85021</v>
      </c>
      <c r="Q1784" s="271"/>
      <c r="R1784" s="271"/>
      <c r="S1784" s="271">
        <v>-85852</v>
      </c>
      <c r="T1784" s="271"/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153</v>
      </c>
      <c r="B1785" s="267" t="s">
        <v>2202</v>
      </c>
      <c r="C1785" s="267" t="s">
        <v>94</v>
      </c>
      <c r="D1785" s="267" t="s">
        <v>92</v>
      </c>
      <c r="E1785" s="267" t="s">
        <v>0</v>
      </c>
      <c r="F1785" s="268"/>
      <c r="G1785" s="269"/>
      <c r="H1785" s="269"/>
      <c r="I1785" s="270"/>
      <c r="J1785" s="268">
        <v>1</v>
      </c>
      <c r="K1785" s="269">
        <v>85094</v>
      </c>
      <c r="L1785" s="269">
        <v>85873</v>
      </c>
      <c r="M1785" s="270">
        <v>1</v>
      </c>
      <c r="N1785" s="268">
        <v>1</v>
      </c>
      <c r="O1785" s="271"/>
      <c r="P1785" s="271">
        <v>85094</v>
      </c>
      <c r="Q1785" s="271"/>
      <c r="R1785" s="271"/>
      <c r="S1785" s="271">
        <v>-85873</v>
      </c>
      <c r="T1785" s="271"/>
      <c r="U1785" s="272">
        <v>1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153</v>
      </c>
      <c r="B1786" s="267" t="s">
        <v>2203</v>
      </c>
      <c r="C1786" s="267" t="s">
        <v>94</v>
      </c>
      <c r="D1786" s="267" t="s">
        <v>92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85087</v>
      </c>
      <c r="L1786" s="269">
        <v>85735</v>
      </c>
      <c r="M1786" s="270">
        <v>1</v>
      </c>
      <c r="N1786" s="268">
        <v>1</v>
      </c>
      <c r="O1786" s="271"/>
      <c r="P1786" s="271">
        <v>85087</v>
      </c>
      <c r="Q1786" s="271"/>
      <c r="R1786" s="271"/>
      <c r="S1786" s="271">
        <v>-85735</v>
      </c>
      <c r="T1786" s="271"/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153</v>
      </c>
      <c r="B1787" s="267" t="s">
        <v>2204</v>
      </c>
      <c r="C1787" s="267" t="s">
        <v>94</v>
      </c>
      <c r="D1787" s="267" t="s">
        <v>92</v>
      </c>
      <c r="E1787" s="267" t="s">
        <v>0</v>
      </c>
      <c r="F1787" s="268"/>
      <c r="G1787" s="269"/>
      <c r="H1787" s="269"/>
      <c r="I1787" s="270"/>
      <c r="J1787" s="268">
        <v>1</v>
      </c>
      <c r="K1787" s="269">
        <v>84767</v>
      </c>
      <c r="L1787" s="269">
        <v>86216</v>
      </c>
      <c r="M1787" s="270">
        <v>1</v>
      </c>
      <c r="N1787" s="268">
        <v>1</v>
      </c>
      <c r="O1787" s="271"/>
      <c r="P1787" s="271">
        <v>84767</v>
      </c>
      <c r="Q1787" s="271"/>
      <c r="R1787" s="271"/>
      <c r="S1787" s="271">
        <v>-86216</v>
      </c>
      <c r="T1787" s="271"/>
      <c r="U1787" s="272">
        <v>1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153</v>
      </c>
      <c r="B1788" s="267" t="s">
        <v>2205</v>
      </c>
      <c r="C1788" s="267" t="s">
        <v>94</v>
      </c>
      <c r="D1788" s="267" t="s">
        <v>92</v>
      </c>
      <c r="E1788" s="267" t="s">
        <v>0</v>
      </c>
      <c r="F1788" s="268"/>
      <c r="G1788" s="269"/>
      <c r="H1788" s="269"/>
      <c r="I1788" s="270"/>
      <c r="J1788" s="268">
        <v>1</v>
      </c>
      <c r="K1788" s="269">
        <v>84657</v>
      </c>
      <c r="L1788" s="269">
        <v>86162</v>
      </c>
      <c r="M1788" s="270">
        <v>1</v>
      </c>
      <c r="N1788" s="268">
        <v>1</v>
      </c>
      <c r="O1788" s="271"/>
      <c r="P1788" s="271">
        <v>84657</v>
      </c>
      <c r="Q1788" s="271"/>
      <c r="R1788" s="271"/>
      <c r="S1788" s="271">
        <v>-86162</v>
      </c>
      <c r="T1788" s="271"/>
      <c r="U1788" s="272">
        <v>1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153</v>
      </c>
      <c r="B1789" s="267" t="s">
        <v>2206</v>
      </c>
      <c r="C1789" s="267" t="s">
        <v>94</v>
      </c>
      <c r="D1789" s="267" t="s">
        <v>92</v>
      </c>
      <c r="E1789" s="267" t="s">
        <v>0</v>
      </c>
      <c r="F1789" s="268"/>
      <c r="G1789" s="269"/>
      <c r="H1789" s="269"/>
      <c r="I1789" s="270"/>
      <c r="J1789" s="268">
        <v>1</v>
      </c>
      <c r="K1789" s="269">
        <v>84831</v>
      </c>
      <c r="L1789" s="269">
        <v>85952</v>
      </c>
      <c r="M1789" s="270">
        <v>1</v>
      </c>
      <c r="N1789" s="268">
        <v>1</v>
      </c>
      <c r="O1789" s="271"/>
      <c r="P1789" s="271">
        <v>84831</v>
      </c>
      <c r="Q1789" s="271"/>
      <c r="R1789" s="271"/>
      <c r="S1789" s="271">
        <v>-85952</v>
      </c>
      <c r="T1789" s="271"/>
      <c r="U1789" s="272">
        <v>1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153</v>
      </c>
      <c r="B1790" s="267" t="s">
        <v>2207</v>
      </c>
      <c r="C1790" s="267" t="s">
        <v>94</v>
      </c>
      <c r="D1790" s="267" t="s">
        <v>92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85020</v>
      </c>
      <c r="L1790" s="269">
        <v>85838</v>
      </c>
      <c r="M1790" s="270">
        <v>1</v>
      </c>
      <c r="N1790" s="268">
        <v>1</v>
      </c>
      <c r="O1790" s="271"/>
      <c r="P1790" s="271">
        <v>85020</v>
      </c>
      <c r="Q1790" s="271"/>
      <c r="R1790" s="271"/>
      <c r="S1790" s="271">
        <v>-85838</v>
      </c>
      <c r="T1790" s="271"/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153</v>
      </c>
      <c r="B1791" s="267" t="s">
        <v>2208</v>
      </c>
      <c r="C1791" s="267" t="s">
        <v>94</v>
      </c>
      <c r="D1791" s="267" t="s">
        <v>92</v>
      </c>
      <c r="E1791" s="267" t="s">
        <v>0</v>
      </c>
      <c r="F1791" s="268"/>
      <c r="G1791" s="269"/>
      <c r="H1791" s="269"/>
      <c r="I1791" s="270"/>
      <c r="J1791" s="268">
        <v>1</v>
      </c>
      <c r="K1791" s="269">
        <v>84914</v>
      </c>
      <c r="L1791" s="269">
        <v>85920</v>
      </c>
      <c r="M1791" s="270">
        <v>1</v>
      </c>
      <c r="N1791" s="268">
        <v>1</v>
      </c>
      <c r="O1791" s="271"/>
      <c r="P1791" s="271">
        <v>84914</v>
      </c>
      <c r="Q1791" s="271"/>
      <c r="R1791" s="271"/>
      <c r="S1791" s="271">
        <v>-85920</v>
      </c>
      <c r="T1791" s="271"/>
      <c r="U1791" s="272">
        <v>1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153</v>
      </c>
      <c r="B1792" s="267" t="s">
        <v>2209</v>
      </c>
      <c r="C1792" s="267" t="s">
        <v>94</v>
      </c>
      <c r="D1792" s="267" t="s">
        <v>92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85122</v>
      </c>
      <c r="L1792" s="269">
        <v>85731</v>
      </c>
      <c r="M1792" s="270">
        <v>1</v>
      </c>
      <c r="N1792" s="268">
        <v>1</v>
      </c>
      <c r="O1792" s="271"/>
      <c r="P1792" s="271">
        <v>85122</v>
      </c>
      <c r="Q1792" s="271"/>
      <c r="R1792" s="271"/>
      <c r="S1792" s="271">
        <v>-85731</v>
      </c>
      <c r="T1792" s="271"/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153</v>
      </c>
      <c r="B1793" s="267" t="s">
        <v>2210</v>
      </c>
      <c r="C1793" s="267" t="s">
        <v>94</v>
      </c>
      <c r="D1793" s="267" t="s">
        <v>92</v>
      </c>
      <c r="E1793" s="267" t="s">
        <v>0</v>
      </c>
      <c r="F1793" s="268"/>
      <c r="G1793" s="269"/>
      <c r="H1793" s="269"/>
      <c r="I1793" s="270"/>
      <c r="J1793" s="268">
        <v>1</v>
      </c>
      <c r="K1793" s="269">
        <v>84571</v>
      </c>
      <c r="L1793" s="269">
        <v>86247</v>
      </c>
      <c r="M1793" s="270">
        <v>1</v>
      </c>
      <c r="N1793" s="268">
        <v>1</v>
      </c>
      <c r="O1793" s="271"/>
      <c r="P1793" s="271">
        <v>84571</v>
      </c>
      <c r="Q1793" s="271"/>
      <c r="R1793" s="271"/>
      <c r="S1793" s="271">
        <v>-86247</v>
      </c>
      <c r="T1793" s="271"/>
      <c r="U1793" s="272">
        <v>1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153</v>
      </c>
      <c r="B1794" s="267" t="s">
        <v>2211</v>
      </c>
      <c r="C1794" s="267" t="s">
        <v>94</v>
      </c>
      <c r="D1794" s="267" t="s">
        <v>92</v>
      </c>
      <c r="E1794" s="267" t="s">
        <v>0</v>
      </c>
      <c r="F1794" s="268"/>
      <c r="G1794" s="269"/>
      <c r="H1794" s="269"/>
      <c r="I1794" s="270"/>
      <c r="J1794" s="268">
        <v>1</v>
      </c>
      <c r="K1794" s="269">
        <v>84626</v>
      </c>
      <c r="L1794" s="269">
        <v>86208</v>
      </c>
      <c r="M1794" s="270">
        <v>1</v>
      </c>
      <c r="N1794" s="268">
        <v>1</v>
      </c>
      <c r="O1794" s="271"/>
      <c r="P1794" s="271">
        <v>84626</v>
      </c>
      <c r="Q1794" s="271"/>
      <c r="R1794" s="271"/>
      <c r="S1794" s="271">
        <v>-86208</v>
      </c>
      <c r="T1794" s="271"/>
      <c r="U1794" s="272">
        <v>1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153</v>
      </c>
      <c r="B1795" s="267" t="s">
        <v>2212</v>
      </c>
      <c r="C1795" s="267" t="s">
        <v>94</v>
      </c>
      <c r="D1795" s="267" t="s">
        <v>92</v>
      </c>
      <c r="E1795" s="267" t="s">
        <v>0</v>
      </c>
      <c r="F1795" s="268"/>
      <c r="G1795" s="269"/>
      <c r="H1795" s="269"/>
      <c r="I1795" s="270"/>
      <c r="J1795" s="268">
        <v>1</v>
      </c>
      <c r="K1795" s="269">
        <v>85041</v>
      </c>
      <c r="L1795" s="269">
        <v>85954</v>
      </c>
      <c r="M1795" s="270">
        <v>1</v>
      </c>
      <c r="N1795" s="268">
        <v>1</v>
      </c>
      <c r="O1795" s="271"/>
      <c r="P1795" s="271">
        <v>85041</v>
      </c>
      <c r="Q1795" s="271"/>
      <c r="R1795" s="271"/>
      <c r="S1795" s="271">
        <v>-85954</v>
      </c>
      <c r="T1795" s="271"/>
      <c r="U1795" s="272">
        <v>1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153</v>
      </c>
      <c r="B1796" s="267" t="s">
        <v>2213</v>
      </c>
      <c r="C1796" s="267" t="s">
        <v>94</v>
      </c>
      <c r="D1796" s="267" t="s">
        <v>92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84917</v>
      </c>
      <c r="L1796" s="269">
        <v>85938</v>
      </c>
      <c r="M1796" s="270">
        <v>1</v>
      </c>
      <c r="N1796" s="268">
        <v>1</v>
      </c>
      <c r="O1796" s="271"/>
      <c r="P1796" s="271">
        <v>84917</v>
      </c>
      <c r="Q1796" s="271"/>
      <c r="R1796" s="271"/>
      <c r="S1796" s="271">
        <v>-85938</v>
      </c>
      <c r="T1796" s="271"/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153</v>
      </c>
      <c r="B1797" s="267" t="s">
        <v>2214</v>
      </c>
      <c r="C1797" s="267" t="s">
        <v>94</v>
      </c>
      <c r="D1797" s="267" t="s">
        <v>92</v>
      </c>
      <c r="E1797" s="267" t="s">
        <v>0</v>
      </c>
      <c r="F1797" s="268"/>
      <c r="G1797" s="269"/>
      <c r="H1797" s="269"/>
      <c r="I1797" s="270"/>
      <c r="J1797" s="268">
        <v>1</v>
      </c>
      <c r="K1797" s="269">
        <v>84866</v>
      </c>
      <c r="L1797" s="269">
        <v>85903</v>
      </c>
      <c r="M1797" s="270">
        <v>1</v>
      </c>
      <c r="N1797" s="268">
        <v>1</v>
      </c>
      <c r="O1797" s="271"/>
      <c r="P1797" s="271">
        <v>84866</v>
      </c>
      <c r="Q1797" s="271"/>
      <c r="R1797" s="271"/>
      <c r="S1797" s="271">
        <v>-85903</v>
      </c>
      <c r="T1797" s="271"/>
      <c r="U1797" s="272">
        <v>1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153</v>
      </c>
      <c r="B1798" s="267" t="s">
        <v>2215</v>
      </c>
      <c r="C1798" s="267" t="s">
        <v>94</v>
      </c>
      <c r="D1798" s="267" t="s">
        <v>92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84922</v>
      </c>
      <c r="L1798" s="269">
        <v>85917</v>
      </c>
      <c r="M1798" s="270">
        <v>1</v>
      </c>
      <c r="N1798" s="268">
        <v>1</v>
      </c>
      <c r="O1798" s="271"/>
      <c r="P1798" s="271">
        <v>84922</v>
      </c>
      <c r="Q1798" s="271"/>
      <c r="R1798" s="271"/>
      <c r="S1798" s="271">
        <v>-85917</v>
      </c>
      <c r="T1798" s="271"/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153</v>
      </c>
      <c r="B1799" s="267" t="s">
        <v>2216</v>
      </c>
      <c r="C1799" s="267" t="s">
        <v>94</v>
      </c>
      <c r="D1799" s="267" t="s">
        <v>92</v>
      </c>
      <c r="E1799" s="267" t="s">
        <v>0</v>
      </c>
      <c r="F1799" s="268"/>
      <c r="G1799" s="269"/>
      <c r="H1799" s="269"/>
      <c r="I1799" s="270"/>
      <c r="J1799" s="268">
        <v>1</v>
      </c>
      <c r="K1799" s="269">
        <v>84620</v>
      </c>
      <c r="L1799" s="269">
        <v>86144</v>
      </c>
      <c r="M1799" s="270">
        <v>1</v>
      </c>
      <c r="N1799" s="268">
        <v>1</v>
      </c>
      <c r="O1799" s="271"/>
      <c r="P1799" s="271">
        <v>84620</v>
      </c>
      <c r="Q1799" s="271"/>
      <c r="R1799" s="271"/>
      <c r="S1799" s="271">
        <v>-86144</v>
      </c>
      <c r="T1799" s="271"/>
      <c r="U1799" s="272">
        <v>1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153</v>
      </c>
      <c r="B1800" s="267" t="s">
        <v>2217</v>
      </c>
      <c r="C1800" s="267" t="s">
        <v>94</v>
      </c>
      <c r="D1800" s="267" t="s">
        <v>92</v>
      </c>
      <c r="E1800" s="267" t="s">
        <v>0</v>
      </c>
      <c r="F1800" s="268"/>
      <c r="G1800" s="269"/>
      <c r="H1800" s="269"/>
      <c r="I1800" s="270"/>
      <c r="J1800" s="268">
        <v>1</v>
      </c>
      <c r="K1800" s="269">
        <v>84785</v>
      </c>
      <c r="L1800" s="269">
        <v>86159</v>
      </c>
      <c r="M1800" s="270">
        <v>1</v>
      </c>
      <c r="N1800" s="268">
        <v>1</v>
      </c>
      <c r="O1800" s="271"/>
      <c r="P1800" s="271">
        <v>84785</v>
      </c>
      <c r="Q1800" s="271"/>
      <c r="R1800" s="271"/>
      <c r="S1800" s="271">
        <v>-86159</v>
      </c>
      <c r="T1800" s="271"/>
      <c r="U1800" s="272">
        <v>1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153</v>
      </c>
      <c r="B1801" s="267" t="s">
        <v>2218</v>
      </c>
      <c r="C1801" s="267" t="s">
        <v>94</v>
      </c>
      <c r="D1801" s="267" t="s">
        <v>92</v>
      </c>
      <c r="E1801" s="267" t="s">
        <v>0</v>
      </c>
      <c r="F1801" s="268"/>
      <c r="G1801" s="269"/>
      <c r="H1801" s="269"/>
      <c r="I1801" s="270"/>
      <c r="J1801" s="268">
        <v>1</v>
      </c>
      <c r="K1801" s="269">
        <v>84804</v>
      </c>
      <c r="L1801" s="269">
        <v>86201</v>
      </c>
      <c r="M1801" s="270">
        <v>1</v>
      </c>
      <c r="N1801" s="268">
        <v>1</v>
      </c>
      <c r="O1801" s="271"/>
      <c r="P1801" s="271">
        <v>84804</v>
      </c>
      <c r="Q1801" s="271"/>
      <c r="R1801" s="271"/>
      <c r="S1801" s="271">
        <v>-86201</v>
      </c>
      <c r="T1801" s="271"/>
      <c r="U1801" s="272">
        <v>1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153</v>
      </c>
      <c r="B1802" s="267" t="s">
        <v>2219</v>
      </c>
      <c r="C1802" s="267" t="s">
        <v>94</v>
      </c>
      <c r="D1802" s="267" t="s">
        <v>92</v>
      </c>
      <c r="E1802" s="267" t="s">
        <v>0</v>
      </c>
      <c r="F1802" s="268"/>
      <c r="G1802" s="269"/>
      <c r="H1802" s="269"/>
      <c r="I1802" s="270"/>
      <c r="J1802" s="268">
        <v>1</v>
      </c>
      <c r="K1802" s="269">
        <v>84491</v>
      </c>
      <c r="L1802" s="269">
        <v>86299</v>
      </c>
      <c r="M1802" s="270">
        <v>1</v>
      </c>
      <c r="N1802" s="268">
        <v>1</v>
      </c>
      <c r="O1802" s="271"/>
      <c r="P1802" s="271">
        <v>84491</v>
      </c>
      <c r="Q1802" s="271"/>
      <c r="R1802" s="271"/>
      <c r="S1802" s="271">
        <v>-86299</v>
      </c>
      <c r="T1802" s="271"/>
      <c r="U1802" s="272">
        <v>1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153</v>
      </c>
      <c r="B1803" s="267" t="s">
        <v>2220</v>
      </c>
      <c r="C1803" s="267" t="s">
        <v>94</v>
      </c>
      <c r="D1803" s="267" t="s">
        <v>92</v>
      </c>
      <c r="E1803" s="267" t="s">
        <v>0</v>
      </c>
      <c r="F1803" s="268"/>
      <c r="G1803" s="269"/>
      <c r="H1803" s="269"/>
      <c r="I1803" s="270"/>
      <c r="J1803" s="268">
        <v>1</v>
      </c>
      <c r="K1803" s="269">
        <v>84579</v>
      </c>
      <c r="L1803" s="269">
        <v>86216</v>
      </c>
      <c r="M1803" s="270">
        <v>1</v>
      </c>
      <c r="N1803" s="268">
        <v>1</v>
      </c>
      <c r="O1803" s="271"/>
      <c r="P1803" s="271">
        <v>84579</v>
      </c>
      <c r="Q1803" s="271"/>
      <c r="R1803" s="271"/>
      <c r="S1803" s="271">
        <v>-86216</v>
      </c>
      <c r="T1803" s="271"/>
      <c r="U1803" s="272">
        <v>1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153</v>
      </c>
      <c r="B1804" s="267" t="s">
        <v>2221</v>
      </c>
      <c r="C1804" s="267" t="s">
        <v>94</v>
      </c>
      <c r="D1804" s="267" t="s">
        <v>92</v>
      </c>
      <c r="E1804" s="267" t="s">
        <v>0</v>
      </c>
      <c r="F1804" s="268"/>
      <c r="G1804" s="269"/>
      <c r="H1804" s="269"/>
      <c r="I1804" s="270"/>
      <c r="J1804" s="268">
        <v>1</v>
      </c>
      <c r="K1804" s="269">
        <v>84512</v>
      </c>
      <c r="L1804" s="269">
        <v>86294</v>
      </c>
      <c r="M1804" s="270">
        <v>1</v>
      </c>
      <c r="N1804" s="268">
        <v>1</v>
      </c>
      <c r="O1804" s="271"/>
      <c r="P1804" s="271">
        <v>84512</v>
      </c>
      <c r="Q1804" s="271"/>
      <c r="R1804" s="271"/>
      <c r="S1804" s="271">
        <v>-86294</v>
      </c>
      <c r="T1804" s="271"/>
      <c r="U1804" s="272">
        <v>1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153</v>
      </c>
      <c r="B1805" s="267" t="s">
        <v>2222</v>
      </c>
      <c r="C1805" s="267" t="s">
        <v>94</v>
      </c>
      <c r="D1805" s="267" t="s">
        <v>92</v>
      </c>
      <c r="E1805" s="267" t="s">
        <v>0</v>
      </c>
      <c r="F1805" s="268"/>
      <c r="G1805" s="269"/>
      <c r="H1805" s="269"/>
      <c r="I1805" s="270"/>
      <c r="J1805" s="268">
        <v>1</v>
      </c>
      <c r="K1805" s="269">
        <v>84696</v>
      </c>
      <c r="L1805" s="269">
        <v>86150</v>
      </c>
      <c r="M1805" s="270">
        <v>1</v>
      </c>
      <c r="N1805" s="268">
        <v>1</v>
      </c>
      <c r="O1805" s="271"/>
      <c r="P1805" s="271">
        <v>84696</v>
      </c>
      <c r="Q1805" s="271"/>
      <c r="R1805" s="271"/>
      <c r="S1805" s="271">
        <v>-86150</v>
      </c>
      <c r="T1805" s="271"/>
      <c r="U1805" s="272">
        <v>1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153</v>
      </c>
      <c r="B1806" s="267" t="s">
        <v>2223</v>
      </c>
      <c r="C1806" s="267" t="s">
        <v>94</v>
      </c>
      <c r="D1806" s="267" t="s">
        <v>92</v>
      </c>
      <c r="E1806" s="267" t="s">
        <v>0</v>
      </c>
      <c r="F1806" s="268"/>
      <c r="G1806" s="269"/>
      <c r="H1806" s="269"/>
      <c r="I1806" s="270"/>
      <c r="J1806" s="268">
        <v>1</v>
      </c>
      <c r="K1806" s="269">
        <v>84911</v>
      </c>
      <c r="L1806" s="269">
        <v>86099</v>
      </c>
      <c r="M1806" s="270">
        <v>1</v>
      </c>
      <c r="N1806" s="268">
        <v>1</v>
      </c>
      <c r="O1806" s="271"/>
      <c r="P1806" s="271">
        <v>84911</v>
      </c>
      <c r="Q1806" s="271"/>
      <c r="R1806" s="271"/>
      <c r="S1806" s="271">
        <v>-86099</v>
      </c>
      <c r="T1806" s="271"/>
      <c r="U1806" s="272">
        <v>1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153</v>
      </c>
      <c r="B1807" s="267" t="s">
        <v>2224</v>
      </c>
      <c r="C1807" s="267" t="s">
        <v>94</v>
      </c>
      <c r="D1807" s="267" t="s">
        <v>92</v>
      </c>
      <c r="E1807" s="267" t="s">
        <v>0</v>
      </c>
      <c r="F1807" s="268"/>
      <c r="G1807" s="269"/>
      <c r="H1807" s="269"/>
      <c r="I1807" s="270"/>
      <c r="J1807" s="268">
        <v>1</v>
      </c>
      <c r="K1807" s="269">
        <v>84882</v>
      </c>
      <c r="L1807" s="269">
        <v>85939</v>
      </c>
      <c r="M1807" s="270">
        <v>1</v>
      </c>
      <c r="N1807" s="268">
        <v>1</v>
      </c>
      <c r="O1807" s="271"/>
      <c r="P1807" s="271">
        <v>84882</v>
      </c>
      <c r="Q1807" s="271"/>
      <c r="R1807" s="271"/>
      <c r="S1807" s="271">
        <v>-85939</v>
      </c>
      <c r="T1807" s="271"/>
      <c r="U1807" s="272">
        <v>1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153</v>
      </c>
      <c r="B1808" s="267" t="s">
        <v>2225</v>
      </c>
      <c r="C1808" s="267" t="s">
        <v>94</v>
      </c>
      <c r="D1808" s="267" t="s">
        <v>92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85005</v>
      </c>
      <c r="L1808" s="269">
        <v>85875</v>
      </c>
      <c r="M1808" s="270">
        <v>1</v>
      </c>
      <c r="N1808" s="268">
        <v>1</v>
      </c>
      <c r="O1808" s="271"/>
      <c r="P1808" s="271">
        <v>85005</v>
      </c>
      <c r="Q1808" s="271"/>
      <c r="R1808" s="271"/>
      <c r="S1808" s="271">
        <v>-85875</v>
      </c>
      <c r="T1808" s="271"/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153</v>
      </c>
      <c r="B1809" s="267" t="s">
        <v>2226</v>
      </c>
      <c r="C1809" s="267" t="s">
        <v>94</v>
      </c>
      <c r="D1809" s="267" t="s">
        <v>92</v>
      </c>
      <c r="E1809" s="267" t="s">
        <v>0</v>
      </c>
      <c r="F1809" s="268"/>
      <c r="G1809" s="269"/>
      <c r="H1809" s="269"/>
      <c r="I1809" s="270"/>
      <c r="J1809" s="268">
        <v>1</v>
      </c>
      <c r="K1809" s="269">
        <v>85061</v>
      </c>
      <c r="L1809" s="269">
        <v>85910</v>
      </c>
      <c r="M1809" s="270">
        <v>1</v>
      </c>
      <c r="N1809" s="268">
        <v>1</v>
      </c>
      <c r="O1809" s="271"/>
      <c r="P1809" s="271">
        <v>85061</v>
      </c>
      <c r="Q1809" s="271"/>
      <c r="R1809" s="271"/>
      <c r="S1809" s="271">
        <v>-85910</v>
      </c>
      <c r="T1809" s="271"/>
      <c r="U1809" s="272">
        <v>1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153</v>
      </c>
      <c r="B1810" s="267" t="s">
        <v>2227</v>
      </c>
      <c r="C1810" s="267" t="s">
        <v>94</v>
      </c>
      <c r="D1810" s="267" t="s">
        <v>92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85054</v>
      </c>
      <c r="L1810" s="269">
        <v>85772</v>
      </c>
      <c r="M1810" s="270">
        <v>1</v>
      </c>
      <c r="N1810" s="268">
        <v>1</v>
      </c>
      <c r="O1810" s="271"/>
      <c r="P1810" s="271">
        <v>85054</v>
      </c>
      <c r="Q1810" s="271"/>
      <c r="R1810" s="271"/>
      <c r="S1810" s="271">
        <v>-85772</v>
      </c>
      <c r="T1810" s="271"/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153</v>
      </c>
      <c r="B1811" s="267" t="s">
        <v>2228</v>
      </c>
      <c r="C1811" s="267" t="s">
        <v>94</v>
      </c>
      <c r="D1811" s="267" t="s">
        <v>92</v>
      </c>
      <c r="E1811" s="267" t="s">
        <v>0</v>
      </c>
      <c r="F1811" s="268"/>
      <c r="G1811" s="269"/>
      <c r="H1811" s="269"/>
      <c r="I1811" s="270"/>
      <c r="J1811" s="268">
        <v>1</v>
      </c>
      <c r="K1811" s="269">
        <v>84774</v>
      </c>
      <c r="L1811" s="269">
        <v>86223</v>
      </c>
      <c r="M1811" s="270">
        <v>1</v>
      </c>
      <c r="N1811" s="268">
        <v>1</v>
      </c>
      <c r="O1811" s="271"/>
      <c r="P1811" s="271">
        <v>84774</v>
      </c>
      <c r="Q1811" s="271"/>
      <c r="R1811" s="271"/>
      <c r="S1811" s="271">
        <v>-86223</v>
      </c>
      <c r="T1811" s="271"/>
      <c r="U1811" s="272">
        <v>1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153</v>
      </c>
      <c r="B1812" s="267" t="s">
        <v>2229</v>
      </c>
      <c r="C1812" s="267" t="s">
        <v>94</v>
      </c>
      <c r="D1812" s="267" t="s">
        <v>92</v>
      </c>
      <c r="E1812" s="267" t="s">
        <v>0</v>
      </c>
      <c r="F1812" s="268"/>
      <c r="G1812" s="269"/>
      <c r="H1812" s="269"/>
      <c r="I1812" s="270"/>
      <c r="J1812" s="268">
        <v>1</v>
      </c>
      <c r="K1812" s="269">
        <v>84664</v>
      </c>
      <c r="L1812" s="269">
        <v>86169</v>
      </c>
      <c r="M1812" s="270">
        <v>1</v>
      </c>
      <c r="N1812" s="268">
        <v>1</v>
      </c>
      <c r="O1812" s="271"/>
      <c r="P1812" s="271">
        <v>84664</v>
      </c>
      <c r="Q1812" s="271"/>
      <c r="R1812" s="271"/>
      <c r="S1812" s="271">
        <v>-86169</v>
      </c>
      <c r="T1812" s="271"/>
      <c r="U1812" s="272">
        <v>1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153</v>
      </c>
      <c r="B1813" s="267" t="s">
        <v>2230</v>
      </c>
      <c r="C1813" s="267" t="s">
        <v>94</v>
      </c>
      <c r="D1813" s="267" t="s">
        <v>92</v>
      </c>
      <c r="E1813" s="267" t="s">
        <v>0</v>
      </c>
      <c r="F1813" s="268"/>
      <c r="G1813" s="269"/>
      <c r="H1813" s="269"/>
      <c r="I1813" s="270"/>
      <c r="J1813" s="268">
        <v>1</v>
      </c>
      <c r="K1813" s="269">
        <v>84798</v>
      </c>
      <c r="L1813" s="269">
        <v>85989</v>
      </c>
      <c r="M1813" s="270">
        <v>1</v>
      </c>
      <c r="N1813" s="268">
        <v>1</v>
      </c>
      <c r="O1813" s="271"/>
      <c r="P1813" s="271">
        <v>84798</v>
      </c>
      <c r="Q1813" s="271"/>
      <c r="R1813" s="271"/>
      <c r="S1813" s="271">
        <v>-85989</v>
      </c>
      <c r="T1813" s="271"/>
      <c r="U1813" s="272">
        <v>1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153</v>
      </c>
      <c r="B1814" s="267" t="s">
        <v>2231</v>
      </c>
      <c r="C1814" s="267" t="s">
        <v>94</v>
      </c>
      <c r="D1814" s="267" t="s">
        <v>92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85027</v>
      </c>
      <c r="L1814" s="269">
        <v>85845</v>
      </c>
      <c r="M1814" s="270">
        <v>1</v>
      </c>
      <c r="N1814" s="268">
        <v>1</v>
      </c>
      <c r="O1814" s="271"/>
      <c r="P1814" s="271">
        <v>85027</v>
      </c>
      <c r="Q1814" s="271"/>
      <c r="R1814" s="271"/>
      <c r="S1814" s="271">
        <v>-85845</v>
      </c>
      <c r="T1814" s="271"/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153</v>
      </c>
      <c r="B1815" s="267" t="s">
        <v>2232</v>
      </c>
      <c r="C1815" s="267" t="s">
        <v>94</v>
      </c>
      <c r="D1815" s="267" t="s">
        <v>92</v>
      </c>
      <c r="E1815" s="267" t="s">
        <v>0</v>
      </c>
      <c r="F1815" s="268"/>
      <c r="G1815" s="269"/>
      <c r="H1815" s="269"/>
      <c r="I1815" s="270"/>
      <c r="J1815" s="268">
        <v>1</v>
      </c>
      <c r="K1815" s="269">
        <v>84907</v>
      </c>
      <c r="L1815" s="269">
        <v>85944</v>
      </c>
      <c r="M1815" s="270">
        <v>1</v>
      </c>
      <c r="N1815" s="268">
        <v>1</v>
      </c>
      <c r="O1815" s="271"/>
      <c r="P1815" s="271">
        <v>84907</v>
      </c>
      <c r="Q1815" s="271"/>
      <c r="R1815" s="271"/>
      <c r="S1815" s="271">
        <v>-85944</v>
      </c>
      <c r="T1815" s="271"/>
      <c r="U1815" s="272">
        <v>1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153</v>
      </c>
      <c r="B1816" s="267" t="s">
        <v>2233</v>
      </c>
      <c r="C1816" s="267" t="s">
        <v>94</v>
      </c>
      <c r="D1816" s="267" t="s">
        <v>92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85120</v>
      </c>
      <c r="L1816" s="269">
        <v>85740</v>
      </c>
      <c r="M1816" s="270">
        <v>1</v>
      </c>
      <c r="N1816" s="268">
        <v>1</v>
      </c>
      <c r="O1816" s="271"/>
      <c r="P1816" s="271">
        <v>85120</v>
      </c>
      <c r="Q1816" s="271"/>
      <c r="R1816" s="271"/>
      <c r="S1816" s="271">
        <v>-85740</v>
      </c>
      <c r="T1816" s="271"/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153</v>
      </c>
      <c r="B1817" s="267" t="s">
        <v>2234</v>
      </c>
      <c r="C1817" s="267" t="s">
        <v>94</v>
      </c>
      <c r="D1817" s="267" t="s">
        <v>92</v>
      </c>
      <c r="E1817" s="267" t="s">
        <v>0</v>
      </c>
      <c r="F1817" s="268"/>
      <c r="G1817" s="269"/>
      <c r="H1817" s="269"/>
      <c r="I1817" s="270"/>
      <c r="J1817" s="268">
        <v>1</v>
      </c>
      <c r="K1817" s="269">
        <v>84594</v>
      </c>
      <c r="L1817" s="269">
        <v>86231</v>
      </c>
      <c r="M1817" s="270">
        <v>1</v>
      </c>
      <c r="N1817" s="268">
        <v>1</v>
      </c>
      <c r="O1817" s="271"/>
      <c r="P1817" s="271">
        <v>84594</v>
      </c>
      <c r="Q1817" s="271"/>
      <c r="R1817" s="271"/>
      <c r="S1817" s="271">
        <v>-86231</v>
      </c>
      <c r="T1817" s="271"/>
      <c r="U1817" s="272">
        <v>1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153</v>
      </c>
      <c r="B1818" s="267" t="s">
        <v>2235</v>
      </c>
      <c r="C1818" s="267" t="s">
        <v>94</v>
      </c>
      <c r="D1818" s="267" t="s">
        <v>92</v>
      </c>
      <c r="E1818" s="267" t="s">
        <v>0</v>
      </c>
      <c r="F1818" s="268"/>
      <c r="G1818" s="269"/>
      <c r="H1818" s="269"/>
      <c r="I1818" s="270"/>
      <c r="J1818" s="268">
        <v>1</v>
      </c>
      <c r="K1818" s="269">
        <v>84624</v>
      </c>
      <c r="L1818" s="269">
        <v>86217</v>
      </c>
      <c r="M1818" s="270">
        <v>1</v>
      </c>
      <c r="N1818" s="268">
        <v>1</v>
      </c>
      <c r="O1818" s="271"/>
      <c r="P1818" s="271">
        <v>84624</v>
      </c>
      <c r="Q1818" s="271"/>
      <c r="R1818" s="271"/>
      <c r="S1818" s="271">
        <v>-86217</v>
      </c>
      <c r="T1818" s="271"/>
      <c r="U1818" s="272">
        <v>1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153</v>
      </c>
      <c r="B1819" s="267" t="s">
        <v>2236</v>
      </c>
      <c r="C1819" s="267" t="s">
        <v>94</v>
      </c>
      <c r="D1819" s="267" t="s">
        <v>92</v>
      </c>
      <c r="E1819" s="267" t="s">
        <v>0</v>
      </c>
      <c r="F1819" s="268"/>
      <c r="G1819" s="269"/>
      <c r="H1819" s="269"/>
      <c r="I1819" s="270"/>
      <c r="J1819" s="268">
        <v>1</v>
      </c>
      <c r="K1819" s="269">
        <v>85028</v>
      </c>
      <c r="L1819" s="269">
        <v>85980</v>
      </c>
      <c r="M1819" s="270">
        <v>1</v>
      </c>
      <c r="N1819" s="268">
        <v>1</v>
      </c>
      <c r="O1819" s="271"/>
      <c r="P1819" s="271">
        <v>85028</v>
      </c>
      <c r="Q1819" s="271"/>
      <c r="R1819" s="271"/>
      <c r="S1819" s="271">
        <v>-85980</v>
      </c>
      <c r="T1819" s="271"/>
      <c r="U1819" s="272">
        <v>1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153</v>
      </c>
      <c r="B1820" s="267" t="s">
        <v>2237</v>
      </c>
      <c r="C1820" s="267" t="s">
        <v>94</v>
      </c>
      <c r="D1820" s="267" t="s">
        <v>92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84927</v>
      </c>
      <c r="L1820" s="269">
        <v>85948</v>
      </c>
      <c r="M1820" s="270">
        <v>1</v>
      </c>
      <c r="N1820" s="268">
        <v>1</v>
      </c>
      <c r="O1820" s="271"/>
      <c r="P1820" s="271">
        <v>84927</v>
      </c>
      <c r="Q1820" s="271"/>
      <c r="R1820" s="271"/>
      <c r="S1820" s="271">
        <v>-85948</v>
      </c>
      <c r="T1820" s="271"/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153</v>
      </c>
      <c r="B1821" s="267" t="s">
        <v>2238</v>
      </c>
      <c r="C1821" s="267" t="s">
        <v>94</v>
      </c>
      <c r="D1821" s="267" t="s">
        <v>92</v>
      </c>
      <c r="E1821" s="267" t="s">
        <v>0</v>
      </c>
      <c r="F1821" s="268"/>
      <c r="G1821" s="269"/>
      <c r="H1821" s="269"/>
      <c r="I1821" s="270"/>
      <c r="J1821" s="268">
        <v>1</v>
      </c>
      <c r="K1821" s="269">
        <v>84890</v>
      </c>
      <c r="L1821" s="269">
        <v>85896</v>
      </c>
      <c r="M1821" s="270">
        <v>1</v>
      </c>
      <c r="N1821" s="268">
        <v>1</v>
      </c>
      <c r="O1821" s="271"/>
      <c r="P1821" s="271">
        <v>84890</v>
      </c>
      <c r="Q1821" s="271"/>
      <c r="R1821" s="271"/>
      <c r="S1821" s="271">
        <v>-85896</v>
      </c>
      <c r="T1821" s="271"/>
      <c r="U1821" s="272">
        <v>1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153</v>
      </c>
      <c r="B1822" s="267" t="s">
        <v>2239</v>
      </c>
      <c r="C1822" s="267" t="s">
        <v>94</v>
      </c>
      <c r="D1822" s="267" t="s">
        <v>92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84937</v>
      </c>
      <c r="L1822" s="269">
        <v>85912</v>
      </c>
      <c r="M1822" s="270">
        <v>1</v>
      </c>
      <c r="N1822" s="268">
        <v>1</v>
      </c>
      <c r="O1822" s="271"/>
      <c r="P1822" s="271">
        <v>84937</v>
      </c>
      <c r="Q1822" s="271"/>
      <c r="R1822" s="271"/>
      <c r="S1822" s="271">
        <v>-85912</v>
      </c>
      <c r="T1822" s="271"/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153</v>
      </c>
      <c r="B1823" s="267" t="s">
        <v>2240</v>
      </c>
      <c r="C1823" s="267" t="s">
        <v>94</v>
      </c>
      <c r="D1823" s="267" t="s">
        <v>92</v>
      </c>
      <c r="E1823" s="267" t="s">
        <v>0</v>
      </c>
      <c r="F1823" s="268"/>
      <c r="G1823" s="269"/>
      <c r="H1823" s="269"/>
      <c r="I1823" s="270"/>
      <c r="J1823" s="268">
        <v>1</v>
      </c>
      <c r="K1823" s="269">
        <v>84660</v>
      </c>
      <c r="L1823" s="269">
        <v>86114</v>
      </c>
      <c r="M1823" s="270">
        <v>1</v>
      </c>
      <c r="N1823" s="268">
        <v>1</v>
      </c>
      <c r="O1823" s="271"/>
      <c r="P1823" s="271">
        <v>84660</v>
      </c>
      <c r="Q1823" s="271"/>
      <c r="R1823" s="271"/>
      <c r="S1823" s="271">
        <v>-86114</v>
      </c>
      <c r="T1823" s="271"/>
      <c r="U1823" s="272">
        <v>1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153</v>
      </c>
      <c r="B1824" s="267" t="s">
        <v>2241</v>
      </c>
      <c r="C1824" s="267" t="s">
        <v>94</v>
      </c>
      <c r="D1824" s="267" t="s">
        <v>92</v>
      </c>
      <c r="E1824" s="267" t="s">
        <v>0</v>
      </c>
      <c r="F1824" s="268"/>
      <c r="G1824" s="269"/>
      <c r="H1824" s="269"/>
      <c r="I1824" s="270"/>
      <c r="J1824" s="268">
        <v>1</v>
      </c>
      <c r="K1824" s="269">
        <v>84800</v>
      </c>
      <c r="L1824" s="269">
        <v>86154</v>
      </c>
      <c r="M1824" s="270">
        <v>1</v>
      </c>
      <c r="N1824" s="268">
        <v>1</v>
      </c>
      <c r="O1824" s="271"/>
      <c r="P1824" s="271">
        <v>84800</v>
      </c>
      <c r="Q1824" s="271"/>
      <c r="R1824" s="271"/>
      <c r="S1824" s="271">
        <v>-86154</v>
      </c>
      <c r="T1824" s="271"/>
      <c r="U1824" s="272">
        <v>1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153</v>
      </c>
      <c r="B1825" s="267" t="s">
        <v>2242</v>
      </c>
      <c r="C1825" s="267" t="s">
        <v>94</v>
      </c>
      <c r="D1825" s="267" t="s">
        <v>92</v>
      </c>
      <c r="E1825" s="267" t="s">
        <v>0</v>
      </c>
      <c r="F1825" s="268"/>
      <c r="G1825" s="269"/>
      <c r="H1825" s="269"/>
      <c r="I1825" s="270"/>
      <c r="J1825" s="268">
        <v>1</v>
      </c>
      <c r="K1825" s="269">
        <v>84781</v>
      </c>
      <c r="L1825" s="269">
        <v>86217</v>
      </c>
      <c r="M1825" s="270">
        <v>1</v>
      </c>
      <c r="N1825" s="268">
        <v>1</v>
      </c>
      <c r="O1825" s="271"/>
      <c r="P1825" s="271">
        <v>84781</v>
      </c>
      <c r="Q1825" s="271"/>
      <c r="R1825" s="271"/>
      <c r="S1825" s="271">
        <v>-86217</v>
      </c>
      <c r="T1825" s="271"/>
      <c r="U1825" s="272">
        <v>1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153</v>
      </c>
      <c r="B1826" s="267" t="s">
        <v>2243</v>
      </c>
      <c r="C1826" s="267" t="s">
        <v>94</v>
      </c>
      <c r="D1826" s="267" t="s">
        <v>92</v>
      </c>
      <c r="E1826" s="267" t="s">
        <v>0</v>
      </c>
      <c r="F1826" s="268"/>
      <c r="G1826" s="269"/>
      <c r="H1826" s="269"/>
      <c r="I1826" s="270"/>
      <c r="J1826" s="268">
        <v>1</v>
      </c>
      <c r="K1826" s="269">
        <v>84451</v>
      </c>
      <c r="L1826" s="269">
        <v>86329</v>
      </c>
      <c r="M1826" s="270">
        <v>1</v>
      </c>
      <c r="N1826" s="268">
        <v>1</v>
      </c>
      <c r="O1826" s="271"/>
      <c r="P1826" s="271">
        <v>84451</v>
      </c>
      <c r="Q1826" s="271"/>
      <c r="R1826" s="271"/>
      <c r="S1826" s="271">
        <v>-86329</v>
      </c>
      <c r="T1826" s="271"/>
      <c r="U1826" s="272">
        <v>1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153</v>
      </c>
      <c r="B1827" s="267" t="s">
        <v>2244</v>
      </c>
      <c r="C1827" s="267" t="s">
        <v>94</v>
      </c>
      <c r="D1827" s="267" t="s">
        <v>92</v>
      </c>
      <c r="E1827" s="267" t="s">
        <v>0</v>
      </c>
      <c r="F1827" s="268"/>
      <c r="G1827" s="269"/>
      <c r="H1827" s="269"/>
      <c r="I1827" s="270"/>
      <c r="J1827" s="268">
        <v>1</v>
      </c>
      <c r="K1827" s="269">
        <v>84563</v>
      </c>
      <c r="L1827" s="269">
        <v>86239</v>
      </c>
      <c r="M1827" s="270">
        <v>1</v>
      </c>
      <c r="N1827" s="268">
        <v>1</v>
      </c>
      <c r="O1827" s="271"/>
      <c r="P1827" s="271">
        <v>84563</v>
      </c>
      <c r="Q1827" s="271"/>
      <c r="R1827" s="271"/>
      <c r="S1827" s="271">
        <v>-86239</v>
      </c>
      <c r="T1827" s="271"/>
      <c r="U1827" s="272">
        <v>1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153</v>
      </c>
      <c r="B1828" s="267" t="s">
        <v>2245</v>
      </c>
      <c r="C1828" s="267" t="s">
        <v>94</v>
      </c>
      <c r="D1828" s="267" t="s">
        <v>92</v>
      </c>
      <c r="E1828" s="267" t="s">
        <v>0</v>
      </c>
      <c r="F1828" s="268"/>
      <c r="G1828" s="269"/>
      <c r="H1828" s="269"/>
      <c r="I1828" s="270"/>
      <c r="J1828" s="268">
        <v>1</v>
      </c>
      <c r="K1828" s="269">
        <v>84487</v>
      </c>
      <c r="L1828" s="269">
        <v>86319</v>
      </c>
      <c r="M1828" s="270">
        <v>1</v>
      </c>
      <c r="N1828" s="268">
        <v>1</v>
      </c>
      <c r="O1828" s="271"/>
      <c r="P1828" s="271">
        <v>84487</v>
      </c>
      <c r="Q1828" s="271"/>
      <c r="R1828" s="271"/>
      <c r="S1828" s="271">
        <v>-86319</v>
      </c>
      <c r="T1828" s="271"/>
      <c r="U1828" s="272">
        <v>1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153</v>
      </c>
      <c r="B1829" s="267" t="s">
        <v>2246</v>
      </c>
      <c r="C1829" s="267" t="s">
        <v>94</v>
      </c>
      <c r="D1829" s="267" t="s">
        <v>92</v>
      </c>
      <c r="E1829" s="267" t="s">
        <v>0</v>
      </c>
      <c r="F1829" s="268"/>
      <c r="G1829" s="269"/>
      <c r="H1829" s="269"/>
      <c r="I1829" s="270"/>
      <c r="J1829" s="268">
        <v>1</v>
      </c>
      <c r="K1829" s="269">
        <v>84666</v>
      </c>
      <c r="L1829" s="269">
        <v>86190</v>
      </c>
      <c r="M1829" s="270">
        <v>1</v>
      </c>
      <c r="N1829" s="268">
        <v>1</v>
      </c>
      <c r="O1829" s="271"/>
      <c r="P1829" s="271">
        <v>84666</v>
      </c>
      <c r="Q1829" s="271"/>
      <c r="R1829" s="271"/>
      <c r="S1829" s="271">
        <v>-86190</v>
      </c>
      <c r="T1829" s="271"/>
      <c r="U1829" s="272">
        <v>1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153</v>
      </c>
      <c r="B1830" s="267" t="s">
        <v>2247</v>
      </c>
      <c r="C1830" s="267" t="s">
        <v>94</v>
      </c>
      <c r="D1830" s="267" t="s">
        <v>92</v>
      </c>
      <c r="E1830" s="267" t="s">
        <v>0</v>
      </c>
      <c r="F1830" s="268"/>
      <c r="G1830" s="269"/>
      <c r="H1830" s="269"/>
      <c r="I1830" s="270"/>
      <c r="J1830" s="268">
        <v>1</v>
      </c>
      <c r="K1830" s="269">
        <v>84886</v>
      </c>
      <c r="L1830" s="269">
        <v>86124</v>
      </c>
      <c r="M1830" s="270">
        <v>1</v>
      </c>
      <c r="N1830" s="268">
        <v>1</v>
      </c>
      <c r="O1830" s="271"/>
      <c r="P1830" s="271">
        <v>84886</v>
      </c>
      <c r="Q1830" s="271"/>
      <c r="R1830" s="271"/>
      <c r="S1830" s="271">
        <v>-86124</v>
      </c>
      <c r="T1830" s="271"/>
      <c r="U1830" s="272">
        <v>1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153</v>
      </c>
      <c r="B1831" s="267" t="s">
        <v>2248</v>
      </c>
      <c r="C1831" s="267" t="s">
        <v>94</v>
      </c>
      <c r="D1831" s="267" t="s">
        <v>92</v>
      </c>
      <c r="E1831" s="267" t="s">
        <v>0</v>
      </c>
      <c r="F1831" s="268"/>
      <c r="G1831" s="269"/>
      <c r="H1831" s="269"/>
      <c r="I1831" s="270"/>
      <c r="J1831" s="268">
        <v>1</v>
      </c>
      <c r="K1831" s="269">
        <v>84801</v>
      </c>
      <c r="L1831" s="269">
        <v>85974</v>
      </c>
      <c r="M1831" s="270">
        <v>1</v>
      </c>
      <c r="N1831" s="268">
        <v>1</v>
      </c>
      <c r="O1831" s="271"/>
      <c r="P1831" s="271">
        <v>84801</v>
      </c>
      <c r="Q1831" s="271"/>
      <c r="R1831" s="271"/>
      <c r="S1831" s="271">
        <v>-85974</v>
      </c>
      <c r="T1831" s="271"/>
      <c r="U1831" s="272">
        <v>1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153</v>
      </c>
      <c r="B1832" s="267" t="s">
        <v>2249</v>
      </c>
      <c r="C1832" s="267" t="s">
        <v>94</v>
      </c>
      <c r="D1832" s="267" t="s">
        <v>92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84990</v>
      </c>
      <c r="L1832" s="269">
        <v>85860</v>
      </c>
      <c r="M1832" s="270">
        <v>1</v>
      </c>
      <c r="N1832" s="268">
        <v>1</v>
      </c>
      <c r="O1832" s="271"/>
      <c r="P1832" s="271">
        <v>84990</v>
      </c>
      <c r="Q1832" s="271"/>
      <c r="R1832" s="271"/>
      <c r="S1832" s="271">
        <v>-85860</v>
      </c>
      <c r="T1832" s="271"/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153</v>
      </c>
      <c r="B1833" s="267" t="s">
        <v>2250</v>
      </c>
      <c r="C1833" s="267" t="s">
        <v>94</v>
      </c>
      <c r="D1833" s="267" t="s">
        <v>92</v>
      </c>
      <c r="E1833" s="267" t="s">
        <v>0</v>
      </c>
      <c r="F1833" s="268"/>
      <c r="G1833" s="269"/>
      <c r="H1833" s="269"/>
      <c r="I1833" s="270"/>
      <c r="J1833" s="268">
        <v>1</v>
      </c>
      <c r="K1833" s="269">
        <v>84800</v>
      </c>
      <c r="L1833" s="269">
        <v>85992</v>
      </c>
      <c r="M1833" s="270">
        <v>1</v>
      </c>
      <c r="N1833" s="268">
        <v>1</v>
      </c>
      <c r="O1833" s="271"/>
      <c r="P1833" s="271">
        <v>84800</v>
      </c>
      <c r="Q1833" s="271"/>
      <c r="R1833" s="271"/>
      <c r="S1833" s="271">
        <v>-85992</v>
      </c>
      <c r="T1833" s="271"/>
      <c r="U1833" s="272">
        <v>1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153</v>
      </c>
      <c r="B1834" s="267" t="s">
        <v>2251</v>
      </c>
      <c r="C1834" s="267" t="s">
        <v>94</v>
      </c>
      <c r="D1834" s="267" t="s">
        <v>92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85008</v>
      </c>
      <c r="L1834" s="269">
        <v>85803</v>
      </c>
      <c r="M1834" s="270">
        <v>1</v>
      </c>
      <c r="N1834" s="268">
        <v>1</v>
      </c>
      <c r="O1834" s="271"/>
      <c r="P1834" s="271">
        <v>85008</v>
      </c>
      <c r="Q1834" s="271"/>
      <c r="R1834" s="271"/>
      <c r="S1834" s="271">
        <v>-85803</v>
      </c>
      <c r="T1834" s="271"/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153</v>
      </c>
      <c r="B1835" s="267" t="s">
        <v>2252</v>
      </c>
      <c r="C1835" s="267" t="s">
        <v>94</v>
      </c>
      <c r="D1835" s="267" t="s">
        <v>92</v>
      </c>
      <c r="E1835" s="267" t="s">
        <v>0</v>
      </c>
      <c r="F1835" s="268"/>
      <c r="G1835" s="269"/>
      <c r="H1835" s="269"/>
      <c r="I1835" s="270"/>
      <c r="J1835" s="268">
        <v>1</v>
      </c>
      <c r="K1835" s="269">
        <v>84563</v>
      </c>
      <c r="L1835" s="269">
        <v>86239</v>
      </c>
      <c r="M1835" s="270">
        <v>1</v>
      </c>
      <c r="N1835" s="268">
        <v>1</v>
      </c>
      <c r="O1835" s="271"/>
      <c r="P1835" s="271">
        <v>84563</v>
      </c>
      <c r="Q1835" s="271"/>
      <c r="R1835" s="271"/>
      <c r="S1835" s="271">
        <v>-86239</v>
      </c>
      <c r="T1835" s="271"/>
      <c r="U1835" s="272">
        <v>1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153</v>
      </c>
      <c r="B1836" s="267" t="s">
        <v>2253</v>
      </c>
      <c r="C1836" s="267" t="s">
        <v>94</v>
      </c>
      <c r="D1836" s="267" t="s">
        <v>92</v>
      </c>
      <c r="E1836" s="267" t="s">
        <v>0</v>
      </c>
      <c r="F1836" s="268"/>
      <c r="G1836" s="269"/>
      <c r="H1836" s="269"/>
      <c r="I1836" s="270"/>
      <c r="J1836" s="268">
        <v>1</v>
      </c>
      <c r="K1836" s="269">
        <v>84618</v>
      </c>
      <c r="L1836" s="269">
        <v>86200</v>
      </c>
      <c r="M1836" s="270">
        <v>1</v>
      </c>
      <c r="N1836" s="268">
        <v>1</v>
      </c>
      <c r="O1836" s="271"/>
      <c r="P1836" s="271">
        <v>84618</v>
      </c>
      <c r="Q1836" s="271"/>
      <c r="R1836" s="271"/>
      <c r="S1836" s="271">
        <v>-86200</v>
      </c>
      <c r="T1836" s="271"/>
      <c r="U1836" s="272">
        <v>1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153</v>
      </c>
      <c r="B1837" s="267" t="s">
        <v>2254</v>
      </c>
      <c r="C1837" s="267" t="s">
        <v>94</v>
      </c>
      <c r="D1837" s="267" t="s">
        <v>92</v>
      </c>
      <c r="E1837" s="267" t="s">
        <v>0</v>
      </c>
      <c r="F1837" s="268"/>
      <c r="G1837" s="269"/>
      <c r="H1837" s="269"/>
      <c r="I1837" s="270"/>
      <c r="J1837" s="268">
        <v>1</v>
      </c>
      <c r="K1837" s="269">
        <v>84784</v>
      </c>
      <c r="L1837" s="269">
        <v>85988</v>
      </c>
      <c r="M1837" s="270">
        <v>1</v>
      </c>
      <c r="N1837" s="268">
        <v>1</v>
      </c>
      <c r="O1837" s="271"/>
      <c r="P1837" s="271">
        <v>84784</v>
      </c>
      <c r="Q1837" s="271"/>
      <c r="R1837" s="271"/>
      <c r="S1837" s="271">
        <v>-85988</v>
      </c>
      <c r="T1837" s="271"/>
      <c r="U1837" s="272">
        <v>1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153</v>
      </c>
      <c r="B1838" s="267" t="s">
        <v>2255</v>
      </c>
      <c r="C1838" s="267" t="s">
        <v>94</v>
      </c>
      <c r="D1838" s="267" t="s">
        <v>92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85013</v>
      </c>
      <c r="L1838" s="269">
        <v>85844</v>
      </c>
      <c r="M1838" s="270">
        <v>1</v>
      </c>
      <c r="N1838" s="268">
        <v>1</v>
      </c>
      <c r="O1838" s="271"/>
      <c r="P1838" s="271">
        <v>85013</v>
      </c>
      <c r="Q1838" s="271"/>
      <c r="R1838" s="271"/>
      <c r="S1838" s="271">
        <v>-85844</v>
      </c>
      <c r="T1838" s="271"/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153</v>
      </c>
      <c r="B1839" s="267" t="s">
        <v>2256</v>
      </c>
      <c r="C1839" s="267" t="s">
        <v>94</v>
      </c>
      <c r="D1839" s="267" t="s">
        <v>92</v>
      </c>
      <c r="E1839" s="267" t="s">
        <v>0</v>
      </c>
      <c r="F1839" s="268"/>
      <c r="G1839" s="269"/>
      <c r="H1839" s="269"/>
      <c r="I1839" s="270"/>
      <c r="J1839" s="268">
        <v>1</v>
      </c>
      <c r="K1839" s="269">
        <v>84826</v>
      </c>
      <c r="L1839" s="269">
        <v>85979</v>
      </c>
      <c r="M1839" s="270">
        <v>1</v>
      </c>
      <c r="N1839" s="268">
        <v>1</v>
      </c>
      <c r="O1839" s="271"/>
      <c r="P1839" s="271">
        <v>84826</v>
      </c>
      <c r="Q1839" s="271"/>
      <c r="R1839" s="271"/>
      <c r="S1839" s="271">
        <v>-85979</v>
      </c>
      <c r="T1839" s="271"/>
      <c r="U1839" s="272">
        <v>1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153</v>
      </c>
      <c r="B1840" s="267" t="s">
        <v>2257</v>
      </c>
      <c r="C1840" s="267" t="s">
        <v>94</v>
      </c>
      <c r="D1840" s="267" t="s">
        <v>92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85039</v>
      </c>
      <c r="L1840" s="269">
        <v>85775</v>
      </c>
      <c r="M1840" s="270">
        <v>1</v>
      </c>
      <c r="N1840" s="268">
        <v>1</v>
      </c>
      <c r="O1840" s="271"/>
      <c r="P1840" s="271">
        <v>85039</v>
      </c>
      <c r="Q1840" s="271"/>
      <c r="R1840" s="271"/>
      <c r="S1840" s="271">
        <v>-85775</v>
      </c>
      <c r="T1840" s="271"/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153</v>
      </c>
      <c r="B1841" s="267" t="s">
        <v>2258</v>
      </c>
      <c r="C1841" s="267" t="s">
        <v>94</v>
      </c>
      <c r="D1841" s="267" t="s">
        <v>92</v>
      </c>
      <c r="E1841" s="267" t="s">
        <v>0</v>
      </c>
      <c r="F1841" s="268"/>
      <c r="G1841" s="269"/>
      <c r="H1841" s="269"/>
      <c r="I1841" s="270"/>
      <c r="J1841" s="268">
        <v>1</v>
      </c>
      <c r="K1841" s="269">
        <v>84579</v>
      </c>
      <c r="L1841" s="269">
        <v>86216</v>
      </c>
      <c r="M1841" s="270">
        <v>1</v>
      </c>
      <c r="N1841" s="268">
        <v>1</v>
      </c>
      <c r="O1841" s="271"/>
      <c r="P1841" s="271">
        <v>84579</v>
      </c>
      <c r="Q1841" s="271"/>
      <c r="R1841" s="271"/>
      <c r="S1841" s="271">
        <v>-86216</v>
      </c>
      <c r="T1841" s="271"/>
      <c r="U1841" s="272">
        <v>1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153</v>
      </c>
      <c r="B1842" s="267" t="s">
        <v>2259</v>
      </c>
      <c r="C1842" s="267" t="s">
        <v>94</v>
      </c>
      <c r="D1842" s="267" t="s">
        <v>92</v>
      </c>
      <c r="E1842" s="267" t="s">
        <v>0</v>
      </c>
      <c r="F1842" s="268"/>
      <c r="G1842" s="269"/>
      <c r="H1842" s="269"/>
      <c r="I1842" s="270"/>
      <c r="J1842" s="268">
        <v>1</v>
      </c>
      <c r="K1842" s="269">
        <v>84609</v>
      </c>
      <c r="L1842" s="269">
        <v>86202</v>
      </c>
      <c r="M1842" s="270">
        <v>1</v>
      </c>
      <c r="N1842" s="268">
        <v>1</v>
      </c>
      <c r="O1842" s="271"/>
      <c r="P1842" s="271">
        <v>84609</v>
      </c>
      <c r="Q1842" s="271"/>
      <c r="R1842" s="271"/>
      <c r="S1842" s="271">
        <v>-86202</v>
      </c>
      <c r="T1842" s="271"/>
      <c r="U1842" s="272">
        <v>1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153</v>
      </c>
      <c r="B1843" s="267" t="s">
        <v>2260</v>
      </c>
      <c r="C1843" s="267" t="s">
        <v>94</v>
      </c>
      <c r="D1843" s="267" t="s">
        <v>92</v>
      </c>
      <c r="E1843" s="267" t="s">
        <v>0</v>
      </c>
      <c r="F1843" s="268"/>
      <c r="G1843" s="269"/>
      <c r="H1843" s="269"/>
      <c r="I1843" s="270"/>
      <c r="J1843" s="268">
        <v>1</v>
      </c>
      <c r="K1843" s="269">
        <v>84870</v>
      </c>
      <c r="L1843" s="269">
        <v>85959</v>
      </c>
      <c r="M1843" s="270">
        <v>1</v>
      </c>
      <c r="N1843" s="268">
        <v>1</v>
      </c>
      <c r="O1843" s="271"/>
      <c r="P1843" s="271">
        <v>84870</v>
      </c>
      <c r="Q1843" s="271"/>
      <c r="R1843" s="271"/>
      <c r="S1843" s="271">
        <v>-85959</v>
      </c>
      <c r="T1843" s="271"/>
      <c r="U1843" s="272">
        <v>1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153</v>
      </c>
      <c r="B1844" s="267" t="s">
        <v>2261</v>
      </c>
      <c r="C1844" s="267" t="s">
        <v>94</v>
      </c>
      <c r="D1844" s="267" t="s">
        <v>92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84948</v>
      </c>
      <c r="L1844" s="269">
        <v>85943</v>
      </c>
      <c r="M1844" s="270">
        <v>1</v>
      </c>
      <c r="N1844" s="268">
        <v>1</v>
      </c>
      <c r="O1844" s="271"/>
      <c r="P1844" s="271">
        <v>84948</v>
      </c>
      <c r="Q1844" s="271"/>
      <c r="R1844" s="271"/>
      <c r="S1844" s="271">
        <v>-85943</v>
      </c>
      <c r="T1844" s="271"/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153</v>
      </c>
      <c r="B1845" s="267" t="s">
        <v>2262</v>
      </c>
      <c r="C1845" s="267" t="s">
        <v>94</v>
      </c>
      <c r="D1845" s="267" t="s">
        <v>92</v>
      </c>
      <c r="E1845" s="267" t="s">
        <v>0</v>
      </c>
      <c r="F1845" s="268"/>
      <c r="G1845" s="269"/>
      <c r="H1845" s="269"/>
      <c r="I1845" s="270"/>
      <c r="J1845" s="268">
        <v>1</v>
      </c>
      <c r="K1845" s="269">
        <v>84907</v>
      </c>
      <c r="L1845" s="269">
        <v>85926</v>
      </c>
      <c r="M1845" s="270">
        <v>1</v>
      </c>
      <c r="N1845" s="268">
        <v>1</v>
      </c>
      <c r="O1845" s="271"/>
      <c r="P1845" s="271">
        <v>84907</v>
      </c>
      <c r="Q1845" s="271"/>
      <c r="R1845" s="271"/>
      <c r="S1845" s="271">
        <v>-85926</v>
      </c>
      <c r="T1845" s="271"/>
      <c r="U1845" s="272">
        <v>1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153</v>
      </c>
      <c r="B1846" s="267" t="s">
        <v>2263</v>
      </c>
      <c r="C1846" s="267" t="s">
        <v>94</v>
      </c>
      <c r="D1846" s="267" t="s">
        <v>92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84953</v>
      </c>
      <c r="L1846" s="269">
        <v>85928</v>
      </c>
      <c r="M1846" s="270">
        <v>1</v>
      </c>
      <c r="N1846" s="268">
        <v>1</v>
      </c>
      <c r="O1846" s="271"/>
      <c r="P1846" s="271">
        <v>84953</v>
      </c>
      <c r="Q1846" s="271"/>
      <c r="R1846" s="271"/>
      <c r="S1846" s="271">
        <v>-85928</v>
      </c>
      <c r="T1846" s="271"/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153</v>
      </c>
      <c r="B1847" s="267" t="s">
        <v>2264</v>
      </c>
      <c r="C1847" s="267" t="s">
        <v>94</v>
      </c>
      <c r="D1847" s="267" t="s">
        <v>92</v>
      </c>
      <c r="E1847" s="267" t="s">
        <v>0</v>
      </c>
      <c r="F1847" s="268"/>
      <c r="G1847" s="269"/>
      <c r="H1847" s="269"/>
      <c r="I1847" s="270"/>
      <c r="J1847" s="268">
        <v>1</v>
      </c>
      <c r="K1847" s="269">
        <v>84681</v>
      </c>
      <c r="L1847" s="269">
        <v>86109</v>
      </c>
      <c r="M1847" s="270">
        <v>1</v>
      </c>
      <c r="N1847" s="268">
        <v>1</v>
      </c>
      <c r="O1847" s="271"/>
      <c r="P1847" s="271">
        <v>84681</v>
      </c>
      <c r="Q1847" s="271"/>
      <c r="R1847" s="271"/>
      <c r="S1847" s="271">
        <v>-86109</v>
      </c>
      <c r="T1847" s="271"/>
      <c r="U1847" s="272">
        <v>1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153</v>
      </c>
      <c r="B1848" s="267" t="s">
        <v>2265</v>
      </c>
      <c r="C1848" s="267" t="s">
        <v>94</v>
      </c>
      <c r="D1848" s="267" t="s">
        <v>92</v>
      </c>
      <c r="E1848" s="267" t="s">
        <v>0</v>
      </c>
      <c r="F1848" s="268"/>
      <c r="G1848" s="269"/>
      <c r="H1848" s="269"/>
      <c r="I1848" s="270"/>
      <c r="J1848" s="268">
        <v>1</v>
      </c>
      <c r="K1848" s="269">
        <v>84656</v>
      </c>
      <c r="L1848" s="269">
        <v>86134</v>
      </c>
      <c r="M1848" s="270">
        <v>1</v>
      </c>
      <c r="N1848" s="268">
        <v>1</v>
      </c>
      <c r="O1848" s="271"/>
      <c r="P1848" s="271">
        <v>84656</v>
      </c>
      <c r="Q1848" s="271"/>
      <c r="R1848" s="271"/>
      <c r="S1848" s="271">
        <v>-86134</v>
      </c>
      <c r="T1848" s="271"/>
      <c r="U1848" s="272">
        <v>1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153</v>
      </c>
      <c r="B1849" s="267" t="s">
        <v>2266</v>
      </c>
      <c r="C1849" s="267" t="s">
        <v>94</v>
      </c>
      <c r="D1849" s="267" t="s">
        <v>92</v>
      </c>
      <c r="E1849" s="267" t="s">
        <v>0</v>
      </c>
      <c r="F1849" s="268"/>
      <c r="G1849" s="269"/>
      <c r="H1849" s="269"/>
      <c r="I1849" s="270"/>
      <c r="J1849" s="268">
        <v>1</v>
      </c>
      <c r="K1849" s="269">
        <v>84557</v>
      </c>
      <c r="L1849" s="269">
        <v>86246</v>
      </c>
      <c r="M1849" s="270">
        <v>1</v>
      </c>
      <c r="N1849" s="268">
        <v>1</v>
      </c>
      <c r="O1849" s="271"/>
      <c r="P1849" s="271">
        <v>84557</v>
      </c>
      <c r="Q1849" s="271"/>
      <c r="R1849" s="271"/>
      <c r="S1849" s="271">
        <v>-86246</v>
      </c>
      <c r="T1849" s="271"/>
      <c r="U1849" s="272">
        <v>1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153</v>
      </c>
      <c r="B1850" s="267" t="s">
        <v>2267</v>
      </c>
      <c r="C1850" s="267" t="s">
        <v>94</v>
      </c>
      <c r="D1850" s="267" t="s">
        <v>92</v>
      </c>
      <c r="E1850" s="267" t="s">
        <v>0</v>
      </c>
      <c r="F1850" s="268"/>
      <c r="G1850" s="269"/>
      <c r="H1850" s="269"/>
      <c r="I1850" s="270"/>
      <c r="J1850" s="268">
        <v>1</v>
      </c>
      <c r="K1850" s="269">
        <v>84406</v>
      </c>
      <c r="L1850" s="269">
        <v>86374</v>
      </c>
      <c r="M1850" s="270">
        <v>1</v>
      </c>
      <c r="N1850" s="268">
        <v>1</v>
      </c>
      <c r="O1850" s="271"/>
      <c r="P1850" s="271">
        <v>84406</v>
      </c>
      <c r="Q1850" s="271"/>
      <c r="R1850" s="271"/>
      <c r="S1850" s="271">
        <v>-86374</v>
      </c>
      <c r="T1850" s="271"/>
      <c r="U1850" s="272">
        <v>1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153</v>
      </c>
      <c r="B1851" s="267" t="s">
        <v>2268</v>
      </c>
      <c r="C1851" s="267" t="s">
        <v>94</v>
      </c>
      <c r="D1851" s="267" t="s">
        <v>92</v>
      </c>
      <c r="E1851" s="267" t="s">
        <v>0</v>
      </c>
      <c r="F1851" s="268"/>
      <c r="G1851" s="269"/>
      <c r="H1851" s="269"/>
      <c r="I1851" s="270"/>
      <c r="J1851" s="268">
        <v>1</v>
      </c>
      <c r="K1851" s="269">
        <v>84564</v>
      </c>
      <c r="L1851" s="269">
        <v>86253</v>
      </c>
      <c r="M1851" s="270">
        <v>1</v>
      </c>
      <c r="N1851" s="268">
        <v>1</v>
      </c>
      <c r="O1851" s="271"/>
      <c r="P1851" s="271">
        <v>84564</v>
      </c>
      <c r="Q1851" s="271"/>
      <c r="R1851" s="271"/>
      <c r="S1851" s="271">
        <v>-86253</v>
      </c>
      <c r="T1851" s="271"/>
      <c r="U1851" s="272">
        <v>1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153</v>
      </c>
      <c r="B1852" s="267" t="s">
        <v>2269</v>
      </c>
      <c r="C1852" s="267" t="s">
        <v>94</v>
      </c>
      <c r="D1852" s="267" t="s">
        <v>92</v>
      </c>
      <c r="E1852" s="267" t="s">
        <v>0</v>
      </c>
      <c r="F1852" s="268"/>
      <c r="G1852" s="269"/>
      <c r="H1852" s="269"/>
      <c r="I1852" s="270"/>
      <c r="J1852" s="268">
        <v>1</v>
      </c>
      <c r="K1852" s="269">
        <v>84421</v>
      </c>
      <c r="L1852" s="269">
        <v>86369</v>
      </c>
      <c r="M1852" s="270">
        <v>1</v>
      </c>
      <c r="N1852" s="268">
        <v>1</v>
      </c>
      <c r="O1852" s="271"/>
      <c r="P1852" s="271">
        <v>84421</v>
      </c>
      <c r="Q1852" s="271"/>
      <c r="R1852" s="271"/>
      <c r="S1852" s="271">
        <v>-86369</v>
      </c>
      <c r="T1852" s="271"/>
      <c r="U1852" s="272">
        <v>1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153</v>
      </c>
      <c r="B1853" s="267" t="s">
        <v>2270</v>
      </c>
      <c r="C1853" s="267" t="s">
        <v>94</v>
      </c>
      <c r="D1853" s="267" t="s">
        <v>92</v>
      </c>
      <c r="E1853" s="267" t="s">
        <v>0</v>
      </c>
      <c r="F1853" s="268"/>
      <c r="G1853" s="269"/>
      <c r="H1853" s="269"/>
      <c r="I1853" s="270"/>
      <c r="J1853" s="268">
        <v>1</v>
      </c>
      <c r="K1853" s="269">
        <v>84621</v>
      </c>
      <c r="L1853" s="269">
        <v>86235</v>
      </c>
      <c r="M1853" s="270">
        <v>1</v>
      </c>
      <c r="N1853" s="268">
        <v>1</v>
      </c>
      <c r="O1853" s="271"/>
      <c r="P1853" s="271">
        <v>84621</v>
      </c>
      <c r="Q1853" s="271"/>
      <c r="R1853" s="271"/>
      <c r="S1853" s="271">
        <v>-86235</v>
      </c>
      <c r="T1853" s="271"/>
      <c r="U1853" s="272">
        <v>1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153</v>
      </c>
      <c r="B1854" s="267" t="s">
        <v>2271</v>
      </c>
      <c r="C1854" s="267" t="s">
        <v>94</v>
      </c>
      <c r="D1854" s="267" t="s">
        <v>92</v>
      </c>
      <c r="E1854" s="267" t="s">
        <v>0</v>
      </c>
      <c r="F1854" s="268"/>
      <c r="G1854" s="269"/>
      <c r="H1854" s="269"/>
      <c r="I1854" s="270"/>
      <c r="J1854" s="268">
        <v>1</v>
      </c>
      <c r="K1854" s="269">
        <v>84626</v>
      </c>
      <c r="L1854" s="269">
        <v>86220</v>
      </c>
      <c r="M1854" s="270">
        <v>1</v>
      </c>
      <c r="N1854" s="268">
        <v>1</v>
      </c>
      <c r="O1854" s="271"/>
      <c r="P1854" s="271">
        <v>84626</v>
      </c>
      <c r="Q1854" s="271"/>
      <c r="R1854" s="271"/>
      <c r="S1854" s="271">
        <v>-86220</v>
      </c>
      <c r="T1854" s="271"/>
      <c r="U1854" s="272">
        <v>1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153</v>
      </c>
      <c r="B1855" s="267" t="s">
        <v>2272</v>
      </c>
      <c r="C1855" s="267" t="s">
        <v>94</v>
      </c>
      <c r="D1855" s="267" t="s">
        <v>92</v>
      </c>
      <c r="E1855" s="267" t="s">
        <v>0</v>
      </c>
      <c r="F1855" s="268"/>
      <c r="G1855" s="269"/>
      <c r="H1855" s="269"/>
      <c r="I1855" s="270"/>
      <c r="J1855" s="268">
        <v>1</v>
      </c>
      <c r="K1855" s="269">
        <v>85032</v>
      </c>
      <c r="L1855" s="269">
        <v>85996</v>
      </c>
      <c r="M1855" s="270">
        <v>1</v>
      </c>
      <c r="N1855" s="268">
        <v>1</v>
      </c>
      <c r="O1855" s="271"/>
      <c r="P1855" s="271">
        <v>85032</v>
      </c>
      <c r="Q1855" s="271"/>
      <c r="R1855" s="271"/>
      <c r="S1855" s="271">
        <v>-85996</v>
      </c>
      <c r="T1855" s="271"/>
      <c r="U1855" s="272">
        <v>1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153</v>
      </c>
      <c r="B1856" s="267" t="s">
        <v>2273</v>
      </c>
      <c r="C1856" s="267" t="s">
        <v>94</v>
      </c>
      <c r="D1856" s="267" t="s">
        <v>92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84908</v>
      </c>
      <c r="L1856" s="269">
        <v>85980</v>
      </c>
      <c r="M1856" s="270">
        <v>1</v>
      </c>
      <c r="N1856" s="268">
        <v>1</v>
      </c>
      <c r="O1856" s="271"/>
      <c r="P1856" s="271">
        <v>84908</v>
      </c>
      <c r="Q1856" s="271"/>
      <c r="R1856" s="271"/>
      <c r="S1856" s="271">
        <v>-85980</v>
      </c>
      <c r="T1856" s="271"/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153</v>
      </c>
      <c r="B1857" s="267" t="s">
        <v>2274</v>
      </c>
      <c r="C1857" s="267" t="s">
        <v>94</v>
      </c>
      <c r="D1857" s="267" t="s">
        <v>92</v>
      </c>
      <c r="E1857" s="267" t="s">
        <v>0</v>
      </c>
      <c r="F1857" s="268"/>
      <c r="G1857" s="269"/>
      <c r="H1857" s="269"/>
      <c r="I1857" s="270"/>
      <c r="J1857" s="268">
        <v>1</v>
      </c>
      <c r="K1857" s="269">
        <v>84821</v>
      </c>
      <c r="L1857" s="269">
        <v>86012</v>
      </c>
      <c r="M1857" s="270">
        <v>1</v>
      </c>
      <c r="N1857" s="268">
        <v>1</v>
      </c>
      <c r="O1857" s="271"/>
      <c r="P1857" s="271">
        <v>84821</v>
      </c>
      <c r="Q1857" s="271"/>
      <c r="R1857" s="271"/>
      <c r="S1857" s="271">
        <v>-86012</v>
      </c>
      <c r="T1857" s="271"/>
      <c r="U1857" s="272">
        <v>1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153</v>
      </c>
      <c r="B1858" s="267" t="s">
        <v>2275</v>
      </c>
      <c r="C1858" s="267" t="s">
        <v>94</v>
      </c>
      <c r="D1858" s="267" t="s">
        <v>92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84877</v>
      </c>
      <c r="L1858" s="269">
        <v>86026</v>
      </c>
      <c r="M1858" s="270">
        <v>1</v>
      </c>
      <c r="N1858" s="268">
        <v>1</v>
      </c>
      <c r="O1858" s="271"/>
      <c r="P1858" s="271">
        <v>84877</v>
      </c>
      <c r="Q1858" s="271"/>
      <c r="R1858" s="271"/>
      <c r="S1858" s="271">
        <v>-86026</v>
      </c>
      <c r="T1858" s="271"/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153</v>
      </c>
      <c r="B1859" s="267" t="s">
        <v>2276</v>
      </c>
      <c r="C1859" s="267" t="s">
        <v>94</v>
      </c>
      <c r="D1859" s="267" t="s">
        <v>92</v>
      </c>
      <c r="E1859" s="267" t="s">
        <v>0</v>
      </c>
      <c r="F1859" s="268"/>
      <c r="G1859" s="269"/>
      <c r="H1859" s="269"/>
      <c r="I1859" s="270"/>
      <c r="J1859" s="268">
        <v>1</v>
      </c>
      <c r="K1859" s="269">
        <v>84481</v>
      </c>
      <c r="L1859" s="269">
        <v>86359</v>
      </c>
      <c r="M1859" s="270">
        <v>1</v>
      </c>
      <c r="N1859" s="268">
        <v>1</v>
      </c>
      <c r="O1859" s="271"/>
      <c r="P1859" s="271">
        <v>84481</v>
      </c>
      <c r="Q1859" s="271"/>
      <c r="R1859" s="271"/>
      <c r="S1859" s="271">
        <v>-86359</v>
      </c>
      <c r="T1859" s="271"/>
      <c r="U1859" s="272">
        <v>1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153</v>
      </c>
      <c r="B1860" s="267" t="s">
        <v>2277</v>
      </c>
      <c r="C1860" s="267" t="s">
        <v>94</v>
      </c>
      <c r="D1860" s="267" t="s">
        <v>92</v>
      </c>
      <c r="E1860" s="267" t="s">
        <v>0</v>
      </c>
      <c r="F1860" s="268"/>
      <c r="G1860" s="269"/>
      <c r="H1860" s="269"/>
      <c r="I1860" s="270"/>
      <c r="J1860" s="268">
        <v>1</v>
      </c>
      <c r="K1860" s="269">
        <v>84646</v>
      </c>
      <c r="L1860" s="269">
        <v>86374</v>
      </c>
      <c r="M1860" s="270">
        <v>1</v>
      </c>
      <c r="N1860" s="268">
        <v>1</v>
      </c>
      <c r="O1860" s="271"/>
      <c r="P1860" s="271">
        <v>84646</v>
      </c>
      <c r="Q1860" s="271"/>
      <c r="R1860" s="271"/>
      <c r="S1860" s="271">
        <v>-86374</v>
      </c>
      <c r="T1860" s="271"/>
      <c r="U1860" s="272">
        <v>1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153</v>
      </c>
      <c r="B1861" s="267" t="s">
        <v>2278</v>
      </c>
      <c r="C1861" s="267" t="s">
        <v>94</v>
      </c>
      <c r="D1861" s="267" t="s">
        <v>92</v>
      </c>
      <c r="E1861" s="267" t="s">
        <v>0</v>
      </c>
      <c r="F1861" s="268"/>
      <c r="G1861" s="269"/>
      <c r="H1861" s="269"/>
      <c r="I1861" s="270"/>
      <c r="J1861" s="268">
        <v>1</v>
      </c>
      <c r="K1861" s="269">
        <v>85046</v>
      </c>
      <c r="L1861" s="269">
        <v>85979</v>
      </c>
      <c r="M1861" s="270">
        <v>1</v>
      </c>
      <c r="N1861" s="268">
        <v>1</v>
      </c>
      <c r="O1861" s="271"/>
      <c r="P1861" s="271">
        <v>85046</v>
      </c>
      <c r="Q1861" s="271"/>
      <c r="R1861" s="271"/>
      <c r="S1861" s="271">
        <v>-85979</v>
      </c>
      <c r="T1861" s="271"/>
      <c r="U1861" s="272">
        <v>1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153</v>
      </c>
      <c r="B1862" s="267" t="s">
        <v>2279</v>
      </c>
      <c r="C1862" s="267" t="s">
        <v>94</v>
      </c>
      <c r="D1862" s="267" t="s">
        <v>92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84945</v>
      </c>
      <c r="L1862" s="269">
        <v>85947</v>
      </c>
      <c r="M1862" s="270">
        <v>1</v>
      </c>
      <c r="N1862" s="268">
        <v>1</v>
      </c>
      <c r="O1862" s="271"/>
      <c r="P1862" s="271">
        <v>84945</v>
      </c>
      <c r="Q1862" s="271"/>
      <c r="R1862" s="271"/>
      <c r="S1862" s="271">
        <v>-85947</v>
      </c>
      <c r="T1862" s="271"/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153</v>
      </c>
      <c r="B1863" s="267" t="s">
        <v>2280</v>
      </c>
      <c r="C1863" s="267" t="s">
        <v>94</v>
      </c>
      <c r="D1863" s="267" t="s">
        <v>92</v>
      </c>
      <c r="E1863" s="267" t="s">
        <v>0</v>
      </c>
      <c r="F1863" s="268"/>
      <c r="G1863" s="269"/>
      <c r="H1863" s="269"/>
      <c r="I1863" s="270"/>
      <c r="J1863" s="268">
        <v>1</v>
      </c>
      <c r="K1863" s="269">
        <v>84858</v>
      </c>
      <c r="L1863" s="269">
        <v>85979</v>
      </c>
      <c r="M1863" s="270">
        <v>1</v>
      </c>
      <c r="N1863" s="268">
        <v>1</v>
      </c>
      <c r="O1863" s="271"/>
      <c r="P1863" s="271">
        <v>84858</v>
      </c>
      <c r="Q1863" s="271"/>
      <c r="R1863" s="271"/>
      <c r="S1863" s="271">
        <v>-85979</v>
      </c>
      <c r="T1863" s="271"/>
      <c r="U1863" s="272">
        <v>1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153</v>
      </c>
      <c r="B1864" s="267" t="s">
        <v>2281</v>
      </c>
      <c r="C1864" s="267" t="s">
        <v>94</v>
      </c>
      <c r="D1864" s="267" t="s">
        <v>92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84905</v>
      </c>
      <c r="L1864" s="269">
        <v>85995</v>
      </c>
      <c r="M1864" s="270">
        <v>1</v>
      </c>
      <c r="N1864" s="268">
        <v>1</v>
      </c>
      <c r="O1864" s="271"/>
      <c r="P1864" s="271">
        <v>84905</v>
      </c>
      <c r="Q1864" s="271"/>
      <c r="R1864" s="271"/>
      <c r="S1864" s="271">
        <v>-85995</v>
      </c>
      <c r="T1864" s="271"/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153</v>
      </c>
      <c r="B1865" s="267" t="s">
        <v>2282</v>
      </c>
      <c r="C1865" s="267" t="s">
        <v>94</v>
      </c>
      <c r="D1865" s="267" t="s">
        <v>92</v>
      </c>
      <c r="E1865" s="267" t="s">
        <v>0</v>
      </c>
      <c r="F1865" s="268"/>
      <c r="G1865" s="269"/>
      <c r="H1865" s="269"/>
      <c r="I1865" s="270"/>
      <c r="J1865" s="268">
        <v>1</v>
      </c>
      <c r="K1865" s="269">
        <v>84511</v>
      </c>
      <c r="L1865" s="269">
        <v>86319</v>
      </c>
      <c r="M1865" s="270">
        <v>1</v>
      </c>
      <c r="N1865" s="268">
        <v>1</v>
      </c>
      <c r="O1865" s="271"/>
      <c r="P1865" s="271">
        <v>84511</v>
      </c>
      <c r="Q1865" s="271"/>
      <c r="R1865" s="271"/>
      <c r="S1865" s="271">
        <v>-86319</v>
      </c>
      <c r="T1865" s="271"/>
      <c r="U1865" s="272">
        <v>1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153</v>
      </c>
      <c r="B1866" s="267" t="s">
        <v>2283</v>
      </c>
      <c r="C1866" s="267" t="s">
        <v>94</v>
      </c>
      <c r="D1866" s="267" t="s">
        <v>92</v>
      </c>
      <c r="E1866" s="267" t="s">
        <v>0</v>
      </c>
      <c r="F1866" s="268"/>
      <c r="G1866" s="269"/>
      <c r="H1866" s="269"/>
      <c r="I1866" s="270"/>
      <c r="J1866" s="268">
        <v>1</v>
      </c>
      <c r="K1866" s="269">
        <v>84651</v>
      </c>
      <c r="L1866" s="269">
        <v>86359</v>
      </c>
      <c r="M1866" s="270">
        <v>1</v>
      </c>
      <c r="N1866" s="268">
        <v>1</v>
      </c>
      <c r="O1866" s="271"/>
      <c r="P1866" s="271">
        <v>84651</v>
      </c>
      <c r="Q1866" s="271"/>
      <c r="R1866" s="271"/>
      <c r="S1866" s="271">
        <v>-86359</v>
      </c>
      <c r="T1866" s="271"/>
      <c r="U1866" s="272">
        <v>1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153</v>
      </c>
      <c r="B1867" s="267" t="s">
        <v>2284</v>
      </c>
      <c r="C1867" s="267" t="s">
        <v>94</v>
      </c>
      <c r="D1867" s="267" t="s">
        <v>92</v>
      </c>
      <c r="E1867" s="267" t="s">
        <v>0</v>
      </c>
      <c r="F1867" s="268"/>
      <c r="G1867" s="269"/>
      <c r="H1867" s="269"/>
      <c r="I1867" s="270"/>
      <c r="J1867" s="268">
        <v>1</v>
      </c>
      <c r="K1867" s="269">
        <v>84871</v>
      </c>
      <c r="L1867" s="269">
        <v>85928</v>
      </c>
      <c r="M1867" s="270">
        <v>1</v>
      </c>
      <c r="N1867" s="268">
        <v>1</v>
      </c>
      <c r="O1867" s="271"/>
      <c r="P1867" s="271">
        <v>84871</v>
      </c>
      <c r="Q1867" s="271"/>
      <c r="R1867" s="271"/>
      <c r="S1867" s="271">
        <v>-85928</v>
      </c>
      <c r="T1867" s="271"/>
      <c r="U1867" s="272">
        <v>1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153</v>
      </c>
      <c r="B1868" s="267" t="s">
        <v>2285</v>
      </c>
      <c r="C1868" s="267" t="s">
        <v>94</v>
      </c>
      <c r="D1868" s="267" t="s">
        <v>92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84949</v>
      </c>
      <c r="L1868" s="269">
        <v>85912</v>
      </c>
      <c r="M1868" s="270">
        <v>1</v>
      </c>
      <c r="N1868" s="268">
        <v>1</v>
      </c>
      <c r="O1868" s="271"/>
      <c r="P1868" s="271">
        <v>84949</v>
      </c>
      <c r="Q1868" s="271"/>
      <c r="R1868" s="271"/>
      <c r="S1868" s="271">
        <v>-85912</v>
      </c>
      <c r="T1868" s="271"/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153</v>
      </c>
      <c r="B1869" s="267" t="s">
        <v>2286</v>
      </c>
      <c r="C1869" s="267" t="s">
        <v>94</v>
      </c>
      <c r="D1869" s="267" t="s">
        <v>92</v>
      </c>
      <c r="E1869" s="267" t="s">
        <v>0</v>
      </c>
      <c r="F1869" s="268"/>
      <c r="G1869" s="269"/>
      <c r="H1869" s="269"/>
      <c r="I1869" s="270"/>
      <c r="J1869" s="268">
        <v>1</v>
      </c>
      <c r="K1869" s="269">
        <v>84894</v>
      </c>
      <c r="L1869" s="269">
        <v>85912</v>
      </c>
      <c r="M1869" s="270">
        <v>1</v>
      </c>
      <c r="N1869" s="268">
        <v>1</v>
      </c>
      <c r="O1869" s="271"/>
      <c r="P1869" s="271">
        <v>84894</v>
      </c>
      <c r="Q1869" s="271"/>
      <c r="R1869" s="271"/>
      <c r="S1869" s="271">
        <v>-85912</v>
      </c>
      <c r="T1869" s="271"/>
      <c r="U1869" s="272">
        <v>1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153</v>
      </c>
      <c r="B1870" s="267" t="s">
        <v>2287</v>
      </c>
      <c r="C1870" s="267" t="s">
        <v>94</v>
      </c>
      <c r="D1870" s="267" t="s">
        <v>92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84940</v>
      </c>
      <c r="L1870" s="269">
        <v>85914</v>
      </c>
      <c r="M1870" s="270">
        <v>1</v>
      </c>
      <c r="N1870" s="268">
        <v>1</v>
      </c>
      <c r="O1870" s="271"/>
      <c r="P1870" s="271">
        <v>84940</v>
      </c>
      <c r="Q1870" s="271"/>
      <c r="R1870" s="271"/>
      <c r="S1870" s="271">
        <v>-85914</v>
      </c>
      <c r="T1870" s="271"/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153</v>
      </c>
      <c r="B1871" s="267" t="s">
        <v>2288</v>
      </c>
      <c r="C1871" s="267" t="s">
        <v>94</v>
      </c>
      <c r="D1871" s="267" t="s">
        <v>92</v>
      </c>
      <c r="E1871" s="267" t="s">
        <v>0</v>
      </c>
      <c r="F1871" s="268"/>
      <c r="G1871" s="269"/>
      <c r="H1871" s="269"/>
      <c r="I1871" s="270"/>
      <c r="J1871" s="268">
        <v>1</v>
      </c>
      <c r="K1871" s="269">
        <v>84516</v>
      </c>
      <c r="L1871" s="269">
        <v>86298</v>
      </c>
      <c r="M1871" s="270">
        <v>1</v>
      </c>
      <c r="N1871" s="268">
        <v>1</v>
      </c>
      <c r="O1871" s="271"/>
      <c r="P1871" s="271">
        <v>84516</v>
      </c>
      <c r="Q1871" s="271"/>
      <c r="R1871" s="271"/>
      <c r="S1871" s="271">
        <v>-86298</v>
      </c>
      <c r="T1871" s="271"/>
      <c r="U1871" s="272">
        <v>1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153</v>
      </c>
      <c r="B1872" s="267" t="s">
        <v>2289</v>
      </c>
      <c r="C1872" s="267" t="s">
        <v>94</v>
      </c>
      <c r="D1872" s="267" t="s">
        <v>92</v>
      </c>
      <c r="E1872" s="267" t="s">
        <v>0</v>
      </c>
      <c r="F1872" s="268"/>
      <c r="G1872" s="269"/>
      <c r="H1872" s="269"/>
      <c r="I1872" s="270"/>
      <c r="J1872" s="268">
        <v>1</v>
      </c>
      <c r="K1872" s="269">
        <v>84491</v>
      </c>
      <c r="L1872" s="269">
        <v>86323</v>
      </c>
      <c r="M1872" s="270">
        <v>1</v>
      </c>
      <c r="N1872" s="268">
        <v>1</v>
      </c>
      <c r="O1872" s="271"/>
      <c r="P1872" s="271">
        <v>84491</v>
      </c>
      <c r="Q1872" s="271"/>
      <c r="R1872" s="271"/>
      <c r="S1872" s="271">
        <v>-86323</v>
      </c>
      <c r="T1872" s="271"/>
      <c r="U1872" s="272">
        <v>1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153</v>
      </c>
      <c r="B1873" s="267" t="s">
        <v>2290</v>
      </c>
      <c r="C1873" s="267" t="s">
        <v>94</v>
      </c>
      <c r="D1873" s="267" t="s">
        <v>92</v>
      </c>
      <c r="E1873" s="267" t="s">
        <v>0</v>
      </c>
      <c r="F1873" s="268"/>
      <c r="G1873" s="269"/>
      <c r="H1873" s="269"/>
      <c r="I1873" s="270"/>
      <c r="J1873" s="268">
        <v>1</v>
      </c>
      <c r="K1873" s="269">
        <v>84641</v>
      </c>
      <c r="L1873" s="269">
        <v>86146</v>
      </c>
      <c r="M1873" s="270">
        <v>1</v>
      </c>
      <c r="N1873" s="268">
        <v>1</v>
      </c>
      <c r="O1873" s="271"/>
      <c r="P1873" s="271">
        <v>84641</v>
      </c>
      <c r="Q1873" s="271"/>
      <c r="R1873" s="271"/>
      <c r="S1873" s="271">
        <v>-86146</v>
      </c>
      <c r="T1873" s="271"/>
      <c r="U1873" s="272">
        <v>1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153</v>
      </c>
      <c r="B1874" s="267" t="s">
        <v>2291</v>
      </c>
      <c r="C1874" s="267" t="s">
        <v>94</v>
      </c>
      <c r="D1874" s="267" t="s">
        <v>92</v>
      </c>
      <c r="E1874" s="267" t="s">
        <v>0</v>
      </c>
      <c r="F1874" s="268"/>
      <c r="G1874" s="269"/>
      <c r="H1874" s="269"/>
      <c r="I1874" s="270"/>
      <c r="J1874" s="268">
        <v>1</v>
      </c>
      <c r="K1874" s="269">
        <v>84820</v>
      </c>
      <c r="L1874" s="269">
        <v>86162</v>
      </c>
      <c r="M1874" s="270">
        <v>1</v>
      </c>
      <c r="N1874" s="268">
        <v>1</v>
      </c>
      <c r="O1874" s="271"/>
      <c r="P1874" s="271">
        <v>84820</v>
      </c>
      <c r="Q1874" s="271"/>
      <c r="R1874" s="271"/>
      <c r="S1874" s="271">
        <v>-86162</v>
      </c>
      <c r="T1874" s="271"/>
      <c r="U1874" s="272">
        <v>1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153</v>
      </c>
      <c r="B1875" s="267" t="s">
        <v>2292</v>
      </c>
      <c r="C1875" s="267" t="s">
        <v>94</v>
      </c>
      <c r="D1875" s="267" t="s">
        <v>92</v>
      </c>
      <c r="E1875" s="267" t="s">
        <v>0</v>
      </c>
      <c r="F1875" s="268"/>
      <c r="G1875" s="269"/>
      <c r="H1875" s="269"/>
      <c r="I1875" s="270"/>
      <c r="J1875" s="268">
        <v>1</v>
      </c>
      <c r="K1875" s="269">
        <v>84648</v>
      </c>
      <c r="L1875" s="269">
        <v>86153</v>
      </c>
      <c r="M1875" s="270">
        <v>1</v>
      </c>
      <c r="N1875" s="268">
        <v>1</v>
      </c>
      <c r="O1875" s="271"/>
      <c r="P1875" s="271">
        <v>84648</v>
      </c>
      <c r="Q1875" s="271"/>
      <c r="R1875" s="271"/>
      <c r="S1875" s="271">
        <v>-86153</v>
      </c>
      <c r="T1875" s="271"/>
      <c r="U1875" s="272">
        <v>1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153</v>
      </c>
      <c r="B1876" s="267" t="s">
        <v>2293</v>
      </c>
      <c r="C1876" s="267" t="s">
        <v>94</v>
      </c>
      <c r="D1876" s="267" t="s">
        <v>92</v>
      </c>
      <c r="E1876" s="267" t="s">
        <v>0</v>
      </c>
      <c r="F1876" s="268"/>
      <c r="G1876" s="269"/>
      <c r="H1876" s="269"/>
      <c r="I1876" s="270"/>
      <c r="J1876" s="268">
        <v>1</v>
      </c>
      <c r="K1876" s="269">
        <v>84818</v>
      </c>
      <c r="L1876" s="269">
        <v>86171</v>
      </c>
      <c r="M1876" s="270">
        <v>1</v>
      </c>
      <c r="N1876" s="268">
        <v>1</v>
      </c>
      <c r="O1876" s="271"/>
      <c r="P1876" s="271">
        <v>84818</v>
      </c>
      <c r="Q1876" s="271"/>
      <c r="R1876" s="271"/>
      <c r="S1876" s="271">
        <v>-86171</v>
      </c>
      <c r="T1876" s="271"/>
      <c r="U1876" s="272">
        <v>1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153</v>
      </c>
      <c r="B1877" s="267" t="s">
        <v>2294</v>
      </c>
      <c r="C1877" s="267" t="s">
        <v>94</v>
      </c>
      <c r="D1877" s="267" t="s">
        <v>92</v>
      </c>
      <c r="E1877" s="267" t="s">
        <v>0</v>
      </c>
      <c r="F1877" s="268"/>
      <c r="G1877" s="269"/>
      <c r="H1877" s="269"/>
      <c r="I1877" s="270"/>
      <c r="J1877" s="268">
        <v>1</v>
      </c>
      <c r="K1877" s="269">
        <v>84602</v>
      </c>
      <c r="L1877" s="269">
        <v>86184</v>
      </c>
      <c r="M1877" s="270">
        <v>1</v>
      </c>
      <c r="N1877" s="268">
        <v>1</v>
      </c>
      <c r="O1877" s="271"/>
      <c r="P1877" s="271">
        <v>84602</v>
      </c>
      <c r="Q1877" s="271"/>
      <c r="R1877" s="271"/>
      <c r="S1877" s="271">
        <v>-86184</v>
      </c>
      <c r="T1877" s="271"/>
      <c r="U1877" s="272">
        <v>1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153</v>
      </c>
      <c r="B1878" s="267" t="s">
        <v>2295</v>
      </c>
      <c r="C1878" s="267" t="s">
        <v>94</v>
      </c>
      <c r="D1878" s="267" t="s">
        <v>92</v>
      </c>
      <c r="E1878" s="267" t="s">
        <v>0</v>
      </c>
      <c r="F1878" s="268"/>
      <c r="G1878" s="269"/>
      <c r="H1878" s="269"/>
      <c r="I1878" s="270"/>
      <c r="J1878" s="268">
        <v>1</v>
      </c>
      <c r="K1878" s="269">
        <v>84593</v>
      </c>
      <c r="L1878" s="269">
        <v>86186</v>
      </c>
      <c r="M1878" s="270">
        <v>1</v>
      </c>
      <c r="N1878" s="268">
        <v>1</v>
      </c>
      <c r="O1878" s="271"/>
      <c r="P1878" s="271">
        <v>84593</v>
      </c>
      <c r="Q1878" s="271"/>
      <c r="R1878" s="271"/>
      <c r="S1878" s="271">
        <v>-86186</v>
      </c>
      <c r="T1878" s="271"/>
      <c r="U1878" s="272">
        <v>1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153</v>
      </c>
      <c r="B1879" s="267" t="s">
        <v>2296</v>
      </c>
      <c r="C1879" s="267" t="s">
        <v>94</v>
      </c>
      <c r="D1879" s="267" t="s">
        <v>92</v>
      </c>
      <c r="E1879" s="267" t="s">
        <v>0</v>
      </c>
      <c r="F1879" s="268"/>
      <c r="G1879" s="269"/>
      <c r="H1879" s="269"/>
      <c r="I1879" s="270"/>
      <c r="J1879" s="268">
        <v>1</v>
      </c>
      <c r="K1879" s="269">
        <v>84841</v>
      </c>
      <c r="L1879" s="269">
        <v>86157</v>
      </c>
      <c r="M1879" s="270">
        <v>1</v>
      </c>
      <c r="N1879" s="268">
        <v>1</v>
      </c>
      <c r="O1879" s="271"/>
      <c r="P1879" s="271">
        <v>84841</v>
      </c>
      <c r="Q1879" s="271"/>
      <c r="R1879" s="271"/>
      <c r="S1879" s="271">
        <v>-86157</v>
      </c>
      <c r="T1879" s="271"/>
      <c r="U1879" s="272">
        <v>1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153</v>
      </c>
      <c r="B1880" s="267" t="s">
        <v>2297</v>
      </c>
      <c r="C1880" s="267" t="s">
        <v>94</v>
      </c>
      <c r="D1880" s="267" t="s">
        <v>92</v>
      </c>
      <c r="E1880" s="267" t="s">
        <v>0</v>
      </c>
      <c r="F1880" s="268"/>
      <c r="G1880" s="269"/>
      <c r="H1880" s="269"/>
      <c r="I1880" s="270"/>
      <c r="J1880" s="268">
        <v>1</v>
      </c>
      <c r="K1880" s="269">
        <v>84528</v>
      </c>
      <c r="L1880" s="269">
        <v>86255</v>
      </c>
      <c r="M1880" s="270">
        <v>1</v>
      </c>
      <c r="N1880" s="268">
        <v>1</v>
      </c>
      <c r="O1880" s="271"/>
      <c r="P1880" s="271">
        <v>84528</v>
      </c>
      <c r="Q1880" s="271"/>
      <c r="R1880" s="271"/>
      <c r="S1880" s="271">
        <v>-86255</v>
      </c>
      <c r="T1880" s="271"/>
      <c r="U1880" s="272">
        <v>1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153</v>
      </c>
      <c r="B1881" s="267" t="s">
        <v>2298</v>
      </c>
      <c r="C1881" s="267" t="s">
        <v>94</v>
      </c>
      <c r="D1881" s="267" t="s">
        <v>92</v>
      </c>
      <c r="E1881" s="267" t="s">
        <v>0</v>
      </c>
      <c r="F1881" s="268"/>
      <c r="G1881" s="269"/>
      <c r="H1881" s="269"/>
      <c r="I1881" s="270"/>
      <c r="J1881" s="268">
        <v>1</v>
      </c>
      <c r="K1881" s="269">
        <v>84630</v>
      </c>
      <c r="L1881" s="269">
        <v>86173</v>
      </c>
      <c r="M1881" s="270">
        <v>1</v>
      </c>
      <c r="N1881" s="268">
        <v>1</v>
      </c>
      <c r="O1881" s="271"/>
      <c r="P1881" s="271">
        <v>84630</v>
      </c>
      <c r="Q1881" s="271"/>
      <c r="R1881" s="271"/>
      <c r="S1881" s="271">
        <v>-86173</v>
      </c>
      <c r="T1881" s="271"/>
      <c r="U1881" s="272">
        <v>1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153</v>
      </c>
      <c r="B1882" s="267" t="s">
        <v>2299</v>
      </c>
      <c r="C1882" s="267" t="s">
        <v>94</v>
      </c>
      <c r="D1882" s="267" t="s">
        <v>92</v>
      </c>
      <c r="E1882" s="267" t="s">
        <v>0</v>
      </c>
      <c r="F1882" s="268"/>
      <c r="G1882" s="269"/>
      <c r="H1882" s="269"/>
      <c r="I1882" s="270"/>
      <c r="J1882" s="268">
        <v>1</v>
      </c>
      <c r="K1882" s="269">
        <v>84563</v>
      </c>
      <c r="L1882" s="269">
        <v>86251</v>
      </c>
      <c r="M1882" s="270">
        <v>1</v>
      </c>
      <c r="N1882" s="268">
        <v>1</v>
      </c>
      <c r="O1882" s="271"/>
      <c r="P1882" s="271">
        <v>84563</v>
      </c>
      <c r="Q1882" s="271"/>
      <c r="R1882" s="271"/>
      <c r="S1882" s="271">
        <v>-86251</v>
      </c>
      <c r="T1882" s="271"/>
      <c r="U1882" s="272">
        <v>1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153</v>
      </c>
      <c r="B1883" s="267" t="s">
        <v>2300</v>
      </c>
      <c r="C1883" s="267" t="s">
        <v>94</v>
      </c>
      <c r="D1883" s="267" t="s">
        <v>92</v>
      </c>
      <c r="E1883" s="267" t="s">
        <v>0</v>
      </c>
      <c r="F1883" s="268"/>
      <c r="G1883" s="269"/>
      <c r="H1883" s="269"/>
      <c r="I1883" s="270"/>
      <c r="J1883" s="268">
        <v>1</v>
      </c>
      <c r="K1883" s="269">
        <v>84527</v>
      </c>
      <c r="L1883" s="269">
        <v>86273</v>
      </c>
      <c r="M1883" s="270">
        <v>1</v>
      </c>
      <c r="N1883" s="268">
        <v>1</v>
      </c>
      <c r="O1883" s="271"/>
      <c r="P1883" s="271">
        <v>84527</v>
      </c>
      <c r="Q1883" s="271"/>
      <c r="R1883" s="271"/>
      <c r="S1883" s="271">
        <v>-86273</v>
      </c>
      <c r="T1883" s="271"/>
      <c r="U1883" s="272">
        <v>1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153</v>
      </c>
      <c r="B1884" s="267" t="s">
        <v>2301</v>
      </c>
      <c r="C1884" s="267" t="s">
        <v>94</v>
      </c>
      <c r="D1884" s="267" t="s">
        <v>92</v>
      </c>
      <c r="E1884" s="267" t="s">
        <v>0</v>
      </c>
      <c r="F1884" s="268"/>
      <c r="G1884" s="269"/>
      <c r="H1884" s="269"/>
      <c r="I1884" s="270"/>
      <c r="J1884" s="268">
        <v>1</v>
      </c>
      <c r="K1884" s="269">
        <v>84742</v>
      </c>
      <c r="L1884" s="269">
        <v>86222</v>
      </c>
      <c r="M1884" s="270">
        <v>1</v>
      </c>
      <c r="N1884" s="268">
        <v>1</v>
      </c>
      <c r="O1884" s="271"/>
      <c r="P1884" s="271">
        <v>84742</v>
      </c>
      <c r="Q1884" s="271"/>
      <c r="R1884" s="271"/>
      <c r="S1884" s="271">
        <v>-86222</v>
      </c>
      <c r="T1884" s="271"/>
      <c r="U1884" s="272">
        <v>1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153</v>
      </c>
      <c r="B1885" s="267" t="s">
        <v>2302</v>
      </c>
      <c r="C1885" s="267" t="s">
        <v>94</v>
      </c>
      <c r="D1885" s="267" t="s">
        <v>92</v>
      </c>
      <c r="E1885" s="267" t="s">
        <v>0</v>
      </c>
      <c r="F1885" s="268"/>
      <c r="G1885" s="269"/>
      <c r="H1885" s="269"/>
      <c r="I1885" s="270"/>
      <c r="J1885" s="268">
        <v>1</v>
      </c>
      <c r="K1885" s="269">
        <v>84825</v>
      </c>
      <c r="L1885" s="269">
        <v>86180</v>
      </c>
      <c r="M1885" s="270">
        <v>1</v>
      </c>
      <c r="N1885" s="268">
        <v>1</v>
      </c>
      <c r="O1885" s="271"/>
      <c r="P1885" s="271">
        <v>84825</v>
      </c>
      <c r="Q1885" s="271"/>
      <c r="R1885" s="271"/>
      <c r="S1885" s="271">
        <v>-86180</v>
      </c>
      <c r="T1885" s="271"/>
      <c r="U1885" s="272">
        <v>1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153</v>
      </c>
      <c r="B1886" s="267" t="s">
        <v>2303</v>
      </c>
      <c r="C1886" s="267" t="s">
        <v>94</v>
      </c>
      <c r="D1886" s="267" t="s">
        <v>92</v>
      </c>
      <c r="E1886" s="267" t="s">
        <v>0</v>
      </c>
      <c r="F1886" s="268"/>
      <c r="G1886" s="269"/>
      <c r="H1886" s="269"/>
      <c r="I1886" s="270"/>
      <c r="J1886" s="268">
        <v>1</v>
      </c>
      <c r="K1886" s="269">
        <v>84495</v>
      </c>
      <c r="L1886" s="269">
        <v>86292</v>
      </c>
      <c r="M1886" s="270">
        <v>1</v>
      </c>
      <c r="N1886" s="268">
        <v>1</v>
      </c>
      <c r="O1886" s="271"/>
      <c r="P1886" s="271">
        <v>84495</v>
      </c>
      <c r="Q1886" s="271"/>
      <c r="R1886" s="271"/>
      <c r="S1886" s="271">
        <v>-86292</v>
      </c>
      <c r="T1886" s="271"/>
      <c r="U1886" s="272">
        <v>1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153</v>
      </c>
      <c r="B1887" s="267" t="s">
        <v>2304</v>
      </c>
      <c r="C1887" s="267" t="s">
        <v>94</v>
      </c>
      <c r="D1887" s="267" t="s">
        <v>92</v>
      </c>
      <c r="E1887" s="267" t="s">
        <v>0</v>
      </c>
      <c r="F1887" s="268"/>
      <c r="G1887" s="269"/>
      <c r="H1887" s="269"/>
      <c r="I1887" s="270"/>
      <c r="J1887" s="268">
        <v>1</v>
      </c>
      <c r="K1887" s="269">
        <v>84637</v>
      </c>
      <c r="L1887" s="269">
        <v>86180</v>
      </c>
      <c r="M1887" s="270">
        <v>1</v>
      </c>
      <c r="N1887" s="268">
        <v>1</v>
      </c>
      <c r="O1887" s="271"/>
      <c r="P1887" s="271">
        <v>84637</v>
      </c>
      <c r="Q1887" s="271"/>
      <c r="R1887" s="271"/>
      <c r="S1887" s="271">
        <v>-86180</v>
      </c>
      <c r="T1887" s="271"/>
      <c r="U1887" s="272">
        <v>1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153</v>
      </c>
      <c r="B1888" s="267" t="s">
        <v>2305</v>
      </c>
      <c r="C1888" s="267" t="s">
        <v>94</v>
      </c>
      <c r="D1888" s="267" t="s">
        <v>92</v>
      </c>
      <c r="E1888" s="267" t="s">
        <v>0</v>
      </c>
      <c r="F1888" s="268"/>
      <c r="G1888" s="269"/>
      <c r="H1888" s="269"/>
      <c r="I1888" s="270"/>
      <c r="J1888" s="268">
        <v>1</v>
      </c>
      <c r="K1888" s="269">
        <v>84561</v>
      </c>
      <c r="L1888" s="269">
        <v>86260</v>
      </c>
      <c r="M1888" s="270">
        <v>1</v>
      </c>
      <c r="N1888" s="268">
        <v>1</v>
      </c>
      <c r="O1888" s="271"/>
      <c r="P1888" s="271">
        <v>84561</v>
      </c>
      <c r="Q1888" s="271"/>
      <c r="R1888" s="271"/>
      <c r="S1888" s="271">
        <v>-86260</v>
      </c>
      <c r="T1888" s="271"/>
      <c r="U1888" s="272">
        <v>1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153</v>
      </c>
      <c r="B1889" s="267" t="s">
        <v>2306</v>
      </c>
      <c r="C1889" s="267" t="s">
        <v>94</v>
      </c>
      <c r="D1889" s="267" t="s">
        <v>92</v>
      </c>
      <c r="E1889" s="267" t="s">
        <v>0</v>
      </c>
      <c r="F1889" s="268"/>
      <c r="G1889" s="269"/>
      <c r="H1889" s="269"/>
      <c r="I1889" s="270"/>
      <c r="J1889" s="268">
        <v>1</v>
      </c>
      <c r="K1889" s="269">
        <v>84537</v>
      </c>
      <c r="L1889" s="269">
        <v>86283</v>
      </c>
      <c r="M1889" s="270">
        <v>1</v>
      </c>
      <c r="N1889" s="268">
        <v>1</v>
      </c>
      <c r="O1889" s="271"/>
      <c r="P1889" s="271">
        <v>84537</v>
      </c>
      <c r="Q1889" s="271"/>
      <c r="R1889" s="271"/>
      <c r="S1889" s="271">
        <v>-86283</v>
      </c>
      <c r="T1889" s="271"/>
      <c r="U1889" s="272">
        <v>1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153</v>
      </c>
      <c r="B1890" s="267" t="s">
        <v>2307</v>
      </c>
      <c r="C1890" s="267" t="s">
        <v>94</v>
      </c>
      <c r="D1890" s="267" t="s">
        <v>92</v>
      </c>
      <c r="E1890" s="267" t="s">
        <v>0</v>
      </c>
      <c r="F1890" s="268"/>
      <c r="G1890" s="269"/>
      <c r="H1890" s="269"/>
      <c r="I1890" s="270"/>
      <c r="J1890" s="268">
        <v>1</v>
      </c>
      <c r="K1890" s="269">
        <v>84757</v>
      </c>
      <c r="L1890" s="269">
        <v>86217</v>
      </c>
      <c r="M1890" s="270">
        <v>1</v>
      </c>
      <c r="N1890" s="268">
        <v>1</v>
      </c>
      <c r="O1890" s="271"/>
      <c r="P1890" s="271">
        <v>84757</v>
      </c>
      <c r="Q1890" s="271"/>
      <c r="R1890" s="271"/>
      <c r="S1890" s="271">
        <v>-86217</v>
      </c>
      <c r="T1890" s="271"/>
      <c r="U1890" s="272">
        <v>1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153</v>
      </c>
      <c r="B1891" s="267" t="s">
        <v>2308</v>
      </c>
      <c r="C1891" s="267" t="s">
        <v>94</v>
      </c>
      <c r="D1891" s="267" t="s">
        <v>92</v>
      </c>
      <c r="E1891" s="267" t="s">
        <v>0</v>
      </c>
      <c r="F1891" s="268"/>
      <c r="G1891" s="269"/>
      <c r="H1891" s="269"/>
      <c r="I1891" s="270"/>
      <c r="J1891" s="268">
        <v>1</v>
      </c>
      <c r="K1891" s="269">
        <v>84600</v>
      </c>
      <c r="L1891" s="269">
        <v>86195</v>
      </c>
      <c r="M1891" s="270">
        <v>1</v>
      </c>
      <c r="N1891" s="268">
        <v>1</v>
      </c>
      <c r="O1891" s="271"/>
      <c r="P1891" s="271">
        <v>84600</v>
      </c>
      <c r="Q1891" s="271"/>
      <c r="R1891" s="271"/>
      <c r="S1891" s="271">
        <v>-86195</v>
      </c>
      <c r="T1891" s="271"/>
      <c r="U1891" s="272">
        <v>1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153</v>
      </c>
      <c r="B1892" s="267" t="s">
        <v>2309</v>
      </c>
      <c r="C1892" s="267" t="s">
        <v>94</v>
      </c>
      <c r="D1892" s="267" t="s">
        <v>92</v>
      </c>
      <c r="E1892" s="267" t="s">
        <v>0</v>
      </c>
      <c r="F1892" s="268"/>
      <c r="G1892" s="269"/>
      <c r="H1892" s="269"/>
      <c r="I1892" s="270"/>
      <c r="J1892" s="268">
        <v>1</v>
      </c>
      <c r="K1892" s="269">
        <v>84449</v>
      </c>
      <c r="L1892" s="269">
        <v>86323</v>
      </c>
      <c r="M1892" s="270">
        <v>1</v>
      </c>
      <c r="N1892" s="268">
        <v>1</v>
      </c>
      <c r="O1892" s="271"/>
      <c r="P1892" s="271">
        <v>84449</v>
      </c>
      <c r="Q1892" s="271"/>
      <c r="R1892" s="271"/>
      <c r="S1892" s="271">
        <v>-86323</v>
      </c>
      <c r="T1892" s="271"/>
      <c r="U1892" s="272">
        <v>1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153</v>
      </c>
      <c r="B1893" s="267" t="s">
        <v>2310</v>
      </c>
      <c r="C1893" s="267" t="s">
        <v>94</v>
      </c>
      <c r="D1893" s="267" t="s">
        <v>92</v>
      </c>
      <c r="E1893" s="267" t="s">
        <v>0</v>
      </c>
      <c r="F1893" s="268"/>
      <c r="G1893" s="269"/>
      <c r="H1893" s="269"/>
      <c r="I1893" s="270"/>
      <c r="J1893" s="268">
        <v>1</v>
      </c>
      <c r="K1893" s="269">
        <v>84623</v>
      </c>
      <c r="L1893" s="269">
        <v>86179</v>
      </c>
      <c r="M1893" s="270">
        <v>1</v>
      </c>
      <c r="N1893" s="268">
        <v>1</v>
      </c>
      <c r="O1893" s="271"/>
      <c r="P1893" s="271">
        <v>84623</v>
      </c>
      <c r="Q1893" s="271"/>
      <c r="R1893" s="271"/>
      <c r="S1893" s="271">
        <v>-86179</v>
      </c>
      <c r="T1893" s="271"/>
      <c r="U1893" s="272">
        <v>1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153</v>
      </c>
      <c r="B1894" s="267" t="s">
        <v>2311</v>
      </c>
      <c r="C1894" s="267" t="s">
        <v>94</v>
      </c>
      <c r="D1894" s="267" t="s">
        <v>92</v>
      </c>
      <c r="E1894" s="267" t="s">
        <v>0</v>
      </c>
      <c r="F1894" s="268"/>
      <c r="G1894" s="269"/>
      <c r="H1894" s="269"/>
      <c r="I1894" s="270"/>
      <c r="J1894" s="268">
        <v>1</v>
      </c>
      <c r="K1894" s="269">
        <v>84480</v>
      </c>
      <c r="L1894" s="269">
        <v>86295</v>
      </c>
      <c r="M1894" s="270">
        <v>1</v>
      </c>
      <c r="N1894" s="268">
        <v>1</v>
      </c>
      <c r="O1894" s="271"/>
      <c r="P1894" s="271">
        <v>84480</v>
      </c>
      <c r="Q1894" s="271"/>
      <c r="R1894" s="271"/>
      <c r="S1894" s="271">
        <v>-86295</v>
      </c>
      <c r="T1894" s="271"/>
      <c r="U1894" s="272">
        <v>1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153</v>
      </c>
      <c r="B1895" s="267" t="s">
        <v>2312</v>
      </c>
      <c r="C1895" s="267" t="s">
        <v>94</v>
      </c>
      <c r="D1895" s="267" t="s">
        <v>92</v>
      </c>
      <c r="E1895" s="267" t="s">
        <v>0</v>
      </c>
      <c r="F1895" s="268"/>
      <c r="G1895" s="269"/>
      <c r="H1895" s="269"/>
      <c r="I1895" s="270"/>
      <c r="J1895" s="268">
        <v>1</v>
      </c>
      <c r="K1895" s="269">
        <v>84558</v>
      </c>
      <c r="L1895" s="269">
        <v>86278</v>
      </c>
      <c r="M1895" s="270">
        <v>1</v>
      </c>
      <c r="N1895" s="268">
        <v>1</v>
      </c>
      <c r="O1895" s="271"/>
      <c r="P1895" s="271">
        <v>84558</v>
      </c>
      <c r="Q1895" s="271"/>
      <c r="R1895" s="271"/>
      <c r="S1895" s="271">
        <v>-86278</v>
      </c>
      <c r="T1895" s="271"/>
      <c r="U1895" s="272">
        <v>1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153</v>
      </c>
      <c r="B1896" s="267" t="s">
        <v>2313</v>
      </c>
      <c r="C1896" s="267" t="s">
        <v>94</v>
      </c>
      <c r="D1896" s="267" t="s">
        <v>92</v>
      </c>
      <c r="E1896" s="267" t="s">
        <v>0</v>
      </c>
      <c r="F1896" s="268"/>
      <c r="G1896" s="269"/>
      <c r="H1896" s="269"/>
      <c r="I1896" s="270"/>
      <c r="J1896" s="268">
        <v>1</v>
      </c>
      <c r="K1896" s="269">
        <v>84563</v>
      </c>
      <c r="L1896" s="269">
        <v>86263</v>
      </c>
      <c r="M1896" s="270">
        <v>1</v>
      </c>
      <c r="N1896" s="268">
        <v>1</v>
      </c>
      <c r="O1896" s="271"/>
      <c r="P1896" s="271">
        <v>84563</v>
      </c>
      <c r="Q1896" s="271"/>
      <c r="R1896" s="271"/>
      <c r="S1896" s="271">
        <v>-86263</v>
      </c>
      <c r="T1896" s="271"/>
      <c r="U1896" s="272">
        <v>1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153</v>
      </c>
      <c r="B1897" s="267" t="s">
        <v>2314</v>
      </c>
      <c r="C1897" s="267" t="s">
        <v>94</v>
      </c>
      <c r="D1897" s="267" t="s">
        <v>92</v>
      </c>
      <c r="E1897" s="267" t="s">
        <v>0</v>
      </c>
      <c r="F1897" s="268"/>
      <c r="G1897" s="269"/>
      <c r="H1897" s="269"/>
      <c r="I1897" s="270"/>
      <c r="J1897" s="268">
        <v>1</v>
      </c>
      <c r="K1897" s="269">
        <v>84703</v>
      </c>
      <c r="L1897" s="269">
        <v>86146</v>
      </c>
      <c r="M1897" s="270">
        <v>1</v>
      </c>
      <c r="N1897" s="268">
        <v>1</v>
      </c>
      <c r="O1897" s="271"/>
      <c r="P1897" s="271">
        <v>84703</v>
      </c>
      <c r="Q1897" s="271"/>
      <c r="R1897" s="271"/>
      <c r="S1897" s="271">
        <v>-86146</v>
      </c>
      <c r="T1897" s="271"/>
      <c r="U1897" s="272">
        <v>1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153</v>
      </c>
      <c r="B1898" s="267" t="s">
        <v>2315</v>
      </c>
      <c r="C1898" s="267" t="s">
        <v>94</v>
      </c>
      <c r="D1898" s="267" t="s">
        <v>92</v>
      </c>
      <c r="E1898" s="267" t="s">
        <v>0</v>
      </c>
      <c r="F1898" s="268"/>
      <c r="G1898" s="269"/>
      <c r="H1898" s="269"/>
      <c r="I1898" s="270"/>
      <c r="J1898" s="268">
        <v>1</v>
      </c>
      <c r="K1898" s="269">
        <v>84882</v>
      </c>
      <c r="L1898" s="269">
        <v>86162</v>
      </c>
      <c r="M1898" s="270">
        <v>1</v>
      </c>
      <c r="N1898" s="268">
        <v>1</v>
      </c>
      <c r="O1898" s="271"/>
      <c r="P1898" s="271">
        <v>84882</v>
      </c>
      <c r="Q1898" s="271"/>
      <c r="R1898" s="271"/>
      <c r="S1898" s="271">
        <v>-86162</v>
      </c>
      <c r="T1898" s="271"/>
      <c r="U1898" s="272">
        <v>1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153</v>
      </c>
      <c r="B1899" s="267" t="s">
        <v>2316</v>
      </c>
      <c r="C1899" s="267" t="s">
        <v>94</v>
      </c>
      <c r="D1899" s="267" t="s">
        <v>92</v>
      </c>
      <c r="E1899" s="267" t="s">
        <v>0</v>
      </c>
      <c r="F1899" s="268"/>
      <c r="G1899" s="269"/>
      <c r="H1899" s="269"/>
      <c r="I1899" s="270"/>
      <c r="J1899" s="268">
        <v>1</v>
      </c>
      <c r="K1899" s="269">
        <v>84740</v>
      </c>
      <c r="L1899" s="269">
        <v>86113</v>
      </c>
      <c r="M1899" s="270">
        <v>1</v>
      </c>
      <c r="N1899" s="268">
        <v>1</v>
      </c>
      <c r="O1899" s="271"/>
      <c r="P1899" s="271">
        <v>84740</v>
      </c>
      <c r="Q1899" s="271"/>
      <c r="R1899" s="271"/>
      <c r="S1899" s="271">
        <v>-86113</v>
      </c>
      <c r="T1899" s="271"/>
      <c r="U1899" s="272">
        <v>1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153</v>
      </c>
      <c r="B1900" s="267" t="s">
        <v>2317</v>
      </c>
      <c r="C1900" s="267" t="s">
        <v>94</v>
      </c>
      <c r="D1900" s="267" t="s">
        <v>92</v>
      </c>
      <c r="E1900" s="267" t="s">
        <v>0</v>
      </c>
      <c r="F1900" s="268"/>
      <c r="G1900" s="269"/>
      <c r="H1900" s="269"/>
      <c r="I1900" s="270"/>
      <c r="J1900" s="268">
        <v>1</v>
      </c>
      <c r="K1900" s="269">
        <v>84910</v>
      </c>
      <c r="L1900" s="269">
        <v>86131</v>
      </c>
      <c r="M1900" s="270">
        <v>1</v>
      </c>
      <c r="N1900" s="268">
        <v>1</v>
      </c>
      <c r="O1900" s="271"/>
      <c r="P1900" s="271">
        <v>84910</v>
      </c>
      <c r="Q1900" s="271"/>
      <c r="R1900" s="271"/>
      <c r="S1900" s="271">
        <v>-86131</v>
      </c>
      <c r="T1900" s="271"/>
      <c r="U1900" s="272">
        <v>1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153</v>
      </c>
      <c r="B1901" s="267" t="s">
        <v>2318</v>
      </c>
      <c r="C1901" s="267" t="s">
        <v>94</v>
      </c>
      <c r="D1901" s="267" t="s">
        <v>92</v>
      </c>
      <c r="E1901" s="267" t="s">
        <v>0</v>
      </c>
      <c r="F1901" s="268"/>
      <c r="G1901" s="269"/>
      <c r="H1901" s="269"/>
      <c r="I1901" s="270"/>
      <c r="J1901" s="268">
        <v>1</v>
      </c>
      <c r="K1901" s="269">
        <v>84744</v>
      </c>
      <c r="L1901" s="269">
        <v>86078</v>
      </c>
      <c r="M1901" s="270">
        <v>1</v>
      </c>
      <c r="N1901" s="268">
        <v>1</v>
      </c>
      <c r="O1901" s="271"/>
      <c r="P1901" s="271">
        <v>84744</v>
      </c>
      <c r="Q1901" s="271"/>
      <c r="R1901" s="271"/>
      <c r="S1901" s="271">
        <v>-86078</v>
      </c>
      <c r="T1901" s="271"/>
      <c r="U1901" s="272">
        <v>1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153</v>
      </c>
      <c r="B1902" s="267" t="s">
        <v>2319</v>
      </c>
      <c r="C1902" s="267" t="s">
        <v>94</v>
      </c>
      <c r="D1902" s="267" t="s">
        <v>92</v>
      </c>
      <c r="E1902" s="267" t="s">
        <v>0</v>
      </c>
      <c r="F1902" s="268"/>
      <c r="G1902" s="269"/>
      <c r="H1902" s="269"/>
      <c r="I1902" s="270"/>
      <c r="J1902" s="268">
        <v>1</v>
      </c>
      <c r="K1902" s="269">
        <v>84735</v>
      </c>
      <c r="L1902" s="269">
        <v>86080</v>
      </c>
      <c r="M1902" s="270">
        <v>1</v>
      </c>
      <c r="N1902" s="268">
        <v>1</v>
      </c>
      <c r="O1902" s="271"/>
      <c r="P1902" s="271">
        <v>84735</v>
      </c>
      <c r="Q1902" s="271"/>
      <c r="R1902" s="271"/>
      <c r="S1902" s="271">
        <v>-86080</v>
      </c>
      <c r="T1902" s="271"/>
      <c r="U1902" s="272">
        <v>1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153</v>
      </c>
      <c r="B1903" s="267" t="s">
        <v>2320</v>
      </c>
      <c r="C1903" s="267" t="s">
        <v>94</v>
      </c>
      <c r="D1903" s="267" t="s">
        <v>92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85127</v>
      </c>
      <c r="L1903" s="269">
        <v>85726</v>
      </c>
      <c r="M1903" s="270">
        <v>1</v>
      </c>
      <c r="N1903" s="268">
        <v>1</v>
      </c>
      <c r="O1903" s="271"/>
      <c r="P1903" s="271">
        <v>85127</v>
      </c>
      <c r="Q1903" s="271"/>
      <c r="R1903" s="271"/>
      <c r="S1903" s="271">
        <v>-85726</v>
      </c>
      <c r="T1903" s="271"/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153</v>
      </c>
      <c r="B1904" s="267" t="s">
        <v>2321</v>
      </c>
      <c r="C1904" s="267" t="s">
        <v>94</v>
      </c>
      <c r="D1904" s="267" t="s">
        <v>92</v>
      </c>
      <c r="E1904" s="267" t="s">
        <v>0</v>
      </c>
      <c r="F1904" s="268"/>
      <c r="G1904" s="269"/>
      <c r="H1904" s="269"/>
      <c r="I1904" s="270"/>
      <c r="J1904" s="268">
        <v>1</v>
      </c>
      <c r="K1904" s="269">
        <v>84631</v>
      </c>
      <c r="L1904" s="269">
        <v>86203</v>
      </c>
      <c r="M1904" s="270">
        <v>1</v>
      </c>
      <c r="N1904" s="268">
        <v>1</v>
      </c>
      <c r="O1904" s="271"/>
      <c r="P1904" s="271">
        <v>84631</v>
      </c>
      <c r="Q1904" s="271"/>
      <c r="R1904" s="271"/>
      <c r="S1904" s="271">
        <v>-86203</v>
      </c>
      <c r="T1904" s="271"/>
      <c r="U1904" s="272">
        <v>1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153</v>
      </c>
      <c r="B1905" s="267" t="s">
        <v>2322</v>
      </c>
      <c r="C1905" s="267" t="s">
        <v>94</v>
      </c>
      <c r="D1905" s="267" t="s">
        <v>92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84944</v>
      </c>
      <c r="L1905" s="269">
        <v>85898</v>
      </c>
      <c r="M1905" s="270">
        <v>1</v>
      </c>
      <c r="N1905" s="268">
        <v>1</v>
      </c>
      <c r="O1905" s="271"/>
      <c r="P1905" s="271">
        <v>84944</v>
      </c>
      <c r="Q1905" s="271"/>
      <c r="R1905" s="271"/>
      <c r="S1905" s="271">
        <v>-85898</v>
      </c>
      <c r="T1905" s="271"/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153</v>
      </c>
      <c r="B1906" s="267" t="s">
        <v>2323</v>
      </c>
      <c r="C1906" s="267" t="s">
        <v>94</v>
      </c>
      <c r="D1906" s="267" t="s">
        <v>92</v>
      </c>
      <c r="E1906" s="267" t="s">
        <v>0</v>
      </c>
      <c r="F1906" s="268"/>
      <c r="G1906" s="269"/>
      <c r="H1906" s="269"/>
      <c r="I1906" s="270"/>
      <c r="J1906" s="268">
        <v>1</v>
      </c>
      <c r="K1906" s="269">
        <v>84807</v>
      </c>
      <c r="L1906" s="269">
        <v>86140</v>
      </c>
      <c r="M1906" s="270">
        <v>1</v>
      </c>
      <c r="N1906" s="268">
        <v>1</v>
      </c>
      <c r="O1906" s="271"/>
      <c r="P1906" s="271">
        <v>84807</v>
      </c>
      <c r="Q1906" s="271"/>
      <c r="R1906" s="271"/>
      <c r="S1906" s="271">
        <v>-86140</v>
      </c>
      <c r="T1906" s="271"/>
      <c r="U1906" s="272">
        <v>1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153</v>
      </c>
      <c r="B1907" s="267" t="s">
        <v>2324</v>
      </c>
      <c r="C1907" s="267" t="s">
        <v>94</v>
      </c>
      <c r="D1907" s="267" t="s">
        <v>92</v>
      </c>
      <c r="E1907" s="267" t="s">
        <v>0</v>
      </c>
      <c r="F1907" s="268"/>
      <c r="G1907" s="269"/>
      <c r="H1907" s="269"/>
      <c r="I1907" s="270"/>
      <c r="J1907" s="268">
        <v>1</v>
      </c>
      <c r="K1907" s="269">
        <v>84494</v>
      </c>
      <c r="L1907" s="269">
        <v>86305</v>
      </c>
      <c r="M1907" s="270">
        <v>1</v>
      </c>
      <c r="N1907" s="268">
        <v>1</v>
      </c>
      <c r="O1907" s="271"/>
      <c r="P1907" s="271">
        <v>84494</v>
      </c>
      <c r="Q1907" s="271"/>
      <c r="R1907" s="271"/>
      <c r="S1907" s="271">
        <v>-86305</v>
      </c>
      <c r="T1907" s="271"/>
      <c r="U1907" s="272">
        <v>1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153</v>
      </c>
      <c r="B1908" s="267" t="s">
        <v>2325</v>
      </c>
      <c r="C1908" s="267" t="s">
        <v>94</v>
      </c>
      <c r="D1908" s="267" t="s">
        <v>92</v>
      </c>
      <c r="E1908" s="267" t="s">
        <v>0</v>
      </c>
      <c r="F1908" s="268"/>
      <c r="G1908" s="269"/>
      <c r="H1908" s="269"/>
      <c r="I1908" s="270"/>
      <c r="J1908" s="268">
        <v>1</v>
      </c>
      <c r="K1908" s="269">
        <v>84893</v>
      </c>
      <c r="L1908" s="269">
        <v>86110</v>
      </c>
      <c r="M1908" s="270">
        <v>1</v>
      </c>
      <c r="N1908" s="268">
        <v>1</v>
      </c>
      <c r="O1908" s="271"/>
      <c r="P1908" s="271">
        <v>84893</v>
      </c>
      <c r="Q1908" s="271"/>
      <c r="R1908" s="271"/>
      <c r="S1908" s="271">
        <v>-86110</v>
      </c>
      <c r="T1908" s="271"/>
      <c r="U1908" s="272">
        <v>1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153</v>
      </c>
      <c r="B1909" s="267" t="s">
        <v>2326</v>
      </c>
      <c r="C1909" s="267" t="s">
        <v>94</v>
      </c>
      <c r="D1909" s="267" t="s">
        <v>92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85060</v>
      </c>
      <c r="L1909" s="269">
        <v>85762</v>
      </c>
      <c r="M1909" s="270">
        <v>1</v>
      </c>
      <c r="N1909" s="268">
        <v>1</v>
      </c>
      <c r="O1909" s="271"/>
      <c r="P1909" s="271">
        <v>85060</v>
      </c>
      <c r="Q1909" s="271"/>
      <c r="R1909" s="271"/>
      <c r="S1909" s="271">
        <v>-85762</v>
      </c>
      <c r="T1909" s="271"/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153</v>
      </c>
      <c r="B1910" s="267" t="s">
        <v>2327</v>
      </c>
      <c r="C1910" s="267" t="s">
        <v>94</v>
      </c>
      <c r="D1910" s="267" t="s">
        <v>92</v>
      </c>
      <c r="E1910" s="267" t="s">
        <v>0</v>
      </c>
      <c r="F1910" s="268"/>
      <c r="G1910" s="269"/>
      <c r="H1910" s="269"/>
      <c r="I1910" s="270"/>
      <c r="J1910" s="268">
        <v>1</v>
      </c>
      <c r="K1910" s="269">
        <v>84630</v>
      </c>
      <c r="L1910" s="269">
        <v>86189</v>
      </c>
      <c r="M1910" s="270">
        <v>1</v>
      </c>
      <c r="N1910" s="268">
        <v>1</v>
      </c>
      <c r="O1910" s="271"/>
      <c r="P1910" s="271">
        <v>84630</v>
      </c>
      <c r="Q1910" s="271"/>
      <c r="R1910" s="271"/>
      <c r="S1910" s="271">
        <v>-86189</v>
      </c>
      <c r="T1910" s="271"/>
      <c r="U1910" s="272">
        <v>1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153</v>
      </c>
      <c r="B1911" s="267" t="s">
        <v>2328</v>
      </c>
      <c r="C1911" s="267" t="s">
        <v>94</v>
      </c>
      <c r="D1911" s="267" t="s">
        <v>92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84974</v>
      </c>
      <c r="L1911" s="269">
        <v>85915</v>
      </c>
      <c r="M1911" s="270">
        <v>1</v>
      </c>
      <c r="N1911" s="268">
        <v>1</v>
      </c>
      <c r="O1911" s="271"/>
      <c r="P1911" s="271">
        <v>84974</v>
      </c>
      <c r="Q1911" s="271"/>
      <c r="R1911" s="271"/>
      <c r="S1911" s="271">
        <v>-85915</v>
      </c>
      <c r="T1911" s="271"/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153</v>
      </c>
      <c r="B1912" s="267" t="s">
        <v>2329</v>
      </c>
      <c r="C1912" s="267" t="s">
        <v>94</v>
      </c>
      <c r="D1912" s="267" t="s">
        <v>92</v>
      </c>
      <c r="E1912" s="267" t="s">
        <v>0</v>
      </c>
      <c r="F1912" s="268"/>
      <c r="G1912" s="269"/>
      <c r="H1912" s="269"/>
      <c r="I1912" s="270"/>
      <c r="J1912" s="268">
        <v>1</v>
      </c>
      <c r="K1912" s="269">
        <v>84677</v>
      </c>
      <c r="L1912" s="269">
        <v>86121</v>
      </c>
      <c r="M1912" s="270">
        <v>1</v>
      </c>
      <c r="N1912" s="268">
        <v>1</v>
      </c>
      <c r="O1912" s="271"/>
      <c r="P1912" s="271">
        <v>84677</v>
      </c>
      <c r="Q1912" s="271"/>
      <c r="R1912" s="271"/>
      <c r="S1912" s="271">
        <v>-86121</v>
      </c>
      <c r="T1912" s="271"/>
      <c r="U1912" s="272">
        <v>1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153</v>
      </c>
      <c r="B1913" s="267" t="s">
        <v>2330</v>
      </c>
      <c r="C1913" s="267" t="s">
        <v>94</v>
      </c>
      <c r="D1913" s="267" t="s">
        <v>92</v>
      </c>
      <c r="E1913" s="267" t="s">
        <v>0</v>
      </c>
      <c r="F1913" s="268"/>
      <c r="G1913" s="269"/>
      <c r="H1913" s="269"/>
      <c r="I1913" s="270"/>
      <c r="J1913" s="268">
        <v>1</v>
      </c>
      <c r="K1913" s="269">
        <v>84442</v>
      </c>
      <c r="L1913" s="269">
        <v>86356</v>
      </c>
      <c r="M1913" s="270">
        <v>1</v>
      </c>
      <c r="N1913" s="268">
        <v>1</v>
      </c>
      <c r="O1913" s="271"/>
      <c r="P1913" s="271">
        <v>84442</v>
      </c>
      <c r="Q1913" s="271"/>
      <c r="R1913" s="271"/>
      <c r="S1913" s="271">
        <v>-86356</v>
      </c>
      <c r="T1913" s="271"/>
      <c r="U1913" s="272">
        <v>1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153</v>
      </c>
      <c r="B1914" s="267" t="s">
        <v>2331</v>
      </c>
      <c r="C1914" s="267" t="s">
        <v>94</v>
      </c>
      <c r="D1914" s="267" t="s">
        <v>92</v>
      </c>
      <c r="E1914" s="267" t="s">
        <v>0</v>
      </c>
      <c r="F1914" s="268"/>
      <c r="G1914" s="269"/>
      <c r="H1914" s="269"/>
      <c r="I1914" s="270"/>
      <c r="J1914" s="268">
        <v>1</v>
      </c>
      <c r="K1914" s="269">
        <v>84647</v>
      </c>
      <c r="L1914" s="269">
        <v>86207</v>
      </c>
      <c r="M1914" s="270">
        <v>1</v>
      </c>
      <c r="N1914" s="268">
        <v>1</v>
      </c>
      <c r="O1914" s="271"/>
      <c r="P1914" s="271">
        <v>84647</v>
      </c>
      <c r="Q1914" s="271"/>
      <c r="R1914" s="271"/>
      <c r="S1914" s="271">
        <v>-86207</v>
      </c>
      <c r="T1914" s="271"/>
      <c r="U1914" s="272">
        <v>1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153</v>
      </c>
      <c r="B1915" s="267" t="s">
        <v>2332</v>
      </c>
      <c r="C1915" s="267" t="s">
        <v>94</v>
      </c>
      <c r="D1915" s="267" t="s">
        <v>92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84891</v>
      </c>
      <c r="L1915" s="269">
        <v>85979</v>
      </c>
      <c r="M1915" s="270">
        <v>1</v>
      </c>
      <c r="N1915" s="268">
        <v>1</v>
      </c>
      <c r="O1915" s="271"/>
      <c r="P1915" s="271">
        <v>84891</v>
      </c>
      <c r="Q1915" s="271"/>
      <c r="R1915" s="271"/>
      <c r="S1915" s="271">
        <v>-85979</v>
      </c>
      <c r="T1915" s="271"/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153</v>
      </c>
      <c r="B1916" s="267" t="s">
        <v>2333</v>
      </c>
      <c r="C1916" s="267" t="s">
        <v>94</v>
      </c>
      <c r="D1916" s="267" t="s">
        <v>92</v>
      </c>
      <c r="E1916" s="267" t="s">
        <v>0</v>
      </c>
      <c r="F1916" s="268"/>
      <c r="G1916" s="269"/>
      <c r="H1916" s="269"/>
      <c r="I1916" s="270"/>
      <c r="J1916" s="268">
        <v>1</v>
      </c>
      <c r="K1916" s="269">
        <v>84637</v>
      </c>
      <c r="L1916" s="269">
        <v>86343</v>
      </c>
      <c r="M1916" s="270">
        <v>1</v>
      </c>
      <c r="N1916" s="268">
        <v>1</v>
      </c>
      <c r="O1916" s="271"/>
      <c r="P1916" s="271">
        <v>84637</v>
      </c>
      <c r="Q1916" s="271"/>
      <c r="R1916" s="271"/>
      <c r="S1916" s="271">
        <v>-86343</v>
      </c>
      <c r="T1916" s="271"/>
      <c r="U1916" s="272">
        <v>1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153</v>
      </c>
      <c r="B1917" s="267" t="s">
        <v>2334</v>
      </c>
      <c r="C1917" s="267" t="s">
        <v>94</v>
      </c>
      <c r="D1917" s="267" t="s">
        <v>92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84926</v>
      </c>
      <c r="L1917" s="269">
        <v>85898</v>
      </c>
      <c r="M1917" s="270">
        <v>1</v>
      </c>
      <c r="N1917" s="268">
        <v>1</v>
      </c>
      <c r="O1917" s="271"/>
      <c r="P1917" s="271">
        <v>84926</v>
      </c>
      <c r="Q1917" s="271"/>
      <c r="R1917" s="271"/>
      <c r="S1917" s="271">
        <v>-85898</v>
      </c>
      <c r="T1917" s="271"/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153</v>
      </c>
      <c r="B1918" s="267" t="s">
        <v>2335</v>
      </c>
      <c r="C1918" s="267" t="s">
        <v>94</v>
      </c>
      <c r="D1918" s="267" t="s">
        <v>92</v>
      </c>
      <c r="E1918" s="267" t="s">
        <v>0</v>
      </c>
      <c r="F1918" s="268"/>
      <c r="G1918" s="269"/>
      <c r="H1918" s="269"/>
      <c r="I1918" s="270"/>
      <c r="J1918" s="268">
        <v>1</v>
      </c>
      <c r="K1918" s="269">
        <v>84477</v>
      </c>
      <c r="L1918" s="269">
        <v>86307</v>
      </c>
      <c r="M1918" s="270">
        <v>1</v>
      </c>
      <c r="N1918" s="268">
        <v>1</v>
      </c>
      <c r="O1918" s="271"/>
      <c r="P1918" s="271">
        <v>84477</v>
      </c>
      <c r="Q1918" s="271"/>
      <c r="R1918" s="271"/>
      <c r="S1918" s="271">
        <v>-86307</v>
      </c>
      <c r="T1918" s="271"/>
      <c r="U1918" s="272">
        <v>1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153</v>
      </c>
      <c r="B1919" s="267" t="s">
        <v>2336</v>
      </c>
      <c r="C1919" s="267" t="s">
        <v>94</v>
      </c>
      <c r="D1919" s="267" t="s">
        <v>92</v>
      </c>
      <c r="E1919" s="267" t="s">
        <v>0</v>
      </c>
      <c r="F1919" s="268"/>
      <c r="G1919" s="269"/>
      <c r="H1919" s="269"/>
      <c r="I1919" s="270"/>
      <c r="J1919" s="268">
        <v>1</v>
      </c>
      <c r="K1919" s="269">
        <v>84804</v>
      </c>
      <c r="L1919" s="269">
        <v>86155</v>
      </c>
      <c r="M1919" s="270">
        <v>1</v>
      </c>
      <c r="N1919" s="268">
        <v>1</v>
      </c>
      <c r="O1919" s="271"/>
      <c r="P1919" s="271">
        <v>84804</v>
      </c>
      <c r="Q1919" s="271"/>
      <c r="R1919" s="271"/>
      <c r="S1919" s="271">
        <v>-86155</v>
      </c>
      <c r="T1919" s="271"/>
      <c r="U1919" s="272">
        <v>1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153</v>
      </c>
      <c r="B1920" s="267" t="s">
        <v>2337</v>
      </c>
      <c r="C1920" s="267" t="s">
        <v>94</v>
      </c>
      <c r="D1920" s="267" t="s">
        <v>92</v>
      </c>
      <c r="E1920" s="267" t="s">
        <v>0</v>
      </c>
      <c r="F1920" s="268"/>
      <c r="G1920" s="269"/>
      <c r="H1920" s="269"/>
      <c r="I1920" s="270"/>
      <c r="J1920" s="268">
        <v>1</v>
      </c>
      <c r="K1920" s="269">
        <v>84579</v>
      </c>
      <c r="L1920" s="269">
        <v>86170</v>
      </c>
      <c r="M1920" s="270">
        <v>1</v>
      </c>
      <c r="N1920" s="268">
        <v>1</v>
      </c>
      <c r="O1920" s="271"/>
      <c r="P1920" s="271">
        <v>84579</v>
      </c>
      <c r="Q1920" s="271"/>
      <c r="R1920" s="271"/>
      <c r="S1920" s="271">
        <v>-86170</v>
      </c>
      <c r="T1920" s="271"/>
      <c r="U1920" s="272">
        <v>1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153</v>
      </c>
      <c r="B1921" s="267" t="s">
        <v>2338</v>
      </c>
      <c r="C1921" s="267" t="s">
        <v>94</v>
      </c>
      <c r="D1921" s="267" t="s">
        <v>92</v>
      </c>
      <c r="E1921" s="267" t="s">
        <v>0</v>
      </c>
      <c r="F1921" s="268"/>
      <c r="G1921" s="269"/>
      <c r="H1921" s="269"/>
      <c r="I1921" s="270"/>
      <c r="J1921" s="268">
        <v>1</v>
      </c>
      <c r="K1921" s="269">
        <v>84531</v>
      </c>
      <c r="L1921" s="269">
        <v>86290</v>
      </c>
      <c r="M1921" s="270">
        <v>1</v>
      </c>
      <c r="N1921" s="268">
        <v>1</v>
      </c>
      <c r="O1921" s="271"/>
      <c r="P1921" s="271">
        <v>84531</v>
      </c>
      <c r="Q1921" s="271"/>
      <c r="R1921" s="271"/>
      <c r="S1921" s="271">
        <v>-86290</v>
      </c>
      <c r="T1921" s="271"/>
      <c r="U1921" s="272">
        <v>1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153</v>
      </c>
      <c r="B1922" s="267" t="s">
        <v>2339</v>
      </c>
      <c r="C1922" s="267" t="s">
        <v>94</v>
      </c>
      <c r="D1922" s="267" t="s">
        <v>92</v>
      </c>
      <c r="E1922" s="267" t="s">
        <v>0</v>
      </c>
      <c r="F1922" s="268"/>
      <c r="G1922" s="269"/>
      <c r="H1922" s="269"/>
      <c r="I1922" s="270"/>
      <c r="J1922" s="268">
        <v>1</v>
      </c>
      <c r="K1922" s="269">
        <v>84727</v>
      </c>
      <c r="L1922" s="269">
        <v>86247</v>
      </c>
      <c r="M1922" s="270">
        <v>1</v>
      </c>
      <c r="N1922" s="268">
        <v>1</v>
      </c>
      <c r="O1922" s="271"/>
      <c r="P1922" s="271">
        <v>84727</v>
      </c>
      <c r="Q1922" s="271"/>
      <c r="R1922" s="271"/>
      <c r="S1922" s="271">
        <v>-86247</v>
      </c>
      <c r="T1922" s="271"/>
      <c r="U1922" s="272">
        <v>1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153</v>
      </c>
      <c r="B1923" s="267" t="s">
        <v>2340</v>
      </c>
      <c r="C1923" s="267" t="s">
        <v>94</v>
      </c>
      <c r="D1923" s="267" t="s">
        <v>92</v>
      </c>
      <c r="E1923" s="267" t="s">
        <v>0</v>
      </c>
      <c r="F1923" s="268"/>
      <c r="G1923" s="269"/>
      <c r="H1923" s="269"/>
      <c r="I1923" s="270"/>
      <c r="J1923" s="268">
        <v>1</v>
      </c>
      <c r="K1923" s="269">
        <v>84450</v>
      </c>
      <c r="L1923" s="269">
        <v>86325</v>
      </c>
      <c r="M1923" s="270">
        <v>1</v>
      </c>
      <c r="N1923" s="268">
        <v>1</v>
      </c>
      <c r="O1923" s="271"/>
      <c r="P1923" s="271">
        <v>84450</v>
      </c>
      <c r="Q1923" s="271"/>
      <c r="R1923" s="271"/>
      <c r="S1923" s="271">
        <v>-86325</v>
      </c>
      <c r="T1923" s="271"/>
      <c r="U1923" s="272">
        <v>1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153</v>
      </c>
      <c r="B1924" s="267" t="s">
        <v>2341</v>
      </c>
      <c r="C1924" s="267" t="s">
        <v>94</v>
      </c>
      <c r="D1924" s="267" t="s">
        <v>92</v>
      </c>
      <c r="E1924" s="267" t="s">
        <v>0</v>
      </c>
      <c r="F1924" s="268"/>
      <c r="G1924" s="269"/>
      <c r="H1924" s="269"/>
      <c r="I1924" s="270"/>
      <c r="J1924" s="268">
        <v>1</v>
      </c>
      <c r="K1924" s="269">
        <v>84533</v>
      </c>
      <c r="L1924" s="269">
        <v>86293</v>
      </c>
      <c r="M1924" s="270">
        <v>1</v>
      </c>
      <c r="N1924" s="268">
        <v>1</v>
      </c>
      <c r="O1924" s="271"/>
      <c r="P1924" s="271">
        <v>84533</v>
      </c>
      <c r="Q1924" s="271"/>
      <c r="R1924" s="271"/>
      <c r="S1924" s="271">
        <v>-86293</v>
      </c>
      <c r="T1924" s="271"/>
      <c r="U1924" s="272">
        <v>1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153</v>
      </c>
      <c r="B1925" s="267" t="s">
        <v>2342</v>
      </c>
      <c r="C1925" s="267" t="s">
        <v>94</v>
      </c>
      <c r="D1925" s="267" t="s">
        <v>92</v>
      </c>
      <c r="E1925" s="267" t="s">
        <v>0</v>
      </c>
      <c r="F1925" s="268"/>
      <c r="G1925" s="269"/>
      <c r="H1925" s="269"/>
      <c r="I1925" s="270"/>
      <c r="J1925" s="268">
        <v>1</v>
      </c>
      <c r="K1925" s="269">
        <v>84880</v>
      </c>
      <c r="L1925" s="269">
        <v>86161</v>
      </c>
      <c r="M1925" s="270">
        <v>1</v>
      </c>
      <c r="N1925" s="268">
        <v>1</v>
      </c>
      <c r="O1925" s="271"/>
      <c r="P1925" s="271">
        <v>84880</v>
      </c>
      <c r="Q1925" s="271"/>
      <c r="R1925" s="271"/>
      <c r="S1925" s="271">
        <v>-86161</v>
      </c>
      <c r="T1925" s="271"/>
      <c r="U1925" s="272">
        <v>1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153</v>
      </c>
      <c r="B1926" s="267" t="s">
        <v>2343</v>
      </c>
      <c r="C1926" s="267" t="s">
        <v>94</v>
      </c>
      <c r="D1926" s="267" t="s">
        <v>92</v>
      </c>
      <c r="E1926" s="267" t="s">
        <v>0</v>
      </c>
      <c r="F1926" s="268"/>
      <c r="G1926" s="269"/>
      <c r="H1926" s="269"/>
      <c r="I1926" s="270"/>
      <c r="J1926" s="268">
        <v>1</v>
      </c>
      <c r="K1926" s="269">
        <v>84705</v>
      </c>
      <c r="L1926" s="269">
        <v>86110</v>
      </c>
      <c r="M1926" s="270">
        <v>1</v>
      </c>
      <c r="N1926" s="268">
        <v>1</v>
      </c>
      <c r="O1926" s="271"/>
      <c r="P1926" s="271">
        <v>84705</v>
      </c>
      <c r="Q1926" s="271"/>
      <c r="R1926" s="271"/>
      <c r="S1926" s="271">
        <v>-86110</v>
      </c>
      <c r="T1926" s="271"/>
      <c r="U1926" s="272">
        <v>1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153</v>
      </c>
      <c r="B1927" s="267" t="s">
        <v>2344</v>
      </c>
      <c r="C1927" s="267" t="s">
        <v>94</v>
      </c>
      <c r="D1927" s="267" t="s">
        <v>92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85111</v>
      </c>
      <c r="L1927" s="269">
        <v>85749</v>
      </c>
      <c r="M1927" s="270">
        <v>1</v>
      </c>
      <c r="N1927" s="268">
        <v>1</v>
      </c>
      <c r="O1927" s="271"/>
      <c r="P1927" s="271">
        <v>85111</v>
      </c>
      <c r="Q1927" s="271"/>
      <c r="R1927" s="271"/>
      <c r="S1927" s="271">
        <v>-85749</v>
      </c>
      <c r="T1927" s="271"/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153</v>
      </c>
      <c r="B1928" s="267" t="s">
        <v>2345</v>
      </c>
      <c r="C1928" s="267" t="s">
        <v>94</v>
      </c>
      <c r="D1928" s="267" t="s">
        <v>92</v>
      </c>
      <c r="E1928" s="267" t="s">
        <v>0</v>
      </c>
      <c r="F1928" s="268"/>
      <c r="G1928" s="269"/>
      <c r="H1928" s="269"/>
      <c r="I1928" s="270"/>
      <c r="J1928" s="268">
        <v>1</v>
      </c>
      <c r="K1928" s="269">
        <v>84615</v>
      </c>
      <c r="L1928" s="269">
        <v>86226</v>
      </c>
      <c r="M1928" s="270">
        <v>1</v>
      </c>
      <c r="N1928" s="268">
        <v>1</v>
      </c>
      <c r="O1928" s="271"/>
      <c r="P1928" s="271">
        <v>84615</v>
      </c>
      <c r="Q1928" s="271"/>
      <c r="R1928" s="271"/>
      <c r="S1928" s="271">
        <v>-86226</v>
      </c>
      <c r="T1928" s="271"/>
      <c r="U1928" s="272">
        <v>1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153</v>
      </c>
      <c r="B1929" s="267" t="s">
        <v>2346</v>
      </c>
      <c r="C1929" s="267" t="s">
        <v>94</v>
      </c>
      <c r="D1929" s="267" t="s">
        <v>92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84911</v>
      </c>
      <c r="L1929" s="269">
        <v>85935</v>
      </c>
      <c r="M1929" s="270">
        <v>1</v>
      </c>
      <c r="N1929" s="268">
        <v>1</v>
      </c>
      <c r="O1929" s="271"/>
      <c r="P1929" s="271">
        <v>84911</v>
      </c>
      <c r="Q1929" s="271"/>
      <c r="R1929" s="271"/>
      <c r="S1929" s="271">
        <v>-85935</v>
      </c>
      <c r="T1929" s="271"/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153</v>
      </c>
      <c r="B1930" s="267" t="s">
        <v>2347</v>
      </c>
      <c r="C1930" s="267" t="s">
        <v>94</v>
      </c>
      <c r="D1930" s="267" t="s">
        <v>92</v>
      </c>
      <c r="E1930" s="267" t="s">
        <v>0</v>
      </c>
      <c r="F1930" s="268"/>
      <c r="G1930" s="269"/>
      <c r="H1930" s="269"/>
      <c r="I1930" s="270"/>
      <c r="J1930" s="268">
        <v>1</v>
      </c>
      <c r="K1930" s="269">
        <v>84774</v>
      </c>
      <c r="L1930" s="269">
        <v>86177</v>
      </c>
      <c r="M1930" s="270">
        <v>1</v>
      </c>
      <c r="N1930" s="268">
        <v>1</v>
      </c>
      <c r="O1930" s="271"/>
      <c r="P1930" s="271">
        <v>84774</v>
      </c>
      <c r="Q1930" s="271"/>
      <c r="R1930" s="271"/>
      <c r="S1930" s="271">
        <v>-86177</v>
      </c>
      <c r="T1930" s="271"/>
      <c r="U1930" s="272">
        <v>1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153</v>
      </c>
      <c r="B1931" s="267" t="s">
        <v>2348</v>
      </c>
      <c r="C1931" s="267" t="s">
        <v>94</v>
      </c>
      <c r="D1931" s="267" t="s">
        <v>92</v>
      </c>
      <c r="E1931" s="267" t="s">
        <v>0</v>
      </c>
      <c r="F1931" s="268"/>
      <c r="G1931" s="269"/>
      <c r="H1931" s="269"/>
      <c r="I1931" s="270"/>
      <c r="J1931" s="268">
        <v>1</v>
      </c>
      <c r="K1931" s="269">
        <v>84501</v>
      </c>
      <c r="L1931" s="269">
        <v>86312</v>
      </c>
      <c r="M1931" s="270">
        <v>1</v>
      </c>
      <c r="N1931" s="268">
        <v>1</v>
      </c>
      <c r="O1931" s="271"/>
      <c r="P1931" s="271">
        <v>84501</v>
      </c>
      <c r="Q1931" s="271"/>
      <c r="R1931" s="271"/>
      <c r="S1931" s="271">
        <v>-86312</v>
      </c>
      <c r="T1931" s="271"/>
      <c r="U1931" s="272">
        <v>1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153</v>
      </c>
      <c r="B1932" s="267" t="s">
        <v>2349</v>
      </c>
      <c r="C1932" s="267" t="s">
        <v>94</v>
      </c>
      <c r="D1932" s="267" t="s">
        <v>92</v>
      </c>
      <c r="E1932" s="267" t="s">
        <v>0</v>
      </c>
      <c r="F1932" s="268"/>
      <c r="G1932" s="269"/>
      <c r="H1932" s="269"/>
      <c r="I1932" s="270"/>
      <c r="J1932" s="268">
        <v>1</v>
      </c>
      <c r="K1932" s="269">
        <v>84900</v>
      </c>
      <c r="L1932" s="269">
        <v>86117</v>
      </c>
      <c r="M1932" s="270">
        <v>1</v>
      </c>
      <c r="N1932" s="268">
        <v>1</v>
      </c>
      <c r="O1932" s="271"/>
      <c r="P1932" s="271">
        <v>84900</v>
      </c>
      <c r="Q1932" s="271"/>
      <c r="R1932" s="271"/>
      <c r="S1932" s="271">
        <v>-86117</v>
      </c>
      <c r="T1932" s="271"/>
      <c r="U1932" s="272">
        <v>1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153</v>
      </c>
      <c r="B1933" s="267" t="s">
        <v>2350</v>
      </c>
      <c r="C1933" s="267" t="s">
        <v>94</v>
      </c>
      <c r="D1933" s="267" t="s">
        <v>92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85027</v>
      </c>
      <c r="L1933" s="269">
        <v>85799</v>
      </c>
      <c r="M1933" s="270">
        <v>1</v>
      </c>
      <c r="N1933" s="268">
        <v>1</v>
      </c>
      <c r="O1933" s="271"/>
      <c r="P1933" s="271">
        <v>85027</v>
      </c>
      <c r="Q1933" s="271"/>
      <c r="R1933" s="271"/>
      <c r="S1933" s="271">
        <v>-85799</v>
      </c>
      <c r="T1933" s="271"/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153</v>
      </c>
      <c r="B1934" s="267" t="s">
        <v>2351</v>
      </c>
      <c r="C1934" s="267" t="s">
        <v>94</v>
      </c>
      <c r="D1934" s="267" t="s">
        <v>92</v>
      </c>
      <c r="E1934" s="267" t="s">
        <v>0</v>
      </c>
      <c r="F1934" s="268"/>
      <c r="G1934" s="269"/>
      <c r="H1934" s="269"/>
      <c r="I1934" s="270"/>
      <c r="J1934" s="268">
        <v>1</v>
      </c>
      <c r="K1934" s="269">
        <v>84637</v>
      </c>
      <c r="L1934" s="269">
        <v>86196</v>
      </c>
      <c r="M1934" s="270">
        <v>1</v>
      </c>
      <c r="N1934" s="268">
        <v>1</v>
      </c>
      <c r="O1934" s="271"/>
      <c r="P1934" s="271">
        <v>84637</v>
      </c>
      <c r="Q1934" s="271"/>
      <c r="R1934" s="271"/>
      <c r="S1934" s="271">
        <v>-86196</v>
      </c>
      <c r="T1934" s="271"/>
      <c r="U1934" s="272">
        <v>1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153</v>
      </c>
      <c r="B1935" s="267" t="s">
        <v>2352</v>
      </c>
      <c r="C1935" s="267" t="s">
        <v>94</v>
      </c>
      <c r="D1935" s="267" t="s">
        <v>92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84967</v>
      </c>
      <c r="L1935" s="269">
        <v>85939</v>
      </c>
      <c r="M1935" s="270">
        <v>1</v>
      </c>
      <c r="N1935" s="268">
        <v>1</v>
      </c>
      <c r="O1935" s="271"/>
      <c r="P1935" s="271">
        <v>84967</v>
      </c>
      <c r="Q1935" s="271"/>
      <c r="R1935" s="271"/>
      <c r="S1935" s="271">
        <v>-85939</v>
      </c>
      <c r="T1935" s="271"/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153</v>
      </c>
      <c r="B1936" s="267" t="s">
        <v>2353</v>
      </c>
      <c r="C1936" s="267" t="s">
        <v>94</v>
      </c>
      <c r="D1936" s="267" t="s">
        <v>92</v>
      </c>
      <c r="E1936" s="267" t="s">
        <v>0</v>
      </c>
      <c r="F1936" s="268"/>
      <c r="G1936" s="269"/>
      <c r="H1936" s="269"/>
      <c r="I1936" s="270"/>
      <c r="J1936" s="268">
        <v>1</v>
      </c>
      <c r="K1936" s="269">
        <v>84700</v>
      </c>
      <c r="L1936" s="269">
        <v>86105</v>
      </c>
      <c r="M1936" s="270">
        <v>1</v>
      </c>
      <c r="N1936" s="268">
        <v>1</v>
      </c>
      <c r="O1936" s="271"/>
      <c r="P1936" s="271">
        <v>84700</v>
      </c>
      <c r="Q1936" s="271"/>
      <c r="R1936" s="271"/>
      <c r="S1936" s="271">
        <v>-86105</v>
      </c>
      <c r="T1936" s="271"/>
      <c r="U1936" s="272">
        <v>1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153</v>
      </c>
      <c r="B1937" s="267" t="s">
        <v>2354</v>
      </c>
      <c r="C1937" s="267" t="s">
        <v>94</v>
      </c>
      <c r="D1937" s="267" t="s">
        <v>92</v>
      </c>
      <c r="E1937" s="267" t="s">
        <v>0</v>
      </c>
      <c r="F1937" s="268"/>
      <c r="G1937" s="269"/>
      <c r="H1937" s="269"/>
      <c r="I1937" s="270"/>
      <c r="J1937" s="268">
        <v>1</v>
      </c>
      <c r="K1937" s="269">
        <v>84425</v>
      </c>
      <c r="L1937" s="269">
        <v>86370</v>
      </c>
      <c r="M1937" s="270">
        <v>1</v>
      </c>
      <c r="N1937" s="268">
        <v>1</v>
      </c>
      <c r="O1937" s="271"/>
      <c r="P1937" s="271">
        <v>84425</v>
      </c>
      <c r="Q1937" s="271"/>
      <c r="R1937" s="271"/>
      <c r="S1937" s="271">
        <v>-86370</v>
      </c>
      <c r="T1937" s="271"/>
      <c r="U1937" s="272">
        <v>1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153</v>
      </c>
      <c r="B1938" s="267" t="s">
        <v>2355</v>
      </c>
      <c r="C1938" s="267" t="s">
        <v>94</v>
      </c>
      <c r="D1938" s="267" t="s">
        <v>92</v>
      </c>
      <c r="E1938" s="267" t="s">
        <v>0</v>
      </c>
      <c r="F1938" s="268"/>
      <c r="G1938" s="269"/>
      <c r="H1938" s="269"/>
      <c r="I1938" s="270"/>
      <c r="J1938" s="268">
        <v>1</v>
      </c>
      <c r="K1938" s="269">
        <v>84640</v>
      </c>
      <c r="L1938" s="269">
        <v>86231</v>
      </c>
      <c r="M1938" s="270">
        <v>1</v>
      </c>
      <c r="N1938" s="268">
        <v>1</v>
      </c>
      <c r="O1938" s="271"/>
      <c r="P1938" s="271">
        <v>84640</v>
      </c>
      <c r="Q1938" s="271"/>
      <c r="R1938" s="271"/>
      <c r="S1938" s="271">
        <v>-86231</v>
      </c>
      <c r="T1938" s="271"/>
      <c r="U1938" s="272">
        <v>1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153</v>
      </c>
      <c r="B1939" s="267" t="s">
        <v>2356</v>
      </c>
      <c r="C1939" s="267" t="s">
        <v>94</v>
      </c>
      <c r="D1939" s="267" t="s">
        <v>92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84878</v>
      </c>
      <c r="L1939" s="269">
        <v>86005</v>
      </c>
      <c r="M1939" s="270">
        <v>1</v>
      </c>
      <c r="N1939" s="268">
        <v>1</v>
      </c>
      <c r="O1939" s="271"/>
      <c r="P1939" s="271">
        <v>84878</v>
      </c>
      <c r="Q1939" s="271"/>
      <c r="R1939" s="271"/>
      <c r="S1939" s="271">
        <v>-86005</v>
      </c>
      <c r="T1939" s="271"/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153</v>
      </c>
      <c r="B1940" s="267" t="s">
        <v>2357</v>
      </c>
      <c r="C1940" s="267" t="s">
        <v>94</v>
      </c>
      <c r="D1940" s="267" t="s">
        <v>92</v>
      </c>
      <c r="E1940" s="267" t="s">
        <v>0</v>
      </c>
      <c r="F1940" s="268"/>
      <c r="G1940" s="269"/>
      <c r="H1940" s="269"/>
      <c r="I1940" s="270"/>
      <c r="J1940" s="268">
        <v>1</v>
      </c>
      <c r="K1940" s="269">
        <v>84647</v>
      </c>
      <c r="L1940" s="269">
        <v>86353</v>
      </c>
      <c r="M1940" s="270">
        <v>1</v>
      </c>
      <c r="N1940" s="268">
        <v>1</v>
      </c>
      <c r="O1940" s="271"/>
      <c r="P1940" s="271">
        <v>84647</v>
      </c>
      <c r="Q1940" s="271"/>
      <c r="R1940" s="271"/>
      <c r="S1940" s="271">
        <v>-86353</v>
      </c>
      <c r="T1940" s="271"/>
      <c r="U1940" s="272">
        <v>1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153</v>
      </c>
      <c r="B1941" s="267" t="s">
        <v>2358</v>
      </c>
      <c r="C1941" s="267" t="s">
        <v>94</v>
      </c>
      <c r="D1941" s="267" t="s">
        <v>92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84950</v>
      </c>
      <c r="L1941" s="269">
        <v>85891</v>
      </c>
      <c r="M1941" s="270">
        <v>1</v>
      </c>
      <c r="N1941" s="268">
        <v>1</v>
      </c>
      <c r="O1941" s="271"/>
      <c r="P1941" s="271">
        <v>84950</v>
      </c>
      <c r="Q1941" s="271"/>
      <c r="R1941" s="271"/>
      <c r="S1941" s="271">
        <v>-85891</v>
      </c>
      <c r="T1941" s="271"/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153</v>
      </c>
      <c r="B1942" s="267" t="s">
        <v>2359</v>
      </c>
      <c r="C1942" s="267" t="s">
        <v>94</v>
      </c>
      <c r="D1942" s="267" t="s">
        <v>92</v>
      </c>
      <c r="E1942" s="267" t="s">
        <v>0</v>
      </c>
      <c r="F1942" s="268"/>
      <c r="G1942" s="269"/>
      <c r="H1942" s="269"/>
      <c r="I1942" s="270"/>
      <c r="J1942" s="268">
        <v>1</v>
      </c>
      <c r="K1942" s="269">
        <v>84517</v>
      </c>
      <c r="L1942" s="269">
        <v>86277</v>
      </c>
      <c r="M1942" s="270">
        <v>1</v>
      </c>
      <c r="N1942" s="268">
        <v>1</v>
      </c>
      <c r="O1942" s="271"/>
      <c r="P1942" s="271">
        <v>84517</v>
      </c>
      <c r="Q1942" s="271"/>
      <c r="R1942" s="271"/>
      <c r="S1942" s="271">
        <v>-86277</v>
      </c>
      <c r="T1942" s="271"/>
      <c r="U1942" s="272">
        <v>1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153</v>
      </c>
      <c r="B1943" s="267" t="s">
        <v>2360</v>
      </c>
      <c r="C1943" s="267" t="s">
        <v>94</v>
      </c>
      <c r="D1943" s="267" t="s">
        <v>92</v>
      </c>
      <c r="E1943" s="267" t="s">
        <v>0</v>
      </c>
      <c r="F1943" s="268"/>
      <c r="G1943" s="269"/>
      <c r="H1943" s="269"/>
      <c r="I1943" s="270"/>
      <c r="J1943" s="268">
        <v>1</v>
      </c>
      <c r="K1943" s="269">
        <v>84821</v>
      </c>
      <c r="L1943" s="269">
        <v>86141</v>
      </c>
      <c r="M1943" s="270">
        <v>1</v>
      </c>
      <c r="N1943" s="268">
        <v>1</v>
      </c>
      <c r="O1943" s="271"/>
      <c r="P1943" s="271">
        <v>84821</v>
      </c>
      <c r="Q1943" s="271"/>
      <c r="R1943" s="271"/>
      <c r="S1943" s="271">
        <v>-86141</v>
      </c>
      <c r="T1943" s="271"/>
      <c r="U1943" s="272">
        <v>1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153</v>
      </c>
      <c r="B1944" s="267" t="s">
        <v>2361</v>
      </c>
      <c r="C1944" s="267" t="s">
        <v>94</v>
      </c>
      <c r="D1944" s="267" t="s">
        <v>92</v>
      </c>
      <c r="E1944" s="267" t="s">
        <v>0</v>
      </c>
      <c r="F1944" s="268"/>
      <c r="G1944" s="269"/>
      <c r="H1944" s="269"/>
      <c r="I1944" s="270"/>
      <c r="J1944" s="268">
        <v>1</v>
      </c>
      <c r="K1944" s="269">
        <v>84603</v>
      </c>
      <c r="L1944" s="269">
        <v>86163</v>
      </c>
      <c r="M1944" s="270">
        <v>1</v>
      </c>
      <c r="N1944" s="268">
        <v>1</v>
      </c>
      <c r="O1944" s="271"/>
      <c r="P1944" s="271">
        <v>84603</v>
      </c>
      <c r="Q1944" s="271"/>
      <c r="R1944" s="271"/>
      <c r="S1944" s="271">
        <v>-86163</v>
      </c>
      <c r="T1944" s="271"/>
      <c r="U1944" s="272">
        <v>1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153</v>
      </c>
      <c r="B1945" s="267" t="s">
        <v>2362</v>
      </c>
      <c r="C1945" s="267" t="s">
        <v>94</v>
      </c>
      <c r="D1945" s="267" t="s">
        <v>92</v>
      </c>
      <c r="E1945" s="267" t="s">
        <v>0</v>
      </c>
      <c r="F1945" s="268"/>
      <c r="G1945" s="269"/>
      <c r="H1945" s="269"/>
      <c r="I1945" s="270"/>
      <c r="J1945" s="268">
        <v>1</v>
      </c>
      <c r="K1945" s="269">
        <v>84508</v>
      </c>
      <c r="L1945" s="269">
        <v>86306</v>
      </c>
      <c r="M1945" s="270">
        <v>1</v>
      </c>
      <c r="N1945" s="268">
        <v>1</v>
      </c>
      <c r="O1945" s="271"/>
      <c r="P1945" s="271">
        <v>84508</v>
      </c>
      <c r="Q1945" s="271"/>
      <c r="R1945" s="271"/>
      <c r="S1945" s="271">
        <v>-86306</v>
      </c>
      <c r="T1945" s="271"/>
      <c r="U1945" s="272">
        <v>1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153</v>
      </c>
      <c r="B1946" s="267" t="s">
        <v>2363</v>
      </c>
      <c r="C1946" s="267" t="s">
        <v>94</v>
      </c>
      <c r="D1946" s="267" t="s">
        <v>92</v>
      </c>
      <c r="E1946" s="267" t="s">
        <v>0</v>
      </c>
      <c r="F1946" s="268"/>
      <c r="G1946" s="269"/>
      <c r="H1946" s="269"/>
      <c r="I1946" s="270"/>
      <c r="J1946" s="268">
        <v>1</v>
      </c>
      <c r="K1946" s="269">
        <v>84687</v>
      </c>
      <c r="L1946" s="269">
        <v>86277</v>
      </c>
      <c r="M1946" s="270">
        <v>1</v>
      </c>
      <c r="N1946" s="268">
        <v>1</v>
      </c>
      <c r="O1946" s="271"/>
      <c r="P1946" s="271">
        <v>84687</v>
      </c>
      <c r="Q1946" s="271"/>
      <c r="R1946" s="271"/>
      <c r="S1946" s="271">
        <v>-86277</v>
      </c>
      <c r="T1946" s="271"/>
      <c r="U1946" s="272">
        <v>1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153</v>
      </c>
      <c r="B1947" s="267" t="s">
        <v>2364</v>
      </c>
      <c r="C1947" s="267" t="s">
        <v>94</v>
      </c>
      <c r="D1947" s="267" t="s">
        <v>92</v>
      </c>
      <c r="E1947" s="267" t="s">
        <v>0</v>
      </c>
      <c r="F1947" s="268"/>
      <c r="G1947" s="269"/>
      <c r="H1947" s="269"/>
      <c r="I1947" s="270"/>
      <c r="J1947" s="268">
        <v>1</v>
      </c>
      <c r="K1947" s="269">
        <v>84394</v>
      </c>
      <c r="L1947" s="269">
        <v>86378</v>
      </c>
      <c r="M1947" s="270">
        <v>1</v>
      </c>
      <c r="N1947" s="268">
        <v>1</v>
      </c>
      <c r="O1947" s="271"/>
      <c r="P1947" s="271">
        <v>84394</v>
      </c>
      <c r="Q1947" s="271"/>
      <c r="R1947" s="271"/>
      <c r="S1947" s="271">
        <v>-86378</v>
      </c>
      <c r="T1947" s="271"/>
      <c r="U1947" s="272">
        <v>1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153</v>
      </c>
      <c r="B1948" s="267" t="s">
        <v>2365</v>
      </c>
      <c r="C1948" s="267" t="s">
        <v>94</v>
      </c>
      <c r="D1948" s="267" t="s">
        <v>92</v>
      </c>
      <c r="E1948" s="267" t="s">
        <v>0</v>
      </c>
      <c r="F1948" s="268"/>
      <c r="G1948" s="269"/>
      <c r="H1948" s="269"/>
      <c r="I1948" s="270"/>
      <c r="J1948" s="268">
        <v>1</v>
      </c>
      <c r="K1948" s="269">
        <v>84503</v>
      </c>
      <c r="L1948" s="269">
        <v>86333</v>
      </c>
      <c r="M1948" s="270">
        <v>1</v>
      </c>
      <c r="N1948" s="268">
        <v>1</v>
      </c>
      <c r="O1948" s="271"/>
      <c r="P1948" s="271">
        <v>84503</v>
      </c>
      <c r="Q1948" s="271"/>
      <c r="R1948" s="271"/>
      <c r="S1948" s="271">
        <v>-86333</v>
      </c>
      <c r="T1948" s="271"/>
      <c r="U1948" s="272">
        <v>1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153</v>
      </c>
      <c r="B1949" s="267" t="s">
        <v>2366</v>
      </c>
      <c r="C1949" s="267" t="s">
        <v>94</v>
      </c>
      <c r="D1949" s="267" t="s">
        <v>92</v>
      </c>
      <c r="E1949" s="267" t="s">
        <v>0</v>
      </c>
      <c r="F1949" s="268"/>
      <c r="G1949" s="269"/>
      <c r="H1949" s="269"/>
      <c r="I1949" s="270"/>
      <c r="J1949" s="268">
        <v>1</v>
      </c>
      <c r="K1949" s="269">
        <v>84827</v>
      </c>
      <c r="L1949" s="269">
        <v>86217</v>
      </c>
      <c r="M1949" s="270">
        <v>1</v>
      </c>
      <c r="N1949" s="268">
        <v>1</v>
      </c>
      <c r="O1949" s="271"/>
      <c r="P1949" s="271">
        <v>84827</v>
      </c>
      <c r="Q1949" s="271"/>
      <c r="R1949" s="271"/>
      <c r="S1949" s="271">
        <v>-86217</v>
      </c>
      <c r="T1949" s="271"/>
      <c r="U1949" s="272">
        <v>1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153</v>
      </c>
      <c r="B1950" s="267" t="s">
        <v>2367</v>
      </c>
      <c r="C1950" s="267" t="s">
        <v>94</v>
      </c>
      <c r="D1950" s="267" t="s">
        <v>92</v>
      </c>
      <c r="E1950" s="267" t="s">
        <v>0</v>
      </c>
      <c r="F1950" s="268"/>
      <c r="G1950" s="269"/>
      <c r="H1950" s="269"/>
      <c r="I1950" s="270"/>
      <c r="J1950" s="268">
        <v>1</v>
      </c>
      <c r="K1950" s="269">
        <v>84689</v>
      </c>
      <c r="L1950" s="269">
        <v>86133</v>
      </c>
      <c r="M1950" s="270">
        <v>1</v>
      </c>
      <c r="N1950" s="268">
        <v>1</v>
      </c>
      <c r="O1950" s="271"/>
      <c r="P1950" s="271">
        <v>84689</v>
      </c>
      <c r="Q1950" s="271"/>
      <c r="R1950" s="271"/>
      <c r="S1950" s="271">
        <v>-86133</v>
      </c>
      <c r="T1950" s="271"/>
      <c r="U1950" s="272">
        <v>1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153</v>
      </c>
      <c r="B1951" s="267" t="s">
        <v>2368</v>
      </c>
      <c r="C1951" s="267" t="s">
        <v>94</v>
      </c>
      <c r="D1951" s="267" t="s">
        <v>92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85030</v>
      </c>
      <c r="L1951" s="269">
        <v>85784</v>
      </c>
      <c r="M1951" s="270">
        <v>1</v>
      </c>
      <c r="N1951" s="268">
        <v>1</v>
      </c>
      <c r="O1951" s="271"/>
      <c r="P1951" s="271">
        <v>85030</v>
      </c>
      <c r="Q1951" s="271"/>
      <c r="R1951" s="271"/>
      <c r="S1951" s="271">
        <v>-85784</v>
      </c>
      <c r="T1951" s="271"/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153</v>
      </c>
      <c r="B1952" s="267" t="s">
        <v>2369</v>
      </c>
      <c r="C1952" s="267" t="s">
        <v>94</v>
      </c>
      <c r="D1952" s="267" t="s">
        <v>92</v>
      </c>
      <c r="E1952" s="267" t="s">
        <v>0</v>
      </c>
      <c r="F1952" s="268"/>
      <c r="G1952" s="269"/>
      <c r="H1952" s="269"/>
      <c r="I1952" s="270"/>
      <c r="J1952" s="268">
        <v>1</v>
      </c>
      <c r="K1952" s="269">
        <v>84600</v>
      </c>
      <c r="L1952" s="269">
        <v>86211</v>
      </c>
      <c r="M1952" s="270">
        <v>1</v>
      </c>
      <c r="N1952" s="268">
        <v>1</v>
      </c>
      <c r="O1952" s="271"/>
      <c r="P1952" s="271">
        <v>84600</v>
      </c>
      <c r="Q1952" s="271"/>
      <c r="R1952" s="271"/>
      <c r="S1952" s="271">
        <v>-86211</v>
      </c>
      <c r="T1952" s="271"/>
      <c r="U1952" s="272">
        <v>1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153</v>
      </c>
      <c r="B1953" s="267" t="s">
        <v>2370</v>
      </c>
      <c r="C1953" s="267" t="s">
        <v>94</v>
      </c>
      <c r="D1953" s="267" t="s">
        <v>92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84860</v>
      </c>
      <c r="L1953" s="269">
        <v>85987</v>
      </c>
      <c r="M1953" s="270">
        <v>1</v>
      </c>
      <c r="N1953" s="268">
        <v>1</v>
      </c>
      <c r="O1953" s="271"/>
      <c r="P1953" s="271">
        <v>84860</v>
      </c>
      <c r="Q1953" s="271"/>
      <c r="R1953" s="271"/>
      <c r="S1953" s="271">
        <v>-85987</v>
      </c>
      <c r="T1953" s="271"/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153</v>
      </c>
      <c r="B1954" s="267" t="s">
        <v>2371</v>
      </c>
      <c r="C1954" s="267" t="s">
        <v>94</v>
      </c>
      <c r="D1954" s="267" t="s">
        <v>92</v>
      </c>
      <c r="E1954" s="267" t="s">
        <v>0</v>
      </c>
      <c r="F1954" s="268"/>
      <c r="G1954" s="269"/>
      <c r="H1954" s="269"/>
      <c r="I1954" s="270"/>
      <c r="J1954" s="268">
        <v>1</v>
      </c>
      <c r="K1954" s="269">
        <v>84563</v>
      </c>
      <c r="L1954" s="269">
        <v>86193</v>
      </c>
      <c r="M1954" s="270">
        <v>1</v>
      </c>
      <c r="N1954" s="268">
        <v>1</v>
      </c>
      <c r="O1954" s="271"/>
      <c r="P1954" s="271">
        <v>84563</v>
      </c>
      <c r="Q1954" s="271"/>
      <c r="R1954" s="271"/>
      <c r="S1954" s="271">
        <v>-86193</v>
      </c>
      <c r="T1954" s="271"/>
      <c r="U1954" s="272">
        <v>1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153</v>
      </c>
      <c r="B1955" s="267" t="s">
        <v>2372</v>
      </c>
      <c r="C1955" s="267" t="s">
        <v>94</v>
      </c>
      <c r="D1955" s="267" t="s">
        <v>92</v>
      </c>
      <c r="E1955" s="267" t="s">
        <v>0</v>
      </c>
      <c r="F1955" s="268"/>
      <c r="G1955" s="269"/>
      <c r="H1955" s="269"/>
      <c r="I1955" s="270"/>
      <c r="J1955" s="268">
        <v>1</v>
      </c>
      <c r="K1955" s="269">
        <v>84434</v>
      </c>
      <c r="L1955" s="269">
        <v>86348</v>
      </c>
      <c r="M1955" s="270">
        <v>1</v>
      </c>
      <c r="N1955" s="268">
        <v>1</v>
      </c>
      <c r="O1955" s="271"/>
      <c r="P1955" s="271">
        <v>84434</v>
      </c>
      <c r="Q1955" s="271"/>
      <c r="R1955" s="271"/>
      <c r="S1955" s="271">
        <v>-86348</v>
      </c>
      <c r="T1955" s="271"/>
      <c r="U1955" s="272">
        <v>1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153</v>
      </c>
      <c r="B1956" s="267" t="s">
        <v>2373</v>
      </c>
      <c r="C1956" s="267" t="s">
        <v>94</v>
      </c>
      <c r="D1956" s="267" t="s">
        <v>92</v>
      </c>
      <c r="E1956" s="267" t="s">
        <v>0</v>
      </c>
      <c r="F1956" s="268"/>
      <c r="G1956" s="269"/>
      <c r="H1956" s="269"/>
      <c r="I1956" s="270"/>
      <c r="J1956" s="268">
        <v>1</v>
      </c>
      <c r="K1956" s="269">
        <v>84639</v>
      </c>
      <c r="L1956" s="269">
        <v>86199</v>
      </c>
      <c r="M1956" s="270">
        <v>1</v>
      </c>
      <c r="N1956" s="268">
        <v>1</v>
      </c>
      <c r="O1956" s="271"/>
      <c r="P1956" s="271">
        <v>84639</v>
      </c>
      <c r="Q1956" s="271"/>
      <c r="R1956" s="271"/>
      <c r="S1956" s="271">
        <v>-86199</v>
      </c>
      <c r="T1956" s="271"/>
      <c r="U1956" s="272">
        <v>1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153</v>
      </c>
      <c r="B1957" s="267" t="s">
        <v>2374</v>
      </c>
      <c r="C1957" s="267" t="s">
        <v>94</v>
      </c>
      <c r="D1957" s="267" t="s">
        <v>92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85013</v>
      </c>
      <c r="L1957" s="269">
        <v>85798</v>
      </c>
      <c r="M1957" s="270">
        <v>1</v>
      </c>
      <c r="N1957" s="268">
        <v>1</v>
      </c>
      <c r="O1957" s="271"/>
      <c r="P1957" s="271">
        <v>85013</v>
      </c>
      <c r="Q1957" s="271"/>
      <c r="R1957" s="271"/>
      <c r="S1957" s="271">
        <v>-85798</v>
      </c>
      <c r="T1957" s="271"/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153</v>
      </c>
      <c r="B1958" s="267" t="s">
        <v>2375</v>
      </c>
      <c r="C1958" s="267" t="s">
        <v>94</v>
      </c>
      <c r="D1958" s="267" t="s">
        <v>92</v>
      </c>
      <c r="E1958" s="267" t="s">
        <v>0</v>
      </c>
      <c r="F1958" s="268"/>
      <c r="G1958" s="269"/>
      <c r="H1958" s="269"/>
      <c r="I1958" s="270"/>
      <c r="J1958" s="268">
        <v>1</v>
      </c>
      <c r="K1958" s="269">
        <v>84623</v>
      </c>
      <c r="L1958" s="269">
        <v>86195</v>
      </c>
      <c r="M1958" s="270">
        <v>1</v>
      </c>
      <c r="N1958" s="268">
        <v>1</v>
      </c>
      <c r="O1958" s="271"/>
      <c r="P1958" s="271">
        <v>84623</v>
      </c>
      <c r="Q1958" s="271"/>
      <c r="R1958" s="271"/>
      <c r="S1958" s="271">
        <v>-86195</v>
      </c>
      <c r="T1958" s="271"/>
      <c r="U1958" s="272">
        <v>1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153</v>
      </c>
      <c r="B1959" s="267" t="s">
        <v>2376</v>
      </c>
      <c r="C1959" s="267" t="s">
        <v>94</v>
      </c>
      <c r="D1959" s="267" t="s">
        <v>92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84886</v>
      </c>
      <c r="L1959" s="269">
        <v>85974</v>
      </c>
      <c r="M1959" s="270">
        <v>1</v>
      </c>
      <c r="N1959" s="268">
        <v>1</v>
      </c>
      <c r="O1959" s="271"/>
      <c r="P1959" s="271">
        <v>84886</v>
      </c>
      <c r="Q1959" s="271"/>
      <c r="R1959" s="271"/>
      <c r="S1959" s="271">
        <v>-85974</v>
      </c>
      <c r="T1959" s="271"/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153</v>
      </c>
      <c r="B1960" s="267" t="s">
        <v>2377</v>
      </c>
      <c r="C1960" s="267" t="s">
        <v>94</v>
      </c>
      <c r="D1960" s="267" t="s">
        <v>92</v>
      </c>
      <c r="E1960" s="267" t="s">
        <v>0</v>
      </c>
      <c r="F1960" s="268"/>
      <c r="G1960" s="269"/>
      <c r="H1960" s="269"/>
      <c r="I1960" s="270"/>
      <c r="J1960" s="268">
        <v>1</v>
      </c>
      <c r="K1960" s="269">
        <v>84619</v>
      </c>
      <c r="L1960" s="269">
        <v>86140</v>
      </c>
      <c r="M1960" s="270">
        <v>1</v>
      </c>
      <c r="N1960" s="268">
        <v>1</v>
      </c>
      <c r="O1960" s="271"/>
      <c r="P1960" s="271">
        <v>84619</v>
      </c>
      <c r="Q1960" s="271"/>
      <c r="R1960" s="271"/>
      <c r="S1960" s="271">
        <v>-86140</v>
      </c>
      <c r="T1960" s="271"/>
      <c r="U1960" s="272">
        <v>1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153</v>
      </c>
      <c r="B1961" s="267" t="s">
        <v>2378</v>
      </c>
      <c r="C1961" s="267" t="s">
        <v>94</v>
      </c>
      <c r="D1961" s="267" t="s">
        <v>92</v>
      </c>
      <c r="E1961" s="267" t="s">
        <v>0</v>
      </c>
      <c r="F1961" s="268"/>
      <c r="G1961" s="269"/>
      <c r="H1961" s="269"/>
      <c r="I1961" s="270"/>
      <c r="J1961" s="268">
        <v>1</v>
      </c>
      <c r="K1961" s="269">
        <v>84410</v>
      </c>
      <c r="L1961" s="269">
        <v>86355</v>
      </c>
      <c r="M1961" s="270">
        <v>1</v>
      </c>
      <c r="N1961" s="268">
        <v>1</v>
      </c>
      <c r="O1961" s="271"/>
      <c r="P1961" s="271">
        <v>84410</v>
      </c>
      <c r="Q1961" s="271"/>
      <c r="R1961" s="271"/>
      <c r="S1961" s="271">
        <v>-86355</v>
      </c>
      <c r="T1961" s="271"/>
      <c r="U1961" s="272">
        <v>1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153</v>
      </c>
      <c r="B1962" s="267" t="s">
        <v>2379</v>
      </c>
      <c r="C1962" s="267" t="s">
        <v>94</v>
      </c>
      <c r="D1962" s="267" t="s">
        <v>92</v>
      </c>
      <c r="E1962" s="267" t="s">
        <v>0</v>
      </c>
      <c r="F1962" s="268"/>
      <c r="G1962" s="269"/>
      <c r="H1962" s="269"/>
      <c r="I1962" s="270"/>
      <c r="J1962" s="268">
        <v>1</v>
      </c>
      <c r="K1962" s="269">
        <v>84625</v>
      </c>
      <c r="L1962" s="269">
        <v>86216</v>
      </c>
      <c r="M1962" s="270">
        <v>1</v>
      </c>
      <c r="N1962" s="268">
        <v>1</v>
      </c>
      <c r="O1962" s="271"/>
      <c r="P1962" s="271">
        <v>84625</v>
      </c>
      <c r="Q1962" s="271"/>
      <c r="R1962" s="271"/>
      <c r="S1962" s="271">
        <v>-86216</v>
      </c>
      <c r="T1962" s="271"/>
      <c r="U1962" s="272">
        <v>1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153</v>
      </c>
      <c r="B1963" s="267" t="s">
        <v>2380</v>
      </c>
      <c r="C1963" s="267" t="s">
        <v>94</v>
      </c>
      <c r="D1963" s="267" t="s">
        <v>92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84930</v>
      </c>
      <c r="L1963" s="269">
        <v>85954</v>
      </c>
      <c r="M1963" s="270">
        <v>1</v>
      </c>
      <c r="N1963" s="268">
        <v>1</v>
      </c>
      <c r="O1963" s="271"/>
      <c r="P1963" s="271">
        <v>84930</v>
      </c>
      <c r="Q1963" s="271"/>
      <c r="R1963" s="271"/>
      <c r="S1963" s="271">
        <v>-85954</v>
      </c>
      <c r="T1963" s="271"/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153</v>
      </c>
      <c r="B1964" s="267" t="s">
        <v>2381</v>
      </c>
      <c r="C1964" s="267" t="s">
        <v>94</v>
      </c>
      <c r="D1964" s="267" t="s">
        <v>92</v>
      </c>
      <c r="E1964" s="267" t="s">
        <v>0</v>
      </c>
      <c r="F1964" s="268"/>
      <c r="G1964" s="269"/>
      <c r="H1964" s="269"/>
      <c r="I1964" s="270"/>
      <c r="J1964" s="268">
        <v>1</v>
      </c>
      <c r="K1964" s="269">
        <v>84503</v>
      </c>
      <c r="L1964" s="269">
        <v>86333</v>
      </c>
      <c r="M1964" s="270">
        <v>1</v>
      </c>
      <c r="N1964" s="268">
        <v>1</v>
      </c>
      <c r="O1964" s="271"/>
      <c r="P1964" s="271">
        <v>84503</v>
      </c>
      <c r="Q1964" s="271"/>
      <c r="R1964" s="271"/>
      <c r="S1964" s="271">
        <v>-86333</v>
      </c>
      <c r="T1964" s="271"/>
      <c r="U1964" s="272">
        <v>1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153</v>
      </c>
      <c r="B1965" s="267" t="s">
        <v>2382</v>
      </c>
      <c r="C1965" s="267" t="s">
        <v>94</v>
      </c>
      <c r="D1965" s="267" t="s">
        <v>92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84967</v>
      </c>
      <c r="L1965" s="269">
        <v>85921</v>
      </c>
      <c r="M1965" s="270">
        <v>1</v>
      </c>
      <c r="N1965" s="268">
        <v>1</v>
      </c>
      <c r="O1965" s="271"/>
      <c r="P1965" s="271">
        <v>84967</v>
      </c>
      <c r="Q1965" s="271"/>
      <c r="R1965" s="271"/>
      <c r="S1965" s="271">
        <v>-85921</v>
      </c>
      <c r="T1965" s="271"/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153</v>
      </c>
      <c r="B1966" s="267" t="s">
        <v>2383</v>
      </c>
      <c r="C1966" s="267" t="s">
        <v>94</v>
      </c>
      <c r="D1966" s="267" t="s">
        <v>92</v>
      </c>
      <c r="E1966" s="267" t="s">
        <v>0</v>
      </c>
      <c r="F1966" s="268"/>
      <c r="G1966" s="269"/>
      <c r="H1966" s="269"/>
      <c r="I1966" s="270"/>
      <c r="J1966" s="268">
        <v>1</v>
      </c>
      <c r="K1966" s="269">
        <v>84533</v>
      </c>
      <c r="L1966" s="269">
        <v>86293</v>
      </c>
      <c r="M1966" s="270">
        <v>1</v>
      </c>
      <c r="N1966" s="268">
        <v>1</v>
      </c>
      <c r="O1966" s="271"/>
      <c r="P1966" s="271">
        <v>84533</v>
      </c>
      <c r="Q1966" s="271"/>
      <c r="R1966" s="271"/>
      <c r="S1966" s="271">
        <v>-86293</v>
      </c>
      <c r="T1966" s="271"/>
      <c r="U1966" s="272">
        <v>1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153</v>
      </c>
      <c r="B1967" s="267" t="s">
        <v>2384</v>
      </c>
      <c r="C1967" s="267" t="s">
        <v>94</v>
      </c>
      <c r="D1967" s="267" t="s">
        <v>92</v>
      </c>
      <c r="E1967" s="267" t="s">
        <v>0</v>
      </c>
      <c r="F1967" s="268"/>
      <c r="G1967" s="269"/>
      <c r="H1967" s="269"/>
      <c r="I1967" s="270"/>
      <c r="J1967" s="268">
        <v>1</v>
      </c>
      <c r="K1967" s="269">
        <v>84663</v>
      </c>
      <c r="L1967" s="269">
        <v>86120</v>
      </c>
      <c r="M1967" s="270">
        <v>1</v>
      </c>
      <c r="N1967" s="268">
        <v>1</v>
      </c>
      <c r="O1967" s="271"/>
      <c r="P1967" s="271">
        <v>84663</v>
      </c>
      <c r="Q1967" s="271"/>
      <c r="R1967" s="271"/>
      <c r="S1967" s="271">
        <v>-86120</v>
      </c>
      <c r="T1967" s="271"/>
      <c r="U1967" s="272">
        <v>1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153</v>
      </c>
      <c r="B1968" s="267" t="s">
        <v>2385</v>
      </c>
      <c r="C1968" s="267" t="s">
        <v>94</v>
      </c>
      <c r="D1968" s="267" t="s">
        <v>92</v>
      </c>
      <c r="E1968" s="267" t="s">
        <v>0</v>
      </c>
      <c r="F1968" s="268"/>
      <c r="G1968" s="269"/>
      <c r="H1968" s="269"/>
      <c r="I1968" s="270"/>
      <c r="J1968" s="268">
        <v>1</v>
      </c>
      <c r="K1968" s="269">
        <v>84670</v>
      </c>
      <c r="L1968" s="269">
        <v>86127</v>
      </c>
      <c r="M1968" s="270">
        <v>1</v>
      </c>
      <c r="N1968" s="268">
        <v>1</v>
      </c>
      <c r="O1968" s="271"/>
      <c r="P1968" s="271">
        <v>84670</v>
      </c>
      <c r="Q1968" s="271"/>
      <c r="R1968" s="271"/>
      <c r="S1968" s="271">
        <v>-86127</v>
      </c>
      <c r="T1968" s="271"/>
      <c r="U1968" s="272">
        <v>1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153</v>
      </c>
      <c r="B1969" s="267" t="s">
        <v>2386</v>
      </c>
      <c r="C1969" s="267" t="s">
        <v>94</v>
      </c>
      <c r="D1969" s="267" t="s">
        <v>92</v>
      </c>
      <c r="E1969" s="267" t="s">
        <v>0</v>
      </c>
      <c r="F1969" s="268"/>
      <c r="G1969" s="269"/>
      <c r="H1969" s="269"/>
      <c r="I1969" s="270"/>
      <c r="J1969" s="268">
        <v>1</v>
      </c>
      <c r="K1969" s="269">
        <v>84428</v>
      </c>
      <c r="L1969" s="269">
        <v>86355</v>
      </c>
      <c r="M1969" s="270">
        <v>1</v>
      </c>
      <c r="N1969" s="268">
        <v>1</v>
      </c>
      <c r="O1969" s="271"/>
      <c r="P1969" s="271">
        <v>84428</v>
      </c>
      <c r="Q1969" s="271"/>
      <c r="R1969" s="271"/>
      <c r="S1969" s="271">
        <v>-86355</v>
      </c>
      <c r="T1969" s="271"/>
      <c r="U1969" s="272">
        <v>1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153</v>
      </c>
      <c r="B1970" s="267" t="s">
        <v>2387</v>
      </c>
      <c r="C1970" s="267" t="s">
        <v>94</v>
      </c>
      <c r="D1970" s="267" t="s">
        <v>92</v>
      </c>
      <c r="E1970" s="267" t="s">
        <v>0</v>
      </c>
      <c r="F1970" s="268"/>
      <c r="G1970" s="269"/>
      <c r="H1970" s="269"/>
      <c r="I1970" s="270"/>
      <c r="J1970" s="268">
        <v>1</v>
      </c>
      <c r="K1970" s="269">
        <v>84427</v>
      </c>
      <c r="L1970" s="269">
        <v>86373</v>
      </c>
      <c r="M1970" s="270">
        <v>1</v>
      </c>
      <c r="N1970" s="268">
        <v>1</v>
      </c>
      <c r="O1970" s="271"/>
      <c r="P1970" s="271">
        <v>84427</v>
      </c>
      <c r="Q1970" s="271"/>
      <c r="R1970" s="271"/>
      <c r="S1970" s="271">
        <v>-86373</v>
      </c>
      <c r="T1970" s="271"/>
      <c r="U1970" s="272">
        <v>1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153</v>
      </c>
      <c r="B1971" s="267" t="s">
        <v>2388</v>
      </c>
      <c r="C1971" s="267" t="s">
        <v>94</v>
      </c>
      <c r="D1971" s="267" t="s">
        <v>92</v>
      </c>
      <c r="E1971" s="267" t="s">
        <v>0</v>
      </c>
      <c r="F1971" s="268"/>
      <c r="G1971" s="269"/>
      <c r="H1971" s="269"/>
      <c r="I1971" s="270"/>
      <c r="J1971" s="268">
        <v>1</v>
      </c>
      <c r="K1971" s="269">
        <v>84395</v>
      </c>
      <c r="L1971" s="269">
        <v>86392</v>
      </c>
      <c r="M1971" s="270">
        <v>1</v>
      </c>
      <c r="N1971" s="268">
        <v>1</v>
      </c>
      <c r="O1971" s="271"/>
      <c r="P1971" s="271">
        <v>84395</v>
      </c>
      <c r="Q1971" s="271"/>
      <c r="R1971" s="271"/>
      <c r="S1971" s="271">
        <v>-86392</v>
      </c>
      <c r="T1971" s="271"/>
      <c r="U1971" s="272">
        <v>1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153</v>
      </c>
      <c r="B1972" s="267" t="s">
        <v>2389</v>
      </c>
      <c r="C1972" s="267" t="s">
        <v>94</v>
      </c>
      <c r="D1972" s="267" t="s">
        <v>92</v>
      </c>
      <c r="E1972" s="267" t="s">
        <v>0</v>
      </c>
      <c r="F1972" s="268"/>
      <c r="G1972" s="269"/>
      <c r="H1972" s="269"/>
      <c r="I1972" s="270"/>
      <c r="J1972" s="268">
        <v>1</v>
      </c>
      <c r="K1972" s="269">
        <v>84437</v>
      </c>
      <c r="L1972" s="269">
        <v>86383</v>
      </c>
      <c r="M1972" s="270">
        <v>1</v>
      </c>
      <c r="N1972" s="268">
        <v>1</v>
      </c>
      <c r="O1972" s="271"/>
      <c r="P1972" s="271">
        <v>84437</v>
      </c>
      <c r="Q1972" s="271"/>
      <c r="R1972" s="271"/>
      <c r="S1972" s="271">
        <v>-86383</v>
      </c>
      <c r="T1972" s="271"/>
      <c r="U1972" s="272">
        <v>1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153</v>
      </c>
      <c r="B1973" s="267" t="s">
        <v>2390</v>
      </c>
      <c r="C1973" s="267" t="s">
        <v>94</v>
      </c>
      <c r="D1973" s="267" t="s">
        <v>92</v>
      </c>
      <c r="E1973" s="267" t="s">
        <v>0</v>
      </c>
      <c r="F1973" s="268"/>
      <c r="G1973" s="269"/>
      <c r="H1973" s="269"/>
      <c r="I1973" s="270"/>
      <c r="J1973" s="268">
        <v>1</v>
      </c>
      <c r="K1973" s="269">
        <v>84603</v>
      </c>
      <c r="L1973" s="269">
        <v>86246</v>
      </c>
      <c r="M1973" s="270">
        <v>1</v>
      </c>
      <c r="N1973" s="268">
        <v>1</v>
      </c>
      <c r="O1973" s="271"/>
      <c r="P1973" s="271">
        <v>84603</v>
      </c>
      <c r="Q1973" s="271"/>
      <c r="R1973" s="271"/>
      <c r="S1973" s="271">
        <v>-86246</v>
      </c>
      <c r="T1973" s="271"/>
      <c r="U1973" s="272">
        <v>1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153</v>
      </c>
      <c r="B1974" s="267" t="s">
        <v>2391</v>
      </c>
      <c r="C1974" s="267" t="s">
        <v>94</v>
      </c>
      <c r="D1974" s="267" t="s">
        <v>92</v>
      </c>
      <c r="E1974" s="267" t="s">
        <v>0</v>
      </c>
      <c r="F1974" s="268"/>
      <c r="G1974" s="269"/>
      <c r="H1974" s="269"/>
      <c r="I1974" s="270"/>
      <c r="J1974" s="268">
        <v>1</v>
      </c>
      <c r="K1974" s="269">
        <v>84640</v>
      </c>
      <c r="L1974" s="269">
        <v>86213</v>
      </c>
      <c r="M1974" s="270">
        <v>1</v>
      </c>
      <c r="N1974" s="268">
        <v>1</v>
      </c>
      <c r="O1974" s="271"/>
      <c r="P1974" s="271">
        <v>84640</v>
      </c>
      <c r="Q1974" s="271"/>
      <c r="R1974" s="271"/>
      <c r="S1974" s="271">
        <v>-86213</v>
      </c>
      <c r="T1974" s="271"/>
      <c r="U1974" s="272">
        <v>1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153</v>
      </c>
      <c r="B1975" s="267" t="s">
        <v>2392</v>
      </c>
      <c r="C1975" s="267" t="s">
        <v>94</v>
      </c>
      <c r="D1975" s="267" t="s">
        <v>92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84882</v>
      </c>
      <c r="L1975" s="269">
        <v>86021</v>
      </c>
      <c r="M1975" s="270">
        <v>1</v>
      </c>
      <c r="N1975" s="268">
        <v>1</v>
      </c>
      <c r="O1975" s="271"/>
      <c r="P1975" s="271">
        <v>84882</v>
      </c>
      <c r="Q1975" s="271"/>
      <c r="R1975" s="271"/>
      <c r="S1975" s="271">
        <v>-86021</v>
      </c>
      <c r="T1975" s="271"/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153</v>
      </c>
      <c r="B1976" s="267" t="s">
        <v>2393</v>
      </c>
      <c r="C1976" s="267" t="s">
        <v>94</v>
      </c>
      <c r="D1976" s="267" t="s">
        <v>92</v>
      </c>
      <c r="E1976" s="267" t="s">
        <v>0</v>
      </c>
      <c r="F1976" s="268"/>
      <c r="G1976" s="269"/>
      <c r="H1976" s="269"/>
      <c r="I1976" s="270"/>
      <c r="J1976" s="268">
        <v>1</v>
      </c>
      <c r="K1976" s="269">
        <v>84628</v>
      </c>
      <c r="L1976" s="269">
        <v>86385</v>
      </c>
      <c r="M1976" s="270">
        <v>1</v>
      </c>
      <c r="N1976" s="268">
        <v>1</v>
      </c>
      <c r="O1976" s="271"/>
      <c r="P1976" s="271">
        <v>84628</v>
      </c>
      <c r="Q1976" s="271"/>
      <c r="R1976" s="271"/>
      <c r="S1976" s="271">
        <v>-86385</v>
      </c>
      <c r="T1976" s="271"/>
      <c r="U1976" s="272">
        <v>1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153</v>
      </c>
      <c r="B1977" s="267" t="s">
        <v>2394</v>
      </c>
      <c r="C1977" s="267" t="s">
        <v>94</v>
      </c>
      <c r="D1977" s="267" t="s">
        <v>92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84881</v>
      </c>
      <c r="L1977" s="269">
        <v>86007</v>
      </c>
      <c r="M1977" s="270">
        <v>1</v>
      </c>
      <c r="N1977" s="268">
        <v>1</v>
      </c>
      <c r="O1977" s="271"/>
      <c r="P1977" s="271">
        <v>84881</v>
      </c>
      <c r="Q1977" s="271"/>
      <c r="R1977" s="271"/>
      <c r="S1977" s="271">
        <v>-86007</v>
      </c>
      <c r="T1977" s="271"/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153</v>
      </c>
      <c r="B1978" s="267" t="s">
        <v>2395</v>
      </c>
      <c r="C1978" s="267" t="s">
        <v>94</v>
      </c>
      <c r="D1978" s="267" t="s">
        <v>92</v>
      </c>
      <c r="E1978" s="267" t="s">
        <v>0</v>
      </c>
      <c r="F1978" s="268"/>
      <c r="G1978" s="269"/>
      <c r="H1978" s="269"/>
      <c r="I1978" s="270"/>
      <c r="J1978" s="268">
        <v>1</v>
      </c>
      <c r="K1978" s="269">
        <v>84432</v>
      </c>
      <c r="L1978" s="269">
        <v>86416</v>
      </c>
      <c r="M1978" s="270">
        <v>1</v>
      </c>
      <c r="N1978" s="268">
        <v>1</v>
      </c>
      <c r="O1978" s="271"/>
      <c r="P1978" s="271">
        <v>84432</v>
      </c>
      <c r="Q1978" s="271"/>
      <c r="R1978" s="271"/>
      <c r="S1978" s="271">
        <v>-86416</v>
      </c>
      <c r="T1978" s="271"/>
      <c r="U1978" s="272">
        <v>1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153</v>
      </c>
      <c r="B1979" s="267" t="s">
        <v>2396</v>
      </c>
      <c r="C1979" s="267" t="s">
        <v>94</v>
      </c>
      <c r="D1979" s="267" t="s">
        <v>92</v>
      </c>
      <c r="E1979" s="267" t="s">
        <v>0</v>
      </c>
      <c r="F1979" s="268"/>
      <c r="G1979" s="269"/>
      <c r="H1979" s="269"/>
      <c r="I1979" s="270"/>
      <c r="J1979" s="268">
        <v>1</v>
      </c>
      <c r="K1979" s="269">
        <v>84665</v>
      </c>
      <c r="L1979" s="269">
        <v>86370</v>
      </c>
      <c r="M1979" s="270">
        <v>1</v>
      </c>
      <c r="N1979" s="268">
        <v>1</v>
      </c>
      <c r="O1979" s="271"/>
      <c r="P1979" s="271">
        <v>84665</v>
      </c>
      <c r="Q1979" s="271"/>
      <c r="R1979" s="271"/>
      <c r="S1979" s="271">
        <v>-86370</v>
      </c>
      <c r="T1979" s="271"/>
      <c r="U1979" s="272">
        <v>1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153</v>
      </c>
      <c r="B1980" s="267" t="s">
        <v>2397</v>
      </c>
      <c r="C1980" s="267" t="s">
        <v>94</v>
      </c>
      <c r="D1980" s="267" t="s">
        <v>92</v>
      </c>
      <c r="E1980" s="267" t="s">
        <v>0</v>
      </c>
      <c r="F1980" s="268"/>
      <c r="G1980" s="269"/>
      <c r="H1980" s="269"/>
      <c r="I1980" s="270"/>
      <c r="J1980" s="268">
        <v>1</v>
      </c>
      <c r="K1980" s="269">
        <v>84440</v>
      </c>
      <c r="L1980" s="269">
        <v>86385</v>
      </c>
      <c r="M1980" s="270">
        <v>1</v>
      </c>
      <c r="N1980" s="268">
        <v>1</v>
      </c>
      <c r="O1980" s="271"/>
      <c r="P1980" s="271">
        <v>84440</v>
      </c>
      <c r="Q1980" s="271"/>
      <c r="R1980" s="271"/>
      <c r="S1980" s="271">
        <v>-86385</v>
      </c>
      <c r="T1980" s="271"/>
      <c r="U1980" s="272">
        <v>1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153</v>
      </c>
      <c r="B1981" s="267" t="s">
        <v>2398</v>
      </c>
      <c r="C1981" s="267" t="s">
        <v>94</v>
      </c>
      <c r="D1981" s="267" t="s">
        <v>92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84896</v>
      </c>
      <c r="L1981" s="269">
        <v>86004</v>
      </c>
      <c r="M1981" s="270">
        <v>1</v>
      </c>
      <c r="N1981" s="268">
        <v>1</v>
      </c>
      <c r="O1981" s="271"/>
      <c r="P1981" s="271">
        <v>84896</v>
      </c>
      <c r="Q1981" s="271"/>
      <c r="R1981" s="271"/>
      <c r="S1981" s="271">
        <v>-86004</v>
      </c>
      <c r="T1981" s="271"/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153</v>
      </c>
      <c r="B1982" s="267" t="s">
        <v>2399</v>
      </c>
      <c r="C1982" s="267" t="s">
        <v>94</v>
      </c>
      <c r="D1982" s="267" t="s">
        <v>92</v>
      </c>
      <c r="E1982" s="267" t="s">
        <v>0</v>
      </c>
      <c r="F1982" s="268"/>
      <c r="G1982" s="269"/>
      <c r="H1982" s="269"/>
      <c r="I1982" s="270"/>
      <c r="J1982" s="268">
        <v>1</v>
      </c>
      <c r="K1982" s="269">
        <v>84665</v>
      </c>
      <c r="L1982" s="269">
        <v>86352</v>
      </c>
      <c r="M1982" s="270">
        <v>1</v>
      </c>
      <c r="N1982" s="268">
        <v>1</v>
      </c>
      <c r="O1982" s="271"/>
      <c r="P1982" s="271">
        <v>84665</v>
      </c>
      <c r="Q1982" s="271"/>
      <c r="R1982" s="271"/>
      <c r="S1982" s="271">
        <v>-86352</v>
      </c>
      <c r="T1982" s="271"/>
      <c r="U1982" s="272">
        <v>1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153</v>
      </c>
      <c r="B1983" s="267" t="s">
        <v>2400</v>
      </c>
      <c r="C1983" s="267" t="s">
        <v>94</v>
      </c>
      <c r="D1983" s="267" t="s">
        <v>92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84918</v>
      </c>
      <c r="L1983" s="269">
        <v>85974</v>
      </c>
      <c r="M1983" s="270">
        <v>1</v>
      </c>
      <c r="N1983" s="268">
        <v>1</v>
      </c>
      <c r="O1983" s="271"/>
      <c r="P1983" s="271">
        <v>84918</v>
      </c>
      <c r="Q1983" s="271"/>
      <c r="R1983" s="271"/>
      <c r="S1983" s="271">
        <v>-85974</v>
      </c>
      <c r="T1983" s="271"/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153</v>
      </c>
      <c r="B1984" s="267" t="s">
        <v>2401</v>
      </c>
      <c r="C1984" s="267" t="s">
        <v>94</v>
      </c>
      <c r="D1984" s="267" t="s">
        <v>92</v>
      </c>
      <c r="E1984" s="267" t="s">
        <v>0</v>
      </c>
      <c r="F1984" s="268"/>
      <c r="G1984" s="269"/>
      <c r="H1984" s="269"/>
      <c r="I1984" s="270"/>
      <c r="J1984" s="268">
        <v>1</v>
      </c>
      <c r="K1984" s="269">
        <v>84485</v>
      </c>
      <c r="L1984" s="269">
        <v>86360</v>
      </c>
      <c r="M1984" s="270">
        <v>1</v>
      </c>
      <c r="N1984" s="268">
        <v>1</v>
      </c>
      <c r="O1984" s="271"/>
      <c r="P1984" s="271">
        <v>84485</v>
      </c>
      <c r="Q1984" s="271"/>
      <c r="R1984" s="271"/>
      <c r="S1984" s="271">
        <v>-86360</v>
      </c>
      <c r="T1984" s="271"/>
      <c r="U1984" s="272">
        <v>1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153</v>
      </c>
      <c r="B1985" s="267" t="s">
        <v>2402</v>
      </c>
      <c r="C1985" s="267" t="s">
        <v>94</v>
      </c>
      <c r="D1985" s="267" t="s">
        <v>92</v>
      </c>
      <c r="E1985" s="267" t="s">
        <v>0</v>
      </c>
      <c r="F1985" s="268"/>
      <c r="G1985" s="269"/>
      <c r="H1985" s="269"/>
      <c r="I1985" s="270"/>
      <c r="J1985" s="268">
        <v>1</v>
      </c>
      <c r="K1985" s="269">
        <v>84672</v>
      </c>
      <c r="L1985" s="269">
        <v>86346</v>
      </c>
      <c r="M1985" s="270">
        <v>1</v>
      </c>
      <c r="N1985" s="268">
        <v>1</v>
      </c>
      <c r="O1985" s="271"/>
      <c r="P1985" s="271">
        <v>84672</v>
      </c>
      <c r="Q1985" s="271"/>
      <c r="R1985" s="271"/>
      <c r="S1985" s="271">
        <v>-86346</v>
      </c>
      <c r="T1985" s="271"/>
      <c r="U1985" s="272">
        <v>1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153</v>
      </c>
      <c r="B1986" s="267" t="s">
        <v>2403</v>
      </c>
      <c r="C1986" s="267" t="s">
        <v>94</v>
      </c>
      <c r="D1986" s="267" t="s">
        <v>92</v>
      </c>
      <c r="E1986" s="267" t="s">
        <v>0</v>
      </c>
      <c r="F1986" s="268"/>
      <c r="G1986" s="269"/>
      <c r="H1986" s="269"/>
      <c r="I1986" s="270"/>
      <c r="J1986" s="268">
        <v>1</v>
      </c>
      <c r="K1986" s="269">
        <v>84454</v>
      </c>
      <c r="L1986" s="269">
        <v>86368</v>
      </c>
      <c r="M1986" s="270">
        <v>1</v>
      </c>
      <c r="N1986" s="268">
        <v>1</v>
      </c>
      <c r="O1986" s="271"/>
      <c r="P1986" s="271">
        <v>84454</v>
      </c>
      <c r="Q1986" s="271"/>
      <c r="R1986" s="271"/>
      <c r="S1986" s="271">
        <v>-86368</v>
      </c>
      <c r="T1986" s="271"/>
      <c r="U1986" s="272">
        <v>1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153</v>
      </c>
      <c r="B1987" s="267" t="s">
        <v>2404</v>
      </c>
      <c r="C1987" s="267" t="s">
        <v>94</v>
      </c>
      <c r="D1987" s="267" t="s">
        <v>92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84931</v>
      </c>
      <c r="L1987" s="269">
        <v>85923</v>
      </c>
      <c r="M1987" s="270">
        <v>1</v>
      </c>
      <c r="N1987" s="268">
        <v>1</v>
      </c>
      <c r="O1987" s="271"/>
      <c r="P1987" s="271">
        <v>84931</v>
      </c>
      <c r="Q1987" s="271"/>
      <c r="R1987" s="271"/>
      <c r="S1987" s="271">
        <v>-85923</v>
      </c>
      <c r="T1987" s="271"/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153</v>
      </c>
      <c r="B1988" s="267" t="s">
        <v>2405</v>
      </c>
      <c r="C1988" s="267" t="s">
        <v>94</v>
      </c>
      <c r="D1988" s="267" t="s">
        <v>92</v>
      </c>
      <c r="E1988" s="267" t="s">
        <v>0</v>
      </c>
      <c r="F1988" s="268"/>
      <c r="G1988" s="269"/>
      <c r="H1988" s="269"/>
      <c r="I1988" s="270"/>
      <c r="J1988" s="268">
        <v>1</v>
      </c>
      <c r="K1988" s="269">
        <v>84504</v>
      </c>
      <c r="L1988" s="269">
        <v>86302</v>
      </c>
      <c r="M1988" s="270">
        <v>1</v>
      </c>
      <c r="N1988" s="268">
        <v>1</v>
      </c>
      <c r="O1988" s="271"/>
      <c r="P1988" s="271">
        <v>84504</v>
      </c>
      <c r="Q1988" s="271"/>
      <c r="R1988" s="271"/>
      <c r="S1988" s="271">
        <v>-86302</v>
      </c>
      <c r="T1988" s="271"/>
      <c r="U1988" s="272">
        <v>1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153</v>
      </c>
      <c r="B1989" s="267" t="s">
        <v>2406</v>
      </c>
      <c r="C1989" s="267" t="s">
        <v>94</v>
      </c>
      <c r="D1989" s="267" t="s">
        <v>92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84954</v>
      </c>
      <c r="L1989" s="269">
        <v>85907</v>
      </c>
      <c r="M1989" s="270">
        <v>1</v>
      </c>
      <c r="N1989" s="268">
        <v>1</v>
      </c>
      <c r="O1989" s="271"/>
      <c r="P1989" s="271">
        <v>84954</v>
      </c>
      <c r="Q1989" s="271"/>
      <c r="R1989" s="271"/>
      <c r="S1989" s="271">
        <v>-85907</v>
      </c>
      <c r="T1989" s="271"/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153</v>
      </c>
      <c r="B1990" s="267" t="s">
        <v>2407</v>
      </c>
      <c r="C1990" s="267" t="s">
        <v>94</v>
      </c>
      <c r="D1990" s="267" t="s">
        <v>92</v>
      </c>
      <c r="E1990" s="267" t="s">
        <v>0</v>
      </c>
      <c r="F1990" s="268"/>
      <c r="G1990" s="269"/>
      <c r="H1990" s="269"/>
      <c r="I1990" s="270"/>
      <c r="J1990" s="268">
        <v>1</v>
      </c>
      <c r="K1990" s="269">
        <v>84520</v>
      </c>
      <c r="L1990" s="269">
        <v>86279</v>
      </c>
      <c r="M1990" s="270">
        <v>1</v>
      </c>
      <c r="N1990" s="268">
        <v>1</v>
      </c>
      <c r="O1990" s="271"/>
      <c r="P1990" s="271">
        <v>84520</v>
      </c>
      <c r="Q1990" s="271"/>
      <c r="R1990" s="271"/>
      <c r="S1990" s="271">
        <v>-86279</v>
      </c>
      <c r="T1990" s="271"/>
      <c r="U1990" s="272">
        <v>1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153</v>
      </c>
      <c r="B1991" s="267" t="s">
        <v>2408</v>
      </c>
      <c r="C1991" s="267" t="s">
        <v>94</v>
      </c>
      <c r="D1991" s="267" t="s">
        <v>92</v>
      </c>
      <c r="E1991" s="267" t="s">
        <v>0</v>
      </c>
      <c r="F1991" s="268"/>
      <c r="G1991" s="269"/>
      <c r="H1991" s="269"/>
      <c r="I1991" s="270"/>
      <c r="J1991" s="268">
        <v>1</v>
      </c>
      <c r="K1991" s="269">
        <v>84498</v>
      </c>
      <c r="L1991" s="269">
        <v>86309</v>
      </c>
      <c r="M1991" s="270">
        <v>1</v>
      </c>
      <c r="N1991" s="268">
        <v>1</v>
      </c>
      <c r="O1991" s="271"/>
      <c r="P1991" s="271">
        <v>84498</v>
      </c>
      <c r="Q1991" s="271"/>
      <c r="R1991" s="271"/>
      <c r="S1991" s="271">
        <v>-86309</v>
      </c>
      <c r="T1991" s="271"/>
      <c r="U1991" s="272">
        <v>1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153</v>
      </c>
      <c r="B1992" s="267" t="s">
        <v>2409</v>
      </c>
      <c r="C1992" s="267" t="s">
        <v>94</v>
      </c>
      <c r="D1992" s="267" t="s">
        <v>92</v>
      </c>
      <c r="E1992" s="267" t="s">
        <v>0</v>
      </c>
      <c r="F1992" s="268"/>
      <c r="G1992" s="269"/>
      <c r="H1992" s="269"/>
      <c r="I1992" s="270"/>
      <c r="J1992" s="268">
        <v>1</v>
      </c>
      <c r="K1992" s="269">
        <v>84505</v>
      </c>
      <c r="L1992" s="269">
        <v>86316</v>
      </c>
      <c r="M1992" s="270">
        <v>1</v>
      </c>
      <c r="N1992" s="268">
        <v>1</v>
      </c>
      <c r="O1992" s="271"/>
      <c r="P1992" s="271">
        <v>84505</v>
      </c>
      <c r="Q1992" s="271"/>
      <c r="R1992" s="271"/>
      <c r="S1992" s="271">
        <v>-86316</v>
      </c>
      <c r="T1992" s="271"/>
      <c r="U1992" s="272">
        <v>1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153</v>
      </c>
      <c r="B1993" s="267" t="s">
        <v>2410</v>
      </c>
      <c r="C1993" s="267" t="s">
        <v>94</v>
      </c>
      <c r="D1993" s="267" t="s">
        <v>92</v>
      </c>
      <c r="E1993" s="267" t="s">
        <v>0</v>
      </c>
      <c r="F1993" s="268"/>
      <c r="G1993" s="269"/>
      <c r="H1993" s="269"/>
      <c r="I1993" s="270"/>
      <c r="J1993" s="268">
        <v>1</v>
      </c>
      <c r="K1993" s="269">
        <v>84825</v>
      </c>
      <c r="L1993" s="269">
        <v>86157</v>
      </c>
      <c r="M1993" s="270">
        <v>1</v>
      </c>
      <c r="N1993" s="268">
        <v>1</v>
      </c>
      <c r="O1993" s="271"/>
      <c r="P1993" s="271">
        <v>84825</v>
      </c>
      <c r="Q1993" s="271"/>
      <c r="R1993" s="271"/>
      <c r="S1993" s="271">
        <v>-86157</v>
      </c>
      <c r="T1993" s="271"/>
      <c r="U1993" s="272">
        <v>1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153</v>
      </c>
      <c r="B1994" s="267" t="s">
        <v>2411</v>
      </c>
      <c r="C1994" s="267" t="s">
        <v>94</v>
      </c>
      <c r="D1994" s="267" t="s">
        <v>92</v>
      </c>
      <c r="E1994" s="267" t="s">
        <v>0</v>
      </c>
      <c r="F1994" s="268"/>
      <c r="G1994" s="269"/>
      <c r="H1994" s="269"/>
      <c r="I1994" s="270"/>
      <c r="J1994" s="268">
        <v>1</v>
      </c>
      <c r="K1994" s="269">
        <v>84614</v>
      </c>
      <c r="L1994" s="269">
        <v>86173</v>
      </c>
      <c r="M1994" s="270">
        <v>1</v>
      </c>
      <c r="N1994" s="268">
        <v>1</v>
      </c>
      <c r="O1994" s="271"/>
      <c r="P1994" s="271">
        <v>84614</v>
      </c>
      <c r="Q1994" s="271"/>
      <c r="R1994" s="271"/>
      <c r="S1994" s="271">
        <v>-86173</v>
      </c>
      <c r="T1994" s="271"/>
      <c r="U1994" s="272">
        <v>1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153</v>
      </c>
      <c r="B1995" s="267" t="s">
        <v>2412</v>
      </c>
      <c r="C1995" s="267" t="s">
        <v>94</v>
      </c>
      <c r="D1995" s="267" t="s">
        <v>92</v>
      </c>
      <c r="E1995" s="267" t="s">
        <v>0</v>
      </c>
      <c r="F1995" s="268"/>
      <c r="G1995" s="269"/>
      <c r="H1995" s="269"/>
      <c r="I1995" s="270"/>
      <c r="J1995" s="268">
        <v>1</v>
      </c>
      <c r="K1995" s="269">
        <v>84809</v>
      </c>
      <c r="L1995" s="269">
        <v>86180</v>
      </c>
      <c r="M1995" s="270">
        <v>1</v>
      </c>
      <c r="N1995" s="268">
        <v>1</v>
      </c>
      <c r="O1995" s="271"/>
      <c r="P1995" s="271">
        <v>84809</v>
      </c>
      <c r="Q1995" s="271"/>
      <c r="R1995" s="271"/>
      <c r="S1995" s="271">
        <v>-86180</v>
      </c>
      <c r="T1995" s="271"/>
      <c r="U1995" s="272">
        <v>1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153</v>
      </c>
      <c r="B1996" s="267" t="s">
        <v>2413</v>
      </c>
      <c r="C1996" s="267" t="s">
        <v>94</v>
      </c>
      <c r="D1996" s="267" t="s">
        <v>92</v>
      </c>
      <c r="E1996" s="267" t="s">
        <v>0</v>
      </c>
      <c r="F1996" s="268"/>
      <c r="G1996" s="269"/>
      <c r="H1996" s="269"/>
      <c r="I1996" s="270"/>
      <c r="J1996" s="268">
        <v>1</v>
      </c>
      <c r="K1996" s="269">
        <v>84621</v>
      </c>
      <c r="L1996" s="269">
        <v>86180</v>
      </c>
      <c r="M1996" s="270">
        <v>1</v>
      </c>
      <c r="N1996" s="268">
        <v>1</v>
      </c>
      <c r="O1996" s="271"/>
      <c r="P1996" s="271">
        <v>84621</v>
      </c>
      <c r="Q1996" s="271"/>
      <c r="R1996" s="271"/>
      <c r="S1996" s="271">
        <v>-86180</v>
      </c>
      <c r="T1996" s="271"/>
      <c r="U1996" s="272">
        <v>1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153</v>
      </c>
      <c r="B1997" s="267" t="s">
        <v>2414</v>
      </c>
      <c r="C1997" s="267" t="s">
        <v>94</v>
      </c>
      <c r="D1997" s="267" t="s">
        <v>92</v>
      </c>
      <c r="E1997" s="267" t="s">
        <v>0</v>
      </c>
      <c r="F1997" s="268"/>
      <c r="G1997" s="269"/>
      <c r="H1997" s="269"/>
      <c r="I1997" s="270"/>
      <c r="J1997" s="268">
        <v>1</v>
      </c>
      <c r="K1997" s="269">
        <v>84584</v>
      </c>
      <c r="L1997" s="269">
        <v>86195</v>
      </c>
      <c r="M1997" s="270">
        <v>1</v>
      </c>
      <c r="N1997" s="268">
        <v>1</v>
      </c>
      <c r="O1997" s="271"/>
      <c r="P1997" s="271">
        <v>84584</v>
      </c>
      <c r="Q1997" s="271"/>
      <c r="R1997" s="271"/>
      <c r="S1997" s="271">
        <v>-86195</v>
      </c>
      <c r="T1997" s="271"/>
      <c r="U1997" s="272">
        <v>1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153</v>
      </c>
      <c r="B1998" s="267" t="s">
        <v>2415</v>
      </c>
      <c r="C1998" s="267" t="s">
        <v>94</v>
      </c>
      <c r="D1998" s="267" t="s">
        <v>92</v>
      </c>
      <c r="E1998" s="267" t="s">
        <v>0</v>
      </c>
      <c r="F1998" s="268"/>
      <c r="G1998" s="269"/>
      <c r="H1998" s="269"/>
      <c r="I1998" s="270"/>
      <c r="J1998" s="268">
        <v>1</v>
      </c>
      <c r="K1998" s="269">
        <v>84607</v>
      </c>
      <c r="L1998" s="269">
        <v>86179</v>
      </c>
      <c r="M1998" s="270">
        <v>1</v>
      </c>
      <c r="N1998" s="268">
        <v>1</v>
      </c>
      <c r="O1998" s="271"/>
      <c r="P1998" s="271">
        <v>84607</v>
      </c>
      <c r="Q1998" s="271"/>
      <c r="R1998" s="271"/>
      <c r="S1998" s="271">
        <v>-86179</v>
      </c>
      <c r="T1998" s="271"/>
      <c r="U1998" s="272">
        <v>1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153</v>
      </c>
      <c r="B1999" s="267" t="s">
        <v>2416</v>
      </c>
      <c r="C1999" s="267" t="s">
        <v>94</v>
      </c>
      <c r="D1999" s="267" t="s">
        <v>92</v>
      </c>
      <c r="E1999" s="267" t="s">
        <v>0</v>
      </c>
      <c r="F1999" s="268"/>
      <c r="G1999" s="269"/>
      <c r="H1999" s="269"/>
      <c r="I1999" s="270"/>
      <c r="J1999" s="268">
        <v>1</v>
      </c>
      <c r="K1999" s="269">
        <v>84568</v>
      </c>
      <c r="L1999" s="269">
        <v>86246</v>
      </c>
      <c r="M1999" s="270">
        <v>1</v>
      </c>
      <c r="N1999" s="268">
        <v>1</v>
      </c>
      <c r="O1999" s="271"/>
      <c r="P1999" s="271">
        <v>84568</v>
      </c>
      <c r="Q1999" s="271"/>
      <c r="R1999" s="271"/>
      <c r="S1999" s="271">
        <v>-86246</v>
      </c>
      <c r="T1999" s="271"/>
      <c r="U1999" s="272">
        <v>1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153</v>
      </c>
      <c r="B2000" s="267" t="s">
        <v>2417</v>
      </c>
      <c r="C2000" s="267" t="s">
        <v>94</v>
      </c>
      <c r="D2000" s="267" t="s">
        <v>92</v>
      </c>
      <c r="E2000" s="267" t="s">
        <v>0</v>
      </c>
      <c r="F2000" s="268"/>
      <c r="G2000" s="269"/>
      <c r="H2000" s="269"/>
      <c r="I2000" s="270"/>
      <c r="J2000" s="268">
        <v>1</v>
      </c>
      <c r="K2000" s="269">
        <v>84764</v>
      </c>
      <c r="L2000" s="269">
        <v>86203</v>
      </c>
      <c r="M2000" s="270">
        <v>1</v>
      </c>
      <c r="N2000" s="268">
        <v>1</v>
      </c>
      <c r="O2000" s="271"/>
      <c r="P2000" s="271">
        <v>84764</v>
      </c>
      <c r="Q2000" s="271"/>
      <c r="R2000" s="271"/>
      <c r="S2000" s="271">
        <v>-86203</v>
      </c>
      <c r="T2000" s="271"/>
      <c r="U2000" s="272">
        <v>1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153</v>
      </c>
      <c r="B2001" s="267" t="s">
        <v>2418</v>
      </c>
      <c r="C2001" s="267" t="s">
        <v>94</v>
      </c>
      <c r="D2001" s="267" t="s">
        <v>92</v>
      </c>
      <c r="E2001" s="267" t="s">
        <v>0</v>
      </c>
      <c r="F2001" s="268"/>
      <c r="G2001" s="269"/>
      <c r="H2001" s="269"/>
      <c r="I2001" s="270"/>
      <c r="J2001" s="268">
        <v>1</v>
      </c>
      <c r="K2001" s="269">
        <v>84501</v>
      </c>
      <c r="L2001" s="269">
        <v>86282</v>
      </c>
      <c r="M2001" s="270">
        <v>1</v>
      </c>
      <c r="N2001" s="268">
        <v>1</v>
      </c>
      <c r="O2001" s="271"/>
      <c r="P2001" s="271">
        <v>84501</v>
      </c>
      <c r="Q2001" s="271"/>
      <c r="R2001" s="271"/>
      <c r="S2001" s="271">
        <v>-86282</v>
      </c>
      <c r="T2001" s="271"/>
      <c r="U2001" s="272">
        <v>1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153</v>
      </c>
      <c r="B2002" s="267" t="s">
        <v>2419</v>
      </c>
      <c r="C2002" s="267" t="s">
        <v>94</v>
      </c>
      <c r="D2002" s="267" t="s">
        <v>92</v>
      </c>
      <c r="E2002" s="267" t="s">
        <v>0</v>
      </c>
      <c r="F2002" s="268"/>
      <c r="G2002" s="269"/>
      <c r="H2002" s="269"/>
      <c r="I2002" s="270"/>
      <c r="J2002" s="268">
        <v>1</v>
      </c>
      <c r="K2002" s="269">
        <v>84584</v>
      </c>
      <c r="L2002" s="269">
        <v>86250</v>
      </c>
      <c r="M2002" s="270">
        <v>1</v>
      </c>
      <c r="N2002" s="268">
        <v>1</v>
      </c>
      <c r="O2002" s="271"/>
      <c r="P2002" s="271">
        <v>84584</v>
      </c>
      <c r="Q2002" s="271"/>
      <c r="R2002" s="271"/>
      <c r="S2002" s="271">
        <v>-86250</v>
      </c>
      <c r="T2002" s="271"/>
      <c r="U2002" s="272">
        <v>1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153</v>
      </c>
      <c r="B2003" s="267" t="s">
        <v>2420</v>
      </c>
      <c r="C2003" s="267" t="s">
        <v>94</v>
      </c>
      <c r="D2003" s="267" t="s">
        <v>92</v>
      </c>
      <c r="E2003" s="267" t="s">
        <v>0</v>
      </c>
      <c r="F2003" s="268"/>
      <c r="G2003" s="269"/>
      <c r="H2003" s="269"/>
      <c r="I2003" s="270"/>
      <c r="J2003" s="268">
        <v>1</v>
      </c>
      <c r="K2003" s="269">
        <v>84711</v>
      </c>
      <c r="L2003" s="269">
        <v>86284</v>
      </c>
      <c r="M2003" s="270">
        <v>1</v>
      </c>
      <c r="N2003" s="268">
        <v>1</v>
      </c>
      <c r="O2003" s="271"/>
      <c r="P2003" s="271">
        <v>84711</v>
      </c>
      <c r="Q2003" s="271"/>
      <c r="R2003" s="271"/>
      <c r="S2003" s="271">
        <v>-86284</v>
      </c>
      <c r="T2003" s="271"/>
      <c r="U2003" s="272">
        <v>1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153</v>
      </c>
      <c r="B2004" s="267" t="s">
        <v>2421</v>
      </c>
      <c r="C2004" s="267" t="s">
        <v>94</v>
      </c>
      <c r="D2004" s="267" t="s">
        <v>92</v>
      </c>
      <c r="E2004" s="267" t="s">
        <v>0</v>
      </c>
      <c r="F2004" s="268"/>
      <c r="G2004" s="269"/>
      <c r="H2004" s="269"/>
      <c r="I2004" s="270"/>
      <c r="J2004" s="268">
        <v>1</v>
      </c>
      <c r="K2004" s="269">
        <v>84536</v>
      </c>
      <c r="L2004" s="269">
        <v>86233</v>
      </c>
      <c r="M2004" s="270">
        <v>1</v>
      </c>
      <c r="N2004" s="268">
        <v>1</v>
      </c>
      <c r="O2004" s="271"/>
      <c r="P2004" s="271">
        <v>84536</v>
      </c>
      <c r="Q2004" s="271"/>
      <c r="R2004" s="271"/>
      <c r="S2004" s="271">
        <v>-86233</v>
      </c>
      <c r="T2004" s="271"/>
      <c r="U2004" s="272">
        <v>1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153</v>
      </c>
      <c r="B2005" s="267" t="s">
        <v>2422</v>
      </c>
      <c r="C2005" s="267" t="s">
        <v>94</v>
      </c>
      <c r="D2005" s="267" t="s">
        <v>92</v>
      </c>
      <c r="E2005" s="267" t="s">
        <v>0</v>
      </c>
      <c r="F2005" s="268"/>
      <c r="G2005" s="269"/>
      <c r="H2005" s="269"/>
      <c r="I2005" s="270"/>
      <c r="J2005" s="268">
        <v>1</v>
      </c>
      <c r="K2005" s="269">
        <v>84552</v>
      </c>
      <c r="L2005" s="269">
        <v>86269</v>
      </c>
      <c r="M2005" s="270">
        <v>1</v>
      </c>
      <c r="N2005" s="268">
        <v>1</v>
      </c>
      <c r="O2005" s="271"/>
      <c r="P2005" s="271">
        <v>84552</v>
      </c>
      <c r="Q2005" s="271"/>
      <c r="R2005" s="271"/>
      <c r="S2005" s="271">
        <v>-86269</v>
      </c>
      <c r="T2005" s="271"/>
      <c r="U2005" s="272">
        <v>1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153</v>
      </c>
      <c r="B2006" s="267" t="s">
        <v>2423</v>
      </c>
      <c r="C2006" s="267" t="s">
        <v>94</v>
      </c>
      <c r="D2006" s="267" t="s">
        <v>92</v>
      </c>
      <c r="E2006" s="267" t="s">
        <v>0</v>
      </c>
      <c r="F2006" s="268"/>
      <c r="G2006" s="269"/>
      <c r="H2006" s="269"/>
      <c r="I2006" s="270"/>
      <c r="J2006" s="268">
        <v>1</v>
      </c>
      <c r="K2006" s="269">
        <v>84731</v>
      </c>
      <c r="L2006" s="269">
        <v>86240</v>
      </c>
      <c r="M2006" s="270">
        <v>1</v>
      </c>
      <c r="N2006" s="268">
        <v>1</v>
      </c>
      <c r="O2006" s="271"/>
      <c r="P2006" s="271">
        <v>84731</v>
      </c>
      <c r="Q2006" s="271"/>
      <c r="R2006" s="271"/>
      <c r="S2006" s="271">
        <v>-86240</v>
      </c>
      <c r="T2006" s="271"/>
      <c r="U2006" s="272">
        <v>1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153</v>
      </c>
      <c r="B2007" s="267" t="s">
        <v>2424</v>
      </c>
      <c r="C2007" s="267" t="s">
        <v>94</v>
      </c>
      <c r="D2007" s="267" t="s">
        <v>92</v>
      </c>
      <c r="E2007" s="267" t="s">
        <v>0</v>
      </c>
      <c r="F2007" s="268"/>
      <c r="G2007" s="269"/>
      <c r="H2007" s="269"/>
      <c r="I2007" s="270"/>
      <c r="J2007" s="268">
        <v>1</v>
      </c>
      <c r="K2007" s="269">
        <v>84468</v>
      </c>
      <c r="L2007" s="269">
        <v>86319</v>
      </c>
      <c r="M2007" s="270">
        <v>1</v>
      </c>
      <c r="N2007" s="268">
        <v>1</v>
      </c>
      <c r="O2007" s="271"/>
      <c r="P2007" s="271">
        <v>84468</v>
      </c>
      <c r="Q2007" s="271"/>
      <c r="R2007" s="271"/>
      <c r="S2007" s="271">
        <v>-86319</v>
      </c>
      <c r="T2007" s="271"/>
      <c r="U2007" s="272">
        <v>1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153</v>
      </c>
      <c r="B2008" s="267" t="s">
        <v>2425</v>
      </c>
      <c r="C2008" s="267" t="s">
        <v>94</v>
      </c>
      <c r="D2008" s="267" t="s">
        <v>92</v>
      </c>
      <c r="E2008" s="267" t="s">
        <v>0</v>
      </c>
      <c r="F2008" s="268"/>
      <c r="G2008" s="269"/>
      <c r="H2008" s="269"/>
      <c r="I2008" s="270"/>
      <c r="J2008" s="268">
        <v>1</v>
      </c>
      <c r="K2008" s="269">
        <v>84577</v>
      </c>
      <c r="L2008" s="269">
        <v>86274</v>
      </c>
      <c r="M2008" s="270">
        <v>1</v>
      </c>
      <c r="N2008" s="268">
        <v>1</v>
      </c>
      <c r="O2008" s="271"/>
      <c r="P2008" s="271">
        <v>84577</v>
      </c>
      <c r="Q2008" s="271"/>
      <c r="R2008" s="271"/>
      <c r="S2008" s="271">
        <v>-86274</v>
      </c>
      <c r="T2008" s="271"/>
      <c r="U2008" s="272">
        <v>1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153</v>
      </c>
      <c r="B2009" s="267" t="s">
        <v>2426</v>
      </c>
      <c r="C2009" s="267" t="s">
        <v>94</v>
      </c>
      <c r="D2009" s="267" t="s">
        <v>92</v>
      </c>
      <c r="E2009" s="267" t="s">
        <v>0</v>
      </c>
      <c r="F2009" s="268"/>
      <c r="G2009" s="269"/>
      <c r="H2009" s="269"/>
      <c r="I2009" s="270"/>
      <c r="J2009" s="268">
        <v>1</v>
      </c>
      <c r="K2009" s="269">
        <v>84698</v>
      </c>
      <c r="L2009" s="269">
        <v>86310</v>
      </c>
      <c r="M2009" s="270">
        <v>1</v>
      </c>
      <c r="N2009" s="268">
        <v>1</v>
      </c>
      <c r="O2009" s="271"/>
      <c r="P2009" s="271">
        <v>84698</v>
      </c>
      <c r="Q2009" s="271"/>
      <c r="R2009" s="271"/>
      <c r="S2009" s="271">
        <v>-86310</v>
      </c>
      <c r="T2009" s="271"/>
      <c r="U2009" s="272">
        <v>1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153</v>
      </c>
      <c r="B2010" s="267" t="s">
        <v>2427</v>
      </c>
      <c r="C2010" s="267" t="s">
        <v>94</v>
      </c>
      <c r="D2010" s="267" t="s">
        <v>92</v>
      </c>
      <c r="E2010" s="267" t="s">
        <v>0</v>
      </c>
      <c r="F2010" s="268"/>
      <c r="G2010" s="269"/>
      <c r="H2010" s="269"/>
      <c r="I2010" s="270"/>
      <c r="J2010" s="268">
        <v>1</v>
      </c>
      <c r="K2010" s="269">
        <v>84560</v>
      </c>
      <c r="L2010" s="269">
        <v>86226</v>
      </c>
      <c r="M2010" s="270">
        <v>1</v>
      </c>
      <c r="N2010" s="268">
        <v>1</v>
      </c>
      <c r="O2010" s="271"/>
      <c r="P2010" s="271">
        <v>84560</v>
      </c>
      <c r="Q2010" s="271"/>
      <c r="R2010" s="271"/>
      <c r="S2010" s="271">
        <v>-86226</v>
      </c>
      <c r="T2010" s="271"/>
      <c r="U2010" s="272">
        <v>1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153</v>
      </c>
      <c r="B2011" s="267" t="s">
        <v>2428</v>
      </c>
      <c r="C2011" s="267" t="s">
        <v>94</v>
      </c>
      <c r="D2011" s="267" t="s">
        <v>92</v>
      </c>
      <c r="E2011" s="267" t="s">
        <v>0</v>
      </c>
      <c r="F2011" s="268"/>
      <c r="G2011" s="269"/>
      <c r="H2011" s="269"/>
      <c r="I2011" s="270"/>
      <c r="J2011" s="268">
        <v>1</v>
      </c>
      <c r="K2011" s="269">
        <v>84471</v>
      </c>
      <c r="L2011" s="269">
        <v>86304</v>
      </c>
      <c r="M2011" s="270">
        <v>1</v>
      </c>
      <c r="N2011" s="268">
        <v>1</v>
      </c>
      <c r="O2011" s="271"/>
      <c r="P2011" s="271">
        <v>84471</v>
      </c>
      <c r="Q2011" s="271"/>
      <c r="R2011" s="271"/>
      <c r="S2011" s="271">
        <v>-86304</v>
      </c>
      <c r="T2011" s="271"/>
      <c r="U2011" s="272">
        <v>1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153</v>
      </c>
      <c r="B2012" s="267" t="s">
        <v>2429</v>
      </c>
      <c r="C2012" s="267" t="s">
        <v>94</v>
      </c>
      <c r="D2012" s="267" t="s">
        <v>92</v>
      </c>
      <c r="E2012" s="267" t="s">
        <v>0</v>
      </c>
      <c r="F2012" s="268"/>
      <c r="G2012" s="269"/>
      <c r="H2012" s="269"/>
      <c r="I2012" s="270"/>
      <c r="J2012" s="268">
        <v>1</v>
      </c>
      <c r="K2012" s="269">
        <v>84470</v>
      </c>
      <c r="L2012" s="269">
        <v>86322</v>
      </c>
      <c r="M2012" s="270">
        <v>1</v>
      </c>
      <c r="N2012" s="268">
        <v>1</v>
      </c>
      <c r="O2012" s="271"/>
      <c r="P2012" s="271">
        <v>84470</v>
      </c>
      <c r="Q2012" s="271"/>
      <c r="R2012" s="271"/>
      <c r="S2012" s="271">
        <v>-86322</v>
      </c>
      <c r="T2012" s="271"/>
      <c r="U2012" s="272">
        <v>1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153</v>
      </c>
      <c r="B2013" s="267" t="s">
        <v>2430</v>
      </c>
      <c r="C2013" s="267" t="s">
        <v>94</v>
      </c>
      <c r="D2013" s="267" t="s">
        <v>92</v>
      </c>
      <c r="E2013" s="267" t="s">
        <v>0</v>
      </c>
      <c r="F2013" s="268"/>
      <c r="G2013" s="269"/>
      <c r="H2013" s="269"/>
      <c r="I2013" s="270"/>
      <c r="J2013" s="268">
        <v>1</v>
      </c>
      <c r="K2013" s="269">
        <v>84454</v>
      </c>
      <c r="L2013" s="269">
        <v>86318</v>
      </c>
      <c r="M2013" s="270">
        <v>1</v>
      </c>
      <c r="N2013" s="268">
        <v>1</v>
      </c>
      <c r="O2013" s="271"/>
      <c r="P2013" s="271">
        <v>84454</v>
      </c>
      <c r="Q2013" s="271"/>
      <c r="R2013" s="271"/>
      <c r="S2013" s="271">
        <v>-86318</v>
      </c>
      <c r="T2013" s="271"/>
      <c r="U2013" s="272">
        <v>1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153</v>
      </c>
      <c r="B2014" s="267" t="s">
        <v>2431</v>
      </c>
      <c r="C2014" s="267" t="s">
        <v>94</v>
      </c>
      <c r="D2014" s="267" t="s">
        <v>92</v>
      </c>
      <c r="E2014" s="267" t="s">
        <v>0</v>
      </c>
      <c r="F2014" s="268"/>
      <c r="G2014" s="269"/>
      <c r="H2014" s="269"/>
      <c r="I2014" s="270"/>
      <c r="J2014" s="268">
        <v>1</v>
      </c>
      <c r="K2014" s="269">
        <v>84496</v>
      </c>
      <c r="L2014" s="269">
        <v>86309</v>
      </c>
      <c r="M2014" s="270">
        <v>1</v>
      </c>
      <c r="N2014" s="268">
        <v>1</v>
      </c>
      <c r="O2014" s="271"/>
      <c r="P2014" s="271">
        <v>84496</v>
      </c>
      <c r="Q2014" s="271"/>
      <c r="R2014" s="271"/>
      <c r="S2014" s="271">
        <v>-86309</v>
      </c>
      <c r="T2014" s="271"/>
      <c r="U2014" s="272">
        <v>1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153</v>
      </c>
      <c r="B2015" s="267" t="s">
        <v>2432</v>
      </c>
      <c r="C2015" s="267" t="s">
        <v>94</v>
      </c>
      <c r="D2015" s="267" t="s">
        <v>92</v>
      </c>
      <c r="E2015" s="267" t="s">
        <v>0</v>
      </c>
      <c r="F2015" s="268"/>
      <c r="G2015" s="269"/>
      <c r="H2015" s="269"/>
      <c r="I2015" s="270"/>
      <c r="J2015" s="268">
        <v>1</v>
      </c>
      <c r="K2015" s="269">
        <v>84540</v>
      </c>
      <c r="L2015" s="269">
        <v>86289</v>
      </c>
      <c r="M2015" s="270">
        <v>1</v>
      </c>
      <c r="N2015" s="268">
        <v>1</v>
      </c>
      <c r="O2015" s="271"/>
      <c r="P2015" s="271">
        <v>84540</v>
      </c>
      <c r="Q2015" s="271"/>
      <c r="R2015" s="271"/>
      <c r="S2015" s="271">
        <v>-86289</v>
      </c>
      <c r="T2015" s="271"/>
      <c r="U2015" s="272">
        <v>1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153</v>
      </c>
      <c r="B2016" s="267" t="s">
        <v>2433</v>
      </c>
      <c r="C2016" s="267" t="s">
        <v>94</v>
      </c>
      <c r="D2016" s="267" t="s">
        <v>92</v>
      </c>
      <c r="E2016" s="267" t="s">
        <v>0</v>
      </c>
      <c r="F2016" s="268"/>
      <c r="G2016" s="269"/>
      <c r="H2016" s="269"/>
      <c r="I2016" s="270"/>
      <c r="J2016" s="268">
        <v>1</v>
      </c>
      <c r="K2016" s="269">
        <v>84577</v>
      </c>
      <c r="L2016" s="269">
        <v>86256</v>
      </c>
      <c r="M2016" s="270">
        <v>1</v>
      </c>
      <c r="N2016" s="268">
        <v>1</v>
      </c>
      <c r="O2016" s="271"/>
      <c r="P2016" s="271">
        <v>84577</v>
      </c>
      <c r="Q2016" s="271"/>
      <c r="R2016" s="271"/>
      <c r="S2016" s="271">
        <v>-86256</v>
      </c>
      <c r="T2016" s="271"/>
      <c r="U2016" s="272">
        <v>1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153</v>
      </c>
      <c r="B2017" s="267" t="s">
        <v>2434</v>
      </c>
      <c r="C2017" s="267" t="s">
        <v>94</v>
      </c>
      <c r="D2017" s="267" t="s">
        <v>92</v>
      </c>
      <c r="E2017" s="267" t="s">
        <v>0</v>
      </c>
      <c r="F2017" s="268"/>
      <c r="G2017" s="269"/>
      <c r="H2017" s="269"/>
      <c r="I2017" s="270"/>
      <c r="J2017" s="268">
        <v>1</v>
      </c>
      <c r="K2017" s="269">
        <v>84887</v>
      </c>
      <c r="L2017" s="269">
        <v>86157</v>
      </c>
      <c r="M2017" s="270">
        <v>1</v>
      </c>
      <c r="N2017" s="268">
        <v>1</v>
      </c>
      <c r="O2017" s="271"/>
      <c r="P2017" s="271">
        <v>84887</v>
      </c>
      <c r="Q2017" s="271"/>
      <c r="R2017" s="271"/>
      <c r="S2017" s="271">
        <v>-86157</v>
      </c>
      <c r="T2017" s="271"/>
      <c r="U2017" s="272">
        <v>1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153</v>
      </c>
      <c r="B2018" s="267" t="s">
        <v>2435</v>
      </c>
      <c r="C2018" s="267" t="s">
        <v>94</v>
      </c>
      <c r="D2018" s="267" t="s">
        <v>92</v>
      </c>
      <c r="E2018" s="267" t="s">
        <v>0</v>
      </c>
      <c r="F2018" s="268"/>
      <c r="G2018" s="269"/>
      <c r="H2018" s="269"/>
      <c r="I2018" s="270"/>
      <c r="J2018" s="268">
        <v>1</v>
      </c>
      <c r="K2018" s="269">
        <v>84676</v>
      </c>
      <c r="L2018" s="269">
        <v>86173</v>
      </c>
      <c r="M2018" s="270">
        <v>1</v>
      </c>
      <c r="N2018" s="268">
        <v>1</v>
      </c>
      <c r="O2018" s="271"/>
      <c r="P2018" s="271">
        <v>84676</v>
      </c>
      <c r="Q2018" s="271"/>
      <c r="R2018" s="271"/>
      <c r="S2018" s="271">
        <v>-86173</v>
      </c>
      <c r="T2018" s="271"/>
      <c r="U2018" s="272">
        <v>1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153</v>
      </c>
      <c r="B2019" s="267" t="s">
        <v>2436</v>
      </c>
      <c r="C2019" s="267" t="s">
        <v>94</v>
      </c>
      <c r="D2019" s="267" t="s">
        <v>92</v>
      </c>
      <c r="E2019" s="267" t="s">
        <v>0</v>
      </c>
      <c r="F2019" s="268"/>
      <c r="G2019" s="269"/>
      <c r="H2019" s="269"/>
      <c r="I2019" s="270"/>
      <c r="J2019" s="268">
        <v>1</v>
      </c>
      <c r="K2019" s="269">
        <v>84901</v>
      </c>
      <c r="L2019" s="269">
        <v>86140</v>
      </c>
      <c r="M2019" s="270">
        <v>1</v>
      </c>
      <c r="N2019" s="268">
        <v>1</v>
      </c>
      <c r="O2019" s="271"/>
      <c r="P2019" s="271">
        <v>84901</v>
      </c>
      <c r="Q2019" s="271"/>
      <c r="R2019" s="271"/>
      <c r="S2019" s="271">
        <v>-86140</v>
      </c>
      <c r="T2019" s="271"/>
      <c r="U2019" s="272">
        <v>1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153</v>
      </c>
      <c r="B2020" s="267" t="s">
        <v>2437</v>
      </c>
      <c r="C2020" s="267" t="s">
        <v>94</v>
      </c>
      <c r="D2020" s="267" t="s">
        <v>92</v>
      </c>
      <c r="E2020" s="267" t="s">
        <v>0</v>
      </c>
      <c r="F2020" s="268"/>
      <c r="G2020" s="269"/>
      <c r="H2020" s="269"/>
      <c r="I2020" s="270"/>
      <c r="J2020" s="268">
        <v>1</v>
      </c>
      <c r="K2020" s="269">
        <v>84713</v>
      </c>
      <c r="L2020" s="269">
        <v>86140</v>
      </c>
      <c r="M2020" s="270">
        <v>1</v>
      </c>
      <c r="N2020" s="268">
        <v>1</v>
      </c>
      <c r="O2020" s="271"/>
      <c r="P2020" s="271">
        <v>84713</v>
      </c>
      <c r="Q2020" s="271"/>
      <c r="R2020" s="271"/>
      <c r="S2020" s="271">
        <v>-86140</v>
      </c>
      <c r="T2020" s="271"/>
      <c r="U2020" s="272">
        <v>1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153</v>
      </c>
      <c r="B2021" s="267" t="s">
        <v>2438</v>
      </c>
      <c r="C2021" s="267" t="s">
        <v>94</v>
      </c>
      <c r="D2021" s="267" t="s">
        <v>92</v>
      </c>
      <c r="E2021" s="267" t="s">
        <v>0</v>
      </c>
      <c r="F2021" s="268"/>
      <c r="G2021" s="269"/>
      <c r="H2021" s="269"/>
      <c r="I2021" s="270"/>
      <c r="J2021" s="268">
        <v>1</v>
      </c>
      <c r="K2021" s="269">
        <v>84726</v>
      </c>
      <c r="L2021" s="269">
        <v>86089</v>
      </c>
      <c r="M2021" s="270">
        <v>1</v>
      </c>
      <c r="N2021" s="268">
        <v>1</v>
      </c>
      <c r="O2021" s="271"/>
      <c r="P2021" s="271">
        <v>84726</v>
      </c>
      <c r="Q2021" s="271"/>
      <c r="R2021" s="271"/>
      <c r="S2021" s="271">
        <v>-86089</v>
      </c>
      <c r="T2021" s="271"/>
      <c r="U2021" s="272">
        <v>1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153</v>
      </c>
      <c r="B2022" s="267" t="s">
        <v>2439</v>
      </c>
      <c r="C2022" s="267" t="s">
        <v>94</v>
      </c>
      <c r="D2022" s="267" t="s">
        <v>92</v>
      </c>
      <c r="E2022" s="267" t="s">
        <v>0</v>
      </c>
      <c r="F2022" s="268"/>
      <c r="G2022" s="269"/>
      <c r="H2022" s="269"/>
      <c r="I2022" s="270"/>
      <c r="J2022" s="268">
        <v>1</v>
      </c>
      <c r="K2022" s="269">
        <v>84749</v>
      </c>
      <c r="L2022" s="269">
        <v>86073</v>
      </c>
      <c r="M2022" s="270">
        <v>1</v>
      </c>
      <c r="N2022" s="268">
        <v>1</v>
      </c>
      <c r="O2022" s="271"/>
      <c r="P2022" s="271">
        <v>84749</v>
      </c>
      <c r="Q2022" s="271"/>
      <c r="R2022" s="271"/>
      <c r="S2022" s="271">
        <v>-86073</v>
      </c>
      <c r="T2022" s="271"/>
      <c r="U2022" s="272">
        <v>1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153</v>
      </c>
      <c r="B2023" s="9" t="s">
        <v>474</v>
      </c>
      <c r="C2023" s="9" t="s">
        <v>94</v>
      </c>
      <c r="D2023" s="9" t="s">
        <v>92</v>
      </c>
      <c r="E2023" s="9" t="s">
        <v>0</v>
      </c>
      <c r="F2023" s="27"/>
      <c r="G2023" s="24"/>
      <c r="H2023" s="24"/>
      <c r="I2023" s="28"/>
      <c r="J2023" s="27">
        <v>4</v>
      </c>
      <c r="K2023" s="24">
        <v>2677.05</v>
      </c>
      <c r="L2023" s="24">
        <v>2680</v>
      </c>
      <c r="M2023" s="28">
        <v>4</v>
      </c>
      <c r="N2023" s="27">
        <v>4</v>
      </c>
      <c r="O2023" s="10"/>
      <c r="P2023" s="10">
        <v>2677.05</v>
      </c>
      <c r="Q2023" s="10"/>
      <c r="R2023" s="10"/>
      <c r="S2023" s="10">
        <v>-2680</v>
      </c>
      <c r="T2023" s="10"/>
      <c r="U2023" s="29">
        <v>4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153</v>
      </c>
      <c r="B2024" s="9" t="s">
        <v>475</v>
      </c>
      <c r="C2024" s="9" t="s">
        <v>94</v>
      </c>
      <c r="D2024" s="9" t="s">
        <v>92</v>
      </c>
      <c r="E2024" s="9" t="s">
        <v>0</v>
      </c>
      <c r="F2024" s="27"/>
      <c r="G2024" s="24"/>
      <c r="H2024" s="24"/>
      <c r="I2024" s="28"/>
      <c r="J2024" s="27">
        <v>2</v>
      </c>
      <c r="K2024" s="24">
        <v>2668.35</v>
      </c>
      <c r="L2024" s="24">
        <v>2688.2</v>
      </c>
      <c r="M2024" s="28">
        <v>1</v>
      </c>
      <c r="N2024" s="27">
        <v>2</v>
      </c>
      <c r="O2024" s="10"/>
      <c r="P2024" s="10">
        <v>2668.35</v>
      </c>
      <c r="Q2024" s="10"/>
      <c r="R2024" s="10"/>
      <c r="S2024" s="10">
        <v>-2688.2</v>
      </c>
      <c r="T2024" s="10"/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153</v>
      </c>
      <c r="B2025" s="9" t="s">
        <v>476</v>
      </c>
      <c r="C2025" s="9" t="s">
        <v>94</v>
      </c>
      <c r="D2025" s="9" t="s">
        <v>92</v>
      </c>
      <c r="E2025" s="9" t="s">
        <v>0</v>
      </c>
      <c r="F2025" s="27"/>
      <c r="G2025" s="24"/>
      <c r="H2025" s="24"/>
      <c r="I2025" s="28"/>
      <c r="J2025" s="27">
        <v>0</v>
      </c>
      <c r="K2025" s="24"/>
      <c r="L2025" s="24"/>
      <c r="M2025" s="28">
        <v>0</v>
      </c>
      <c r="N2025" s="27">
        <v>0</v>
      </c>
      <c r="O2025" s="10"/>
      <c r="P2025" s="10"/>
      <c r="Q2025" s="10"/>
      <c r="R2025" s="10"/>
      <c r="S2025" s="10"/>
      <c r="T2025" s="10"/>
      <c r="U2025" s="29">
        <v>0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153</v>
      </c>
      <c r="B2026" s="9" t="s">
        <v>477</v>
      </c>
      <c r="C2026" s="9" t="s">
        <v>94</v>
      </c>
      <c r="D2026" s="9" t="s">
        <v>92</v>
      </c>
      <c r="E2026" s="9" t="s">
        <v>0</v>
      </c>
      <c r="F2026" s="27"/>
      <c r="G2026" s="24"/>
      <c r="H2026" s="24"/>
      <c r="I2026" s="28"/>
      <c r="J2026" s="27">
        <v>0</v>
      </c>
      <c r="K2026" s="24"/>
      <c r="L2026" s="24"/>
      <c r="M2026" s="28">
        <v>0</v>
      </c>
      <c r="N2026" s="27">
        <v>0</v>
      </c>
      <c r="O2026" s="10"/>
      <c r="P2026" s="10"/>
      <c r="Q2026" s="10"/>
      <c r="R2026" s="10"/>
      <c r="S2026" s="10"/>
      <c r="T2026" s="10"/>
      <c r="U2026" s="29">
        <v>0</v>
      </c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153</v>
      </c>
      <c r="B2027" s="9" t="s">
        <v>2440</v>
      </c>
      <c r="C2027" s="9" t="s">
        <v>94</v>
      </c>
      <c r="D2027" s="9" t="s">
        <v>92</v>
      </c>
      <c r="E2027" s="9" t="s">
        <v>0</v>
      </c>
      <c r="F2027" s="27"/>
      <c r="G2027" s="24"/>
      <c r="H2027" s="24"/>
      <c r="I2027" s="28"/>
      <c r="J2027" s="27">
        <v>0</v>
      </c>
      <c r="K2027" s="24"/>
      <c r="L2027" s="24"/>
      <c r="M2027" s="28">
        <v>0</v>
      </c>
      <c r="N2027" s="27">
        <v>0</v>
      </c>
      <c r="O2027" s="10"/>
      <c r="P2027" s="10"/>
      <c r="Q2027" s="10"/>
      <c r="R2027" s="10"/>
      <c r="S2027" s="10"/>
      <c r="T2027" s="10"/>
      <c r="U2027" s="29">
        <v>0</v>
      </c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153</v>
      </c>
      <c r="B2028" s="9" t="s">
        <v>478</v>
      </c>
      <c r="C2028" s="9" t="s">
        <v>94</v>
      </c>
      <c r="D2028" s="9" t="s">
        <v>92</v>
      </c>
      <c r="E2028" s="9" t="s">
        <v>0</v>
      </c>
      <c r="F2028" s="27"/>
      <c r="G2028" s="24"/>
      <c r="H2028" s="24"/>
      <c r="I2028" s="28"/>
      <c r="J2028" s="27">
        <v>2</v>
      </c>
      <c r="K2028" s="24">
        <v>2671.9</v>
      </c>
      <c r="L2028" s="24">
        <v>2685.2999999999997</v>
      </c>
      <c r="M2028" s="28">
        <v>1</v>
      </c>
      <c r="N2028" s="27">
        <v>2</v>
      </c>
      <c r="O2028" s="10"/>
      <c r="P2028" s="10">
        <v>2671.9</v>
      </c>
      <c r="Q2028" s="10"/>
      <c r="R2028" s="10"/>
      <c r="S2028" s="10">
        <v>-2685.2999999999997</v>
      </c>
      <c r="T2028" s="10"/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153</v>
      </c>
      <c r="B2029" s="9" t="s">
        <v>479</v>
      </c>
      <c r="C2029" s="9" t="s">
        <v>94</v>
      </c>
      <c r="D2029" s="9" t="s">
        <v>92</v>
      </c>
      <c r="E2029" s="9" t="s">
        <v>0</v>
      </c>
      <c r="F2029" s="27"/>
      <c r="G2029" s="24"/>
      <c r="H2029" s="24"/>
      <c r="I2029" s="28"/>
      <c r="J2029" s="27">
        <v>0</v>
      </c>
      <c r="K2029" s="24"/>
      <c r="L2029" s="24"/>
      <c r="M2029" s="28">
        <v>0</v>
      </c>
      <c r="N2029" s="27">
        <v>0</v>
      </c>
      <c r="O2029" s="10"/>
      <c r="P2029" s="10"/>
      <c r="Q2029" s="10"/>
      <c r="R2029" s="10"/>
      <c r="S2029" s="10"/>
      <c r="T2029" s="10"/>
      <c r="U2029" s="29">
        <v>0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153</v>
      </c>
      <c r="B2030" s="9" t="s">
        <v>480</v>
      </c>
      <c r="C2030" s="9" t="s">
        <v>94</v>
      </c>
      <c r="D2030" s="9" t="s">
        <v>92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153</v>
      </c>
      <c r="B2031" s="9" t="s">
        <v>2441</v>
      </c>
      <c r="C2031" s="9" t="s">
        <v>94</v>
      </c>
      <c r="D2031" s="9" t="s">
        <v>92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153</v>
      </c>
      <c r="B2032" s="9" t="s">
        <v>481</v>
      </c>
      <c r="C2032" s="9" t="s">
        <v>94</v>
      </c>
      <c r="D2032" s="9" t="s">
        <v>92</v>
      </c>
      <c r="E2032" s="9" t="s">
        <v>0</v>
      </c>
      <c r="F2032" s="27"/>
      <c r="G2032" s="24"/>
      <c r="H2032" s="24"/>
      <c r="I2032" s="28"/>
      <c r="J2032" s="27">
        <v>4</v>
      </c>
      <c r="K2032" s="24">
        <v>2671.4500000000003</v>
      </c>
      <c r="L2032" s="24">
        <v>2684.95</v>
      </c>
      <c r="M2032" s="28">
        <v>2</v>
      </c>
      <c r="N2032" s="27">
        <v>4</v>
      </c>
      <c r="O2032" s="10"/>
      <c r="P2032" s="10">
        <v>2671.4500000000003</v>
      </c>
      <c r="Q2032" s="10"/>
      <c r="R2032" s="10"/>
      <c r="S2032" s="10">
        <v>-2684.95</v>
      </c>
      <c r="T2032" s="10"/>
      <c r="U2032" s="29">
        <v>2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153</v>
      </c>
      <c r="B2033" s="9" t="s">
        <v>482</v>
      </c>
      <c r="C2033" s="9" t="s">
        <v>94</v>
      </c>
      <c r="D2033" s="9" t="s">
        <v>92</v>
      </c>
      <c r="E2033" s="9" t="s">
        <v>0</v>
      </c>
      <c r="F2033" s="27"/>
      <c r="G2033" s="24"/>
      <c r="H2033" s="24"/>
      <c r="I2033" s="28"/>
      <c r="J2033" s="27">
        <v>0</v>
      </c>
      <c r="K2033" s="24"/>
      <c r="L2033" s="24"/>
      <c r="M2033" s="28">
        <v>0</v>
      </c>
      <c r="N2033" s="27">
        <v>0</v>
      </c>
      <c r="O2033" s="10"/>
      <c r="P2033" s="10"/>
      <c r="Q2033" s="10"/>
      <c r="R2033" s="10"/>
      <c r="S2033" s="10"/>
      <c r="T2033" s="10"/>
      <c r="U2033" s="29">
        <v>0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153</v>
      </c>
      <c r="B2034" s="9" t="s">
        <v>483</v>
      </c>
      <c r="C2034" s="9" t="s">
        <v>94</v>
      </c>
      <c r="D2034" s="9" t="s">
        <v>92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153</v>
      </c>
      <c r="B2035" s="9" t="s">
        <v>2442</v>
      </c>
      <c r="C2035" s="9" t="s">
        <v>94</v>
      </c>
      <c r="D2035" s="9" t="s">
        <v>92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153</v>
      </c>
      <c r="B2036" s="9" t="s">
        <v>484</v>
      </c>
      <c r="C2036" s="9" t="s">
        <v>94</v>
      </c>
      <c r="D2036" s="9" t="s">
        <v>92</v>
      </c>
      <c r="E2036" s="9" t="s">
        <v>0</v>
      </c>
      <c r="F2036" s="27"/>
      <c r="G2036" s="24"/>
      <c r="H2036" s="24"/>
      <c r="I2036" s="28"/>
      <c r="J2036" s="27">
        <v>0</v>
      </c>
      <c r="K2036" s="24"/>
      <c r="L2036" s="24"/>
      <c r="M2036" s="28">
        <v>0</v>
      </c>
      <c r="N2036" s="27">
        <v>0</v>
      </c>
      <c r="O2036" s="10"/>
      <c r="P2036" s="10"/>
      <c r="Q2036" s="10"/>
      <c r="R2036" s="10"/>
      <c r="S2036" s="10"/>
      <c r="T2036" s="10"/>
      <c r="U2036" s="29">
        <v>0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153</v>
      </c>
      <c r="B2037" s="9" t="s">
        <v>485</v>
      </c>
      <c r="C2037" s="9" t="s">
        <v>94</v>
      </c>
      <c r="D2037" s="9" t="s">
        <v>92</v>
      </c>
      <c r="E2037" s="9" t="s">
        <v>0</v>
      </c>
      <c r="F2037" s="27"/>
      <c r="G2037" s="24"/>
      <c r="H2037" s="24"/>
      <c r="I2037" s="28"/>
      <c r="J2037" s="27">
        <v>0</v>
      </c>
      <c r="K2037" s="24"/>
      <c r="L2037" s="24"/>
      <c r="M2037" s="28">
        <v>0</v>
      </c>
      <c r="N2037" s="27">
        <v>0</v>
      </c>
      <c r="O2037" s="10"/>
      <c r="P2037" s="10"/>
      <c r="Q2037" s="10"/>
      <c r="R2037" s="10"/>
      <c r="S2037" s="10"/>
      <c r="T2037" s="10"/>
      <c r="U2037" s="29">
        <v>0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153</v>
      </c>
      <c r="B2038" s="9" t="s">
        <v>486</v>
      </c>
      <c r="C2038" s="9" t="s">
        <v>94</v>
      </c>
      <c r="D2038" s="9" t="s">
        <v>92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153</v>
      </c>
      <c r="B2039" s="9" t="s">
        <v>2443</v>
      </c>
      <c r="C2039" s="9" t="s">
        <v>94</v>
      </c>
      <c r="D2039" s="9" t="s">
        <v>92</v>
      </c>
      <c r="E2039" s="9" t="s">
        <v>0</v>
      </c>
      <c r="F2039" s="27"/>
      <c r="G2039" s="24"/>
      <c r="H2039" s="24"/>
      <c r="I2039" s="28"/>
      <c r="J2039" s="27">
        <v>0</v>
      </c>
      <c r="K2039" s="24"/>
      <c r="L2039" s="24"/>
      <c r="M2039" s="28">
        <v>0</v>
      </c>
      <c r="N2039" s="27">
        <v>0</v>
      </c>
      <c r="O2039" s="10"/>
      <c r="P2039" s="10"/>
      <c r="Q2039" s="10"/>
      <c r="R2039" s="10"/>
      <c r="S2039" s="10"/>
      <c r="T2039" s="10"/>
      <c r="U2039" s="29">
        <v>0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153</v>
      </c>
      <c r="B2040" s="9" t="s">
        <v>487</v>
      </c>
      <c r="C2040" s="9" t="s">
        <v>94</v>
      </c>
      <c r="D2040" s="9" t="s">
        <v>92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153</v>
      </c>
      <c r="B2041" s="9" t="s">
        <v>488</v>
      </c>
      <c r="C2041" s="9" t="s">
        <v>94</v>
      </c>
      <c r="D2041" s="9" t="s">
        <v>92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153</v>
      </c>
      <c r="B2042" s="9" t="s">
        <v>489</v>
      </c>
      <c r="C2042" s="9" t="s">
        <v>94</v>
      </c>
      <c r="D2042" s="9" t="s">
        <v>92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153</v>
      </c>
      <c r="B2043" s="9" t="s">
        <v>2444</v>
      </c>
      <c r="C2043" s="9" t="s">
        <v>94</v>
      </c>
      <c r="D2043" s="9" t="s">
        <v>92</v>
      </c>
      <c r="E2043" s="9" t="s">
        <v>0</v>
      </c>
      <c r="F2043" s="27"/>
      <c r="G2043" s="24"/>
      <c r="H2043" s="24"/>
      <c r="I2043" s="28"/>
      <c r="J2043" s="27">
        <v>0</v>
      </c>
      <c r="K2043" s="24"/>
      <c r="L2043" s="24"/>
      <c r="M2043" s="28">
        <v>0</v>
      </c>
      <c r="N2043" s="27">
        <v>0</v>
      </c>
      <c r="O2043" s="10"/>
      <c r="P2043" s="10"/>
      <c r="Q2043" s="10"/>
      <c r="R2043" s="10"/>
      <c r="S2043" s="10"/>
      <c r="T2043" s="10"/>
      <c r="U2043" s="29">
        <v>0</v>
      </c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153</v>
      </c>
      <c r="B2044" s="9" t="s">
        <v>2445</v>
      </c>
      <c r="C2044" s="9" t="s">
        <v>94</v>
      </c>
      <c r="D2044" s="9" t="s">
        <v>92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153</v>
      </c>
      <c r="B2045" s="9" t="s">
        <v>2446</v>
      </c>
      <c r="C2045" s="9" t="s">
        <v>94</v>
      </c>
      <c r="D2045" s="9" t="s">
        <v>92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153</v>
      </c>
      <c r="B2046" s="9" t="s">
        <v>2447</v>
      </c>
      <c r="C2046" s="9" t="s">
        <v>94</v>
      </c>
      <c r="D2046" s="9" t="s">
        <v>92</v>
      </c>
      <c r="E2046" s="9" t="s">
        <v>0</v>
      </c>
      <c r="F2046" s="27"/>
      <c r="G2046" s="24"/>
      <c r="H2046" s="24"/>
      <c r="I2046" s="28"/>
      <c r="J2046" s="27">
        <v>0</v>
      </c>
      <c r="K2046" s="24"/>
      <c r="L2046" s="24"/>
      <c r="M2046" s="28">
        <v>0</v>
      </c>
      <c r="N2046" s="27">
        <v>0</v>
      </c>
      <c r="O2046" s="10"/>
      <c r="P2046" s="10"/>
      <c r="Q2046" s="10"/>
      <c r="R2046" s="10"/>
      <c r="S2046" s="10"/>
      <c r="T2046" s="10"/>
      <c r="U2046" s="29">
        <v>0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153</v>
      </c>
      <c r="B2047" s="9" t="s">
        <v>2448</v>
      </c>
      <c r="C2047" s="9" t="s">
        <v>94</v>
      </c>
      <c r="D2047" s="9" t="s">
        <v>92</v>
      </c>
      <c r="E2047" s="9" t="s">
        <v>0</v>
      </c>
      <c r="F2047" s="27"/>
      <c r="G2047" s="24"/>
      <c r="H2047" s="24"/>
      <c r="I2047" s="28"/>
      <c r="J2047" s="27">
        <v>0</v>
      </c>
      <c r="K2047" s="24"/>
      <c r="L2047" s="24"/>
      <c r="M2047" s="28">
        <v>0</v>
      </c>
      <c r="N2047" s="27">
        <v>0</v>
      </c>
      <c r="O2047" s="10"/>
      <c r="P2047" s="10"/>
      <c r="Q2047" s="10"/>
      <c r="R2047" s="10"/>
      <c r="S2047" s="10"/>
      <c r="T2047" s="10"/>
      <c r="U2047" s="29">
        <v>0</v>
      </c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153</v>
      </c>
      <c r="B2048" s="9" t="s">
        <v>490</v>
      </c>
      <c r="C2048" s="9" t="s">
        <v>94</v>
      </c>
      <c r="D2048" s="9" t="s">
        <v>92</v>
      </c>
      <c r="E2048" s="9" t="s">
        <v>0</v>
      </c>
      <c r="F2048" s="27"/>
      <c r="G2048" s="24"/>
      <c r="H2048" s="24"/>
      <c r="I2048" s="28"/>
      <c r="J2048" s="27">
        <v>0</v>
      </c>
      <c r="K2048" s="24"/>
      <c r="L2048" s="24"/>
      <c r="M2048" s="28">
        <v>0</v>
      </c>
      <c r="N2048" s="27">
        <v>0</v>
      </c>
      <c r="O2048" s="10"/>
      <c r="P2048" s="10"/>
      <c r="Q2048" s="10"/>
      <c r="R2048" s="10"/>
      <c r="S2048" s="10"/>
      <c r="T2048" s="10"/>
      <c r="U2048" s="29">
        <v>0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153</v>
      </c>
      <c r="B2049" s="9" t="s">
        <v>491</v>
      </c>
      <c r="C2049" s="9" t="s">
        <v>94</v>
      </c>
      <c r="D2049" s="9" t="s">
        <v>92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153</v>
      </c>
      <c r="B2050" s="9" t="s">
        <v>2449</v>
      </c>
      <c r="C2050" s="9" t="s">
        <v>94</v>
      </c>
      <c r="D2050" s="9" t="s">
        <v>92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153</v>
      </c>
      <c r="B2051" s="9" t="s">
        <v>492</v>
      </c>
      <c r="C2051" s="9" t="s">
        <v>94</v>
      </c>
      <c r="D2051" s="9" t="s">
        <v>92</v>
      </c>
      <c r="E2051" s="9" t="s">
        <v>0</v>
      </c>
      <c r="F2051" s="27"/>
      <c r="G2051" s="24"/>
      <c r="H2051" s="24"/>
      <c r="I2051" s="28"/>
      <c r="J2051" s="27">
        <v>0</v>
      </c>
      <c r="K2051" s="24"/>
      <c r="L2051" s="24"/>
      <c r="M2051" s="28">
        <v>0</v>
      </c>
      <c r="N2051" s="27">
        <v>0</v>
      </c>
      <c r="O2051" s="10"/>
      <c r="P2051" s="10"/>
      <c r="Q2051" s="10"/>
      <c r="R2051" s="10"/>
      <c r="S2051" s="10"/>
      <c r="T2051" s="10"/>
      <c r="U2051" s="29">
        <v>0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153</v>
      </c>
      <c r="B2052" s="9" t="s">
        <v>493</v>
      </c>
      <c r="C2052" s="9" t="s">
        <v>94</v>
      </c>
      <c r="D2052" s="9" t="s">
        <v>92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153</v>
      </c>
      <c r="B2053" s="9" t="s">
        <v>2450</v>
      </c>
      <c r="C2053" s="9" t="s">
        <v>94</v>
      </c>
      <c r="D2053" s="9" t="s">
        <v>92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153</v>
      </c>
      <c r="B2054" s="9" t="s">
        <v>494</v>
      </c>
      <c r="C2054" s="9" t="s">
        <v>94</v>
      </c>
      <c r="D2054" s="9" t="s">
        <v>92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153</v>
      </c>
      <c r="B2055" s="9" t="s">
        <v>495</v>
      </c>
      <c r="C2055" s="9" t="s">
        <v>94</v>
      </c>
      <c r="D2055" s="9" t="s">
        <v>92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153</v>
      </c>
      <c r="B2056" s="9" t="s">
        <v>2451</v>
      </c>
      <c r="C2056" s="9" t="s">
        <v>94</v>
      </c>
      <c r="D2056" s="9" t="s">
        <v>92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153</v>
      </c>
      <c r="B2057" s="9" t="s">
        <v>2452</v>
      </c>
      <c r="C2057" s="9" t="s">
        <v>94</v>
      </c>
      <c r="D2057" s="9" t="s">
        <v>92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153</v>
      </c>
      <c r="B2058" s="9" t="s">
        <v>2453</v>
      </c>
      <c r="C2058" s="9" t="s">
        <v>94</v>
      </c>
      <c r="D2058" s="9" t="s">
        <v>92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153</v>
      </c>
      <c r="B2059" s="9" t="s">
        <v>2454</v>
      </c>
      <c r="C2059" s="9" t="s">
        <v>94</v>
      </c>
      <c r="D2059" s="9" t="s">
        <v>92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153</v>
      </c>
      <c r="B2060" s="9" t="s">
        <v>496</v>
      </c>
      <c r="C2060" s="9" t="s">
        <v>94</v>
      </c>
      <c r="D2060" s="9" t="s">
        <v>92</v>
      </c>
      <c r="E2060" s="9" t="s">
        <v>0</v>
      </c>
      <c r="F2060" s="27"/>
      <c r="G2060" s="24"/>
      <c r="H2060" s="24"/>
      <c r="I2060" s="28"/>
      <c r="J2060" s="27">
        <v>0</v>
      </c>
      <c r="K2060" s="24"/>
      <c r="L2060" s="24"/>
      <c r="M2060" s="28">
        <v>0</v>
      </c>
      <c r="N2060" s="27">
        <v>0</v>
      </c>
      <c r="O2060" s="10"/>
      <c r="P2060" s="10"/>
      <c r="Q2060" s="10"/>
      <c r="R2060" s="10"/>
      <c r="S2060" s="10"/>
      <c r="T2060" s="10"/>
      <c r="U2060" s="29">
        <v>0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153</v>
      </c>
      <c r="B2061" s="9" t="s">
        <v>497</v>
      </c>
      <c r="C2061" s="9" t="s">
        <v>94</v>
      </c>
      <c r="D2061" s="9" t="s">
        <v>92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153</v>
      </c>
      <c r="B2062" s="9" t="s">
        <v>2455</v>
      </c>
      <c r="C2062" s="9" t="s">
        <v>94</v>
      </c>
      <c r="D2062" s="9" t="s">
        <v>92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153</v>
      </c>
      <c r="B2063" s="9" t="s">
        <v>498</v>
      </c>
      <c r="C2063" s="9" t="s">
        <v>94</v>
      </c>
      <c r="D2063" s="9" t="s">
        <v>92</v>
      </c>
      <c r="E2063" s="9" t="s">
        <v>0</v>
      </c>
      <c r="F2063" s="27"/>
      <c r="G2063" s="24"/>
      <c r="H2063" s="24"/>
      <c r="I2063" s="28"/>
      <c r="J2063" s="27">
        <v>0</v>
      </c>
      <c r="K2063" s="24"/>
      <c r="L2063" s="24"/>
      <c r="M2063" s="28">
        <v>0</v>
      </c>
      <c r="N2063" s="27">
        <v>0</v>
      </c>
      <c r="O2063" s="10"/>
      <c r="P2063" s="10"/>
      <c r="Q2063" s="10"/>
      <c r="R2063" s="10"/>
      <c r="S2063" s="10"/>
      <c r="T2063" s="10"/>
      <c r="U2063" s="29">
        <v>0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153</v>
      </c>
      <c r="B2064" s="9" t="s">
        <v>499</v>
      </c>
      <c r="C2064" s="9" t="s">
        <v>94</v>
      </c>
      <c r="D2064" s="9" t="s">
        <v>92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153</v>
      </c>
      <c r="B2065" s="9" t="s">
        <v>2456</v>
      </c>
      <c r="C2065" s="9" t="s">
        <v>94</v>
      </c>
      <c r="D2065" s="9" t="s">
        <v>92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153</v>
      </c>
      <c r="B2066" s="9" t="s">
        <v>500</v>
      </c>
      <c r="C2066" s="9" t="s">
        <v>94</v>
      </c>
      <c r="D2066" s="9" t="s">
        <v>92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153</v>
      </c>
      <c r="B2067" s="9" t="s">
        <v>501</v>
      </c>
      <c r="C2067" s="9" t="s">
        <v>94</v>
      </c>
      <c r="D2067" s="9" t="s">
        <v>92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153</v>
      </c>
      <c r="B2068" s="9" t="s">
        <v>2457</v>
      </c>
      <c r="C2068" s="9" t="s">
        <v>94</v>
      </c>
      <c r="D2068" s="9" t="s">
        <v>92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153</v>
      </c>
      <c r="B2069" s="9" t="s">
        <v>2458</v>
      </c>
      <c r="C2069" s="9" t="s">
        <v>94</v>
      </c>
      <c r="D2069" s="9" t="s">
        <v>92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153</v>
      </c>
      <c r="B2070" s="9" t="s">
        <v>2459</v>
      </c>
      <c r="C2070" s="9" t="s">
        <v>94</v>
      </c>
      <c r="D2070" s="9" t="s">
        <v>92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153</v>
      </c>
      <c r="B2071" s="9" t="s">
        <v>2460</v>
      </c>
      <c r="C2071" s="9" t="s">
        <v>94</v>
      </c>
      <c r="D2071" s="9" t="s">
        <v>92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153</v>
      </c>
      <c r="B2072" s="9" t="s">
        <v>502</v>
      </c>
      <c r="C2072" s="9" t="s">
        <v>94</v>
      </c>
      <c r="D2072" s="9" t="s">
        <v>92</v>
      </c>
      <c r="E2072" s="9" t="s">
        <v>0</v>
      </c>
      <c r="F2072" s="27"/>
      <c r="G2072" s="24"/>
      <c r="H2072" s="24"/>
      <c r="I2072" s="28"/>
      <c r="J2072" s="27">
        <v>0</v>
      </c>
      <c r="K2072" s="24"/>
      <c r="L2072" s="24"/>
      <c r="M2072" s="28">
        <v>0</v>
      </c>
      <c r="N2072" s="27">
        <v>0</v>
      </c>
      <c r="O2072" s="10"/>
      <c r="P2072" s="10"/>
      <c r="Q2072" s="10"/>
      <c r="R2072" s="10"/>
      <c r="S2072" s="10"/>
      <c r="T2072" s="10"/>
      <c r="U2072" s="29">
        <v>0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153</v>
      </c>
      <c r="B2073" s="9" t="s">
        <v>503</v>
      </c>
      <c r="C2073" s="9" t="s">
        <v>94</v>
      </c>
      <c r="D2073" s="9" t="s">
        <v>92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153</v>
      </c>
      <c r="B2074" s="9" t="s">
        <v>2461</v>
      </c>
      <c r="C2074" s="9" t="s">
        <v>94</v>
      </c>
      <c r="D2074" s="9" t="s">
        <v>92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153</v>
      </c>
      <c r="B2075" s="9" t="s">
        <v>504</v>
      </c>
      <c r="C2075" s="9" t="s">
        <v>94</v>
      </c>
      <c r="D2075" s="9" t="s">
        <v>92</v>
      </c>
      <c r="E2075" s="9" t="s">
        <v>0</v>
      </c>
      <c r="F2075" s="27"/>
      <c r="G2075" s="24"/>
      <c r="H2075" s="24"/>
      <c r="I2075" s="28"/>
      <c r="J2075" s="27">
        <v>0</v>
      </c>
      <c r="K2075" s="24"/>
      <c r="L2075" s="24"/>
      <c r="M2075" s="28">
        <v>0</v>
      </c>
      <c r="N2075" s="27">
        <v>0</v>
      </c>
      <c r="O2075" s="10"/>
      <c r="P2075" s="10"/>
      <c r="Q2075" s="10"/>
      <c r="R2075" s="10"/>
      <c r="S2075" s="10"/>
      <c r="T2075" s="10"/>
      <c r="U2075" s="29">
        <v>0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153</v>
      </c>
      <c r="B2076" s="9" t="s">
        <v>505</v>
      </c>
      <c r="C2076" s="9" t="s">
        <v>94</v>
      </c>
      <c r="D2076" s="9" t="s">
        <v>92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153</v>
      </c>
      <c r="B2077" s="9" t="s">
        <v>2462</v>
      </c>
      <c r="C2077" s="9" t="s">
        <v>94</v>
      </c>
      <c r="D2077" s="9" t="s">
        <v>92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153</v>
      </c>
      <c r="B2078" s="9" t="s">
        <v>506</v>
      </c>
      <c r="C2078" s="9" t="s">
        <v>94</v>
      </c>
      <c r="D2078" s="9" t="s">
        <v>92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153</v>
      </c>
      <c r="B2079" s="9" t="s">
        <v>507</v>
      </c>
      <c r="C2079" s="9" t="s">
        <v>94</v>
      </c>
      <c r="D2079" s="9" t="s">
        <v>92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153</v>
      </c>
      <c r="B2080" s="9" t="s">
        <v>2463</v>
      </c>
      <c r="C2080" s="9" t="s">
        <v>94</v>
      </c>
      <c r="D2080" s="9" t="s">
        <v>92</v>
      </c>
      <c r="E2080" s="9" t="s">
        <v>0</v>
      </c>
      <c r="F2080" s="27"/>
      <c r="G2080" s="24"/>
      <c r="H2080" s="24"/>
      <c r="I2080" s="28"/>
      <c r="J2080" s="27">
        <v>0</v>
      </c>
      <c r="K2080" s="24"/>
      <c r="L2080" s="24"/>
      <c r="M2080" s="28">
        <v>0</v>
      </c>
      <c r="N2080" s="27">
        <v>0</v>
      </c>
      <c r="O2080" s="10"/>
      <c r="P2080" s="10"/>
      <c r="Q2080" s="10"/>
      <c r="R2080" s="10"/>
      <c r="S2080" s="10"/>
      <c r="T2080" s="10"/>
      <c r="U2080" s="29">
        <v>0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153</v>
      </c>
      <c r="B2081" s="9" t="s">
        <v>2464</v>
      </c>
      <c r="C2081" s="9" t="s">
        <v>94</v>
      </c>
      <c r="D2081" s="9" t="s">
        <v>92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153</v>
      </c>
      <c r="B2082" s="9" t="s">
        <v>2465</v>
      </c>
      <c r="C2082" s="9" t="s">
        <v>94</v>
      </c>
      <c r="D2082" s="9" t="s">
        <v>92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153</v>
      </c>
      <c r="B2083" s="9" t="s">
        <v>2466</v>
      </c>
      <c r="C2083" s="9" t="s">
        <v>94</v>
      </c>
      <c r="D2083" s="9" t="s">
        <v>92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153</v>
      </c>
      <c r="B2084" s="9" t="s">
        <v>508</v>
      </c>
      <c r="C2084" s="9" t="s">
        <v>94</v>
      </c>
      <c r="D2084" s="9" t="s">
        <v>92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153</v>
      </c>
      <c r="B2085" s="9" t="s">
        <v>509</v>
      </c>
      <c r="C2085" s="9" t="s">
        <v>94</v>
      </c>
      <c r="D2085" s="9" t="s">
        <v>92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153</v>
      </c>
      <c r="B2086" s="9" t="s">
        <v>2467</v>
      </c>
      <c r="C2086" s="9" t="s">
        <v>94</v>
      </c>
      <c r="D2086" s="9" t="s">
        <v>92</v>
      </c>
      <c r="E2086" s="9" t="s">
        <v>0</v>
      </c>
      <c r="F2086" s="27"/>
      <c r="G2086" s="24"/>
      <c r="H2086" s="24"/>
      <c r="I2086" s="28"/>
      <c r="J2086" s="27">
        <v>0</v>
      </c>
      <c r="K2086" s="24"/>
      <c r="L2086" s="24"/>
      <c r="M2086" s="28">
        <v>0</v>
      </c>
      <c r="N2086" s="27">
        <v>0</v>
      </c>
      <c r="O2086" s="10"/>
      <c r="P2086" s="10"/>
      <c r="Q2086" s="10"/>
      <c r="R2086" s="10"/>
      <c r="S2086" s="10"/>
      <c r="T2086" s="10"/>
      <c r="U2086" s="29">
        <v>0</v>
      </c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153</v>
      </c>
      <c r="B2087" s="9" t="s">
        <v>510</v>
      </c>
      <c r="C2087" s="9" t="s">
        <v>94</v>
      </c>
      <c r="D2087" s="9" t="s">
        <v>92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153</v>
      </c>
      <c r="B2088" s="9" t="s">
        <v>511</v>
      </c>
      <c r="C2088" s="9" t="s">
        <v>94</v>
      </c>
      <c r="D2088" s="9" t="s">
        <v>92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153</v>
      </c>
      <c r="B2089" s="9" t="s">
        <v>2468</v>
      </c>
      <c r="C2089" s="9" t="s">
        <v>94</v>
      </c>
      <c r="D2089" s="9" t="s">
        <v>92</v>
      </c>
      <c r="E2089" s="9" t="s">
        <v>0</v>
      </c>
      <c r="F2089" s="27"/>
      <c r="G2089" s="24"/>
      <c r="H2089" s="24"/>
      <c r="I2089" s="28"/>
      <c r="J2089" s="27">
        <v>0</v>
      </c>
      <c r="K2089" s="24"/>
      <c r="L2089" s="24"/>
      <c r="M2089" s="28">
        <v>0</v>
      </c>
      <c r="N2089" s="27">
        <v>0</v>
      </c>
      <c r="O2089" s="10"/>
      <c r="P2089" s="10"/>
      <c r="Q2089" s="10"/>
      <c r="R2089" s="10"/>
      <c r="S2089" s="10"/>
      <c r="T2089" s="10"/>
      <c r="U2089" s="29">
        <v>0</v>
      </c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153</v>
      </c>
      <c r="B2090" s="9" t="s">
        <v>512</v>
      </c>
      <c r="C2090" s="9" t="s">
        <v>94</v>
      </c>
      <c r="D2090" s="9" t="s">
        <v>92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153</v>
      </c>
      <c r="B2091" s="9" t="s">
        <v>513</v>
      </c>
      <c r="C2091" s="9" t="s">
        <v>94</v>
      </c>
      <c r="D2091" s="9" t="s">
        <v>92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153</v>
      </c>
      <c r="B2092" s="9" t="s">
        <v>2469</v>
      </c>
      <c r="C2092" s="9" t="s">
        <v>94</v>
      </c>
      <c r="D2092" s="9" t="s">
        <v>92</v>
      </c>
      <c r="E2092" s="9" t="s">
        <v>0</v>
      </c>
      <c r="F2092" s="27"/>
      <c r="G2092" s="24"/>
      <c r="H2092" s="24"/>
      <c r="I2092" s="28"/>
      <c r="J2092" s="27">
        <v>0</v>
      </c>
      <c r="K2092" s="24"/>
      <c r="L2092" s="24"/>
      <c r="M2092" s="28">
        <v>0</v>
      </c>
      <c r="N2092" s="27">
        <v>0</v>
      </c>
      <c r="O2092" s="10"/>
      <c r="P2092" s="10"/>
      <c r="Q2092" s="10"/>
      <c r="R2092" s="10"/>
      <c r="S2092" s="10"/>
      <c r="T2092" s="10"/>
      <c r="U2092" s="29">
        <v>0</v>
      </c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153</v>
      </c>
      <c r="B2093" s="9" t="s">
        <v>2470</v>
      </c>
      <c r="C2093" s="9" t="s">
        <v>94</v>
      </c>
      <c r="D2093" s="9" t="s">
        <v>92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153</v>
      </c>
      <c r="B2094" s="9" t="s">
        <v>2471</v>
      </c>
      <c r="C2094" s="9" t="s">
        <v>94</v>
      </c>
      <c r="D2094" s="9" t="s">
        <v>92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153</v>
      </c>
      <c r="B2095" s="9" t="s">
        <v>2472</v>
      </c>
      <c r="C2095" s="9" t="s">
        <v>94</v>
      </c>
      <c r="D2095" s="9" t="s">
        <v>92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153</v>
      </c>
      <c r="B2096" s="9" t="s">
        <v>2473</v>
      </c>
      <c r="C2096" s="9" t="s">
        <v>94</v>
      </c>
      <c r="D2096" s="9" t="s">
        <v>92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153</v>
      </c>
      <c r="B2097" s="9" t="s">
        <v>2474</v>
      </c>
      <c r="C2097" s="9" t="s">
        <v>94</v>
      </c>
      <c r="D2097" s="9" t="s">
        <v>92</v>
      </c>
      <c r="E2097" s="9" t="s">
        <v>0</v>
      </c>
      <c r="F2097" s="27"/>
      <c r="G2097" s="24"/>
      <c r="H2097" s="24"/>
      <c r="I2097" s="28"/>
      <c r="J2097" s="27">
        <v>0</v>
      </c>
      <c r="K2097" s="24"/>
      <c r="L2097" s="24"/>
      <c r="M2097" s="28">
        <v>0</v>
      </c>
      <c r="N2097" s="27">
        <v>0</v>
      </c>
      <c r="O2097" s="10"/>
      <c r="P2097" s="10"/>
      <c r="Q2097" s="10"/>
      <c r="R2097" s="10"/>
      <c r="S2097" s="10"/>
      <c r="T2097" s="10"/>
      <c r="U2097" s="29">
        <v>0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153</v>
      </c>
      <c r="B2098" s="9" t="s">
        <v>2475</v>
      </c>
      <c r="C2098" s="9" t="s">
        <v>94</v>
      </c>
      <c r="D2098" s="9" t="s">
        <v>92</v>
      </c>
      <c r="E2098" s="9" t="s">
        <v>0</v>
      </c>
      <c r="F2098" s="27"/>
      <c r="G2098" s="24"/>
      <c r="H2098" s="24"/>
      <c r="I2098" s="28"/>
      <c r="J2098" s="27">
        <v>0</v>
      </c>
      <c r="K2098" s="24"/>
      <c r="L2098" s="24"/>
      <c r="M2098" s="28">
        <v>0</v>
      </c>
      <c r="N2098" s="27">
        <v>0</v>
      </c>
      <c r="O2098" s="10"/>
      <c r="P2098" s="10"/>
      <c r="Q2098" s="10"/>
      <c r="R2098" s="10"/>
      <c r="S2098" s="10"/>
      <c r="T2098" s="10"/>
      <c r="U2098" s="29">
        <v>0</v>
      </c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153</v>
      </c>
      <c r="B2099" s="9" t="s">
        <v>2476</v>
      </c>
      <c r="C2099" s="9" t="s">
        <v>94</v>
      </c>
      <c r="D2099" s="9" t="s">
        <v>92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153</v>
      </c>
      <c r="B2100" s="9" t="s">
        <v>2477</v>
      </c>
      <c r="C2100" s="9" t="s">
        <v>94</v>
      </c>
      <c r="D2100" s="9" t="s">
        <v>92</v>
      </c>
      <c r="E2100" s="9" t="s">
        <v>0</v>
      </c>
      <c r="F2100" s="27"/>
      <c r="G2100" s="24"/>
      <c r="H2100" s="24"/>
      <c r="I2100" s="28"/>
      <c r="J2100" s="27">
        <v>0</v>
      </c>
      <c r="K2100" s="24"/>
      <c r="L2100" s="24"/>
      <c r="M2100" s="28">
        <v>0</v>
      </c>
      <c r="N2100" s="27">
        <v>0</v>
      </c>
      <c r="O2100" s="10"/>
      <c r="P2100" s="10"/>
      <c r="Q2100" s="10"/>
      <c r="R2100" s="10"/>
      <c r="S2100" s="10"/>
      <c r="T2100" s="10"/>
      <c r="U2100" s="29">
        <v>0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153</v>
      </c>
      <c r="B2101" s="9" t="s">
        <v>2478</v>
      </c>
      <c r="C2101" s="9" t="s">
        <v>94</v>
      </c>
      <c r="D2101" s="9" t="s">
        <v>92</v>
      </c>
      <c r="E2101" s="9" t="s">
        <v>0</v>
      </c>
      <c r="F2101" s="27"/>
      <c r="G2101" s="24"/>
      <c r="H2101" s="24"/>
      <c r="I2101" s="28"/>
      <c r="J2101" s="27">
        <v>0</v>
      </c>
      <c r="K2101" s="24"/>
      <c r="L2101" s="24"/>
      <c r="M2101" s="28">
        <v>0</v>
      </c>
      <c r="N2101" s="27">
        <v>0</v>
      </c>
      <c r="O2101" s="10"/>
      <c r="P2101" s="10"/>
      <c r="Q2101" s="10"/>
      <c r="R2101" s="10"/>
      <c r="S2101" s="10"/>
      <c r="T2101" s="10"/>
      <c r="U2101" s="29">
        <v>0</v>
      </c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153</v>
      </c>
      <c r="B2102" s="9" t="s">
        <v>2479</v>
      </c>
      <c r="C2102" s="9" t="s">
        <v>94</v>
      </c>
      <c r="D2102" s="9" t="s">
        <v>92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153</v>
      </c>
      <c r="B2103" s="9" t="s">
        <v>2480</v>
      </c>
      <c r="C2103" s="9" t="s">
        <v>94</v>
      </c>
      <c r="D2103" s="9" t="s">
        <v>92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153</v>
      </c>
      <c r="B2104" s="9" t="s">
        <v>2481</v>
      </c>
      <c r="C2104" s="9" t="s">
        <v>94</v>
      </c>
      <c r="D2104" s="9" t="s">
        <v>92</v>
      </c>
      <c r="E2104" s="9" t="s">
        <v>0</v>
      </c>
      <c r="F2104" s="27"/>
      <c r="G2104" s="24"/>
      <c r="H2104" s="24"/>
      <c r="I2104" s="28"/>
      <c r="J2104" s="27">
        <v>0</v>
      </c>
      <c r="K2104" s="24"/>
      <c r="L2104" s="24"/>
      <c r="M2104" s="28">
        <v>0</v>
      </c>
      <c r="N2104" s="27">
        <v>0</v>
      </c>
      <c r="O2104" s="10"/>
      <c r="P2104" s="10"/>
      <c r="Q2104" s="10"/>
      <c r="R2104" s="10"/>
      <c r="S2104" s="10"/>
      <c r="T2104" s="10"/>
      <c r="U2104" s="29">
        <v>0</v>
      </c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153</v>
      </c>
      <c r="B2105" s="9" t="s">
        <v>2482</v>
      </c>
      <c r="C2105" s="9" t="s">
        <v>94</v>
      </c>
      <c r="D2105" s="9" t="s">
        <v>92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153</v>
      </c>
      <c r="B2106" s="9" t="s">
        <v>2483</v>
      </c>
      <c r="C2106" s="9" t="s">
        <v>94</v>
      </c>
      <c r="D2106" s="9" t="s">
        <v>92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153</v>
      </c>
      <c r="B2107" s="9" t="s">
        <v>2484</v>
      </c>
      <c r="C2107" s="9" t="s">
        <v>94</v>
      </c>
      <c r="D2107" s="9" t="s">
        <v>92</v>
      </c>
      <c r="E2107" s="9" t="s">
        <v>0</v>
      </c>
      <c r="F2107" s="27"/>
      <c r="G2107" s="24"/>
      <c r="H2107" s="24"/>
      <c r="I2107" s="28"/>
      <c r="J2107" s="27">
        <v>0</v>
      </c>
      <c r="K2107" s="24"/>
      <c r="L2107" s="24"/>
      <c r="M2107" s="28">
        <v>0</v>
      </c>
      <c r="N2107" s="27">
        <v>0</v>
      </c>
      <c r="O2107" s="10"/>
      <c r="P2107" s="10"/>
      <c r="Q2107" s="10"/>
      <c r="R2107" s="10"/>
      <c r="S2107" s="10"/>
      <c r="T2107" s="10"/>
      <c r="U2107" s="29">
        <v>0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153</v>
      </c>
      <c r="B2108" s="9" t="s">
        <v>514</v>
      </c>
      <c r="C2108" s="9" t="s">
        <v>94</v>
      </c>
      <c r="D2108" s="9" t="s">
        <v>92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153</v>
      </c>
      <c r="B2109" s="9" t="s">
        <v>2485</v>
      </c>
      <c r="C2109" s="9" t="s">
        <v>94</v>
      </c>
      <c r="D2109" s="9" t="s">
        <v>92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153</v>
      </c>
      <c r="B2110" s="9" t="s">
        <v>515</v>
      </c>
      <c r="C2110" s="9" t="s">
        <v>94</v>
      </c>
      <c r="D2110" s="9" t="s">
        <v>92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153</v>
      </c>
      <c r="B2111" s="9" t="s">
        <v>2486</v>
      </c>
      <c r="C2111" s="9" t="s">
        <v>94</v>
      </c>
      <c r="D2111" s="9" t="s">
        <v>92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153</v>
      </c>
      <c r="B2112" s="9" t="s">
        <v>2487</v>
      </c>
      <c r="C2112" s="9" t="s">
        <v>94</v>
      </c>
      <c r="D2112" s="9" t="s">
        <v>92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153</v>
      </c>
      <c r="B2113" s="9" t="s">
        <v>2488</v>
      </c>
      <c r="C2113" s="9" t="s">
        <v>94</v>
      </c>
      <c r="D2113" s="9" t="s">
        <v>92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153</v>
      </c>
      <c r="B2114" s="9" t="s">
        <v>516</v>
      </c>
      <c r="C2114" s="9" t="s">
        <v>94</v>
      </c>
      <c r="D2114" s="9" t="s">
        <v>92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153</v>
      </c>
      <c r="B2115" s="9" t="s">
        <v>2489</v>
      </c>
      <c r="C2115" s="9" t="s">
        <v>94</v>
      </c>
      <c r="D2115" s="9" t="s">
        <v>92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153</v>
      </c>
      <c r="B2116" s="9" t="s">
        <v>517</v>
      </c>
      <c r="C2116" s="9" t="s">
        <v>94</v>
      </c>
      <c r="D2116" s="9" t="s">
        <v>92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153</v>
      </c>
      <c r="B2117" s="9" t="s">
        <v>2490</v>
      </c>
      <c r="C2117" s="9" t="s">
        <v>94</v>
      </c>
      <c r="D2117" s="9" t="s">
        <v>92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153</v>
      </c>
      <c r="B2118" s="9" t="s">
        <v>2491</v>
      </c>
      <c r="C2118" s="9" t="s">
        <v>94</v>
      </c>
      <c r="D2118" s="9" t="s">
        <v>92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153</v>
      </c>
      <c r="B2119" s="9" t="s">
        <v>2492</v>
      </c>
      <c r="C2119" s="9" t="s">
        <v>94</v>
      </c>
      <c r="D2119" s="9" t="s">
        <v>92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153</v>
      </c>
      <c r="B2120" s="9" t="s">
        <v>518</v>
      </c>
      <c r="C2120" s="9" t="s">
        <v>94</v>
      </c>
      <c r="D2120" s="9" t="s">
        <v>92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153</v>
      </c>
      <c r="B2121" s="9" t="s">
        <v>2493</v>
      </c>
      <c r="C2121" s="9" t="s">
        <v>94</v>
      </c>
      <c r="D2121" s="9" t="s">
        <v>92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153</v>
      </c>
      <c r="B2122" s="9" t="s">
        <v>519</v>
      </c>
      <c r="C2122" s="9" t="s">
        <v>94</v>
      </c>
      <c r="D2122" s="9" t="s">
        <v>92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153</v>
      </c>
      <c r="B2123" s="9" t="s">
        <v>2494</v>
      </c>
      <c r="C2123" s="9" t="s">
        <v>94</v>
      </c>
      <c r="D2123" s="9" t="s">
        <v>92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153</v>
      </c>
      <c r="B2124" s="9" t="s">
        <v>2495</v>
      </c>
      <c r="C2124" s="9" t="s">
        <v>94</v>
      </c>
      <c r="D2124" s="9" t="s">
        <v>92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153</v>
      </c>
      <c r="B2125" s="9" t="s">
        <v>2496</v>
      </c>
      <c r="C2125" s="9" t="s">
        <v>94</v>
      </c>
      <c r="D2125" s="9" t="s">
        <v>92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153</v>
      </c>
      <c r="B2126" s="9" t="s">
        <v>2497</v>
      </c>
      <c r="C2126" s="9" t="s">
        <v>94</v>
      </c>
      <c r="D2126" s="9" t="s">
        <v>92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153</v>
      </c>
      <c r="B2127" s="9" t="s">
        <v>2498</v>
      </c>
      <c r="C2127" s="9" t="s">
        <v>94</v>
      </c>
      <c r="D2127" s="9" t="s">
        <v>92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153</v>
      </c>
      <c r="B2128" s="9" t="s">
        <v>2499</v>
      </c>
      <c r="C2128" s="9" t="s">
        <v>94</v>
      </c>
      <c r="D2128" s="9" t="s">
        <v>92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153</v>
      </c>
      <c r="B2129" s="9" t="s">
        <v>2500</v>
      </c>
      <c r="C2129" s="9" t="s">
        <v>94</v>
      </c>
      <c r="D2129" s="9" t="s">
        <v>92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153</v>
      </c>
      <c r="B2130" s="9" t="s">
        <v>2501</v>
      </c>
      <c r="C2130" s="9" t="s">
        <v>94</v>
      </c>
      <c r="D2130" s="9" t="s">
        <v>92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153</v>
      </c>
      <c r="B2131" s="9" t="s">
        <v>2502</v>
      </c>
      <c r="C2131" s="9" t="s">
        <v>94</v>
      </c>
      <c r="D2131" s="9" t="s">
        <v>92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153</v>
      </c>
      <c r="B2132" s="9" t="s">
        <v>520</v>
      </c>
      <c r="C2132" s="9" t="s">
        <v>94</v>
      </c>
      <c r="D2132" s="9" t="s">
        <v>92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153</v>
      </c>
      <c r="B2133" s="9" t="s">
        <v>2503</v>
      </c>
      <c r="C2133" s="9" t="s">
        <v>94</v>
      </c>
      <c r="D2133" s="9" t="s">
        <v>92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153</v>
      </c>
      <c r="B2134" s="9" t="s">
        <v>521</v>
      </c>
      <c r="C2134" s="9" t="s">
        <v>94</v>
      </c>
      <c r="D2134" s="9" t="s">
        <v>92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153</v>
      </c>
      <c r="B2135" s="9" t="s">
        <v>2504</v>
      </c>
      <c r="C2135" s="9" t="s">
        <v>94</v>
      </c>
      <c r="D2135" s="9" t="s">
        <v>92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153</v>
      </c>
      <c r="B2136" s="9" t="s">
        <v>2505</v>
      </c>
      <c r="C2136" s="9" t="s">
        <v>94</v>
      </c>
      <c r="D2136" s="9" t="s">
        <v>92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153</v>
      </c>
      <c r="B2137" s="9" t="s">
        <v>2506</v>
      </c>
      <c r="C2137" s="9" t="s">
        <v>94</v>
      </c>
      <c r="D2137" s="9" t="s">
        <v>92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153</v>
      </c>
      <c r="B2138" s="9" t="s">
        <v>522</v>
      </c>
      <c r="C2138" s="9" t="s">
        <v>94</v>
      </c>
      <c r="D2138" s="9" t="s">
        <v>92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153</v>
      </c>
      <c r="B2139" s="9" t="s">
        <v>2507</v>
      </c>
      <c r="C2139" s="9" t="s">
        <v>94</v>
      </c>
      <c r="D2139" s="9" t="s">
        <v>92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153</v>
      </c>
      <c r="B2140" s="9" t="s">
        <v>523</v>
      </c>
      <c r="C2140" s="9" t="s">
        <v>94</v>
      </c>
      <c r="D2140" s="9" t="s">
        <v>92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153</v>
      </c>
      <c r="B2141" s="9" t="s">
        <v>2508</v>
      </c>
      <c r="C2141" s="9" t="s">
        <v>94</v>
      </c>
      <c r="D2141" s="9" t="s">
        <v>92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153</v>
      </c>
      <c r="B2142" s="9" t="s">
        <v>2509</v>
      </c>
      <c r="C2142" s="9" t="s">
        <v>94</v>
      </c>
      <c r="D2142" s="9" t="s">
        <v>92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153</v>
      </c>
      <c r="B2143" s="9" t="s">
        <v>2510</v>
      </c>
      <c r="C2143" s="9" t="s">
        <v>94</v>
      </c>
      <c r="D2143" s="9" t="s">
        <v>92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153</v>
      </c>
      <c r="B2144" s="9" t="s">
        <v>524</v>
      </c>
      <c r="C2144" s="9" t="s">
        <v>94</v>
      </c>
      <c r="D2144" s="9" t="s">
        <v>92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153</v>
      </c>
      <c r="B2145" s="9" t="s">
        <v>2511</v>
      </c>
      <c r="C2145" s="9" t="s">
        <v>94</v>
      </c>
      <c r="D2145" s="9" t="s">
        <v>92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153</v>
      </c>
      <c r="B2146" s="9" t="s">
        <v>525</v>
      </c>
      <c r="C2146" s="9" t="s">
        <v>94</v>
      </c>
      <c r="D2146" s="9" t="s">
        <v>92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153</v>
      </c>
      <c r="B2147" s="9" t="s">
        <v>2512</v>
      </c>
      <c r="C2147" s="9" t="s">
        <v>94</v>
      </c>
      <c r="D2147" s="9" t="s">
        <v>92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153</v>
      </c>
      <c r="B2148" s="9" t="s">
        <v>2513</v>
      </c>
      <c r="C2148" s="9" t="s">
        <v>94</v>
      </c>
      <c r="D2148" s="9" t="s">
        <v>92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153</v>
      </c>
      <c r="B2149" s="9" t="s">
        <v>2514</v>
      </c>
      <c r="C2149" s="9" t="s">
        <v>94</v>
      </c>
      <c r="D2149" s="9" t="s">
        <v>92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153</v>
      </c>
      <c r="B2150" s="9" t="s">
        <v>2515</v>
      </c>
      <c r="C2150" s="9" t="s">
        <v>94</v>
      </c>
      <c r="D2150" s="9" t="s">
        <v>92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153</v>
      </c>
      <c r="B2151" s="9" t="s">
        <v>2516</v>
      </c>
      <c r="C2151" s="9" t="s">
        <v>94</v>
      </c>
      <c r="D2151" s="9" t="s">
        <v>92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153</v>
      </c>
      <c r="B2152" s="9" t="s">
        <v>2517</v>
      </c>
      <c r="C2152" s="9" t="s">
        <v>94</v>
      </c>
      <c r="D2152" s="9" t="s">
        <v>92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153</v>
      </c>
      <c r="B2153" s="9" t="s">
        <v>2518</v>
      </c>
      <c r="C2153" s="9" t="s">
        <v>94</v>
      </c>
      <c r="D2153" s="9" t="s">
        <v>92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153</v>
      </c>
      <c r="B2154" s="9" t="s">
        <v>2519</v>
      </c>
      <c r="C2154" s="9" t="s">
        <v>94</v>
      </c>
      <c r="D2154" s="9" t="s">
        <v>92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153</v>
      </c>
      <c r="B2155" s="9" t="s">
        <v>2520</v>
      </c>
      <c r="C2155" s="9" t="s">
        <v>94</v>
      </c>
      <c r="D2155" s="9" t="s">
        <v>92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153</v>
      </c>
      <c r="B2156" s="9" t="s">
        <v>526</v>
      </c>
      <c r="C2156" s="9" t="s">
        <v>94</v>
      </c>
      <c r="D2156" s="9" t="s">
        <v>92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153</v>
      </c>
      <c r="B2157" s="9" t="s">
        <v>2521</v>
      </c>
      <c r="C2157" s="9" t="s">
        <v>94</v>
      </c>
      <c r="D2157" s="9" t="s">
        <v>92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153</v>
      </c>
      <c r="B2158" s="9" t="s">
        <v>527</v>
      </c>
      <c r="C2158" s="9" t="s">
        <v>94</v>
      </c>
      <c r="D2158" s="9" t="s">
        <v>92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153</v>
      </c>
      <c r="B2159" s="9" t="s">
        <v>2522</v>
      </c>
      <c r="C2159" s="9" t="s">
        <v>94</v>
      </c>
      <c r="D2159" s="9" t="s">
        <v>92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153</v>
      </c>
      <c r="B2160" s="9" t="s">
        <v>2523</v>
      </c>
      <c r="C2160" s="9" t="s">
        <v>94</v>
      </c>
      <c r="D2160" s="9" t="s">
        <v>92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153</v>
      </c>
      <c r="B2161" s="9" t="s">
        <v>2524</v>
      </c>
      <c r="C2161" s="9" t="s">
        <v>94</v>
      </c>
      <c r="D2161" s="9" t="s">
        <v>92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153</v>
      </c>
      <c r="B2162" s="9" t="s">
        <v>528</v>
      </c>
      <c r="C2162" s="9" t="s">
        <v>94</v>
      </c>
      <c r="D2162" s="9" t="s">
        <v>92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153</v>
      </c>
      <c r="B2163" s="9" t="s">
        <v>2525</v>
      </c>
      <c r="C2163" s="9" t="s">
        <v>94</v>
      </c>
      <c r="D2163" s="9" t="s">
        <v>92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153</v>
      </c>
      <c r="B2164" s="9" t="s">
        <v>529</v>
      </c>
      <c r="C2164" s="9" t="s">
        <v>94</v>
      </c>
      <c r="D2164" s="9" t="s">
        <v>92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153</v>
      </c>
      <c r="B2165" s="9" t="s">
        <v>2526</v>
      </c>
      <c r="C2165" s="9" t="s">
        <v>94</v>
      </c>
      <c r="D2165" s="9" t="s">
        <v>92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153</v>
      </c>
      <c r="B2166" s="9" t="s">
        <v>2527</v>
      </c>
      <c r="C2166" s="9" t="s">
        <v>94</v>
      </c>
      <c r="D2166" s="9" t="s">
        <v>92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153</v>
      </c>
      <c r="B2167" s="9" t="s">
        <v>2528</v>
      </c>
      <c r="C2167" s="9" t="s">
        <v>94</v>
      </c>
      <c r="D2167" s="9" t="s">
        <v>92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153</v>
      </c>
      <c r="B2168" s="9" t="s">
        <v>530</v>
      </c>
      <c r="C2168" s="9" t="s">
        <v>94</v>
      </c>
      <c r="D2168" s="9" t="s">
        <v>92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153</v>
      </c>
      <c r="B2169" s="9" t="s">
        <v>2529</v>
      </c>
      <c r="C2169" s="9" t="s">
        <v>94</v>
      </c>
      <c r="D2169" s="9" t="s">
        <v>92</v>
      </c>
      <c r="E2169" s="9" t="s">
        <v>0</v>
      </c>
      <c r="F2169" s="27"/>
      <c r="G2169" s="24"/>
      <c r="H2169" s="24"/>
      <c r="I2169" s="28"/>
      <c r="J2169" s="27">
        <v>0</v>
      </c>
      <c r="K2169" s="24"/>
      <c r="L2169" s="24"/>
      <c r="M2169" s="28">
        <v>0</v>
      </c>
      <c r="N2169" s="27">
        <v>0</v>
      </c>
      <c r="O2169" s="10"/>
      <c r="P2169" s="10"/>
      <c r="Q2169" s="10"/>
      <c r="R2169" s="10"/>
      <c r="S2169" s="10"/>
      <c r="T2169" s="10"/>
      <c r="U2169" s="29">
        <v>0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153</v>
      </c>
      <c r="B2170" s="9" t="s">
        <v>531</v>
      </c>
      <c r="C2170" s="9" t="s">
        <v>94</v>
      </c>
      <c r="D2170" s="9" t="s">
        <v>92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153</v>
      </c>
      <c r="B2171" s="9" t="s">
        <v>2530</v>
      </c>
      <c r="C2171" s="9" t="s">
        <v>94</v>
      </c>
      <c r="D2171" s="9" t="s">
        <v>92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153</v>
      </c>
      <c r="B2172" s="9" t="s">
        <v>2531</v>
      </c>
      <c r="C2172" s="9" t="s">
        <v>94</v>
      </c>
      <c r="D2172" s="9" t="s">
        <v>92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153</v>
      </c>
      <c r="B2173" s="9" t="s">
        <v>2532</v>
      </c>
      <c r="C2173" s="9" t="s">
        <v>94</v>
      </c>
      <c r="D2173" s="9" t="s">
        <v>92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153</v>
      </c>
      <c r="B2174" s="9" t="s">
        <v>2533</v>
      </c>
      <c r="C2174" s="9" t="s">
        <v>94</v>
      </c>
      <c r="D2174" s="9" t="s">
        <v>92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153</v>
      </c>
      <c r="B2175" s="9" t="s">
        <v>2534</v>
      </c>
      <c r="C2175" s="9" t="s">
        <v>94</v>
      </c>
      <c r="D2175" s="9" t="s">
        <v>92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153</v>
      </c>
      <c r="B2176" s="9" t="s">
        <v>2535</v>
      </c>
      <c r="C2176" s="9" t="s">
        <v>94</v>
      </c>
      <c r="D2176" s="9" t="s">
        <v>92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153</v>
      </c>
      <c r="B2177" s="9" t="s">
        <v>2536</v>
      </c>
      <c r="C2177" s="9" t="s">
        <v>94</v>
      </c>
      <c r="D2177" s="9" t="s">
        <v>92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153</v>
      </c>
      <c r="B2178" s="9" t="s">
        <v>2537</v>
      </c>
      <c r="C2178" s="9" t="s">
        <v>94</v>
      </c>
      <c r="D2178" s="9" t="s">
        <v>92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153</v>
      </c>
      <c r="B2179" s="9" t="s">
        <v>2538</v>
      </c>
      <c r="C2179" s="9" t="s">
        <v>94</v>
      </c>
      <c r="D2179" s="9" t="s">
        <v>92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153</v>
      </c>
      <c r="B2180" s="9" t="s">
        <v>532</v>
      </c>
      <c r="C2180" s="9" t="s">
        <v>94</v>
      </c>
      <c r="D2180" s="9" t="s">
        <v>92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153</v>
      </c>
      <c r="B2181" s="9" t="s">
        <v>2539</v>
      </c>
      <c r="C2181" s="9" t="s">
        <v>94</v>
      </c>
      <c r="D2181" s="9" t="s">
        <v>92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153</v>
      </c>
      <c r="B2182" s="9" t="s">
        <v>533</v>
      </c>
      <c r="C2182" s="9" t="s">
        <v>94</v>
      </c>
      <c r="D2182" s="9" t="s">
        <v>92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153</v>
      </c>
      <c r="B2183" s="9" t="s">
        <v>2540</v>
      </c>
      <c r="C2183" s="9" t="s">
        <v>94</v>
      </c>
      <c r="D2183" s="9" t="s">
        <v>92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153</v>
      </c>
      <c r="B2184" s="9" t="s">
        <v>2541</v>
      </c>
      <c r="C2184" s="9" t="s">
        <v>94</v>
      </c>
      <c r="D2184" s="9" t="s">
        <v>92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153</v>
      </c>
      <c r="B2185" s="9" t="s">
        <v>2542</v>
      </c>
      <c r="C2185" s="9" t="s">
        <v>94</v>
      </c>
      <c r="D2185" s="9" t="s">
        <v>92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153</v>
      </c>
      <c r="B2186" s="9" t="s">
        <v>534</v>
      </c>
      <c r="C2186" s="9" t="s">
        <v>94</v>
      </c>
      <c r="D2186" s="9" t="s">
        <v>92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153</v>
      </c>
      <c r="B2187" s="9" t="s">
        <v>2543</v>
      </c>
      <c r="C2187" s="9" t="s">
        <v>94</v>
      </c>
      <c r="D2187" s="9" t="s">
        <v>92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153</v>
      </c>
      <c r="B2188" s="9" t="s">
        <v>535</v>
      </c>
      <c r="C2188" s="9" t="s">
        <v>94</v>
      </c>
      <c r="D2188" s="9" t="s">
        <v>92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153</v>
      </c>
      <c r="B2189" s="9" t="s">
        <v>2544</v>
      </c>
      <c r="C2189" s="9" t="s">
        <v>94</v>
      </c>
      <c r="D2189" s="9" t="s">
        <v>92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153</v>
      </c>
      <c r="B2190" s="9" t="s">
        <v>2545</v>
      </c>
      <c r="C2190" s="9" t="s">
        <v>94</v>
      </c>
      <c r="D2190" s="9" t="s">
        <v>92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153</v>
      </c>
      <c r="B2191" s="9" t="s">
        <v>2546</v>
      </c>
      <c r="C2191" s="9" t="s">
        <v>94</v>
      </c>
      <c r="D2191" s="9" t="s">
        <v>92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153</v>
      </c>
      <c r="B2192" s="9" t="s">
        <v>536</v>
      </c>
      <c r="C2192" s="9" t="s">
        <v>94</v>
      </c>
      <c r="D2192" s="9" t="s">
        <v>92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153</v>
      </c>
      <c r="B2193" s="9" t="s">
        <v>2547</v>
      </c>
      <c r="C2193" s="9" t="s">
        <v>94</v>
      </c>
      <c r="D2193" s="9" t="s">
        <v>92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153</v>
      </c>
      <c r="B2194" s="9" t="s">
        <v>537</v>
      </c>
      <c r="C2194" s="9" t="s">
        <v>94</v>
      </c>
      <c r="D2194" s="9" t="s">
        <v>92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153</v>
      </c>
      <c r="B2195" s="9" t="s">
        <v>2548</v>
      </c>
      <c r="C2195" s="9" t="s">
        <v>94</v>
      </c>
      <c r="D2195" s="9" t="s">
        <v>92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153</v>
      </c>
      <c r="B2196" s="9" t="s">
        <v>2549</v>
      </c>
      <c r="C2196" s="9" t="s">
        <v>94</v>
      </c>
      <c r="D2196" s="9" t="s">
        <v>92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153</v>
      </c>
      <c r="B2197" s="9" t="s">
        <v>2550</v>
      </c>
      <c r="C2197" s="9" t="s">
        <v>94</v>
      </c>
      <c r="D2197" s="9" t="s">
        <v>92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153</v>
      </c>
      <c r="B2198" s="9" t="s">
        <v>2551</v>
      </c>
      <c r="C2198" s="9" t="s">
        <v>94</v>
      </c>
      <c r="D2198" s="9" t="s">
        <v>92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153</v>
      </c>
      <c r="B2199" s="9" t="s">
        <v>2552</v>
      </c>
      <c r="C2199" s="9" t="s">
        <v>94</v>
      </c>
      <c r="D2199" s="9" t="s">
        <v>92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153</v>
      </c>
      <c r="B2200" s="9" t="s">
        <v>2553</v>
      </c>
      <c r="C2200" s="9" t="s">
        <v>94</v>
      </c>
      <c r="D2200" s="9" t="s">
        <v>92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153</v>
      </c>
      <c r="B2201" s="9" t="s">
        <v>2554</v>
      </c>
      <c r="C2201" s="9" t="s">
        <v>94</v>
      </c>
      <c r="D2201" s="9" t="s">
        <v>92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153</v>
      </c>
      <c r="B2202" s="9" t="s">
        <v>2555</v>
      </c>
      <c r="C2202" s="9" t="s">
        <v>94</v>
      </c>
      <c r="D2202" s="9" t="s">
        <v>92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153</v>
      </c>
      <c r="B2203" s="9" t="s">
        <v>2556</v>
      </c>
      <c r="C2203" s="9" t="s">
        <v>94</v>
      </c>
      <c r="D2203" s="9" t="s">
        <v>92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153</v>
      </c>
      <c r="B2204" s="9" t="s">
        <v>2557</v>
      </c>
      <c r="C2204" s="9" t="s">
        <v>94</v>
      </c>
      <c r="D2204" s="9" t="s">
        <v>92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153</v>
      </c>
      <c r="B2205" s="9" t="s">
        <v>2558</v>
      </c>
      <c r="C2205" s="9" t="s">
        <v>94</v>
      </c>
      <c r="D2205" s="9" t="s">
        <v>92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153</v>
      </c>
      <c r="B2206" s="9" t="s">
        <v>2559</v>
      </c>
      <c r="C2206" s="9" t="s">
        <v>94</v>
      </c>
      <c r="D2206" s="9" t="s">
        <v>92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153</v>
      </c>
      <c r="B2207" s="9" t="s">
        <v>2560</v>
      </c>
      <c r="C2207" s="9" t="s">
        <v>94</v>
      </c>
      <c r="D2207" s="9" t="s">
        <v>92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153</v>
      </c>
      <c r="B2208" s="9" t="s">
        <v>2561</v>
      </c>
      <c r="C2208" s="9" t="s">
        <v>94</v>
      </c>
      <c r="D2208" s="9" t="s">
        <v>92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153</v>
      </c>
      <c r="B2209" s="9" t="s">
        <v>2562</v>
      </c>
      <c r="C2209" s="9" t="s">
        <v>94</v>
      </c>
      <c r="D2209" s="9" t="s">
        <v>92</v>
      </c>
      <c r="E2209" s="9" t="s">
        <v>0</v>
      </c>
      <c r="F2209" s="27"/>
      <c r="G2209" s="24"/>
      <c r="H2209" s="24"/>
      <c r="I2209" s="28"/>
      <c r="J2209" s="27">
        <v>0</v>
      </c>
      <c r="K2209" s="24"/>
      <c r="L2209" s="24"/>
      <c r="M2209" s="28">
        <v>0</v>
      </c>
      <c r="N2209" s="27">
        <v>0</v>
      </c>
      <c r="O2209" s="10"/>
      <c r="P2209" s="10"/>
      <c r="Q2209" s="10"/>
      <c r="R2209" s="10"/>
      <c r="S2209" s="10"/>
      <c r="T2209" s="10"/>
      <c r="U2209" s="29">
        <v>0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153</v>
      </c>
      <c r="B2210" s="9" t="s">
        <v>2563</v>
      </c>
      <c r="C2210" s="9" t="s">
        <v>94</v>
      </c>
      <c r="D2210" s="9" t="s">
        <v>92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153</v>
      </c>
      <c r="B2211" s="9" t="s">
        <v>2564</v>
      </c>
      <c r="C2211" s="9" t="s">
        <v>94</v>
      </c>
      <c r="D2211" s="9" t="s">
        <v>92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153</v>
      </c>
      <c r="B2212" s="9" t="s">
        <v>2565</v>
      </c>
      <c r="C2212" s="9" t="s">
        <v>94</v>
      </c>
      <c r="D2212" s="9" t="s">
        <v>92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153</v>
      </c>
      <c r="B2213" s="9" t="s">
        <v>2566</v>
      </c>
      <c r="C2213" s="9" t="s">
        <v>94</v>
      </c>
      <c r="D2213" s="9" t="s">
        <v>92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153</v>
      </c>
      <c r="B2214" s="9" t="s">
        <v>2567</v>
      </c>
      <c r="C2214" s="9" t="s">
        <v>94</v>
      </c>
      <c r="D2214" s="9" t="s">
        <v>92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153</v>
      </c>
      <c r="B2215" s="9" t="s">
        <v>2568</v>
      </c>
      <c r="C2215" s="9" t="s">
        <v>94</v>
      </c>
      <c r="D2215" s="9" t="s">
        <v>92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153</v>
      </c>
      <c r="B2216" s="9" t="s">
        <v>2569</v>
      </c>
      <c r="C2216" s="9" t="s">
        <v>94</v>
      </c>
      <c r="D2216" s="9" t="s">
        <v>92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153</v>
      </c>
      <c r="B2217" s="9" t="s">
        <v>2570</v>
      </c>
      <c r="C2217" s="9" t="s">
        <v>94</v>
      </c>
      <c r="D2217" s="9" t="s">
        <v>92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153</v>
      </c>
      <c r="B2218" s="9" t="s">
        <v>2571</v>
      </c>
      <c r="C2218" s="9" t="s">
        <v>94</v>
      </c>
      <c r="D2218" s="9" t="s">
        <v>92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153</v>
      </c>
      <c r="B2219" s="9" t="s">
        <v>2572</v>
      </c>
      <c r="C2219" s="9" t="s">
        <v>94</v>
      </c>
      <c r="D2219" s="9" t="s">
        <v>92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153</v>
      </c>
      <c r="B2220" s="9" t="s">
        <v>2573</v>
      </c>
      <c r="C2220" s="9" t="s">
        <v>94</v>
      </c>
      <c r="D2220" s="9" t="s">
        <v>92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153</v>
      </c>
      <c r="B2221" s="9" t="s">
        <v>2574</v>
      </c>
      <c r="C2221" s="9" t="s">
        <v>94</v>
      </c>
      <c r="D2221" s="9" t="s">
        <v>92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153</v>
      </c>
      <c r="B2222" s="9" t="s">
        <v>2575</v>
      </c>
      <c r="C2222" s="9" t="s">
        <v>94</v>
      </c>
      <c r="D2222" s="9" t="s">
        <v>92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153</v>
      </c>
      <c r="B2223" s="9" t="s">
        <v>2576</v>
      </c>
      <c r="C2223" s="9" t="s">
        <v>94</v>
      </c>
      <c r="D2223" s="9" t="s">
        <v>92</v>
      </c>
      <c r="E2223" s="9" t="s">
        <v>0</v>
      </c>
      <c r="F2223" s="27"/>
      <c r="G2223" s="24"/>
      <c r="H2223" s="24"/>
      <c r="I2223" s="28"/>
      <c r="J2223" s="27">
        <v>0</v>
      </c>
      <c r="K2223" s="24"/>
      <c r="L2223" s="24"/>
      <c r="M2223" s="28">
        <v>0</v>
      </c>
      <c r="N2223" s="27">
        <v>0</v>
      </c>
      <c r="O2223" s="10"/>
      <c r="P2223" s="10"/>
      <c r="Q2223" s="10"/>
      <c r="R2223" s="10"/>
      <c r="S2223" s="10"/>
      <c r="T2223" s="10"/>
      <c r="U2223" s="29">
        <v>0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153</v>
      </c>
      <c r="B2224" s="9" t="s">
        <v>2577</v>
      </c>
      <c r="C2224" s="9" t="s">
        <v>94</v>
      </c>
      <c r="D2224" s="9" t="s">
        <v>92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153</v>
      </c>
      <c r="B2225" s="9" t="s">
        <v>2578</v>
      </c>
      <c r="C2225" s="9" t="s">
        <v>94</v>
      </c>
      <c r="D2225" s="9" t="s">
        <v>92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153</v>
      </c>
      <c r="B2226" s="9" t="s">
        <v>2579</v>
      </c>
      <c r="C2226" s="9" t="s">
        <v>94</v>
      </c>
      <c r="D2226" s="9" t="s">
        <v>92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153</v>
      </c>
      <c r="B2227" s="9" t="s">
        <v>2580</v>
      </c>
      <c r="C2227" s="9" t="s">
        <v>94</v>
      </c>
      <c r="D2227" s="9" t="s">
        <v>92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153</v>
      </c>
      <c r="B2228" s="9" t="s">
        <v>2581</v>
      </c>
      <c r="C2228" s="9" t="s">
        <v>94</v>
      </c>
      <c r="D2228" s="9" t="s">
        <v>92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153</v>
      </c>
      <c r="B2229" s="9" t="s">
        <v>2582</v>
      </c>
      <c r="C2229" s="9" t="s">
        <v>94</v>
      </c>
      <c r="D2229" s="9" t="s">
        <v>92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153</v>
      </c>
      <c r="B2230" s="9" t="s">
        <v>2583</v>
      </c>
      <c r="C2230" s="9" t="s">
        <v>94</v>
      </c>
      <c r="D2230" s="9" t="s">
        <v>92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153</v>
      </c>
      <c r="B2231" s="9" t="s">
        <v>2584</v>
      </c>
      <c r="C2231" s="9" t="s">
        <v>94</v>
      </c>
      <c r="D2231" s="9" t="s">
        <v>92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153</v>
      </c>
      <c r="B2232" s="9" t="s">
        <v>2585</v>
      </c>
      <c r="C2232" s="9" t="s">
        <v>94</v>
      </c>
      <c r="D2232" s="9" t="s">
        <v>92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153</v>
      </c>
      <c r="B2233" s="9" t="s">
        <v>2586</v>
      </c>
      <c r="C2233" s="9" t="s">
        <v>94</v>
      </c>
      <c r="D2233" s="9" t="s">
        <v>92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153</v>
      </c>
      <c r="B2234" s="9" t="s">
        <v>2587</v>
      </c>
      <c r="C2234" s="9" t="s">
        <v>94</v>
      </c>
      <c r="D2234" s="9" t="s">
        <v>92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153</v>
      </c>
      <c r="B2235" s="9" t="s">
        <v>2588</v>
      </c>
      <c r="C2235" s="9" t="s">
        <v>94</v>
      </c>
      <c r="D2235" s="9" t="s">
        <v>92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153</v>
      </c>
      <c r="B2236" s="9" t="s">
        <v>2589</v>
      </c>
      <c r="C2236" s="9" t="s">
        <v>94</v>
      </c>
      <c r="D2236" s="9" t="s">
        <v>92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153</v>
      </c>
      <c r="B2237" s="9" t="s">
        <v>2590</v>
      </c>
      <c r="C2237" s="9" t="s">
        <v>94</v>
      </c>
      <c r="D2237" s="9" t="s">
        <v>92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153</v>
      </c>
      <c r="B2238" s="9" t="s">
        <v>2591</v>
      </c>
      <c r="C2238" s="9" t="s">
        <v>94</v>
      </c>
      <c r="D2238" s="9" t="s">
        <v>92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153</v>
      </c>
      <c r="B2239" s="9" t="s">
        <v>2592</v>
      </c>
      <c r="C2239" s="9" t="s">
        <v>94</v>
      </c>
      <c r="D2239" s="9" t="s">
        <v>92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153</v>
      </c>
      <c r="B2240" s="9" t="s">
        <v>2593</v>
      </c>
      <c r="C2240" s="9" t="s">
        <v>94</v>
      </c>
      <c r="D2240" s="9" t="s">
        <v>92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153</v>
      </c>
      <c r="B2241" s="9" t="s">
        <v>2594</v>
      </c>
      <c r="C2241" s="9" t="s">
        <v>94</v>
      </c>
      <c r="D2241" s="9" t="s">
        <v>92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153</v>
      </c>
      <c r="B2242" s="9" t="s">
        <v>2595</v>
      </c>
      <c r="C2242" s="9" t="s">
        <v>94</v>
      </c>
      <c r="D2242" s="9" t="s">
        <v>92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153</v>
      </c>
      <c r="B2243" s="9" t="s">
        <v>2596</v>
      </c>
      <c r="C2243" s="9" t="s">
        <v>94</v>
      </c>
      <c r="D2243" s="9" t="s">
        <v>92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153</v>
      </c>
      <c r="B2244" s="9" t="s">
        <v>2597</v>
      </c>
      <c r="C2244" s="9" t="s">
        <v>94</v>
      </c>
      <c r="D2244" s="9" t="s">
        <v>92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153</v>
      </c>
      <c r="B2245" s="9" t="s">
        <v>2598</v>
      </c>
      <c r="C2245" s="9" t="s">
        <v>94</v>
      </c>
      <c r="D2245" s="9" t="s">
        <v>92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153</v>
      </c>
      <c r="B2246" s="9" t="s">
        <v>2599</v>
      </c>
      <c r="C2246" s="9" t="s">
        <v>94</v>
      </c>
      <c r="D2246" s="9" t="s">
        <v>92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153</v>
      </c>
      <c r="B2247" s="9" t="s">
        <v>2600</v>
      </c>
      <c r="C2247" s="9" t="s">
        <v>94</v>
      </c>
      <c r="D2247" s="9" t="s">
        <v>92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153</v>
      </c>
      <c r="B2248" s="9" t="s">
        <v>2601</v>
      </c>
      <c r="C2248" s="9" t="s">
        <v>94</v>
      </c>
      <c r="D2248" s="9" t="s">
        <v>92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153</v>
      </c>
      <c r="B2249" s="9" t="s">
        <v>2602</v>
      </c>
      <c r="C2249" s="9" t="s">
        <v>94</v>
      </c>
      <c r="D2249" s="9" t="s">
        <v>92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153</v>
      </c>
      <c r="B2250" s="9" t="s">
        <v>2603</v>
      </c>
      <c r="C2250" s="9" t="s">
        <v>94</v>
      </c>
      <c r="D2250" s="9" t="s">
        <v>92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153</v>
      </c>
      <c r="B2251" s="9" t="s">
        <v>2604</v>
      </c>
      <c r="C2251" s="9" t="s">
        <v>94</v>
      </c>
      <c r="D2251" s="9" t="s">
        <v>92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153</v>
      </c>
      <c r="B2252" s="9" t="s">
        <v>2605</v>
      </c>
      <c r="C2252" s="9" t="s">
        <v>94</v>
      </c>
      <c r="D2252" s="9" t="s">
        <v>92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153</v>
      </c>
      <c r="B2253" s="9" t="s">
        <v>2606</v>
      </c>
      <c r="C2253" s="9" t="s">
        <v>94</v>
      </c>
      <c r="D2253" s="9" t="s">
        <v>92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153</v>
      </c>
      <c r="B2254" s="9" t="s">
        <v>2607</v>
      </c>
      <c r="C2254" s="9" t="s">
        <v>94</v>
      </c>
      <c r="D2254" s="9" t="s">
        <v>92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153</v>
      </c>
      <c r="B2255" s="9" t="s">
        <v>2608</v>
      </c>
      <c r="C2255" s="9" t="s">
        <v>94</v>
      </c>
      <c r="D2255" s="9" t="s">
        <v>92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153</v>
      </c>
      <c r="B2256" s="9" t="s">
        <v>2609</v>
      </c>
      <c r="C2256" s="9" t="s">
        <v>94</v>
      </c>
      <c r="D2256" s="9" t="s">
        <v>92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153</v>
      </c>
      <c r="B2257" s="9" t="s">
        <v>2610</v>
      </c>
      <c r="C2257" s="9" t="s">
        <v>94</v>
      </c>
      <c r="D2257" s="9" t="s">
        <v>92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153</v>
      </c>
      <c r="B2258" s="9" t="s">
        <v>2611</v>
      </c>
      <c r="C2258" s="9" t="s">
        <v>94</v>
      </c>
      <c r="D2258" s="9" t="s">
        <v>92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153</v>
      </c>
      <c r="B2259" s="9" t="s">
        <v>2612</v>
      </c>
      <c r="C2259" s="9" t="s">
        <v>94</v>
      </c>
      <c r="D2259" s="9" t="s">
        <v>92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153</v>
      </c>
      <c r="B2260" s="9" t="s">
        <v>2613</v>
      </c>
      <c r="C2260" s="9" t="s">
        <v>94</v>
      </c>
      <c r="D2260" s="9" t="s">
        <v>92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153</v>
      </c>
      <c r="B2261" s="9" t="s">
        <v>2614</v>
      </c>
      <c r="C2261" s="9" t="s">
        <v>94</v>
      </c>
      <c r="D2261" s="9" t="s">
        <v>92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153</v>
      </c>
      <c r="B2262" s="9" t="s">
        <v>2615</v>
      </c>
      <c r="C2262" s="9" t="s">
        <v>94</v>
      </c>
      <c r="D2262" s="9" t="s">
        <v>92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153</v>
      </c>
      <c r="B2263" s="9" t="s">
        <v>2616</v>
      </c>
      <c r="C2263" s="9" t="s">
        <v>94</v>
      </c>
      <c r="D2263" s="9" t="s">
        <v>92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153</v>
      </c>
      <c r="B2264" s="9" t="s">
        <v>2617</v>
      </c>
      <c r="C2264" s="9" t="s">
        <v>94</v>
      </c>
      <c r="D2264" s="9" t="s">
        <v>92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153</v>
      </c>
      <c r="B2265" s="9" t="s">
        <v>2618</v>
      </c>
      <c r="C2265" s="9" t="s">
        <v>94</v>
      </c>
      <c r="D2265" s="9" t="s">
        <v>92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153</v>
      </c>
      <c r="B2266" s="9" t="s">
        <v>2619</v>
      </c>
      <c r="C2266" s="9" t="s">
        <v>94</v>
      </c>
      <c r="D2266" s="9" t="s">
        <v>92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153</v>
      </c>
      <c r="B2267" s="9" t="s">
        <v>2620</v>
      </c>
      <c r="C2267" s="9" t="s">
        <v>94</v>
      </c>
      <c r="D2267" s="9" t="s">
        <v>92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153</v>
      </c>
      <c r="B2268" s="9" t="s">
        <v>2621</v>
      </c>
      <c r="C2268" s="9" t="s">
        <v>94</v>
      </c>
      <c r="D2268" s="9" t="s">
        <v>92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153</v>
      </c>
      <c r="B2269" s="9" t="s">
        <v>2622</v>
      </c>
      <c r="C2269" s="9" t="s">
        <v>94</v>
      </c>
      <c r="D2269" s="9" t="s">
        <v>92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153</v>
      </c>
      <c r="B2270" s="9" t="s">
        <v>2623</v>
      </c>
      <c r="C2270" s="9" t="s">
        <v>94</v>
      </c>
      <c r="D2270" s="9" t="s">
        <v>92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153</v>
      </c>
      <c r="B2271" s="9" t="s">
        <v>2624</v>
      </c>
      <c r="C2271" s="9" t="s">
        <v>94</v>
      </c>
      <c r="D2271" s="9" t="s">
        <v>92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153</v>
      </c>
      <c r="B2272" s="9" t="s">
        <v>2625</v>
      </c>
      <c r="C2272" s="9" t="s">
        <v>94</v>
      </c>
      <c r="D2272" s="9" t="s">
        <v>92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153</v>
      </c>
      <c r="B2273" s="9" t="s">
        <v>2626</v>
      </c>
      <c r="C2273" s="9" t="s">
        <v>94</v>
      </c>
      <c r="D2273" s="9" t="s">
        <v>92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153</v>
      </c>
      <c r="B2274" s="9" t="s">
        <v>2627</v>
      </c>
      <c r="C2274" s="9" t="s">
        <v>94</v>
      </c>
      <c r="D2274" s="9" t="s">
        <v>92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153</v>
      </c>
      <c r="B2275" s="9" t="s">
        <v>2628</v>
      </c>
      <c r="C2275" s="9" t="s">
        <v>94</v>
      </c>
      <c r="D2275" s="9" t="s">
        <v>92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153</v>
      </c>
      <c r="B2276" s="9" t="s">
        <v>2629</v>
      </c>
      <c r="C2276" s="9" t="s">
        <v>94</v>
      </c>
      <c r="D2276" s="9" t="s">
        <v>92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153</v>
      </c>
      <c r="B2277" s="9" t="s">
        <v>2630</v>
      </c>
      <c r="C2277" s="9" t="s">
        <v>94</v>
      </c>
      <c r="D2277" s="9" t="s">
        <v>92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153</v>
      </c>
      <c r="B2278" s="9" t="s">
        <v>2631</v>
      </c>
      <c r="C2278" s="9" t="s">
        <v>94</v>
      </c>
      <c r="D2278" s="9" t="s">
        <v>92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153</v>
      </c>
      <c r="B2279" s="9" t="s">
        <v>2632</v>
      </c>
      <c r="C2279" s="9" t="s">
        <v>94</v>
      </c>
      <c r="D2279" s="9" t="s">
        <v>92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153</v>
      </c>
      <c r="B2280" s="9" t="s">
        <v>2633</v>
      </c>
      <c r="C2280" s="9" t="s">
        <v>94</v>
      </c>
      <c r="D2280" s="9" t="s">
        <v>92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153</v>
      </c>
      <c r="B2281" s="9" t="s">
        <v>2634</v>
      </c>
      <c r="C2281" s="9" t="s">
        <v>94</v>
      </c>
      <c r="D2281" s="9" t="s">
        <v>92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153</v>
      </c>
      <c r="B2282" s="9" t="s">
        <v>2635</v>
      </c>
      <c r="C2282" s="9" t="s">
        <v>94</v>
      </c>
      <c r="D2282" s="9" t="s">
        <v>92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153</v>
      </c>
      <c r="B2283" s="9" t="s">
        <v>2636</v>
      </c>
      <c r="C2283" s="9" t="s">
        <v>94</v>
      </c>
      <c r="D2283" s="9" t="s">
        <v>92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153</v>
      </c>
      <c r="B2284" s="9" t="s">
        <v>2637</v>
      </c>
      <c r="C2284" s="9" t="s">
        <v>94</v>
      </c>
      <c r="D2284" s="9" t="s">
        <v>92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153</v>
      </c>
      <c r="B2285" s="9" t="s">
        <v>2638</v>
      </c>
      <c r="C2285" s="9" t="s">
        <v>94</v>
      </c>
      <c r="D2285" s="9" t="s">
        <v>92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153</v>
      </c>
      <c r="B2286" s="9" t="s">
        <v>2639</v>
      </c>
      <c r="C2286" s="9" t="s">
        <v>94</v>
      </c>
      <c r="D2286" s="9" t="s">
        <v>92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153</v>
      </c>
      <c r="B2287" s="9" t="s">
        <v>2640</v>
      </c>
      <c r="C2287" s="9" t="s">
        <v>94</v>
      </c>
      <c r="D2287" s="9" t="s">
        <v>92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153</v>
      </c>
      <c r="B2288" s="9" t="s">
        <v>2641</v>
      </c>
      <c r="C2288" s="9" t="s">
        <v>94</v>
      </c>
      <c r="D2288" s="9" t="s">
        <v>92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153</v>
      </c>
      <c r="B2289" s="9" t="s">
        <v>2642</v>
      </c>
      <c r="C2289" s="9" t="s">
        <v>94</v>
      </c>
      <c r="D2289" s="9" t="s">
        <v>92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153</v>
      </c>
      <c r="B2290" s="9" t="s">
        <v>2643</v>
      </c>
      <c r="C2290" s="9" t="s">
        <v>94</v>
      </c>
      <c r="D2290" s="9" t="s">
        <v>92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153</v>
      </c>
      <c r="B2291" s="9" t="s">
        <v>2644</v>
      </c>
      <c r="C2291" s="9" t="s">
        <v>94</v>
      </c>
      <c r="D2291" s="9" t="s">
        <v>92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153</v>
      </c>
      <c r="B2292" s="9" t="s">
        <v>2645</v>
      </c>
      <c r="C2292" s="9" t="s">
        <v>94</v>
      </c>
      <c r="D2292" s="9" t="s">
        <v>92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153</v>
      </c>
      <c r="B2293" s="9" t="s">
        <v>2646</v>
      </c>
      <c r="C2293" s="9" t="s">
        <v>94</v>
      </c>
      <c r="D2293" s="9" t="s">
        <v>92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153</v>
      </c>
      <c r="B2294" s="9" t="s">
        <v>2647</v>
      </c>
      <c r="C2294" s="9" t="s">
        <v>94</v>
      </c>
      <c r="D2294" s="9" t="s">
        <v>92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153</v>
      </c>
      <c r="B2295" s="9" t="s">
        <v>2648</v>
      </c>
      <c r="C2295" s="9" t="s">
        <v>94</v>
      </c>
      <c r="D2295" s="9" t="s">
        <v>92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153</v>
      </c>
      <c r="B2296" s="9" t="s">
        <v>2649</v>
      </c>
      <c r="C2296" s="9" t="s">
        <v>94</v>
      </c>
      <c r="D2296" s="9" t="s">
        <v>92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153</v>
      </c>
      <c r="B2297" s="9" t="s">
        <v>2650</v>
      </c>
      <c r="C2297" s="9" t="s">
        <v>94</v>
      </c>
      <c r="D2297" s="9" t="s">
        <v>92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153</v>
      </c>
      <c r="B2298" s="9" t="s">
        <v>2651</v>
      </c>
      <c r="C2298" s="9" t="s">
        <v>94</v>
      </c>
      <c r="D2298" s="9" t="s">
        <v>92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153</v>
      </c>
      <c r="B2299" s="9" t="s">
        <v>2652</v>
      </c>
      <c r="C2299" s="9" t="s">
        <v>94</v>
      </c>
      <c r="D2299" s="9" t="s">
        <v>92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153</v>
      </c>
      <c r="B2300" s="9" t="s">
        <v>2653</v>
      </c>
      <c r="C2300" s="9" t="s">
        <v>94</v>
      </c>
      <c r="D2300" s="9" t="s">
        <v>92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153</v>
      </c>
      <c r="B2301" s="9" t="s">
        <v>2654</v>
      </c>
      <c r="C2301" s="9" t="s">
        <v>94</v>
      </c>
      <c r="D2301" s="9" t="s">
        <v>92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153</v>
      </c>
      <c r="B2302" s="9" t="s">
        <v>2655</v>
      </c>
      <c r="C2302" s="9" t="s">
        <v>94</v>
      </c>
      <c r="D2302" s="9" t="s">
        <v>92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153</v>
      </c>
      <c r="B2303" s="9" t="s">
        <v>2656</v>
      </c>
      <c r="C2303" s="9" t="s">
        <v>94</v>
      </c>
      <c r="D2303" s="9" t="s">
        <v>92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153</v>
      </c>
      <c r="B2304" s="9" t="s">
        <v>2657</v>
      </c>
      <c r="C2304" s="9" t="s">
        <v>94</v>
      </c>
      <c r="D2304" s="9" t="s">
        <v>92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153</v>
      </c>
      <c r="B2305" s="9" t="s">
        <v>2658</v>
      </c>
      <c r="C2305" s="9" t="s">
        <v>94</v>
      </c>
      <c r="D2305" s="9" t="s">
        <v>92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153</v>
      </c>
      <c r="B2306" s="9" t="s">
        <v>2659</v>
      </c>
      <c r="C2306" s="9" t="s">
        <v>94</v>
      </c>
      <c r="D2306" s="9" t="s">
        <v>92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153</v>
      </c>
      <c r="B2307" s="9" t="s">
        <v>2660</v>
      </c>
      <c r="C2307" s="9" t="s">
        <v>94</v>
      </c>
      <c r="D2307" s="9" t="s">
        <v>92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153</v>
      </c>
      <c r="B2308" s="9" t="s">
        <v>2661</v>
      </c>
      <c r="C2308" s="9" t="s">
        <v>94</v>
      </c>
      <c r="D2308" s="9" t="s">
        <v>92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153</v>
      </c>
      <c r="B2309" s="9" t="s">
        <v>2662</v>
      </c>
      <c r="C2309" s="9" t="s">
        <v>94</v>
      </c>
      <c r="D2309" s="9" t="s">
        <v>92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153</v>
      </c>
      <c r="B2310" s="9" t="s">
        <v>2663</v>
      </c>
      <c r="C2310" s="9" t="s">
        <v>94</v>
      </c>
      <c r="D2310" s="9" t="s">
        <v>92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153</v>
      </c>
      <c r="B2311" s="9" t="s">
        <v>2664</v>
      </c>
      <c r="C2311" s="9" t="s">
        <v>94</v>
      </c>
      <c r="D2311" s="9" t="s">
        <v>92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153</v>
      </c>
      <c r="B2312" s="9" t="s">
        <v>2665</v>
      </c>
      <c r="C2312" s="9" t="s">
        <v>94</v>
      </c>
      <c r="D2312" s="9" t="s">
        <v>92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153</v>
      </c>
      <c r="B2313" s="9" t="s">
        <v>2666</v>
      </c>
      <c r="C2313" s="9" t="s">
        <v>94</v>
      </c>
      <c r="D2313" s="9" t="s">
        <v>92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153</v>
      </c>
      <c r="B2314" s="9" t="s">
        <v>2667</v>
      </c>
      <c r="C2314" s="9" t="s">
        <v>94</v>
      </c>
      <c r="D2314" s="9" t="s">
        <v>92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153</v>
      </c>
      <c r="B2315" s="9" t="s">
        <v>2668</v>
      </c>
      <c r="C2315" s="9" t="s">
        <v>94</v>
      </c>
      <c r="D2315" s="9" t="s">
        <v>92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153</v>
      </c>
      <c r="B2316" s="9" t="s">
        <v>2669</v>
      </c>
      <c r="C2316" s="9" t="s">
        <v>94</v>
      </c>
      <c r="D2316" s="9" t="s">
        <v>92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153</v>
      </c>
      <c r="B2317" s="9" t="s">
        <v>2670</v>
      </c>
      <c r="C2317" s="9" t="s">
        <v>94</v>
      </c>
      <c r="D2317" s="9" t="s">
        <v>92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153</v>
      </c>
      <c r="B2318" s="9" t="s">
        <v>2671</v>
      </c>
      <c r="C2318" s="9" t="s">
        <v>94</v>
      </c>
      <c r="D2318" s="9" t="s">
        <v>92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153</v>
      </c>
      <c r="B2319" s="9" t="s">
        <v>2672</v>
      </c>
      <c r="C2319" s="9" t="s">
        <v>94</v>
      </c>
      <c r="D2319" s="9" t="s">
        <v>92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153</v>
      </c>
      <c r="B2320" s="9" t="s">
        <v>2673</v>
      </c>
      <c r="C2320" s="9" t="s">
        <v>94</v>
      </c>
      <c r="D2320" s="9" t="s">
        <v>92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153</v>
      </c>
      <c r="B2321" s="9" t="s">
        <v>2674</v>
      </c>
      <c r="C2321" s="9" t="s">
        <v>94</v>
      </c>
      <c r="D2321" s="9" t="s">
        <v>92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153</v>
      </c>
      <c r="B2322" s="9" t="s">
        <v>2675</v>
      </c>
      <c r="C2322" s="9" t="s">
        <v>94</v>
      </c>
      <c r="D2322" s="9" t="s">
        <v>92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153</v>
      </c>
      <c r="B2323" s="9" t="s">
        <v>2676</v>
      </c>
      <c r="C2323" s="9" t="s">
        <v>94</v>
      </c>
      <c r="D2323" s="9" t="s">
        <v>92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153</v>
      </c>
      <c r="B2324" s="9" t="s">
        <v>2677</v>
      </c>
      <c r="C2324" s="9" t="s">
        <v>94</v>
      </c>
      <c r="D2324" s="9" t="s">
        <v>92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153</v>
      </c>
      <c r="B2325" s="9" t="s">
        <v>2678</v>
      </c>
      <c r="C2325" s="9" t="s">
        <v>94</v>
      </c>
      <c r="D2325" s="9" t="s">
        <v>92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153</v>
      </c>
      <c r="B2326" s="9" t="s">
        <v>2679</v>
      </c>
      <c r="C2326" s="9" t="s">
        <v>94</v>
      </c>
      <c r="D2326" s="9" t="s">
        <v>92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153</v>
      </c>
      <c r="B2327" s="9" t="s">
        <v>2680</v>
      </c>
      <c r="C2327" s="9" t="s">
        <v>94</v>
      </c>
      <c r="D2327" s="9" t="s">
        <v>92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153</v>
      </c>
      <c r="B2328" s="9" t="s">
        <v>2681</v>
      </c>
      <c r="C2328" s="9" t="s">
        <v>94</v>
      </c>
      <c r="D2328" s="9" t="s">
        <v>92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153</v>
      </c>
      <c r="B2329" s="9" t="s">
        <v>2682</v>
      </c>
      <c r="C2329" s="9" t="s">
        <v>94</v>
      </c>
      <c r="D2329" s="9" t="s">
        <v>92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153</v>
      </c>
      <c r="B2330" s="9" t="s">
        <v>2683</v>
      </c>
      <c r="C2330" s="9" t="s">
        <v>94</v>
      </c>
      <c r="D2330" s="9" t="s">
        <v>92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153</v>
      </c>
      <c r="B2331" s="9" t="s">
        <v>2684</v>
      </c>
      <c r="C2331" s="9" t="s">
        <v>94</v>
      </c>
      <c r="D2331" s="9" t="s">
        <v>92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153</v>
      </c>
      <c r="B2332" s="9" t="s">
        <v>2685</v>
      </c>
      <c r="C2332" s="9" t="s">
        <v>94</v>
      </c>
      <c r="D2332" s="9" t="s">
        <v>92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153</v>
      </c>
      <c r="B2333" s="9" t="s">
        <v>2686</v>
      </c>
      <c r="C2333" s="9" t="s">
        <v>94</v>
      </c>
      <c r="D2333" s="9" t="s">
        <v>92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153</v>
      </c>
      <c r="B2334" s="9" t="s">
        <v>2687</v>
      </c>
      <c r="C2334" s="9" t="s">
        <v>94</v>
      </c>
      <c r="D2334" s="9" t="s">
        <v>92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153</v>
      </c>
      <c r="B2335" s="9" t="s">
        <v>2688</v>
      </c>
      <c r="C2335" s="9" t="s">
        <v>94</v>
      </c>
      <c r="D2335" s="9" t="s">
        <v>92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153</v>
      </c>
      <c r="B2336" s="9" t="s">
        <v>2689</v>
      </c>
      <c r="C2336" s="9" t="s">
        <v>94</v>
      </c>
      <c r="D2336" s="9" t="s">
        <v>92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153</v>
      </c>
      <c r="B2337" s="9" t="s">
        <v>2690</v>
      </c>
      <c r="C2337" s="9" t="s">
        <v>94</v>
      </c>
      <c r="D2337" s="9" t="s">
        <v>92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153</v>
      </c>
      <c r="B2338" s="9" t="s">
        <v>2691</v>
      </c>
      <c r="C2338" s="9" t="s">
        <v>94</v>
      </c>
      <c r="D2338" s="9" t="s">
        <v>92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153</v>
      </c>
      <c r="B2339" s="9" t="s">
        <v>2692</v>
      </c>
      <c r="C2339" s="9" t="s">
        <v>94</v>
      </c>
      <c r="D2339" s="9" t="s">
        <v>92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153</v>
      </c>
      <c r="B2340" s="9" t="s">
        <v>2693</v>
      </c>
      <c r="C2340" s="9" t="s">
        <v>94</v>
      </c>
      <c r="D2340" s="9" t="s">
        <v>92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153</v>
      </c>
      <c r="B2341" s="9" t="s">
        <v>2694</v>
      </c>
      <c r="C2341" s="9" t="s">
        <v>94</v>
      </c>
      <c r="D2341" s="9" t="s">
        <v>92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153</v>
      </c>
      <c r="B2342" s="9" t="s">
        <v>2695</v>
      </c>
      <c r="C2342" s="9" t="s">
        <v>94</v>
      </c>
      <c r="D2342" s="9" t="s">
        <v>92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153</v>
      </c>
      <c r="B2343" s="9" t="s">
        <v>2696</v>
      </c>
      <c r="C2343" s="9" t="s">
        <v>94</v>
      </c>
      <c r="D2343" s="9" t="s">
        <v>92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153</v>
      </c>
      <c r="B2344" s="9" t="s">
        <v>2697</v>
      </c>
      <c r="C2344" s="9" t="s">
        <v>94</v>
      </c>
      <c r="D2344" s="9" t="s">
        <v>92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153</v>
      </c>
      <c r="B2345" s="9" t="s">
        <v>2698</v>
      </c>
      <c r="C2345" s="9" t="s">
        <v>94</v>
      </c>
      <c r="D2345" s="9" t="s">
        <v>92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153</v>
      </c>
      <c r="B2346" s="9" t="s">
        <v>2699</v>
      </c>
      <c r="C2346" s="9" t="s">
        <v>94</v>
      </c>
      <c r="D2346" s="9" t="s">
        <v>92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153</v>
      </c>
      <c r="B2347" s="9" t="s">
        <v>2700</v>
      </c>
      <c r="C2347" s="9" t="s">
        <v>94</v>
      </c>
      <c r="D2347" s="9" t="s">
        <v>92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153</v>
      </c>
      <c r="B2348" s="9" t="s">
        <v>538</v>
      </c>
      <c r="C2348" s="9" t="s">
        <v>94</v>
      </c>
      <c r="D2348" s="9" t="s">
        <v>92</v>
      </c>
      <c r="E2348" s="9" t="s">
        <v>0</v>
      </c>
      <c r="F2348" s="27"/>
      <c r="G2348" s="24"/>
      <c r="H2348" s="24"/>
      <c r="I2348" s="28"/>
      <c r="J2348" s="27">
        <v>4</v>
      </c>
      <c r="K2348" s="24">
        <v>2688.5</v>
      </c>
      <c r="L2348" s="24">
        <v>2689.95</v>
      </c>
      <c r="M2348" s="28">
        <v>4</v>
      </c>
      <c r="N2348" s="27">
        <v>4</v>
      </c>
      <c r="O2348" s="10"/>
      <c r="P2348" s="10">
        <v>2688.5</v>
      </c>
      <c r="Q2348" s="10"/>
      <c r="R2348" s="10"/>
      <c r="S2348" s="10">
        <v>-2689.95</v>
      </c>
      <c r="T2348" s="10"/>
      <c r="U2348" s="29">
        <v>4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153</v>
      </c>
      <c r="B2349" s="9" t="s">
        <v>539</v>
      </c>
      <c r="C2349" s="9" t="s">
        <v>94</v>
      </c>
      <c r="D2349" s="9" t="s">
        <v>92</v>
      </c>
      <c r="E2349" s="9" t="s">
        <v>0</v>
      </c>
      <c r="F2349" s="27"/>
      <c r="G2349" s="24"/>
      <c r="H2349" s="24"/>
      <c r="I2349" s="28"/>
      <c r="J2349" s="27">
        <v>4</v>
      </c>
      <c r="K2349" s="24">
        <v>2682.4</v>
      </c>
      <c r="L2349" s="24">
        <v>2695.45</v>
      </c>
      <c r="M2349" s="28">
        <v>2</v>
      </c>
      <c r="N2349" s="27">
        <v>4</v>
      </c>
      <c r="O2349" s="10"/>
      <c r="P2349" s="10">
        <v>2682.4</v>
      </c>
      <c r="Q2349" s="10"/>
      <c r="R2349" s="10"/>
      <c r="S2349" s="10">
        <v>-2695.45</v>
      </c>
      <c r="T2349" s="10"/>
      <c r="U2349" s="29">
        <v>2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153</v>
      </c>
      <c r="B2350" s="9" t="s">
        <v>540</v>
      </c>
      <c r="C2350" s="9" t="s">
        <v>94</v>
      </c>
      <c r="D2350" s="9" t="s">
        <v>92</v>
      </c>
      <c r="E2350" s="9" t="s">
        <v>0</v>
      </c>
      <c r="F2350" s="27"/>
      <c r="G2350" s="24"/>
      <c r="H2350" s="24"/>
      <c r="I2350" s="28"/>
      <c r="J2350" s="27">
        <v>0</v>
      </c>
      <c r="K2350" s="24"/>
      <c r="L2350" s="24"/>
      <c r="M2350" s="28">
        <v>0</v>
      </c>
      <c r="N2350" s="27">
        <v>0</v>
      </c>
      <c r="O2350" s="10"/>
      <c r="P2350" s="10"/>
      <c r="Q2350" s="10"/>
      <c r="R2350" s="10"/>
      <c r="S2350" s="10"/>
      <c r="T2350" s="10"/>
      <c r="U2350" s="29">
        <v>0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153</v>
      </c>
      <c r="B2351" s="9" t="s">
        <v>541</v>
      </c>
      <c r="C2351" s="9" t="s">
        <v>94</v>
      </c>
      <c r="D2351" s="9" t="s">
        <v>92</v>
      </c>
      <c r="E2351" s="9" t="s">
        <v>0</v>
      </c>
      <c r="F2351" s="27"/>
      <c r="G2351" s="24"/>
      <c r="H2351" s="24"/>
      <c r="I2351" s="28"/>
      <c r="J2351" s="27">
        <v>0</v>
      </c>
      <c r="K2351" s="24"/>
      <c r="L2351" s="24"/>
      <c r="M2351" s="28">
        <v>0</v>
      </c>
      <c r="N2351" s="27">
        <v>0</v>
      </c>
      <c r="O2351" s="10"/>
      <c r="P2351" s="10"/>
      <c r="Q2351" s="10"/>
      <c r="R2351" s="10"/>
      <c r="S2351" s="10"/>
      <c r="T2351" s="10"/>
      <c r="U2351" s="29">
        <v>0</v>
      </c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153</v>
      </c>
      <c r="B2352" s="9" t="s">
        <v>2701</v>
      </c>
      <c r="C2352" s="9" t="s">
        <v>94</v>
      </c>
      <c r="D2352" s="9" t="s">
        <v>92</v>
      </c>
      <c r="E2352" s="9" t="s">
        <v>0</v>
      </c>
      <c r="F2352" s="27"/>
      <c r="G2352" s="24"/>
      <c r="H2352" s="24"/>
      <c r="I2352" s="28"/>
      <c r="J2352" s="27">
        <v>0</v>
      </c>
      <c r="K2352" s="24"/>
      <c r="L2352" s="24"/>
      <c r="M2352" s="28">
        <v>0</v>
      </c>
      <c r="N2352" s="27">
        <v>0</v>
      </c>
      <c r="O2352" s="10"/>
      <c r="P2352" s="10"/>
      <c r="Q2352" s="10"/>
      <c r="R2352" s="10"/>
      <c r="S2352" s="10"/>
      <c r="T2352" s="10"/>
      <c r="U2352" s="29">
        <v>0</v>
      </c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153</v>
      </c>
      <c r="B2353" s="9" t="s">
        <v>542</v>
      </c>
      <c r="C2353" s="9" t="s">
        <v>94</v>
      </c>
      <c r="D2353" s="9" t="s">
        <v>92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2683.2000000000003</v>
      </c>
      <c r="L2353" s="24">
        <v>2695.1</v>
      </c>
      <c r="M2353" s="28">
        <v>2</v>
      </c>
      <c r="N2353" s="27">
        <v>1</v>
      </c>
      <c r="O2353" s="10"/>
      <c r="P2353" s="10">
        <v>2683.2000000000003</v>
      </c>
      <c r="Q2353" s="10"/>
      <c r="R2353" s="10"/>
      <c r="S2353" s="10">
        <v>-2695.1</v>
      </c>
      <c r="T2353" s="10"/>
      <c r="U2353" s="29">
        <v>2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153</v>
      </c>
      <c r="B2354" s="9" t="s">
        <v>543</v>
      </c>
      <c r="C2354" s="9" t="s">
        <v>94</v>
      </c>
      <c r="D2354" s="9" t="s">
        <v>92</v>
      </c>
      <c r="E2354" s="9" t="s">
        <v>0</v>
      </c>
      <c r="F2354" s="27"/>
      <c r="G2354" s="24"/>
      <c r="H2354" s="24"/>
      <c r="I2354" s="28"/>
      <c r="J2354" s="27">
        <v>0</v>
      </c>
      <c r="K2354" s="24"/>
      <c r="L2354" s="24"/>
      <c r="M2354" s="28">
        <v>0</v>
      </c>
      <c r="N2354" s="27">
        <v>0</v>
      </c>
      <c r="O2354" s="10"/>
      <c r="P2354" s="10"/>
      <c r="Q2354" s="10"/>
      <c r="R2354" s="10"/>
      <c r="S2354" s="10"/>
      <c r="T2354" s="10"/>
      <c r="U2354" s="29">
        <v>0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153</v>
      </c>
      <c r="B2355" s="9" t="s">
        <v>544</v>
      </c>
      <c r="C2355" s="9" t="s">
        <v>94</v>
      </c>
      <c r="D2355" s="9" t="s">
        <v>92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153</v>
      </c>
      <c r="B2356" s="9" t="s">
        <v>2702</v>
      </c>
      <c r="C2356" s="9" t="s">
        <v>94</v>
      </c>
      <c r="D2356" s="9" t="s">
        <v>92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153</v>
      </c>
      <c r="B2357" s="9" t="s">
        <v>545</v>
      </c>
      <c r="C2357" s="9" t="s">
        <v>94</v>
      </c>
      <c r="D2357" s="9" t="s">
        <v>92</v>
      </c>
      <c r="E2357" s="9" t="s">
        <v>0</v>
      </c>
      <c r="F2357" s="27"/>
      <c r="G2357" s="24"/>
      <c r="H2357" s="24"/>
      <c r="I2357" s="28"/>
      <c r="J2357" s="27">
        <v>2</v>
      </c>
      <c r="K2357" s="24">
        <v>2678.85</v>
      </c>
      <c r="L2357" s="24">
        <v>2699.1499999999996</v>
      </c>
      <c r="M2357" s="28">
        <v>1</v>
      </c>
      <c r="N2357" s="27">
        <v>2</v>
      </c>
      <c r="O2357" s="10"/>
      <c r="P2357" s="10">
        <v>2678.85</v>
      </c>
      <c r="Q2357" s="10"/>
      <c r="R2357" s="10"/>
      <c r="S2357" s="10">
        <v>-2699.1499999999996</v>
      </c>
      <c r="T2357" s="10"/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153</v>
      </c>
      <c r="B2358" s="9" t="s">
        <v>546</v>
      </c>
      <c r="C2358" s="9" t="s">
        <v>94</v>
      </c>
      <c r="D2358" s="9" t="s">
        <v>92</v>
      </c>
      <c r="E2358" s="9" t="s">
        <v>0</v>
      </c>
      <c r="F2358" s="27"/>
      <c r="G2358" s="24"/>
      <c r="H2358" s="24"/>
      <c r="I2358" s="28"/>
      <c r="J2358" s="27">
        <v>0</v>
      </c>
      <c r="K2358" s="24"/>
      <c r="L2358" s="24"/>
      <c r="M2358" s="28">
        <v>0</v>
      </c>
      <c r="N2358" s="27">
        <v>0</v>
      </c>
      <c r="O2358" s="10"/>
      <c r="P2358" s="10"/>
      <c r="Q2358" s="10"/>
      <c r="R2358" s="10"/>
      <c r="S2358" s="10"/>
      <c r="T2358" s="10"/>
      <c r="U2358" s="29">
        <v>0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153</v>
      </c>
      <c r="B2359" s="9" t="s">
        <v>547</v>
      </c>
      <c r="C2359" s="9" t="s">
        <v>94</v>
      </c>
      <c r="D2359" s="9" t="s">
        <v>92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153</v>
      </c>
      <c r="B2360" s="9" t="s">
        <v>2703</v>
      </c>
      <c r="C2360" s="9" t="s">
        <v>94</v>
      </c>
      <c r="D2360" s="9" t="s">
        <v>92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153</v>
      </c>
      <c r="B2361" s="9" t="s">
        <v>548</v>
      </c>
      <c r="C2361" s="9" t="s">
        <v>94</v>
      </c>
      <c r="D2361" s="9" t="s">
        <v>92</v>
      </c>
      <c r="E2361" s="9" t="s">
        <v>0</v>
      </c>
      <c r="F2361" s="27"/>
      <c r="G2361" s="24"/>
      <c r="H2361" s="24"/>
      <c r="I2361" s="28"/>
      <c r="J2361" s="27">
        <v>0</v>
      </c>
      <c r="K2361" s="24"/>
      <c r="L2361" s="24"/>
      <c r="M2361" s="28">
        <v>0</v>
      </c>
      <c r="N2361" s="27">
        <v>0</v>
      </c>
      <c r="O2361" s="10"/>
      <c r="P2361" s="10"/>
      <c r="Q2361" s="10"/>
      <c r="R2361" s="10"/>
      <c r="S2361" s="10"/>
      <c r="T2361" s="10"/>
      <c r="U2361" s="29">
        <v>0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153</v>
      </c>
      <c r="B2362" s="9" t="s">
        <v>549</v>
      </c>
      <c r="C2362" s="9" t="s">
        <v>94</v>
      </c>
      <c r="D2362" s="9" t="s">
        <v>92</v>
      </c>
      <c r="E2362" s="9" t="s">
        <v>0</v>
      </c>
      <c r="F2362" s="27"/>
      <c r="G2362" s="24"/>
      <c r="H2362" s="24"/>
      <c r="I2362" s="28"/>
      <c r="J2362" s="27">
        <v>0</v>
      </c>
      <c r="K2362" s="24"/>
      <c r="L2362" s="24"/>
      <c r="M2362" s="28">
        <v>0</v>
      </c>
      <c r="N2362" s="27">
        <v>0</v>
      </c>
      <c r="O2362" s="10"/>
      <c r="P2362" s="10"/>
      <c r="Q2362" s="10"/>
      <c r="R2362" s="10"/>
      <c r="S2362" s="10"/>
      <c r="T2362" s="10"/>
      <c r="U2362" s="29">
        <v>0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153</v>
      </c>
      <c r="B2363" s="9" t="s">
        <v>550</v>
      </c>
      <c r="C2363" s="9" t="s">
        <v>94</v>
      </c>
      <c r="D2363" s="9" t="s">
        <v>92</v>
      </c>
      <c r="E2363" s="9" t="s">
        <v>0</v>
      </c>
      <c r="F2363" s="27"/>
      <c r="G2363" s="24"/>
      <c r="H2363" s="24"/>
      <c r="I2363" s="28"/>
      <c r="J2363" s="27">
        <v>0</v>
      </c>
      <c r="K2363" s="24"/>
      <c r="L2363" s="24"/>
      <c r="M2363" s="28">
        <v>0</v>
      </c>
      <c r="N2363" s="27">
        <v>0</v>
      </c>
      <c r="O2363" s="10"/>
      <c r="P2363" s="10"/>
      <c r="Q2363" s="10"/>
      <c r="R2363" s="10"/>
      <c r="S2363" s="10"/>
      <c r="T2363" s="10"/>
      <c r="U2363" s="29">
        <v>0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153</v>
      </c>
      <c r="B2364" s="9" t="s">
        <v>2704</v>
      </c>
      <c r="C2364" s="9" t="s">
        <v>94</v>
      </c>
      <c r="D2364" s="9" t="s">
        <v>92</v>
      </c>
      <c r="E2364" s="9" t="s">
        <v>0</v>
      </c>
      <c r="F2364" s="27"/>
      <c r="G2364" s="24"/>
      <c r="H2364" s="24"/>
      <c r="I2364" s="28"/>
      <c r="J2364" s="27">
        <v>0</v>
      </c>
      <c r="K2364" s="24"/>
      <c r="L2364" s="24"/>
      <c r="M2364" s="28">
        <v>0</v>
      </c>
      <c r="N2364" s="27">
        <v>0</v>
      </c>
      <c r="O2364" s="10"/>
      <c r="P2364" s="10"/>
      <c r="Q2364" s="10"/>
      <c r="R2364" s="10"/>
      <c r="S2364" s="10"/>
      <c r="T2364" s="10"/>
      <c r="U2364" s="29">
        <v>0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153</v>
      </c>
      <c r="B2365" s="9" t="s">
        <v>551</v>
      </c>
      <c r="C2365" s="9" t="s">
        <v>94</v>
      </c>
      <c r="D2365" s="9" t="s">
        <v>92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153</v>
      </c>
      <c r="B2366" s="9" t="s">
        <v>552</v>
      </c>
      <c r="C2366" s="9" t="s">
        <v>94</v>
      </c>
      <c r="D2366" s="9" t="s">
        <v>92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153</v>
      </c>
      <c r="B2367" s="9" t="s">
        <v>553</v>
      </c>
      <c r="C2367" s="9" t="s">
        <v>94</v>
      </c>
      <c r="D2367" s="9" t="s">
        <v>92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153</v>
      </c>
      <c r="B2368" s="9" t="s">
        <v>2705</v>
      </c>
      <c r="C2368" s="9" t="s">
        <v>94</v>
      </c>
      <c r="D2368" s="9" t="s">
        <v>92</v>
      </c>
      <c r="E2368" s="9" t="s">
        <v>0</v>
      </c>
      <c r="F2368" s="27"/>
      <c r="G2368" s="24"/>
      <c r="H2368" s="24"/>
      <c r="I2368" s="28"/>
      <c r="J2368" s="27">
        <v>0</v>
      </c>
      <c r="K2368" s="24"/>
      <c r="L2368" s="24"/>
      <c r="M2368" s="28">
        <v>0</v>
      </c>
      <c r="N2368" s="27">
        <v>0</v>
      </c>
      <c r="O2368" s="10"/>
      <c r="P2368" s="10"/>
      <c r="Q2368" s="10"/>
      <c r="R2368" s="10"/>
      <c r="S2368" s="10"/>
      <c r="T2368" s="10"/>
      <c r="U2368" s="29">
        <v>0</v>
      </c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153</v>
      </c>
      <c r="B2369" s="9" t="s">
        <v>2706</v>
      </c>
      <c r="C2369" s="9" t="s">
        <v>94</v>
      </c>
      <c r="D2369" s="9" t="s">
        <v>92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153</v>
      </c>
      <c r="B2370" s="9" t="s">
        <v>2707</v>
      </c>
      <c r="C2370" s="9" t="s">
        <v>94</v>
      </c>
      <c r="D2370" s="9" t="s">
        <v>92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153</v>
      </c>
      <c r="B2371" s="9" t="s">
        <v>2708</v>
      </c>
      <c r="C2371" s="9" t="s">
        <v>94</v>
      </c>
      <c r="D2371" s="9" t="s">
        <v>92</v>
      </c>
      <c r="E2371" s="9" t="s">
        <v>0</v>
      </c>
      <c r="F2371" s="27"/>
      <c r="G2371" s="24"/>
      <c r="H2371" s="24"/>
      <c r="I2371" s="28"/>
      <c r="J2371" s="27">
        <v>0</v>
      </c>
      <c r="K2371" s="24"/>
      <c r="L2371" s="24"/>
      <c r="M2371" s="28">
        <v>0</v>
      </c>
      <c r="N2371" s="27">
        <v>0</v>
      </c>
      <c r="O2371" s="10"/>
      <c r="P2371" s="10"/>
      <c r="Q2371" s="10"/>
      <c r="R2371" s="10"/>
      <c r="S2371" s="10"/>
      <c r="T2371" s="10"/>
      <c r="U2371" s="29">
        <v>0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153</v>
      </c>
      <c r="B2372" s="9" t="s">
        <v>2709</v>
      </c>
      <c r="C2372" s="9" t="s">
        <v>94</v>
      </c>
      <c r="D2372" s="9" t="s">
        <v>92</v>
      </c>
      <c r="E2372" s="9" t="s">
        <v>0</v>
      </c>
      <c r="F2372" s="27"/>
      <c r="G2372" s="24"/>
      <c r="H2372" s="24"/>
      <c r="I2372" s="28"/>
      <c r="J2372" s="27">
        <v>0</v>
      </c>
      <c r="K2372" s="24"/>
      <c r="L2372" s="24"/>
      <c r="M2372" s="28">
        <v>0</v>
      </c>
      <c r="N2372" s="27">
        <v>0</v>
      </c>
      <c r="O2372" s="10"/>
      <c r="P2372" s="10"/>
      <c r="Q2372" s="10"/>
      <c r="R2372" s="10"/>
      <c r="S2372" s="10"/>
      <c r="T2372" s="10"/>
      <c r="U2372" s="29">
        <v>0</v>
      </c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153</v>
      </c>
      <c r="B2373" s="9" t="s">
        <v>554</v>
      </c>
      <c r="C2373" s="9" t="s">
        <v>94</v>
      </c>
      <c r="D2373" s="9" t="s">
        <v>92</v>
      </c>
      <c r="E2373" s="9" t="s">
        <v>0</v>
      </c>
      <c r="F2373" s="27"/>
      <c r="G2373" s="24"/>
      <c r="H2373" s="24"/>
      <c r="I2373" s="28"/>
      <c r="J2373" s="27">
        <v>0</v>
      </c>
      <c r="K2373" s="24"/>
      <c r="L2373" s="24"/>
      <c r="M2373" s="28">
        <v>0</v>
      </c>
      <c r="N2373" s="27">
        <v>0</v>
      </c>
      <c r="O2373" s="10"/>
      <c r="P2373" s="10"/>
      <c r="Q2373" s="10"/>
      <c r="R2373" s="10"/>
      <c r="S2373" s="10"/>
      <c r="T2373" s="10"/>
      <c r="U2373" s="29">
        <v>0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153</v>
      </c>
      <c r="B2374" s="9" t="s">
        <v>555</v>
      </c>
      <c r="C2374" s="9" t="s">
        <v>94</v>
      </c>
      <c r="D2374" s="9" t="s">
        <v>92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153</v>
      </c>
      <c r="B2375" s="9" t="s">
        <v>2710</v>
      </c>
      <c r="C2375" s="9" t="s">
        <v>94</v>
      </c>
      <c r="D2375" s="9" t="s">
        <v>92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153</v>
      </c>
      <c r="B2376" s="9" t="s">
        <v>556</v>
      </c>
      <c r="C2376" s="9" t="s">
        <v>94</v>
      </c>
      <c r="D2376" s="9" t="s">
        <v>92</v>
      </c>
      <c r="E2376" s="9" t="s">
        <v>0</v>
      </c>
      <c r="F2376" s="27"/>
      <c r="G2376" s="24"/>
      <c r="H2376" s="24"/>
      <c r="I2376" s="28"/>
      <c r="J2376" s="27">
        <v>0</v>
      </c>
      <c r="K2376" s="24"/>
      <c r="L2376" s="24"/>
      <c r="M2376" s="28">
        <v>0</v>
      </c>
      <c r="N2376" s="27">
        <v>0</v>
      </c>
      <c r="O2376" s="10"/>
      <c r="P2376" s="10"/>
      <c r="Q2376" s="10"/>
      <c r="R2376" s="10"/>
      <c r="S2376" s="10"/>
      <c r="T2376" s="10"/>
      <c r="U2376" s="29">
        <v>0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153</v>
      </c>
      <c r="B2377" s="9" t="s">
        <v>557</v>
      </c>
      <c r="C2377" s="9" t="s">
        <v>94</v>
      </c>
      <c r="D2377" s="9" t="s">
        <v>92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153</v>
      </c>
      <c r="B2378" s="9" t="s">
        <v>2711</v>
      </c>
      <c r="C2378" s="9" t="s">
        <v>94</v>
      </c>
      <c r="D2378" s="9" t="s">
        <v>92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153</v>
      </c>
      <c r="B2379" s="9" t="s">
        <v>558</v>
      </c>
      <c r="C2379" s="9" t="s">
        <v>94</v>
      </c>
      <c r="D2379" s="9" t="s">
        <v>92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153</v>
      </c>
      <c r="B2380" s="9" t="s">
        <v>559</v>
      </c>
      <c r="C2380" s="9" t="s">
        <v>94</v>
      </c>
      <c r="D2380" s="9" t="s">
        <v>92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153</v>
      </c>
      <c r="B2381" s="9" t="s">
        <v>2712</v>
      </c>
      <c r="C2381" s="9" t="s">
        <v>94</v>
      </c>
      <c r="D2381" s="9" t="s">
        <v>92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153</v>
      </c>
      <c r="B2382" s="9" t="s">
        <v>2713</v>
      </c>
      <c r="C2382" s="9" t="s">
        <v>94</v>
      </c>
      <c r="D2382" s="9" t="s">
        <v>92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153</v>
      </c>
      <c r="B2383" s="9" t="s">
        <v>2714</v>
      </c>
      <c r="C2383" s="9" t="s">
        <v>94</v>
      </c>
      <c r="D2383" s="9" t="s">
        <v>92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153</v>
      </c>
      <c r="B2384" s="9" t="s">
        <v>2715</v>
      </c>
      <c r="C2384" s="9" t="s">
        <v>94</v>
      </c>
      <c r="D2384" s="9" t="s">
        <v>92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153</v>
      </c>
      <c r="B2385" s="9" t="s">
        <v>560</v>
      </c>
      <c r="C2385" s="9" t="s">
        <v>94</v>
      </c>
      <c r="D2385" s="9" t="s">
        <v>92</v>
      </c>
      <c r="E2385" s="9" t="s">
        <v>0</v>
      </c>
      <c r="F2385" s="27"/>
      <c r="G2385" s="24"/>
      <c r="H2385" s="24"/>
      <c r="I2385" s="28"/>
      <c r="J2385" s="27">
        <v>0</v>
      </c>
      <c r="K2385" s="24"/>
      <c r="L2385" s="24"/>
      <c r="M2385" s="28">
        <v>0</v>
      </c>
      <c r="N2385" s="27">
        <v>0</v>
      </c>
      <c r="O2385" s="10"/>
      <c r="P2385" s="10"/>
      <c r="Q2385" s="10"/>
      <c r="R2385" s="10"/>
      <c r="S2385" s="10"/>
      <c r="T2385" s="10"/>
      <c r="U2385" s="29">
        <v>0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153</v>
      </c>
      <c r="B2386" s="9" t="s">
        <v>561</v>
      </c>
      <c r="C2386" s="9" t="s">
        <v>94</v>
      </c>
      <c r="D2386" s="9" t="s">
        <v>92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153</v>
      </c>
      <c r="B2387" s="9" t="s">
        <v>2716</v>
      </c>
      <c r="C2387" s="9" t="s">
        <v>94</v>
      </c>
      <c r="D2387" s="9" t="s">
        <v>92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153</v>
      </c>
      <c r="B2388" s="9" t="s">
        <v>562</v>
      </c>
      <c r="C2388" s="9" t="s">
        <v>94</v>
      </c>
      <c r="D2388" s="9" t="s">
        <v>92</v>
      </c>
      <c r="E2388" s="9" t="s">
        <v>0</v>
      </c>
      <c r="F2388" s="27"/>
      <c r="G2388" s="24"/>
      <c r="H2388" s="24"/>
      <c r="I2388" s="28"/>
      <c r="J2388" s="27">
        <v>0</v>
      </c>
      <c r="K2388" s="24"/>
      <c r="L2388" s="24"/>
      <c r="M2388" s="28">
        <v>0</v>
      </c>
      <c r="N2388" s="27">
        <v>0</v>
      </c>
      <c r="O2388" s="10"/>
      <c r="P2388" s="10"/>
      <c r="Q2388" s="10"/>
      <c r="R2388" s="10"/>
      <c r="S2388" s="10"/>
      <c r="T2388" s="10"/>
      <c r="U2388" s="29">
        <v>0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153</v>
      </c>
      <c r="B2389" s="9" t="s">
        <v>563</v>
      </c>
      <c r="C2389" s="9" t="s">
        <v>94</v>
      </c>
      <c r="D2389" s="9" t="s">
        <v>92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153</v>
      </c>
      <c r="B2390" s="9" t="s">
        <v>2717</v>
      </c>
      <c r="C2390" s="9" t="s">
        <v>94</v>
      </c>
      <c r="D2390" s="9" t="s">
        <v>92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153</v>
      </c>
      <c r="B2391" s="9" t="s">
        <v>564</v>
      </c>
      <c r="C2391" s="9" t="s">
        <v>94</v>
      </c>
      <c r="D2391" s="9" t="s">
        <v>92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153</v>
      </c>
      <c r="B2392" s="9" t="s">
        <v>565</v>
      </c>
      <c r="C2392" s="9" t="s">
        <v>94</v>
      </c>
      <c r="D2392" s="9" t="s">
        <v>92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153</v>
      </c>
      <c r="B2393" s="9" t="s">
        <v>2718</v>
      </c>
      <c r="C2393" s="9" t="s">
        <v>94</v>
      </c>
      <c r="D2393" s="9" t="s">
        <v>92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153</v>
      </c>
      <c r="B2394" s="9" t="s">
        <v>2719</v>
      </c>
      <c r="C2394" s="9" t="s">
        <v>94</v>
      </c>
      <c r="D2394" s="9" t="s">
        <v>92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153</v>
      </c>
      <c r="B2395" s="9" t="s">
        <v>2720</v>
      </c>
      <c r="C2395" s="9" t="s">
        <v>94</v>
      </c>
      <c r="D2395" s="9" t="s">
        <v>92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153</v>
      </c>
      <c r="B2396" s="9" t="s">
        <v>2721</v>
      </c>
      <c r="C2396" s="9" t="s">
        <v>94</v>
      </c>
      <c r="D2396" s="9" t="s">
        <v>92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153</v>
      </c>
      <c r="B2397" s="9" t="s">
        <v>566</v>
      </c>
      <c r="C2397" s="9" t="s">
        <v>94</v>
      </c>
      <c r="D2397" s="9" t="s">
        <v>92</v>
      </c>
      <c r="E2397" s="9" t="s">
        <v>0</v>
      </c>
      <c r="F2397" s="27"/>
      <c r="G2397" s="24"/>
      <c r="H2397" s="24"/>
      <c r="I2397" s="28"/>
      <c r="J2397" s="27">
        <v>0</v>
      </c>
      <c r="K2397" s="24"/>
      <c r="L2397" s="24"/>
      <c r="M2397" s="28">
        <v>0</v>
      </c>
      <c r="N2397" s="27">
        <v>0</v>
      </c>
      <c r="O2397" s="10"/>
      <c r="P2397" s="10"/>
      <c r="Q2397" s="10"/>
      <c r="R2397" s="10"/>
      <c r="S2397" s="10"/>
      <c r="T2397" s="10"/>
      <c r="U2397" s="29">
        <v>0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153</v>
      </c>
      <c r="B2398" s="9" t="s">
        <v>567</v>
      </c>
      <c r="C2398" s="9" t="s">
        <v>94</v>
      </c>
      <c r="D2398" s="9" t="s">
        <v>92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153</v>
      </c>
      <c r="B2399" s="9" t="s">
        <v>2722</v>
      </c>
      <c r="C2399" s="9" t="s">
        <v>94</v>
      </c>
      <c r="D2399" s="9" t="s">
        <v>92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153</v>
      </c>
      <c r="B2400" s="9" t="s">
        <v>568</v>
      </c>
      <c r="C2400" s="9" t="s">
        <v>94</v>
      </c>
      <c r="D2400" s="9" t="s">
        <v>92</v>
      </c>
      <c r="E2400" s="9" t="s">
        <v>0</v>
      </c>
      <c r="F2400" s="27"/>
      <c r="G2400" s="24"/>
      <c r="H2400" s="24"/>
      <c r="I2400" s="28"/>
      <c r="J2400" s="27">
        <v>0</v>
      </c>
      <c r="K2400" s="24"/>
      <c r="L2400" s="24"/>
      <c r="M2400" s="28">
        <v>0</v>
      </c>
      <c r="N2400" s="27">
        <v>0</v>
      </c>
      <c r="O2400" s="10"/>
      <c r="P2400" s="10"/>
      <c r="Q2400" s="10"/>
      <c r="R2400" s="10"/>
      <c r="S2400" s="10"/>
      <c r="T2400" s="10"/>
      <c r="U2400" s="29">
        <v>0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153</v>
      </c>
      <c r="B2401" s="9" t="s">
        <v>569</v>
      </c>
      <c r="C2401" s="9" t="s">
        <v>94</v>
      </c>
      <c r="D2401" s="9" t="s">
        <v>92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153</v>
      </c>
      <c r="B2402" s="9" t="s">
        <v>2723</v>
      </c>
      <c r="C2402" s="9" t="s">
        <v>94</v>
      </c>
      <c r="D2402" s="9" t="s">
        <v>92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153</v>
      </c>
      <c r="B2403" s="9" t="s">
        <v>570</v>
      </c>
      <c r="C2403" s="9" t="s">
        <v>94</v>
      </c>
      <c r="D2403" s="9" t="s">
        <v>92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153</v>
      </c>
      <c r="B2404" s="9" t="s">
        <v>571</v>
      </c>
      <c r="C2404" s="9" t="s">
        <v>94</v>
      </c>
      <c r="D2404" s="9" t="s">
        <v>92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153</v>
      </c>
      <c r="B2405" s="9" t="s">
        <v>2724</v>
      </c>
      <c r="C2405" s="9" t="s">
        <v>94</v>
      </c>
      <c r="D2405" s="9" t="s">
        <v>92</v>
      </c>
      <c r="E2405" s="9" t="s">
        <v>0</v>
      </c>
      <c r="F2405" s="27"/>
      <c r="G2405" s="24"/>
      <c r="H2405" s="24"/>
      <c r="I2405" s="28"/>
      <c r="J2405" s="27">
        <v>0</v>
      </c>
      <c r="K2405" s="24"/>
      <c r="L2405" s="24"/>
      <c r="M2405" s="28">
        <v>0</v>
      </c>
      <c r="N2405" s="27">
        <v>0</v>
      </c>
      <c r="O2405" s="10"/>
      <c r="P2405" s="10"/>
      <c r="Q2405" s="10"/>
      <c r="R2405" s="10"/>
      <c r="S2405" s="10"/>
      <c r="T2405" s="10"/>
      <c r="U2405" s="29">
        <v>0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153</v>
      </c>
      <c r="B2406" s="9" t="s">
        <v>2725</v>
      </c>
      <c r="C2406" s="9" t="s">
        <v>94</v>
      </c>
      <c r="D2406" s="9" t="s">
        <v>92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153</v>
      </c>
      <c r="B2407" s="9" t="s">
        <v>2726</v>
      </c>
      <c r="C2407" s="9" t="s">
        <v>94</v>
      </c>
      <c r="D2407" s="9" t="s">
        <v>92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153</v>
      </c>
      <c r="B2408" s="9" t="s">
        <v>2727</v>
      </c>
      <c r="C2408" s="9" t="s">
        <v>94</v>
      </c>
      <c r="D2408" s="9" t="s">
        <v>92</v>
      </c>
      <c r="E2408" s="9" t="s">
        <v>0</v>
      </c>
      <c r="F2408" s="27"/>
      <c r="G2408" s="24"/>
      <c r="H2408" s="24"/>
      <c r="I2408" s="28"/>
      <c r="J2408" s="27">
        <v>0</v>
      </c>
      <c r="K2408" s="24"/>
      <c r="L2408" s="24"/>
      <c r="M2408" s="28">
        <v>0</v>
      </c>
      <c r="N2408" s="27">
        <v>0</v>
      </c>
      <c r="O2408" s="10"/>
      <c r="P2408" s="10"/>
      <c r="Q2408" s="10"/>
      <c r="R2408" s="10"/>
      <c r="S2408" s="10"/>
      <c r="T2408" s="10"/>
      <c r="U2408" s="29">
        <v>0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153</v>
      </c>
      <c r="B2409" s="9" t="s">
        <v>572</v>
      </c>
      <c r="C2409" s="9" t="s">
        <v>94</v>
      </c>
      <c r="D2409" s="9" t="s">
        <v>92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153</v>
      </c>
      <c r="B2410" s="9" t="s">
        <v>573</v>
      </c>
      <c r="C2410" s="9" t="s">
        <v>94</v>
      </c>
      <c r="D2410" s="9" t="s">
        <v>92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153</v>
      </c>
      <c r="B2411" s="9" t="s">
        <v>2728</v>
      </c>
      <c r="C2411" s="9" t="s">
        <v>94</v>
      </c>
      <c r="D2411" s="9" t="s">
        <v>92</v>
      </c>
      <c r="E2411" s="9" t="s">
        <v>0</v>
      </c>
      <c r="F2411" s="27"/>
      <c r="G2411" s="24"/>
      <c r="H2411" s="24"/>
      <c r="I2411" s="28"/>
      <c r="J2411" s="27">
        <v>0</v>
      </c>
      <c r="K2411" s="24"/>
      <c r="L2411" s="24"/>
      <c r="M2411" s="28">
        <v>0</v>
      </c>
      <c r="N2411" s="27">
        <v>0</v>
      </c>
      <c r="O2411" s="10"/>
      <c r="P2411" s="10"/>
      <c r="Q2411" s="10"/>
      <c r="R2411" s="10"/>
      <c r="S2411" s="10"/>
      <c r="T2411" s="10"/>
      <c r="U2411" s="29">
        <v>0</v>
      </c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153</v>
      </c>
      <c r="B2412" s="9" t="s">
        <v>574</v>
      </c>
      <c r="C2412" s="9" t="s">
        <v>94</v>
      </c>
      <c r="D2412" s="9" t="s">
        <v>92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153</v>
      </c>
      <c r="B2413" s="9" t="s">
        <v>575</v>
      </c>
      <c r="C2413" s="9" t="s">
        <v>94</v>
      </c>
      <c r="D2413" s="9" t="s">
        <v>92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153</v>
      </c>
      <c r="B2414" s="9" t="s">
        <v>2729</v>
      </c>
      <c r="C2414" s="9" t="s">
        <v>94</v>
      </c>
      <c r="D2414" s="9" t="s">
        <v>92</v>
      </c>
      <c r="E2414" s="9" t="s">
        <v>0</v>
      </c>
      <c r="F2414" s="27"/>
      <c r="G2414" s="24"/>
      <c r="H2414" s="24"/>
      <c r="I2414" s="28"/>
      <c r="J2414" s="27">
        <v>0</v>
      </c>
      <c r="K2414" s="24"/>
      <c r="L2414" s="24"/>
      <c r="M2414" s="28">
        <v>0</v>
      </c>
      <c r="N2414" s="27">
        <v>0</v>
      </c>
      <c r="O2414" s="10"/>
      <c r="P2414" s="10"/>
      <c r="Q2414" s="10"/>
      <c r="R2414" s="10"/>
      <c r="S2414" s="10"/>
      <c r="T2414" s="10"/>
      <c r="U2414" s="29">
        <v>0</v>
      </c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153</v>
      </c>
      <c r="B2415" s="9" t="s">
        <v>576</v>
      </c>
      <c r="C2415" s="9" t="s">
        <v>94</v>
      </c>
      <c r="D2415" s="9" t="s">
        <v>92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153</v>
      </c>
      <c r="B2416" s="9" t="s">
        <v>577</v>
      </c>
      <c r="C2416" s="9" t="s">
        <v>94</v>
      </c>
      <c r="D2416" s="9" t="s">
        <v>92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153</v>
      </c>
      <c r="B2417" s="9" t="s">
        <v>2730</v>
      </c>
      <c r="C2417" s="9" t="s">
        <v>94</v>
      </c>
      <c r="D2417" s="9" t="s">
        <v>92</v>
      </c>
      <c r="E2417" s="9" t="s">
        <v>0</v>
      </c>
      <c r="F2417" s="27"/>
      <c r="G2417" s="24"/>
      <c r="H2417" s="24"/>
      <c r="I2417" s="28"/>
      <c r="J2417" s="27">
        <v>0</v>
      </c>
      <c r="K2417" s="24"/>
      <c r="L2417" s="24"/>
      <c r="M2417" s="28">
        <v>0</v>
      </c>
      <c r="N2417" s="27">
        <v>0</v>
      </c>
      <c r="O2417" s="10"/>
      <c r="P2417" s="10"/>
      <c r="Q2417" s="10"/>
      <c r="R2417" s="10"/>
      <c r="S2417" s="10"/>
      <c r="T2417" s="10"/>
      <c r="U2417" s="29">
        <v>0</v>
      </c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153</v>
      </c>
      <c r="B2418" s="9" t="s">
        <v>2731</v>
      </c>
      <c r="C2418" s="9" t="s">
        <v>94</v>
      </c>
      <c r="D2418" s="9" t="s">
        <v>92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153</v>
      </c>
      <c r="B2419" s="9" t="s">
        <v>2732</v>
      </c>
      <c r="C2419" s="9" t="s">
        <v>94</v>
      </c>
      <c r="D2419" s="9" t="s">
        <v>92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153</v>
      </c>
      <c r="B2420" s="9" t="s">
        <v>2733</v>
      </c>
      <c r="C2420" s="9" t="s">
        <v>94</v>
      </c>
      <c r="D2420" s="9" t="s">
        <v>92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153</v>
      </c>
      <c r="B2421" s="9" t="s">
        <v>2734</v>
      </c>
      <c r="C2421" s="9" t="s">
        <v>94</v>
      </c>
      <c r="D2421" s="9" t="s">
        <v>92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153</v>
      </c>
      <c r="B2422" s="9" t="s">
        <v>2735</v>
      </c>
      <c r="C2422" s="9" t="s">
        <v>94</v>
      </c>
      <c r="D2422" s="9" t="s">
        <v>92</v>
      </c>
      <c r="E2422" s="9" t="s">
        <v>0</v>
      </c>
      <c r="F2422" s="27"/>
      <c r="G2422" s="24"/>
      <c r="H2422" s="24"/>
      <c r="I2422" s="28"/>
      <c r="J2422" s="27">
        <v>0</v>
      </c>
      <c r="K2422" s="24"/>
      <c r="L2422" s="24"/>
      <c r="M2422" s="28">
        <v>0</v>
      </c>
      <c r="N2422" s="27">
        <v>0</v>
      </c>
      <c r="O2422" s="10"/>
      <c r="P2422" s="10"/>
      <c r="Q2422" s="10"/>
      <c r="R2422" s="10"/>
      <c r="S2422" s="10"/>
      <c r="T2422" s="10"/>
      <c r="U2422" s="29">
        <v>0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153</v>
      </c>
      <c r="B2423" s="9" t="s">
        <v>2736</v>
      </c>
      <c r="C2423" s="9" t="s">
        <v>94</v>
      </c>
      <c r="D2423" s="9" t="s">
        <v>92</v>
      </c>
      <c r="E2423" s="9" t="s">
        <v>0</v>
      </c>
      <c r="F2423" s="27"/>
      <c r="G2423" s="24"/>
      <c r="H2423" s="24"/>
      <c r="I2423" s="28"/>
      <c r="J2423" s="27">
        <v>0</v>
      </c>
      <c r="K2423" s="24"/>
      <c r="L2423" s="24"/>
      <c r="M2423" s="28">
        <v>0</v>
      </c>
      <c r="N2423" s="27">
        <v>0</v>
      </c>
      <c r="O2423" s="10"/>
      <c r="P2423" s="10"/>
      <c r="Q2423" s="10"/>
      <c r="R2423" s="10"/>
      <c r="S2423" s="10"/>
      <c r="T2423" s="10"/>
      <c r="U2423" s="29">
        <v>0</v>
      </c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153</v>
      </c>
      <c r="B2424" s="9" t="s">
        <v>2737</v>
      </c>
      <c r="C2424" s="9" t="s">
        <v>94</v>
      </c>
      <c r="D2424" s="9" t="s">
        <v>92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153</v>
      </c>
      <c r="B2425" s="9" t="s">
        <v>2738</v>
      </c>
      <c r="C2425" s="9" t="s">
        <v>94</v>
      </c>
      <c r="D2425" s="9" t="s">
        <v>92</v>
      </c>
      <c r="E2425" s="9" t="s">
        <v>0</v>
      </c>
      <c r="F2425" s="27"/>
      <c r="G2425" s="24"/>
      <c r="H2425" s="24"/>
      <c r="I2425" s="28"/>
      <c r="J2425" s="27">
        <v>0</v>
      </c>
      <c r="K2425" s="24"/>
      <c r="L2425" s="24"/>
      <c r="M2425" s="28">
        <v>0</v>
      </c>
      <c r="N2425" s="27">
        <v>0</v>
      </c>
      <c r="O2425" s="10"/>
      <c r="P2425" s="10"/>
      <c r="Q2425" s="10"/>
      <c r="R2425" s="10"/>
      <c r="S2425" s="10"/>
      <c r="T2425" s="10"/>
      <c r="U2425" s="29">
        <v>0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153</v>
      </c>
      <c r="B2426" s="9" t="s">
        <v>2739</v>
      </c>
      <c r="C2426" s="9" t="s">
        <v>94</v>
      </c>
      <c r="D2426" s="9" t="s">
        <v>92</v>
      </c>
      <c r="E2426" s="9" t="s">
        <v>0</v>
      </c>
      <c r="F2426" s="27"/>
      <c r="G2426" s="24"/>
      <c r="H2426" s="24"/>
      <c r="I2426" s="28"/>
      <c r="J2426" s="27">
        <v>0</v>
      </c>
      <c r="K2426" s="24"/>
      <c r="L2426" s="24"/>
      <c r="M2426" s="28">
        <v>0</v>
      </c>
      <c r="N2426" s="27">
        <v>0</v>
      </c>
      <c r="O2426" s="10"/>
      <c r="P2426" s="10"/>
      <c r="Q2426" s="10"/>
      <c r="R2426" s="10"/>
      <c r="S2426" s="10"/>
      <c r="T2426" s="10"/>
      <c r="U2426" s="29">
        <v>0</v>
      </c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153</v>
      </c>
      <c r="B2427" s="9" t="s">
        <v>2740</v>
      </c>
      <c r="C2427" s="9" t="s">
        <v>94</v>
      </c>
      <c r="D2427" s="9" t="s">
        <v>92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153</v>
      </c>
      <c r="B2428" s="9" t="s">
        <v>2741</v>
      </c>
      <c r="C2428" s="9" t="s">
        <v>94</v>
      </c>
      <c r="D2428" s="9" t="s">
        <v>92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153</v>
      </c>
      <c r="B2429" s="9" t="s">
        <v>2742</v>
      </c>
      <c r="C2429" s="9" t="s">
        <v>94</v>
      </c>
      <c r="D2429" s="9" t="s">
        <v>92</v>
      </c>
      <c r="E2429" s="9" t="s">
        <v>0</v>
      </c>
      <c r="F2429" s="27"/>
      <c r="G2429" s="24"/>
      <c r="H2429" s="24"/>
      <c r="I2429" s="28"/>
      <c r="J2429" s="27">
        <v>0</v>
      </c>
      <c r="K2429" s="24"/>
      <c r="L2429" s="24"/>
      <c r="M2429" s="28">
        <v>0</v>
      </c>
      <c r="N2429" s="27">
        <v>0</v>
      </c>
      <c r="O2429" s="10"/>
      <c r="P2429" s="10"/>
      <c r="Q2429" s="10"/>
      <c r="R2429" s="10"/>
      <c r="S2429" s="10"/>
      <c r="T2429" s="10"/>
      <c r="U2429" s="29">
        <v>0</v>
      </c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153</v>
      </c>
      <c r="B2430" s="9" t="s">
        <v>2743</v>
      </c>
      <c r="C2430" s="9" t="s">
        <v>94</v>
      </c>
      <c r="D2430" s="9" t="s">
        <v>92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153</v>
      </c>
      <c r="B2431" s="9" t="s">
        <v>2744</v>
      </c>
      <c r="C2431" s="9" t="s">
        <v>94</v>
      </c>
      <c r="D2431" s="9" t="s">
        <v>92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153</v>
      </c>
      <c r="B2432" s="9" t="s">
        <v>2745</v>
      </c>
      <c r="C2432" s="9" t="s">
        <v>94</v>
      </c>
      <c r="D2432" s="9" t="s">
        <v>92</v>
      </c>
      <c r="E2432" s="9" t="s">
        <v>0</v>
      </c>
      <c r="F2432" s="27"/>
      <c r="G2432" s="24"/>
      <c r="H2432" s="24"/>
      <c r="I2432" s="28"/>
      <c r="J2432" s="27">
        <v>0</v>
      </c>
      <c r="K2432" s="24"/>
      <c r="L2432" s="24"/>
      <c r="M2432" s="28">
        <v>0</v>
      </c>
      <c r="N2432" s="27">
        <v>0</v>
      </c>
      <c r="O2432" s="10"/>
      <c r="P2432" s="10"/>
      <c r="Q2432" s="10"/>
      <c r="R2432" s="10"/>
      <c r="S2432" s="10"/>
      <c r="T2432" s="10"/>
      <c r="U2432" s="29">
        <v>0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153</v>
      </c>
      <c r="B2433" s="9" t="s">
        <v>578</v>
      </c>
      <c r="C2433" s="9" t="s">
        <v>94</v>
      </c>
      <c r="D2433" s="9" t="s">
        <v>92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153</v>
      </c>
      <c r="B2434" s="9" t="s">
        <v>2746</v>
      </c>
      <c r="C2434" s="9" t="s">
        <v>94</v>
      </c>
      <c r="D2434" s="9" t="s">
        <v>92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153</v>
      </c>
      <c r="B2435" s="9" t="s">
        <v>579</v>
      </c>
      <c r="C2435" s="9" t="s">
        <v>94</v>
      </c>
      <c r="D2435" s="9" t="s">
        <v>92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153</v>
      </c>
      <c r="B2436" s="9" t="s">
        <v>2747</v>
      </c>
      <c r="C2436" s="9" t="s">
        <v>94</v>
      </c>
      <c r="D2436" s="9" t="s">
        <v>92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153</v>
      </c>
      <c r="B2437" s="9" t="s">
        <v>2748</v>
      </c>
      <c r="C2437" s="9" t="s">
        <v>94</v>
      </c>
      <c r="D2437" s="9" t="s">
        <v>92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153</v>
      </c>
      <c r="B2438" s="9" t="s">
        <v>2749</v>
      </c>
      <c r="C2438" s="9" t="s">
        <v>94</v>
      </c>
      <c r="D2438" s="9" t="s">
        <v>92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153</v>
      </c>
      <c r="B2439" s="9" t="s">
        <v>580</v>
      </c>
      <c r="C2439" s="9" t="s">
        <v>94</v>
      </c>
      <c r="D2439" s="9" t="s">
        <v>92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153</v>
      </c>
      <c r="B2440" s="9" t="s">
        <v>2750</v>
      </c>
      <c r="C2440" s="9" t="s">
        <v>94</v>
      </c>
      <c r="D2440" s="9" t="s">
        <v>92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153</v>
      </c>
      <c r="B2441" s="9" t="s">
        <v>581</v>
      </c>
      <c r="C2441" s="9" t="s">
        <v>94</v>
      </c>
      <c r="D2441" s="9" t="s">
        <v>92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153</v>
      </c>
      <c r="B2442" s="9" t="s">
        <v>2751</v>
      </c>
      <c r="C2442" s="9" t="s">
        <v>94</v>
      </c>
      <c r="D2442" s="9" t="s">
        <v>92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153</v>
      </c>
      <c r="B2443" s="9" t="s">
        <v>2752</v>
      </c>
      <c r="C2443" s="9" t="s">
        <v>94</v>
      </c>
      <c r="D2443" s="9" t="s">
        <v>92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153</v>
      </c>
      <c r="B2444" s="9" t="s">
        <v>2753</v>
      </c>
      <c r="C2444" s="9" t="s">
        <v>94</v>
      </c>
      <c r="D2444" s="9" t="s">
        <v>92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153</v>
      </c>
      <c r="B2445" s="9" t="s">
        <v>582</v>
      </c>
      <c r="C2445" s="9" t="s">
        <v>94</v>
      </c>
      <c r="D2445" s="9" t="s">
        <v>92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153</v>
      </c>
      <c r="B2446" s="9" t="s">
        <v>2754</v>
      </c>
      <c r="C2446" s="9" t="s">
        <v>94</v>
      </c>
      <c r="D2446" s="9" t="s">
        <v>92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153</v>
      </c>
      <c r="B2447" s="9" t="s">
        <v>583</v>
      </c>
      <c r="C2447" s="9" t="s">
        <v>94</v>
      </c>
      <c r="D2447" s="9" t="s">
        <v>92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153</v>
      </c>
      <c r="B2448" s="9" t="s">
        <v>2755</v>
      </c>
      <c r="C2448" s="9" t="s">
        <v>94</v>
      </c>
      <c r="D2448" s="9" t="s">
        <v>92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153</v>
      </c>
      <c r="B2449" s="9" t="s">
        <v>2756</v>
      </c>
      <c r="C2449" s="9" t="s">
        <v>94</v>
      </c>
      <c r="D2449" s="9" t="s">
        <v>92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153</v>
      </c>
      <c r="B2450" s="9" t="s">
        <v>2757</v>
      </c>
      <c r="C2450" s="9" t="s">
        <v>94</v>
      </c>
      <c r="D2450" s="9" t="s">
        <v>92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153</v>
      </c>
      <c r="B2451" s="9" t="s">
        <v>2758</v>
      </c>
      <c r="C2451" s="9" t="s">
        <v>94</v>
      </c>
      <c r="D2451" s="9" t="s">
        <v>92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153</v>
      </c>
      <c r="B2452" s="9" t="s">
        <v>2759</v>
      </c>
      <c r="C2452" s="9" t="s">
        <v>94</v>
      </c>
      <c r="D2452" s="9" t="s">
        <v>92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153</v>
      </c>
      <c r="B2453" s="9" t="s">
        <v>2760</v>
      </c>
      <c r="C2453" s="9" t="s">
        <v>94</v>
      </c>
      <c r="D2453" s="9" t="s">
        <v>92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153</v>
      </c>
      <c r="B2454" s="9" t="s">
        <v>2761</v>
      </c>
      <c r="C2454" s="9" t="s">
        <v>94</v>
      </c>
      <c r="D2454" s="9" t="s">
        <v>92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153</v>
      </c>
      <c r="B2455" s="9" t="s">
        <v>2762</v>
      </c>
      <c r="C2455" s="9" t="s">
        <v>94</v>
      </c>
      <c r="D2455" s="9" t="s">
        <v>92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153</v>
      </c>
      <c r="B2456" s="9" t="s">
        <v>2763</v>
      </c>
      <c r="C2456" s="9" t="s">
        <v>94</v>
      </c>
      <c r="D2456" s="9" t="s">
        <v>92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153</v>
      </c>
      <c r="B2457" s="9" t="s">
        <v>584</v>
      </c>
      <c r="C2457" s="9" t="s">
        <v>94</v>
      </c>
      <c r="D2457" s="9" t="s">
        <v>92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153</v>
      </c>
      <c r="B2458" s="9" t="s">
        <v>2764</v>
      </c>
      <c r="C2458" s="9" t="s">
        <v>94</v>
      </c>
      <c r="D2458" s="9" t="s">
        <v>92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153</v>
      </c>
      <c r="B2459" s="9" t="s">
        <v>585</v>
      </c>
      <c r="C2459" s="9" t="s">
        <v>94</v>
      </c>
      <c r="D2459" s="9" t="s">
        <v>92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153</v>
      </c>
      <c r="B2460" s="9" t="s">
        <v>2765</v>
      </c>
      <c r="C2460" s="9" t="s">
        <v>94</v>
      </c>
      <c r="D2460" s="9" t="s">
        <v>92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153</v>
      </c>
      <c r="B2461" s="9" t="s">
        <v>2766</v>
      </c>
      <c r="C2461" s="9" t="s">
        <v>94</v>
      </c>
      <c r="D2461" s="9" t="s">
        <v>92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153</v>
      </c>
      <c r="B2462" s="9" t="s">
        <v>2767</v>
      </c>
      <c r="C2462" s="9" t="s">
        <v>94</v>
      </c>
      <c r="D2462" s="9" t="s">
        <v>92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153</v>
      </c>
      <c r="B2463" s="9" t="s">
        <v>586</v>
      </c>
      <c r="C2463" s="9" t="s">
        <v>94</v>
      </c>
      <c r="D2463" s="9" t="s">
        <v>92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153</v>
      </c>
      <c r="B2464" s="9" t="s">
        <v>2768</v>
      </c>
      <c r="C2464" s="9" t="s">
        <v>94</v>
      </c>
      <c r="D2464" s="9" t="s">
        <v>92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153</v>
      </c>
      <c r="B2465" s="9" t="s">
        <v>587</v>
      </c>
      <c r="C2465" s="9" t="s">
        <v>94</v>
      </c>
      <c r="D2465" s="9" t="s">
        <v>92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153</v>
      </c>
      <c r="B2466" s="9" t="s">
        <v>2769</v>
      </c>
      <c r="C2466" s="9" t="s">
        <v>94</v>
      </c>
      <c r="D2466" s="9" t="s">
        <v>92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153</v>
      </c>
      <c r="B2467" s="9" t="s">
        <v>2770</v>
      </c>
      <c r="C2467" s="9" t="s">
        <v>94</v>
      </c>
      <c r="D2467" s="9" t="s">
        <v>92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153</v>
      </c>
      <c r="B2468" s="9" t="s">
        <v>2771</v>
      </c>
      <c r="C2468" s="9" t="s">
        <v>94</v>
      </c>
      <c r="D2468" s="9" t="s">
        <v>92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153</v>
      </c>
      <c r="B2469" s="9" t="s">
        <v>588</v>
      </c>
      <c r="C2469" s="9" t="s">
        <v>94</v>
      </c>
      <c r="D2469" s="9" t="s">
        <v>92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153</v>
      </c>
      <c r="B2470" s="9" t="s">
        <v>2772</v>
      </c>
      <c r="C2470" s="9" t="s">
        <v>94</v>
      </c>
      <c r="D2470" s="9" t="s">
        <v>92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153</v>
      </c>
      <c r="B2471" s="9" t="s">
        <v>589</v>
      </c>
      <c r="C2471" s="9" t="s">
        <v>94</v>
      </c>
      <c r="D2471" s="9" t="s">
        <v>92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153</v>
      </c>
      <c r="B2472" s="9" t="s">
        <v>2773</v>
      </c>
      <c r="C2472" s="9" t="s">
        <v>94</v>
      </c>
      <c r="D2472" s="9" t="s">
        <v>92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153</v>
      </c>
      <c r="B2473" s="9" t="s">
        <v>2774</v>
      </c>
      <c r="C2473" s="9" t="s">
        <v>94</v>
      </c>
      <c r="D2473" s="9" t="s">
        <v>92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153</v>
      </c>
      <c r="B2474" s="9" t="s">
        <v>2775</v>
      </c>
      <c r="C2474" s="9" t="s">
        <v>94</v>
      </c>
      <c r="D2474" s="9" t="s">
        <v>92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153</v>
      </c>
      <c r="B2475" s="9" t="s">
        <v>2776</v>
      </c>
      <c r="C2475" s="9" t="s">
        <v>94</v>
      </c>
      <c r="D2475" s="9" t="s">
        <v>92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153</v>
      </c>
      <c r="B2476" s="9" t="s">
        <v>2777</v>
      </c>
      <c r="C2476" s="9" t="s">
        <v>94</v>
      </c>
      <c r="D2476" s="9" t="s">
        <v>92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153</v>
      </c>
      <c r="B2477" s="9" t="s">
        <v>2778</v>
      </c>
      <c r="C2477" s="9" t="s">
        <v>94</v>
      </c>
      <c r="D2477" s="9" t="s">
        <v>92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153</v>
      </c>
      <c r="B2478" s="9" t="s">
        <v>2779</v>
      </c>
      <c r="C2478" s="9" t="s">
        <v>94</v>
      </c>
      <c r="D2478" s="9" t="s">
        <v>92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153</v>
      </c>
      <c r="B2479" s="9" t="s">
        <v>2780</v>
      </c>
      <c r="C2479" s="9" t="s">
        <v>94</v>
      </c>
      <c r="D2479" s="9" t="s">
        <v>92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153</v>
      </c>
      <c r="B2480" s="9" t="s">
        <v>2781</v>
      </c>
      <c r="C2480" s="9" t="s">
        <v>94</v>
      </c>
      <c r="D2480" s="9" t="s">
        <v>92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153</v>
      </c>
      <c r="B2481" s="9" t="s">
        <v>590</v>
      </c>
      <c r="C2481" s="9" t="s">
        <v>94</v>
      </c>
      <c r="D2481" s="9" t="s">
        <v>92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153</v>
      </c>
      <c r="B2482" s="9" t="s">
        <v>2782</v>
      </c>
      <c r="C2482" s="9" t="s">
        <v>94</v>
      </c>
      <c r="D2482" s="9" t="s">
        <v>92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153</v>
      </c>
      <c r="B2483" s="9" t="s">
        <v>591</v>
      </c>
      <c r="C2483" s="9" t="s">
        <v>94</v>
      </c>
      <c r="D2483" s="9" t="s">
        <v>92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153</v>
      </c>
      <c r="B2484" s="9" t="s">
        <v>2783</v>
      </c>
      <c r="C2484" s="9" t="s">
        <v>94</v>
      </c>
      <c r="D2484" s="9" t="s">
        <v>92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153</v>
      </c>
      <c r="B2485" s="9" t="s">
        <v>2784</v>
      </c>
      <c r="C2485" s="9" t="s">
        <v>94</v>
      </c>
      <c r="D2485" s="9" t="s">
        <v>92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153</v>
      </c>
      <c r="B2486" s="9" t="s">
        <v>2785</v>
      </c>
      <c r="C2486" s="9" t="s">
        <v>94</v>
      </c>
      <c r="D2486" s="9" t="s">
        <v>92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153</v>
      </c>
      <c r="B2487" s="9" t="s">
        <v>592</v>
      </c>
      <c r="C2487" s="9" t="s">
        <v>94</v>
      </c>
      <c r="D2487" s="9" t="s">
        <v>92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153</v>
      </c>
      <c r="B2488" s="9" t="s">
        <v>2786</v>
      </c>
      <c r="C2488" s="9" t="s">
        <v>94</v>
      </c>
      <c r="D2488" s="9" t="s">
        <v>92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153</v>
      </c>
      <c r="B2489" s="9" t="s">
        <v>593</v>
      </c>
      <c r="C2489" s="9" t="s">
        <v>94</v>
      </c>
      <c r="D2489" s="9" t="s">
        <v>92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153</v>
      </c>
      <c r="B2490" s="9" t="s">
        <v>2787</v>
      </c>
      <c r="C2490" s="9" t="s">
        <v>94</v>
      </c>
      <c r="D2490" s="9" t="s">
        <v>92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153</v>
      </c>
      <c r="B2491" s="9" t="s">
        <v>2788</v>
      </c>
      <c r="C2491" s="9" t="s">
        <v>94</v>
      </c>
      <c r="D2491" s="9" t="s">
        <v>92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153</v>
      </c>
      <c r="B2492" s="9" t="s">
        <v>2789</v>
      </c>
      <c r="C2492" s="9" t="s">
        <v>94</v>
      </c>
      <c r="D2492" s="9" t="s">
        <v>92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153</v>
      </c>
      <c r="B2493" s="9" t="s">
        <v>594</v>
      </c>
      <c r="C2493" s="9" t="s">
        <v>94</v>
      </c>
      <c r="D2493" s="9" t="s">
        <v>92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153</v>
      </c>
      <c r="B2494" s="9" t="s">
        <v>2790</v>
      </c>
      <c r="C2494" s="9" t="s">
        <v>94</v>
      </c>
      <c r="D2494" s="9" t="s">
        <v>92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153</v>
      </c>
      <c r="B2495" s="9" t="s">
        <v>595</v>
      </c>
      <c r="C2495" s="9" t="s">
        <v>94</v>
      </c>
      <c r="D2495" s="9" t="s">
        <v>92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153</v>
      </c>
      <c r="B2496" s="9" t="s">
        <v>2791</v>
      </c>
      <c r="C2496" s="9" t="s">
        <v>94</v>
      </c>
      <c r="D2496" s="9" t="s">
        <v>92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153</v>
      </c>
      <c r="B2497" s="9" t="s">
        <v>2792</v>
      </c>
      <c r="C2497" s="9" t="s">
        <v>94</v>
      </c>
      <c r="D2497" s="9" t="s">
        <v>92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153</v>
      </c>
      <c r="B2498" s="9" t="s">
        <v>2793</v>
      </c>
      <c r="C2498" s="9" t="s">
        <v>94</v>
      </c>
      <c r="D2498" s="9" t="s">
        <v>92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153</v>
      </c>
      <c r="B2499" s="9" t="s">
        <v>2794</v>
      </c>
      <c r="C2499" s="9" t="s">
        <v>94</v>
      </c>
      <c r="D2499" s="9" t="s">
        <v>92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153</v>
      </c>
      <c r="B2500" s="9" t="s">
        <v>2795</v>
      </c>
      <c r="C2500" s="9" t="s">
        <v>94</v>
      </c>
      <c r="D2500" s="9" t="s">
        <v>92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153</v>
      </c>
      <c r="B2501" s="9" t="s">
        <v>2796</v>
      </c>
      <c r="C2501" s="9" t="s">
        <v>94</v>
      </c>
      <c r="D2501" s="9" t="s">
        <v>92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153</v>
      </c>
      <c r="B2502" s="9" t="s">
        <v>2797</v>
      </c>
      <c r="C2502" s="9" t="s">
        <v>94</v>
      </c>
      <c r="D2502" s="9" t="s">
        <v>92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153</v>
      </c>
      <c r="B2503" s="9" t="s">
        <v>2798</v>
      </c>
      <c r="C2503" s="9" t="s">
        <v>94</v>
      </c>
      <c r="D2503" s="9" t="s">
        <v>92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153</v>
      </c>
      <c r="B2504" s="9" t="s">
        <v>2799</v>
      </c>
      <c r="C2504" s="9" t="s">
        <v>94</v>
      </c>
      <c r="D2504" s="9" t="s">
        <v>92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153</v>
      </c>
      <c r="B2505" s="9" t="s">
        <v>596</v>
      </c>
      <c r="C2505" s="9" t="s">
        <v>94</v>
      </c>
      <c r="D2505" s="9" t="s">
        <v>92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153</v>
      </c>
      <c r="B2506" s="9" t="s">
        <v>2800</v>
      </c>
      <c r="C2506" s="9" t="s">
        <v>94</v>
      </c>
      <c r="D2506" s="9" t="s">
        <v>92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153</v>
      </c>
      <c r="B2507" s="9" t="s">
        <v>597</v>
      </c>
      <c r="C2507" s="9" t="s">
        <v>94</v>
      </c>
      <c r="D2507" s="9" t="s">
        <v>92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153</v>
      </c>
      <c r="B2508" s="9" t="s">
        <v>2801</v>
      </c>
      <c r="C2508" s="9" t="s">
        <v>94</v>
      </c>
      <c r="D2508" s="9" t="s">
        <v>92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153</v>
      </c>
      <c r="B2509" s="9" t="s">
        <v>2802</v>
      </c>
      <c r="C2509" s="9" t="s">
        <v>94</v>
      </c>
      <c r="D2509" s="9" t="s">
        <v>92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153</v>
      </c>
      <c r="B2510" s="9" t="s">
        <v>2803</v>
      </c>
      <c r="C2510" s="9" t="s">
        <v>94</v>
      </c>
      <c r="D2510" s="9" t="s">
        <v>92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153</v>
      </c>
      <c r="B2511" s="9" t="s">
        <v>598</v>
      </c>
      <c r="C2511" s="9" t="s">
        <v>94</v>
      </c>
      <c r="D2511" s="9" t="s">
        <v>92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153</v>
      </c>
      <c r="B2512" s="9" t="s">
        <v>2804</v>
      </c>
      <c r="C2512" s="9" t="s">
        <v>94</v>
      </c>
      <c r="D2512" s="9" t="s">
        <v>92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153</v>
      </c>
      <c r="B2513" s="9" t="s">
        <v>599</v>
      </c>
      <c r="C2513" s="9" t="s">
        <v>94</v>
      </c>
      <c r="D2513" s="9" t="s">
        <v>92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153</v>
      </c>
      <c r="B2514" s="9" t="s">
        <v>2805</v>
      </c>
      <c r="C2514" s="9" t="s">
        <v>94</v>
      </c>
      <c r="D2514" s="9" t="s">
        <v>92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153</v>
      </c>
      <c r="B2515" s="9" t="s">
        <v>2806</v>
      </c>
      <c r="C2515" s="9" t="s">
        <v>94</v>
      </c>
      <c r="D2515" s="9" t="s">
        <v>92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153</v>
      </c>
      <c r="B2516" s="9" t="s">
        <v>2807</v>
      </c>
      <c r="C2516" s="9" t="s">
        <v>94</v>
      </c>
      <c r="D2516" s="9" t="s">
        <v>92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153</v>
      </c>
      <c r="B2517" s="9" t="s">
        <v>600</v>
      </c>
      <c r="C2517" s="9" t="s">
        <v>94</v>
      </c>
      <c r="D2517" s="9" t="s">
        <v>92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153</v>
      </c>
      <c r="B2518" s="9" t="s">
        <v>2808</v>
      </c>
      <c r="C2518" s="9" t="s">
        <v>94</v>
      </c>
      <c r="D2518" s="9" t="s">
        <v>92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153</v>
      </c>
      <c r="B2519" s="9" t="s">
        <v>601</v>
      </c>
      <c r="C2519" s="9" t="s">
        <v>94</v>
      </c>
      <c r="D2519" s="9" t="s">
        <v>92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153</v>
      </c>
      <c r="B2520" s="9" t="s">
        <v>2809</v>
      </c>
      <c r="C2520" s="9" t="s">
        <v>94</v>
      </c>
      <c r="D2520" s="9" t="s">
        <v>92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153</v>
      </c>
      <c r="B2521" s="9" t="s">
        <v>2810</v>
      </c>
      <c r="C2521" s="9" t="s">
        <v>94</v>
      </c>
      <c r="D2521" s="9" t="s">
        <v>92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153</v>
      </c>
      <c r="B2522" s="9" t="s">
        <v>2811</v>
      </c>
      <c r="C2522" s="9" t="s">
        <v>94</v>
      </c>
      <c r="D2522" s="9" t="s">
        <v>92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153</v>
      </c>
      <c r="B2523" s="9" t="s">
        <v>2812</v>
      </c>
      <c r="C2523" s="9" t="s">
        <v>94</v>
      </c>
      <c r="D2523" s="9" t="s">
        <v>92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153</v>
      </c>
      <c r="B2524" s="9" t="s">
        <v>2813</v>
      </c>
      <c r="C2524" s="9" t="s">
        <v>94</v>
      </c>
      <c r="D2524" s="9" t="s">
        <v>92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153</v>
      </c>
      <c r="B2525" s="9" t="s">
        <v>2814</v>
      </c>
      <c r="C2525" s="9" t="s">
        <v>94</v>
      </c>
      <c r="D2525" s="9" t="s">
        <v>92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153</v>
      </c>
      <c r="B2526" s="9" t="s">
        <v>2815</v>
      </c>
      <c r="C2526" s="9" t="s">
        <v>94</v>
      </c>
      <c r="D2526" s="9" t="s">
        <v>92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153</v>
      </c>
      <c r="B2527" s="9" t="s">
        <v>2816</v>
      </c>
      <c r="C2527" s="9" t="s">
        <v>94</v>
      </c>
      <c r="D2527" s="9" t="s">
        <v>92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153</v>
      </c>
      <c r="B2528" s="9" t="s">
        <v>2817</v>
      </c>
      <c r="C2528" s="9" t="s">
        <v>94</v>
      </c>
      <c r="D2528" s="9" t="s">
        <v>92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153</v>
      </c>
      <c r="B2529" s="9" t="s">
        <v>2818</v>
      </c>
      <c r="C2529" s="9" t="s">
        <v>94</v>
      </c>
      <c r="D2529" s="9" t="s">
        <v>92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153</v>
      </c>
      <c r="B2530" s="9" t="s">
        <v>2819</v>
      </c>
      <c r="C2530" s="9" t="s">
        <v>94</v>
      </c>
      <c r="D2530" s="9" t="s">
        <v>92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153</v>
      </c>
      <c r="B2531" s="9" t="s">
        <v>2820</v>
      </c>
      <c r="C2531" s="9" t="s">
        <v>94</v>
      </c>
      <c r="D2531" s="9" t="s">
        <v>92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153</v>
      </c>
      <c r="B2532" s="9" t="s">
        <v>2821</v>
      </c>
      <c r="C2532" s="9" t="s">
        <v>94</v>
      </c>
      <c r="D2532" s="9" t="s">
        <v>92</v>
      </c>
      <c r="E2532" s="9" t="s">
        <v>0</v>
      </c>
      <c r="F2532" s="27"/>
      <c r="G2532" s="24"/>
      <c r="H2532" s="24"/>
      <c r="I2532" s="28"/>
      <c r="J2532" s="27">
        <v>0</v>
      </c>
      <c r="K2532" s="24"/>
      <c r="L2532" s="24"/>
      <c r="M2532" s="28">
        <v>0</v>
      </c>
      <c r="N2532" s="27">
        <v>0</v>
      </c>
      <c r="O2532" s="10"/>
      <c r="P2532" s="10"/>
      <c r="Q2532" s="10"/>
      <c r="R2532" s="10"/>
      <c r="S2532" s="10"/>
      <c r="T2532" s="10"/>
      <c r="U2532" s="29">
        <v>0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153</v>
      </c>
      <c r="B2533" s="9" t="s">
        <v>2822</v>
      </c>
      <c r="C2533" s="9" t="s">
        <v>94</v>
      </c>
      <c r="D2533" s="9" t="s">
        <v>92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153</v>
      </c>
      <c r="B2534" s="9" t="s">
        <v>2823</v>
      </c>
      <c r="C2534" s="9" t="s">
        <v>94</v>
      </c>
      <c r="D2534" s="9" t="s">
        <v>92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153</v>
      </c>
      <c r="B2535" s="9" t="s">
        <v>2824</v>
      </c>
      <c r="C2535" s="9" t="s">
        <v>94</v>
      </c>
      <c r="D2535" s="9" t="s">
        <v>92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153</v>
      </c>
      <c r="B2536" s="9" t="s">
        <v>2825</v>
      </c>
      <c r="C2536" s="9" t="s">
        <v>94</v>
      </c>
      <c r="D2536" s="9" t="s">
        <v>92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153</v>
      </c>
      <c r="B2537" s="9" t="s">
        <v>2826</v>
      </c>
      <c r="C2537" s="9" t="s">
        <v>94</v>
      </c>
      <c r="D2537" s="9" t="s">
        <v>92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153</v>
      </c>
      <c r="B2538" s="9" t="s">
        <v>2827</v>
      </c>
      <c r="C2538" s="9" t="s">
        <v>94</v>
      </c>
      <c r="D2538" s="9" t="s">
        <v>92</v>
      </c>
      <c r="E2538" s="9" t="s">
        <v>0</v>
      </c>
      <c r="F2538" s="27"/>
      <c r="G2538" s="24"/>
      <c r="H2538" s="24"/>
      <c r="I2538" s="28"/>
      <c r="J2538" s="27">
        <v>0</v>
      </c>
      <c r="K2538" s="24"/>
      <c r="L2538" s="24"/>
      <c r="M2538" s="28">
        <v>0</v>
      </c>
      <c r="N2538" s="27">
        <v>0</v>
      </c>
      <c r="O2538" s="10"/>
      <c r="P2538" s="10"/>
      <c r="Q2538" s="10"/>
      <c r="R2538" s="10"/>
      <c r="S2538" s="10"/>
      <c r="T2538" s="10"/>
      <c r="U2538" s="29">
        <v>0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153</v>
      </c>
      <c r="B2539" s="9" t="s">
        <v>2828</v>
      </c>
      <c r="C2539" s="9" t="s">
        <v>94</v>
      </c>
      <c r="D2539" s="9" t="s">
        <v>92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153</v>
      </c>
      <c r="B2540" s="9" t="s">
        <v>2829</v>
      </c>
      <c r="C2540" s="9" t="s">
        <v>94</v>
      </c>
      <c r="D2540" s="9" t="s">
        <v>92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153</v>
      </c>
      <c r="B2541" s="9" t="s">
        <v>2830</v>
      </c>
      <c r="C2541" s="9" t="s">
        <v>94</v>
      </c>
      <c r="D2541" s="9" t="s">
        <v>92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153</v>
      </c>
      <c r="B2542" s="9" t="s">
        <v>2831</v>
      </c>
      <c r="C2542" s="9" t="s">
        <v>94</v>
      </c>
      <c r="D2542" s="9" t="s">
        <v>92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153</v>
      </c>
      <c r="B2543" s="9" t="s">
        <v>2832</v>
      </c>
      <c r="C2543" s="9" t="s">
        <v>94</v>
      </c>
      <c r="D2543" s="9" t="s">
        <v>92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153</v>
      </c>
      <c r="B2544" s="9" t="s">
        <v>2833</v>
      </c>
      <c r="C2544" s="9" t="s">
        <v>94</v>
      </c>
      <c r="D2544" s="9" t="s">
        <v>92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153</v>
      </c>
      <c r="B2545" s="9" t="s">
        <v>2834</v>
      </c>
      <c r="C2545" s="9" t="s">
        <v>94</v>
      </c>
      <c r="D2545" s="9" t="s">
        <v>92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153</v>
      </c>
      <c r="B2546" s="9" t="s">
        <v>2835</v>
      </c>
      <c r="C2546" s="9" t="s">
        <v>94</v>
      </c>
      <c r="D2546" s="9" t="s">
        <v>92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153</v>
      </c>
      <c r="B2547" s="9" t="s">
        <v>2836</v>
      </c>
      <c r="C2547" s="9" t="s">
        <v>94</v>
      </c>
      <c r="D2547" s="9" t="s">
        <v>92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153</v>
      </c>
      <c r="B2548" s="9" t="s">
        <v>2837</v>
      </c>
      <c r="C2548" s="9" t="s">
        <v>94</v>
      </c>
      <c r="D2548" s="9" t="s">
        <v>92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153</v>
      </c>
      <c r="B2549" s="9" t="s">
        <v>2838</v>
      </c>
      <c r="C2549" s="9" t="s">
        <v>94</v>
      </c>
      <c r="D2549" s="9" t="s">
        <v>92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153</v>
      </c>
      <c r="B2550" s="9" t="s">
        <v>2839</v>
      </c>
      <c r="C2550" s="9" t="s">
        <v>94</v>
      </c>
      <c r="D2550" s="9" t="s">
        <v>92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153</v>
      </c>
      <c r="B2551" s="9" t="s">
        <v>2840</v>
      </c>
      <c r="C2551" s="9" t="s">
        <v>94</v>
      </c>
      <c r="D2551" s="9" t="s">
        <v>92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153</v>
      </c>
      <c r="B2552" s="9" t="s">
        <v>2841</v>
      </c>
      <c r="C2552" s="9" t="s">
        <v>94</v>
      </c>
      <c r="D2552" s="9" t="s">
        <v>92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153</v>
      </c>
      <c r="B2553" s="9" t="s">
        <v>2842</v>
      </c>
      <c r="C2553" s="9" t="s">
        <v>94</v>
      </c>
      <c r="D2553" s="9" t="s">
        <v>92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153</v>
      </c>
      <c r="B2554" s="9" t="s">
        <v>2843</v>
      </c>
      <c r="C2554" s="9" t="s">
        <v>94</v>
      </c>
      <c r="D2554" s="9" t="s">
        <v>92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153</v>
      </c>
      <c r="B2555" s="9" t="s">
        <v>2844</v>
      </c>
      <c r="C2555" s="9" t="s">
        <v>94</v>
      </c>
      <c r="D2555" s="9" t="s">
        <v>92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153</v>
      </c>
      <c r="B2556" s="9" t="s">
        <v>2845</v>
      </c>
      <c r="C2556" s="9" t="s">
        <v>94</v>
      </c>
      <c r="D2556" s="9" t="s">
        <v>92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153</v>
      </c>
      <c r="B2557" s="9" t="s">
        <v>2846</v>
      </c>
      <c r="C2557" s="9" t="s">
        <v>94</v>
      </c>
      <c r="D2557" s="9" t="s">
        <v>92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153</v>
      </c>
      <c r="B2558" s="9" t="s">
        <v>2847</v>
      </c>
      <c r="C2558" s="9" t="s">
        <v>94</v>
      </c>
      <c r="D2558" s="9" t="s">
        <v>92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153</v>
      </c>
      <c r="B2559" s="9" t="s">
        <v>2848</v>
      </c>
      <c r="C2559" s="9" t="s">
        <v>94</v>
      </c>
      <c r="D2559" s="9" t="s">
        <v>92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153</v>
      </c>
      <c r="B2560" s="9" t="s">
        <v>2849</v>
      </c>
      <c r="C2560" s="9" t="s">
        <v>94</v>
      </c>
      <c r="D2560" s="9" t="s">
        <v>92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153</v>
      </c>
      <c r="B2561" s="9" t="s">
        <v>2850</v>
      </c>
      <c r="C2561" s="9" t="s">
        <v>94</v>
      </c>
      <c r="D2561" s="9" t="s">
        <v>92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153</v>
      </c>
      <c r="B2562" s="9" t="s">
        <v>2851</v>
      </c>
      <c r="C2562" s="9" t="s">
        <v>94</v>
      </c>
      <c r="D2562" s="9" t="s">
        <v>92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153</v>
      </c>
      <c r="B2563" s="9" t="s">
        <v>2852</v>
      </c>
      <c r="C2563" s="9" t="s">
        <v>94</v>
      </c>
      <c r="D2563" s="9" t="s">
        <v>92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153</v>
      </c>
      <c r="B2564" s="9" t="s">
        <v>2853</v>
      </c>
      <c r="C2564" s="9" t="s">
        <v>94</v>
      </c>
      <c r="D2564" s="9" t="s">
        <v>92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153</v>
      </c>
      <c r="B2565" s="9" t="s">
        <v>2854</v>
      </c>
      <c r="C2565" s="9" t="s">
        <v>94</v>
      </c>
      <c r="D2565" s="9" t="s">
        <v>92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153</v>
      </c>
      <c r="B2566" s="9" t="s">
        <v>2855</v>
      </c>
      <c r="C2566" s="9" t="s">
        <v>94</v>
      </c>
      <c r="D2566" s="9" t="s">
        <v>92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153</v>
      </c>
      <c r="B2567" s="9" t="s">
        <v>2856</v>
      </c>
      <c r="C2567" s="9" t="s">
        <v>94</v>
      </c>
      <c r="D2567" s="9" t="s">
        <v>92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153</v>
      </c>
      <c r="B2568" s="9" t="s">
        <v>2857</v>
      </c>
      <c r="C2568" s="9" t="s">
        <v>94</v>
      </c>
      <c r="D2568" s="9" t="s">
        <v>92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153</v>
      </c>
      <c r="B2569" s="9" t="s">
        <v>2858</v>
      </c>
      <c r="C2569" s="9" t="s">
        <v>94</v>
      </c>
      <c r="D2569" s="9" t="s">
        <v>92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153</v>
      </c>
      <c r="B2570" s="9" t="s">
        <v>2859</v>
      </c>
      <c r="C2570" s="9" t="s">
        <v>94</v>
      </c>
      <c r="D2570" s="9" t="s">
        <v>92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153</v>
      </c>
      <c r="B2571" s="9" t="s">
        <v>2860</v>
      </c>
      <c r="C2571" s="9" t="s">
        <v>94</v>
      </c>
      <c r="D2571" s="9" t="s">
        <v>92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153</v>
      </c>
      <c r="B2572" s="9" t="s">
        <v>2861</v>
      </c>
      <c r="C2572" s="9" t="s">
        <v>94</v>
      </c>
      <c r="D2572" s="9" t="s">
        <v>92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153</v>
      </c>
      <c r="B2573" s="9" t="s">
        <v>2862</v>
      </c>
      <c r="C2573" s="9" t="s">
        <v>94</v>
      </c>
      <c r="D2573" s="9" t="s">
        <v>92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153</v>
      </c>
      <c r="B2574" s="9" t="s">
        <v>2863</v>
      </c>
      <c r="C2574" s="9" t="s">
        <v>94</v>
      </c>
      <c r="D2574" s="9" t="s">
        <v>92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153</v>
      </c>
      <c r="B2575" s="9" t="s">
        <v>2864</v>
      </c>
      <c r="C2575" s="9" t="s">
        <v>94</v>
      </c>
      <c r="D2575" s="9" t="s">
        <v>92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153</v>
      </c>
      <c r="B2576" s="9" t="s">
        <v>2865</v>
      </c>
      <c r="C2576" s="9" t="s">
        <v>94</v>
      </c>
      <c r="D2576" s="9" t="s">
        <v>92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153</v>
      </c>
      <c r="B2577" s="9" t="s">
        <v>2866</v>
      </c>
      <c r="C2577" s="9" t="s">
        <v>94</v>
      </c>
      <c r="D2577" s="9" t="s">
        <v>92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153</v>
      </c>
      <c r="B2578" s="9" t="s">
        <v>2867</v>
      </c>
      <c r="C2578" s="9" t="s">
        <v>94</v>
      </c>
      <c r="D2578" s="9" t="s">
        <v>92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153</v>
      </c>
      <c r="B2579" s="9" t="s">
        <v>2868</v>
      </c>
      <c r="C2579" s="9" t="s">
        <v>94</v>
      </c>
      <c r="D2579" s="9" t="s">
        <v>92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153</v>
      </c>
      <c r="B2580" s="9" t="s">
        <v>2869</v>
      </c>
      <c r="C2580" s="9" t="s">
        <v>94</v>
      </c>
      <c r="D2580" s="9" t="s">
        <v>92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153</v>
      </c>
      <c r="B2581" s="9" t="s">
        <v>2870</v>
      </c>
      <c r="C2581" s="9" t="s">
        <v>94</v>
      </c>
      <c r="D2581" s="9" t="s">
        <v>92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153</v>
      </c>
      <c r="B2582" s="9" t="s">
        <v>2871</v>
      </c>
      <c r="C2582" s="9" t="s">
        <v>94</v>
      </c>
      <c r="D2582" s="9" t="s">
        <v>92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153</v>
      </c>
      <c r="B2583" s="9" t="s">
        <v>2872</v>
      </c>
      <c r="C2583" s="9" t="s">
        <v>94</v>
      </c>
      <c r="D2583" s="9" t="s">
        <v>92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153</v>
      </c>
      <c r="B2584" s="9" t="s">
        <v>2873</v>
      </c>
      <c r="C2584" s="9" t="s">
        <v>94</v>
      </c>
      <c r="D2584" s="9" t="s">
        <v>92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153</v>
      </c>
      <c r="B2585" s="9" t="s">
        <v>2874</v>
      </c>
      <c r="C2585" s="9" t="s">
        <v>94</v>
      </c>
      <c r="D2585" s="9" t="s">
        <v>92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153</v>
      </c>
      <c r="B2586" s="9" t="s">
        <v>2875</v>
      </c>
      <c r="C2586" s="9" t="s">
        <v>94</v>
      </c>
      <c r="D2586" s="9" t="s">
        <v>92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153</v>
      </c>
      <c r="B2587" s="9" t="s">
        <v>2876</v>
      </c>
      <c r="C2587" s="9" t="s">
        <v>94</v>
      </c>
      <c r="D2587" s="9" t="s">
        <v>92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153</v>
      </c>
      <c r="B2588" s="9" t="s">
        <v>2877</v>
      </c>
      <c r="C2588" s="9" t="s">
        <v>94</v>
      </c>
      <c r="D2588" s="9" t="s">
        <v>92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153</v>
      </c>
      <c r="B2589" s="9" t="s">
        <v>2878</v>
      </c>
      <c r="C2589" s="9" t="s">
        <v>94</v>
      </c>
      <c r="D2589" s="9" t="s">
        <v>92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153</v>
      </c>
      <c r="B2590" s="9" t="s">
        <v>2879</v>
      </c>
      <c r="C2590" s="9" t="s">
        <v>94</v>
      </c>
      <c r="D2590" s="9" t="s">
        <v>92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153</v>
      </c>
      <c r="B2591" s="9" t="s">
        <v>2880</v>
      </c>
      <c r="C2591" s="9" t="s">
        <v>94</v>
      </c>
      <c r="D2591" s="9" t="s">
        <v>92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153</v>
      </c>
      <c r="B2592" s="9" t="s">
        <v>2881</v>
      </c>
      <c r="C2592" s="9" t="s">
        <v>94</v>
      </c>
      <c r="D2592" s="9" t="s">
        <v>92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153</v>
      </c>
      <c r="B2593" s="9" t="s">
        <v>2882</v>
      </c>
      <c r="C2593" s="9" t="s">
        <v>94</v>
      </c>
      <c r="D2593" s="9" t="s">
        <v>92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153</v>
      </c>
      <c r="B2594" s="9" t="s">
        <v>2883</v>
      </c>
      <c r="C2594" s="9" t="s">
        <v>94</v>
      </c>
      <c r="D2594" s="9" t="s">
        <v>92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153</v>
      </c>
      <c r="B2595" s="9" t="s">
        <v>2884</v>
      </c>
      <c r="C2595" s="9" t="s">
        <v>94</v>
      </c>
      <c r="D2595" s="9" t="s">
        <v>92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153</v>
      </c>
      <c r="B2596" s="9" t="s">
        <v>2885</v>
      </c>
      <c r="C2596" s="9" t="s">
        <v>94</v>
      </c>
      <c r="D2596" s="9" t="s">
        <v>92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153</v>
      </c>
      <c r="B2597" s="9" t="s">
        <v>2886</v>
      </c>
      <c r="C2597" s="9" t="s">
        <v>94</v>
      </c>
      <c r="D2597" s="9" t="s">
        <v>92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153</v>
      </c>
      <c r="B2598" s="9" t="s">
        <v>2887</v>
      </c>
      <c r="C2598" s="9" t="s">
        <v>94</v>
      </c>
      <c r="D2598" s="9" t="s">
        <v>92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153</v>
      </c>
      <c r="B2599" s="9" t="s">
        <v>2888</v>
      </c>
      <c r="C2599" s="9" t="s">
        <v>94</v>
      </c>
      <c r="D2599" s="9" t="s">
        <v>92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153</v>
      </c>
      <c r="B2600" s="9" t="s">
        <v>2889</v>
      </c>
      <c r="C2600" s="9" t="s">
        <v>94</v>
      </c>
      <c r="D2600" s="9" t="s">
        <v>92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153</v>
      </c>
      <c r="B2601" s="9" t="s">
        <v>2890</v>
      </c>
      <c r="C2601" s="9" t="s">
        <v>94</v>
      </c>
      <c r="D2601" s="9" t="s">
        <v>92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153</v>
      </c>
      <c r="B2602" s="9" t="s">
        <v>2891</v>
      </c>
      <c r="C2602" s="9" t="s">
        <v>94</v>
      </c>
      <c r="D2602" s="9" t="s">
        <v>92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153</v>
      </c>
      <c r="B2603" s="9" t="s">
        <v>2892</v>
      </c>
      <c r="C2603" s="9" t="s">
        <v>94</v>
      </c>
      <c r="D2603" s="9" t="s">
        <v>92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153</v>
      </c>
      <c r="B2604" s="9" t="s">
        <v>2893</v>
      </c>
      <c r="C2604" s="9" t="s">
        <v>94</v>
      </c>
      <c r="D2604" s="9" t="s">
        <v>92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153</v>
      </c>
      <c r="B2605" s="9" t="s">
        <v>2894</v>
      </c>
      <c r="C2605" s="9" t="s">
        <v>94</v>
      </c>
      <c r="D2605" s="9" t="s">
        <v>92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153</v>
      </c>
      <c r="B2606" s="9" t="s">
        <v>2895</v>
      </c>
      <c r="C2606" s="9" t="s">
        <v>94</v>
      </c>
      <c r="D2606" s="9" t="s">
        <v>92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153</v>
      </c>
      <c r="B2607" s="9" t="s">
        <v>2896</v>
      </c>
      <c r="C2607" s="9" t="s">
        <v>94</v>
      </c>
      <c r="D2607" s="9" t="s">
        <v>92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153</v>
      </c>
      <c r="B2608" s="9" t="s">
        <v>2897</v>
      </c>
      <c r="C2608" s="9" t="s">
        <v>94</v>
      </c>
      <c r="D2608" s="9" t="s">
        <v>92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153</v>
      </c>
      <c r="B2609" s="9" t="s">
        <v>2898</v>
      </c>
      <c r="C2609" s="9" t="s">
        <v>94</v>
      </c>
      <c r="D2609" s="9" t="s">
        <v>92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153</v>
      </c>
      <c r="B2610" s="9" t="s">
        <v>2899</v>
      </c>
      <c r="C2610" s="9" t="s">
        <v>94</v>
      </c>
      <c r="D2610" s="9" t="s">
        <v>92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153</v>
      </c>
      <c r="B2611" s="9" t="s">
        <v>2900</v>
      </c>
      <c r="C2611" s="9" t="s">
        <v>94</v>
      </c>
      <c r="D2611" s="9" t="s">
        <v>92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153</v>
      </c>
      <c r="B2612" s="9" t="s">
        <v>2901</v>
      </c>
      <c r="C2612" s="9" t="s">
        <v>94</v>
      </c>
      <c r="D2612" s="9" t="s">
        <v>92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153</v>
      </c>
      <c r="B2613" s="9" t="s">
        <v>2902</v>
      </c>
      <c r="C2613" s="9" t="s">
        <v>94</v>
      </c>
      <c r="D2613" s="9" t="s">
        <v>92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153</v>
      </c>
      <c r="B2614" s="9" t="s">
        <v>2903</v>
      </c>
      <c r="C2614" s="9" t="s">
        <v>94</v>
      </c>
      <c r="D2614" s="9" t="s">
        <v>92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153</v>
      </c>
      <c r="B2615" s="9" t="s">
        <v>2904</v>
      </c>
      <c r="C2615" s="9" t="s">
        <v>94</v>
      </c>
      <c r="D2615" s="9" t="s">
        <v>92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153</v>
      </c>
      <c r="B2616" s="9" t="s">
        <v>2905</v>
      </c>
      <c r="C2616" s="9" t="s">
        <v>94</v>
      </c>
      <c r="D2616" s="9" t="s">
        <v>92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153</v>
      </c>
      <c r="B2617" s="9" t="s">
        <v>2906</v>
      </c>
      <c r="C2617" s="9" t="s">
        <v>94</v>
      </c>
      <c r="D2617" s="9" t="s">
        <v>92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153</v>
      </c>
      <c r="B2618" s="9" t="s">
        <v>2907</v>
      </c>
      <c r="C2618" s="9" t="s">
        <v>94</v>
      </c>
      <c r="D2618" s="9" t="s">
        <v>92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153</v>
      </c>
      <c r="B2619" s="9" t="s">
        <v>2908</v>
      </c>
      <c r="C2619" s="9" t="s">
        <v>94</v>
      </c>
      <c r="D2619" s="9" t="s">
        <v>92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153</v>
      </c>
      <c r="B2620" s="9" t="s">
        <v>2909</v>
      </c>
      <c r="C2620" s="9" t="s">
        <v>94</v>
      </c>
      <c r="D2620" s="9" t="s">
        <v>92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153</v>
      </c>
      <c r="B2621" s="9" t="s">
        <v>2910</v>
      </c>
      <c r="C2621" s="9" t="s">
        <v>94</v>
      </c>
      <c r="D2621" s="9" t="s">
        <v>92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153</v>
      </c>
      <c r="B2622" s="9" t="s">
        <v>2911</v>
      </c>
      <c r="C2622" s="9" t="s">
        <v>94</v>
      </c>
      <c r="D2622" s="9" t="s">
        <v>92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153</v>
      </c>
      <c r="B2623" s="9" t="s">
        <v>2912</v>
      </c>
      <c r="C2623" s="9" t="s">
        <v>94</v>
      </c>
      <c r="D2623" s="9" t="s">
        <v>92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153</v>
      </c>
      <c r="B2624" s="9" t="s">
        <v>2913</v>
      </c>
      <c r="C2624" s="9" t="s">
        <v>94</v>
      </c>
      <c r="D2624" s="9" t="s">
        <v>92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153</v>
      </c>
      <c r="B2625" s="9" t="s">
        <v>2914</v>
      </c>
      <c r="C2625" s="9" t="s">
        <v>94</v>
      </c>
      <c r="D2625" s="9" t="s">
        <v>92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153</v>
      </c>
      <c r="B2626" s="9" t="s">
        <v>2915</v>
      </c>
      <c r="C2626" s="9" t="s">
        <v>94</v>
      </c>
      <c r="D2626" s="9" t="s">
        <v>92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153</v>
      </c>
      <c r="B2627" s="9" t="s">
        <v>2916</v>
      </c>
      <c r="C2627" s="9" t="s">
        <v>94</v>
      </c>
      <c r="D2627" s="9" t="s">
        <v>92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153</v>
      </c>
      <c r="B2628" s="9" t="s">
        <v>2917</v>
      </c>
      <c r="C2628" s="9" t="s">
        <v>94</v>
      </c>
      <c r="D2628" s="9" t="s">
        <v>92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153</v>
      </c>
      <c r="B2629" s="9" t="s">
        <v>2918</v>
      </c>
      <c r="C2629" s="9" t="s">
        <v>94</v>
      </c>
      <c r="D2629" s="9" t="s">
        <v>92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153</v>
      </c>
      <c r="B2630" s="9" t="s">
        <v>2919</v>
      </c>
      <c r="C2630" s="9" t="s">
        <v>94</v>
      </c>
      <c r="D2630" s="9" t="s">
        <v>92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153</v>
      </c>
      <c r="B2631" s="9" t="s">
        <v>2920</v>
      </c>
      <c r="C2631" s="9" t="s">
        <v>94</v>
      </c>
      <c r="D2631" s="9" t="s">
        <v>92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153</v>
      </c>
      <c r="B2632" s="9" t="s">
        <v>2921</v>
      </c>
      <c r="C2632" s="9" t="s">
        <v>94</v>
      </c>
      <c r="D2632" s="9" t="s">
        <v>92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153</v>
      </c>
      <c r="B2633" s="9" t="s">
        <v>2922</v>
      </c>
      <c r="C2633" s="9" t="s">
        <v>94</v>
      </c>
      <c r="D2633" s="9" t="s">
        <v>92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153</v>
      </c>
      <c r="B2634" s="9" t="s">
        <v>2923</v>
      </c>
      <c r="C2634" s="9" t="s">
        <v>94</v>
      </c>
      <c r="D2634" s="9" t="s">
        <v>92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153</v>
      </c>
      <c r="B2635" s="9" t="s">
        <v>2924</v>
      </c>
      <c r="C2635" s="9" t="s">
        <v>94</v>
      </c>
      <c r="D2635" s="9" t="s">
        <v>92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153</v>
      </c>
      <c r="B2636" s="9" t="s">
        <v>2925</v>
      </c>
      <c r="C2636" s="9" t="s">
        <v>94</v>
      </c>
      <c r="D2636" s="9" t="s">
        <v>92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153</v>
      </c>
      <c r="B2637" s="9" t="s">
        <v>2926</v>
      </c>
      <c r="C2637" s="9" t="s">
        <v>94</v>
      </c>
      <c r="D2637" s="9" t="s">
        <v>92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153</v>
      </c>
      <c r="B2638" s="9" t="s">
        <v>2927</v>
      </c>
      <c r="C2638" s="9" t="s">
        <v>94</v>
      </c>
      <c r="D2638" s="9" t="s">
        <v>92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153</v>
      </c>
      <c r="B2639" s="9" t="s">
        <v>2928</v>
      </c>
      <c r="C2639" s="9" t="s">
        <v>94</v>
      </c>
      <c r="D2639" s="9" t="s">
        <v>92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153</v>
      </c>
      <c r="B2640" s="9" t="s">
        <v>2929</v>
      </c>
      <c r="C2640" s="9" t="s">
        <v>94</v>
      </c>
      <c r="D2640" s="9" t="s">
        <v>92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153</v>
      </c>
      <c r="B2641" s="9" t="s">
        <v>2930</v>
      </c>
      <c r="C2641" s="9" t="s">
        <v>94</v>
      </c>
      <c r="D2641" s="9" t="s">
        <v>92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153</v>
      </c>
      <c r="B2642" s="9" t="s">
        <v>2931</v>
      </c>
      <c r="C2642" s="9" t="s">
        <v>94</v>
      </c>
      <c r="D2642" s="9" t="s">
        <v>92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153</v>
      </c>
      <c r="B2643" s="9" t="s">
        <v>2932</v>
      </c>
      <c r="C2643" s="9" t="s">
        <v>94</v>
      </c>
      <c r="D2643" s="9" t="s">
        <v>92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153</v>
      </c>
      <c r="B2644" s="9" t="s">
        <v>2933</v>
      </c>
      <c r="C2644" s="9" t="s">
        <v>94</v>
      </c>
      <c r="D2644" s="9" t="s">
        <v>92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153</v>
      </c>
      <c r="B2645" s="9" t="s">
        <v>2934</v>
      </c>
      <c r="C2645" s="9" t="s">
        <v>94</v>
      </c>
      <c r="D2645" s="9" t="s">
        <v>92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153</v>
      </c>
      <c r="B2646" s="9" t="s">
        <v>2935</v>
      </c>
      <c r="C2646" s="9" t="s">
        <v>94</v>
      </c>
      <c r="D2646" s="9" t="s">
        <v>92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153</v>
      </c>
      <c r="B2647" s="9" t="s">
        <v>2936</v>
      </c>
      <c r="C2647" s="9" t="s">
        <v>94</v>
      </c>
      <c r="D2647" s="9" t="s">
        <v>92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153</v>
      </c>
      <c r="B2648" s="9" t="s">
        <v>2937</v>
      </c>
      <c r="C2648" s="9" t="s">
        <v>94</v>
      </c>
      <c r="D2648" s="9" t="s">
        <v>92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153</v>
      </c>
      <c r="B2649" s="9" t="s">
        <v>2938</v>
      </c>
      <c r="C2649" s="9" t="s">
        <v>94</v>
      </c>
      <c r="D2649" s="9" t="s">
        <v>92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153</v>
      </c>
      <c r="B2650" s="9" t="s">
        <v>2939</v>
      </c>
      <c r="C2650" s="9" t="s">
        <v>94</v>
      </c>
      <c r="D2650" s="9" t="s">
        <v>92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153</v>
      </c>
      <c r="B2651" s="9" t="s">
        <v>2940</v>
      </c>
      <c r="C2651" s="9" t="s">
        <v>94</v>
      </c>
      <c r="D2651" s="9" t="s">
        <v>92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153</v>
      </c>
      <c r="B2652" s="9" t="s">
        <v>2941</v>
      </c>
      <c r="C2652" s="9" t="s">
        <v>94</v>
      </c>
      <c r="D2652" s="9" t="s">
        <v>92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153</v>
      </c>
      <c r="B2653" s="9" t="s">
        <v>2942</v>
      </c>
      <c r="C2653" s="9" t="s">
        <v>94</v>
      </c>
      <c r="D2653" s="9" t="s">
        <v>92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153</v>
      </c>
      <c r="B2654" s="9" t="s">
        <v>2943</v>
      </c>
      <c r="C2654" s="9" t="s">
        <v>94</v>
      </c>
      <c r="D2654" s="9" t="s">
        <v>92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153</v>
      </c>
      <c r="B2655" s="9" t="s">
        <v>2944</v>
      </c>
      <c r="C2655" s="9" t="s">
        <v>94</v>
      </c>
      <c r="D2655" s="9" t="s">
        <v>92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153</v>
      </c>
      <c r="B2656" s="9" t="s">
        <v>2945</v>
      </c>
      <c r="C2656" s="9" t="s">
        <v>94</v>
      </c>
      <c r="D2656" s="9" t="s">
        <v>92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153</v>
      </c>
      <c r="B2657" s="9" t="s">
        <v>2946</v>
      </c>
      <c r="C2657" s="9" t="s">
        <v>94</v>
      </c>
      <c r="D2657" s="9" t="s">
        <v>92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153</v>
      </c>
      <c r="B2658" s="9" t="s">
        <v>2947</v>
      </c>
      <c r="C2658" s="9" t="s">
        <v>94</v>
      </c>
      <c r="D2658" s="9" t="s">
        <v>92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153</v>
      </c>
      <c r="B2659" s="9" t="s">
        <v>2948</v>
      </c>
      <c r="C2659" s="9" t="s">
        <v>94</v>
      </c>
      <c r="D2659" s="9" t="s">
        <v>92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153</v>
      </c>
      <c r="B2660" s="9" t="s">
        <v>2949</v>
      </c>
      <c r="C2660" s="9" t="s">
        <v>94</v>
      </c>
      <c r="D2660" s="9" t="s">
        <v>92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153</v>
      </c>
      <c r="B2661" s="9" t="s">
        <v>2950</v>
      </c>
      <c r="C2661" s="9" t="s">
        <v>94</v>
      </c>
      <c r="D2661" s="9" t="s">
        <v>92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153</v>
      </c>
      <c r="B2662" s="9" t="s">
        <v>2951</v>
      </c>
      <c r="C2662" s="9" t="s">
        <v>94</v>
      </c>
      <c r="D2662" s="9" t="s">
        <v>92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153</v>
      </c>
      <c r="B2663" s="9" t="s">
        <v>2952</v>
      </c>
      <c r="C2663" s="9" t="s">
        <v>94</v>
      </c>
      <c r="D2663" s="9" t="s">
        <v>92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153</v>
      </c>
      <c r="B2664" s="9" t="s">
        <v>2953</v>
      </c>
      <c r="C2664" s="9" t="s">
        <v>94</v>
      </c>
      <c r="D2664" s="9" t="s">
        <v>92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153</v>
      </c>
      <c r="B2665" s="9" t="s">
        <v>2954</v>
      </c>
      <c r="C2665" s="9" t="s">
        <v>94</v>
      </c>
      <c r="D2665" s="9" t="s">
        <v>92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153</v>
      </c>
      <c r="B2666" s="9" t="s">
        <v>2955</v>
      </c>
      <c r="C2666" s="9" t="s">
        <v>94</v>
      </c>
      <c r="D2666" s="9" t="s">
        <v>92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153</v>
      </c>
      <c r="B2667" s="9" t="s">
        <v>2956</v>
      </c>
      <c r="C2667" s="9" t="s">
        <v>94</v>
      </c>
      <c r="D2667" s="9" t="s">
        <v>92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153</v>
      </c>
      <c r="B2668" s="9" t="s">
        <v>2957</v>
      </c>
      <c r="C2668" s="9" t="s">
        <v>94</v>
      </c>
      <c r="D2668" s="9" t="s">
        <v>92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153</v>
      </c>
      <c r="B2669" s="9" t="s">
        <v>2958</v>
      </c>
      <c r="C2669" s="9" t="s">
        <v>94</v>
      </c>
      <c r="D2669" s="9" t="s">
        <v>92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153</v>
      </c>
      <c r="B2670" s="9" t="s">
        <v>2959</v>
      </c>
      <c r="C2670" s="9" t="s">
        <v>94</v>
      </c>
      <c r="D2670" s="9" t="s">
        <v>92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153</v>
      </c>
      <c r="B2671" s="9" t="s">
        <v>2960</v>
      </c>
      <c r="C2671" s="9" t="s">
        <v>94</v>
      </c>
      <c r="D2671" s="9" t="s">
        <v>92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153</v>
      </c>
      <c r="B2672" s="9" t="s">
        <v>2961</v>
      </c>
      <c r="C2672" s="9" t="s">
        <v>94</v>
      </c>
      <c r="D2672" s="9" t="s">
        <v>92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153</v>
      </c>
      <c r="B2673" s="9" t="s">
        <v>602</v>
      </c>
      <c r="C2673" s="9" t="s">
        <v>94</v>
      </c>
      <c r="D2673" s="9" t="s">
        <v>92</v>
      </c>
      <c r="E2673" s="9" t="s">
        <v>0</v>
      </c>
      <c r="F2673" s="27"/>
      <c r="G2673" s="24"/>
      <c r="H2673" s="24"/>
      <c r="I2673" s="28"/>
      <c r="J2673" s="27">
        <v>1</v>
      </c>
      <c r="K2673" s="24">
        <v>2695.3</v>
      </c>
      <c r="L2673" s="24">
        <v>2705.15</v>
      </c>
      <c r="M2673" s="28">
        <v>2</v>
      </c>
      <c r="N2673" s="27">
        <v>1</v>
      </c>
      <c r="O2673" s="10"/>
      <c r="P2673" s="10">
        <v>2695.3</v>
      </c>
      <c r="Q2673" s="10"/>
      <c r="R2673" s="10"/>
      <c r="S2673" s="10">
        <v>-2705.15</v>
      </c>
      <c r="T2673" s="10"/>
      <c r="U2673" s="29">
        <v>2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153</v>
      </c>
      <c r="B2674" s="9" t="s">
        <v>603</v>
      </c>
      <c r="C2674" s="9" t="s">
        <v>94</v>
      </c>
      <c r="D2674" s="9" t="s">
        <v>92</v>
      </c>
      <c r="E2674" s="9" t="s">
        <v>0</v>
      </c>
      <c r="F2674" s="27"/>
      <c r="G2674" s="24"/>
      <c r="H2674" s="24"/>
      <c r="I2674" s="28"/>
      <c r="J2674" s="27">
        <v>2</v>
      </c>
      <c r="K2674" s="24">
        <v>2698.05</v>
      </c>
      <c r="L2674" s="24">
        <v>2702.6</v>
      </c>
      <c r="M2674" s="28">
        <v>4</v>
      </c>
      <c r="N2674" s="27">
        <v>2</v>
      </c>
      <c r="O2674" s="10"/>
      <c r="P2674" s="10">
        <v>2698.05</v>
      </c>
      <c r="Q2674" s="10"/>
      <c r="R2674" s="10"/>
      <c r="S2674" s="10">
        <v>-2702.6</v>
      </c>
      <c r="T2674" s="10"/>
      <c r="U2674" s="29">
        <v>4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153</v>
      </c>
      <c r="B2675" s="9" t="s">
        <v>604</v>
      </c>
      <c r="C2675" s="9" t="s">
        <v>94</v>
      </c>
      <c r="D2675" s="9" t="s">
        <v>92</v>
      </c>
      <c r="E2675" s="9" t="s">
        <v>0</v>
      </c>
      <c r="F2675" s="27"/>
      <c r="G2675" s="24"/>
      <c r="H2675" s="24"/>
      <c r="I2675" s="28"/>
      <c r="J2675" s="27">
        <v>0</v>
      </c>
      <c r="K2675" s="24"/>
      <c r="L2675" s="24"/>
      <c r="M2675" s="28">
        <v>0</v>
      </c>
      <c r="N2675" s="27">
        <v>0</v>
      </c>
      <c r="O2675" s="10"/>
      <c r="P2675" s="10"/>
      <c r="Q2675" s="10"/>
      <c r="R2675" s="10"/>
      <c r="S2675" s="10"/>
      <c r="T2675" s="10"/>
      <c r="U2675" s="29">
        <v>0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153</v>
      </c>
      <c r="B2676" s="9" t="s">
        <v>605</v>
      </c>
      <c r="C2676" s="9" t="s">
        <v>94</v>
      </c>
      <c r="D2676" s="9" t="s">
        <v>92</v>
      </c>
      <c r="E2676" s="9" t="s">
        <v>0</v>
      </c>
      <c r="F2676" s="27"/>
      <c r="G2676" s="24"/>
      <c r="H2676" s="24"/>
      <c r="I2676" s="28"/>
      <c r="J2676" s="27">
        <v>0</v>
      </c>
      <c r="K2676" s="24"/>
      <c r="L2676" s="24"/>
      <c r="M2676" s="28">
        <v>0</v>
      </c>
      <c r="N2676" s="27">
        <v>0</v>
      </c>
      <c r="O2676" s="10"/>
      <c r="P2676" s="10"/>
      <c r="Q2676" s="10"/>
      <c r="R2676" s="10"/>
      <c r="S2676" s="10"/>
      <c r="T2676" s="10"/>
      <c r="U2676" s="29">
        <v>0</v>
      </c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153</v>
      </c>
      <c r="B2677" s="9" t="s">
        <v>2962</v>
      </c>
      <c r="C2677" s="9" t="s">
        <v>94</v>
      </c>
      <c r="D2677" s="9" t="s">
        <v>92</v>
      </c>
      <c r="E2677" s="9" t="s">
        <v>0</v>
      </c>
      <c r="F2677" s="27"/>
      <c r="G2677" s="24"/>
      <c r="H2677" s="24"/>
      <c r="I2677" s="28"/>
      <c r="J2677" s="27">
        <v>0</v>
      </c>
      <c r="K2677" s="24"/>
      <c r="L2677" s="24"/>
      <c r="M2677" s="28">
        <v>0</v>
      </c>
      <c r="N2677" s="27">
        <v>0</v>
      </c>
      <c r="O2677" s="10"/>
      <c r="P2677" s="10"/>
      <c r="Q2677" s="10"/>
      <c r="R2677" s="10"/>
      <c r="S2677" s="10"/>
      <c r="T2677" s="10"/>
      <c r="U2677" s="29">
        <v>0</v>
      </c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153</v>
      </c>
      <c r="B2678" s="9" t="s">
        <v>606</v>
      </c>
      <c r="C2678" s="9" t="s">
        <v>94</v>
      </c>
      <c r="D2678" s="9" t="s">
        <v>92</v>
      </c>
      <c r="E2678" s="9" t="s">
        <v>0</v>
      </c>
      <c r="F2678" s="27"/>
      <c r="G2678" s="24"/>
      <c r="H2678" s="24"/>
      <c r="I2678" s="28"/>
      <c r="J2678" s="27">
        <v>2</v>
      </c>
      <c r="K2678" s="24">
        <v>2698.55</v>
      </c>
      <c r="L2678" s="24">
        <v>2702.0499999999997</v>
      </c>
      <c r="M2678" s="28">
        <v>4</v>
      </c>
      <c r="N2678" s="27">
        <v>2</v>
      </c>
      <c r="O2678" s="10"/>
      <c r="P2678" s="10">
        <v>2698.55</v>
      </c>
      <c r="Q2678" s="10"/>
      <c r="R2678" s="10"/>
      <c r="S2678" s="10">
        <v>-2702.0499999999997</v>
      </c>
      <c r="T2678" s="10"/>
      <c r="U2678" s="29">
        <v>4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153</v>
      </c>
      <c r="B2679" s="9" t="s">
        <v>607</v>
      </c>
      <c r="C2679" s="9" t="s">
        <v>94</v>
      </c>
      <c r="D2679" s="9" t="s">
        <v>92</v>
      </c>
      <c r="E2679" s="9" t="s">
        <v>0</v>
      </c>
      <c r="F2679" s="27"/>
      <c r="G2679" s="24"/>
      <c r="H2679" s="24"/>
      <c r="I2679" s="28"/>
      <c r="J2679" s="27">
        <v>0</v>
      </c>
      <c r="K2679" s="24"/>
      <c r="L2679" s="24"/>
      <c r="M2679" s="28">
        <v>0</v>
      </c>
      <c r="N2679" s="27">
        <v>0</v>
      </c>
      <c r="O2679" s="10"/>
      <c r="P2679" s="10"/>
      <c r="Q2679" s="10"/>
      <c r="R2679" s="10"/>
      <c r="S2679" s="10"/>
      <c r="T2679" s="10"/>
      <c r="U2679" s="29">
        <v>0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153</v>
      </c>
      <c r="B2680" s="9" t="s">
        <v>608</v>
      </c>
      <c r="C2680" s="9" t="s">
        <v>94</v>
      </c>
      <c r="D2680" s="9" t="s">
        <v>92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153</v>
      </c>
      <c r="B2681" s="9" t="s">
        <v>2963</v>
      </c>
      <c r="C2681" s="9" t="s">
        <v>94</v>
      </c>
      <c r="D2681" s="9" t="s">
        <v>92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153</v>
      </c>
      <c r="B2682" s="9" t="s">
        <v>609</v>
      </c>
      <c r="C2682" s="9" t="s">
        <v>94</v>
      </c>
      <c r="D2682" s="9" t="s">
        <v>92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2694.3500000000004</v>
      </c>
      <c r="L2682" s="24">
        <v>2706.15</v>
      </c>
      <c r="M2682" s="28">
        <v>2</v>
      </c>
      <c r="N2682" s="27">
        <v>1</v>
      </c>
      <c r="O2682" s="10"/>
      <c r="P2682" s="10">
        <v>2694.3500000000004</v>
      </c>
      <c r="Q2682" s="10"/>
      <c r="R2682" s="10"/>
      <c r="S2682" s="10">
        <v>-2706.15</v>
      </c>
      <c r="T2682" s="10"/>
      <c r="U2682" s="29">
        <v>2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153</v>
      </c>
      <c r="B2683" s="9" t="s">
        <v>610</v>
      </c>
      <c r="C2683" s="9" t="s">
        <v>94</v>
      </c>
      <c r="D2683" s="9" t="s">
        <v>92</v>
      </c>
      <c r="E2683" s="9" t="s">
        <v>0</v>
      </c>
      <c r="F2683" s="27"/>
      <c r="G2683" s="24"/>
      <c r="H2683" s="24"/>
      <c r="I2683" s="28"/>
      <c r="J2683" s="27">
        <v>0</v>
      </c>
      <c r="K2683" s="24"/>
      <c r="L2683" s="24"/>
      <c r="M2683" s="28">
        <v>0</v>
      </c>
      <c r="N2683" s="27">
        <v>0</v>
      </c>
      <c r="O2683" s="10"/>
      <c r="P2683" s="10"/>
      <c r="Q2683" s="10"/>
      <c r="R2683" s="10"/>
      <c r="S2683" s="10"/>
      <c r="T2683" s="10"/>
      <c r="U2683" s="29">
        <v>0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153</v>
      </c>
      <c r="B2684" s="9" t="s">
        <v>611</v>
      </c>
      <c r="C2684" s="9" t="s">
        <v>94</v>
      </c>
      <c r="D2684" s="9" t="s">
        <v>92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153</v>
      </c>
      <c r="B2685" s="9" t="s">
        <v>2964</v>
      </c>
      <c r="C2685" s="9" t="s">
        <v>94</v>
      </c>
      <c r="D2685" s="9" t="s">
        <v>92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153</v>
      </c>
      <c r="B2686" s="9" t="s">
        <v>612</v>
      </c>
      <c r="C2686" s="9" t="s">
        <v>94</v>
      </c>
      <c r="D2686" s="9" t="s">
        <v>92</v>
      </c>
      <c r="E2686" s="9" t="s">
        <v>0</v>
      </c>
      <c r="F2686" s="27"/>
      <c r="G2686" s="24"/>
      <c r="H2686" s="24"/>
      <c r="I2686" s="28"/>
      <c r="J2686" s="27">
        <v>0</v>
      </c>
      <c r="K2686" s="24"/>
      <c r="L2686" s="24"/>
      <c r="M2686" s="28">
        <v>0</v>
      </c>
      <c r="N2686" s="27">
        <v>0</v>
      </c>
      <c r="O2686" s="10"/>
      <c r="P2686" s="10"/>
      <c r="Q2686" s="10"/>
      <c r="R2686" s="10"/>
      <c r="S2686" s="10"/>
      <c r="T2686" s="10"/>
      <c r="U2686" s="29">
        <v>0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153</v>
      </c>
      <c r="B2687" s="9" t="s">
        <v>613</v>
      </c>
      <c r="C2687" s="9" t="s">
        <v>94</v>
      </c>
      <c r="D2687" s="9" t="s">
        <v>92</v>
      </c>
      <c r="E2687" s="9" t="s">
        <v>0</v>
      </c>
      <c r="F2687" s="27"/>
      <c r="G2687" s="24"/>
      <c r="H2687" s="24"/>
      <c r="I2687" s="28"/>
      <c r="J2687" s="27">
        <v>0</v>
      </c>
      <c r="K2687" s="24"/>
      <c r="L2687" s="24"/>
      <c r="M2687" s="28">
        <v>0</v>
      </c>
      <c r="N2687" s="27">
        <v>0</v>
      </c>
      <c r="O2687" s="10"/>
      <c r="P2687" s="10"/>
      <c r="Q2687" s="10"/>
      <c r="R2687" s="10"/>
      <c r="S2687" s="10"/>
      <c r="T2687" s="10"/>
      <c r="U2687" s="29">
        <v>0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153</v>
      </c>
      <c r="B2688" s="9" t="s">
        <v>614</v>
      </c>
      <c r="C2688" s="9" t="s">
        <v>94</v>
      </c>
      <c r="D2688" s="9" t="s">
        <v>92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153</v>
      </c>
      <c r="B2689" s="9" t="s">
        <v>2965</v>
      </c>
      <c r="C2689" s="9" t="s">
        <v>94</v>
      </c>
      <c r="D2689" s="9" t="s">
        <v>92</v>
      </c>
      <c r="E2689" s="9" t="s">
        <v>0</v>
      </c>
      <c r="F2689" s="27"/>
      <c r="G2689" s="24"/>
      <c r="H2689" s="24"/>
      <c r="I2689" s="28"/>
      <c r="J2689" s="27">
        <v>0</v>
      </c>
      <c r="K2689" s="24"/>
      <c r="L2689" s="24"/>
      <c r="M2689" s="28">
        <v>0</v>
      </c>
      <c r="N2689" s="27">
        <v>0</v>
      </c>
      <c r="O2689" s="10"/>
      <c r="P2689" s="10"/>
      <c r="Q2689" s="10"/>
      <c r="R2689" s="10"/>
      <c r="S2689" s="10"/>
      <c r="T2689" s="10"/>
      <c r="U2689" s="29">
        <v>0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153</v>
      </c>
      <c r="B2690" s="9" t="s">
        <v>615</v>
      </c>
      <c r="C2690" s="9" t="s">
        <v>94</v>
      </c>
      <c r="D2690" s="9" t="s">
        <v>92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153</v>
      </c>
      <c r="B2691" s="9" t="s">
        <v>616</v>
      </c>
      <c r="C2691" s="9" t="s">
        <v>94</v>
      </c>
      <c r="D2691" s="9" t="s">
        <v>92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153</v>
      </c>
      <c r="B2692" s="9" t="s">
        <v>617</v>
      </c>
      <c r="C2692" s="9" t="s">
        <v>94</v>
      </c>
      <c r="D2692" s="9" t="s">
        <v>92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153</v>
      </c>
      <c r="B2693" s="9" t="s">
        <v>2966</v>
      </c>
      <c r="C2693" s="9" t="s">
        <v>94</v>
      </c>
      <c r="D2693" s="9" t="s">
        <v>92</v>
      </c>
      <c r="E2693" s="9" t="s">
        <v>0</v>
      </c>
      <c r="F2693" s="27"/>
      <c r="G2693" s="24"/>
      <c r="H2693" s="24"/>
      <c r="I2693" s="28"/>
      <c r="J2693" s="27">
        <v>0</v>
      </c>
      <c r="K2693" s="24"/>
      <c r="L2693" s="24"/>
      <c r="M2693" s="28">
        <v>0</v>
      </c>
      <c r="N2693" s="27">
        <v>0</v>
      </c>
      <c r="O2693" s="10"/>
      <c r="P2693" s="10"/>
      <c r="Q2693" s="10"/>
      <c r="R2693" s="10"/>
      <c r="S2693" s="10"/>
      <c r="T2693" s="10"/>
      <c r="U2693" s="29">
        <v>0</v>
      </c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153</v>
      </c>
      <c r="B2694" s="9" t="s">
        <v>2967</v>
      </c>
      <c r="C2694" s="9" t="s">
        <v>94</v>
      </c>
      <c r="D2694" s="9" t="s">
        <v>92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153</v>
      </c>
      <c r="B2695" s="9" t="s">
        <v>2968</v>
      </c>
      <c r="C2695" s="9" t="s">
        <v>94</v>
      </c>
      <c r="D2695" s="9" t="s">
        <v>92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153</v>
      </c>
      <c r="B2696" s="9" t="s">
        <v>2969</v>
      </c>
      <c r="C2696" s="9" t="s">
        <v>94</v>
      </c>
      <c r="D2696" s="9" t="s">
        <v>92</v>
      </c>
      <c r="E2696" s="9" t="s">
        <v>0</v>
      </c>
      <c r="F2696" s="27"/>
      <c r="G2696" s="24"/>
      <c r="H2696" s="24"/>
      <c r="I2696" s="28"/>
      <c r="J2696" s="27">
        <v>0</v>
      </c>
      <c r="K2696" s="24"/>
      <c r="L2696" s="24"/>
      <c r="M2696" s="28">
        <v>0</v>
      </c>
      <c r="N2696" s="27">
        <v>0</v>
      </c>
      <c r="O2696" s="10"/>
      <c r="P2696" s="10"/>
      <c r="Q2696" s="10"/>
      <c r="R2696" s="10"/>
      <c r="S2696" s="10"/>
      <c r="T2696" s="10"/>
      <c r="U2696" s="29">
        <v>0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153</v>
      </c>
      <c r="B2697" s="9" t="s">
        <v>2970</v>
      </c>
      <c r="C2697" s="9" t="s">
        <v>94</v>
      </c>
      <c r="D2697" s="9" t="s">
        <v>92</v>
      </c>
      <c r="E2697" s="9" t="s">
        <v>0</v>
      </c>
      <c r="F2697" s="27"/>
      <c r="G2697" s="24"/>
      <c r="H2697" s="24"/>
      <c r="I2697" s="28"/>
      <c r="J2697" s="27">
        <v>0</v>
      </c>
      <c r="K2697" s="24"/>
      <c r="L2697" s="24"/>
      <c r="M2697" s="28">
        <v>0</v>
      </c>
      <c r="N2697" s="27">
        <v>0</v>
      </c>
      <c r="O2697" s="10"/>
      <c r="P2697" s="10"/>
      <c r="Q2697" s="10"/>
      <c r="R2697" s="10"/>
      <c r="S2697" s="10"/>
      <c r="T2697" s="10"/>
      <c r="U2697" s="29">
        <v>0</v>
      </c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153</v>
      </c>
      <c r="B2698" s="9" t="s">
        <v>618</v>
      </c>
      <c r="C2698" s="9" t="s">
        <v>94</v>
      </c>
      <c r="D2698" s="9" t="s">
        <v>92</v>
      </c>
      <c r="E2698" s="9" t="s">
        <v>0</v>
      </c>
      <c r="F2698" s="27"/>
      <c r="G2698" s="24"/>
      <c r="H2698" s="24"/>
      <c r="I2698" s="28"/>
      <c r="J2698" s="27">
        <v>0</v>
      </c>
      <c r="K2698" s="24"/>
      <c r="L2698" s="24"/>
      <c r="M2698" s="28">
        <v>0</v>
      </c>
      <c r="N2698" s="27">
        <v>0</v>
      </c>
      <c r="O2698" s="10"/>
      <c r="P2698" s="10"/>
      <c r="Q2698" s="10"/>
      <c r="R2698" s="10"/>
      <c r="S2698" s="10"/>
      <c r="T2698" s="10"/>
      <c r="U2698" s="29">
        <v>0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153</v>
      </c>
      <c r="B2699" s="9" t="s">
        <v>619</v>
      </c>
      <c r="C2699" s="9" t="s">
        <v>94</v>
      </c>
      <c r="D2699" s="9" t="s">
        <v>92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153</v>
      </c>
      <c r="B2700" s="9" t="s">
        <v>2971</v>
      </c>
      <c r="C2700" s="9" t="s">
        <v>94</v>
      </c>
      <c r="D2700" s="9" t="s">
        <v>92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153</v>
      </c>
      <c r="B2701" s="9" t="s">
        <v>620</v>
      </c>
      <c r="C2701" s="9" t="s">
        <v>94</v>
      </c>
      <c r="D2701" s="9" t="s">
        <v>92</v>
      </c>
      <c r="E2701" s="9" t="s">
        <v>0</v>
      </c>
      <c r="F2701" s="27"/>
      <c r="G2701" s="24"/>
      <c r="H2701" s="24"/>
      <c r="I2701" s="28"/>
      <c r="J2701" s="27">
        <v>0</v>
      </c>
      <c r="K2701" s="24"/>
      <c r="L2701" s="24"/>
      <c r="M2701" s="28">
        <v>0</v>
      </c>
      <c r="N2701" s="27">
        <v>0</v>
      </c>
      <c r="O2701" s="10"/>
      <c r="P2701" s="10"/>
      <c r="Q2701" s="10"/>
      <c r="R2701" s="10"/>
      <c r="S2701" s="10"/>
      <c r="T2701" s="10"/>
      <c r="U2701" s="29">
        <v>0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153</v>
      </c>
      <c r="B2702" s="9" t="s">
        <v>621</v>
      </c>
      <c r="C2702" s="9" t="s">
        <v>94</v>
      </c>
      <c r="D2702" s="9" t="s">
        <v>92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153</v>
      </c>
      <c r="B2703" s="9" t="s">
        <v>2972</v>
      </c>
      <c r="C2703" s="9" t="s">
        <v>94</v>
      </c>
      <c r="D2703" s="9" t="s">
        <v>92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153</v>
      </c>
      <c r="B2704" s="9" t="s">
        <v>622</v>
      </c>
      <c r="C2704" s="9" t="s">
        <v>94</v>
      </c>
      <c r="D2704" s="9" t="s">
        <v>92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153</v>
      </c>
      <c r="B2705" s="9" t="s">
        <v>623</v>
      </c>
      <c r="C2705" s="9" t="s">
        <v>94</v>
      </c>
      <c r="D2705" s="9" t="s">
        <v>92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153</v>
      </c>
      <c r="B2706" s="9" t="s">
        <v>2973</v>
      </c>
      <c r="C2706" s="9" t="s">
        <v>94</v>
      </c>
      <c r="D2706" s="9" t="s">
        <v>92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153</v>
      </c>
      <c r="B2707" s="9" t="s">
        <v>2974</v>
      </c>
      <c r="C2707" s="9" t="s">
        <v>94</v>
      </c>
      <c r="D2707" s="9" t="s">
        <v>92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153</v>
      </c>
      <c r="B2708" s="9" t="s">
        <v>2975</v>
      </c>
      <c r="C2708" s="9" t="s">
        <v>94</v>
      </c>
      <c r="D2708" s="9" t="s">
        <v>92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153</v>
      </c>
      <c r="B2709" s="9" t="s">
        <v>2976</v>
      </c>
      <c r="C2709" s="9" t="s">
        <v>94</v>
      </c>
      <c r="D2709" s="9" t="s">
        <v>92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153</v>
      </c>
      <c r="B2710" s="9" t="s">
        <v>624</v>
      </c>
      <c r="C2710" s="9" t="s">
        <v>94</v>
      </c>
      <c r="D2710" s="9" t="s">
        <v>92</v>
      </c>
      <c r="E2710" s="9" t="s">
        <v>0</v>
      </c>
      <c r="F2710" s="27"/>
      <c r="G2710" s="24"/>
      <c r="H2710" s="24"/>
      <c r="I2710" s="28"/>
      <c r="J2710" s="27">
        <v>0</v>
      </c>
      <c r="K2710" s="24"/>
      <c r="L2710" s="24"/>
      <c r="M2710" s="28">
        <v>0</v>
      </c>
      <c r="N2710" s="27">
        <v>0</v>
      </c>
      <c r="O2710" s="10"/>
      <c r="P2710" s="10"/>
      <c r="Q2710" s="10"/>
      <c r="R2710" s="10"/>
      <c r="S2710" s="10"/>
      <c r="T2710" s="10"/>
      <c r="U2710" s="29">
        <v>0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153</v>
      </c>
      <c r="B2711" s="9" t="s">
        <v>625</v>
      </c>
      <c r="C2711" s="9" t="s">
        <v>94</v>
      </c>
      <c r="D2711" s="9" t="s">
        <v>92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153</v>
      </c>
      <c r="B2712" s="9" t="s">
        <v>2977</v>
      </c>
      <c r="C2712" s="9" t="s">
        <v>94</v>
      </c>
      <c r="D2712" s="9" t="s">
        <v>92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153</v>
      </c>
      <c r="B2713" s="9" t="s">
        <v>626</v>
      </c>
      <c r="C2713" s="9" t="s">
        <v>94</v>
      </c>
      <c r="D2713" s="9" t="s">
        <v>92</v>
      </c>
      <c r="E2713" s="9" t="s">
        <v>0</v>
      </c>
      <c r="F2713" s="27"/>
      <c r="G2713" s="24"/>
      <c r="H2713" s="24"/>
      <c r="I2713" s="28"/>
      <c r="J2713" s="27">
        <v>0</v>
      </c>
      <c r="K2713" s="24"/>
      <c r="L2713" s="24"/>
      <c r="M2713" s="28">
        <v>0</v>
      </c>
      <c r="N2713" s="27">
        <v>0</v>
      </c>
      <c r="O2713" s="10"/>
      <c r="P2713" s="10"/>
      <c r="Q2713" s="10"/>
      <c r="R2713" s="10"/>
      <c r="S2713" s="10"/>
      <c r="T2713" s="10"/>
      <c r="U2713" s="29">
        <v>0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153</v>
      </c>
      <c r="B2714" s="9" t="s">
        <v>627</v>
      </c>
      <c r="C2714" s="9" t="s">
        <v>94</v>
      </c>
      <c r="D2714" s="9" t="s">
        <v>92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153</v>
      </c>
      <c r="B2715" s="9" t="s">
        <v>2978</v>
      </c>
      <c r="C2715" s="9" t="s">
        <v>94</v>
      </c>
      <c r="D2715" s="9" t="s">
        <v>92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153</v>
      </c>
      <c r="B2716" s="9" t="s">
        <v>628</v>
      </c>
      <c r="C2716" s="9" t="s">
        <v>94</v>
      </c>
      <c r="D2716" s="9" t="s">
        <v>92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153</v>
      </c>
      <c r="B2717" s="9" t="s">
        <v>629</v>
      </c>
      <c r="C2717" s="9" t="s">
        <v>94</v>
      </c>
      <c r="D2717" s="9" t="s">
        <v>92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153</v>
      </c>
      <c r="B2718" s="9" t="s">
        <v>2979</v>
      </c>
      <c r="C2718" s="9" t="s">
        <v>94</v>
      </c>
      <c r="D2718" s="9" t="s">
        <v>92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153</v>
      </c>
      <c r="B2719" s="9" t="s">
        <v>2980</v>
      </c>
      <c r="C2719" s="9" t="s">
        <v>94</v>
      </c>
      <c r="D2719" s="9" t="s">
        <v>92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153</v>
      </c>
      <c r="B2720" s="9" t="s">
        <v>2981</v>
      </c>
      <c r="C2720" s="9" t="s">
        <v>94</v>
      </c>
      <c r="D2720" s="9" t="s">
        <v>92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153</v>
      </c>
      <c r="B2721" s="9" t="s">
        <v>2982</v>
      </c>
      <c r="C2721" s="9" t="s">
        <v>94</v>
      </c>
      <c r="D2721" s="9" t="s">
        <v>92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153</v>
      </c>
      <c r="B2722" s="9" t="s">
        <v>630</v>
      </c>
      <c r="C2722" s="9" t="s">
        <v>94</v>
      </c>
      <c r="D2722" s="9" t="s">
        <v>92</v>
      </c>
      <c r="E2722" s="9" t="s">
        <v>0</v>
      </c>
      <c r="F2722" s="27"/>
      <c r="G2722" s="24"/>
      <c r="H2722" s="24"/>
      <c r="I2722" s="28"/>
      <c r="J2722" s="27">
        <v>0</v>
      </c>
      <c r="K2722" s="24"/>
      <c r="L2722" s="24"/>
      <c r="M2722" s="28">
        <v>0</v>
      </c>
      <c r="N2722" s="27">
        <v>0</v>
      </c>
      <c r="O2722" s="10"/>
      <c r="P2722" s="10"/>
      <c r="Q2722" s="10"/>
      <c r="R2722" s="10"/>
      <c r="S2722" s="10"/>
      <c r="T2722" s="10"/>
      <c r="U2722" s="29">
        <v>0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153</v>
      </c>
      <c r="B2723" s="9" t="s">
        <v>631</v>
      </c>
      <c r="C2723" s="9" t="s">
        <v>94</v>
      </c>
      <c r="D2723" s="9" t="s">
        <v>92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153</v>
      </c>
      <c r="B2724" s="9" t="s">
        <v>2983</v>
      </c>
      <c r="C2724" s="9" t="s">
        <v>94</v>
      </c>
      <c r="D2724" s="9" t="s">
        <v>92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153</v>
      </c>
      <c r="B2725" s="9" t="s">
        <v>632</v>
      </c>
      <c r="C2725" s="9" t="s">
        <v>94</v>
      </c>
      <c r="D2725" s="9" t="s">
        <v>92</v>
      </c>
      <c r="E2725" s="9" t="s">
        <v>0</v>
      </c>
      <c r="F2725" s="27"/>
      <c r="G2725" s="24"/>
      <c r="H2725" s="24"/>
      <c r="I2725" s="28"/>
      <c r="J2725" s="27">
        <v>0</v>
      </c>
      <c r="K2725" s="24"/>
      <c r="L2725" s="24"/>
      <c r="M2725" s="28">
        <v>0</v>
      </c>
      <c r="N2725" s="27">
        <v>0</v>
      </c>
      <c r="O2725" s="10"/>
      <c r="P2725" s="10"/>
      <c r="Q2725" s="10"/>
      <c r="R2725" s="10"/>
      <c r="S2725" s="10"/>
      <c r="T2725" s="10"/>
      <c r="U2725" s="29">
        <v>0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153</v>
      </c>
      <c r="B2726" s="9" t="s">
        <v>633</v>
      </c>
      <c r="C2726" s="9" t="s">
        <v>94</v>
      </c>
      <c r="D2726" s="9" t="s">
        <v>92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153</v>
      </c>
      <c r="B2727" s="9" t="s">
        <v>2984</v>
      </c>
      <c r="C2727" s="9" t="s">
        <v>94</v>
      </c>
      <c r="D2727" s="9" t="s">
        <v>92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153</v>
      </c>
      <c r="B2728" s="9" t="s">
        <v>634</v>
      </c>
      <c r="C2728" s="9" t="s">
        <v>94</v>
      </c>
      <c r="D2728" s="9" t="s">
        <v>92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153</v>
      </c>
      <c r="B2729" s="9" t="s">
        <v>635</v>
      </c>
      <c r="C2729" s="9" t="s">
        <v>94</v>
      </c>
      <c r="D2729" s="9" t="s">
        <v>92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153</v>
      </c>
      <c r="B2730" s="9" t="s">
        <v>2985</v>
      </c>
      <c r="C2730" s="9" t="s">
        <v>94</v>
      </c>
      <c r="D2730" s="9" t="s">
        <v>92</v>
      </c>
      <c r="E2730" s="9" t="s">
        <v>0</v>
      </c>
      <c r="F2730" s="27"/>
      <c r="G2730" s="24"/>
      <c r="H2730" s="24"/>
      <c r="I2730" s="28"/>
      <c r="J2730" s="27">
        <v>0</v>
      </c>
      <c r="K2730" s="24"/>
      <c r="L2730" s="24"/>
      <c r="M2730" s="28">
        <v>0</v>
      </c>
      <c r="N2730" s="27">
        <v>0</v>
      </c>
      <c r="O2730" s="10"/>
      <c r="P2730" s="10"/>
      <c r="Q2730" s="10"/>
      <c r="R2730" s="10"/>
      <c r="S2730" s="10"/>
      <c r="T2730" s="10"/>
      <c r="U2730" s="29">
        <v>0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153</v>
      </c>
      <c r="B2731" s="9" t="s">
        <v>2986</v>
      </c>
      <c r="C2731" s="9" t="s">
        <v>94</v>
      </c>
      <c r="D2731" s="9" t="s">
        <v>92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153</v>
      </c>
      <c r="B2732" s="9" t="s">
        <v>2987</v>
      </c>
      <c r="C2732" s="9" t="s">
        <v>94</v>
      </c>
      <c r="D2732" s="9" t="s">
        <v>92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153</v>
      </c>
      <c r="B2733" s="9" t="s">
        <v>2988</v>
      </c>
      <c r="C2733" s="9" t="s">
        <v>94</v>
      </c>
      <c r="D2733" s="9" t="s">
        <v>92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153</v>
      </c>
      <c r="B2734" s="9" t="s">
        <v>636</v>
      </c>
      <c r="C2734" s="9" t="s">
        <v>94</v>
      </c>
      <c r="D2734" s="9" t="s">
        <v>92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153</v>
      </c>
      <c r="B2735" s="9" t="s">
        <v>637</v>
      </c>
      <c r="C2735" s="9" t="s">
        <v>94</v>
      </c>
      <c r="D2735" s="9" t="s">
        <v>92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153</v>
      </c>
      <c r="B2736" s="9" t="s">
        <v>2989</v>
      </c>
      <c r="C2736" s="9" t="s">
        <v>94</v>
      </c>
      <c r="D2736" s="9" t="s">
        <v>92</v>
      </c>
      <c r="E2736" s="9" t="s">
        <v>0</v>
      </c>
      <c r="F2736" s="27"/>
      <c r="G2736" s="24"/>
      <c r="H2736" s="24"/>
      <c r="I2736" s="28"/>
      <c r="J2736" s="27">
        <v>0</v>
      </c>
      <c r="K2736" s="24"/>
      <c r="L2736" s="24"/>
      <c r="M2736" s="28">
        <v>0</v>
      </c>
      <c r="N2736" s="27">
        <v>0</v>
      </c>
      <c r="O2736" s="10"/>
      <c r="P2736" s="10"/>
      <c r="Q2736" s="10"/>
      <c r="R2736" s="10"/>
      <c r="S2736" s="10"/>
      <c r="T2736" s="10"/>
      <c r="U2736" s="29">
        <v>0</v>
      </c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153</v>
      </c>
      <c r="B2737" s="9" t="s">
        <v>638</v>
      </c>
      <c r="C2737" s="9" t="s">
        <v>94</v>
      </c>
      <c r="D2737" s="9" t="s">
        <v>92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153</v>
      </c>
      <c r="B2738" s="9" t="s">
        <v>639</v>
      </c>
      <c r="C2738" s="9" t="s">
        <v>94</v>
      </c>
      <c r="D2738" s="9" t="s">
        <v>92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153</v>
      </c>
      <c r="B2739" s="9" t="s">
        <v>2990</v>
      </c>
      <c r="C2739" s="9" t="s">
        <v>94</v>
      </c>
      <c r="D2739" s="9" t="s">
        <v>92</v>
      </c>
      <c r="E2739" s="9" t="s">
        <v>0</v>
      </c>
      <c r="F2739" s="27"/>
      <c r="G2739" s="24"/>
      <c r="H2739" s="24"/>
      <c r="I2739" s="28"/>
      <c r="J2739" s="27">
        <v>0</v>
      </c>
      <c r="K2739" s="24"/>
      <c r="L2739" s="24"/>
      <c r="M2739" s="28">
        <v>0</v>
      </c>
      <c r="N2739" s="27">
        <v>0</v>
      </c>
      <c r="O2739" s="10"/>
      <c r="P2739" s="10"/>
      <c r="Q2739" s="10"/>
      <c r="R2739" s="10"/>
      <c r="S2739" s="10"/>
      <c r="T2739" s="10"/>
      <c r="U2739" s="29">
        <v>0</v>
      </c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153</v>
      </c>
      <c r="B2740" s="9" t="s">
        <v>640</v>
      </c>
      <c r="C2740" s="9" t="s">
        <v>94</v>
      </c>
      <c r="D2740" s="9" t="s">
        <v>92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153</v>
      </c>
      <c r="B2741" s="9" t="s">
        <v>641</v>
      </c>
      <c r="C2741" s="9" t="s">
        <v>94</v>
      </c>
      <c r="D2741" s="9" t="s">
        <v>92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153</v>
      </c>
      <c r="B2742" s="9" t="s">
        <v>2991</v>
      </c>
      <c r="C2742" s="9" t="s">
        <v>94</v>
      </c>
      <c r="D2742" s="9" t="s">
        <v>92</v>
      </c>
      <c r="E2742" s="9" t="s">
        <v>0</v>
      </c>
      <c r="F2742" s="27"/>
      <c r="G2742" s="24"/>
      <c r="H2742" s="24"/>
      <c r="I2742" s="28"/>
      <c r="J2742" s="27">
        <v>0</v>
      </c>
      <c r="K2742" s="24"/>
      <c r="L2742" s="24"/>
      <c r="M2742" s="28">
        <v>0</v>
      </c>
      <c r="N2742" s="27">
        <v>0</v>
      </c>
      <c r="O2742" s="10"/>
      <c r="P2742" s="10"/>
      <c r="Q2742" s="10"/>
      <c r="R2742" s="10"/>
      <c r="S2742" s="10"/>
      <c r="T2742" s="10"/>
      <c r="U2742" s="29">
        <v>0</v>
      </c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153</v>
      </c>
      <c r="B2743" s="9" t="s">
        <v>2992</v>
      </c>
      <c r="C2743" s="9" t="s">
        <v>94</v>
      </c>
      <c r="D2743" s="9" t="s">
        <v>92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153</v>
      </c>
      <c r="B2744" s="9" t="s">
        <v>2993</v>
      </c>
      <c r="C2744" s="9" t="s">
        <v>94</v>
      </c>
      <c r="D2744" s="9" t="s">
        <v>92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153</v>
      </c>
      <c r="B2745" s="9" t="s">
        <v>2994</v>
      </c>
      <c r="C2745" s="9" t="s">
        <v>94</v>
      </c>
      <c r="D2745" s="9" t="s">
        <v>92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153</v>
      </c>
      <c r="B2746" s="9" t="s">
        <v>2995</v>
      </c>
      <c r="C2746" s="9" t="s">
        <v>94</v>
      </c>
      <c r="D2746" s="9" t="s">
        <v>92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153</v>
      </c>
      <c r="B2747" s="9" t="s">
        <v>2996</v>
      </c>
      <c r="C2747" s="9" t="s">
        <v>94</v>
      </c>
      <c r="D2747" s="9" t="s">
        <v>92</v>
      </c>
      <c r="E2747" s="9" t="s">
        <v>0</v>
      </c>
      <c r="F2747" s="27"/>
      <c r="G2747" s="24"/>
      <c r="H2747" s="24"/>
      <c r="I2747" s="28"/>
      <c r="J2747" s="27">
        <v>0</v>
      </c>
      <c r="K2747" s="24"/>
      <c r="L2747" s="24"/>
      <c r="M2747" s="28">
        <v>0</v>
      </c>
      <c r="N2747" s="27">
        <v>0</v>
      </c>
      <c r="O2747" s="10"/>
      <c r="P2747" s="10"/>
      <c r="Q2747" s="10"/>
      <c r="R2747" s="10"/>
      <c r="S2747" s="10"/>
      <c r="T2747" s="10"/>
      <c r="U2747" s="29">
        <v>0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153</v>
      </c>
      <c r="B2748" s="9" t="s">
        <v>2997</v>
      </c>
      <c r="C2748" s="9" t="s">
        <v>94</v>
      </c>
      <c r="D2748" s="9" t="s">
        <v>92</v>
      </c>
      <c r="E2748" s="9" t="s">
        <v>0</v>
      </c>
      <c r="F2748" s="27"/>
      <c r="G2748" s="24"/>
      <c r="H2748" s="24"/>
      <c r="I2748" s="28"/>
      <c r="J2748" s="27">
        <v>0</v>
      </c>
      <c r="K2748" s="24"/>
      <c r="L2748" s="24"/>
      <c r="M2748" s="28">
        <v>0</v>
      </c>
      <c r="N2748" s="27">
        <v>0</v>
      </c>
      <c r="O2748" s="10"/>
      <c r="P2748" s="10"/>
      <c r="Q2748" s="10"/>
      <c r="R2748" s="10"/>
      <c r="S2748" s="10"/>
      <c r="T2748" s="10"/>
      <c r="U2748" s="29">
        <v>0</v>
      </c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153</v>
      </c>
      <c r="B2749" s="9" t="s">
        <v>2998</v>
      </c>
      <c r="C2749" s="9" t="s">
        <v>94</v>
      </c>
      <c r="D2749" s="9" t="s">
        <v>92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153</v>
      </c>
      <c r="B2750" s="9" t="s">
        <v>2999</v>
      </c>
      <c r="C2750" s="9" t="s">
        <v>94</v>
      </c>
      <c r="D2750" s="9" t="s">
        <v>92</v>
      </c>
      <c r="E2750" s="9" t="s">
        <v>0</v>
      </c>
      <c r="F2750" s="27"/>
      <c r="G2750" s="24"/>
      <c r="H2750" s="24"/>
      <c r="I2750" s="28"/>
      <c r="J2750" s="27">
        <v>0</v>
      </c>
      <c r="K2750" s="24"/>
      <c r="L2750" s="24"/>
      <c r="M2750" s="28">
        <v>0</v>
      </c>
      <c r="N2750" s="27">
        <v>0</v>
      </c>
      <c r="O2750" s="10"/>
      <c r="P2750" s="10"/>
      <c r="Q2750" s="10"/>
      <c r="R2750" s="10"/>
      <c r="S2750" s="10"/>
      <c r="T2750" s="10"/>
      <c r="U2750" s="29">
        <v>0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153</v>
      </c>
      <c r="B2751" s="9" t="s">
        <v>3000</v>
      </c>
      <c r="C2751" s="9" t="s">
        <v>94</v>
      </c>
      <c r="D2751" s="9" t="s">
        <v>92</v>
      </c>
      <c r="E2751" s="9" t="s">
        <v>0</v>
      </c>
      <c r="F2751" s="27"/>
      <c r="G2751" s="24"/>
      <c r="H2751" s="24"/>
      <c r="I2751" s="28"/>
      <c r="J2751" s="27">
        <v>0</v>
      </c>
      <c r="K2751" s="24"/>
      <c r="L2751" s="24"/>
      <c r="M2751" s="28">
        <v>0</v>
      </c>
      <c r="N2751" s="27">
        <v>0</v>
      </c>
      <c r="O2751" s="10"/>
      <c r="P2751" s="10"/>
      <c r="Q2751" s="10"/>
      <c r="R2751" s="10"/>
      <c r="S2751" s="10"/>
      <c r="T2751" s="10"/>
      <c r="U2751" s="29">
        <v>0</v>
      </c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153</v>
      </c>
      <c r="B2752" s="9" t="s">
        <v>3001</v>
      </c>
      <c r="C2752" s="9" t="s">
        <v>94</v>
      </c>
      <c r="D2752" s="9" t="s">
        <v>92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153</v>
      </c>
      <c r="B2753" s="9" t="s">
        <v>3002</v>
      </c>
      <c r="C2753" s="9" t="s">
        <v>94</v>
      </c>
      <c r="D2753" s="9" t="s">
        <v>92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153</v>
      </c>
      <c r="B2754" s="9" t="s">
        <v>3003</v>
      </c>
      <c r="C2754" s="9" t="s">
        <v>94</v>
      </c>
      <c r="D2754" s="9" t="s">
        <v>92</v>
      </c>
      <c r="E2754" s="9" t="s">
        <v>0</v>
      </c>
      <c r="F2754" s="27"/>
      <c r="G2754" s="24"/>
      <c r="H2754" s="24"/>
      <c r="I2754" s="28"/>
      <c r="J2754" s="27">
        <v>0</v>
      </c>
      <c r="K2754" s="24"/>
      <c r="L2754" s="24"/>
      <c r="M2754" s="28">
        <v>0</v>
      </c>
      <c r="N2754" s="27">
        <v>0</v>
      </c>
      <c r="O2754" s="10"/>
      <c r="P2754" s="10"/>
      <c r="Q2754" s="10"/>
      <c r="R2754" s="10"/>
      <c r="S2754" s="10"/>
      <c r="T2754" s="10"/>
      <c r="U2754" s="29">
        <v>0</v>
      </c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153</v>
      </c>
      <c r="B2755" s="9" t="s">
        <v>3004</v>
      </c>
      <c r="C2755" s="9" t="s">
        <v>94</v>
      </c>
      <c r="D2755" s="9" t="s">
        <v>92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153</v>
      </c>
      <c r="B2756" s="9" t="s">
        <v>3005</v>
      </c>
      <c r="C2756" s="9" t="s">
        <v>94</v>
      </c>
      <c r="D2756" s="9" t="s">
        <v>92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153</v>
      </c>
      <c r="B2757" s="9" t="s">
        <v>3006</v>
      </c>
      <c r="C2757" s="9" t="s">
        <v>94</v>
      </c>
      <c r="D2757" s="9" t="s">
        <v>92</v>
      </c>
      <c r="E2757" s="9" t="s">
        <v>0</v>
      </c>
      <c r="F2757" s="27"/>
      <c r="G2757" s="24"/>
      <c r="H2757" s="24"/>
      <c r="I2757" s="28"/>
      <c r="J2757" s="27">
        <v>0</v>
      </c>
      <c r="K2757" s="24"/>
      <c r="L2757" s="24"/>
      <c r="M2757" s="28">
        <v>0</v>
      </c>
      <c r="N2757" s="27">
        <v>0</v>
      </c>
      <c r="O2757" s="10"/>
      <c r="P2757" s="10"/>
      <c r="Q2757" s="10"/>
      <c r="R2757" s="10"/>
      <c r="S2757" s="10"/>
      <c r="T2757" s="10"/>
      <c r="U2757" s="29">
        <v>0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153</v>
      </c>
      <c r="B2758" s="9" t="s">
        <v>642</v>
      </c>
      <c r="C2758" s="9" t="s">
        <v>94</v>
      </c>
      <c r="D2758" s="9" t="s">
        <v>92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153</v>
      </c>
      <c r="B2759" s="9" t="s">
        <v>3007</v>
      </c>
      <c r="C2759" s="9" t="s">
        <v>94</v>
      </c>
      <c r="D2759" s="9" t="s">
        <v>92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153</v>
      </c>
      <c r="B2760" s="9" t="s">
        <v>643</v>
      </c>
      <c r="C2760" s="9" t="s">
        <v>94</v>
      </c>
      <c r="D2760" s="9" t="s">
        <v>92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153</v>
      </c>
      <c r="B2761" s="9" t="s">
        <v>3008</v>
      </c>
      <c r="C2761" s="9" t="s">
        <v>94</v>
      </c>
      <c r="D2761" s="9" t="s">
        <v>92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153</v>
      </c>
      <c r="B2762" s="9" t="s">
        <v>3009</v>
      </c>
      <c r="C2762" s="9" t="s">
        <v>94</v>
      </c>
      <c r="D2762" s="9" t="s">
        <v>92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153</v>
      </c>
      <c r="B2763" s="9" t="s">
        <v>3010</v>
      </c>
      <c r="C2763" s="9" t="s">
        <v>94</v>
      </c>
      <c r="D2763" s="9" t="s">
        <v>92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153</v>
      </c>
      <c r="B2764" s="9" t="s">
        <v>644</v>
      </c>
      <c r="C2764" s="9" t="s">
        <v>94</v>
      </c>
      <c r="D2764" s="9" t="s">
        <v>92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153</v>
      </c>
      <c r="B2765" s="9" t="s">
        <v>3011</v>
      </c>
      <c r="C2765" s="9" t="s">
        <v>94</v>
      </c>
      <c r="D2765" s="9" t="s">
        <v>92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153</v>
      </c>
      <c r="B2766" s="9" t="s">
        <v>645</v>
      </c>
      <c r="C2766" s="9" t="s">
        <v>94</v>
      </c>
      <c r="D2766" s="9" t="s">
        <v>92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153</v>
      </c>
      <c r="B2767" s="9" t="s">
        <v>3012</v>
      </c>
      <c r="C2767" s="9" t="s">
        <v>94</v>
      </c>
      <c r="D2767" s="9" t="s">
        <v>92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153</v>
      </c>
      <c r="B2768" s="9" t="s">
        <v>3013</v>
      </c>
      <c r="C2768" s="9" t="s">
        <v>94</v>
      </c>
      <c r="D2768" s="9" t="s">
        <v>92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153</v>
      </c>
      <c r="B2769" s="9" t="s">
        <v>3014</v>
      </c>
      <c r="C2769" s="9" t="s">
        <v>94</v>
      </c>
      <c r="D2769" s="9" t="s">
        <v>92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153</v>
      </c>
      <c r="B2770" s="9" t="s">
        <v>646</v>
      </c>
      <c r="C2770" s="9" t="s">
        <v>94</v>
      </c>
      <c r="D2770" s="9" t="s">
        <v>92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153</v>
      </c>
      <c r="B2771" s="9" t="s">
        <v>3015</v>
      </c>
      <c r="C2771" s="9" t="s">
        <v>94</v>
      </c>
      <c r="D2771" s="9" t="s">
        <v>92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153</v>
      </c>
      <c r="B2772" s="9" t="s">
        <v>647</v>
      </c>
      <c r="C2772" s="9" t="s">
        <v>94</v>
      </c>
      <c r="D2772" s="9" t="s">
        <v>92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153</v>
      </c>
      <c r="B2773" s="9" t="s">
        <v>3016</v>
      </c>
      <c r="C2773" s="9" t="s">
        <v>94</v>
      </c>
      <c r="D2773" s="9" t="s">
        <v>92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153</v>
      </c>
      <c r="B2774" s="9" t="s">
        <v>3017</v>
      </c>
      <c r="C2774" s="9" t="s">
        <v>94</v>
      </c>
      <c r="D2774" s="9" t="s">
        <v>92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153</v>
      </c>
      <c r="B2775" s="9" t="s">
        <v>3018</v>
      </c>
      <c r="C2775" s="9" t="s">
        <v>94</v>
      </c>
      <c r="D2775" s="9" t="s">
        <v>92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153</v>
      </c>
      <c r="B2776" s="9" t="s">
        <v>3019</v>
      </c>
      <c r="C2776" s="9" t="s">
        <v>94</v>
      </c>
      <c r="D2776" s="9" t="s">
        <v>92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153</v>
      </c>
      <c r="B2777" s="9" t="s">
        <v>3020</v>
      </c>
      <c r="C2777" s="9" t="s">
        <v>94</v>
      </c>
      <c r="D2777" s="9" t="s">
        <v>92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153</v>
      </c>
      <c r="B2778" s="9" t="s">
        <v>3021</v>
      </c>
      <c r="C2778" s="9" t="s">
        <v>94</v>
      </c>
      <c r="D2778" s="9" t="s">
        <v>92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153</v>
      </c>
      <c r="B2779" s="9" t="s">
        <v>3022</v>
      </c>
      <c r="C2779" s="9" t="s">
        <v>94</v>
      </c>
      <c r="D2779" s="9" t="s">
        <v>92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153</v>
      </c>
      <c r="B2780" s="9" t="s">
        <v>3023</v>
      </c>
      <c r="C2780" s="9" t="s">
        <v>94</v>
      </c>
      <c r="D2780" s="9" t="s">
        <v>92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153</v>
      </c>
      <c r="B2781" s="9" t="s">
        <v>3024</v>
      </c>
      <c r="C2781" s="9" t="s">
        <v>94</v>
      </c>
      <c r="D2781" s="9" t="s">
        <v>92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153</v>
      </c>
      <c r="B2782" s="9" t="s">
        <v>648</v>
      </c>
      <c r="C2782" s="9" t="s">
        <v>94</v>
      </c>
      <c r="D2782" s="9" t="s">
        <v>92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153</v>
      </c>
      <c r="B2783" s="9" t="s">
        <v>3025</v>
      </c>
      <c r="C2783" s="9" t="s">
        <v>94</v>
      </c>
      <c r="D2783" s="9" t="s">
        <v>92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153</v>
      </c>
      <c r="B2784" s="9" t="s">
        <v>649</v>
      </c>
      <c r="C2784" s="9" t="s">
        <v>94</v>
      </c>
      <c r="D2784" s="9" t="s">
        <v>92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153</v>
      </c>
      <c r="B2785" s="9" t="s">
        <v>3026</v>
      </c>
      <c r="C2785" s="9" t="s">
        <v>94</v>
      </c>
      <c r="D2785" s="9" t="s">
        <v>92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153</v>
      </c>
      <c r="B2786" s="9" t="s">
        <v>3027</v>
      </c>
      <c r="C2786" s="9" t="s">
        <v>94</v>
      </c>
      <c r="D2786" s="9" t="s">
        <v>92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153</v>
      </c>
      <c r="B2787" s="9" t="s">
        <v>3028</v>
      </c>
      <c r="C2787" s="9" t="s">
        <v>94</v>
      </c>
      <c r="D2787" s="9" t="s">
        <v>92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153</v>
      </c>
      <c r="B2788" s="9" t="s">
        <v>650</v>
      </c>
      <c r="C2788" s="9" t="s">
        <v>94</v>
      </c>
      <c r="D2788" s="9" t="s">
        <v>92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153</v>
      </c>
      <c r="B2789" s="9" t="s">
        <v>3029</v>
      </c>
      <c r="C2789" s="9" t="s">
        <v>94</v>
      </c>
      <c r="D2789" s="9" t="s">
        <v>92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153</v>
      </c>
      <c r="B2790" s="9" t="s">
        <v>651</v>
      </c>
      <c r="C2790" s="9" t="s">
        <v>94</v>
      </c>
      <c r="D2790" s="9" t="s">
        <v>92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153</v>
      </c>
      <c r="B2791" s="9" t="s">
        <v>3030</v>
      </c>
      <c r="C2791" s="9" t="s">
        <v>94</v>
      </c>
      <c r="D2791" s="9" t="s">
        <v>92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153</v>
      </c>
      <c r="B2792" s="9" t="s">
        <v>3031</v>
      </c>
      <c r="C2792" s="9" t="s">
        <v>94</v>
      </c>
      <c r="D2792" s="9" t="s">
        <v>92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153</v>
      </c>
      <c r="B2793" s="9" t="s">
        <v>3032</v>
      </c>
      <c r="C2793" s="9" t="s">
        <v>94</v>
      </c>
      <c r="D2793" s="9" t="s">
        <v>92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153</v>
      </c>
      <c r="B2794" s="9" t="s">
        <v>652</v>
      </c>
      <c r="C2794" s="9" t="s">
        <v>94</v>
      </c>
      <c r="D2794" s="9" t="s">
        <v>92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153</v>
      </c>
      <c r="B2795" s="9" t="s">
        <v>3033</v>
      </c>
      <c r="C2795" s="9" t="s">
        <v>94</v>
      </c>
      <c r="D2795" s="9" t="s">
        <v>92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153</v>
      </c>
      <c r="B2796" s="9" t="s">
        <v>653</v>
      </c>
      <c r="C2796" s="9" t="s">
        <v>94</v>
      </c>
      <c r="D2796" s="9" t="s">
        <v>92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153</v>
      </c>
      <c r="B2797" s="9" t="s">
        <v>3034</v>
      </c>
      <c r="C2797" s="9" t="s">
        <v>94</v>
      </c>
      <c r="D2797" s="9" t="s">
        <v>92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153</v>
      </c>
      <c r="B2798" s="9" t="s">
        <v>3035</v>
      </c>
      <c r="C2798" s="9" t="s">
        <v>94</v>
      </c>
      <c r="D2798" s="9" t="s">
        <v>92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153</v>
      </c>
      <c r="B2799" s="9" t="s">
        <v>3036</v>
      </c>
      <c r="C2799" s="9" t="s">
        <v>94</v>
      </c>
      <c r="D2799" s="9" t="s">
        <v>92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153</v>
      </c>
      <c r="B2800" s="9" t="s">
        <v>3037</v>
      </c>
      <c r="C2800" s="9" t="s">
        <v>94</v>
      </c>
      <c r="D2800" s="9" t="s">
        <v>92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153</v>
      </c>
      <c r="B2801" s="9" t="s">
        <v>3038</v>
      </c>
      <c r="C2801" s="9" t="s">
        <v>94</v>
      </c>
      <c r="D2801" s="9" t="s">
        <v>92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153</v>
      </c>
      <c r="B2802" s="9" t="s">
        <v>3039</v>
      </c>
      <c r="C2802" s="9" t="s">
        <v>94</v>
      </c>
      <c r="D2802" s="9" t="s">
        <v>92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153</v>
      </c>
      <c r="B2803" s="9" t="s">
        <v>3040</v>
      </c>
      <c r="C2803" s="9" t="s">
        <v>94</v>
      </c>
      <c r="D2803" s="9" t="s">
        <v>92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153</v>
      </c>
      <c r="B2804" s="9" t="s">
        <v>3041</v>
      </c>
      <c r="C2804" s="9" t="s">
        <v>94</v>
      </c>
      <c r="D2804" s="9" t="s">
        <v>92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153</v>
      </c>
      <c r="B2805" s="9" t="s">
        <v>3042</v>
      </c>
      <c r="C2805" s="9" t="s">
        <v>94</v>
      </c>
      <c r="D2805" s="9" t="s">
        <v>92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153</v>
      </c>
      <c r="B2806" s="9" t="s">
        <v>654</v>
      </c>
      <c r="C2806" s="9" t="s">
        <v>94</v>
      </c>
      <c r="D2806" s="9" t="s">
        <v>92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153</v>
      </c>
      <c r="B2807" s="9" t="s">
        <v>3043</v>
      </c>
      <c r="C2807" s="9" t="s">
        <v>94</v>
      </c>
      <c r="D2807" s="9" t="s">
        <v>92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153</v>
      </c>
      <c r="B2808" s="9" t="s">
        <v>655</v>
      </c>
      <c r="C2808" s="9" t="s">
        <v>94</v>
      </c>
      <c r="D2808" s="9" t="s">
        <v>92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153</v>
      </c>
      <c r="B2809" s="9" t="s">
        <v>3044</v>
      </c>
      <c r="C2809" s="9" t="s">
        <v>94</v>
      </c>
      <c r="D2809" s="9" t="s">
        <v>92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153</v>
      </c>
      <c r="B2810" s="9" t="s">
        <v>3045</v>
      </c>
      <c r="C2810" s="9" t="s">
        <v>94</v>
      </c>
      <c r="D2810" s="9" t="s">
        <v>92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153</v>
      </c>
      <c r="B2811" s="9" t="s">
        <v>3046</v>
      </c>
      <c r="C2811" s="9" t="s">
        <v>94</v>
      </c>
      <c r="D2811" s="9" t="s">
        <v>92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153</v>
      </c>
      <c r="B2812" s="9" t="s">
        <v>656</v>
      </c>
      <c r="C2812" s="9" t="s">
        <v>94</v>
      </c>
      <c r="D2812" s="9" t="s">
        <v>92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153</v>
      </c>
      <c r="B2813" s="9" t="s">
        <v>3047</v>
      </c>
      <c r="C2813" s="9" t="s">
        <v>94</v>
      </c>
      <c r="D2813" s="9" t="s">
        <v>92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153</v>
      </c>
      <c r="B2814" s="9" t="s">
        <v>657</v>
      </c>
      <c r="C2814" s="9" t="s">
        <v>94</v>
      </c>
      <c r="D2814" s="9" t="s">
        <v>92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153</v>
      </c>
      <c r="B2815" s="9" t="s">
        <v>3048</v>
      </c>
      <c r="C2815" s="9" t="s">
        <v>94</v>
      </c>
      <c r="D2815" s="9" t="s">
        <v>92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153</v>
      </c>
      <c r="B2816" s="9" t="s">
        <v>3049</v>
      </c>
      <c r="C2816" s="9" t="s">
        <v>94</v>
      </c>
      <c r="D2816" s="9" t="s">
        <v>92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153</v>
      </c>
      <c r="B2817" s="9" t="s">
        <v>3050</v>
      </c>
      <c r="C2817" s="9" t="s">
        <v>94</v>
      </c>
      <c r="D2817" s="9" t="s">
        <v>92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153</v>
      </c>
      <c r="B2818" s="9" t="s">
        <v>658</v>
      </c>
      <c r="C2818" s="9" t="s">
        <v>94</v>
      </c>
      <c r="D2818" s="9" t="s">
        <v>92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153</v>
      </c>
      <c r="B2819" s="9" t="s">
        <v>3051</v>
      </c>
      <c r="C2819" s="9" t="s">
        <v>94</v>
      </c>
      <c r="D2819" s="9" t="s">
        <v>92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153</v>
      </c>
      <c r="B2820" s="9" t="s">
        <v>659</v>
      </c>
      <c r="C2820" s="9" t="s">
        <v>94</v>
      </c>
      <c r="D2820" s="9" t="s">
        <v>92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153</v>
      </c>
      <c r="B2821" s="9" t="s">
        <v>3052</v>
      </c>
      <c r="C2821" s="9" t="s">
        <v>94</v>
      </c>
      <c r="D2821" s="9" t="s">
        <v>92</v>
      </c>
      <c r="E2821" s="9" t="s">
        <v>0</v>
      </c>
      <c r="F2821" s="27"/>
      <c r="G2821" s="24"/>
      <c r="H2821" s="24"/>
      <c r="I2821" s="28"/>
      <c r="J2821" s="27">
        <v>0</v>
      </c>
      <c r="K2821" s="24"/>
      <c r="L2821" s="24"/>
      <c r="M2821" s="28">
        <v>0</v>
      </c>
      <c r="N2821" s="27">
        <v>0</v>
      </c>
      <c r="O2821" s="10"/>
      <c r="P2821" s="10"/>
      <c r="Q2821" s="10"/>
      <c r="R2821" s="10"/>
      <c r="S2821" s="10"/>
      <c r="T2821" s="10"/>
      <c r="U2821" s="29">
        <v>0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153</v>
      </c>
      <c r="B2822" s="9" t="s">
        <v>3053</v>
      </c>
      <c r="C2822" s="9" t="s">
        <v>94</v>
      </c>
      <c r="D2822" s="9" t="s">
        <v>92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153</v>
      </c>
      <c r="B2823" s="9" t="s">
        <v>3054</v>
      </c>
      <c r="C2823" s="9" t="s">
        <v>94</v>
      </c>
      <c r="D2823" s="9" t="s">
        <v>92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153</v>
      </c>
      <c r="B2824" s="9" t="s">
        <v>3055</v>
      </c>
      <c r="C2824" s="9" t="s">
        <v>94</v>
      </c>
      <c r="D2824" s="9" t="s">
        <v>92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153</v>
      </c>
      <c r="B2825" s="9" t="s">
        <v>3056</v>
      </c>
      <c r="C2825" s="9" t="s">
        <v>94</v>
      </c>
      <c r="D2825" s="9" t="s">
        <v>92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153</v>
      </c>
      <c r="B2826" s="9" t="s">
        <v>3057</v>
      </c>
      <c r="C2826" s="9" t="s">
        <v>94</v>
      </c>
      <c r="D2826" s="9" t="s">
        <v>92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153</v>
      </c>
      <c r="B2827" s="9" t="s">
        <v>3058</v>
      </c>
      <c r="C2827" s="9" t="s">
        <v>94</v>
      </c>
      <c r="D2827" s="9" t="s">
        <v>92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153</v>
      </c>
      <c r="B2828" s="9" t="s">
        <v>3059</v>
      </c>
      <c r="C2828" s="9" t="s">
        <v>94</v>
      </c>
      <c r="D2828" s="9" t="s">
        <v>92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153</v>
      </c>
      <c r="B2829" s="9" t="s">
        <v>3060</v>
      </c>
      <c r="C2829" s="9" t="s">
        <v>94</v>
      </c>
      <c r="D2829" s="9" t="s">
        <v>92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153</v>
      </c>
      <c r="B2830" s="9" t="s">
        <v>660</v>
      </c>
      <c r="C2830" s="9" t="s">
        <v>94</v>
      </c>
      <c r="D2830" s="9" t="s">
        <v>92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153</v>
      </c>
      <c r="B2831" s="9" t="s">
        <v>3061</v>
      </c>
      <c r="C2831" s="9" t="s">
        <v>94</v>
      </c>
      <c r="D2831" s="9" t="s">
        <v>92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153</v>
      </c>
      <c r="B2832" s="9" t="s">
        <v>661</v>
      </c>
      <c r="C2832" s="9" t="s">
        <v>94</v>
      </c>
      <c r="D2832" s="9" t="s">
        <v>92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153</v>
      </c>
      <c r="B2833" s="9" t="s">
        <v>3062</v>
      </c>
      <c r="C2833" s="9" t="s">
        <v>94</v>
      </c>
      <c r="D2833" s="9" t="s">
        <v>92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153</v>
      </c>
      <c r="B2834" s="9" t="s">
        <v>3063</v>
      </c>
      <c r="C2834" s="9" t="s">
        <v>94</v>
      </c>
      <c r="D2834" s="9" t="s">
        <v>92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153</v>
      </c>
      <c r="B2835" s="9" t="s">
        <v>3064</v>
      </c>
      <c r="C2835" s="9" t="s">
        <v>94</v>
      </c>
      <c r="D2835" s="9" t="s">
        <v>92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153</v>
      </c>
      <c r="B2836" s="9" t="s">
        <v>662</v>
      </c>
      <c r="C2836" s="9" t="s">
        <v>94</v>
      </c>
      <c r="D2836" s="9" t="s">
        <v>92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153</v>
      </c>
      <c r="B2837" s="9" t="s">
        <v>3065</v>
      </c>
      <c r="C2837" s="9" t="s">
        <v>94</v>
      </c>
      <c r="D2837" s="9" t="s">
        <v>92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153</v>
      </c>
      <c r="B2838" s="9" t="s">
        <v>663</v>
      </c>
      <c r="C2838" s="9" t="s">
        <v>94</v>
      </c>
      <c r="D2838" s="9" t="s">
        <v>92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153</v>
      </c>
      <c r="B2839" s="9" t="s">
        <v>3066</v>
      </c>
      <c r="C2839" s="9" t="s">
        <v>94</v>
      </c>
      <c r="D2839" s="9" t="s">
        <v>92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153</v>
      </c>
      <c r="B2840" s="9" t="s">
        <v>3067</v>
      </c>
      <c r="C2840" s="9" t="s">
        <v>94</v>
      </c>
      <c r="D2840" s="9" t="s">
        <v>92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153</v>
      </c>
      <c r="B2841" s="9" t="s">
        <v>3068</v>
      </c>
      <c r="C2841" s="9" t="s">
        <v>94</v>
      </c>
      <c r="D2841" s="9" t="s">
        <v>92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153</v>
      </c>
      <c r="B2842" s="9" t="s">
        <v>664</v>
      </c>
      <c r="C2842" s="9" t="s">
        <v>94</v>
      </c>
      <c r="D2842" s="9" t="s">
        <v>92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153</v>
      </c>
      <c r="B2843" s="9" t="s">
        <v>3069</v>
      </c>
      <c r="C2843" s="9" t="s">
        <v>94</v>
      </c>
      <c r="D2843" s="9" t="s">
        <v>92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153</v>
      </c>
      <c r="B2844" s="9" t="s">
        <v>665</v>
      </c>
      <c r="C2844" s="9" t="s">
        <v>94</v>
      </c>
      <c r="D2844" s="9" t="s">
        <v>92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153</v>
      </c>
      <c r="B2845" s="9" t="s">
        <v>3070</v>
      </c>
      <c r="C2845" s="9" t="s">
        <v>94</v>
      </c>
      <c r="D2845" s="9" t="s">
        <v>92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153</v>
      </c>
      <c r="B2846" s="9" t="s">
        <v>3071</v>
      </c>
      <c r="C2846" s="9" t="s">
        <v>94</v>
      </c>
      <c r="D2846" s="9" t="s">
        <v>92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153</v>
      </c>
      <c r="B2847" s="9" t="s">
        <v>3072</v>
      </c>
      <c r="C2847" s="9" t="s">
        <v>94</v>
      </c>
      <c r="D2847" s="9" t="s">
        <v>92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153</v>
      </c>
      <c r="B2848" s="9" t="s">
        <v>3073</v>
      </c>
      <c r="C2848" s="9" t="s">
        <v>94</v>
      </c>
      <c r="D2848" s="9" t="s">
        <v>92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153</v>
      </c>
      <c r="B2849" s="9" t="s">
        <v>3074</v>
      </c>
      <c r="C2849" s="9" t="s">
        <v>94</v>
      </c>
      <c r="D2849" s="9" t="s">
        <v>92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153</v>
      </c>
      <c r="B2850" s="9" t="s">
        <v>3075</v>
      </c>
      <c r="C2850" s="9" t="s">
        <v>94</v>
      </c>
      <c r="D2850" s="9" t="s">
        <v>92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153</v>
      </c>
      <c r="B2851" s="9" t="s">
        <v>3076</v>
      </c>
      <c r="C2851" s="9" t="s">
        <v>94</v>
      </c>
      <c r="D2851" s="9" t="s">
        <v>92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153</v>
      </c>
      <c r="B2852" s="9" t="s">
        <v>3077</v>
      </c>
      <c r="C2852" s="9" t="s">
        <v>94</v>
      </c>
      <c r="D2852" s="9" t="s">
        <v>92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153</v>
      </c>
      <c r="B2853" s="9" t="s">
        <v>3078</v>
      </c>
      <c r="C2853" s="9" t="s">
        <v>94</v>
      </c>
      <c r="D2853" s="9" t="s">
        <v>92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153</v>
      </c>
      <c r="B2854" s="9" t="s">
        <v>3079</v>
      </c>
      <c r="C2854" s="9" t="s">
        <v>94</v>
      </c>
      <c r="D2854" s="9" t="s">
        <v>92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153</v>
      </c>
      <c r="B2855" s="9" t="s">
        <v>3080</v>
      </c>
      <c r="C2855" s="9" t="s">
        <v>94</v>
      </c>
      <c r="D2855" s="9" t="s">
        <v>92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153</v>
      </c>
      <c r="B2856" s="9" t="s">
        <v>3081</v>
      </c>
      <c r="C2856" s="9" t="s">
        <v>94</v>
      </c>
      <c r="D2856" s="9" t="s">
        <v>92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153</v>
      </c>
      <c r="B2857" s="9" t="s">
        <v>3082</v>
      </c>
      <c r="C2857" s="9" t="s">
        <v>94</v>
      </c>
      <c r="D2857" s="9" t="s">
        <v>92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153</v>
      </c>
      <c r="B2858" s="9" t="s">
        <v>3083</v>
      </c>
      <c r="C2858" s="9" t="s">
        <v>94</v>
      </c>
      <c r="D2858" s="9" t="s">
        <v>92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153</v>
      </c>
      <c r="B2859" s="9" t="s">
        <v>3084</v>
      </c>
      <c r="C2859" s="9" t="s">
        <v>94</v>
      </c>
      <c r="D2859" s="9" t="s">
        <v>92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153</v>
      </c>
      <c r="B2860" s="9" t="s">
        <v>3085</v>
      </c>
      <c r="C2860" s="9" t="s">
        <v>94</v>
      </c>
      <c r="D2860" s="9" t="s">
        <v>92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153</v>
      </c>
      <c r="B2861" s="9" t="s">
        <v>3086</v>
      </c>
      <c r="C2861" s="9" t="s">
        <v>94</v>
      </c>
      <c r="D2861" s="9" t="s">
        <v>92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153</v>
      </c>
      <c r="B2862" s="9" t="s">
        <v>3087</v>
      </c>
      <c r="C2862" s="9" t="s">
        <v>94</v>
      </c>
      <c r="D2862" s="9" t="s">
        <v>92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153</v>
      </c>
      <c r="B2863" s="9" t="s">
        <v>3088</v>
      </c>
      <c r="C2863" s="9" t="s">
        <v>94</v>
      </c>
      <c r="D2863" s="9" t="s">
        <v>92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153</v>
      </c>
      <c r="B2864" s="9" t="s">
        <v>3089</v>
      </c>
      <c r="C2864" s="9" t="s">
        <v>94</v>
      </c>
      <c r="D2864" s="9" t="s">
        <v>92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153</v>
      </c>
      <c r="B2865" s="9" t="s">
        <v>3090</v>
      </c>
      <c r="C2865" s="9" t="s">
        <v>94</v>
      </c>
      <c r="D2865" s="9" t="s">
        <v>92</v>
      </c>
      <c r="E2865" s="9" t="s">
        <v>0</v>
      </c>
      <c r="F2865" s="27"/>
      <c r="G2865" s="24"/>
      <c r="H2865" s="24"/>
      <c r="I2865" s="28"/>
      <c r="J2865" s="27">
        <v>0</v>
      </c>
      <c r="K2865" s="24"/>
      <c r="L2865" s="24"/>
      <c r="M2865" s="28">
        <v>0</v>
      </c>
      <c r="N2865" s="27">
        <v>0</v>
      </c>
      <c r="O2865" s="10"/>
      <c r="P2865" s="10"/>
      <c r="Q2865" s="10"/>
      <c r="R2865" s="10"/>
      <c r="S2865" s="10"/>
      <c r="T2865" s="10"/>
      <c r="U2865" s="29">
        <v>0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153</v>
      </c>
      <c r="B2866" s="9" t="s">
        <v>3091</v>
      </c>
      <c r="C2866" s="9" t="s">
        <v>94</v>
      </c>
      <c r="D2866" s="9" t="s">
        <v>92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153</v>
      </c>
      <c r="B2867" s="9" t="s">
        <v>3092</v>
      </c>
      <c r="C2867" s="9" t="s">
        <v>94</v>
      </c>
      <c r="D2867" s="9" t="s">
        <v>92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153</v>
      </c>
      <c r="B2868" s="9" t="s">
        <v>3093</v>
      </c>
      <c r="C2868" s="9" t="s">
        <v>94</v>
      </c>
      <c r="D2868" s="9" t="s">
        <v>92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153</v>
      </c>
      <c r="B2869" s="9" t="s">
        <v>3094</v>
      </c>
      <c r="C2869" s="9" t="s">
        <v>94</v>
      </c>
      <c r="D2869" s="9" t="s">
        <v>92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153</v>
      </c>
      <c r="B2870" s="9" t="s">
        <v>3095</v>
      </c>
      <c r="C2870" s="9" t="s">
        <v>94</v>
      </c>
      <c r="D2870" s="9" t="s">
        <v>92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153</v>
      </c>
      <c r="B2871" s="9" t="s">
        <v>3096</v>
      </c>
      <c r="C2871" s="9" t="s">
        <v>94</v>
      </c>
      <c r="D2871" s="9" t="s">
        <v>92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153</v>
      </c>
      <c r="B2872" s="9" t="s">
        <v>3097</v>
      </c>
      <c r="C2872" s="9" t="s">
        <v>94</v>
      </c>
      <c r="D2872" s="9" t="s">
        <v>92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153</v>
      </c>
      <c r="B2873" s="9" t="s">
        <v>3098</v>
      </c>
      <c r="C2873" s="9" t="s">
        <v>94</v>
      </c>
      <c r="D2873" s="9" t="s">
        <v>92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153</v>
      </c>
      <c r="B2874" s="9" t="s">
        <v>3099</v>
      </c>
      <c r="C2874" s="9" t="s">
        <v>94</v>
      </c>
      <c r="D2874" s="9" t="s">
        <v>92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153</v>
      </c>
      <c r="B2875" s="9" t="s">
        <v>3100</v>
      </c>
      <c r="C2875" s="9" t="s">
        <v>94</v>
      </c>
      <c r="D2875" s="9" t="s">
        <v>92</v>
      </c>
      <c r="E2875" s="9" t="s">
        <v>0</v>
      </c>
      <c r="F2875" s="27"/>
      <c r="G2875" s="24"/>
      <c r="H2875" s="24"/>
      <c r="I2875" s="28"/>
      <c r="J2875" s="27">
        <v>0</v>
      </c>
      <c r="K2875" s="24"/>
      <c r="L2875" s="24"/>
      <c r="M2875" s="28">
        <v>0</v>
      </c>
      <c r="N2875" s="27">
        <v>0</v>
      </c>
      <c r="O2875" s="10"/>
      <c r="P2875" s="10"/>
      <c r="Q2875" s="10"/>
      <c r="R2875" s="10"/>
      <c r="S2875" s="10"/>
      <c r="T2875" s="10"/>
      <c r="U2875" s="29">
        <v>0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153</v>
      </c>
      <c r="B2876" s="9" t="s">
        <v>3101</v>
      </c>
      <c r="C2876" s="9" t="s">
        <v>94</v>
      </c>
      <c r="D2876" s="9" t="s">
        <v>92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153</v>
      </c>
      <c r="B2877" s="9" t="s">
        <v>3102</v>
      </c>
      <c r="C2877" s="9" t="s">
        <v>94</v>
      </c>
      <c r="D2877" s="9" t="s">
        <v>92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153</v>
      </c>
      <c r="B2878" s="9" t="s">
        <v>3103</v>
      </c>
      <c r="C2878" s="9" t="s">
        <v>94</v>
      </c>
      <c r="D2878" s="9" t="s">
        <v>92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153</v>
      </c>
      <c r="B2879" s="9" t="s">
        <v>3104</v>
      </c>
      <c r="C2879" s="9" t="s">
        <v>94</v>
      </c>
      <c r="D2879" s="9" t="s">
        <v>92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153</v>
      </c>
      <c r="B2880" s="9" t="s">
        <v>3105</v>
      </c>
      <c r="C2880" s="9" t="s">
        <v>94</v>
      </c>
      <c r="D2880" s="9" t="s">
        <v>92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153</v>
      </c>
      <c r="B2881" s="9" t="s">
        <v>3106</v>
      </c>
      <c r="C2881" s="9" t="s">
        <v>94</v>
      </c>
      <c r="D2881" s="9" t="s">
        <v>92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153</v>
      </c>
      <c r="B2882" s="9" t="s">
        <v>3107</v>
      </c>
      <c r="C2882" s="9" t="s">
        <v>94</v>
      </c>
      <c r="D2882" s="9" t="s">
        <v>92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153</v>
      </c>
      <c r="B2883" s="9" t="s">
        <v>3108</v>
      </c>
      <c r="C2883" s="9" t="s">
        <v>94</v>
      </c>
      <c r="D2883" s="9" t="s">
        <v>92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153</v>
      </c>
      <c r="B2884" s="9" t="s">
        <v>3109</v>
      </c>
      <c r="C2884" s="9" t="s">
        <v>94</v>
      </c>
      <c r="D2884" s="9" t="s">
        <v>92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153</v>
      </c>
      <c r="B2885" s="9" t="s">
        <v>3110</v>
      </c>
      <c r="C2885" s="9" t="s">
        <v>94</v>
      </c>
      <c r="D2885" s="9" t="s">
        <v>92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153</v>
      </c>
      <c r="B2886" s="9" t="s">
        <v>3111</v>
      </c>
      <c r="C2886" s="9" t="s">
        <v>94</v>
      </c>
      <c r="D2886" s="9" t="s">
        <v>92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153</v>
      </c>
      <c r="B2887" s="9" t="s">
        <v>3112</v>
      </c>
      <c r="C2887" s="9" t="s">
        <v>94</v>
      </c>
      <c r="D2887" s="9" t="s">
        <v>92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153</v>
      </c>
      <c r="B2888" s="9" t="s">
        <v>3113</v>
      </c>
      <c r="C2888" s="9" t="s">
        <v>94</v>
      </c>
      <c r="D2888" s="9" t="s">
        <v>92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153</v>
      </c>
      <c r="B2889" s="9" t="s">
        <v>3114</v>
      </c>
      <c r="C2889" s="9" t="s">
        <v>94</v>
      </c>
      <c r="D2889" s="9" t="s">
        <v>92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153</v>
      </c>
      <c r="B2890" s="9" t="s">
        <v>3115</v>
      </c>
      <c r="C2890" s="9" t="s">
        <v>94</v>
      </c>
      <c r="D2890" s="9" t="s">
        <v>92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153</v>
      </c>
      <c r="B2891" s="9" t="s">
        <v>3116</v>
      </c>
      <c r="C2891" s="9" t="s">
        <v>94</v>
      </c>
      <c r="D2891" s="9" t="s">
        <v>92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153</v>
      </c>
      <c r="B2892" s="9" t="s">
        <v>3117</v>
      </c>
      <c r="C2892" s="9" t="s">
        <v>94</v>
      </c>
      <c r="D2892" s="9" t="s">
        <v>92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153</v>
      </c>
      <c r="B2893" s="9" t="s">
        <v>3118</v>
      </c>
      <c r="C2893" s="9" t="s">
        <v>94</v>
      </c>
      <c r="D2893" s="9" t="s">
        <v>92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153</v>
      </c>
      <c r="B2894" s="9" t="s">
        <v>3119</v>
      </c>
      <c r="C2894" s="9" t="s">
        <v>94</v>
      </c>
      <c r="D2894" s="9" t="s">
        <v>92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153</v>
      </c>
      <c r="B2895" s="9" t="s">
        <v>3120</v>
      </c>
      <c r="C2895" s="9" t="s">
        <v>94</v>
      </c>
      <c r="D2895" s="9" t="s">
        <v>92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153</v>
      </c>
      <c r="B2896" s="9" t="s">
        <v>3121</v>
      </c>
      <c r="C2896" s="9" t="s">
        <v>94</v>
      </c>
      <c r="D2896" s="9" t="s">
        <v>92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153</v>
      </c>
      <c r="B2897" s="9" t="s">
        <v>3122</v>
      </c>
      <c r="C2897" s="9" t="s">
        <v>94</v>
      </c>
      <c r="D2897" s="9" t="s">
        <v>92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153</v>
      </c>
      <c r="B2898" s="9" t="s">
        <v>3123</v>
      </c>
      <c r="C2898" s="9" t="s">
        <v>94</v>
      </c>
      <c r="D2898" s="9" t="s">
        <v>92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153</v>
      </c>
      <c r="B2899" s="9" t="s">
        <v>3124</v>
      </c>
      <c r="C2899" s="9" t="s">
        <v>94</v>
      </c>
      <c r="D2899" s="9" t="s">
        <v>92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153</v>
      </c>
      <c r="B2900" s="9" t="s">
        <v>3125</v>
      </c>
      <c r="C2900" s="9" t="s">
        <v>94</v>
      </c>
      <c r="D2900" s="9" t="s">
        <v>92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153</v>
      </c>
      <c r="B2901" s="9" t="s">
        <v>3126</v>
      </c>
      <c r="C2901" s="9" t="s">
        <v>94</v>
      </c>
      <c r="D2901" s="9" t="s">
        <v>92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153</v>
      </c>
      <c r="B2902" s="9" t="s">
        <v>3127</v>
      </c>
      <c r="C2902" s="9" t="s">
        <v>94</v>
      </c>
      <c r="D2902" s="9" t="s">
        <v>92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153</v>
      </c>
      <c r="B2903" s="9" t="s">
        <v>3128</v>
      </c>
      <c r="C2903" s="9" t="s">
        <v>94</v>
      </c>
      <c r="D2903" s="9" t="s">
        <v>92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153</v>
      </c>
      <c r="B2904" s="9" t="s">
        <v>3129</v>
      </c>
      <c r="C2904" s="9" t="s">
        <v>94</v>
      </c>
      <c r="D2904" s="9" t="s">
        <v>92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153</v>
      </c>
      <c r="B2905" s="9" t="s">
        <v>3130</v>
      </c>
      <c r="C2905" s="9" t="s">
        <v>94</v>
      </c>
      <c r="D2905" s="9" t="s">
        <v>92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153</v>
      </c>
      <c r="B2906" s="9" t="s">
        <v>3131</v>
      </c>
      <c r="C2906" s="9" t="s">
        <v>94</v>
      </c>
      <c r="D2906" s="9" t="s">
        <v>92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153</v>
      </c>
      <c r="B2907" s="9" t="s">
        <v>3132</v>
      </c>
      <c r="C2907" s="9" t="s">
        <v>94</v>
      </c>
      <c r="D2907" s="9" t="s">
        <v>92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153</v>
      </c>
      <c r="B2908" s="9" t="s">
        <v>3133</v>
      </c>
      <c r="C2908" s="9" t="s">
        <v>94</v>
      </c>
      <c r="D2908" s="9" t="s">
        <v>92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153</v>
      </c>
      <c r="B2909" s="9" t="s">
        <v>3134</v>
      </c>
      <c r="C2909" s="9" t="s">
        <v>94</v>
      </c>
      <c r="D2909" s="9" t="s">
        <v>92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153</v>
      </c>
      <c r="B2910" s="9" t="s">
        <v>3135</v>
      </c>
      <c r="C2910" s="9" t="s">
        <v>94</v>
      </c>
      <c r="D2910" s="9" t="s">
        <v>92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153</v>
      </c>
      <c r="B2911" s="9" t="s">
        <v>3136</v>
      </c>
      <c r="C2911" s="9" t="s">
        <v>94</v>
      </c>
      <c r="D2911" s="9" t="s">
        <v>92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153</v>
      </c>
      <c r="B2912" s="9" t="s">
        <v>3137</v>
      </c>
      <c r="C2912" s="9" t="s">
        <v>94</v>
      </c>
      <c r="D2912" s="9" t="s">
        <v>92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153</v>
      </c>
      <c r="B2913" s="9" t="s">
        <v>3138</v>
      </c>
      <c r="C2913" s="9" t="s">
        <v>94</v>
      </c>
      <c r="D2913" s="9" t="s">
        <v>92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153</v>
      </c>
      <c r="B2914" s="9" t="s">
        <v>3139</v>
      </c>
      <c r="C2914" s="9" t="s">
        <v>94</v>
      </c>
      <c r="D2914" s="9" t="s">
        <v>92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153</v>
      </c>
      <c r="B2915" s="9" t="s">
        <v>3140</v>
      </c>
      <c r="C2915" s="9" t="s">
        <v>94</v>
      </c>
      <c r="D2915" s="9" t="s">
        <v>92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153</v>
      </c>
      <c r="B2916" s="9" t="s">
        <v>3141</v>
      </c>
      <c r="C2916" s="9" t="s">
        <v>94</v>
      </c>
      <c r="D2916" s="9" t="s">
        <v>92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153</v>
      </c>
      <c r="B2917" s="9" t="s">
        <v>3142</v>
      </c>
      <c r="C2917" s="9" t="s">
        <v>94</v>
      </c>
      <c r="D2917" s="9" t="s">
        <v>92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153</v>
      </c>
      <c r="B2918" s="9" t="s">
        <v>3143</v>
      </c>
      <c r="C2918" s="9" t="s">
        <v>94</v>
      </c>
      <c r="D2918" s="9" t="s">
        <v>92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153</v>
      </c>
      <c r="B2919" s="9" t="s">
        <v>3144</v>
      </c>
      <c r="C2919" s="9" t="s">
        <v>94</v>
      </c>
      <c r="D2919" s="9" t="s">
        <v>92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153</v>
      </c>
      <c r="B2920" s="9" t="s">
        <v>3145</v>
      </c>
      <c r="C2920" s="9" t="s">
        <v>94</v>
      </c>
      <c r="D2920" s="9" t="s">
        <v>92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153</v>
      </c>
      <c r="B2921" s="9" t="s">
        <v>3146</v>
      </c>
      <c r="C2921" s="9" t="s">
        <v>94</v>
      </c>
      <c r="D2921" s="9" t="s">
        <v>92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153</v>
      </c>
      <c r="B2922" s="9" t="s">
        <v>3147</v>
      </c>
      <c r="C2922" s="9" t="s">
        <v>94</v>
      </c>
      <c r="D2922" s="9" t="s">
        <v>92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153</v>
      </c>
      <c r="B2923" s="9" t="s">
        <v>3148</v>
      </c>
      <c r="C2923" s="9" t="s">
        <v>94</v>
      </c>
      <c r="D2923" s="9" t="s">
        <v>92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153</v>
      </c>
      <c r="B2924" s="9" t="s">
        <v>3149</v>
      </c>
      <c r="C2924" s="9" t="s">
        <v>94</v>
      </c>
      <c r="D2924" s="9" t="s">
        <v>92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153</v>
      </c>
      <c r="B2925" s="9" t="s">
        <v>3150</v>
      </c>
      <c r="C2925" s="9" t="s">
        <v>94</v>
      </c>
      <c r="D2925" s="9" t="s">
        <v>92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153</v>
      </c>
      <c r="B2926" s="9" t="s">
        <v>3151</v>
      </c>
      <c r="C2926" s="9" t="s">
        <v>94</v>
      </c>
      <c r="D2926" s="9" t="s">
        <v>92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153</v>
      </c>
      <c r="B2927" s="9" t="s">
        <v>3152</v>
      </c>
      <c r="C2927" s="9" t="s">
        <v>94</v>
      </c>
      <c r="D2927" s="9" t="s">
        <v>92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153</v>
      </c>
      <c r="B2928" s="9" t="s">
        <v>3153</v>
      </c>
      <c r="C2928" s="9" t="s">
        <v>94</v>
      </c>
      <c r="D2928" s="9" t="s">
        <v>92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153</v>
      </c>
      <c r="B2929" s="9" t="s">
        <v>3154</v>
      </c>
      <c r="C2929" s="9" t="s">
        <v>94</v>
      </c>
      <c r="D2929" s="9" t="s">
        <v>92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153</v>
      </c>
      <c r="B2930" s="9" t="s">
        <v>3155</v>
      </c>
      <c r="C2930" s="9" t="s">
        <v>94</v>
      </c>
      <c r="D2930" s="9" t="s">
        <v>92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153</v>
      </c>
      <c r="B2931" s="9" t="s">
        <v>3156</v>
      </c>
      <c r="C2931" s="9" t="s">
        <v>94</v>
      </c>
      <c r="D2931" s="9" t="s">
        <v>92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153</v>
      </c>
      <c r="B2932" s="9" t="s">
        <v>3157</v>
      </c>
      <c r="C2932" s="9" t="s">
        <v>94</v>
      </c>
      <c r="D2932" s="9" t="s">
        <v>92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153</v>
      </c>
      <c r="B2933" s="9" t="s">
        <v>3158</v>
      </c>
      <c r="C2933" s="9" t="s">
        <v>94</v>
      </c>
      <c r="D2933" s="9" t="s">
        <v>92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153</v>
      </c>
      <c r="B2934" s="9" t="s">
        <v>3159</v>
      </c>
      <c r="C2934" s="9" t="s">
        <v>94</v>
      </c>
      <c r="D2934" s="9" t="s">
        <v>92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153</v>
      </c>
      <c r="B2935" s="9" t="s">
        <v>3160</v>
      </c>
      <c r="C2935" s="9" t="s">
        <v>94</v>
      </c>
      <c r="D2935" s="9" t="s">
        <v>92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153</v>
      </c>
      <c r="B2936" s="9" t="s">
        <v>3161</v>
      </c>
      <c r="C2936" s="9" t="s">
        <v>94</v>
      </c>
      <c r="D2936" s="9" t="s">
        <v>92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153</v>
      </c>
      <c r="B2937" s="9" t="s">
        <v>3162</v>
      </c>
      <c r="C2937" s="9" t="s">
        <v>94</v>
      </c>
      <c r="D2937" s="9" t="s">
        <v>92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153</v>
      </c>
      <c r="B2938" s="9" t="s">
        <v>3163</v>
      </c>
      <c r="C2938" s="9" t="s">
        <v>94</v>
      </c>
      <c r="D2938" s="9" t="s">
        <v>92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153</v>
      </c>
      <c r="B2939" s="9" t="s">
        <v>3164</v>
      </c>
      <c r="C2939" s="9" t="s">
        <v>94</v>
      </c>
      <c r="D2939" s="9" t="s">
        <v>92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153</v>
      </c>
      <c r="B2940" s="9" t="s">
        <v>3165</v>
      </c>
      <c r="C2940" s="9" t="s">
        <v>94</v>
      </c>
      <c r="D2940" s="9" t="s">
        <v>92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153</v>
      </c>
      <c r="B2941" s="9" t="s">
        <v>3166</v>
      </c>
      <c r="C2941" s="9" t="s">
        <v>94</v>
      </c>
      <c r="D2941" s="9" t="s">
        <v>92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153</v>
      </c>
      <c r="B2942" s="9" t="s">
        <v>3167</v>
      </c>
      <c r="C2942" s="9" t="s">
        <v>94</v>
      </c>
      <c r="D2942" s="9" t="s">
        <v>92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153</v>
      </c>
      <c r="B2943" s="9" t="s">
        <v>3168</v>
      </c>
      <c r="C2943" s="9" t="s">
        <v>94</v>
      </c>
      <c r="D2943" s="9" t="s">
        <v>92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153</v>
      </c>
      <c r="B2944" s="9" t="s">
        <v>3169</v>
      </c>
      <c r="C2944" s="9" t="s">
        <v>94</v>
      </c>
      <c r="D2944" s="9" t="s">
        <v>92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153</v>
      </c>
      <c r="B2945" s="9" t="s">
        <v>3170</v>
      </c>
      <c r="C2945" s="9" t="s">
        <v>94</v>
      </c>
      <c r="D2945" s="9" t="s">
        <v>92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153</v>
      </c>
      <c r="B2946" s="9" t="s">
        <v>3171</v>
      </c>
      <c r="C2946" s="9" t="s">
        <v>94</v>
      </c>
      <c r="D2946" s="9" t="s">
        <v>92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153</v>
      </c>
      <c r="B2947" s="9" t="s">
        <v>3172</v>
      </c>
      <c r="C2947" s="9" t="s">
        <v>94</v>
      </c>
      <c r="D2947" s="9" t="s">
        <v>92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153</v>
      </c>
      <c r="B2948" s="9" t="s">
        <v>3173</v>
      </c>
      <c r="C2948" s="9" t="s">
        <v>94</v>
      </c>
      <c r="D2948" s="9" t="s">
        <v>92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153</v>
      </c>
      <c r="B2949" s="9" t="s">
        <v>3174</v>
      </c>
      <c r="C2949" s="9" t="s">
        <v>94</v>
      </c>
      <c r="D2949" s="9" t="s">
        <v>92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153</v>
      </c>
      <c r="B2950" s="9" t="s">
        <v>3175</v>
      </c>
      <c r="C2950" s="9" t="s">
        <v>94</v>
      </c>
      <c r="D2950" s="9" t="s">
        <v>92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153</v>
      </c>
      <c r="B2951" s="9" t="s">
        <v>3176</v>
      </c>
      <c r="C2951" s="9" t="s">
        <v>94</v>
      </c>
      <c r="D2951" s="9" t="s">
        <v>92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153</v>
      </c>
      <c r="B2952" s="9" t="s">
        <v>3177</v>
      </c>
      <c r="C2952" s="9" t="s">
        <v>94</v>
      </c>
      <c r="D2952" s="9" t="s">
        <v>92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153</v>
      </c>
      <c r="B2953" s="9" t="s">
        <v>3178</v>
      </c>
      <c r="C2953" s="9" t="s">
        <v>94</v>
      </c>
      <c r="D2953" s="9" t="s">
        <v>92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153</v>
      </c>
      <c r="B2954" s="9" t="s">
        <v>3179</v>
      </c>
      <c r="C2954" s="9" t="s">
        <v>94</v>
      </c>
      <c r="D2954" s="9" t="s">
        <v>92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153</v>
      </c>
      <c r="B2955" s="9" t="s">
        <v>3180</v>
      </c>
      <c r="C2955" s="9" t="s">
        <v>94</v>
      </c>
      <c r="D2955" s="9" t="s">
        <v>92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153</v>
      </c>
      <c r="B2956" s="9" t="s">
        <v>3181</v>
      </c>
      <c r="C2956" s="9" t="s">
        <v>94</v>
      </c>
      <c r="D2956" s="9" t="s">
        <v>92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153</v>
      </c>
      <c r="B2957" s="9" t="s">
        <v>3182</v>
      </c>
      <c r="C2957" s="9" t="s">
        <v>94</v>
      </c>
      <c r="D2957" s="9" t="s">
        <v>92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153</v>
      </c>
      <c r="B2958" s="9" t="s">
        <v>3183</v>
      </c>
      <c r="C2958" s="9" t="s">
        <v>94</v>
      </c>
      <c r="D2958" s="9" t="s">
        <v>92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153</v>
      </c>
      <c r="B2959" s="9" t="s">
        <v>3184</v>
      </c>
      <c r="C2959" s="9" t="s">
        <v>94</v>
      </c>
      <c r="D2959" s="9" t="s">
        <v>92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153</v>
      </c>
      <c r="B2960" s="9" t="s">
        <v>3185</v>
      </c>
      <c r="C2960" s="9" t="s">
        <v>94</v>
      </c>
      <c r="D2960" s="9" t="s">
        <v>92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153</v>
      </c>
      <c r="B2961" s="9" t="s">
        <v>3186</v>
      </c>
      <c r="C2961" s="9" t="s">
        <v>94</v>
      </c>
      <c r="D2961" s="9" t="s">
        <v>92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153</v>
      </c>
      <c r="B2962" s="9" t="s">
        <v>3187</v>
      </c>
      <c r="C2962" s="9" t="s">
        <v>94</v>
      </c>
      <c r="D2962" s="9" t="s">
        <v>92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153</v>
      </c>
      <c r="B2963" s="9" t="s">
        <v>3188</v>
      </c>
      <c r="C2963" s="9" t="s">
        <v>94</v>
      </c>
      <c r="D2963" s="9" t="s">
        <v>92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153</v>
      </c>
      <c r="B2964" s="9" t="s">
        <v>3189</v>
      </c>
      <c r="C2964" s="9" t="s">
        <v>94</v>
      </c>
      <c r="D2964" s="9" t="s">
        <v>92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153</v>
      </c>
      <c r="B2965" s="9" t="s">
        <v>3190</v>
      </c>
      <c r="C2965" s="9" t="s">
        <v>94</v>
      </c>
      <c r="D2965" s="9" t="s">
        <v>92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153</v>
      </c>
      <c r="B2966" s="9" t="s">
        <v>3191</v>
      </c>
      <c r="C2966" s="9" t="s">
        <v>94</v>
      </c>
      <c r="D2966" s="9" t="s">
        <v>92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153</v>
      </c>
      <c r="B2967" s="9" t="s">
        <v>3192</v>
      </c>
      <c r="C2967" s="9" t="s">
        <v>94</v>
      </c>
      <c r="D2967" s="9" t="s">
        <v>92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153</v>
      </c>
      <c r="B2968" s="9" t="s">
        <v>3193</v>
      </c>
      <c r="C2968" s="9" t="s">
        <v>94</v>
      </c>
      <c r="D2968" s="9" t="s">
        <v>92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153</v>
      </c>
      <c r="B2969" s="9" t="s">
        <v>3194</v>
      </c>
      <c r="C2969" s="9" t="s">
        <v>94</v>
      </c>
      <c r="D2969" s="9" t="s">
        <v>92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153</v>
      </c>
      <c r="B2970" s="9" t="s">
        <v>3195</v>
      </c>
      <c r="C2970" s="9" t="s">
        <v>94</v>
      </c>
      <c r="D2970" s="9" t="s">
        <v>92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153</v>
      </c>
      <c r="B2971" s="9" t="s">
        <v>3196</v>
      </c>
      <c r="C2971" s="9" t="s">
        <v>94</v>
      </c>
      <c r="D2971" s="9" t="s">
        <v>92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153</v>
      </c>
      <c r="B2972" s="9" t="s">
        <v>3197</v>
      </c>
      <c r="C2972" s="9" t="s">
        <v>94</v>
      </c>
      <c r="D2972" s="9" t="s">
        <v>92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153</v>
      </c>
      <c r="B2973" s="9" t="s">
        <v>3198</v>
      </c>
      <c r="C2973" s="9" t="s">
        <v>94</v>
      </c>
      <c r="D2973" s="9" t="s">
        <v>92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153</v>
      </c>
      <c r="B2974" s="9" t="s">
        <v>3199</v>
      </c>
      <c r="C2974" s="9" t="s">
        <v>94</v>
      </c>
      <c r="D2974" s="9" t="s">
        <v>92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153</v>
      </c>
      <c r="B2975" s="9" t="s">
        <v>3200</v>
      </c>
      <c r="C2975" s="9" t="s">
        <v>94</v>
      </c>
      <c r="D2975" s="9" t="s">
        <v>92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153</v>
      </c>
      <c r="B2976" s="9" t="s">
        <v>3201</v>
      </c>
      <c r="C2976" s="9" t="s">
        <v>94</v>
      </c>
      <c r="D2976" s="9" t="s">
        <v>92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153</v>
      </c>
      <c r="B2977" s="9" t="s">
        <v>3202</v>
      </c>
      <c r="C2977" s="9" t="s">
        <v>94</v>
      </c>
      <c r="D2977" s="9" t="s">
        <v>92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153</v>
      </c>
      <c r="B2978" s="9" t="s">
        <v>3203</v>
      </c>
      <c r="C2978" s="9" t="s">
        <v>94</v>
      </c>
      <c r="D2978" s="9" t="s">
        <v>92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153</v>
      </c>
      <c r="B2979" s="9" t="s">
        <v>3204</v>
      </c>
      <c r="C2979" s="9" t="s">
        <v>94</v>
      </c>
      <c r="D2979" s="9" t="s">
        <v>92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153</v>
      </c>
      <c r="B2980" s="9" t="s">
        <v>3205</v>
      </c>
      <c r="C2980" s="9" t="s">
        <v>94</v>
      </c>
      <c r="D2980" s="9" t="s">
        <v>92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153</v>
      </c>
      <c r="B2981" s="9" t="s">
        <v>3206</v>
      </c>
      <c r="C2981" s="9" t="s">
        <v>94</v>
      </c>
      <c r="D2981" s="9" t="s">
        <v>92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153</v>
      </c>
      <c r="B2982" s="9" t="s">
        <v>3207</v>
      </c>
      <c r="C2982" s="9" t="s">
        <v>94</v>
      </c>
      <c r="D2982" s="9" t="s">
        <v>92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153</v>
      </c>
      <c r="B2983" s="9" t="s">
        <v>3208</v>
      </c>
      <c r="C2983" s="9" t="s">
        <v>94</v>
      </c>
      <c r="D2983" s="9" t="s">
        <v>92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153</v>
      </c>
      <c r="B2984" s="9" t="s">
        <v>3209</v>
      </c>
      <c r="C2984" s="9" t="s">
        <v>94</v>
      </c>
      <c r="D2984" s="9" t="s">
        <v>92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153</v>
      </c>
      <c r="B2985" s="9" t="s">
        <v>3210</v>
      </c>
      <c r="C2985" s="9" t="s">
        <v>94</v>
      </c>
      <c r="D2985" s="9" t="s">
        <v>92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153</v>
      </c>
      <c r="B2986" s="9" t="s">
        <v>3211</v>
      </c>
      <c r="C2986" s="9" t="s">
        <v>94</v>
      </c>
      <c r="D2986" s="9" t="s">
        <v>92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153</v>
      </c>
      <c r="B2987" s="9" t="s">
        <v>3212</v>
      </c>
      <c r="C2987" s="9" t="s">
        <v>94</v>
      </c>
      <c r="D2987" s="9" t="s">
        <v>92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153</v>
      </c>
      <c r="B2988" s="9" t="s">
        <v>3213</v>
      </c>
      <c r="C2988" s="9" t="s">
        <v>94</v>
      </c>
      <c r="D2988" s="9" t="s">
        <v>92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153</v>
      </c>
      <c r="B2989" s="9" t="s">
        <v>3214</v>
      </c>
      <c r="C2989" s="9" t="s">
        <v>94</v>
      </c>
      <c r="D2989" s="9" t="s">
        <v>92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153</v>
      </c>
      <c r="B2990" s="9" t="s">
        <v>3215</v>
      </c>
      <c r="C2990" s="9" t="s">
        <v>94</v>
      </c>
      <c r="D2990" s="9" t="s">
        <v>92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153</v>
      </c>
      <c r="B2991" s="9" t="s">
        <v>3216</v>
      </c>
      <c r="C2991" s="9" t="s">
        <v>94</v>
      </c>
      <c r="D2991" s="9" t="s">
        <v>92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153</v>
      </c>
      <c r="B2992" s="9" t="s">
        <v>3217</v>
      </c>
      <c r="C2992" s="9" t="s">
        <v>94</v>
      </c>
      <c r="D2992" s="9" t="s">
        <v>92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153</v>
      </c>
      <c r="B2993" s="9" t="s">
        <v>3218</v>
      </c>
      <c r="C2993" s="9" t="s">
        <v>94</v>
      </c>
      <c r="D2993" s="9" t="s">
        <v>92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153</v>
      </c>
      <c r="B2994" s="9" t="s">
        <v>3219</v>
      </c>
      <c r="C2994" s="9" t="s">
        <v>94</v>
      </c>
      <c r="D2994" s="9" t="s">
        <v>92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153</v>
      </c>
      <c r="B2995" s="9" t="s">
        <v>3220</v>
      </c>
      <c r="C2995" s="9" t="s">
        <v>94</v>
      </c>
      <c r="D2995" s="9" t="s">
        <v>92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153</v>
      </c>
      <c r="B2996" s="9" t="s">
        <v>3221</v>
      </c>
      <c r="C2996" s="9" t="s">
        <v>94</v>
      </c>
      <c r="D2996" s="9" t="s">
        <v>92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153</v>
      </c>
      <c r="B2997" s="9" t="s">
        <v>3222</v>
      </c>
      <c r="C2997" s="9" t="s">
        <v>94</v>
      </c>
      <c r="D2997" s="9" t="s">
        <v>92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153</v>
      </c>
      <c r="B2998" s="9" t="s">
        <v>666</v>
      </c>
      <c r="C2998" s="9" t="s">
        <v>94</v>
      </c>
      <c r="D2998" s="9" t="s">
        <v>92</v>
      </c>
      <c r="E2998" s="9" t="s">
        <v>0</v>
      </c>
      <c r="F2998" s="27"/>
      <c r="G2998" s="24"/>
      <c r="H2998" s="24"/>
      <c r="I2998" s="28"/>
      <c r="J2998" s="27">
        <v>0</v>
      </c>
      <c r="K2998" s="24"/>
      <c r="L2998" s="24"/>
      <c r="M2998" s="28">
        <v>0</v>
      </c>
      <c r="N2998" s="27">
        <v>0</v>
      </c>
      <c r="O2998" s="10"/>
      <c r="P2998" s="10"/>
      <c r="Q2998" s="10"/>
      <c r="R2998" s="10"/>
      <c r="S2998" s="10"/>
      <c r="T2998" s="10"/>
      <c r="U2998" s="29">
        <v>0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153</v>
      </c>
      <c r="B2999" s="9" t="s">
        <v>667</v>
      </c>
      <c r="C2999" s="9" t="s">
        <v>94</v>
      </c>
      <c r="D2999" s="9" t="s">
        <v>92</v>
      </c>
      <c r="E2999" s="9" t="s">
        <v>0</v>
      </c>
      <c r="F2999" s="27"/>
      <c r="G2999" s="24"/>
      <c r="H2999" s="24"/>
      <c r="I2999" s="28"/>
      <c r="J2999" s="27">
        <v>0</v>
      </c>
      <c r="K2999" s="24"/>
      <c r="L2999" s="24"/>
      <c r="M2999" s="28">
        <v>0</v>
      </c>
      <c r="N2999" s="27">
        <v>0</v>
      </c>
      <c r="O2999" s="10"/>
      <c r="P2999" s="10"/>
      <c r="Q2999" s="10"/>
      <c r="R2999" s="10"/>
      <c r="S2999" s="10"/>
      <c r="T2999" s="10"/>
      <c r="U2999" s="29">
        <v>0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153</v>
      </c>
      <c r="B3000" s="9" t="s">
        <v>668</v>
      </c>
      <c r="C3000" s="9" t="s">
        <v>94</v>
      </c>
      <c r="D3000" s="9" t="s">
        <v>92</v>
      </c>
      <c r="E3000" s="9" t="s">
        <v>0</v>
      </c>
      <c r="F3000" s="27"/>
      <c r="G3000" s="24"/>
      <c r="H3000" s="24"/>
      <c r="I3000" s="28"/>
      <c r="J3000" s="27">
        <v>0</v>
      </c>
      <c r="K3000" s="24"/>
      <c r="L3000" s="24"/>
      <c r="M3000" s="28">
        <v>0</v>
      </c>
      <c r="N3000" s="27">
        <v>0</v>
      </c>
      <c r="O3000" s="10"/>
      <c r="P3000" s="10"/>
      <c r="Q3000" s="10"/>
      <c r="R3000" s="10"/>
      <c r="S3000" s="10"/>
      <c r="T3000" s="10"/>
      <c r="U3000" s="29">
        <v>0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153</v>
      </c>
      <c r="B3001" s="9" t="s">
        <v>669</v>
      </c>
      <c r="C3001" s="9" t="s">
        <v>94</v>
      </c>
      <c r="D3001" s="9" t="s">
        <v>92</v>
      </c>
      <c r="E3001" s="9" t="s">
        <v>0</v>
      </c>
      <c r="F3001" s="27"/>
      <c r="G3001" s="24"/>
      <c r="H3001" s="24"/>
      <c r="I3001" s="28"/>
      <c r="J3001" s="27">
        <v>0</v>
      </c>
      <c r="K3001" s="24"/>
      <c r="L3001" s="24"/>
      <c r="M3001" s="28">
        <v>0</v>
      </c>
      <c r="N3001" s="27">
        <v>0</v>
      </c>
      <c r="O3001" s="10"/>
      <c r="P3001" s="10"/>
      <c r="Q3001" s="10"/>
      <c r="R3001" s="10"/>
      <c r="S3001" s="10"/>
      <c r="T3001" s="10"/>
      <c r="U3001" s="29">
        <v>0</v>
      </c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153</v>
      </c>
      <c r="B3002" s="9" t="s">
        <v>3223</v>
      </c>
      <c r="C3002" s="9" t="s">
        <v>94</v>
      </c>
      <c r="D3002" s="9" t="s">
        <v>92</v>
      </c>
      <c r="E3002" s="9" t="s">
        <v>0</v>
      </c>
      <c r="F3002" s="27"/>
      <c r="G3002" s="24"/>
      <c r="H3002" s="24"/>
      <c r="I3002" s="28"/>
      <c r="J3002" s="27">
        <v>0</v>
      </c>
      <c r="K3002" s="24"/>
      <c r="L3002" s="24"/>
      <c r="M3002" s="28">
        <v>0</v>
      </c>
      <c r="N3002" s="27">
        <v>0</v>
      </c>
      <c r="O3002" s="10"/>
      <c r="P3002" s="10"/>
      <c r="Q3002" s="10"/>
      <c r="R3002" s="10"/>
      <c r="S3002" s="10"/>
      <c r="T3002" s="10"/>
      <c r="U3002" s="29">
        <v>0</v>
      </c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153</v>
      </c>
      <c r="B3003" s="9" t="s">
        <v>670</v>
      </c>
      <c r="C3003" s="9" t="s">
        <v>94</v>
      </c>
      <c r="D3003" s="9" t="s">
        <v>92</v>
      </c>
      <c r="E3003" s="9" t="s">
        <v>0</v>
      </c>
      <c r="F3003" s="27"/>
      <c r="G3003" s="24"/>
      <c r="H3003" s="24"/>
      <c r="I3003" s="28"/>
      <c r="J3003" s="27">
        <v>0</v>
      </c>
      <c r="K3003" s="24"/>
      <c r="L3003" s="24"/>
      <c r="M3003" s="28">
        <v>0</v>
      </c>
      <c r="N3003" s="27">
        <v>0</v>
      </c>
      <c r="O3003" s="10"/>
      <c r="P3003" s="10"/>
      <c r="Q3003" s="10"/>
      <c r="R3003" s="10"/>
      <c r="S3003" s="10"/>
      <c r="T3003" s="10"/>
      <c r="U3003" s="29">
        <v>0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153</v>
      </c>
      <c r="B3004" s="9" t="s">
        <v>671</v>
      </c>
      <c r="C3004" s="9" t="s">
        <v>94</v>
      </c>
      <c r="D3004" s="9" t="s">
        <v>92</v>
      </c>
      <c r="E3004" s="9" t="s">
        <v>0</v>
      </c>
      <c r="F3004" s="27"/>
      <c r="G3004" s="24"/>
      <c r="H3004" s="24"/>
      <c r="I3004" s="28"/>
      <c r="J3004" s="27">
        <v>0</v>
      </c>
      <c r="K3004" s="24"/>
      <c r="L3004" s="24"/>
      <c r="M3004" s="28">
        <v>0</v>
      </c>
      <c r="N3004" s="27">
        <v>0</v>
      </c>
      <c r="O3004" s="10"/>
      <c r="P3004" s="10"/>
      <c r="Q3004" s="10"/>
      <c r="R3004" s="10"/>
      <c r="S3004" s="10"/>
      <c r="T3004" s="10"/>
      <c r="U3004" s="29">
        <v>0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153</v>
      </c>
      <c r="B3005" s="9" t="s">
        <v>672</v>
      </c>
      <c r="C3005" s="9" t="s">
        <v>94</v>
      </c>
      <c r="D3005" s="9" t="s">
        <v>92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153</v>
      </c>
      <c r="B3006" s="9" t="s">
        <v>3224</v>
      </c>
      <c r="C3006" s="9" t="s">
        <v>94</v>
      </c>
      <c r="D3006" s="9" t="s">
        <v>92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153</v>
      </c>
      <c r="B3007" s="9" t="s">
        <v>673</v>
      </c>
      <c r="C3007" s="9" t="s">
        <v>94</v>
      </c>
      <c r="D3007" s="9" t="s">
        <v>92</v>
      </c>
      <c r="E3007" s="9" t="s">
        <v>0</v>
      </c>
      <c r="F3007" s="27"/>
      <c r="G3007" s="24"/>
      <c r="H3007" s="24"/>
      <c r="I3007" s="28"/>
      <c r="J3007" s="27">
        <v>0</v>
      </c>
      <c r="K3007" s="24"/>
      <c r="L3007" s="24"/>
      <c r="M3007" s="28">
        <v>0</v>
      </c>
      <c r="N3007" s="27">
        <v>0</v>
      </c>
      <c r="O3007" s="10"/>
      <c r="P3007" s="10"/>
      <c r="Q3007" s="10"/>
      <c r="R3007" s="10"/>
      <c r="S3007" s="10"/>
      <c r="T3007" s="10"/>
      <c r="U3007" s="29">
        <v>0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153</v>
      </c>
      <c r="B3008" s="9" t="s">
        <v>674</v>
      </c>
      <c r="C3008" s="9" t="s">
        <v>94</v>
      </c>
      <c r="D3008" s="9" t="s">
        <v>92</v>
      </c>
      <c r="E3008" s="9" t="s">
        <v>0</v>
      </c>
      <c r="F3008" s="27"/>
      <c r="G3008" s="24"/>
      <c r="H3008" s="24"/>
      <c r="I3008" s="28"/>
      <c r="J3008" s="27">
        <v>0</v>
      </c>
      <c r="K3008" s="24"/>
      <c r="L3008" s="24"/>
      <c r="M3008" s="28">
        <v>0</v>
      </c>
      <c r="N3008" s="27">
        <v>0</v>
      </c>
      <c r="O3008" s="10"/>
      <c r="P3008" s="10"/>
      <c r="Q3008" s="10"/>
      <c r="R3008" s="10"/>
      <c r="S3008" s="10"/>
      <c r="T3008" s="10"/>
      <c r="U3008" s="29">
        <v>0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153</v>
      </c>
      <c r="B3009" s="9" t="s">
        <v>675</v>
      </c>
      <c r="C3009" s="9" t="s">
        <v>94</v>
      </c>
      <c r="D3009" s="9" t="s">
        <v>92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153</v>
      </c>
      <c r="B3010" s="9" t="s">
        <v>3225</v>
      </c>
      <c r="C3010" s="9" t="s">
        <v>94</v>
      </c>
      <c r="D3010" s="9" t="s">
        <v>92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153</v>
      </c>
      <c r="B3011" s="9" t="s">
        <v>676</v>
      </c>
      <c r="C3011" s="9" t="s">
        <v>94</v>
      </c>
      <c r="D3011" s="9" t="s">
        <v>92</v>
      </c>
      <c r="E3011" s="9" t="s">
        <v>0</v>
      </c>
      <c r="F3011" s="27"/>
      <c r="G3011" s="24"/>
      <c r="H3011" s="24"/>
      <c r="I3011" s="28"/>
      <c r="J3011" s="27">
        <v>0</v>
      </c>
      <c r="K3011" s="24"/>
      <c r="L3011" s="24"/>
      <c r="M3011" s="28">
        <v>0</v>
      </c>
      <c r="N3011" s="27">
        <v>0</v>
      </c>
      <c r="O3011" s="10"/>
      <c r="P3011" s="10"/>
      <c r="Q3011" s="10"/>
      <c r="R3011" s="10"/>
      <c r="S3011" s="10"/>
      <c r="T3011" s="10"/>
      <c r="U3011" s="29">
        <v>0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153</v>
      </c>
      <c r="B3012" s="9" t="s">
        <v>677</v>
      </c>
      <c r="C3012" s="9" t="s">
        <v>94</v>
      </c>
      <c r="D3012" s="9" t="s">
        <v>92</v>
      </c>
      <c r="E3012" s="9" t="s">
        <v>0</v>
      </c>
      <c r="F3012" s="27"/>
      <c r="G3012" s="24"/>
      <c r="H3012" s="24"/>
      <c r="I3012" s="28"/>
      <c r="J3012" s="27">
        <v>0</v>
      </c>
      <c r="K3012" s="24"/>
      <c r="L3012" s="24"/>
      <c r="M3012" s="28">
        <v>0</v>
      </c>
      <c r="N3012" s="27">
        <v>0</v>
      </c>
      <c r="O3012" s="10"/>
      <c r="P3012" s="10"/>
      <c r="Q3012" s="10"/>
      <c r="R3012" s="10"/>
      <c r="S3012" s="10"/>
      <c r="T3012" s="10"/>
      <c r="U3012" s="29">
        <v>0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153</v>
      </c>
      <c r="B3013" s="9" t="s">
        <v>678</v>
      </c>
      <c r="C3013" s="9" t="s">
        <v>94</v>
      </c>
      <c r="D3013" s="9" t="s">
        <v>92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153</v>
      </c>
      <c r="B3014" s="9" t="s">
        <v>3226</v>
      </c>
      <c r="C3014" s="9" t="s">
        <v>94</v>
      </c>
      <c r="D3014" s="9" t="s">
        <v>92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153</v>
      </c>
      <c r="B3015" s="9" t="s">
        <v>679</v>
      </c>
      <c r="C3015" s="9" t="s">
        <v>94</v>
      </c>
      <c r="D3015" s="9" t="s">
        <v>92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153</v>
      </c>
      <c r="B3016" s="9" t="s">
        <v>680</v>
      </c>
      <c r="C3016" s="9" t="s">
        <v>94</v>
      </c>
      <c r="D3016" s="9" t="s">
        <v>92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153</v>
      </c>
      <c r="B3017" s="9" t="s">
        <v>681</v>
      </c>
      <c r="C3017" s="9" t="s">
        <v>94</v>
      </c>
      <c r="D3017" s="9" t="s">
        <v>92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153</v>
      </c>
      <c r="B3018" s="9" t="s">
        <v>3227</v>
      </c>
      <c r="C3018" s="9" t="s">
        <v>94</v>
      </c>
      <c r="D3018" s="9" t="s">
        <v>92</v>
      </c>
      <c r="E3018" s="9" t="s">
        <v>0</v>
      </c>
      <c r="F3018" s="27"/>
      <c r="G3018" s="24"/>
      <c r="H3018" s="24"/>
      <c r="I3018" s="28"/>
      <c r="J3018" s="27">
        <v>0</v>
      </c>
      <c r="K3018" s="24"/>
      <c r="L3018" s="24"/>
      <c r="M3018" s="28">
        <v>0</v>
      </c>
      <c r="N3018" s="27">
        <v>0</v>
      </c>
      <c r="O3018" s="10"/>
      <c r="P3018" s="10"/>
      <c r="Q3018" s="10"/>
      <c r="R3018" s="10"/>
      <c r="S3018" s="10"/>
      <c r="T3018" s="10"/>
      <c r="U3018" s="29">
        <v>0</v>
      </c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153</v>
      </c>
      <c r="B3019" s="9" t="s">
        <v>3228</v>
      </c>
      <c r="C3019" s="9" t="s">
        <v>94</v>
      </c>
      <c r="D3019" s="9" t="s">
        <v>92</v>
      </c>
      <c r="E3019" s="9" t="s">
        <v>0</v>
      </c>
      <c r="F3019" s="27"/>
      <c r="G3019" s="24"/>
      <c r="H3019" s="24"/>
      <c r="I3019" s="28"/>
      <c r="J3019" s="27">
        <v>0</v>
      </c>
      <c r="K3019" s="24"/>
      <c r="L3019" s="24"/>
      <c r="M3019" s="28">
        <v>0</v>
      </c>
      <c r="N3019" s="27">
        <v>0</v>
      </c>
      <c r="O3019" s="10"/>
      <c r="P3019" s="10"/>
      <c r="Q3019" s="10"/>
      <c r="R3019" s="10"/>
      <c r="S3019" s="10"/>
      <c r="T3019" s="10"/>
      <c r="U3019" s="29">
        <v>0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153</v>
      </c>
      <c r="B3020" s="9" t="s">
        <v>3229</v>
      </c>
      <c r="C3020" s="9" t="s">
        <v>94</v>
      </c>
      <c r="D3020" s="9" t="s">
        <v>92</v>
      </c>
      <c r="E3020" s="9" t="s">
        <v>0</v>
      </c>
      <c r="F3020" s="27"/>
      <c r="G3020" s="24"/>
      <c r="H3020" s="24"/>
      <c r="I3020" s="28"/>
      <c r="J3020" s="27">
        <v>0</v>
      </c>
      <c r="K3020" s="24"/>
      <c r="L3020" s="24"/>
      <c r="M3020" s="28">
        <v>0</v>
      </c>
      <c r="N3020" s="27">
        <v>0</v>
      </c>
      <c r="O3020" s="10"/>
      <c r="P3020" s="10"/>
      <c r="Q3020" s="10"/>
      <c r="R3020" s="10"/>
      <c r="S3020" s="10"/>
      <c r="T3020" s="10"/>
      <c r="U3020" s="29">
        <v>0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153</v>
      </c>
      <c r="B3021" s="9" t="s">
        <v>3230</v>
      </c>
      <c r="C3021" s="9" t="s">
        <v>94</v>
      </c>
      <c r="D3021" s="9" t="s">
        <v>92</v>
      </c>
      <c r="E3021" s="9" t="s">
        <v>0</v>
      </c>
      <c r="F3021" s="27"/>
      <c r="G3021" s="24"/>
      <c r="H3021" s="24"/>
      <c r="I3021" s="28"/>
      <c r="J3021" s="27">
        <v>0</v>
      </c>
      <c r="K3021" s="24"/>
      <c r="L3021" s="24"/>
      <c r="M3021" s="28">
        <v>0</v>
      </c>
      <c r="N3021" s="27">
        <v>0</v>
      </c>
      <c r="O3021" s="10"/>
      <c r="P3021" s="10"/>
      <c r="Q3021" s="10"/>
      <c r="R3021" s="10"/>
      <c r="S3021" s="10"/>
      <c r="T3021" s="10"/>
      <c r="U3021" s="29">
        <v>0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153</v>
      </c>
      <c r="B3022" s="9" t="s">
        <v>3231</v>
      </c>
      <c r="C3022" s="9" t="s">
        <v>94</v>
      </c>
      <c r="D3022" s="9" t="s">
        <v>92</v>
      </c>
      <c r="E3022" s="9" t="s">
        <v>0</v>
      </c>
      <c r="F3022" s="27"/>
      <c r="G3022" s="24"/>
      <c r="H3022" s="24"/>
      <c r="I3022" s="28"/>
      <c r="J3022" s="27">
        <v>0</v>
      </c>
      <c r="K3022" s="24"/>
      <c r="L3022" s="24"/>
      <c r="M3022" s="28">
        <v>0</v>
      </c>
      <c r="N3022" s="27">
        <v>0</v>
      </c>
      <c r="O3022" s="10"/>
      <c r="P3022" s="10"/>
      <c r="Q3022" s="10"/>
      <c r="R3022" s="10"/>
      <c r="S3022" s="10"/>
      <c r="T3022" s="10"/>
      <c r="U3022" s="29">
        <v>0</v>
      </c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153</v>
      </c>
      <c r="B3023" s="9" t="s">
        <v>682</v>
      </c>
      <c r="C3023" s="9" t="s">
        <v>94</v>
      </c>
      <c r="D3023" s="9" t="s">
        <v>92</v>
      </c>
      <c r="E3023" s="9" t="s">
        <v>0</v>
      </c>
      <c r="F3023" s="27"/>
      <c r="G3023" s="24"/>
      <c r="H3023" s="24"/>
      <c r="I3023" s="28"/>
      <c r="J3023" s="27">
        <v>0</v>
      </c>
      <c r="K3023" s="24"/>
      <c r="L3023" s="24"/>
      <c r="M3023" s="28">
        <v>0</v>
      </c>
      <c r="N3023" s="27">
        <v>0</v>
      </c>
      <c r="O3023" s="10"/>
      <c r="P3023" s="10"/>
      <c r="Q3023" s="10"/>
      <c r="R3023" s="10"/>
      <c r="S3023" s="10"/>
      <c r="T3023" s="10"/>
      <c r="U3023" s="29">
        <v>0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153</v>
      </c>
      <c r="B3024" s="9" t="s">
        <v>683</v>
      </c>
      <c r="C3024" s="9" t="s">
        <v>94</v>
      </c>
      <c r="D3024" s="9" t="s">
        <v>92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153</v>
      </c>
      <c r="B3025" s="9" t="s">
        <v>3232</v>
      </c>
      <c r="C3025" s="9" t="s">
        <v>94</v>
      </c>
      <c r="D3025" s="9" t="s">
        <v>92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153</v>
      </c>
      <c r="B3026" s="9" t="s">
        <v>684</v>
      </c>
      <c r="C3026" s="9" t="s">
        <v>94</v>
      </c>
      <c r="D3026" s="9" t="s">
        <v>92</v>
      </c>
      <c r="E3026" s="9" t="s">
        <v>0</v>
      </c>
      <c r="F3026" s="27"/>
      <c r="G3026" s="24"/>
      <c r="H3026" s="24"/>
      <c r="I3026" s="28"/>
      <c r="J3026" s="27">
        <v>0</v>
      </c>
      <c r="K3026" s="24"/>
      <c r="L3026" s="24"/>
      <c r="M3026" s="28">
        <v>0</v>
      </c>
      <c r="N3026" s="27">
        <v>0</v>
      </c>
      <c r="O3026" s="10"/>
      <c r="P3026" s="10"/>
      <c r="Q3026" s="10"/>
      <c r="R3026" s="10"/>
      <c r="S3026" s="10"/>
      <c r="T3026" s="10"/>
      <c r="U3026" s="29">
        <v>0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153</v>
      </c>
      <c r="B3027" s="9" t="s">
        <v>685</v>
      </c>
      <c r="C3027" s="9" t="s">
        <v>94</v>
      </c>
      <c r="D3027" s="9" t="s">
        <v>92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153</v>
      </c>
      <c r="B3028" s="9" t="s">
        <v>3233</v>
      </c>
      <c r="C3028" s="9" t="s">
        <v>94</v>
      </c>
      <c r="D3028" s="9" t="s">
        <v>92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153</v>
      </c>
      <c r="B3029" s="9" t="s">
        <v>686</v>
      </c>
      <c r="C3029" s="9" t="s">
        <v>94</v>
      </c>
      <c r="D3029" s="9" t="s">
        <v>92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153</v>
      </c>
      <c r="B3030" s="9" t="s">
        <v>687</v>
      </c>
      <c r="C3030" s="9" t="s">
        <v>94</v>
      </c>
      <c r="D3030" s="9" t="s">
        <v>92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153</v>
      </c>
      <c r="B3031" s="9" t="s">
        <v>3234</v>
      </c>
      <c r="C3031" s="9" t="s">
        <v>94</v>
      </c>
      <c r="D3031" s="9" t="s">
        <v>92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153</v>
      </c>
      <c r="B3032" s="9" t="s">
        <v>3235</v>
      </c>
      <c r="C3032" s="9" t="s">
        <v>94</v>
      </c>
      <c r="D3032" s="9" t="s">
        <v>92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153</v>
      </c>
      <c r="B3033" s="9" t="s">
        <v>3236</v>
      </c>
      <c r="C3033" s="9" t="s">
        <v>94</v>
      </c>
      <c r="D3033" s="9" t="s">
        <v>92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153</v>
      </c>
      <c r="B3034" s="9" t="s">
        <v>3237</v>
      </c>
      <c r="C3034" s="9" t="s">
        <v>94</v>
      </c>
      <c r="D3034" s="9" t="s">
        <v>92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153</v>
      </c>
      <c r="B3035" s="9" t="s">
        <v>688</v>
      </c>
      <c r="C3035" s="9" t="s">
        <v>94</v>
      </c>
      <c r="D3035" s="9" t="s">
        <v>92</v>
      </c>
      <c r="E3035" s="9" t="s">
        <v>0</v>
      </c>
      <c r="F3035" s="27"/>
      <c r="G3035" s="24"/>
      <c r="H3035" s="24"/>
      <c r="I3035" s="28"/>
      <c r="J3035" s="27">
        <v>0</v>
      </c>
      <c r="K3035" s="24"/>
      <c r="L3035" s="24"/>
      <c r="M3035" s="28">
        <v>0</v>
      </c>
      <c r="N3035" s="27">
        <v>0</v>
      </c>
      <c r="O3035" s="10"/>
      <c r="P3035" s="10"/>
      <c r="Q3035" s="10"/>
      <c r="R3035" s="10"/>
      <c r="S3035" s="10"/>
      <c r="T3035" s="10"/>
      <c r="U3035" s="29">
        <v>0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153</v>
      </c>
      <c r="B3036" s="9" t="s">
        <v>689</v>
      </c>
      <c r="C3036" s="9" t="s">
        <v>94</v>
      </c>
      <c r="D3036" s="9" t="s">
        <v>92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153</v>
      </c>
      <c r="B3037" s="9" t="s">
        <v>3238</v>
      </c>
      <c r="C3037" s="9" t="s">
        <v>94</v>
      </c>
      <c r="D3037" s="9" t="s">
        <v>92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153</v>
      </c>
      <c r="B3038" s="9" t="s">
        <v>690</v>
      </c>
      <c r="C3038" s="9" t="s">
        <v>94</v>
      </c>
      <c r="D3038" s="9" t="s">
        <v>92</v>
      </c>
      <c r="E3038" s="9" t="s">
        <v>0</v>
      </c>
      <c r="F3038" s="27"/>
      <c r="G3038" s="24"/>
      <c r="H3038" s="24"/>
      <c r="I3038" s="28"/>
      <c r="J3038" s="27">
        <v>0</v>
      </c>
      <c r="K3038" s="24"/>
      <c r="L3038" s="24"/>
      <c r="M3038" s="28">
        <v>0</v>
      </c>
      <c r="N3038" s="27">
        <v>0</v>
      </c>
      <c r="O3038" s="10"/>
      <c r="P3038" s="10"/>
      <c r="Q3038" s="10"/>
      <c r="R3038" s="10"/>
      <c r="S3038" s="10"/>
      <c r="T3038" s="10"/>
      <c r="U3038" s="29">
        <v>0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153</v>
      </c>
      <c r="B3039" s="9" t="s">
        <v>691</v>
      </c>
      <c r="C3039" s="9" t="s">
        <v>94</v>
      </c>
      <c r="D3039" s="9" t="s">
        <v>92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153</v>
      </c>
      <c r="B3040" s="9" t="s">
        <v>3239</v>
      </c>
      <c r="C3040" s="9" t="s">
        <v>94</v>
      </c>
      <c r="D3040" s="9" t="s">
        <v>92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153</v>
      </c>
      <c r="B3041" s="9" t="s">
        <v>692</v>
      </c>
      <c r="C3041" s="9" t="s">
        <v>94</v>
      </c>
      <c r="D3041" s="9" t="s">
        <v>92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153</v>
      </c>
      <c r="B3042" s="9" t="s">
        <v>693</v>
      </c>
      <c r="C3042" s="9" t="s">
        <v>94</v>
      </c>
      <c r="D3042" s="9" t="s">
        <v>92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153</v>
      </c>
      <c r="B3043" s="9" t="s">
        <v>3240</v>
      </c>
      <c r="C3043" s="9" t="s">
        <v>94</v>
      </c>
      <c r="D3043" s="9" t="s">
        <v>92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153</v>
      </c>
      <c r="B3044" s="9" t="s">
        <v>3241</v>
      </c>
      <c r="C3044" s="9" t="s">
        <v>94</v>
      </c>
      <c r="D3044" s="9" t="s">
        <v>92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153</v>
      </c>
      <c r="B3045" s="9" t="s">
        <v>3242</v>
      </c>
      <c r="C3045" s="9" t="s">
        <v>94</v>
      </c>
      <c r="D3045" s="9" t="s">
        <v>92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153</v>
      </c>
      <c r="B3046" s="9" t="s">
        <v>3243</v>
      </c>
      <c r="C3046" s="9" t="s">
        <v>94</v>
      </c>
      <c r="D3046" s="9" t="s">
        <v>92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153</v>
      </c>
      <c r="B3047" s="9" t="s">
        <v>694</v>
      </c>
      <c r="C3047" s="9" t="s">
        <v>94</v>
      </c>
      <c r="D3047" s="9" t="s">
        <v>92</v>
      </c>
      <c r="E3047" s="9" t="s">
        <v>0</v>
      </c>
      <c r="F3047" s="27"/>
      <c r="G3047" s="24"/>
      <c r="H3047" s="24"/>
      <c r="I3047" s="28"/>
      <c r="J3047" s="27">
        <v>0</v>
      </c>
      <c r="K3047" s="24"/>
      <c r="L3047" s="24"/>
      <c r="M3047" s="28">
        <v>0</v>
      </c>
      <c r="N3047" s="27">
        <v>0</v>
      </c>
      <c r="O3047" s="10"/>
      <c r="P3047" s="10"/>
      <c r="Q3047" s="10"/>
      <c r="R3047" s="10"/>
      <c r="S3047" s="10"/>
      <c r="T3047" s="10"/>
      <c r="U3047" s="29">
        <v>0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153</v>
      </c>
      <c r="B3048" s="9" t="s">
        <v>695</v>
      </c>
      <c r="C3048" s="9" t="s">
        <v>94</v>
      </c>
      <c r="D3048" s="9" t="s">
        <v>92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153</v>
      </c>
      <c r="B3049" s="9" t="s">
        <v>3244</v>
      </c>
      <c r="C3049" s="9" t="s">
        <v>94</v>
      </c>
      <c r="D3049" s="9" t="s">
        <v>92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153</v>
      </c>
      <c r="B3050" s="9" t="s">
        <v>696</v>
      </c>
      <c r="C3050" s="9" t="s">
        <v>94</v>
      </c>
      <c r="D3050" s="9" t="s">
        <v>92</v>
      </c>
      <c r="E3050" s="9" t="s">
        <v>0</v>
      </c>
      <c r="F3050" s="27"/>
      <c r="G3050" s="24"/>
      <c r="H3050" s="24"/>
      <c r="I3050" s="28"/>
      <c r="J3050" s="27">
        <v>0</v>
      </c>
      <c r="K3050" s="24"/>
      <c r="L3050" s="24"/>
      <c r="M3050" s="28">
        <v>0</v>
      </c>
      <c r="N3050" s="27">
        <v>0</v>
      </c>
      <c r="O3050" s="10"/>
      <c r="P3050" s="10"/>
      <c r="Q3050" s="10"/>
      <c r="R3050" s="10"/>
      <c r="S3050" s="10"/>
      <c r="T3050" s="10"/>
      <c r="U3050" s="29">
        <v>0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153</v>
      </c>
      <c r="B3051" s="9" t="s">
        <v>697</v>
      </c>
      <c r="C3051" s="9" t="s">
        <v>94</v>
      </c>
      <c r="D3051" s="9" t="s">
        <v>92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153</v>
      </c>
      <c r="B3052" s="9" t="s">
        <v>3245</v>
      </c>
      <c r="C3052" s="9" t="s">
        <v>94</v>
      </c>
      <c r="D3052" s="9" t="s">
        <v>92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153</v>
      </c>
      <c r="B3053" s="9" t="s">
        <v>698</v>
      </c>
      <c r="C3053" s="9" t="s">
        <v>94</v>
      </c>
      <c r="D3053" s="9" t="s">
        <v>92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153</v>
      </c>
      <c r="B3054" s="9" t="s">
        <v>699</v>
      </c>
      <c r="C3054" s="9" t="s">
        <v>94</v>
      </c>
      <c r="D3054" s="9" t="s">
        <v>92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153</v>
      </c>
      <c r="B3055" s="9" t="s">
        <v>3246</v>
      </c>
      <c r="C3055" s="9" t="s">
        <v>94</v>
      </c>
      <c r="D3055" s="9" t="s">
        <v>92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153</v>
      </c>
      <c r="B3056" s="9" t="s">
        <v>3247</v>
      </c>
      <c r="C3056" s="9" t="s">
        <v>94</v>
      </c>
      <c r="D3056" s="9" t="s">
        <v>92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153</v>
      </c>
      <c r="B3057" s="9" t="s">
        <v>3248</v>
      </c>
      <c r="C3057" s="9" t="s">
        <v>94</v>
      </c>
      <c r="D3057" s="9" t="s">
        <v>92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153</v>
      </c>
      <c r="B3058" s="9" t="s">
        <v>3249</v>
      </c>
      <c r="C3058" s="9" t="s">
        <v>94</v>
      </c>
      <c r="D3058" s="9" t="s">
        <v>92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153</v>
      </c>
      <c r="B3059" s="9" t="s">
        <v>700</v>
      </c>
      <c r="C3059" s="9" t="s">
        <v>94</v>
      </c>
      <c r="D3059" s="9" t="s">
        <v>92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153</v>
      </c>
      <c r="B3060" s="9" t="s">
        <v>701</v>
      </c>
      <c r="C3060" s="9" t="s">
        <v>94</v>
      </c>
      <c r="D3060" s="9" t="s">
        <v>92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153</v>
      </c>
      <c r="B3061" s="9" t="s">
        <v>3250</v>
      </c>
      <c r="C3061" s="9" t="s">
        <v>94</v>
      </c>
      <c r="D3061" s="9" t="s">
        <v>92</v>
      </c>
      <c r="E3061" s="9" t="s">
        <v>0</v>
      </c>
      <c r="F3061" s="27"/>
      <c r="G3061" s="24"/>
      <c r="H3061" s="24"/>
      <c r="I3061" s="28"/>
      <c r="J3061" s="27">
        <v>0</v>
      </c>
      <c r="K3061" s="24"/>
      <c r="L3061" s="24"/>
      <c r="M3061" s="28">
        <v>0</v>
      </c>
      <c r="N3061" s="27">
        <v>0</v>
      </c>
      <c r="O3061" s="10"/>
      <c r="P3061" s="10"/>
      <c r="Q3061" s="10"/>
      <c r="R3061" s="10"/>
      <c r="S3061" s="10"/>
      <c r="T3061" s="10"/>
      <c r="U3061" s="29">
        <v>0</v>
      </c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153</v>
      </c>
      <c r="B3062" s="9" t="s">
        <v>702</v>
      </c>
      <c r="C3062" s="9" t="s">
        <v>94</v>
      </c>
      <c r="D3062" s="9" t="s">
        <v>92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153</v>
      </c>
      <c r="B3063" s="9" t="s">
        <v>703</v>
      </c>
      <c r="C3063" s="9" t="s">
        <v>94</v>
      </c>
      <c r="D3063" s="9" t="s">
        <v>92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153</v>
      </c>
      <c r="B3064" s="9" t="s">
        <v>3251</v>
      </c>
      <c r="C3064" s="9" t="s">
        <v>94</v>
      </c>
      <c r="D3064" s="9" t="s">
        <v>92</v>
      </c>
      <c r="E3064" s="9" t="s">
        <v>0</v>
      </c>
      <c r="F3064" s="27"/>
      <c r="G3064" s="24"/>
      <c r="H3064" s="24"/>
      <c r="I3064" s="28"/>
      <c r="J3064" s="27">
        <v>0</v>
      </c>
      <c r="K3064" s="24"/>
      <c r="L3064" s="24"/>
      <c r="M3064" s="28">
        <v>0</v>
      </c>
      <c r="N3064" s="27">
        <v>0</v>
      </c>
      <c r="O3064" s="10"/>
      <c r="P3064" s="10"/>
      <c r="Q3064" s="10"/>
      <c r="R3064" s="10"/>
      <c r="S3064" s="10"/>
      <c r="T3064" s="10"/>
      <c r="U3064" s="29">
        <v>0</v>
      </c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153</v>
      </c>
      <c r="B3065" s="9" t="s">
        <v>704</v>
      </c>
      <c r="C3065" s="9" t="s">
        <v>94</v>
      </c>
      <c r="D3065" s="9" t="s">
        <v>92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153</v>
      </c>
      <c r="B3066" s="9" t="s">
        <v>705</v>
      </c>
      <c r="C3066" s="9" t="s">
        <v>94</v>
      </c>
      <c r="D3066" s="9" t="s">
        <v>92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153</v>
      </c>
      <c r="B3067" s="9" t="s">
        <v>3252</v>
      </c>
      <c r="C3067" s="9" t="s">
        <v>94</v>
      </c>
      <c r="D3067" s="9" t="s">
        <v>92</v>
      </c>
      <c r="E3067" s="9" t="s">
        <v>0</v>
      </c>
      <c r="F3067" s="27"/>
      <c r="G3067" s="24"/>
      <c r="H3067" s="24"/>
      <c r="I3067" s="28"/>
      <c r="J3067" s="27">
        <v>0</v>
      </c>
      <c r="K3067" s="24"/>
      <c r="L3067" s="24"/>
      <c r="M3067" s="28">
        <v>0</v>
      </c>
      <c r="N3067" s="27">
        <v>0</v>
      </c>
      <c r="O3067" s="10"/>
      <c r="P3067" s="10"/>
      <c r="Q3067" s="10"/>
      <c r="R3067" s="10"/>
      <c r="S3067" s="10"/>
      <c r="T3067" s="10"/>
      <c r="U3067" s="29">
        <v>0</v>
      </c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153</v>
      </c>
      <c r="B3068" s="9" t="s">
        <v>3253</v>
      </c>
      <c r="C3068" s="9" t="s">
        <v>94</v>
      </c>
      <c r="D3068" s="9" t="s">
        <v>92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153</v>
      </c>
      <c r="B3069" s="9" t="s">
        <v>3254</v>
      </c>
      <c r="C3069" s="9" t="s">
        <v>94</v>
      </c>
      <c r="D3069" s="9" t="s">
        <v>92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153</v>
      </c>
      <c r="B3070" s="9" t="s">
        <v>3255</v>
      </c>
      <c r="C3070" s="9" t="s">
        <v>94</v>
      </c>
      <c r="D3070" s="9" t="s">
        <v>92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153</v>
      </c>
      <c r="B3071" s="9" t="s">
        <v>3256</v>
      </c>
      <c r="C3071" s="9" t="s">
        <v>94</v>
      </c>
      <c r="D3071" s="9" t="s">
        <v>92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153</v>
      </c>
      <c r="B3072" s="9" t="s">
        <v>3257</v>
      </c>
      <c r="C3072" s="9" t="s">
        <v>94</v>
      </c>
      <c r="D3072" s="9" t="s">
        <v>92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153</v>
      </c>
      <c r="B3073" s="9" t="s">
        <v>3258</v>
      </c>
      <c r="C3073" s="9" t="s">
        <v>94</v>
      </c>
      <c r="D3073" s="9" t="s">
        <v>92</v>
      </c>
      <c r="E3073" s="9" t="s">
        <v>0</v>
      </c>
      <c r="F3073" s="27"/>
      <c r="G3073" s="24"/>
      <c r="H3073" s="24"/>
      <c r="I3073" s="28"/>
      <c r="J3073" s="27">
        <v>0</v>
      </c>
      <c r="K3073" s="24"/>
      <c r="L3073" s="24"/>
      <c r="M3073" s="28">
        <v>0</v>
      </c>
      <c r="N3073" s="27">
        <v>0</v>
      </c>
      <c r="O3073" s="10"/>
      <c r="P3073" s="10"/>
      <c r="Q3073" s="10"/>
      <c r="R3073" s="10"/>
      <c r="S3073" s="10"/>
      <c r="T3073" s="10"/>
      <c r="U3073" s="29">
        <v>0</v>
      </c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153</v>
      </c>
      <c r="B3074" s="9" t="s">
        <v>3259</v>
      </c>
      <c r="C3074" s="9" t="s">
        <v>94</v>
      </c>
      <c r="D3074" s="9" t="s">
        <v>92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153</v>
      </c>
      <c r="B3075" s="9" t="s">
        <v>3260</v>
      </c>
      <c r="C3075" s="9" t="s">
        <v>94</v>
      </c>
      <c r="D3075" s="9" t="s">
        <v>92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153</v>
      </c>
      <c r="B3076" s="9" t="s">
        <v>3261</v>
      </c>
      <c r="C3076" s="9" t="s">
        <v>94</v>
      </c>
      <c r="D3076" s="9" t="s">
        <v>92</v>
      </c>
      <c r="E3076" s="9" t="s">
        <v>0</v>
      </c>
      <c r="F3076" s="27"/>
      <c r="G3076" s="24"/>
      <c r="H3076" s="24"/>
      <c r="I3076" s="28"/>
      <c r="J3076" s="27">
        <v>0</v>
      </c>
      <c r="K3076" s="24"/>
      <c r="L3076" s="24"/>
      <c r="M3076" s="28">
        <v>0</v>
      </c>
      <c r="N3076" s="27">
        <v>0</v>
      </c>
      <c r="O3076" s="10"/>
      <c r="P3076" s="10"/>
      <c r="Q3076" s="10"/>
      <c r="R3076" s="10"/>
      <c r="S3076" s="10"/>
      <c r="T3076" s="10"/>
      <c r="U3076" s="29">
        <v>0</v>
      </c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153</v>
      </c>
      <c r="B3077" s="9" t="s">
        <v>3262</v>
      </c>
      <c r="C3077" s="9" t="s">
        <v>94</v>
      </c>
      <c r="D3077" s="9" t="s">
        <v>92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153</v>
      </c>
      <c r="B3078" s="9" t="s">
        <v>3263</v>
      </c>
      <c r="C3078" s="9" t="s">
        <v>94</v>
      </c>
      <c r="D3078" s="9" t="s">
        <v>92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153</v>
      </c>
      <c r="B3079" s="9" t="s">
        <v>3264</v>
      </c>
      <c r="C3079" s="9" t="s">
        <v>94</v>
      </c>
      <c r="D3079" s="9" t="s">
        <v>92</v>
      </c>
      <c r="E3079" s="9" t="s">
        <v>0</v>
      </c>
      <c r="F3079" s="27"/>
      <c r="G3079" s="24"/>
      <c r="H3079" s="24"/>
      <c r="I3079" s="28"/>
      <c r="J3079" s="27">
        <v>0</v>
      </c>
      <c r="K3079" s="24"/>
      <c r="L3079" s="24"/>
      <c r="M3079" s="28">
        <v>0</v>
      </c>
      <c r="N3079" s="27">
        <v>0</v>
      </c>
      <c r="O3079" s="10"/>
      <c r="P3079" s="10"/>
      <c r="Q3079" s="10"/>
      <c r="R3079" s="10"/>
      <c r="S3079" s="10"/>
      <c r="T3079" s="10"/>
      <c r="U3079" s="29">
        <v>0</v>
      </c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153</v>
      </c>
      <c r="B3080" s="9" t="s">
        <v>3265</v>
      </c>
      <c r="C3080" s="9" t="s">
        <v>94</v>
      </c>
      <c r="D3080" s="9" t="s">
        <v>92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153</v>
      </c>
      <c r="B3081" s="9" t="s">
        <v>3266</v>
      </c>
      <c r="C3081" s="9" t="s">
        <v>94</v>
      </c>
      <c r="D3081" s="9" t="s">
        <v>92</v>
      </c>
      <c r="E3081" s="9" t="s">
        <v>0</v>
      </c>
      <c r="F3081" s="27"/>
      <c r="G3081" s="24"/>
      <c r="H3081" s="24"/>
      <c r="I3081" s="28"/>
      <c r="J3081" s="27">
        <v>0</v>
      </c>
      <c r="K3081" s="24"/>
      <c r="L3081" s="24"/>
      <c r="M3081" s="28">
        <v>0</v>
      </c>
      <c r="N3081" s="27">
        <v>0</v>
      </c>
      <c r="O3081" s="10"/>
      <c r="P3081" s="10"/>
      <c r="Q3081" s="10"/>
      <c r="R3081" s="10"/>
      <c r="S3081" s="10"/>
      <c r="T3081" s="10"/>
      <c r="U3081" s="29">
        <v>0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153</v>
      </c>
      <c r="B3082" s="9" t="s">
        <v>3267</v>
      </c>
      <c r="C3082" s="9" t="s">
        <v>94</v>
      </c>
      <c r="D3082" s="9" t="s">
        <v>92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153</v>
      </c>
      <c r="B3083" s="9" t="s">
        <v>706</v>
      </c>
      <c r="C3083" s="9" t="s">
        <v>94</v>
      </c>
      <c r="D3083" s="9" t="s">
        <v>92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153</v>
      </c>
      <c r="B3084" s="9" t="s">
        <v>3268</v>
      </c>
      <c r="C3084" s="9" t="s">
        <v>94</v>
      </c>
      <c r="D3084" s="9" t="s">
        <v>92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153</v>
      </c>
      <c r="B3085" s="9" t="s">
        <v>707</v>
      </c>
      <c r="C3085" s="9" t="s">
        <v>94</v>
      </c>
      <c r="D3085" s="9" t="s">
        <v>92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153</v>
      </c>
      <c r="B3086" s="9" t="s">
        <v>3269</v>
      </c>
      <c r="C3086" s="9" t="s">
        <v>94</v>
      </c>
      <c r="D3086" s="9" t="s">
        <v>92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153</v>
      </c>
      <c r="B3087" s="9" t="s">
        <v>3270</v>
      </c>
      <c r="C3087" s="9" t="s">
        <v>94</v>
      </c>
      <c r="D3087" s="9" t="s">
        <v>92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153</v>
      </c>
      <c r="B3088" s="9" t="s">
        <v>3271</v>
      </c>
      <c r="C3088" s="9" t="s">
        <v>94</v>
      </c>
      <c r="D3088" s="9" t="s">
        <v>92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153</v>
      </c>
      <c r="B3089" s="9" t="s">
        <v>708</v>
      </c>
      <c r="C3089" s="9" t="s">
        <v>94</v>
      </c>
      <c r="D3089" s="9" t="s">
        <v>92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153</v>
      </c>
      <c r="B3090" s="9" t="s">
        <v>3272</v>
      </c>
      <c r="C3090" s="9" t="s">
        <v>94</v>
      </c>
      <c r="D3090" s="9" t="s">
        <v>92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153</v>
      </c>
      <c r="B3091" s="9" t="s">
        <v>709</v>
      </c>
      <c r="C3091" s="9" t="s">
        <v>94</v>
      </c>
      <c r="D3091" s="9" t="s">
        <v>92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153</v>
      </c>
      <c r="B3092" s="9" t="s">
        <v>3273</v>
      </c>
      <c r="C3092" s="9" t="s">
        <v>94</v>
      </c>
      <c r="D3092" s="9" t="s">
        <v>92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153</v>
      </c>
      <c r="B3093" s="9" t="s">
        <v>3274</v>
      </c>
      <c r="C3093" s="9" t="s">
        <v>94</v>
      </c>
      <c r="D3093" s="9" t="s">
        <v>92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153</v>
      </c>
      <c r="B3094" s="9" t="s">
        <v>3275</v>
      </c>
      <c r="C3094" s="9" t="s">
        <v>94</v>
      </c>
      <c r="D3094" s="9" t="s">
        <v>92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153</v>
      </c>
      <c r="B3095" s="9" t="s">
        <v>710</v>
      </c>
      <c r="C3095" s="9" t="s">
        <v>94</v>
      </c>
      <c r="D3095" s="9" t="s">
        <v>92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153</v>
      </c>
      <c r="B3096" s="9" t="s">
        <v>3276</v>
      </c>
      <c r="C3096" s="9" t="s">
        <v>94</v>
      </c>
      <c r="D3096" s="9" t="s">
        <v>92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153</v>
      </c>
      <c r="B3097" s="9" t="s">
        <v>711</v>
      </c>
      <c r="C3097" s="9" t="s">
        <v>94</v>
      </c>
      <c r="D3097" s="9" t="s">
        <v>92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153</v>
      </c>
      <c r="B3098" s="9" t="s">
        <v>3277</v>
      </c>
      <c r="C3098" s="9" t="s">
        <v>94</v>
      </c>
      <c r="D3098" s="9" t="s">
        <v>92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153</v>
      </c>
      <c r="B3099" s="9" t="s">
        <v>3278</v>
      </c>
      <c r="C3099" s="9" t="s">
        <v>94</v>
      </c>
      <c r="D3099" s="9" t="s">
        <v>92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153</v>
      </c>
      <c r="B3100" s="9" t="s">
        <v>3279</v>
      </c>
      <c r="C3100" s="9" t="s">
        <v>94</v>
      </c>
      <c r="D3100" s="9" t="s">
        <v>92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153</v>
      </c>
      <c r="B3101" s="9" t="s">
        <v>3280</v>
      </c>
      <c r="C3101" s="9" t="s">
        <v>94</v>
      </c>
      <c r="D3101" s="9" t="s">
        <v>92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153</v>
      </c>
      <c r="B3102" s="9" t="s">
        <v>3281</v>
      </c>
      <c r="C3102" s="9" t="s">
        <v>94</v>
      </c>
      <c r="D3102" s="9" t="s">
        <v>92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153</v>
      </c>
      <c r="B3103" s="9" t="s">
        <v>3282</v>
      </c>
      <c r="C3103" s="9" t="s">
        <v>94</v>
      </c>
      <c r="D3103" s="9" t="s">
        <v>92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153</v>
      </c>
      <c r="B3104" s="9" t="s">
        <v>3283</v>
      </c>
      <c r="C3104" s="9" t="s">
        <v>94</v>
      </c>
      <c r="D3104" s="9" t="s">
        <v>92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153</v>
      </c>
      <c r="B3105" s="9" t="s">
        <v>3284</v>
      </c>
      <c r="C3105" s="9" t="s">
        <v>94</v>
      </c>
      <c r="D3105" s="9" t="s">
        <v>92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153</v>
      </c>
      <c r="B3106" s="9" t="s">
        <v>3285</v>
      </c>
      <c r="C3106" s="9" t="s">
        <v>94</v>
      </c>
      <c r="D3106" s="9" t="s">
        <v>92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153</v>
      </c>
      <c r="B3107" s="9" t="s">
        <v>712</v>
      </c>
      <c r="C3107" s="9" t="s">
        <v>94</v>
      </c>
      <c r="D3107" s="9" t="s">
        <v>92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153</v>
      </c>
      <c r="B3108" s="9" t="s">
        <v>3286</v>
      </c>
      <c r="C3108" s="9" t="s">
        <v>94</v>
      </c>
      <c r="D3108" s="9" t="s">
        <v>92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153</v>
      </c>
      <c r="B3109" s="9" t="s">
        <v>713</v>
      </c>
      <c r="C3109" s="9" t="s">
        <v>94</v>
      </c>
      <c r="D3109" s="9" t="s">
        <v>92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153</v>
      </c>
      <c r="B3110" s="9" t="s">
        <v>3287</v>
      </c>
      <c r="C3110" s="9" t="s">
        <v>94</v>
      </c>
      <c r="D3110" s="9" t="s">
        <v>92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153</v>
      </c>
      <c r="B3111" s="9" t="s">
        <v>3288</v>
      </c>
      <c r="C3111" s="9" t="s">
        <v>94</v>
      </c>
      <c r="D3111" s="9" t="s">
        <v>92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153</v>
      </c>
      <c r="B3112" s="9" t="s">
        <v>3289</v>
      </c>
      <c r="C3112" s="9" t="s">
        <v>94</v>
      </c>
      <c r="D3112" s="9" t="s">
        <v>92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153</v>
      </c>
      <c r="B3113" s="9" t="s">
        <v>714</v>
      </c>
      <c r="C3113" s="9" t="s">
        <v>94</v>
      </c>
      <c r="D3113" s="9" t="s">
        <v>92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153</v>
      </c>
      <c r="B3114" s="9" t="s">
        <v>3290</v>
      </c>
      <c r="C3114" s="9" t="s">
        <v>94</v>
      </c>
      <c r="D3114" s="9" t="s">
        <v>92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153</v>
      </c>
      <c r="B3115" s="9" t="s">
        <v>715</v>
      </c>
      <c r="C3115" s="9" t="s">
        <v>94</v>
      </c>
      <c r="D3115" s="9" t="s">
        <v>92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153</v>
      </c>
      <c r="B3116" s="9" t="s">
        <v>3291</v>
      </c>
      <c r="C3116" s="9" t="s">
        <v>94</v>
      </c>
      <c r="D3116" s="9" t="s">
        <v>92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153</v>
      </c>
      <c r="B3117" s="9" t="s">
        <v>3292</v>
      </c>
      <c r="C3117" s="9" t="s">
        <v>94</v>
      </c>
      <c r="D3117" s="9" t="s">
        <v>92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153</v>
      </c>
      <c r="B3118" s="9" t="s">
        <v>3293</v>
      </c>
      <c r="C3118" s="9" t="s">
        <v>94</v>
      </c>
      <c r="D3118" s="9" t="s">
        <v>92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153</v>
      </c>
      <c r="B3119" s="9" t="s">
        <v>716</v>
      </c>
      <c r="C3119" s="9" t="s">
        <v>94</v>
      </c>
      <c r="D3119" s="9" t="s">
        <v>92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153</v>
      </c>
      <c r="B3120" s="9" t="s">
        <v>3294</v>
      </c>
      <c r="C3120" s="9" t="s">
        <v>94</v>
      </c>
      <c r="D3120" s="9" t="s">
        <v>92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153</v>
      </c>
      <c r="B3121" s="9" t="s">
        <v>717</v>
      </c>
      <c r="C3121" s="9" t="s">
        <v>94</v>
      </c>
      <c r="D3121" s="9" t="s">
        <v>92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153</v>
      </c>
      <c r="B3122" s="9" t="s">
        <v>3295</v>
      </c>
      <c r="C3122" s="9" t="s">
        <v>94</v>
      </c>
      <c r="D3122" s="9" t="s">
        <v>92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153</v>
      </c>
      <c r="B3123" s="9" t="s">
        <v>3296</v>
      </c>
      <c r="C3123" s="9" t="s">
        <v>94</v>
      </c>
      <c r="D3123" s="9" t="s">
        <v>92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153</v>
      </c>
      <c r="B3124" s="9" t="s">
        <v>3297</v>
      </c>
      <c r="C3124" s="9" t="s">
        <v>94</v>
      </c>
      <c r="D3124" s="9" t="s">
        <v>92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153</v>
      </c>
      <c r="B3125" s="9" t="s">
        <v>3298</v>
      </c>
      <c r="C3125" s="9" t="s">
        <v>94</v>
      </c>
      <c r="D3125" s="9" t="s">
        <v>92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153</v>
      </c>
      <c r="B3126" s="9" t="s">
        <v>3299</v>
      </c>
      <c r="C3126" s="9" t="s">
        <v>94</v>
      </c>
      <c r="D3126" s="9" t="s">
        <v>92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153</v>
      </c>
      <c r="B3127" s="9" t="s">
        <v>3300</v>
      </c>
      <c r="C3127" s="9" t="s">
        <v>94</v>
      </c>
      <c r="D3127" s="9" t="s">
        <v>92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153</v>
      </c>
      <c r="B3128" s="9" t="s">
        <v>3301</v>
      </c>
      <c r="C3128" s="9" t="s">
        <v>94</v>
      </c>
      <c r="D3128" s="9" t="s">
        <v>92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153</v>
      </c>
      <c r="B3129" s="9" t="s">
        <v>3302</v>
      </c>
      <c r="C3129" s="9" t="s">
        <v>94</v>
      </c>
      <c r="D3129" s="9" t="s">
        <v>92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153</v>
      </c>
      <c r="B3130" s="9" t="s">
        <v>3303</v>
      </c>
      <c r="C3130" s="9" t="s">
        <v>94</v>
      </c>
      <c r="D3130" s="9" t="s">
        <v>92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153</v>
      </c>
      <c r="B3131" s="9" t="s">
        <v>718</v>
      </c>
      <c r="C3131" s="9" t="s">
        <v>94</v>
      </c>
      <c r="D3131" s="9" t="s">
        <v>92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153</v>
      </c>
      <c r="B3132" s="9" t="s">
        <v>3304</v>
      </c>
      <c r="C3132" s="9" t="s">
        <v>94</v>
      </c>
      <c r="D3132" s="9" t="s">
        <v>92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153</v>
      </c>
      <c r="B3133" s="9" t="s">
        <v>719</v>
      </c>
      <c r="C3133" s="9" t="s">
        <v>94</v>
      </c>
      <c r="D3133" s="9" t="s">
        <v>92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153</v>
      </c>
      <c r="B3134" s="9" t="s">
        <v>3305</v>
      </c>
      <c r="C3134" s="9" t="s">
        <v>94</v>
      </c>
      <c r="D3134" s="9" t="s">
        <v>92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153</v>
      </c>
      <c r="B3135" s="9" t="s">
        <v>3306</v>
      </c>
      <c r="C3135" s="9" t="s">
        <v>94</v>
      </c>
      <c r="D3135" s="9" t="s">
        <v>92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153</v>
      </c>
      <c r="B3136" s="9" t="s">
        <v>3307</v>
      </c>
      <c r="C3136" s="9" t="s">
        <v>94</v>
      </c>
      <c r="D3136" s="9" t="s">
        <v>92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153</v>
      </c>
      <c r="B3137" s="9" t="s">
        <v>720</v>
      </c>
      <c r="C3137" s="9" t="s">
        <v>94</v>
      </c>
      <c r="D3137" s="9" t="s">
        <v>92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153</v>
      </c>
      <c r="B3138" s="9" t="s">
        <v>3308</v>
      </c>
      <c r="C3138" s="9" t="s">
        <v>94</v>
      </c>
      <c r="D3138" s="9" t="s">
        <v>92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153</v>
      </c>
      <c r="B3139" s="9" t="s">
        <v>721</v>
      </c>
      <c r="C3139" s="9" t="s">
        <v>94</v>
      </c>
      <c r="D3139" s="9" t="s">
        <v>92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153</v>
      </c>
      <c r="B3140" s="9" t="s">
        <v>3309</v>
      </c>
      <c r="C3140" s="9" t="s">
        <v>94</v>
      </c>
      <c r="D3140" s="9" t="s">
        <v>92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153</v>
      </c>
      <c r="B3141" s="9" t="s">
        <v>3310</v>
      </c>
      <c r="C3141" s="9" t="s">
        <v>94</v>
      </c>
      <c r="D3141" s="9" t="s">
        <v>92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153</v>
      </c>
      <c r="B3142" s="9" t="s">
        <v>3311</v>
      </c>
      <c r="C3142" s="9" t="s">
        <v>94</v>
      </c>
      <c r="D3142" s="9" t="s">
        <v>92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153</v>
      </c>
      <c r="B3143" s="9" t="s">
        <v>722</v>
      </c>
      <c r="C3143" s="9" t="s">
        <v>94</v>
      </c>
      <c r="D3143" s="9" t="s">
        <v>92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153</v>
      </c>
      <c r="B3144" s="9" t="s">
        <v>3312</v>
      </c>
      <c r="C3144" s="9" t="s">
        <v>94</v>
      </c>
      <c r="D3144" s="9" t="s">
        <v>92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153</v>
      </c>
      <c r="B3145" s="9" t="s">
        <v>723</v>
      </c>
      <c r="C3145" s="9" t="s">
        <v>94</v>
      </c>
      <c r="D3145" s="9" t="s">
        <v>92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153</v>
      </c>
      <c r="B3146" s="9" t="s">
        <v>3313</v>
      </c>
      <c r="C3146" s="9" t="s">
        <v>94</v>
      </c>
      <c r="D3146" s="9" t="s">
        <v>92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153</v>
      </c>
      <c r="B3147" s="9" t="s">
        <v>3314</v>
      </c>
      <c r="C3147" s="9" t="s">
        <v>94</v>
      </c>
      <c r="D3147" s="9" t="s">
        <v>92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153</v>
      </c>
      <c r="B3148" s="9" t="s">
        <v>3315</v>
      </c>
      <c r="C3148" s="9" t="s">
        <v>94</v>
      </c>
      <c r="D3148" s="9" t="s">
        <v>92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153</v>
      </c>
      <c r="B3149" s="9" t="s">
        <v>3316</v>
      </c>
      <c r="C3149" s="9" t="s">
        <v>94</v>
      </c>
      <c r="D3149" s="9" t="s">
        <v>92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153</v>
      </c>
      <c r="B3150" s="9" t="s">
        <v>3317</v>
      </c>
      <c r="C3150" s="9" t="s">
        <v>94</v>
      </c>
      <c r="D3150" s="9" t="s">
        <v>92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153</v>
      </c>
      <c r="B3151" s="9" t="s">
        <v>3318</v>
      </c>
      <c r="C3151" s="9" t="s">
        <v>94</v>
      </c>
      <c r="D3151" s="9" t="s">
        <v>92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153</v>
      </c>
      <c r="B3152" s="9" t="s">
        <v>3319</v>
      </c>
      <c r="C3152" s="9" t="s">
        <v>94</v>
      </c>
      <c r="D3152" s="9" t="s">
        <v>92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153</v>
      </c>
      <c r="B3153" s="9" t="s">
        <v>3320</v>
      </c>
      <c r="C3153" s="9" t="s">
        <v>94</v>
      </c>
      <c r="D3153" s="9" t="s">
        <v>92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153</v>
      </c>
      <c r="B3154" s="9" t="s">
        <v>3321</v>
      </c>
      <c r="C3154" s="9" t="s">
        <v>94</v>
      </c>
      <c r="D3154" s="9" t="s">
        <v>92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153</v>
      </c>
      <c r="B3155" s="9" t="s">
        <v>724</v>
      </c>
      <c r="C3155" s="9" t="s">
        <v>94</v>
      </c>
      <c r="D3155" s="9" t="s">
        <v>92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153</v>
      </c>
      <c r="B3156" s="9" t="s">
        <v>3322</v>
      </c>
      <c r="C3156" s="9" t="s">
        <v>94</v>
      </c>
      <c r="D3156" s="9" t="s">
        <v>92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153</v>
      </c>
      <c r="B3157" s="9" t="s">
        <v>725</v>
      </c>
      <c r="C3157" s="9" t="s">
        <v>94</v>
      </c>
      <c r="D3157" s="9" t="s">
        <v>92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153</v>
      </c>
      <c r="B3158" s="9" t="s">
        <v>3323</v>
      </c>
      <c r="C3158" s="9" t="s">
        <v>94</v>
      </c>
      <c r="D3158" s="9" t="s">
        <v>92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153</v>
      </c>
      <c r="B3159" s="9" t="s">
        <v>3324</v>
      </c>
      <c r="C3159" s="9" t="s">
        <v>94</v>
      </c>
      <c r="D3159" s="9" t="s">
        <v>92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153</v>
      </c>
      <c r="B3160" s="9" t="s">
        <v>3325</v>
      </c>
      <c r="C3160" s="9" t="s">
        <v>94</v>
      </c>
      <c r="D3160" s="9" t="s">
        <v>92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153</v>
      </c>
      <c r="B3161" s="9" t="s">
        <v>726</v>
      </c>
      <c r="C3161" s="9" t="s">
        <v>94</v>
      </c>
      <c r="D3161" s="9" t="s">
        <v>92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153</v>
      </c>
      <c r="B3162" s="9" t="s">
        <v>3326</v>
      </c>
      <c r="C3162" s="9" t="s">
        <v>94</v>
      </c>
      <c r="D3162" s="9" t="s">
        <v>92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153</v>
      </c>
      <c r="B3163" s="9" t="s">
        <v>727</v>
      </c>
      <c r="C3163" s="9" t="s">
        <v>94</v>
      </c>
      <c r="D3163" s="9" t="s">
        <v>92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153</v>
      </c>
      <c r="B3164" s="9" t="s">
        <v>3327</v>
      </c>
      <c r="C3164" s="9" t="s">
        <v>94</v>
      </c>
      <c r="D3164" s="9" t="s">
        <v>92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153</v>
      </c>
      <c r="B3165" s="9" t="s">
        <v>3328</v>
      </c>
      <c r="C3165" s="9" t="s">
        <v>94</v>
      </c>
      <c r="D3165" s="9" t="s">
        <v>92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153</v>
      </c>
      <c r="B3166" s="9" t="s">
        <v>3329</v>
      </c>
      <c r="C3166" s="9" t="s">
        <v>94</v>
      </c>
      <c r="D3166" s="9" t="s">
        <v>92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153</v>
      </c>
      <c r="B3167" s="9" t="s">
        <v>728</v>
      </c>
      <c r="C3167" s="9" t="s">
        <v>94</v>
      </c>
      <c r="D3167" s="9" t="s">
        <v>92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153</v>
      </c>
      <c r="B3168" s="9" t="s">
        <v>3330</v>
      </c>
      <c r="C3168" s="9" t="s">
        <v>94</v>
      </c>
      <c r="D3168" s="9" t="s">
        <v>92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153</v>
      </c>
      <c r="B3169" s="9" t="s">
        <v>729</v>
      </c>
      <c r="C3169" s="9" t="s">
        <v>94</v>
      </c>
      <c r="D3169" s="9" t="s">
        <v>92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153</v>
      </c>
      <c r="B3170" s="9" t="s">
        <v>3331</v>
      </c>
      <c r="C3170" s="9" t="s">
        <v>94</v>
      </c>
      <c r="D3170" s="9" t="s">
        <v>92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153</v>
      </c>
      <c r="B3171" s="9" t="s">
        <v>3332</v>
      </c>
      <c r="C3171" s="9" t="s">
        <v>94</v>
      </c>
      <c r="D3171" s="9" t="s">
        <v>92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153</v>
      </c>
      <c r="B3172" s="9" t="s">
        <v>3333</v>
      </c>
      <c r="C3172" s="9" t="s">
        <v>94</v>
      </c>
      <c r="D3172" s="9" t="s">
        <v>92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153</v>
      </c>
      <c r="B3173" s="9" t="s">
        <v>3334</v>
      </c>
      <c r="C3173" s="9" t="s">
        <v>94</v>
      </c>
      <c r="D3173" s="9" t="s">
        <v>92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153</v>
      </c>
      <c r="B3174" s="9" t="s">
        <v>3335</v>
      </c>
      <c r="C3174" s="9" t="s">
        <v>94</v>
      </c>
      <c r="D3174" s="9" t="s">
        <v>92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153</v>
      </c>
      <c r="B3175" s="9" t="s">
        <v>3336</v>
      </c>
      <c r="C3175" s="9" t="s">
        <v>94</v>
      </c>
      <c r="D3175" s="9" t="s">
        <v>92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153</v>
      </c>
      <c r="B3176" s="9" t="s">
        <v>3337</v>
      </c>
      <c r="C3176" s="9" t="s">
        <v>94</v>
      </c>
      <c r="D3176" s="9" t="s">
        <v>92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153</v>
      </c>
      <c r="B3177" s="9" t="s">
        <v>3338</v>
      </c>
      <c r="C3177" s="9" t="s">
        <v>94</v>
      </c>
      <c r="D3177" s="9" t="s">
        <v>92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153</v>
      </c>
      <c r="B3178" s="9" t="s">
        <v>3339</v>
      </c>
      <c r="C3178" s="9" t="s">
        <v>94</v>
      </c>
      <c r="D3178" s="9" t="s">
        <v>92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153</v>
      </c>
      <c r="B3179" s="9" t="s">
        <v>3340</v>
      </c>
      <c r="C3179" s="9" t="s">
        <v>94</v>
      </c>
      <c r="D3179" s="9" t="s">
        <v>92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153</v>
      </c>
      <c r="B3180" s="9" t="s">
        <v>3341</v>
      </c>
      <c r="C3180" s="9" t="s">
        <v>94</v>
      </c>
      <c r="D3180" s="9" t="s">
        <v>92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153</v>
      </c>
      <c r="B3181" s="9" t="s">
        <v>3342</v>
      </c>
      <c r="C3181" s="9" t="s">
        <v>94</v>
      </c>
      <c r="D3181" s="9" t="s">
        <v>92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153</v>
      </c>
      <c r="B3182" s="9" t="s">
        <v>3343</v>
      </c>
      <c r="C3182" s="9" t="s">
        <v>94</v>
      </c>
      <c r="D3182" s="9" t="s">
        <v>92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153</v>
      </c>
      <c r="B3183" s="9" t="s">
        <v>3344</v>
      </c>
      <c r="C3183" s="9" t="s">
        <v>94</v>
      </c>
      <c r="D3183" s="9" t="s">
        <v>92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153</v>
      </c>
      <c r="B3184" s="9" t="s">
        <v>3345</v>
      </c>
      <c r="C3184" s="9" t="s">
        <v>94</v>
      </c>
      <c r="D3184" s="9" t="s">
        <v>92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153</v>
      </c>
      <c r="B3185" s="9" t="s">
        <v>3346</v>
      </c>
      <c r="C3185" s="9" t="s">
        <v>94</v>
      </c>
      <c r="D3185" s="9" t="s">
        <v>92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153</v>
      </c>
      <c r="B3186" s="9" t="s">
        <v>3347</v>
      </c>
      <c r="C3186" s="9" t="s">
        <v>94</v>
      </c>
      <c r="D3186" s="9" t="s">
        <v>92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153</v>
      </c>
      <c r="B3187" s="9" t="s">
        <v>3348</v>
      </c>
      <c r="C3187" s="9" t="s">
        <v>94</v>
      </c>
      <c r="D3187" s="9" t="s">
        <v>92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153</v>
      </c>
      <c r="B3188" s="9" t="s">
        <v>3349</v>
      </c>
      <c r="C3188" s="9" t="s">
        <v>94</v>
      </c>
      <c r="D3188" s="9" t="s">
        <v>92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153</v>
      </c>
      <c r="B3189" s="9" t="s">
        <v>3350</v>
      </c>
      <c r="C3189" s="9" t="s">
        <v>94</v>
      </c>
      <c r="D3189" s="9" t="s">
        <v>92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153</v>
      </c>
      <c r="B3190" s="9" t="s">
        <v>3351</v>
      </c>
      <c r="C3190" s="9" t="s">
        <v>94</v>
      </c>
      <c r="D3190" s="9" t="s">
        <v>92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153</v>
      </c>
      <c r="B3191" s="9" t="s">
        <v>3352</v>
      </c>
      <c r="C3191" s="9" t="s">
        <v>94</v>
      </c>
      <c r="D3191" s="9" t="s">
        <v>92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153</v>
      </c>
      <c r="B3192" s="9" t="s">
        <v>3353</v>
      </c>
      <c r="C3192" s="9" t="s">
        <v>94</v>
      </c>
      <c r="D3192" s="9" t="s">
        <v>92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153</v>
      </c>
      <c r="B3193" s="9" t="s">
        <v>3354</v>
      </c>
      <c r="C3193" s="9" t="s">
        <v>94</v>
      </c>
      <c r="D3193" s="9" t="s">
        <v>92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153</v>
      </c>
      <c r="B3194" s="9" t="s">
        <v>3355</v>
      </c>
      <c r="C3194" s="9" t="s">
        <v>94</v>
      </c>
      <c r="D3194" s="9" t="s">
        <v>92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153</v>
      </c>
      <c r="B3195" s="9" t="s">
        <v>3356</v>
      </c>
      <c r="C3195" s="9" t="s">
        <v>94</v>
      </c>
      <c r="D3195" s="9" t="s">
        <v>92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153</v>
      </c>
      <c r="B3196" s="9" t="s">
        <v>3357</v>
      </c>
      <c r="C3196" s="9" t="s">
        <v>94</v>
      </c>
      <c r="D3196" s="9" t="s">
        <v>92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153</v>
      </c>
      <c r="B3197" s="9" t="s">
        <v>3358</v>
      </c>
      <c r="C3197" s="9" t="s">
        <v>94</v>
      </c>
      <c r="D3197" s="9" t="s">
        <v>92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153</v>
      </c>
      <c r="B3198" s="9" t="s">
        <v>3359</v>
      </c>
      <c r="C3198" s="9" t="s">
        <v>94</v>
      </c>
      <c r="D3198" s="9" t="s">
        <v>92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153</v>
      </c>
      <c r="B3199" s="9" t="s">
        <v>3360</v>
      </c>
      <c r="C3199" s="9" t="s">
        <v>94</v>
      </c>
      <c r="D3199" s="9" t="s">
        <v>92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153</v>
      </c>
      <c r="B3200" s="9" t="s">
        <v>3361</v>
      </c>
      <c r="C3200" s="9" t="s">
        <v>94</v>
      </c>
      <c r="D3200" s="9" t="s">
        <v>92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153</v>
      </c>
      <c r="B3201" s="9" t="s">
        <v>3362</v>
      </c>
      <c r="C3201" s="9" t="s">
        <v>94</v>
      </c>
      <c r="D3201" s="9" t="s">
        <v>92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153</v>
      </c>
      <c r="B3202" s="9" t="s">
        <v>3363</v>
      </c>
      <c r="C3202" s="9" t="s">
        <v>94</v>
      </c>
      <c r="D3202" s="9" t="s">
        <v>92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153</v>
      </c>
      <c r="B3203" s="9" t="s">
        <v>3364</v>
      </c>
      <c r="C3203" s="9" t="s">
        <v>94</v>
      </c>
      <c r="D3203" s="9" t="s">
        <v>92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153</v>
      </c>
      <c r="B3204" s="9" t="s">
        <v>3365</v>
      </c>
      <c r="C3204" s="9" t="s">
        <v>94</v>
      </c>
      <c r="D3204" s="9" t="s">
        <v>92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153</v>
      </c>
      <c r="B3205" s="9" t="s">
        <v>3366</v>
      </c>
      <c r="C3205" s="9" t="s">
        <v>94</v>
      </c>
      <c r="D3205" s="9" t="s">
        <v>92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153</v>
      </c>
      <c r="B3206" s="9" t="s">
        <v>3367</v>
      </c>
      <c r="C3206" s="9" t="s">
        <v>94</v>
      </c>
      <c r="D3206" s="9" t="s">
        <v>92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153</v>
      </c>
      <c r="B3207" s="9" t="s">
        <v>3368</v>
      </c>
      <c r="C3207" s="9" t="s">
        <v>94</v>
      </c>
      <c r="D3207" s="9" t="s">
        <v>92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153</v>
      </c>
      <c r="B3208" s="9" t="s">
        <v>3369</v>
      </c>
      <c r="C3208" s="9" t="s">
        <v>94</v>
      </c>
      <c r="D3208" s="9" t="s">
        <v>92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153</v>
      </c>
      <c r="B3209" s="9" t="s">
        <v>3370</v>
      </c>
      <c r="C3209" s="9" t="s">
        <v>94</v>
      </c>
      <c r="D3209" s="9" t="s">
        <v>92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153</v>
      </c>
      <c r="B3210" s="9" t="s">
        <v>3371</v>
      </c>
      <c r="C3210" s="9" t="s">
        <v>94</v>
      </c>
      <c r="D3210" s="9" t="s">
        <v>92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153</v>
      </c>
      <c r="B3211" s="9" t="s">
        <v>3372</v>
      </c>
      <c r="C3211" s="9" t="s">
        <v>94</v>
      </c>
      <c r="D3211" s="9" t="s">
        <v>92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153</v>
      </c>
      <c r="B3212" s="9" t="s">
        <v>3373</v>
      </c>
      <c r="C3212" s="9" t="s">
        <v>94</v>
      </c>
      <c r="D3212" s="9" t="s">
        <v>92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153</v>
      </c>
      <c r="B3213" s="9" t="s">
        <v>3374</v>
      </c>
      <c r="C3213" s="9" t="s">
        <v>94</v>
      </c>
      <c r="D3213" s="9" t="s">
        <v>92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153</v>
      </c>
      <c r="B3214" s="9" t="s">
        <v>3375</v>
      </c>
      <c r="C3214" s="9" t="s">
        <v>94</v>
      </c>
      <c r="D3214" s="9" t="s">
        <v>92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153</v>
      </c>
      <c r="B3215" s="9" t="s">
        <v>3376</v>
      </c>
      <c r="C3215" s="9" t="s">
        <v>94</v>
      </c>
      <c r="D3215" s="9" t="s">
        <v>92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153</v>
      </c>
      <c r="B3216" s="9" t="s">
        <v>3377</v>
      </c>
      <c r="C3216" s="9" t="s">
        <v>94</v>
      </c>
      <c r="D3216" s="9" t="s">
        <v>92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153</v>
      </c>
      <c r="B3217" s="9" t="s">
        <v>3378</v>
      </c>
      <c r="C3217" s="9" t="s">
        <v>94</v>
      </c>
      <c r="D3217" s="9" t="s">
        <v>92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153</v>
      </c>
      <c r="B3218" s="9" t="s">
        <v>3379</v>
      </c>
      <c r="C3218" s="9" t="s">
        <v>94</v>
      </c>
      <c r="D3218" s="9" t="s">
        <v>92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153</v>
      </c>
      <c r="B3219" s="9" t="s">
        <v>3380</v>
      </c>
      <c r="C3219" s="9" t="s">
        <v>94</v>
      </c>
      <c r="D3219" s="9" t="s">
        <v>92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153</v>
      </c>
      <c r="B3220" s="9" t="s">
        <v>3381</v>
      </c>
      <c r="C3220" s="9" t="s">
        <v>94</v>
      </c>
      <c r="D3220" s="9" t="s">
        <v>92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153</v>
      </c>
      <c r="B3221" s="9" t="s">
        <v>3382</v>
      </c>
      <c r="C3221" s="9" t="s">
        <v>94</v>
      </c>
      <c r="D3221" s="9" t="s">
        <v>92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153</v>
      </c>
      <c r="B3222" s="9" t="s">
        <v>3383</v>
      </c>
      <c r="C3222" s="9" t="s">
        <v>94</v>
      </c>
      <c r="D3222" s="9" t="s">
        <v>92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153</v>
      </c>
      <c r="B3223" s="9" t="s">
        <v>3384</v>
      </c>
      <c r="C3223" s="9" t="s">
        <v>94</v>
      </c>
      <c r="D3223" s="9" t="s">
        <v>92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153</v>
      </c>
      <c r="B3224" s="9" t="s">
        <v>3385</v>
      </c>
      <c r="C3224" s="9" t="s">
        <v>94</v>
      </c>
      <c r="D3224" s="9" t="s">
        <v>92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153</v>
      </c>
      <c r="B3225" s="9" t="s">
        <v>3386</v>
      </c>
      <c r="C3225" s="9" t="s">
        <v>94</v>
      </c>
      <c r="D3225" s="9" t="s">
        <v>92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153</v>
      </c>
      <c r="B3226" s="9" t="s">
        <v>3387</v>
      </c>
      <c r="C3226" s="9" t="s">
        <v>94</v>
      </c>
      <c r="D3226" s="9" t="s">
        <v>92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153</v>
      </c>
      <c r="B3227" s="9" t="s">
        <v>3388</v>
      </c>
      <c r="C3227" s="9" t="s">
        <v>94</v>
      </c>
      <c r="D3227" s="9" t="s">
        <v>92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153</v>
      </c>
      <c r="B3228" s="9" t="s">
        <v>3389</v>
      </c>
      <c r="C3228" s="9" t="s">
        <v>94</v>
      </c>
      <c r="D3228" s="9" t="s">
        <v>92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153</v>
      </c>
      <c r="B3229" s="9" t="s">
        <v>3390</v>
      </c>
      <c r="C3229" s="9" t="s">
        <v>94</v>
      </c>
      <c r="D3229" s="9" t="s">
        <v>92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153</v>
      </c>
      <c r="B3230" s="9" t="s">
        <v>3391</v>
      </c>
      <c r="C3230" s="9" t="s">
        <v>94</v>
      </c>
      <c r="D3230" s="9" t="s">
        <v>92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153</v>
      </c>
      <c r="B3231" s="9" t="s">
        <v>3392</v>
      </c>
      <c r="C3231" s="9" t="s">
        <v>94</v>
      </c>
      <c r="D3231" s="9" t="s">
        <v>92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153</v>
      </c>
      <c r="B3232" s="9" t="s">
        <v>3393</v>
      </c>
      <c r="C3232" s="9" t="s">
        <v>94</v>
      </c>
      <c r="D3232" s="9" t="s">
        <v>92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153</v>
      </c>
      <c r="B3233" s="9" t="s">
        <v>3394</v>
      </c>
      <c r="C3233" s="9" t="s">
        <v>94</v>
      </c>
      <c r="D3233" s="9" t="s">
        <v>92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153</v>
      </c>
      <c r="B3234" s="9" t="s">
        <v>3395</v>
      </c>
      <c r="C3234" s="9" t="s">
        <v>94</v>
      </c>
      <c r="D3234" s="9" t="s">
        <v>92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153</v>
      </c>
      <c r="B3235" s="9" t="s">
        <v>3396</v>
      </c>
      <c r="C3235" s="9" t="s">
        <v>94</v>
      </c>
      <c r="D3235" s="9" t="s">
        <v>92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153</v>
      </c>
      <c r="B3236" s="9" t="s">
        <v>3397</v>
      </c>
      <c r="C3236" s="9" t="s">
        <v>94</v>
      </c>
      <c r="D3236" s="9" t="s">
        <v>92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153</v>
      </c>
      <c r="B3237" s="9" t="s">
        <v>3398</v>
      </c>
      <c r="C3237" s="9" t="s">
        <v>94</v>
      </c>
      <c r="D3237" s="9" t="s">
        <v>92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153</v>
      </c>
      <c r="B3238" s="9" t="s">
        <v>3399</v>
      </c>
      <c r="C3238" s="9" t="s">
        <v>94</v>
      </c>
      <c r="D3238" s="9" t="s">
        <v>92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153</v>
      </c>
      <c r="B3239" s="9" t="s">
        <v>3400</v>
      </c>
      <c r="C3239" s="9" t="s">
        <v>94</v>
      </c>
      <c r="D3239" s="9" t="s">
        <v>92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153</v>
      </c>
      <c r="B3240" s="9" t="s">
        <v>3401</v>
      </c>
      <c r="C3240" s="9" t="s">
        <v>94</v>
      </c>
      <c r="D3240" s="9" t="s">
        <v>92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153</v>
      </c>
      <c r="B3241" s="9" t="s">
        <v>3402</v>
      </c>
      <c r="C3241" s="9" t="s">
        <v>94</v>
      </c>
      <c r="D3241" s="9" t="s">
        <v>92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153</v>
      </c>
      <c r="B3242" s="9" t="s">
        <v>3403</v>
      </c>
      <c r="C3242" s="9" t="s">
        <v>94</v>
      </c>
      <c r="D3242" s="9" t="s">
        <v>92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153</v>
      </c>
      <c r="B3243" s="9" t="s">
        <v>3404</v>
      </c>
      <c r="C3243" s="9" t="s">
        <v>94</v>
      </c>
      <c r="D3243" s="9" t="s">
        <v>92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153</v>
      </c>
      <c r="B3244" s="9" t="s">
        <v>3405</v>
      </c>
      <c r="C3244" s="9" t="s">
        <v>94</v>
      </c>
      <c r="D3244" s="9" t="s">
        <v>92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153</v>
      </c>
      <c r="B3245" s="9" t="s">
        <v>3406</v>
      </c>
      <c r="C3245" s="9" t="s">
        <v>94</v>
      </c>
      <c r="D3245" s="9" t="s">
        <v>92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153</v>
      </c>
      <c r="B3246" s="9" t="s">
        <v>3407</v>
      </c>
      <c r="C3246" s="9" t="s">
        <v>94</v>
      </c>
      <c r="D3246" s="9" t="s">
        <v>92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153</v>
      </c>
      <c r="B3247" s="9" t="s">
        <v>3408</v>
      </c>
      <c r="C3247" s="9" t="s">
        <v>94</v>
      </c>
      <c r="D3247" s="9" t="s">
        <v>92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153</v>
      </c>
      <c r="B3248" s="9" t="s">
        <v>3409</v>
      </c>
      <c r="C3248" s="9" t="s">
        <v>94</v>
      </c>
      <c r="D3248" s="9" t="s">
        <v>92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153</v>
      </c>
      <c r="B3249" s="9" t="s">
        <v>3410</v>
      </c>
      <c r="C3249" s="9" t="s">
        <v>94</v>
      </c>
      <c r="D3249" s="9" t="s">
        <v>92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153</v>
      </c>
      <c r="B3250" s="9" t="s">
        <v>3411</v>
      </c>
      <c r="C3250" s="9" t="s">
        <v>94</v>
      </c>
      <c r="D3250" s="9" t="s">
        <v>92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153</v>
      </c>
      <c r="B3251" s="9" t="s">
        <v>3412</v>
      </c>
      <c r="C3251" s="9" t="s">
        <v>94</v>
      </c>
      <c r="D3251" s="9" t="s">
        <v>92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153</v>
      </c>
      <c r="B3252" s="9" t="s">
        <v>3413</v>
      </c>
      <c r="C3252" s="9" t="s">
        <v>94</v>
      </c>
      <c r="D3252" s="9" t="s">
        <v>92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153</v>
      </c>
      <c r="B3253" s="9" t="s">
        <v>3414</v>
      </c>
      <c r="C3253" s="9" t="s">
        <v>94</v>
      </c>
      <c r="D3253" s="9" t="s">
        <v>92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153</v>
      </c>
      <c r="B3254" s="9" t="s">
        <v>3415</v>
      </c>
      <c r="C3254" s="9" t="s">
        <v>94</v>
      </c>
      <c r="D3254" s="9" t="s">
        <v>92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153</v>
      </c>
      <c r="B3255" s="9" t="s">
        <v>3416</v>
      </c>
      <c r="C3255" s="9" t="s">
        <v>94</v>
      </c>
      <c r="D3255" s="9" t="s">
        <v>92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153</v>
      </c>
      <c r="B3256" s="9" t="s">
        <v>3417</v>
      </c>
      <c r="C3256" s="9" t="s">
        <v>94</v>
      </c>
      <c r="D3256" s="9" t="s">
        <v>92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153</v>
      </c>
      <c r="B3257" s="9" t="s">
        <v>3418</v>
      </c>
      <c r="C3257" s="9" t="s">
        <v>94</v>
      </c>
      <c r="D3257" s="9" t="s">
        <v>92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153</v>
      </c>
      <c r="B3258" s="9" t="s">
        <v>3419</v>
      </c>
      <c r="C3258" s="9" t="s">
        <v>94</v>
      </c>
      <c r="D3258" s="9" t="s">
        <v>92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153</v>
      </c>
      <c r="B3259" s="9" t="s">
        <v>3420</v>
      </c>
      <c r="C3259" s="9" t="s">
        <v>94</v>
      </c>
      <c r="D3259" s="9" t="s">
        <v>92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153</v>
      </c>
      <c r="B3260" s="9" t="s">
        <v>3421</v>
      </c>
      <c r="C3260" s="9" t="s">
        <v>94</v>
      </c>
      <c r="D3260" s="9" t="s">
        <v>92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153</v>
      </c>
      <c r="B3261" s="9" t="s">
        <v>3422</v>
      </c>
      <c r="C3261" s="9" t="s">
        <v>94</v>
      </c>
      <c r="D3261" s="9" t="s">
        <v>92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153</v>
      </c>
      <c r="B3262" s="9" t="s">
        <v>3423</v>
      </c>
      <c r="C3262" s="9" t="s">
        <v>94</v>
      </c>
      <c r="D3262" s="9" t="s">
        <v>92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153</v>
      </c>
      <c r="B3263" s="9" t="s">
        <v>3424</v>
      </c>
      <c r="C3263" s="9" t="s">
        <v>94</v>
      </c>
      <c r="D3263" s="9" t="s">
        <v>92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153</v>
      </c>
      <c r="B3264" s="9" t="s">
        <v>3425</v>
      </c>
      <c r="C3264" s="9" t="s">
        <v>94</v>
      </c>
      <c r="D3264" s="9" t="s">
        <v>92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153</v>
      </c>
      <c r="B3265" s="9" t="s">
        <v>3426</v>
      </c>
      <c r="C3265" s="9" t="s">
        <v>94</v>
      </c>
      <c r="D3265" s="9" t="s">
        <v>92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153</v>
      </c>
      <c r="B3266" s="9" t="s">
        <v>3427</v>
      </c>
      <c r="C3266" s="9" t="s">
        <v>94</v>
      </c>
      <c r="D3266" s="9" t="s">
        <v>92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153</v>
      </c>
      <c r="B3267" s="9" t="s">
        <v>3428</v>
      </c>
      <c r="C3267" s="9" t="s">
        <v>94</v>
      </c>
      <c r="D3267" s="9" t="s">
        <v>92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153</v>
      </c>
      <c r="B3268" s="9" t="s">
        <v>3429</v>
      </c>
      <c r="C3268" s="9" t="s">
        <v>94</v>
      </c>
      <c r="D3268" s="9" t="s">
        <v>92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153</v>
      </c>
      <c r="B3269" s="9" t="s">
        <v>3430</v>
      </c>
      <c r="C3269" s="9" t="s">
        <v>94</v>
      </c>
      <c r="D3269" s="9" t="s">
        <v>92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153</v>
      </c>
      <c r="B3270" s="9" t="s">
        <v>3431</v>
      </c>
      <c r="C3270" s="9" t="s">
        <v>94</v>
      </c>
      <c r="D3270" s="9" t="s">
        <v>92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153</v>
      </c>
      <c r="B3271" s="9" t="s">
        <v>3432</v>
      </c>
      <c r="C3271" s="9" t="s">
        <v>94</v>
      </c>
      <c r="D3271" s="9" t="s">
        <v>92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153</v>
      </c>
      <c r="B3272" s="9" t="s">
        <v>3433</v>
      </c>
      <c r="C3272" s="9" t="s">
        <v>94</v>
      </c>
      <c r="D3272" s="9" t="s">
        <v>92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153</v>
      </c>
      <c r="B3273" s="9" t="s">
        <v>3434</v>
      </c>
      <c r="C3273" s="9" t="s">
        <v>94</v>
      </c>
      <c r="D3273" s="9" t="s">
        <v>92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153</v>
      </c>
      <c r="B3274" s="9" t="s">
        <v>3435</v>
      </c>
      <c r="C3274" s="9" t="s">
        <v>94</v>
      </c>
      <c r="D3274" s="9" t="s">
        <v>92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153</v>
      </c>
      <c r="B3275" s="9" t="s">
        <v>3436</v>
      </c>
      <c r="C3275" s="9" t="s">
        <v>94</v>
      </c>
      <c r="D3275" s="9" t="s">
        <v>92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153</v>
      </c>
      <c r="B3276" s="9" t="s">
        <v>3437</v>
      </c>
      <c r="C3276" s="9" t="s">
        <v>94</v>
      </c>
      <c r="D3276" s="9" t="s">
        <v>92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153</v>
      </c>
      <c r="B3277" s="9" t="s">
        <v>3438</v>
      </c>
      <c r="C3277" s="9" t="s">
        <v>94</v>
      </c>
      <c r="D3277" s="9" t="s">
        <v>92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153</v>
      </c>
      <c r="B3278" s="9" t="s">
        <v>3439</v>
      </c>
      <c r="C3278" s="9" t="s">
        <v>94</v>
      </c>
      <c r="D3278" s="9" t="s">
        <v>92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153</v>
      </c>
      <c r="B3279" s="9" t="s">
        <v>3440</v>
      </c>
      <c r="C3279" s="9" t="s">
        <v>94</v>
      </c>
      <c r="D3279" s="9" t="s">
        <v>92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153</v>
      </c>
      <c r="B3280" s="9" t="s">
        <v>3441</v>
      </c>
      <c r="C3280" s="9" t="s">
        <v>94</v>
      </c>
      <c r="D3280" s="9" t="s">
        <v>92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153</v>
      </c>
      <c r="B3281" s="9" t="s">
        <v>3442</v>
      </c>
      <c r="C3281" s="9" t="s">
        <v>94</v>
      </c>
      <c r="D3281" s="9" t="s">
        <v>92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153</v>
      </c>
      <c r="B3282" s="9" t="s">
        <v>3443</v>
      </c>
      <c r="C3282" s="9" t="s">
        <v>94</v>
      </c>
      <c r="D3282" s="9" t="s">
        <v>92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153</v>
      </c>
      <c r="B3283" s="9" t="s">
        <v>3444</v>
      </c>
      <c r="C3283" s="9" t="s">
        <v>94</v>
      </c>
      <c r="D3283" s="9" t="s">
        <v>92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153</v>
      </c>
      <c r="B3284" s="9" t="s">
        <v>3445</v>
      </c>
      <c r="C3284" s="9" t="s">
        <v>94</v>
      </c>
      <c r="D3284" s="9" t="s">
        <v>92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153</v>
      </c>
      <c r="B3285" s="9" t="s">
        <v>3446</v>
      </c>
      <c r="C3285" s="9" t="s">
        <v>94</v>
      </c>
      <c r="D3285" s="9" t="s">
        <v>92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153</v>
      </c>
      <c r="B3286" s="9" t="s">
        <v>3447</v>
      </c>
      <c r="C3286" s="9" t="s">
        <v>94</v>
      </c>
      <c r="D3286" s="9" t="s">
        <v>92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153</v>
      </c>
      <c r="B3287" s="9" t="s">
        <v>3448</v>
      </c>
      <c r="C3287" s="9" t="s">
        <v>94</v>
      </c>
      <c r="D3287" s="9" t="s">
        <v>92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153</v>
      </c>
      <c r="B3288" s="9" t="s">
        <v>3449</v>
      </c>
      <c r="C3288" s="9" t="s">
        <v>94</v>
      </c>
      <c r="D3288" s="9" t="s">
        <v>92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153</v>
      </c>
      <c r="B3289" s="9" t="s">
        <v>3450</v>
      </c>
      <c r="C3289" s="9" t="s">
        <v>94</v>
      </c>
      <c r="D3289" s="9" t="s">
        <v>92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153</v>
      </c>
      <c r="B3290" s="9" t="s">
        <v>3451</v>
      </c>
      <c r="C3290" s="9" t="s">
        <v>94</v>
      </c>
      <c r="D3290" s="9" t="s">
        <v>92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153</v>
      </c>
      <c r="B3291" s="9" t="s">
        <v>3452</v>
      </c>
      <c r="C3291" s="9" t="s">
        <v>94</v>
      </c>
      <c r="D3291" s="9" t="s">
        <v>92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153</v>
      </c>
      <c r="B3292" s="9" t="s">
        <v>3453</v>
      </c>
      <c r="C3292" s="9" t="s">
        <v>94</v>
      </c>
      <c r="D3292" s="9" t="s">
        <v>92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153</v>
      </c>
      <c r="B3293" s="9" t="s">
        <v>3454</v>
      </c>
      <c r="C3293" s="9" t="s">
        <v>94</v>
      </c>
      <c r="D3293" s="9" t="s">
        <v>92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153</v>
      </c>
      <c r="B3294" s="9" t="s">
        <v>3455</v>
      </c>
      <c r="C3294" s="9" t="s">
        <v>94</v>
      </c>
      <c r="D3294" s="9" t="s">
        <v>92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153</v>
      </c>
      <c r="B3295" s="9" t="s">
        <v>3456</v>
      </c>
      <c r="C3295" s="9" t="s">
        <v>94</v>
      </c>
      <c r="D3295" s="9" t="s">
        <v>92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153</v>
      </c>
      <c r="B3296" s="9" t="s">
        <v>3457</v>
      </c>
      <c r="C3296" s="9" t="s">
        <v>94</v>
      </c>
      <c r="D3296" s="9" t="s">
        <v>92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153</v>
      </c>
      <c r="B3297" s="9" t="s">
        <v>3458</v>
      </c>
      <c r="C3297" s="9" t="s">
        <v>94</v>
      </c>
      <c r="D3297" s="9" t="s">
        <v>92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153</v>
      </c>
      <c r="B3298" s="9" t="s">
        <v>3459</v>
      </c>
      <c r="C3298" s="9" t="s">
        <v>94</v>
      </c>
      <c r="D3298" s="9" t="s">
        <v>92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153</v>
      </c>
      <c r="B3299" s="9" t="s">
        <v>3460</v>
      </c>
      <c r="C3299" s="9" t="s">
        <v>94</v>
      </c>
      <c r="D3299" s="9" t="s">
        <v>92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153</v>
      </c>
      <c r="B3300" s="9" t="s">
        <v>3461</v>
      </c>
      <c r="C3300" s="9" t="s">
        <v>94</v>
      </c>
      <c r="D3300" s="9" t="s">
        <v>92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153</v>
      </c>
      <c r="B3301" s="9" t="s">
        <v>3462</v>
      </c>
      <c r="C3301" s="9" t="s">
        <v>94</v>
      </c>
      <c r="D3301" s="9" t="s">
        <v>92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153</v>
      </c>
      <c r="B3302" s="9" t="s">
        <v>3463</v>
      </c>
      <c r="C3302" s="9" t="s">
        <v>94</v>
      </c>
      <c r="D3302" s="9" t="s">
        <v>92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153</v>
      </c>
      <c r="B3303" s="9" t="s">
        <v>3464</v>
      </c>
      <c r="C3303" s="9" t="s">
        <v>94</v>
      </c>
      <c r="D3303" s="9" t="s">
        <v>92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153</v>
      </c>
      <c r="B3304" s="9" t="s">
        <v>3465</v>
      </c>
      <c r="C3304" s="9" t="s">
        <v>94</v>
      </c>
      <c r="D3304" s="9" t="s">
        <v>92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153</v>
      </c>
      <c r="B3305" s="9" t="s">
        <v>3466</v>
      </c>
      <c r="C3305" s="9" t="s">
        <v>94</v>
      </c>
      <c r="D3305" s="9" t="s">
        <v>92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153</v>
      </c>
      <c r="B3306" s="9" t="s">
        <v>3467</v>
      </c>
      <c r="C3306" s="9" t="s">
        <v>94</v>
      </c>
      <c r="D3306" s="9" t="s">
        <v>92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153</v>
      </c>
      <c r="B3307" s="9" t="s">
        <v>3468</v>
      </c>
      <c r="C3307" s="9" t="s">
        <v>94</v>
      </c>
      <c r="D3307" s="9" t="s">
        <v>92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153</v>
      </c>
      <c r="B3308" s="9" t="s">
        <v>3469</v>
      </c>
      <c r="C3308" s="9" t="s">
        <v>94</v>
      </c>
      <c r="D3308" s="9" t="s">
        <v>92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153</v>
      </c>
      <c r="B3309" s="9" t="s">
        <v>3470</v>
      </c>
      <c r="C3309" s="9" t="s">
        <v>94</v>
      </c>
      <c r="D3309" s="9" t="s">
        <v>92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153</v>
      </c>
      <c r="B3310" s="9" t="s">
        <v>3471</v>
      </c>
      <c r="C3310" s="9" t="s">
        <v>94</v>
      </c>
      <c r="D3310" s="9" t="s">
        <v>92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153</v>
      </c>
      <c r="B3311" s="9" t="s">
        <v>3472</v>
      </c>
      <c r="C3311" s="9" t="s">
        <v>94</v>
      </c>
      <c r="D3311" s="9" t="s">
        <v>92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153</v>
      </c>
      <c r="B3312" s="9" t="s">
        <v>3473</v>
      </c>
      <c r="C3312" s="9" t="s">
        <v>94</v>
      </c>
      <c r="D3312" s="9" t="s">
        <v>92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153</v>
      </c>
      <c r="B3313" s="9" t="s">
        <v>3474</v>
      </c>
      <c r="C3313" s="9" t="s">
        <v>94</v>
      </c>
      <c r="D3313" s="9" t="s">
        <v>92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153</v>
      </c>
      <c r="B3314" s="9" t="s">
        <v>3475</v>
      </c>
      <c r="C3314" s="9" t="s">
        <v>94</v>
      </c>
      <c r="D3314" s="9" t="s">
        <v>92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153</v>
      </c>
      <c r="B3315" s="9" t="s">
        <v>3476</v>
      </c>
      <c r="C3315" s="9" t="s">
        <v>94</v>
      </c>
      <c r="D3315" s="9" t="s">
        <v>92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153</v>
      </c>
      <c r="B3316" s="9" t="s">
        <v>3477</v>
      </c>
      <c r="C3316" s="9" t="s">
        <v>94</v>
      </c>
      <c r="D3316" s="9" t="s">
        <v>92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153</v>
      </c>
      <c r="B3317" s="9" t="s">
        <v>3478</v>
      </c>
      <c r="C3317" s="9" t="s">
        <v>94</v>
      </c>
      <c r="D3317" s="9" t="s">
        <v>92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153</v>
      </c>
      <c r="B3318" s="9" t="s">
        <v>3479</v>
      </c>
      <c r="C3318" s="9" t="s">
        <v>94</v>
      </c>
      <c r="D3318" s="9" t="s">
        <v>92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153</v>
      </c>
      <c r="B3319" s="9" t="s">
        <v>3480</v>
      </c>
      <c r="C3319" s="9" t="s">
        <v>94</v>
      </c>
      <c r="D3319" s="9" t="s">
        <v>92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153</v>
      </c>
      <c r="B3320" s="9" t="s">
        <v>3481</v>
      </c>
      <c r="C3320" s="9" t="s">
        <v>94</v>
      </c>
      <c r="D3320" s="9" t="s">
        <v>92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153</v>
      </c>
      <c r="B3321" s="9" t="s">
        <v>3482</v>
      </c>
      <c r="C3321" s="9" t="s">
        <v>94</v>
      </c>
      <c r="D3321" s="9" t="s">
        <v>92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153</v>
      </c>
      <c r="B3322" s="9" t="s">
        <v>3483</v>
      </c>
      <c r="C3322" s="9" t="s">
        <v>94</v>
      </c>
      <c r="D3322" s="9" t="s">
        <v>92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153</v>
      </c>
      <c r="B3323" s="9" t="s">
        <v>730</v>
      </c>
      <c r="C3323" s="9" t="s">
        <v>94</v>
      </c>
      <c r="D3323" s="9" t="s">
        <v>92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153</v>
      </c>
      <c r="B3324" s="9" t="s">
        <v>731</v>
      </c>
      <c r="C3324" s="9" t="s">
        <v>94</v>
      </c>
      <c r="D3324" s="9" t="s">
        <v>92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153</v>
      </c>
      <c r="B3325" s="9" t="s">
        <v>732</v>
      </c>
      <c r="C3325" s="9" t="s">
        <v>94</v>
      </c>
      <c r="D3325" s="9" t="s">
        <v>92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153</v>
      </c>
      <c r="B3326" s="9" t="s">
        <v>733</v>
      </c>
      <c r="C3326" s="9" t="s">
        <v>94</v>
      </c>
      <c r="D3326" s="9" t="s">
        <v>92</v>
      </c>
      <c r="E3326" s="9" t="s">
        <v>0</v>
      </c>
      <c r="F3326" s="27"/>
      <c r="G3326" s="24"/>
      <c r="H3326" s="24"/>
      <c r="I3326" s="28"/>
      <c r="J3326" s="27">
        <v>0</v>
      </c>
      <c r="K3326" s="24"/>
      <c r="L3326" s="24"/>
      <c r="M3326" s="28">
        <v>0</v>
      </c>
      <c r="N3326" s="27">
        <v>0</v>
      </c>
      <c r="O3326" s="10"/>
      <c r="P3326" s="10"/>
      <c r="Q3326" s="10"/>
      <c r="R3326" s="10"/>
      <c r="S3326" s="10"/>
      <c r="T3326" s="10"/>
      <c r="U3326" s="29">
        <v>0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153</v>
      </c>
      <c r="B3327" s="9" t="s">
        <v>3484</v>
      </c>
      <c r="C3327" s="9" t="s">
        <v>94</v>
      </c>
      <c r="D3327" s="9" t="s">
        <v>92</v>
      </c>
      <c r="E3327" s="9" t="s">
        <v>0</v>
      </c>
      <c r="F3327" s="27"/>
      <c r="G3327" s="24"/>
      <c r="H3327" s="24"/>
      <c r="I3327" s="28"/>
      <c r="J3327" s="27">
        <v>0</v>
      </c>
      <c r="K3327" s="24"/>
      <c r="L3327" s="24"/>
      <c r="M3327" s="28">
        <v>0</v>
      </c>
      <c r="N3327" s="27">
        <v>0</v>
      </c>
      <c r="O3327" s="10"/>
      <c r="P3327" s="10"/>
      <c r="Q3327" s="10"/>
      <c r="R3327" s="10"/>
      <c r="S3327" s="10"/>
      <c r="T3327" s="10"/>
      <c r="U3327" s="29">
        <v>0</v>
      </c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153</v>
      </c>
      <c r="B3328" s="9" t="s">
        <v>734</v>
      </c>
      <c r="C3328" s="9" t="s">
        <v>94</v>
      </c>
      <c r="D3328" s="9" t="s">
        <v>92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153</v>
      </c>
      <c r="B3329" s="9" t="s">
        <v>735</v>
      </c>
      <c r="C3329" s="9" t="s">
        <v>94</v>
      </c>
      <c r="D3329" s="9" t="s">
        <v>92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153</v>
      </c>
      <c r="B3330" s="9" t="s">
        <v>736</v>
      </c>
      <c r="C3330" s="9" t="s">
        <v>94</v>
      </c>
      <c r="D3330" s="9" t="s">
        <v>92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153</v>
      </c>
      <c r="B3331" s="9" t="s">
        <v>3485</v>
      </c>
      <c r="C3331" s="9" t="s">
        <v>94</v>
      </c>
      <c r="D3331" s="9" t="s">
        <v>92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153</v>
      </c>
      <c r="B3332" s="9" t="s">
        <v>737</v>
      </c>
      <c r="C3332" s="9" t="s">
        <v>94</v>
      </c>
      <c r="D3332" s="9" t="s">
        <v>92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153</v>
      </c>
      <c r="B3333" s="9" t="s">
        <v>738</v>
      </c>
      <c r="C3333" s="9" t="s">
        <v>94</v>
      </c>
      <c r="D3333" s="9" t="s">
        <v>92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153</v>
      </c>
      <c r="B3334" s="9" t="s">
        <v>739</v>
      </c>
      <c r="C3334" s="9" t="s">
        <v>94</v>
      </c>
      <c r="D3334" s="9" t="s">
        <v>92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153</v>
      </c>
      <c r="B3335" s="9" t="s">
        <v>3486</v>
      </c>
      <c r="C3335" s="9" t="s">
        <v>94</v>
      </c>
      <c r="D3335" s="9" t="s">
        <v>92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153</v>
      </c>
      <c r="B3336" s="9" t="s">
        <v>740</v>
      </c>
      <c r="C3336" s="9" t="s">
        <v>94</v>
      </c>
      <c r="D3336" s="9" t="s">
        <v>92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153</v>
      </c>
      <c r="B3337" s="9" t="s">
        <v>741</v>
      </c>
      <c r="C3337" s="9" t="s">
        <v>94</v>
      </c>
      <c r="D3337" s="9" t="s">
        <v>92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153</v>
      </c>
      <c r="B3338" s="9" t="s">
        <v>742</v>
      </c>
      <c r="C3338" s="9" t="s">
        <v>94</v>
      </c>
      <c r="D3338" s="9" t="s">
        <v>92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153</v>
      </c>
      <c r="B3339" s="9" t="s">
        <v>3487</v>
      </c>
      <c r="C3339" s="9" t="s">
        <v>94</v>
      </c>
      <c r="D3339" s="9" t="s">
        <v>92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153</v>
      </c>
      <c r="B3340" s="9" t="s">
        <v>743</v>
      </c>
      <c r="C3340" s="9" t="s">
        <v>94</v>
      </c>
      <c r="D3340" s="9" t="s">
        <v>92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153</v>
      </c>
      <c r="B3341" s="9" t="s">
        <v>744</v>
      </c>
      <c r="C3341" s="9" t="s">
        <v>94</v>
      </c>
      <c r="D3341" s="9" t="s">
        <v>92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153</v>
      </c>
      <c r="B3342" s="9" t="s">
        <v>745</v>
      </c>
      <c r="C3342" s="9" t="s">
        <v>94</v>
      </c>
      <c r="D3342" s="9" t="s">
        <v>92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153</v>
      </c>
      <c r="B3343" s="9" t="s">
        <v>3488</v>
      </c>
      <c r="C3343" s="9" t="s">
        <v>94</v>
      </c>
      <c r="D3343" s="9" t="s">
        <v>92</v>
      </c>
      <c r="E3343" s="9" t="s">
        <v>0</v>
      </c>
      <c r="F3343" s="27"/>
      <c r="G3343" s="24"/>
      <c r="H3343" s="24"/>
      <c r="I3343" s="28"/>
      <c r="J3343" s="27">
        <v>0</v>
      </c>
      <c r="K3343" s="24"/>
      <c r="L3343" s="24"/>
      <c r="M3343" s="28">
        <v>0</v>
      </c>
      <c r="N3343" s="27">
        <v>0</v>
      </c>
      <c r="O3343" s="10"/>
      <c r="P3343" s="10"/>
      <c r="Q3343" s="10"/>
      <c r="R3343" s="10"/>
      <c r="S3343" s="10"/>
      <c r="T3343" s="10"/>
      <c r="U3343" s="29">
        <v>0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153</v>
      </c>
      <c r="B3344" s="9" t="s">
        <v>3489</v>
      </c>
      <c r="C3344" s="9" t="s">
        <v>94</v>
      </c>
      <c r="D3344" s="9" t="s">
        <v>92</v>
      </c>
      <c r="E3344" s="9" t="s">
        <v>0</v>
      </c>
      <c r="F3344" s="27"/>
      <c r="G3344" s="24"/>
      <c r="H3344" s="24"/>
      <c r="I3344" s="28"/>
      <c r="J3344" s="27">
        <v>0</v>
      </c>
      <c r="K3344" s="24"/>
      <c r="L3344" s="24"/>
      <c r="M3344" s="28">
        <v>0</v>
      </c>
      <c r="N3344" s="27">
        <v>0</v>
      </c>
      <c r="O3344" s="10"/>
      <c r="P3344" s="10"/>
      <c r="Q3344" s="10"/>
      <c r="R3344" s="10"/>
      <c r="S3344" s="10"/>
      <c r="T3344" s="10"/>
      <c r="U3344" s="29">
        <v>0</v>
      </c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153</v>
      </c>
      <c r="B3345" s="9" t="s">
        <v>3490</v>
      </c>
      <c r="C3345" s="9" t="s">
        <v>94</v>
      </c>
      <c r="D3345" s="9" t="s">
        <v>92</v>
      </c>
      <c r="E3345" s="9" t="s">
        <v>0</v>
      </c>
      <c r="F3345" s="27"/>
      <c r="G3345" s="24"/>
      <c r="H3345" s="24"/>
      <c r="I3345" s="28"/>
      <c r="J3345" s="27">
        <v>0</v>
      </c>
      <c r="K3345" s="24"/>
      <c r="L3345" s="24"/>
      <c r="M3345" s="28">
        <v>0</v>
      </c>
      <c r="N3345" s="27">
        <v>0</v>
      </c>
      <c r="O3345" s="10"/>
      <c r="P3345" s="10"/>
      <c r="Q3345" s="10"/>
      <c r="R3345" s="10"/>
      <c r="S3345" s="10"/>
      <c r="T3345" s="10"/>
      <c r="U3345" s="29">
        <v>0</v>
      </c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153</v>
      </c>
      <c r="B3346" s="9" t="s">
        <v>3491</v>
      </c>
      <c r="C3346" s="9" t="s">
        <v>94</v>
      </c>
      <c r="D3346" s="9" t="s">
        <v>92</v>
      </c>
      <c r="E3346" s="9" t="s">
        <v>0</v>
      </c>
      <c r="F3346" s="27"/>
      <c r="G3346" s="24"/>
      <c r="H3346" s="24"/>
      <c r="I3346" s="28"/>
      <c r="J3346" s="27">
        <v>0</v>
      </c>
      <c r="K3346" s="24"/>
      <c r="L3346" s="24"/>
      <c r="M3346" s="28">
        <v>0</v>
      </c>
      <c r="N3346" s="27">
        <v>0</v>
      </c>
      <c r="O3346" s="10"/>
      <c r="P3346" s="10"/>
      <c r="Q3346" s="10"/>
      <c r="R3346" s="10"/>
      <c r="S3346" s="10"/>
      <c r="T3346" s="10"/>
      <c r="U3346" s="29">
        <v>0</v>
      </c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153</v>
      </c>
      <c r="B3347" s="9" t="s">
        <v>3492</v>
      </c>
      <c r="C3347" s="9" t="s">
        <v>94</v>
      </c>
      <c r="D3347" s="9" t="s">
        <v>92</v>
      </c>
      <c r="E3347" s="9" t="s">
        <v>0</v>
      </c>
      <c r="F3347" s="27"/>
      <c r="G3347" s="24"/>
      <c r="H3347" s="24"/>
      <c r="I3347" s="28"/>
      <c r="J3347" s="27">
        <v>0</v>
      </c>
      <c r="K3347" s="24"/>
      <c r="L3347" s="24"/>
      <c r="M3347" s="28">
        <v>0</v>
      </c>
      <c r="N3347" s="27">
        <v>0</v>
      </c>
      <c r="O3347" s="10"/>
      <c r="P3347" s="10"/>
      <c r="Q3347" s="10"/>
      <c r="R3347" s="10"/>
      <c r="S3347" s="10"/>
      <c r="T3347" s="10"/>
      <c r="U3347" s="29">
        <v>0</v>
      </c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153</v>
      </c>
      <c r="B3348" s="9" t="s">
        <v>746</v>
      </c>
      <c r="C3348" s="9" t="s">
        <v>94</v>
      </c>
      <c r="D3348" s="9" t="s">
        <v>92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153</v>
      </c>
      <c r="B3349" s="9" t="s">
        <v>747</v>
      </c>
      <c r="C3349" s="9" t="s">
        <v>94</v>
      </c>
      <c r="D3349" s="9" t="s">
        <v>92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153</v>
      </c>
      <c r="B3350" s="9" t="s">
        <v>3493</v>
      </c>
      <c r="C3350" s="9" t="s">
        <v>94</v>
      </c>
      <c r="D3350" s="9" t="s">
        <v>92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153</v>
      </c>
      <c r="B3351" s="9" t="s">
        <v>748</v>
      </c>
      <c r="C3351" s="9" t="s">
        <v>94</v>
      </c>
      <c r="D3351" s="9" t="s">
        <v>92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153</v>
      </c>
      <c r="B3352" s="9" t="s">
        <v>749</v>
      </c>
      <c r="C3352" s="9" t="s">
        <v>94</v>
      </c>
      <c r="D3352" s="9" t="s">
        <v>92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153</v>
      </c>
      <c r="B3353" s="9" t="s">
        <v>3494</v>
      </c>
      <c r="C3353" s="9" t="s">
        <v>94</v>
      </c>
      <c r="D3353" s="9" t="s">
        <v>92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153</v>
      </c>
      <c r="B3354" s="9" t="s">
        <v>750</v>
      </c>
      <c r="C3354" s="9" t="s">
        <v>94</v>
      </c>
      <c r="D3354" s="9" t="s">
        <v>92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153</v>
      </c>
      <c r="B3355" s="9" t="s">
        <v>751</v>
      </c>
      <c r="C3355" s="9" t="s">
        <v>94</v>
      </c>
      <c r="D3355" s="9" t="s">
        <v>92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153</v>
      </c>
      <c r="B3356" s="9" t="s">
        <v>3495</v>
      </c>
      <c r="C3356" s="9" t="s">
        <v>94</v>
      </c>
      <c r="D3356" s="9" t="s">
        <v>92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153</v>
      </c>
      <c r="B3357" s="9" t="s">
        <v>3496</v>
      </c>
      <c r="C3357" s="9" t="s">
        <v>94</v>
      </c>
      <c r="D3357" s="9" t="s">
        <v>92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153</v>
      </c>
      <c r="B3358" s="9" t="s">
        <v>3497</v>
      </c>
      <c r="C3358" s="9" t="s">
        <v>94</v>
      </c>
      <c r="D3358" s="9" t="s">
        <v>92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153</v>
      </c>
      <c r="B3359" s="9" t="s">
        <v>3498</v>
      </c>
      <c r="C3359" s="9" t="s">
        <v>94</v>
      </c>
      <c r="D3359" s="9" t="s">
        <v>92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153</v>
      </c>
      <c r="B3360" s="9" t="s">
        <v>752</v>
      </c>
      <c r="C3360" s="9" t="s">
        <v>94</v>
      </c>
      <c r="D3360" s="9" t="s">
        <v>92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153</v>
      </c>
      <c r="B3361" s="9" t="s">
        <v>753</v>
      </c>
      <c r="C3361" s="9" t="s">
        <v>94</v>
      </c>
      <c r="D3361" s="9" t="s">
        <v>92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153</v>
      </c>
      <c r="B3362" s="9" t="s">
        <v>3499</v>
      </c>
      <c r="C3362" s="9" t="s">
        <v>94</v>
      </c>
      <c r="D3362" s="9" t="s">
        <v>92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153</v>
      </c>
      <c r="B3363" s="9" t="s">
        <v>754</v>
      </c>
      <c r="C3363" s="9" t="s">
        <v>94</v>
      </c>
      <c r="D3363" s="9" t="s">
        <v>92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153</v>
      </c>
      <c r="B3364" s="9" t="s">
        <v>755</v>
      </c>
      <c r="C3364" s="9" t="s">
        <v>94</v>
      </c>
      <c r="D3364" s="9" t="s">
        <v>92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153</v>
      </c>
      <c r="B3365" s="9" t="s">
        <v>3500</v>
      </c>
      <c r="C3365" s="9" t="s">
        <v>94</v>
      </c>
      <c r="D3365" s="9" t="s">
        <v>92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153</v>
      </c>
      <c r="B3366" s="9" t="s">
        <v>756</v>
      </c>
      <c r="C3366" s="9" t="s">
        <v>94</v>
      </c>
      <c r="D3366" s="9" t="s">
        <v>92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153</v>
      </c>
      <c r="B3367" s="9" t="s">
        <v>757</v>
      </c>
      <c r="C3367" s="9" t="s">
        <v>94</v>
      </c>
      <c r="D3367" s="9" t="s">
        <v>92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153</v>
      </c>
      <c r="B3368" s="9" t="s">
        <v>3501</v>
      </c>
      <c r="C3368" s="9" t="s">
        <v>94</v>
      </c>
      <c r="D3368" s="9" t="s">
        <v>92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153</v>
      </c>
      <c r="B3369" s="9" t="s">
        <v>3502</v>
      </c>
      <c r="C3369" s="9" t="s">
        <v>94</v>
      </c>
      <c r="D3369" s="9" t="s">
        <v>92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153</v>
      </c>
      <c r="B3370" s="9" t="s">
        <v>3503</v>
      </c>
      <c r="C3370" s="9" t="s">
        <v>94</v>
      </c>
      <c r="D3370" s="9" t="s">
        <v>92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153</v>
      </c>
      <c r="B3371" s="9" t="s">
        <v>3504</v>
      </c>
      <c r="C3371" s="9" t="s">
        <v>94</v>
      </c>
      <c r="D3371" s="9" t="s">
        <v>92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153</v>
      </c>
      <c r="B3372" s="9" t="s">
        <v>758</v>
      </c>
      <c r="C3372" s="9" t="s">
        <v>94</v>
      </c>
      <c r="D3372" s="9" t="s">
        <v>92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153</v>
      </c>
      <c r="B3373" s="9" t="s">
        <v>759</v>
      </c>
      <c r="C3373" s="9" t="s">
        <v>94</v>
      </c>
      <c r="D3373" s="9" t="s">
        <v>92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153</v>
      </c>
      <c r="B3374" s="9" t="s">
        <v>3505</v>
      </c>
      <c r="C3374" s="9" t="s">
        <v>94</v>
      </c>
      <c r="D3374" s="9" t="s">
        <v>92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153</v>
      </c>
      <c r="B3375" s="9" t="s">
        <v>760</v>
      </c>
      <c r="C3375" s="9" t="s">
        <v>94</v>
      </c>
      <c r="D3375" s="9" t="s">
        <v>92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153</v>
      </c>
      <c r="B3376" s="9" t="s">
        <v>761</v>
      </c>
      <c r="C3376" s="9" t="s">
        <v>94</v>
      </c>
      <c r="D3376" s="9" t="s">
        <v>92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153</v>
      </c>
      <c r="B3377" s="9" t="s">
        <v>3506</v>
      </c>
      <c r="C3377" s="9" t="s">
        <v>94</v>
      </c>
      <c r="D3377" s="9" t="s">
        <v>92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153</v>
      </c>
      <c r="B3378" s="9" t="s">
        <v>762</v>
      </c>
      <c r="C3378" s="9" t="s">
        <v>94</v>
      </c>
      <c r="D3378" s="9" t="s">
        <v>92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153</v>
      </c>
      <c r="B3379" s="9" t="s">
        <v>763</v>
      </c>
      <c r="C3379" s="9" t="s">
        <v>94</v>
      </c>
      <c r="D3379" s="9" t="s">
        <v>92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153</v>
      </c>
      <c r="B3380" s="9" t="s">
        <v>3507</v>
      </c>
      <c r="C3380" s="9" t="s">
        <v>94</v>
      </c>
      <c r="D3380" s="9" t="s">
        <v>92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153</v>
      </c>
      <c r="B3381" s="9" t="s">
        <v>3508</v>
      </c>
      <c r="C3381" s="9" t="s">
        <v>94</v>
      </c>
      <c r="D3381" s="9" t="s">
        <v>92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153</v>
      </c>
      <c r="B3382" s="9" t="s">
        <v>3509</v>
      </c>
      <c r="C3382" s="9" t="s">
        <v>94</v>
      </c>
      <c r="D3382" s="9" t="s">
        <v>92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153</v>
      </c>
      <c r="B3383" s="9" t="s">
        <v>3510</v>
      </c>
      <c r="C3383" s="9" t="s">
        <v>94</v>
      </c>
      <c r="D3383" s="9" t="s">
        <v>92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153</v>
      </c>
      <c r="B3384" s="9" t="s">
        <v>764</v>
      </c>
      <c r="C3384" s="9" t="s">
        <v>94</v>
      </c>
      <c r="D3384" s="9" t="s">
        <v>92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153</v>
      </c>
      <c r="B3385" s="9" t="s">
        <v>765</v>
      </c>
      <c r="C3385" s="9" t="s">
        <v>94</v>
      </c>
      <c r="D3385" s="9" t="s">
        <v>92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153</v>
      </c>
      <c r="B3386" s="9" t="s">
        <v>3511</v>
      </c>
      <c r="C3386" s="9" t="s">
        <v>94</v>
      </c>
      <c r="D3386" s="9" t="s">
        <v>92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153</v>
      </c>
      <c r="B3387" s="9" t="s">
        <v>766</v>
      </c>
      <c r="C3387" s="9" t="s">
        <v>94</v>
      </c>
      <c r="D3387" s="9" t="s">
        <v>92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153</v>
      </c>
      <c r="B3388" s="9" t="s">
        <v>767</v>
      </c>
      <c r="C3388" s="9" t="s">
        <v>94</v>
      </c>
      <c r="D3388" s="9" t="s">
        <v>92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153</v>
      </c>
      <c r="B3389" s="9" t="s">
        <v>3512</v>
      </c>
      <c r="C3389" s="9" t="s">
        <v>94</v>
      </c>
      <c r="D3389" s="9" t="s">
        <v>92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153</v>
      </c>
      <c r="B3390" s="9" t="s">
        <v>768</v>
      </c>
      <c r="C3390" s="9" t="s">
        <v>94</v>
      </c>
      <c r="D3390" s="9" t="s">
        <v>92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153</v>
      </c>
      <c r="B3391" s="9" t="s">
        <v>769</v>
      </c>
      <c r="C3391" s="9" t="s">
        <v>94</v>
      </c>
      <c r="D3391" s="9" t="s">
        <v>92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153</v>
      </c>
      <c r="B3392" s="9" t="s">
        <v>3513</v>
      </c>
      <c r="C3392" s="9" t="s">
        <v>94</v>
      </c>
      <c r="D3392" s="9" t="s">
        <v>92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153</v>
      </c>
      <c r="B3393" s="9" t="s">
        <v>3514</v>
      </c>
      <c r="C3393" s="9" t="s">
        <v>94</v>
      </c>
      <c r="D3393" s="9" t="s">
        <v>92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153</v>
      </c>
      <c r="B3394" s="9" t="s">
        <v>3515</v>
      </c>
      <c r="C3394" s="9" t="s">
        <v>94</v>
      </c>
      <c r="D3394" s="9" t="s">
        <v>92</v>
      </c>
      <c r="E3394" s="9" t="s">
        <v>0</v>
      </c>
      <c r="F3394" s="27"/>
      <c r="G3394" s="24"/>
      <c r="H3394" s="24"/>
      <c r="I3394" s="28"/>
      <c r="J3394" s="27">
        <v>0</v>
      </c>
      <c r="K3394" s="24"/>
      <c r="L3394" s="24"/>
      <c r="M3394" s="28">
        <v>0</v>
      </c>
      <c r="N3394" s="27">
        <v>0</v>
      </c>
      <c r="O3394" s="10"/>
      <c r="P3394" s="10"/>
      <c r="Q3394" s="10"/>
      <c r="R3394" s="10"/>
      <c r="S3394" s="10"/>
      <c r="T3394" s="10"/>
      <c r="U3394" s="29">
        <v>0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153</v>
      </c>
      <c r="B3395" s="9" t="s">
        <v>3516</v>
      </c>
      <c r="C3395" s="9" t="s">
        <v>94</v>
      </c>
      <c r="D3395" s="9" t="s">
        <v>92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153</v>
      </c>
      <c r="B3396" s="9" t="s">
        <v>3517</v>
      </c>
      <c r="C3396" s="9" t="s">
        <v>94</v>
      </c>
      <c r="D3396" s="9" t="s">
        <v>92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153</v>
      </c>
      <c r="B3397" s="9" t="s">
        <v>3518</v>
      </c>
      <c r="C3397" s="9" t="s">
        <v>94</v>
      </c>
      <c r="D3397" s="9" t="s">
        <v>92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153</v>
      </c>
      <c r="B3398" s="9" t="s">
        <v>3519</v>
      </c>
      <c r="C3398" s="9" t="s">
        <v>94</v>
      </c>
      <c r="D3398" s="9" t="s">
        <v>92</v>
      </c>
      <c r="E3398" s="9" t="s">
        <v>0</v>
      </c>
      <c r="F3398" s="27"/>
      <c r="G3398" s="24"/>
      <c r="H3398" s="24"/>
      <c r="I3398" s="28"/>
      <c r="J3398" s="27">
        <v>0</v>
      </c>
      <c r="K3398" s="24"/>
      <c r="L3398" s="24"/>
      <c r="M3398" s="28">
        <v>0</v>
      </c>
      <c r="N3398" s="27">
        <v>0</v>
      </c>
      <c r="O3398" s="10"/>
      <c r="P3398" s="10"/>
      <c r="Q3398" s="10"/>
      <c r="R3398" s="10"/>
      <c r="S3398" s="10"/>
      <c r="T3398" s="10"/>
      <c r="U3398" s="29">
        <v>0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153</v>
      </c>
      <c r="B3399" s="9" t="s">
        <v>3520</v>
      </c>
      <c r="C3399" s="9" t="s">
        <v>94</v>
      </c>
      <c r="D3399" s="9" t="s">
        <v>92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153</v>
      </c>
      <c r="B3400" s="9" t="s">
        <v>3521</v>
      </c>
      <c r="C3400" s="9" t="s">
        <v>94</v>
      </c>
      <c r="D3400" s="9" t="s">
        <v>92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153</v>
      </c>
      <c r="B3401" s="9" t="s">
        <v>3522</v>
      </c>
      <c r="C3401" s="9" t="s">
        <v>94</v>
      </c>
      <c r="D3401" s="9" t="s">
        <v>92</v>
      </c>
      <c r="E3401" s="9" t="s">
        <v>0</v>
      </c>
      <c r="F3401" s="27"/>
      <c r="G3401" s="24"/>
      <c r="H3401" s="24"/>
      <c r="I3401" s="28"/>
      <c r="J3401" s="27">
        <v>0</v>
      </c>
      <c r="K3401" s="24"/>
      <c r="L3401" s="24"/>
      <c r="M3401" s="28">
        <v>0</v>
      </c>
      <c r="N3401" s="27">
        <v>0</v>
      </c>
      <c r="O3401" s="10"/>
      <c r="P3401" s="10"/>
      <c r="Q3401" s="10"/>
      <c r="R3401" s="10"/>
      <c r="S3401" s="10"/>
      <c r="T3401" s="10"/>
      <c r="U3401" s="29">
        <v>0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153</v>
      </c>
      <c r="B3402" s="9" t="s">
        <v>3523</v>
      </c>
      <c r="C3402" s="9" t="s">
        <v>94</v>
      </c>
      <c r="D3402" s="9" t="s">
        <v>92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153</v>
      </c>
      <c r="B3403" s="9" t="s">
        <v>3524</v>
      </c>
      <c r="C3403" s="9" t="s">
        <v>94</v>
      </c>
      <c r="D3403" s="9" t="s">
        <v>92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153</v>
      </c>
      <c r="B3404" s="9" t="s">
        <v>3525</v>
      </c>
      <c r="C3404" s="9" t="s">
        <v>94</v>
      </c>
      <c r="D3404" s="9" t="s">
        <v>92</v>
      </c>
      <c r="E3404" s="9" t="s">
        <v>0</v>
      </c>
      <c r="F3404" s="27"/>
      <c r="G3404" s="24"/>
      <c r="H3404" s="24"/>
      <c r="I3404" s="28"/>
      <c r="J3404" s="27">
        <v>0</v>
      </c>
      <c r="K3404" s="24"/>
      <c r="L3404" s="24"/>
      <c r="M3404" s="28">
        <v>0</v>
      </c>
      <c r="N3404" s="27">
        <v>0</v>
      </c>
      <c r="O3404" s="10"/>
      <c r="P3404" s="10"/>
      <c r="Q3404" s="10"/>
      <c r="R3404" s="10"/>
      <c r="S3404" s="10"/>
      <c r="T3404" s="10"/>
      <c r="U3404" s="29">
        <v>0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153</v>
      </c>
      <c r="B3405" s="9" t="s">
        <v>3526</v>
      </c>
      <c r="C3405" s="9" t="s">
        <v>94</v>
      </c>
      <c r="D3405" s="9" t="s">
        <v>92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153</v>
      </c>
      <c r="B3406" s="9" t="s">
        <v>3527</v>
      </c>
      <c r="C3406" s="9" t="s">
        <v>94</v>
      </c>
      <c r="D3406" s="9" t="s">
        <v>92</v>
      </c>
      <c r="E3406" s="9" t="s">
        <v>0</v>
      </c>
      <c r="F3406" s="27"/>
      <c r="G3406" s="24"/>
      <c r="H3406" s="24"/>
      <c r="I3406" s="28"/>
      <c r="J3406" s="27">
        <v>0</v>
      </c>
      <c r="K3406" s="24"/>
      <c r="L3406" s="24"/>
      <c r="M3406" s="28">
        <v>0</v>
      </c>
      <c r="N3406" s="27">
        <v>0</v>
      </c>
      <c r="O3406" s="10"/>
      <c r="P3406" s="10"/>
      <c r="Q3406" s="10"/>
      <c r="R3406" s="10"/>
      <c r="S3406" s="10"/>
      <c r="T3406" s="10"/>
      <c r="U3406" s="29">
        <v>0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153</v>
      </c>
      <c r="B3407" s="9" t="s">
        <v>3528</v>
      </c>
      <c r="C3407" s="9" t="s">
        <v>94</v>
      </c>
      <c r="D3407" s="9" t="s">
        <v>92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153</v>
      </c>
      <c r="B3408" s="9" t="s">
        <v>770</v>
      </c>
      <c r="C3408" s="9" t="s">
        <v>94</v>
      </c>
      <c r="D3408" s="9" t="s">
        <v>92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153</v>
      </c>
      <c r="B3409" s="9" t="s">
        <v>3529</v>
      </c>
      <c r="C3409" s="9" t="s">
        <v>94</v>
      </c>
      <c r="D3409" s="9" t="s">
        <v>92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153</v>
      </c>
      <c r="B3410" s="9" t="s">
        <v>771</v>
      </c>
      <c r="C3410" s="9" t="s">
        <v>94</v>
      </c>
      <c r="D3410" s="9" t="s">
        <v>92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153</v>
      </c>
      <c r="B3411" s="9" t="s">
        <v>3530</v>
      </c>
      <c r="C3411" s="9" t="s">
        <v>94</v>
      </c>
      <c r="D3411" s="9" t="s">
        <v>92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153</v>
      </c>
      <c r="B3412" s="9" t="s">
        <v>3531</v>
      </c>
      <c r="C3412" s="9" t="s">
        <v>94</v>
      </c>
      <c r="D3412" s="9" t="s">
        <v>92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153</v>
      </c>
      <c r="B3413" s="9" t="s">
        <v>3532</v>
      </c>
      <c r="C3413" s="9" t="s">
        <v>94</v>
      </c>
      <c r="D3413" s="9" t="s">
        <v>92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153</v>
      </c>
      <c r="B3414" s="9" t="s">
        <v>772</v>
      </c>
      <c r="C3414" s="9" t="s">
        <v>94</v>
      </c>
      <c r="D3414" s="9" t="s">
        <v>92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153</v>
      </c>
      <c r="B3415" s="9" t="s">
        <v>3533</v>
      </c>
      <c r="C3415" s="9" t="s">
        <v>94</v>
      </c>
      <c r="D3415" s="9" t="s">
        <v>92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153</v>
      </c>
      <c r="B3416" s="9" t="s">
        <v>773</v>
      </c>
      <c r="C3416" s="9" t="s">
        <v>94</v>
      </c>
      <c r="D3416" s="9" t="s">
        <v>92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153</v>
      </c>
      <c r="B3417" s="9" t="s">
        <v>3534</v>
      </c>
      <c r="C3417" s="9" t="s">
        <v>94</v>
      </c>
      <c r="D3417" s="9" t="s">
        <v>92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153</v>
      </c>
      <c r="B3418" s="9" t="s">
        <v>3535</v>
      </c>
      <c r="C3418" s="9" t="s">
        <v>94</v>
      </c>
      <c r="D3418" s="9" t="s">
        <v>92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153</v>
      </c>
      <c r="B3419" s="9" t="s">
        <v>3536</v>
      </c>
      <c r="C3419" s="9" t="s">
        <v>94</v>
      </c>
      <c r="D3419" s="9" t="s">
        <v>92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153</v>
      </c>
      <c r="B3420" s="9" t="s">
        <v>774</v>
      </c>
      <c r="C3420" s="9" t="s">
        <v>94</v>
      </c>
      <c r="D3420" s="9" t="s">
        <v>92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153</v>
      </c>
      <c r="B3421" s="9" t="s">
        <v>3537</v>
      </c>
      <c r="C3421" s="9" t="s">
        <v>94</v>
      </c>
      <c r="D3421" s="9" t="s">
        <v>92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153</v>
      </c>
      <c r="B3422" s="9" t="s">
        <v>775</v>
      </c>
      <c r="C3422" s="9" t="s">
        <v>94</v>
      </c>
      <c r="D3422" s="9" t="s">
        <v>92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153</v>
      </c>
      <c r="B3423" s="9" t="s">
        <v>3538</v>
      </c>
      <c r="C3423" s="9" t="s">
        <v>94</v>
      </c>
      <c r="D3423" s="9" t="s">
        <v>92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153</v>
      </c>
      <c r="B3424" s="9" t="s">
        <v>3539</v>
      </c>
      <c r="C3424" s="9" t="s">
        <v>94</v>
      </c>
      <c r="D3424" s="9" t="s">
        <v>92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153</v>
      </c>
      <c r="B3425" s="9" t="s">
        <v>3540</v>
      </c>
      <c r="C3425" s="9" t="s">
        <v>94</v>
      </c>
      <c r="D3425" s="9" t="s">
        <v>92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153</v>
      </c>
      <c r="B3426" s="9" t="s">
        <v>3541</v>
      </c>
      <c r="C3426" s="9" t="s">
        <v>94</v>
      </c>
      <c r="D3426" s="9" t="s">
        <v>92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153</v>
      </c>
      <c r="B3427" s="9" t="s">
        <v>3542</v>
      </c>
      <c r="C3427" s="9" t="s">
        <v>94</v>
      </c>
      <c r="D3427" s="9" t="s">
        <v>92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153</v>
      </c>
      <c r="B3428" s="9" t="s">
        <v>3543</v>
      </c>
      <c r="C3428" s="9" t="s">
        <v>94</v>
      </c>
      <c r="D3428" s="9" t="s">
        <v>92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153</v>
      </c>
      <c r="B3429" s="9" t="s">
        <v>3544</v>
      </c>
      <c r="C3429" s="9" t="s">
        <v>94</v>
      </c>
      <c r="D3429" s="9" t="s">
        <v>92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153</v>
      </c>
      <c r="B3430" s="9" t="s">
        <v>3545</v>
      </c>
      <c r="C3430" s="9" t="s">
        <v>94</v>
      </c>
      <c r="D3430" s="9" t="s">
        <v>92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153</v>
      </c>
      <c r="B3431" s="9" t="s">
        <v>3546</v>
      </c>
      <c r="C3431" s="9" t="s">
        <v>94</v>
      </c>
      <c r="D3431" s="9" t="s">
        <v>92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153</v>
      </c>
      <c r="B3432" s="9" t="s">
        <v>776</v>
      </c>
      <c r="C3432" s="9" t="s">
        <v>94</v>
      </c>
      <c r="D3432" s="9" t="s">
        <v>92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153</v>
      </c>
      <c r="B3433" s="9" t="s">
        <v>3547</v>
      </c>
      <c r="C3433" s="9" t="s">
        <v>94</v>
      </c>
      <c r="D3433" s="9" t="s">
        <v>92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153</v>
      </c>
      <c r="B3434" s="9" t="s">
        <v>777</v>
      </c>
      <c r="C3434" s="9" t="s">
        <v>94</v>
      </c>
      <c r="D3434" s="9" t="s">
        <v>92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153</v>
      </c>
      <c r="B3435" s="9" t="s">
        <v>3548</v>
      </c>
      <c r="C3435" s="9" t="s">
        <v>94</v>
      </c>
      <c r="D3435" s="9" t="s">
        <v>92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153</v>
      </c>
      <c r="B3436" s="9" t="s">
        <v>3549</v>
      </c>
      <c r="C3436" s="9" t="s">
        <v>94</v>
      </c>
      <c r="D3436" s="9" t="s">
        <v>92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153</v>
      </c>
      <c r="B3437" s="9" t="s">
        <v>3550</v>
      </c>
      <c r="C3437" s="9" t="s">
        <v>94</v>
      </c>
      <c r="D3437" s="9" t="s">
        <v>92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153</v>
      </c>
      <c r="B3438" s="9" t="s">
        <v>778</v>
      </c>
      <c r="C3438" s="9" t="s">
        <v>94</v>
      </c>
      <c r="D3438" s="9" t="s">
        <v>92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153</v>
      </c>
      <c r="B3439" s="9" t="s">
        <v>3551</v>
      </c>
      <c r="C3439" s="9" t="s">
        <v>94</v>
      </c>
      <c r="D3439" s="9" t="s">
        <v>92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153</v>
      </c>
      <c r="B3440" s="9" t="s">
        <v>779</v>
      </c>
      <c r="C3440" s="9" t="s">
        <v>94</v>
      </c>
      <c r="D3440" s="9" t="s">
        <v>92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153</v>
      </c>
      <c r="B3441" s="9" t="s">
        <v>3552</v>
      </c>
      <c r="C3441" s="9" t="s">
        <v>94</v>
      </c>
      <c r="D3441" s="9" t="s">
        <v>92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153</v>
      </c>
      <c r="B3442" s="9" t="s">
        <v>3553</v>
      </c>
      <c r="C3442" s="9" t="s">
        <v>94</v>
      </c>
      <c r="D3442" s="9" t="s">
        <v>92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153</v>
      </c>
      <c r="B3443" s="9" t="s">
        <v>3554</v>
      </c>
      <c r="C3443" s="9" t="s">
        <v>94</v>
      </c>
      <c r="D3443" s="9" t="s">
        <v>92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153</v>
      </c>
      <c r="B3444" s="9" t="s">
        <v>780</v>
      </c>
      <c r="C3444" s="9" t="s">
        <v>94</v>
      </c>
      <c r="D3444" s="9" t="s">
        <v>92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153</v>
      </c>
      <c r="B3445" s="9" t="s">
        <v>3555</v>
      </c>
      <c r="C3445" s="9" t="s">
        <v>94</v>
      </c>
      <c r="D3445" s="9" t="s">
        <v>92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153</v>
      </c>
      <c r="B3446" s="9" t="s">
        <v>781</v>
      </c>
      <c r="C3446" s="9" t="s">
        <v>94</v>
      </c>
      <c r="D3446" s="9" t="s">
        <v>92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153</v>
      </c>
      <c r="B3447" s="9" t="s">
        <v>3556</v>
      </c>
      <c r="C3447" s="9" t="s">
        <v>94</v>
      </c>
      <c r="D3447" s="9" t="s">
        <v>92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153</v>
      </c>
      <c r="B3448" s="9" t="s">
        <v>3557</v>
      </c>
      <c r="C3448" s="9" t="s">
        <v>94</v>
      </c>
      <c r="D3448" s="9" t="s">
        <v>92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153</v>
      </c>
      <c r="B3449" s="9" t="s">
        <v>3558</v>
      </c>
      <c r="C3449" s="9" t="s">
        <v>94</v>
      </c>
      <c r="D3449" s="9" t="s">
        <v>92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153</v>
      </c>
      <c r="B3450" s="9" t="s">
        <v>3559</v>
      </c>
      <c r="C3450" s="9" t="s">
        <v>94</v>
      </c>
      <c r="D3450" s="9" t="s">
        <v>92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153</v>
      </c>
      <c r="B3451" s="9" t="s">
        <v>3560</v>
      </c>
      <c r="C3451" s="9" t="s">
        <v>94</v>
      </c>
      <c r="D3451" s="9" t="s">
        <v>92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153</v>
      </c>
      <c r="B3452" s="9" t="s">
        <v>3561</v>
      </c>
      <c r="C3452" s="9" t="s">
        <v>94</v>
      </c>
      <c r="D3452" s="9" t="s">
        <v>92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153</v>
      </c>
      <c r="B3453" s="9" t="s">
        <v>3562</v>
      </c>
      <c r="C3453" s="9" t="s">
        <v>94</v>
      </c>
      <c r="D3453" s="9" t="s">
        <v>92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153</v>
      </c>
      <c r="B3454" s="9" t="s">
        <v>3563</v>
      </c>
      <c r="C3454" s="9" t="s">
        <v>94</v>
      </c>
      <c r="D3454" s="9" t="s">
        <v>92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153</v>
      </c>
      <c r="B3455" s="9" t="s">
        <v>3564</v>
      </c>
      <c r="C3455" s="9" t="s">
        <v>94</v>
      </c>
      <c r="D3455" s="9" t="s">
        <v>92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153</v>
      </c>
      <c r="B3456" s="9" t="s">
        <v>782</v>
      </c>
      <c r="C3456" s="9" t="s">
        <v>94</v>
      </c>
      <c r="D3456" s="9" t="s">
        <v>92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153</v>
      </c>
      <c r="B3457" s="9" t="s">
        <v>3565</v>
      </c>
      <c r="C3457" s="9" t="s">
        <v>94</v>
      </c>
      <c r="D3457" s="9" t="s">
        <v>92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153</v>
      </c>
      <c r="B3458" s="9" t="s">
        <v>783</v>
      </c>
      <c r="C3458" s="9" t="s">
        <v>94</v>
      </c>
      <c r="D3458" s="9" t="s">
        <v>92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153</v>
      </c>
      <c r="B3459" s="9" t="s">
        <v>3566</v>
      </c>
      <c r="C3459" s="9" t="s">
        <v>94</v>
      </c>
      <c r="D3459" s="9" t="s">
        <v>92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153</v>
      </c>
      <c r="B3460" s="9" t="s">
        <v>3567</v>
      </c>
      <c r="C3460" s="9" t="s">
        <v>94</v>
      </c>
      <c r="D3460" s="9" t="s">
        <v>92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153</v>
      </c>
      <c r="B3461" s="9" t="s">
        <v>3568</v>
      </c>
      <c r="C3461" s="9" t="s">
        <v>94</v>
      </c>
      <c r="D3461" s="9" t="s">
        <v>92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153</v>
      </c>
      <c r="B3462" s="9" t="s">
        <v>784</v>
      </c>
      <c r="C3462" s="9" t="s">
        <v>94</v>
      </c>
      <c r="D3462" s="9" t="s">
        <v>92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153</v>
      </c>
      <c r="B3463" s="9" t="s">
        <v>3569</v>
      </c>
      <c r="C3463" s="9" t="s">
        <v>94</v>
      </c>
      <c r="D3463" s="9" t="s">
        <v>92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153</v>
      </c>
      <c r="B3464" s="9" t="s">
        <v>785</v>
      </c>
      <c r="C3464" s="9" t="s">
        <v>94</v>
      </c>
      <c r="D3464" s="9" t="s">
        <v>92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153</v>
      </c>
      <c r="B3465" s="9" t="s">
        <v>3570</v>
      </c>
      <c r="C3465" s="9" t="s">
        <v>94</v>
      </c>
      <c r="D3465" s="9" t="s">
        <v>92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153</v>
      </c>
      <c r="B3466" s="9" t="s">
        <v>3571</v>
      </c>
      <c r="C3466" s="9" t="s">
        <v>94</v>
      </c>
      <c r="D3466" s="9" t="s">
        <v>92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153</v>
      </c>
      <c r="B3467" s="9" t="s">
        <v>3572</v>
      </c>
      <c r="C3467" s="9" t="s">
        <v>94</v>
      </c>
      <c r="D3467" s="9" t="s">
        <v>92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153</v>
      </c>
      <c r="B3468" s="9" t="s">
        <v>786</v>
      </c>
      <c r="C3468" s="9" t="s">
        <v>94</v>
      </c>
      <c r="D3468" s="9" t="s">
        <v>92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153</v>
      </c>
      <c r="B3469" s="9" t="s">
        <v>3573</v>
      </c>
      <c r="C3469" s="9" t="s">
        <v>94</v>
      </c>
      <c r="D3469" s="9" t="s">
        <v>92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153</v>
      </c>
      <c r="B3470" s="9" t="s">
        <v>787</v>
      </c>
      <c r="C3470" s="9" t="s">
        <v>94</v>
      </c>
      <c r="D3470" s="9" t="s">
        <v>92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153</v>
      </c>
      <c r="B3471" s="9" t="s">
        <v>3574</v>
      </c>
      <c r="C3471" s="9" t="s">
        <v>94</v>
      </c>
      <c r="D3471" s="9" t="s">
        <v>92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153</v>
      </c>
      <c r="B3472" s="9" t="s">
        <v>3575</v>
      </c>
      <c r="C3472" s="9" t="s">
        <v>94</v>
      </c>
      <c r="D3472" s="9" t="s">
        <v>92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153</v>
      </c>
      <c r="B3473" s="9" t="s">
        <v>3576</v>
      </c>
      <c r="C3473" s="9" t="s">
        <v>94</v>
      </c>
      <c r="D3473" s="9" t="s">
        <v>92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153</v>
      </c>
      <c r="B3474" s="9" t="s">
        <v>3577</v>
      </c>
      <c r="C3474" s="9" t="s">
        <v>94</v>
      </c>
      <c r="D3474" s="9" t="s">
        <v>92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153</v>
      </c>
      <c r="B3475" s="9" t="s">
        <v>3578</v>
      </c>
      <c r="C3475" s="9" t="s">
        <v>94</v>
      </c>
      <c r="D3475" s="9" t="s">
        <v>92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153</v>
      </c>
      <c r="B3476" s="9" t="s">
        <v>3579</v>
      </c>
      <c r="C3476" s="9" t="s">
        <v>94</v>
      </c>
      <c r="D3476" s="9" t="s">
        <v>92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153</v>
      </c>
      <c r="B3477" s="9" t="s">
        <v>3580</v>
      </c>
      <c r="C3477" s="9" t="s">
        <v>94</v>
      </c>
      <c r="D3477" s="9" t="s">
        <v>92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153</v>
      </c>
      <c r="B3478" s="9" t="s">
        <v>3581</v>
      </c>
      <c r="C3478" s="9" t="s">
        <v>94</v>
      </c>
      <c r="D3478" s="9" t="s">
        <v>92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153</v>
      </c>
      <c r="B3479" s="9" t="s">
        <v>3582</v>
      </c>
      <c r="C3479" s="9" t="s">
        <v>94</v>
      </c>
      <c r="D3479" s="9" t="s">
        <v>92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153</v>
      </c>
      <c r="B3480" s="9" t="s">
        <v>788</v>
      </c>
      <c r="C3480" s="9" t="s">
        <v>94</v>
      </c>
      <c r="D3480" s="9" t="s">
        <v>92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153</v>
      </c>
      <c r="B3481" s="9" t="s">
        <v>3583</v>
      </c>
      <c r="C3481" s="9" t="s">
        <v>94</v>
      </c>
      <c r="D3481" s="9" t="s">
        <v>92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153</v>
      </c>
      <c r="B3482" s="9" t="s">
        <v>789</v>
      </c>
      <c r="C3482" s="9" t="s">
        <v>94</v>
      </c>
      <c r="D3482" s="9" t="s">
        <v>92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153</v>
      </c>
      <c r="B3483" s="9" t="s">
        <v>3584</v>
      </c>
      <c r="C3483" s="9" t="s">
        <v>94</v>
      </c>
      <c r="D3483" s="9" t="s">
        <v>92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153</v>
      </c>
      <c r="B3484" s="9" t="s">
        <v>3585</v>
      </c>
      <c r="C3484" s="9" t="s">
        <v>94</v>
      </c>
      <c r="D3484" s="9" t="s">
        <v>92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153</v>
      </c>
      <c r="B3485" s="9" t="s">
        <v>3586</v>
      </c>
      <c r="C3485" s="9" t="s">
        <v>94</v>
      </c>
      <c r="D3485" s="9" t="s">
        <v>92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153</v>
      </c>
      <c r="B3486" s="9" t="s">
        <v>790</v>
      </c>
      <c r="C3486" s="9" t="s">
        <v>94</v>
      </c>
      <c r="D3486" s="9" t="s">
        <v>92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153</v>
      </c>
      <c r="B3487" s="9" t="s">
        <v>3587</v>
      </c>
      <c r="C3487" s="9" t="s">
        <v>94</v>
      </c>
      <c r="D3487" s="9" t="s">
        <v>92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153</v>
      </c>
      <c r="B3488" s="9" t="s">
        <v>791</v>
      </c>
      <c r="C3488" s="9" t="s">
        <v>94</v>
      </c>
      <c r="D3488" s="9" t="s">
        <v>92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153</v>
      </c>
      <c r="B3489" s="9" t="s">
        <v>3588</v>
      </c>
      <c r="C3489" s="9" t="s">
        <v>94</v>
      </c>
      <c r="D3489" s="9" t="s">
        <v>92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153</v>
      </c>
      <c r="B3490" s="9" t="s">
        <v>3589</v>
      </c>
      <c r="C3490" s="9" t="s">
        <v>94</v>
      </c>
      <c r="D3490" s="9" t="s">
        <v>92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153</v>
      </c>
      <c r="B3491" s="9" t="s">
        <v>3590</v>
      </c>
      <c r="C3491" s="9" t="s">
        <v>94</v>
      </c>
      <c r="D3491" s="9" t="s">
        <v>92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153</v>
      </c>
      <c r="B3492" s="9" t="s">
        <v>792</v>
      </c>
      <c r="C3492" s="9" t="s">
        <v>94</v>
      </c>
      <c r="D3492" s="9" t="s">
        <v>92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153</v>
      </c>
      <c r="B3493" s="9" t="s">
        <v>3591</v>
      </c>
      <c r="C3493" s="9" t="s">
        <v>94</v>
      </c>
      <c r="D3493" s="9" t="s">
        <v>92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153</v>
      </c>
      <c r="B3494" s="9" t="s">
        <v>793</v>
      </c>
      <c r="C3494" s="9" t="s">
        <v>94</v>
      </c>
      <c r="D3494" s="9" t="s">
        <v>92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153</v>
      </c>
      <c r="B3495" s="9" t="s">
        <v>3592</v>
      </c>
      <c r="C3495" s="9" t="s">
        <v>94</v>
      </c>
      <c r="D3495" s="9" t="s">
        <v>92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153</v>
      </c>
      <c r="B3496" s="9" t="s">
        <v>3593</v>
      </c>
      <c r="C3496" s="9" t="s">
        <v>94</v>
      </c>
      <c r="D3496" s="9" t="s">
        <v>92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153</v>
      </c>
      <c r="B3497" s="9" t="s">
        <v>3594</v>
      </c>
      <c r="C3497" s="9" t="s">
        <v>94</v>
      </c>
      <c r="D3497" s="9" t="s">
        <v>92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153</v>
      </c>
      <c r="B3498" s="9" t="s">
        <v>3595</v>
      </c>
      <c r="C3498" s="9" t="s">
        <v>94</v>
      </c>
      <c r="D3498" s="9" t="s">
        <v>92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153</v>
      </c>
      <c r="B3499" s="9" t="s">
        <v>3596</v>
      </c>
      <c r="C3499" s="9" t="s">
        <v>94</v>
      </c>
      <c r="D3499" s="9" t="s">
        <v>92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153</v>
      </c>
      <c r="B3500" s="9" t="s">
        <v>3597</v>
      </c>
      <c r="C3500" s="9" t="s">
        <v>94</v>
      </c>
      <c r="D3500" s="9" t="s">
        <v>92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153</v>
      </c>
      <c r="B3501" s="9" t="s">
        <v>3598</v>
      </c>
      <c r="C3501" s="9" t="s">
        <v>94</v>
      </c>
      <c r="D3501" s="9" t="s">
        <v>92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153</v>
      </c>
      <c r="B3502" s="9" t="s">
        <v>3599</v>
      </c>
      <c r="C3502" s="9" t="s">
        <v>94</v>
      </c>
      <c r="D3502" s="9" t="s">
        <v>92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153</v>
      </c>
      <c r="B3503" s="9" t="s">
        <v>3600</v>
      </c>
      <c r="C3503" s="9" t="s">
        <v>94</v>
      </c>
      <c r="D3503" s="9" t="s">
        <v>92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153</v>
      </c>
      <c r="B3504" s="9" t="s">
        <v>3601</v>
      </c>
      <c r="C3504" s="9" t="s">
        <v>94</v>
      </c>
      <c r="D3504" s="9" t="s">
        <v>92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153</v>
      </c>
      <c r="B3505" s="9" t="s">
        <v>3602</v>
      </c>
      <c r="C3505" s="9" t="s">
        <v>94</v>
      </c>
      <c r="D3505" s="9" t="s">
        <v>92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153</v>
      </c>
      <c r="B3506" s="9" t="s">
        <v>3603</v>
      </c>
      <c r="C3506" s="9" t="s">
        <v>94</v>
      </c>
      <c r="D3506" s="9" t="s">
        <v>92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153</v>
      </c>
      <c r="B3507" s="9" t="s">
        <v>3604</v>
      </c>
      <c r="C3507" s="9" t="s">
        <v>94</v>
      </c>
      <c r="D3507" s="9" t="s">
        <v>92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153</v>
      </c>
      <c r="B3508" s="9" t="s">
        <v>3605</v>
      </c>
      <c r="C3508" s="9" t="s">
        <v>94</v>
      </c>
      <c r="D3508" s="9" t="s">
        <v>92</v>
      </c>
      <c r="E3508" s="9" t="s">
        <v>0</v>
      </c>
      <c r="F3508" s="27"/>
      <c r="G3508" s="24"/>
      <c r="H3508" s="24"/>
      <c r="I3508" s="28"/>
      <c r="J3508" s="27">
        <v>0</v>
      </c>
      <c r="K3508" s="24"/>
      <c r="L3508" s="24"/>
      <c r="M3508" s="28">
        <v>0</v>
      </c>
      <c r="N3508" s="27">
        <v>0</v>
      </c>
      <c r="O3508" s="10"/>
      <c r="P3508" s="10"/>
      <c r="Q3508" s="10"/>
      <c r="R3508" s="10"/>
      <c r="S3508" s="10"/>
      <c r="T3508" s="10"/>
      <c r="U3508" s="29">
        <v>0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153</v>
      </c>
      <c r="B3509" s="9" t="s">
        <v>3606</v>
      </c>
      <c r="C3509" s="9" t="s">
        <v>94</v>
      </c>
      <c r="D3509" s="9" t="s">
        <v>92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153</v>
      </c>
      <c r="B3510" s="9" t="s">
        <v>3607</v>
      </c>
      <c r="C3510" s="9" t="s">
        <v>94</v>
      </c>
      <c r="D3510" s="9" t="s">
        <v>92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153</v>
      </c>
      <c r="B3511" s="9" t="s">
        <v>3608</v>
      </c>
      <c r="C3511" s="9" t="s">
        <v>94</v>
      </c>
      <c r="D3511" s="9" t="s">
        <v>92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153</v>
      </c>
      <c r="B3512" s="9" t="s">
        <v>3609</v>
      </c>
      <c r="C3512" s="9" t="s">
        <v>94</v>
      </c>
      <c r="D3512" s="9" t="s">
        <v>92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153</v>
      </c>
      <c r="B3513" s="9" t="s">
        <v>3610</v>
      </c>
      <c r="C3513" s="9" t="s">
        <v>94</v>
      </c>
      <c r="D3513" s="9" t="s">
        <v>92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153</v>
      </c>
      <c r="B3514" s="9" t="s">
        <v>3611</v>
      </c>
      <c r="C3514" s="9" t="s">
        <v>94</v>
      </c>
      <c r="D3514" s="9" t="s">
        <v>92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153</v>
      </c>
      <c r="B3515" s="9" t="s">
        <v>3612</v>
      </c>
      <c r="C3515" s="9" t="s">
        <v>94</v>
      </c>
      <c r="D3515" s="9" t="s">
        <v>92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153</v>
      </c>
      <c r="B3516" s="9" t="s">
        <v>3613</v>
      </c>
      <c r="C3516" s="9" t="s">
        <v>94</v>
      </c>
      <c r="D3516" s="9" t="s">
        <v>92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153</v>
      </c>
      <c r="B3517" s="9" t="s">
        <v>3614</v>
      </c>
      <c r="C3517" s="9" t="s">
        <v>94</v>
      </c>
      <c r="D3517" s="9" t="s">
        <v>92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153</v>
      </c>
      <c r="B3518" s="9" t="s">
        <v>3615</v>
      </c>
      <c r="C3518" s="9" t="s">
        <v>94</v>
      </c>
      <c r="D3518" s="9" t="s">
        <v>92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153</v>
      </c>
      <c r="B3519" s="9" t="s">
        <v>3616</v>
      </c>
      <c r="C3519" s="9" t="s">
        <v>94</v>
      </c>
      <c r="D3519" s="9" t="s">
        <v>92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153</v>
      </c>
      <c r="B3520" s="9" t="s">
        <v>3617</v>
      </c>
      <c r="C3520" s="9" t="s">
        <v>94</v>
      </c>
      <c r="D3520" s="9" t="s">
        <v>92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153</v>
      </c>
      <c r="B3521" s="9" t="s">
        <v>3618</v>
      </c>
      <c r="C3521" s="9" t="s">
        <v>94</v>
      </c>
      <c r="D3521" s="9" t="s">
        <v>92</v>
      </c>
      <c r="E3521" s="9" t="s">
        <v>0</v>
      </c>
      <c r="F3521" s="27"/>
      <c r="G3521" s="24"/>
      <c r="H3521" s="24"/>
      <c r="I3521" s="28"/>
      <c r="J3521" s="27">
        <v>0</v>
      </c>
      <c r="K3521" s="24"/>
      <c r="L3521" s="24"/>
      <c r="M3521" s="28">
        <v>0</v>
      </c>
      <c r="N3521" s="27">
        <v>0</v>
      </c>
      <c r="O3521" s="10"/>
      <c r="P3521" s="10"/>
      <c r="Q3521" s="10"/>
      <c r="R3521" s="10"/>
      <c r="S3521" s="10"/>
      <c r="T3521" s="10"/>
      <c r="U3521" s="29">
        <v>0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153</v>
      </c>
      <c r="B3522" s="9" t="s">
        <v>3619</v>
      </c>
      <c r="C3522" s="9" t="s">
        <v>94</v>
      </c>
      <c r="D3522" s="9" t="s">
        <v>92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153</v>
      </c>
      <c r="B3523" s="9" t="s">
        <v>3620</v>
      </c>
      <c r="C3523" s="9" t="s">
        <v>94</v>
      </c>
      <c r="D3523" s="9" t="s">
        <v>92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153</v>
      </c>
      <c r="B3524" s="9" t="s">
        <v>3621</v>
      </c>
      <c r="C3524" s="9" t="s">
        <v>94</v>
      </c>
      <c r="D3524" s="9" t="s">
        <v>92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153</v>
      </c>
      <c r="B3525" s="9" t="s">
        <v>3622</v>
      </c>
      <c r="C3525" s="9" t="s">
        <v>94</v>
      </c>
      <c r="D3525" s="9" t="s">
        <v>92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153</v>
      </c>
      <c r="B3526" s="9" t="s">
        <v>3623</v>
      </c>
      <c r="C3526" s="9" t="s">
        <v>94</v>
      </c>
      <c r="D3526" s="9" t="s">
        <v>92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153</v>
      </c>
      <c r="B3527" s="9" t="s">
        <v>3624</v>
      </c>
      <c r="C3527" s="9" t="s">
        <v>94</v>
      </c>
      <c r="D3527" s="9" t="s">
        <v>92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153</v>
      </c>
      <c r="B3528" s="9" t="s">
        <v>3625</v>
      </c>
      <c r="C3528" s="9" t="s">
        <v>94</v>
      </c>
      <c r="D3528" s="9" t="s">
        <v>92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153</v>
      </c>
      <c r="B3529" s="9" t="s">
        <v>3626</v>
      </c>
      <c r="C3529" s="9" t="s">
        <v>94</v>
      </c>
      <c r="D3529" s="9" t="s">
        <v>92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153</v>
      </c>
      <c r="B3530" s="9" t="s">
        <v>3627</v>
      </c>
      <c r="C3530" s="9" t="s">
        <v>94</v>
      </c>
      <c r="D3530" s="9" t="s">
        <v>92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153</v>
      </c>
      <c r="B3531" s="9" t="s">
        <v>3628</v>
      </c>
      <c r="C3531" s="9" t="s">
        <v>94</v>
      </c>
      <c r="D3531" s="9" t="s">
        <v>92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153</v>
      </c>
      <c r="B3532" s="9" t="s">
        <v>3629</v>
      </c>
      <c r="C3532" s="9" t="s">
        <v>94</v>
      </c>
      <c r="D3532" s="9" t="s">
        <v>92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153</v>
      </c>
      <c r="B3533" s="9" t="s">
        <v>3630</v>
      </c>
      <c r="C3533" s="9" t="s">
        <v>94</v>
      </c>
      <c r="D3533" s="9" t="s">
        <v>92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153</v>
      </c>
      <c r="B3534" s="9" t="s">
        <v>3631</v>
      </c>
      <c r="C3534" s="9" t="s">
        <v>94</v>
      </c>
      <c r="D3534" s="9" t="s">
        <v>92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153</v>
      </c>
      <c r="B3535" s="9" t="s">
        <v>3632</v>
      </c>
      <c r="C3535" s="9" t="s">
        <v>94</v>
      </c>
      <c r="D3535" s="9" t="s">
        <v>92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153</v>
      </c>
      <c r="B3536" s="9" t="s">
        <v>3633</v>
      </c>
      <c r="C3536" s="9" t="s">
        <v>94</v>
      </c>
      <c r="D3536" s="9" t="s">
        <v>92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153</v>
      </c>
      <c r="B3537" s="9" t="s">
        <v>3634</v>
      </c>
      <c r="C3537" s="9" t="s">
        <v>94</v>
      </c>
      <c r="D3537" s="9" t="s">
        <v>92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153</v>
      </c>
      <c r="B3538" s="9" t="s">
        <v>3635</v>
      </c>
      <c r="C3538" s="9" t="s">
        <v>94</v>
      </c>
      <c r="D3538" s="9" t="s">
        <v>92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153</v>
      </c>
      <c r="B3539" s="9" t="s">
        <v>3636</v>
      </c>
      <c r="C3539" s="9" t="s">
        <v>94</v>
      </c>
      <c r="D3539" s="9" t="s">
        <v>92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153</v>
      </c>
      <c r="B3540" s="9" t="s">
        <v>3637</v>
      </c>
      <c r="C3540" s="9" t="s">
        <v>94</v>
      </c>
      <c r="D3540" s="9" t="s">
        <v>92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153</v>
      </c>
      <c r="B3541" s="9" t="s">
        <v>3638</v>
      </c>
      <c r="C3541" s="9" t="s">
        <v>94</v>
      </c>
      <c r="D3541" s="9" t="s">
        <v>92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153</v>
      </c>
      <c r="B3542" s="9" t="s">
        <v>3639</v>
      </c>
      <c r="C3542" s="9" t="s">
        <v>94</v>
      </c>
      <c r="D3542" s="9" t="s">
        <v>92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153</v>
      </c>
      <c r="B3543" s="9" t="s">
        <v>3640</v>
      </c>
      <c r="C3543" s="9" t="s">
        <v>94</v>
      </c>
      <c r="D3543" s="9" t="s">
        <v>92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153</v>
      </c>
      <c r="B3544" s="9" t="s">
        <v>3641</v>
      </c>
      <c r="C3544" s="9" t="s">
        <v>94</v>
      </c>
      <c r="D3544" s="9" t="s">
        <v>92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153</v>
      </c>
      <c r="B3545" s="9" t="s">
        <v>3642</v>
      </c>
      <c r="C3545" s="9" t="s">
        <v>94</v>
      </c>
      <c r="D3545" s="9" t="s">
        <v>92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153</v>
      </c>
      <c r="B3546" s="9" t="s">
        <v>3643</v>
      </c>
      <c r="C3546" s="9" t="s">
        <v>94</v>
      </c>
      <c r="D3546" s="9" t="s">
        <v>92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153</v>
      </c>
      <c r="B3547" s="9" t="s">
        <v>3644</v>
      </c>
      <c r="C3547" s="9" t="s">
        <v>94</v>
      </c>
      <c r="D3547" s="9" t="s">
        <v>92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153</v>
      </c>
      <c r="B3548" s="9" t="s">
        <v>3645</v>
      </c>
      <c r="C3548" s="9" t="s">
        <v>94</v>
      </c>
      <c r="D3548" s="9" t="s">
        <v>92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153</v>
      </c>
      <c r="B3549" s="9" t="s">
        <v>3646</v>
      </c>
      <c r="C3549" s="9" t="s">
        <v>94</v>
      </c>
      <c r="D3549" s="9" t="s">
        <v>92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153</v>
      </c>
      <c r="B3550" s="9" t="s">
        <v>3647</v>
      </c>
      <c r="C3550" s="9" t="s">
        <v>94</v>
      </c>
      <c r="D3550" s="9" t="s">
        <v>92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153</v>
      </c>
      <c r="B3551" s="9" t="s">
        <v>3648</v>
      </c>
      <c r="C3551" s="9" t="s">
        <v>94</v>
      </c>
      <c r="D3551" s="9" t="s">
        <v>92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153</v>
      </c>
      <c r="B3552" s="9" t="s">
        <v>3649</v>
      </c>
      <c r="C3552" s="9" t="s">
        <v>94</v>
      </c>
      <c r="D3552" s="9" t="s">
        <v>92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153</v>
      </c>
      <c r="B3553" s="9" t="s">
        <v>3650</v>
      </c>
      <c r="C3553" s="9" t="s">
        <v>94</v>
      </c>
      <c r="D3553" s="9" t="s">
        <v>92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153</v>
      </c>
      <c r="B3554" s="9" t="s">
        <v>3651</v>
      </c>
      <c r="C3554" s="9" t="s">
        <v>94</v>
      </c>
      <c r="D3554" s="9" t="s">
        <v>92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153</v>
      </c>
      <c r="B3555" s="9" t="s">
        <v>3652</v>
      </c>
      <c r="C3555" s="9" t="s">
        <v>94</v>
      </c>
      <c r="D3555" s="9" t="s">
        <v>92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153</v>
      </c>
      <c r="B3556" s="9" t="s">
        <v>3653</v>
      </c>
      <c r="C3556" s="9" t="s">
        <v>94</v>
      </c>
      <c r="D3556" s="9" t="s">
        <v>92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153</v>
      </c>
      <c r="B3557" s="9" t="s">
        <v>3654</v>
      </c>
      <c r="C3557" s="9" t="s">
        <v>94</v>
      </c>
      <c r="D3557" s="9" t="s">
        <v>92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153</v>
      </c>
      <c r="B3558" s="9" t="s">
        <v>3655</v>
      </c>
      <c r="C3558" s="9" t="s">
        <v>94</v>
      </c>
      <c r="D3558" s="9" t="s">
        <v>92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153</v>
      </c>
      <c r="B3559" s="9" t="s">
        <v>3656</v>
      </c>
      <c r="C3559" s="9" t="s">
        <v>94</v>
      </c>
      <c r="D3559" s="9" t="s">
        <v>92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153</v>
      </c>
      <c r="B3560" s="9" t="s">
        <v>3657</v>
      </c>
      <c r="C3560" s="9" t="s">
        <v>94</v>
      </c>
      <c r="D3560" s="9" t="s">
        <v>92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153</v>
      </c>
      <c r="B3561" s="9" t="s">
        <v>3658</v>
      </c>
      <c r="C3561" s="9" t="s">
        <v>94</v>
      </c>
      <c r="D3561" s="9" t="s">
        <v>92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153</v>
      </c>
      <c r="B3562" s="9" t="s">
        <v>3659</v>
      </c>
      <c r="C3562" s="9" t="s">
        <v>94</v>
      </c>
      <c r="D3562" s="9" t="s">
        <v>92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153</v>
      </c>
      <c r="B3563" s="9" t="s">
        <v>3660</v>
      </c>
      <c r="C3563" s="9" t="s">
        <v>94</v>
      </c>
      <c r="D3563" s="9" t="s">
        <v>92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153</v>
      </c>
      <c r="B3564" s="9" t="s">
        <v>3661</v>
      </c>
      <c r="C3564" s="9" t="s">
        <v>94</v>
      </c>
      <c r="D3564" s="9" t="s">
        <v>92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153</v>
      </c>
      <c r="B3565" s="9" t="s">
        <v>3662</v>
      </c>
      <c r="C3565" s="9" t="s">
        <v>94</v>
      </c>
      <c r="D3565" s="9" t="s">
        <v>92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153</v>
      </c>
      <c r="B3566" s="9" t="s">
        <v>3663</v>
      </c>
      <c r="C3566" s="9" t="s">
        <v>94</v>
      </c>
      <c r="D3566" s="9" t="s">
        <v>92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153</v>
      </c>
      <c r="B3567" s="9" t="s">
        <v>3664</v>
      </c>
      <c r="C3567" s="9" t="s">
        <v>94</v>
      </c>
      <c r="D3567" s="9" t="s">
        <v>92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153</v>
      </c>
      <c r="B3568" s="9" t="s">
        <v>3665</v>
      </c>
      <c r="C3568" s="9" t="s">
        <v>94</v>
      </c>
      <c r="D3568" s="9" t="s">
        <v>92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153</v>
      </c>
      <c r="B3569" s="9" t="s">
        <v>3666</v>
      </c>
      <c r="C3569" s="9" t="s">
        <v>94</v>
      </c>
      <c r="D3569" s="9" t="s">
        <v>92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153</v>
      </c>
      <c r="B3570" s="9" t="s">
        <v>3667</v>
      </c>
      <c r="C3570" s="9" t="s">
        <v>94</v>
      </c>
      <c r="D3570" s="9" t="s">
        <v>92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153</v>
      </c>
      <c r="B3571" s="9" t="s">
        <v>3668</v>
      </c>
      <c r="C3571" s="9" t="s">
        <v>94</v>
      </c>
      <c r="D3571" s="9" t="s">
        <v>92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153</v>
      </c>
      <c r="B3572" s="9" t="s">
        <v>3669</v>
      </c>
      <c r="C3572" s="9" t="s">
        <v>94</v>
      </c>
      <c r="D3572" s="9" t="s">
        <v>92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153</v>
      </c>
      <c r="B3573" s="9" t="s">
        <v>3670</v>
      </c>
      <c r="C3573" s="9" t="s">
        <v>94</v>
      </c>
      <c r="D3573" s="9" t="s">
        <v>92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153</v>
      </c>
      <c r="B3574" s="9" t="s">
        <v>3671</v>
      </c>
      <c r="C3574" s="9" t="s">
        <v>94</v>
      </c>
      <c r="D3574" s="9" t="s">
        <v>92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153</v>
      </c>
      <c r="B3575" s="9" t="s">
        <v>3672</v>
      </c>
      <c r="C3575" s="9" t="s">
        <v>94</v>
      </c>
      <c r="D3575" s="9" t="s">
        <v>92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153</v>
      </c>
      <c r="B3576" s="9" t="s">
        <v>3673</v>
      </c>
      <c r="C3576" s="9" t="s">
        <v>94</v>
      </c>
      <c r="D3576" s="9" t="s">
        <v>92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153</v>
      </c>
      <c r="B3577" s="9" t="s">
        <v>3674</v>
      </c>
      <c r="C3577" s="9" t="s">
        <v>94</v>
      </c>
      <c r="D3577" s="9" t="s">
        <v>92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153</v>
      </c>
      <c r="B3578" s="9" t="s">
        <v>3675</v>
      </c>
      <c r="C3578" s="9" t="s">
        <v>94</v>
      </c>
      <c r="D3578" s="9" t="s">
        <v>92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153</v>
      </c>
      <c r="B3579" s="9" t="s">
        <v>3676</v>
      </c>
      <c r="C3579" s="9" t="s">
        <v>94</v>
      </c>
      <c r="D3579" s="9" t="s">
        <v>92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153</v>
      </c>
      <c r="B3580" s="9" t="s">
        <v>3677</v>
      </c>
      <c r="C3580" s="9" t="s">
        <v>94</v>
      </c>
      <c r="D3580" s="9" t="s">
        <v>92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153</v>
      </c>
      <c r="B3581" s="9" t="s">
        <v>3678</v>
      </c>
      <c r="C3581" s="9" t="s">
        <v>94</v>
      </c>
      <c r="D3581" s="9" t="s">
        <v>92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153</v>
      </c>
      <c r="B3582" s="9" t="s">
        <v>3679</v>
      </c>
      <c r="C3582" s="9" t="s">
        <v>94</v>
      </c>
      <c r="D3582" s="9" t="s">
        <v>92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153</v>
      </c>
      <c r="B3583" s="9" t="s">
        <v>3680</v>
      </c>
      <c r="C3583" s="9" t="s">
        <v>94</v>
      </c>
      <c r="D3583" s="9" t="s">
        <v>92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153</v>
      </c>
      <c r="B3584" s="9" t="s">
        <v>3681</v>
      </c>
      <c r="C3584" s="9" t="s">
        <v>94</v>
      </c>
      <c r="D3584" s="9" t="s">
        <v>92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153</v>
      </c>
      <c r="B3585" s="9" t="s">
        <v>3682</v>
      </c>
      <c r="C3585" s="9" t="s">
        <v>94</v>
      </c>
      <c r="D3585" s="9" t="s">
        <v>92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153</v>
      </c>
      <c r="B3586" s="9" t="s">
        <v>3683</v>
      </c>
      <c r="C3586" s="9" t="s">
        <v>94</v>
      </c>
      <c r="D3586" s="9" t="s">
        <v>92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153</v>
      </c>
      <c r="B3587" s="9" t="s">
        <v>3684</v>
      </c>
      <c r="C3587" s="9" t="s">
        <v>94</v>
      </c>
      <c r="D3587" s="9" t="s">
        <v>92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153</v>
      </c>
      <c r="B3588" s="9" t="s">
        <v>3685</v>
      </c>
      <c r="C3588" s="9" t="s">
        <v>94</v>
      </c>
      <c r="D3588" s="9" t="s">
        <v>92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153</v>
      </c>
      <c r="B3589" s="9" t="s">
        <v>3686</v>
      </c>
      <c r="C3589" s="9" t="s">
        <v>94</v>
      </c>
      <c r="D3589" s="9" t="s">
        <v>92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153</v>
      </c>
      <c r="B3590" s="9" t="s">
        <v>3687</v>
      </c>
      <c r="C3590" s="9" t="s">
        <v>94</v>
      </c>
      <c r="D3590" s="9" t="s">
        <v>92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153</v>
      </c>
      <c r="B3591" s="9" t="s">
        <v>3688</v>
      </c>
      <c r="C3591" s="9" t="s">
        <v>94</v>
      </c>
      <c r="D3591" s="9" t="s">
        <v>92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153</v>
      </c>
      <c r="B3592" s="9" t="s">
        <v>3689</v>
      </c>
      <c r="C3592" s="9" t="s">
        <v>94</v>
      </c>
      <c r="D3592" s="9" t="s">
        <v>92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153</v>
      </c>
      <c r="B3593" s="9" t="s">
        <v>3690</v>
      </c>
      <c r="C3593" s="9" t="s">
        <v>94</v>
      </c>
      <c r="D3593" s="9" t="s">
        <v>92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153</v>
      </c>
      <c r="B3594" s="9" t="s">
        <v>3691</v>
      </c>
      <c r="C3594" s="9" t="s">
        <v>94</v>
      </c>
      <c r="D3594" s="9" t="s">
        <v>92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153</v>
      </c>
      <c r="B3595" s="9" t="s">
        <v>3692</v>
      </c>
      <c r="C3595" s="9" t="s">
        <v>94</v>
      </c>
      <c r="D3595" s="9" t="s">
        <v>92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153</v>
      </c>
      <c r="B3596" s="9" t="s">
        <v>3693</v>
      </c>
      <c r="C3596" s="9" t="s">
        <v>94</v>
      </c>
      <c r="D3596" s="9" t="s">
        <v>92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153</v>
      </c>
      <c r="B3597" s="9" t="s">
        <v>3694</v>
      </c>
      <c r="C3597" s="9" t="s">
        <v>94</v>
      </c>
      <c r="D3597" s="9" t="s">
        <v>92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153</v>
      </c>
      <c r="B3598" s="9" t="s">
        <v>3695</v>
      </c>
      <c r="C3598" s="9" t="s">
        <v>94</v>
      </c>
      <c r="D3598" s="9" t="s">
        <v>92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153</v>
      </c>
      <c r="B3599" s="9" t="s">
        <v>3696</v>
      </c>
      <c r="C3599" s="9" t="s">
        <v>94</v>
      </c>
      <c r="D3599" s="9" t="s">
        <v>92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153</v>
      </c>
      <c r="B3600" s="9" t="s">
        <v>3697</v>
      </c>
      <c r="C3600" s="9" t="s">
        <v>94</v>
      </c>
      <c r="D3600" s="9" t="s">
        <v>92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153</v>
      </c>
      <c r="B3601" s="9" t="s">
        <v>3698</v>
      </c>
      <c r="C3601" s="9" t="s">
        <v>94</v>
      </c>
      <c r="D3601" s="9" t="s">
        <v>92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153</v>
      </c>
      <c r="B3602" s="9" t="s">
        <v>3699</v>
      </c>
      <c r="C3602" s="9" t="s">
        <v>94</v>
      </c>
      <c r="D3602" s="9" t="s">
        <v>92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153</v>
      </c>
      <c r="B3603" s="9" t="s">
        <v>3700</v>
      </c>
      <c r="C3603" s="9" t="s">
        <v>94</v>
      </c>
      <c r="D3603" s="9" t="s">
        <v>92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153</v>
      </c>
      <c r="B3604" s="9" t="s">
        <v>3701</v>
      </c>
      <c r="C3604" s="9" t="s">
        <v>94</v>
      </c>
      <c r="D3604" s="9" t="s">
        <v>92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153</v>
      </c>
      <c r="B3605" s="9" t="s">
        <v>3702</v>
      </c>
      <c r="C3605" s="9" t="s">
        <v>94</v>
      </c>
      <c r="D3605" s="9" t="s">
        <v>92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153</v>
      </c>
      <c r="B3606" s="9" t="s">
        <v>3703</v>
      </c>
      <c r="C3606" s="9" t="s">
        <v>94</v>
      </c>
      <c r="D3606" s="9" t="s">
        <v>92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153</v>
      </c>
      <c r="B3607" s="9" t="s">
        <v>3704</v>
      </c>
      <c r="C3607" s="9" t="s">
        <v>94</v>
      </c>
      <c r="D3607" s="9" t="s">
        <v>92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153</v>
      </c>
      <c r="B3608" s="9" t="s">
        <v>3705</v>
      </c>
      <c r="C3608" s="9" t="s">
        <v>94</v>
      </c>
      <c r="D3608" s="9" t="s">
        <v>92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153</v>
      </c>
      <c r="B3609" s="9" t="s">
        <v>3706</v>
      </c>
      <c r="C3609" s="9" t="s">
        <v>94</v>
      </c>
      <c r="D3609" s="9" t="s">
        <v>92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153</v>
      </c>
      <c r="B3610" s="9" t="s">
        <v>3707</v>
      </c>
      <c r="C3610" s="9" t="s">
        <v>94</v>
      </c>
      <c r="D3610" s="9" t="s">
        <v>92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153</v>
      </c>
      <c r="B3611" s="9" t="s">
        <v>3708</v>
      </c>
      <c r="C3611" s="9" t="s">
        <v>94</v>
      </c>
      <c r="D3611" s="9" t="s">
        <v>92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153</v>
      </c>
      <c r="B3612" s="9" t="s">
        <v>3709</v>
      </c>
      <c r="C3612" s="9" t="s">
        <v>94</v>
      </c>
      <c r="D3612" s="9" t="s">
        <v>92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153</v>
      </c>
      <c r="B3613" s="9" t="s">
        <v>3710</v>
      </c>
      <c r="C3613" s="9" t="s">
        <v>94</v>
      </c>
      <c r="D3613" s="9" t="s">
        <v>92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153</v>
      </c>
      <c r="B3614" s="9" t="s">
        <v>3711</v>
      </c>
      <c r="C3614" s="9" t="s">
        <v>94</v>
      </c>
      <c r="D3614" s="9" t="s">
        <v>92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153</v>
      </c>
      <c r="B3615" s="9" t="s">
        <v>3712</v>
      </c>
      <c r="C3615" s="9" t="s">
        <v>94</v>
      </c>
      <c r="D3615" s="9" t="s">
        <v>92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153</v>
      </c>
      <c r="B3616" s="9" t="s">
        <v>3713</v>
      </c>
      <c r="C3616" s="9" t="s">
        <v>94</v>
      </c>
      <c r="D3616" s="9" t="s">
        <v>92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153</v>
      </c>
      <c r="B3617" s="9" t="s">
        <v>3714</v>
      </c>
      <c r="C3617" s="9" t="s">
        <v>94</v>
      </c>
      <c r="D3617" s="9" t="s">
        <v>92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153</v>
      </c>
      <c r="B3618" s="9" t="s">
        <v>3715</v>
      </c>
      <c r="C3618" s="9" t="s">
        <v>94</v>
      </c>
      <c r="D3618" s="9" t="s">
        <v>92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153</v>
      </c>
      <c r="B3619" s="9" t="s">
        <v>3716</v>
      </c>
      <c r="C3619" s="9" t="s">
        <v>94</v>
      </c>
      <c r="D3619" s="9" t="s">
        <v>92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153</v>
      </c>
      <c r="B3620" s="9" t="s">
        <v>3717</v>
      </c>
      <c r="C3620" s="9" t="s">
        <v>94</v>
      </c>
      <c r="D3620" s="9" t="s">
        <v>92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153</v>
      </c>
      <c r="B3621" s="9" t="s">
        <v>3718</v>
      </c>
      <c r="C3621" s="9" t="s">
        <v>94</v>
      </c>
      <c r="D3621" s="9" t="s">
        <v>92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153</v>
      </c>
      <c r="B3622" s="9" t="s">
        <v>3719</v>
      </c>
      <c r="C3622" s="9" t="s">
        <v>94</v>
      </c>
      <c r="D3622" s="9" t="s">
        <v>92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153</v>
      </c>
      <c r="B3623" s="9" t="s">
        <v>3720</v>
      </c>
      <c r="C3623" s="9" t="s">
        <v>94</v>
      </c>
      <c r="D3623" s="9" t="s">
        <v>92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153</v>
      </c>
      <c r="B3624" s="9" t="s">
        <v>3721</v>
      </c>
      <c r="C3624" s="9" t="s">
        <v>94</v>
      </c>
      <c r="D3624" s="9" t="s">
        <v>92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153</v>
      </c>
      <c r="B3625" s="9" t="s">
        <v>3722</v>
      </c>
      <c r="C3625" s="9" t="s">
        <v>94</v>
      </c>
      <c r="D3625" s="9" t="s">
        <v>92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153</v>
      </c>
      <c r="B3626" s="9" t="s">
        <v>3723</v>
      </c>
      <c r="C3626" s="9" t="s">
        <v>94</v>
      </c>
      <c r="D3626" s="9" t="s">
        <v>92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153</v>
      </c>
      <c r="B3627" s="9" t="s">
        <v>3724</v>
      </c>
      <c r="C3627" s="9" t="s">
        <v>94</v>
      </c>
      <c r="D3627" s="9" t="s">
        <v>92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153</v>
      </c>
      <c r="B3628" s="9" t="s">
        <v>3725</v>
      </c>
      <c r="C3628" s="9" t="s">
        <v>94</v>
      </c>
      <c r="D3628" s="9" t="s">
        <v>92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153</v>
      </c>
      <c r="B3629" s="9" t="s">
        <v>3726</v>
      </c>
      <c r="C3629" s="9" t="s">
        <v>94</v>
      </c>
      <c r="D3629" s="9" t="s">
        <v>92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153</v>
      </c>
      <c r="B3630" s="9" t="s">
        <v>3727</v>
      </c>
      <c r="C3630" s="9" t="s">
        <v>94</v>
      </c>
      <c r="D3630" s="9" t="s">
        <v>92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153</v>
      </c>
      <c r="B3631" s="9" t="s">
        <v>3728</v>
      </c>
      <c r="C3631" s="9" t="s">
        <v>94</v>
      </c>
      <c r="D3631" s="9" t="s">
        <v>92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153</v>
      </c>
      <c r="B3632" s="9" t="s">
        <v>3729</v>
      </c>
      <c r="C3632" s="9" t="s">
        <v>94</v>
      </c>
      <c r="D3632" s="9" t="s">
        <v>92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153</v>
      </c>
      <c r="B3633" s="9" t="s">
        <v>3730</v>
      </c>
      <c r="C3633" s="9" t="s">
        <v>94</v>
      </c>
      <c r="D3633" s="9" t="s">
        <v>92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153</v>
      </c>
      <c r="B3634" s="9" t="s">
        <v>3731</v>
      </c>
      <c r="C3634" s="9" t="s">
        <v>94</v>
      </c>
      <c r="D3634" s="9" t="s">
        <v>92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153</v>
      </c>
      <c r="B3635" s="9" t="s">
        <v>3732</v>
      </c>
      <c r="C3635" s="9" t="s">
        <v>94</v>
      </c>
      <c r="D3635" s="9" t="s">
        <v>92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153</v>
      </c>
      <c r="B3636" s="9" t="s">
        <v>3733</v>
      </c>
      <c r="C3636" s="9" t="s">
        <v>94</v>
      </c>
      <c r="D3636" s="9" t="s">
        <v>92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153</v>
      </c>
      <c r="B3637" s="9" t="s">
        <v>3734</v>
      </c>
      <c r="C3637" s="9" t="s">
        <v>94</v>
      </c>
      <c r="D3637" s="9" t="s">
        <v>92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153</v>
      </c>
      <c r="B3638" s="9" t="s">
        <v>3735</v>
      </c>
      <c r="C3638" s="9" t="s">
        <v>94</v>
      </c>
      <c r="D3638" s="9" t="s">
        <v>92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153</v>
      </c>
      <c r="B3639" s="9" t="s">
        <v>3736</v>
      </c>
      <c r="C3639" s="9" t="s">
        <v>94</v>
      </c>
      <c r="D3639" s="9" t="s">
        <v>92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153</v>
      </c>
      <c r="B3640" s="9" t="s">
        <v>3737</v>
      </c>
      <c r="C3640" s="9" t="s">
        <v>94</v>
      </c>
      <c r="D3640" s="9" t="s">
        <v>92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153</v>
      </c>
      <c r="B3641" s="9" t="s">
        <v>3738</v>
      </c>
      <c r="C3641" s="9" t="s">
        <v>94</v>
      </c>
      <c r="D3641" s="9" t="s">
        <v>92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153</v>
      </c>
      <c r="B3642" s="9" t="s">
        <v>3739</v>
      </c>
      <c r="C3642" s="9" t="s">
        <v>94</v>
      </c>
      <c r="D3642" s="9" t="s">
        <v>92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153</v>
      </c>
      <c r="B3643" s="9" t="s">
        <v>3740</v>
      </c>
      <c r="C3643" s="9" t="s">
        <v>94</v>
      </c>
      <c r="D3643" s="9" t="s">
        <v>92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153</v>
      </c>
      <c r="B3644" s="9" t="s">
        <v>3741</v>
      </c>
      <c r="C3644" s="9" t="s">
        <v>94</v>
      </c>
      <c r="D3644" s="9" t="s">
        <v>92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153</v>
      </c>
      <c r="B3645" s="9" t="s">
        <v>3742</v>
      </c>
      <c r="C3645" s="9" t="s">
        <v>94</v>
      </c>
      <c r="D3645" s="9" t="s">
        <v>92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153</v>
      </c>
      <c r="B3646" s="9" t="s">
        <v>3743</v>
      </c>
      <c r="C3646" s="9" t="s">
        <v>94</v>
      </c>
      <c r="D3646" s="9" t="s">
        <v>92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153</v>
      </c>
      <c r="B3647" s="9" t="s">
        <v>3744</v>
      </c>
      <c r="C3647" s="9" t="s">
        <v>94</v>
      </c>
      <c r="D3647" s="9" t="s">
        <v>92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153</v>
      </c>
      <c r="B3648" s="9" t="s">
        <v>3745</v>
      </c>
      <c r="C3648" s="9" t="s">
        <v>94</v>
      </c>
      <c r="D3648" s="9" t="s">
        <v>92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153</v>
      </c>
      <c r="B3649" s="9" t="s">
        <v>3746</v>
      </c>
      <c r="C3649" s="9" t="s">
        <v>94</v>
      </c>
      <c r="D3649" s="9" t="s">
        <v>92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153</v>
      </c>
      <c r="B3650" s="9" t="s">
        <v>3747</v>
      </c>
      <c r="C3650" s="9" t="s">
        <v>94</v>
      </c>
      <c r="D3650" s="9" t="s">
        <v>92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153</v>
      </c>
      <c r="B3651" s="9" t="s">
        <v>3748</v>
      </c>
      <c r="C3651" s="9" t="s">
        <v>94</v>
      </c>
      <c r="D3651" s="9" t="s">
        <v>92</v>
      </c>
      <c r="E3651" s="9" t="s">
        <v>0</v>
      </c>
      <c r="F3651" s="27"/>
      <c r="G3651" s="24"/>
      <c r="H3651" s="24"/>
      <c r="I3651" s="28"/>
      <c r="J3651" s="27">
        <v>0</v>
      </c>
      <c r="K3651" s="24"/>
      <c r="L3651" s="24"/>
      <c r="M3651" s="28">
        <v>0</v>
      </c>
      <c r="N3651" s="27">
        <v>0</v>
      </c>
      <c r="O3651" s="10"/>
      <c r="P3651" s="10"/>
      <c r="Q3651" s="10"/>
      <c r="R3651" s="10"/>
      <c r="S3651" s="10"/>
      <c r="T3651" s="10"/>
      <c r="U3651" s="29">
        <v>0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153</v>
      </c>
      <c r="B3652" s="9" t="s">
        <v>3749</v>
      </c>
      <c r="C3652" s="9" t="s">
        <v>94</v>
      </c>
      <c r="D3652" s="9" t="s">
        <v>92</v>
      </c>
      <c r="E3652" s="9" t="s">
        <v>0</v>
      </c>
      <c r="F3652" s="27"/>
      <c r="G3652" s="24"/>
      <c r="H3652" s="24"/>
      <c r="I3652" s="28"/>
      <c r="J3652" s="27">
        <v>0</v>
      </c>
      <c r="K3652" s="24"/>
      <c r="L3652" s="24"/>
      <c r="M3652" s="28">
        <v>0</v>
      </c>
      <c r="N3652" s="27">
        <v>0</v>
      </c>
      <c r="O3652" s="10"/>
      <c r="P3652" s="10"/>
      <c r="Q3652" s="10"/>
      <c r="R3652" s="10"/>
      <c r="S3652" s="10"/>
      <c r="T3652" s="10"/>
      <c r="U3652" s="29">
        <v>0</v>
      </c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153</v>
      </c>
      <c r="B3653" s="9" t="s">
        <v>3750</v>
      </c>
      <c r="C3653" s="9" t="s">
        <v>94</v>
      </c>
      <c r="D3653" s="9" t="s">
        <v>92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153</v>
      </c>
      <c r="B3654" s="9" t="s">
        <v>3751</v>
      </c>
      <c r="C3654" s="9" t="s">
        <v>94</v>
      </c>
      <c r="D3654" s="9" t="s">
        <v>92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153</v>
      </c>
      <c r="B3655" s="9" t="s">
        <v>3752</v>
      </c>
      <c r="C3655" s="9" t="s">
        <v>94</v>
      </c>
      <c r="D3655" s="9" t="s">
        <v>92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153</v>
      </c>
      <c r="B3656" s="9" t="s">
        <v>3753</v>
      </c>
      <c r="C3656" s="9" t="s">
        <v>94</v>
      </c>
      <c r="D3656" s="9" t="s">
        <v>92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153</v>
      </c>
      <c r="B3657" s="9" t="s">
        <v>3754</v>
      </c>
      <c r="C3657" s="9" t="s">
        <v>94</v>
      </c>
      <c r="D3657" s="9" t="s">
        <v>92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153</v>
      </c>
      <c r="B3658" s="9" t="s">
        <v>3755</v>
      </c>
      <c r="C3658" s="9" t="s">
        <v>94</v>
      </c>
      <c r="D3658" s="9" t="s">
        <v>92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153</v>
      </c>
      <c r="B3659" s="9" t="s">
        <v>3756</v>
      </c>
      <c r="C3659" s="9" t="s">
        <v>94</v>
      </c>
      <c r="D3659" s="9" t="s">
        <v>92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153</v>
      </c>
      <c r="B3660" s="9" t="s">
        <v>3757</v>
      </c>
      <c r="C3660" s="9" t="s">
        <v>94</v>
      </c>
      <c r="D3660" s="9" t="s">
        <v>92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153</v>
      </c>
      <c r="B3661" s="9" t="s">
        <v>3758</v>
      </c>
      <c r="C3661" s="9" t="s">
        <v>94</v>
      </c>
      <c r="D3661" s="9" t="s">
        <v>92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153</v>
      </c>
      <c r="B3662" s="9" t="s">
        <v>3759</v>
      </c>
      <c r="C3662" s="9" t="s">
        <v>94</v>
      </c>
      <c r="D3662" s="9" t="s">
        <v>92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153</v>
      </c>
      <c r="B3663" s="9" t="s">
        <v>3760</v>
      </c>
      <c r="C3663" s="9" t="s">
        <v>94</v>
      </c>
      <c r="D3663" s="9" t="s">
        <v>92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153</v>
      </c>
      <c r="B3664" s="9" t="s">
        <v>3761</v>
      </c>
      <c r="C3664" s="9" t="s">
        <v>94</v>
      </c>
      <c r="D3664" s="9" t="s">
        <v>92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153</v>
      </c>
      <c r="B3665" s="9" t="s">
        <v>3762</v>
      </c>
      <c r="C3665" s="9" t="s">
        <v>94</v>
      </c>
      <c r="D3665" s="9" t="s">
        <v>92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153</v>
      </c>
      <c r="B3666" s="9" t="s">
        <v>3763</v>
      </c>
      <c r="C3666" s="9" t="s">
        <v>94</v>
      </c>
      <c r="D3666" s="9" t="s">
        <v>92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153</v>
      </c>
      <c r="B3667" s="9" t="s">
        <v>3764</v>
      </c>
      <c r="C3667" s="9" t="s">
        <v>94</v>
      </c>
      <c r="D3667" s="9" t="s">
        <v>92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153</v>
      </c>
      <c r="B3668" s="9" t="s">
        <v>3765</v>
      </c>
      <c r="C3668" s="9" t="s">
        <v>94</v>
      </c>
      <c r="D3668" s="9" t="s">
        <v>92</v>
      </c>
      <c r="E3668" s="9" t="s">
        <v>0</v>
      </c>
      <c r="F3668" s="27"/>
      <c r="G3668" s="24"/>
      <c r="H3668" s="24"/>
      <c r="I3668" s="28"/>
      <c r="J3668" s="27">
        <v>0</v>
      </c>
      <c r="K3668" s="24"/>
      <c r="L3668" s="24"/>
      <c r="M3668" s="28">
        <v>0</v>
      </c>
      <c r="N3668" s="27">
        <v>0</v>
      </c>
      <c r="O3668" s="10"/>
      <c r="P3668" s="10"/>
      <c r="Q3668" s="10"/>
      <c r="R3668" s="10"/>
      <c r="S3668" s="10"/>
      <c r="T3668" s="10"/>
      <c r="U3668" s="29">
        <v>0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153</v>
      </c>
      <c r="B3669" s="9" t="s">
        <v>3766</v>
      </c>
      <c r="C3669" s="9" t="s">
        <v>94</v>
      </c>
      <c r="D3669" s="9" t="s">
        <v>92</v>
      </c>
      <c r="E3669" s="9" t="s">
        <v>0</v>
      </c>
      <c r="F3669" s="27"/>
      <c r="G3669" s="24"/>
      <c r="H3669" s="24"/>
      <c r="I3669" s="28"/>
      <c r="J3669" s="27">
        <v>0</v>
      </c>
      <c r="K3669" s="24"/>
      <c r="L3669" s="24"/>
      <c r="M3669" s="28">
        <v>0</v>
      </c>
      <c r="N3669" s="27">
        <v>0</v>
      </c>
      <c r="O3669" s="10"/>
      <c r="P3669" s="10"/>
      <c r="Q3669" s="10"/>
      <c r="R3669" s="10"/>
      <c r="S3669" s="10"/>
      <c r="T3669" s="10"/>
      <c r="U3669" s="29">
        <v>0</v>
      </c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153</v>
      </c>
      <c r="B3670" s="9" t="s">
        <v>3767</v>
      </c>
      <c r="C3670" s="9" t="s">
        <v>94</v>
      </c>
      <c r="D3670" s="9" t="s">
        <v>92</v>
      </c>
      <c r="E3670" s="9" t="s">
        <v>0</v>
      </c>
      <c r="F3670" s="27"/>
      <c r="G3670" s="24"/>
      <c r="H3670" s="24"/>
      <c r="I3670" s="28"/>
      <c r="J3670" s="27">
        <v>0</v>
      </c>
      <c r="K3670" s="24"/>
      <c r="L3670" s="24"/>
      <c r="M3670" s="28">
        <v>0</v>
      </c>
      <c r="N3670" s="27">
        <v>0</v>
      </c>
      <c r="O3670" s="10"/>
      <c r="P3670" s="10"/>
      <c r="Q3670" s="10"/>
      <c r="R3670" s="10"/>
      <c r="S3670" s="10"/>
      <c r="T3670" s="10"/>
      <c r="U3670" s="29">
        <v>0</v>
      </c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153</v>
      </c>
      <c r="B3671" s="9" t="s">
        <v>3768</v>
      </c>
      <c r="C3671" s="9" t="s">
        <v>94</v>
      </c>
      <c r="D3671" s="9" t="s">
        <v>92</v>
      </c>
      <c r="E3671" s="9" t="s">
        <v>0</v>
      </c>
      <c r="F3671" s="27"/>
      <c r="G3671" s="24"/>
      <c r="H3671" s="24"/>
      <c r="I3671" s="28"/>
      <c r="J3671" s="27">
        <v>0</v>
      </c>
      <c r="K3671" s="24"/>
      <c r="L3671" s="24"/>
      <c r="M3671" s="28">
        <v>0</v>
      </c>
      <c r="N3671" s="27">
        <v>0</v>
      </c>
      <c r="O3671" s="10"/>
      <c r="P3671" s="10"/>
      <c r="Q3671" s="10"/>
      <c r="R3671" s="10"/>
      <c r="S3671" s="10"/>
      <c r="T3671" s="10"/>
      <c r="U3671" s="29">
        <v>0</v>
      </c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153</v>
      </c>
      <c r="B3672" s="9" t="s">
        <v>3769</v>
      </c>
      <c r="C3672" s="9" t="s">
        <v>94</v>
      </c>
      <c r="D3672" s="9" t="s">
        <v>92</v>
      </c>
      <c r="E3672" s="9" t="s">
        <v>0</v>
      </c>
      <c r="F3672" s="27"/>
      <c r="G3672" s="24"/>
      <c r="H3672" s="24"/>
      <c r="I3672" s="28"/>
      <c r="J3672" s="27">
        <v>0</v>
      </c>
      <c r="K3672" s="24"/>
      <c r="L3672" s="24"/>
      <c r="M3672" s="28">
        <v>0</v>
      </c>
      <c r="N3672" s="27">
        <v>0</v>
      </c>
      <c r="O3672" s="10"/>
      <c r="P3672" s="10"/>
      <c r="Q3672" s="10"/>
      <c r="R3672" s="10"/>
      <c r="S3672" s="10"/>
      <c r="T3672" s="10"/>
      <c r="U3672" s="29">
        <v>0</v>
      </c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153</v>
      </c>
      <c r="B3673" s="9" t="s">
        <v>3770</v>
      </c>
      <c r="C3673" s="9" t="s">
        <v>94</v>
      </c>
      <c r="D3673" s="9" t="s">
        <v>92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153</v>
      </c>
      <c r="B3674" s="9" t="s">
        <v>3771</v>
      </c>
      <c r="C3674" s="9" t="s">
        <v>94</v>
      </c>
      <c r="D3674" s="9" t="s">
        <v>92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153</v>
      </c>
      <c r="B3675" s="9" t="s">
        <v>3772</v>
      </c>
      <c r="C3675" s="9" t="s">
        <v>94</v>
      </c>
      <c r="D3675" s="9" t="s">
        <v>92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153</v>
      </c>
      <c r="B3676" s="9" t="s">
        <v>3773</v>
      </c>
      <c r="C3676" s="9" t="s">
        <v>94</v>
      </c>
      <c r="D3676" s="9" t="s">
        <v>92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153</v>
      </c>
      <c r="B3677" s="9" t="s">
        <v>3774</v>
      </c>
      <c r="C3677" s="9" t="s">
        <v>94</v>
      </c>
      <c r="D3677" s="9" t="s">
        <v>92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153</v>
      </c>
      <c r="B3678" s="9" t="s">
        <v>3775</v>
      </c>
      <c r="C3678" s="9" t="s">
        <v>94</v>
      </c>
      <c r="D3678" s="9" t="s">
        <v>92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153</v>
      </c>
      <c r="B3679" s="9" t="s">
        <v>3776</v>
      </c>
      <c r="C3679" s="9" t="s">
        <v>94</v>
      </c>
      <c r="D3679" s="9" t="s">
        <v>92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153</v>
      </c>
      <c r="B3680" s="9" t="s">
        <v>3777</v>
      </c>
      <c r="C3680" s="9" t="s">
        <v>94</v>
      </c>
      <c r="D3680" s="9" t="s">
        <v>92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153</v>
      </c>
      <c r="B3681" s="9" t="s">
        <v>3778</v>
      </c>
      <c r="C3681" s="9" t="s">
        <v>94</v>
      </c>
      <c r="D3681" s="9" t="s">
        <v>92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153</v>
      </c>
      <c r="B3682" s="9" t="s">
        <v>3779</v>
      </c>
      <c r="C3682" s="9" t="s">
        <v>94</v>
      </c>
      <c r="D3682" s="9" t="s">
        <v>92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153</v>
      </c>
      <c r="B3683" s="9" t="s">
        <v>3780</v>
      </c>
      <c r="C3683" s="9" t="s">
        <v>94</v>
      </c>
      <c r="D3683" s="9" t="s">
        <v>92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153</v>
      </c>
      <c r="B3684" s="9" t="s">
        <v>3781</v>
      </c>
      <c r="C3684" s="9" t="s">
        <v>94</v>
      </c>
      <c r="D3684" s="9" t="s">
        <v>92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153</v>
      </c>
      <c r="B3685" s="9" t="s">
        <v>3782</v>
      </c>
      <c r="C3685" s="9" t="s">
        <v>94</v>
      </c>
      <c r="D3685" s="9" t="s">
        <v>92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153</v>
      </c>
      <c r="B3686" s="9" t="s">
        <v>3783</v>
      </c>
      <c r="C3686" s="9" t="s">
        <v>94</v>
      </c>
      <c r="D3686" s="9" t="s">
        <v>92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153</v>
      </c>
      <c r="B3687" s="9" t="s">
        <v>3784</v>
      </c>
      <c r="C3687" s="9" t="s">
        <v>94</v>
      </c>
      <c r="D3687" s="9" t="s">
        <v>92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153</v>
      </c>
      <c r="B3688" s="9" t="s">
        <v>3785</v>
      </c>
      <c r="C3688" s="9" t="s">
        <v>94</v>
      </c>
      <c r="D3688" s="9" t="s">
        <v>92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153</v>
      </c>
      <c r="B3689" s="9" t="s">
        <v>3786</v>
      </c>
      <c r="C3689" s="9" t="s">
        <v>94</v>
      </c>
      <c r="D3689" s="9" t="s">
        <v>92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153</v>
      </c>
      <c r="B3690" s="9" t="s">
        <v>3787</v>
      </c>
      <c r="C3690" s="9" t="s">
        <v>94</v>
      </c>
      <c r="D3690" s="9" t="s">
        <v>92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153</v>
      </c>
      <c r="B3691" s="9" t="s">
        <v>3788</v>
      </c>
      <c r="C3691" s="9" t="s">
        <v>94</v>
      </c>
      <c r="D3691" s="9" t="s">
        <v>92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153</v>
      </c>
      <c r="B3692" s="9" t="s">
        <v>3789</v>
      </c>
      <c r="C3692" s="9" t="s">
        <v>94</v>
      </c>
      <c r="D3692" s="9" t="s">
        <v>92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153</v>
      </c>
      <c r="B3693" s="9" t="s">
        <v>3790</v>
      </c>
      <c r="C3693" s="9" t="s">
        <v>94</v>
      </c>
      <c r="D3693" s="9" t="s">
        <v>92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153</v>
      </c>
      <c r="B3694" s="9" t="s">
        <v>3791</v>
      </c>
      <c r="C3694" s="9" t="s">
        <v>94</v>
      </c>
      <c r="D3694" s="9" t="s">
        <v>92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153</v>
      </c>
      <c r="B3695" s="9" t="s">
        <v>3792</v>
      </c>
      <c r="C3695" s="9" t="s">
        <v>94</v>
      </c>
      <c r="D3695" s="9" t="s">
        <v>92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153</v>
      </c>
      <c r="B3696" s="9" t="s">
        <v>3793</v>
      </c>
      <c r="C3696" s="9" t="s">
        <v>94</v>
      </c>
      <c r="D3696" s="9" t="s">
        <v>92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153</v>
      </c>
      <c r="B3697" s="9" t="s">
        <v>3794</v>
      </c>
      <c r="C3697" s="9" t="s">
        <v>94</v>
      </c>
      <c r="D3697" s="9" t="s">
        <v>92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153</v>
      </c>
      <c r="B3698" s="9" t="s">
        <v>3795</v>
      </c>
      <c r="C3698" s="9" t="s">
        <v>94</v>
      </c>
      <c r="D3698" s="9" t="s">
        <v>92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153</v>
      </c>
      <c r="B3699" s="9" t="s">
        <v>3796</v>
      </c>
      <c r="C3699" s="9" t="s">
        <v>94</v>
      </c>
      <c r="D3699" s="9" t="s">
        <v>92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153</v>
      </c>
      <c r="B3700" s="9" t="s">
        <v>3797</v>
      </c>
      <c r="C3700" s="9" t="s">
        <v>94</v>
      </c>
      <c r="D3700" s="9" t="s">
        <v>92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153</v>
      </c>
      <c r="B3701" s="9" t="s">
        <v>3798</v>
      </c>
      <c r="C3701" s="9" t="s">
        <v>94</v>
      </c>
      <c r="D3701" s="9" t="s">
        <v>92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153</v>
      </c>
      <c r="B3702" s="9" t="s">
        <v>3799</v>
      </c>
      <c r="C3702" s="9" t="s">
        <v>94</v>
      </c>
      <c r="D3702" s="9" t="s">
        <v>92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153</v>
      </c>
      <c r="B3703" s="9" t="s">
        <v>3800</v>
      </c>
      <c r="C3703" s="9" t="s">
        <v>94</v>
      </c>
      <c r="D3703" s="9" t="s">
        <v>92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153</v>
      </c>
      <c r="B3704" s="9" t="s">
        <v>3801</v>
      </c>
      <c r="C3704" s="9" t="s">
        <v>94</v>
      </c>
      <c r="D3704" s="9" t="s">
        <v>92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153</v>
      </c>
      <c r="B3705" s="9" t="s">
        <v>3802</v>
      </c>
      <c r="C3705" s="9" t="s">
        <v>94</v>
      </c>
      <c r="D3705" s="9" t="s">
        <v>92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153</v>
      </c>
      <c r="B3706" s="9" t="s">
        <v>3803</v>
      </c>
      <c r="C3706" s="9" t="s">
        <v>94</v>
      </c>
      <c r="D3706" s="9" t="s">
        <v>92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153</v>
      </c>
      <c r="B3707" s="9" t="s">
        <v>3804</v>
      </c>
      <c r="C3707" s="9" t="s">
        <v>94</v>
      </c>
      <c r="D3707" s="9" t="s">
        <v>92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153</v>
      </c>
      <c r="B3708" s="9" t="s">
        <v>3805</v>
      </c>
      <c r="C3708" s="9" t="s">
        <v>94</v>
      </c>
      <c r="D3708" s="9" t="s">
        <v>92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153</v>
      </c>
      <c r="B3709" s="9" t="s">
        <v>3806</v>
      </c>
      <c r="C3709" s="9" t="s">
        <v>94</v>
      </c>
      <c r="D3709" s="9" t="s">
        <v>92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153</v>
      </c>
      <c r="B3710" s="9" t="s">
        <v>3807</v>
      </c>
      <c r="C3710" s="9" t="s">
        <v>94</v>
      </c>
      <c r="D3710" s="9" t="s">
        <v>92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153</v>
      </c>
      <c r="B3711" s="9" t="s">
        <v>3808</v>
      </c>
      <c r="C3711" s="9" t="s">
        <v>94</v>
      </c>
      <c r="D3711" s="9" t="s">
        <v>92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153</v>
      </c>
      <c r="B3712" s="9" t="s">
        <v>3809</v>
      </c>
      <c r="C3712" s="9" t="s">
        <v>94</v>
      </c>
      <c r="D3712" s="9" t="s">
        <v>92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153</v>
      </c>
      <c r="B3713" s="9" t="s">
        <v>3810</v>
      </c>
      <c r="C3713" s="9" t="s">
        <v>94</v>
      </c>
      <c r="D3713" s="9" t="s">
        <v>92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153</v>
      </c>
      <c r="B3714" s="9" t="s">
        <v>3811</v>
      </c>
      <c r="C3714" s="9" t="s">
        <v>94</v>
      </c>
      <c r="D3714" s="9" t="s">
        <v>92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153</v>
      </c>
      <c r="B3715" s="9" t="s">
        <v>3812</v>
      </c>
      <c r="C3715" s="9" t="s">
        <v>94</v>
      </c>
      <c r="D3715" s="9" t="s">
        <v>92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153</v>
      </c>
      <c r="B3716" s="9" t="s">
        <v>3813</v>
      </c>
      <c r="C3716" s="9" t="s">
        <v>94</v>
      </c>
      <c r="D3716" s="9" t="s">
        <v>92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153</v>
      </c>
      <c r="B3717" s="9" t="s">
        <v>3814</v>
      </c>
      <c r="C3717" s="9" t="s">
        <v>94</v>
      </c>
      <c r="D3717" s="9" t="s">
        <v>92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153</v>
      </c>
      <c r="B3718" s="9" t="s">
        <v>3815</v>
      </c>
      <c r="C3718" s="9" t="s">
        <v>94</v>
      </c>
      <c r="D3718" s="9" t="s">
        <v>92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153</v>
      </c>
      <c r="B3719" s="9" t="s">
        <v>3816</v>
      </c>
      <c r="C3719" s="9" t="s">
        <v>94</v>
      </c>
      <c r="D3719" s="9" t="s">
        <v>92</v>
      </c>
      <c r="E3719" s="9" t="s">
        <v>0</v>
      </c>
      <c r="F3719" s="27"/>
      <c r="G3719" s="24"/>
      <c r="H3719" s="24"/>
      <c r="I3719" s="28"/>
      <c r="J3719" s="27">
        <v>0</v>
      </c>
      <c r="K3719" s="24"/>
      <c r="L3719" s="24"/>
      <c r="M3719" s="28">
        <v>0</v>
      </c>
      <c r="N3719" s="27">
        <v>0</v>
      </c>
      <c r="O3719" s="10"/>
      <c r="P3719" s="10"/>
      <c r="Q3719" s="10"/>
      <c r="R3719" s="10"/>
      <c r="S3719" s="10"/>
      <c r="T3719" s="10"/>
      <c r="U3719" s="29">
        <v>0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153</v>
      </c>
      <c r="B3720" s="9" t="s">
        <v>3817</v>
      </c>
      <c r="C3720" s="9" t="s">
        <v>94</v>
      </c>
      <c r="D3720" s="9" t="s">
        <v>92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153</v>
      </c>
      <c r="B3721" s="9" t="s">
        <v>3818</v>
      </c>
      <c r="C3721" s="9" t="s">
        <v>94</v>
      </c>
      <c r="D3721" s="9" t="s">
        <v>92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153</v>
      </c>
      <c r="B3722" s="9" t="s">
        <v>3819</v>
      </c>
      <c r="C3722" s="9" t="s">
        <v>94</v>
      </c>
      <c r="D3722" s="9" t="s">
        <v>92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153</v>
      </c>
      <c r="B3723" s="9" t="s">
        <v>3820</v>
      </c>
      <c r="C3723" s="9" t="s">
        <v>94</v>
      </c>
      <c r="D3723" s="9" t="s">
        <v>92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153</v>
      </c>
      <c r="B3724" s="9" t="s">
        <v>3821</v>
      </c>
      <c r="C3724" s="9" t="s">
        <v>94</v>
      </c>
      <c r="D3724" s="9" t="s">
        <v>92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153</v>
      </c>
      <c r="B3725" s="9" t="s">
        <v>3822</v>
      </c>
      <c r="C3725" s="9" t="s">
        <v>94</v>
      </c>
      <c r="D3725" s="9" t="s">
        <v>92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153</v>
      </c>
      <c r="B3726" s="9" t="s">
        <v>3823</v>
      </c>
      <c r="C3726" s="9" t="s">
        <v>94</v>
      </c>
      <c r="D3726" s="9" t="s">
        <v>92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153</v>
      </c>
      <c r="B3727" s="9" t="s">
        <v>3824</v>
      </c>
      <c r="C3727" s="9" t="s">
        <v>94</v>
      </c>
      <c r="D3727" s="9" t="s">
        <v>92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153</v>
      </c>
      <c r="B3728" s="9" t="s">
        <v>3825</v>
      </c>
      <c r="C3728" s="9" t="s">
        <v>94</v>
      </c>
      <c r="D3728" s="9" t="s">
        <v>92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153</v>
      </c>
      <c r="B3729" s="9" t="s">
        <v>3826</v>
      </c>
      <c r="C3729" s="9" t="s">
        <v>94</v>
      </c>
      <c r="D3729" s="9" t="s">
        <v>92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153</v>
      </c>
      <c r="B3730" s="9" t="s">
        <v>3827</v>
      </c>
      <c r="C3730" s="9" t="s">
        <v>94</v>
      </c>
      <c r="D3730" s="9" t="s">
        <v>92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153</v>
      </c>
      <c r="B3731" s="9" t="s">
        <v>3828</v>
      </c>
      <c r="C3731" s="9" t="s">
        <v>94</v>
      </c>
      <c r="D3731" s="9" t="s">
        <v>92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153</v>
      </c>
      <c r="B3732" s="9" t="s">
        <v>3829</v>
      </c>
      <c r="C3732" s="9" t="s">
        <v>94</v>
      </c>
      <c r="D3732" s="9" t="s">
        <v>92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153</v>
      </c>
      <c r="B3733" s="9" t="s">
        <v>3830</v>
      </c>
      <c r="C3733" s="9" t="s">
        <v>94</v>
      </c>
      <c r="D3733" s="9" t="s">
        <v>92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153</v>
      </c>
      <c r="B3734" s="9" t="s">
        <v>3831</v>
      </c>
      <c r="C3734" s="9" t="s">
        <v>94</v>
      </c>
      <c r="D3734" s="9" t="s">
        <v>92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153</v>
      </c>
      <c r="B3735" s="9" t="s">
        <v>3832</v>
      </c>
      <c r="C3735" s="9" t="s">
        <v>94</v>
      </c>
      <c r="D3735" s="9" t="s">
        <v>92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153</v>
      </c>
      <c r="B3736" s="9" t="s">
        <v>3833</v>
      </c>
      <c r="C3736" s="9" t="s">
        <v>94</v>
      </c>
      <c r="D3736" s="9" t="s">
        <v>92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153</v>
      </c>
      <c r="B3737" s="9" t="s">
        <v>3834</v>
      </c>
      <c r="C3737" s="9" t="s">
        <v>94</v>
      </c>
      <c r="D3737" s="9" t="s">
        <v>92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153</v>
      </c>
      <c r="B3738" s="9" t="s">
        <v>3835</v>
      </c>
      <c r="C3738" s="9" t="s">
        <v>94</v>
      </c>
      <c r="D3738" s="9" t="s">
        <v>92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153</v>
      </c>
      <c r="B3739" s="9" t="s">
        <v>3836</v>
      </c>
      <c r="C3739" s="9" t="s">
        <v>94</v>
      </c>
      <c r="D3739" s="9" t="s">
        <v>92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153</v>
      </c>
      <c r="B3740" s="9" t="s">
        <v>3837</v>
      </c>
      <c r="C3740" s="9" t="s">
        <v>94</v>
      </c>
      <c r="D3740" s="9" t="s">
        <v>92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153</v>
      </c>
      <c r="B3741" s="9" t="s">
        <v>3838</v>
      </c>
      <c r="C3741" s="9" t="s">
        <v>94</v>
      </c>
      <c r="D3741" s="9" t="s">
        <v>92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153</v>
      </c>
      <c r="B3742" s="9" t="s">
        <v>3839</v>
      </c>
      <c r="C3742" s="9" t="s">
        <v>94</v>
      </c>
      <c r="D3742" s="9" t="s">
        <v>92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153</v>
      </c>
      <c r="B3743" s="9" t="s">
        <v>3840</v>
      </c>
      <c r="C3743" s="9" t="s">
        <v>94</v>
      </c>
      <c r="D3743" s="9" t="s">
        <v>92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153</v>
      </c>
      <c r="B3744" s="9" t="s">
        <v>3841</v>
      </c>
      <c r="C3744" s="9" t="s">
        <v>94</v>
      </c>
      <c r="D3744" s="9" t="s">
        <v>92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153</v>
      </c>
      <c r="B3745" s="9" t="s">
        <v>3842</v>
      </c>
      <c r="C3745" s="9" t="s">
        <v>94</v>
      </c>
      <c r="D3745" s="9" t="s">
        <v>92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153</v>
      </c>
      <c r="B3746" s="9" t="s">
        <v>3843</v>
      </c>
      <c r="C3746" s="9" t="s">
        <v>94</v>
      </c>
      <c r="D3746" s="9" t="s">
        <v>92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153</v>
      </c>
      <c r="B3747" s="9" t="s">
        <v>3844</v>
      </c>
      <c r="C3747" s="9" t="s">
        <v>94</v>
      </c>
      <c r="D3747" s="9" t="s">
        <v>92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153</v>
      </c>
      <c r="B3748" s="9" t="s">
        <v>3845</v>
      </c>
      <c r="C3748" s="9" t="s">
        <v>94</v>
      </c>
      <c r="D3748" s="9" t="s">
        <v>92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153</v>
      </c>
      <c r="B3749" s="9" t="s">
        <v>3846</v>
      </c>
      <c r="C3749" s="9" t="s">
        <v>94</v>
      </c>
      <c r="D3749" s="9" t="s">
        <v>92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153</v>
      </c>
      <c r="B3750" s="9" t="s">
        <v>3847</v>
      </c>
      <c r="C3750" s="9" t="s">
        <v>94</v>
      </c>
      <c r="D3750" s="9" t="s">
        <v>92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153</v>
      </c>
      <c r="B3751" s="9" t="s">
        <v>3848</v>
      </c>
      <c r="C3751" s="9" t="s">
        <v>94</v>
      </c>
      <c r="D3751" s="9" t="s">
        <v>92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153</v>
      </c>
      <c r="B3752" s="9" t="s">
        <v>3849</v>
      </c>
      <c r="C3752" s="9" t="s">
        <v>94</v>
      </c>
      <c r="D3752" s="9" t="s">
        <v>92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153</v>
      </c>
      <c r="B3753" s="9" t="s">
        <v>3850</v>
      </c>
      <c r="C3753" s="9" t="s">
        <v>94</v>
      </c>
      <c r="D3753" s="9" t="s">
        <v>92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153</v>
      </c>
      <c r="B3754" s="9" t="s">
        <v>3851</v>
      </c>
      <c r="C3754" s="9" t="s">
        <v>94</v>
      </c>
      <c r="D3754" s="9" t="s">
        <v>92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153</v>
      </c>
      <c r="B3755" s="9" t="s">
        <v>3852</v>
      </c>
      <c r="C3755" s="9" t="s">
        <v>94</v>
      </c>
      <c r="D3755" s="9" t="s">
        <v>92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153</v>
      </c>
      <c r="B3756" s="9" t="s">
        <v>3853</v>
      </c>
      <c r="C3756" s="9" t="s">
        <v>94</v>
      </c>
      <c r="D3756" s="9" t="s">
        <v>92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153</v>
      </c>
      <c r="B3757" s="9" t="s">
        <v>3854</v>
      </c>
      <c r="C3757" s="9" t="s">
        <v>94</v>
      </c>
      <c r="D3757" s="9" t="s">
        <v>92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153</v>
      </c>
      <c r="B3758" s="9" t="s">
        <v>3855</v>
      </c>
      <c r="C3758" s="9" t="s">
        <v>94</v>
      </c>
      <c r="D3758" s="9" t="s">
        <v>92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153</v>
      </c>
      <c r="B3759" s="9" t="s">
        <v>3856</v>
      </c>
      <c r="C3759" s="9" t="s">
        <v>94</v>
      </c>
      <c r="D3759" s="9" t="s">
        <v>92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153</v>
      </c>
      <c r="B3760" s="9" t="s">
        <v>3857</v>
      </c>
      <c r="C3760" s="9" t="s">
        <v>94</v>
      </c>
      <c r="D3760" s="9" t="s">
        <v>92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153</v>
      </c>
      <c r="B3761" s="9" t="s">
        <v>3858</v>
      </c>
      <c r="C3761" s="9" t="s">
        <v>94</v>
      </c>
      <c r="D3761" s="9" t="s">
        <v>92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153</v>
      </c>
      <c r="B3762" s="9" t="s">
        <v>3859</v>
      </c>
      <c r="C3762" s="9" t="s">
        <v>94</v>
      </c>
      <c r="D3762" s="9" t="s">
        <v>92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153</v>
      </c>
      <c r="B3763" s="9" t="s">
        <v>3860</v>
      </c>
      <c r="C3763" s="9" t="s">
        <v>94</v>
      </c>
      <c r="D3763" s="9" t="s">
        <v>92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153</v>
      </c>
      <c r="B3764" s="9" t="s">
        <v>3861</v>
      </c>
      <c r="C3764" s="9" t="s">
        <v>94</v>
      </c>
      <c r="D3764" s="9" t="s">
        <v>92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153</v>
      </c>
      <c r="B3765" s="9" t="s">
        <v>3862</v>
      </c>
      <c r="C3765" s="9" t="s">
        <v>94</v>
      </c>
      <c r="D3765" s="9" t="s">
        <v>92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153</v>
      </c>
      <c r="B3766" s="9" t="s">
        <v>3863</v>
      </c>
      <c r="C3766" s="9" t="s">
        <v>94</v>
      </c>
      <c r="D3766" s="9" t="s">
        <v>92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153</v>
      </c>
      <c r="B3767" s="9" t="s">
        <v>3864</v>
      </c>
      <c r="C3767" s="9" t="s">
        <v>94</v>
      </c>
      <c r="D3767" s="9" t="s">
        <v>92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153</v>
      </c>
      <c r="B3768" s="9" t="s">
        <v>3865</v>
      </c>
      <c r="C3768" s="9" t="s">
        <v>94</v>
      </c>
      <c r="D3768" s="9" t="s">
        <v>92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153</v>
      </c>
      <c r="B3769" s="9" t="s">
        <v>3866</v>
      </c>
      <c r="C3769" s="9" t="s">
        <v>94</v>
      </c>
      <c r="D3769" s="9" t="s">
        <v>92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153</v>
      </c>
      <c r="B3770" s="9" t="s">
        <v>3867</v>
      </c>
      <c r="C3770" s="9" t="s">
        <v>94</v>
      </c>
      <c r="D3770" s="9" t="s">
        <v>92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153</v>
      </c>
      <c r="B3771" s="9" t="s">
        <v>3868</v>
      </c>
      <c r="C3771" s="9" t="s">
        <v>94</v>
      </c>
      <c r="D3771" s="9" t="s">
        <v>92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153</v>
      </c>
      <c r="B3772" s="9" t="s">
        <v>3869</v>
      </c>
      <c r="C3772" s="9" t="s">
        <v>94</v>
      </c>
      <c r="D3772" s="9" t="s">
        <v>92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153</v>
      </c>
      <c r="B3773" s="9" t="s">
        <v>3870</v>
      </c>
      <c r="C3773" s="9" t="s">
        <v>94</v>
      </c>
      <c r="D3773" s="9" t="s">
        <v>92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153</v>
      </c>
      <c r="B3774" s="9" t="s">
        <v>3871</v>
      </c>
      <c r="C3774" s="9" t="s">
        <v>94</v>
      </c>
      <c r="D3774" s="9" t="s">
        <v>92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153</v>
      </c>
      <c r="B3775" s="9" t="s">
        <v>3872</v>
      </c>
      <c r="C3775" s="9" t="s">
        <v>94</v>
      </c>
      <c r="D3775" s="9" t="s">
        <v>92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153</v>
      </c>
      <c r="B3776" s="9" t="s">
        <v>3873</v>
      </c>
      <c r="C3776" s="9" t="s">
        <v>94</v>
      </c>
      <c r="D3776" s="9" t="s">
        <v>92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153</v>
      </c>
      <c r="B3777" s="9" t="s">
        <v>3874</v>
      </c>
      <c r="C3777" s="9" t="s">
        <v>94</v>
      </c>
      <c r="D3777" s="9" t="s">
        <v>92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153</v>
      </c>
      <c r="B3778" s="9" t="s">
        <v>3875</v>
      </c>
      <c r="C3778" s="9" t="s">
        <v>94</v>
      </c>
      <c r="D3778" s="9" t="s">
        <v>92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153</v>
      </c>
      <c r="B3779" s="9" t="s">
        <v>3876</v>
      </c>
      <c r="C3779" s="9" t="s">
        <v>94</v>
      </c>
      <c r="D3779" s="9" t="s">
        <v>92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153</v>
      </c>
      <c r="B3780" s="9" t="s">
        <v>3877</v>
      </c>
      <c r="C3780" s="9" t="s">
        <v>94</v>
      </c>
      <c r="D3780" s="9" t="s">
        <v>92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153</v>
      </c>
      <c r="B3781" s="9" t="s">
        <v>3878</v>
      </c>
      <c r="C3781" s="9" t="s">
        <v>94</v>
      </c>
      <c r="D3781" s="9" t="s">
        <v>92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153</v>
      </c>
      <c r="B3782" s="9" t="s">
        <v>3879</v>
      </c>
      <c r="C3782" s="9" t="s">
        <v>94</v>
      </c>
      <c r="D3782" s="9" t="s">
        <v>92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153</v>
      </c>
      <c r="B3783" s="9" t="s">
        <v>3880</v>
      </c>
      <c r="C3783" s="9" t="s">
        <v>94</v>
      </c>
      <c r="D3783" s="9" t="s">
        <v>92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153</v>
      </c>
      <c r="B3784" s="9" t="s">
        <v>3881</v>
      </c>
      <c r="C3784" s="9" t="s">
        <v>94</v>
      </c>
      <c r="D3784" s="9" t="s">
        <v>92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153</v>
      </c>
      <c r="B3785" s="9" t="s">
        <v>3882</v>
      </c>
      <c r="C3785" s="9" t="s">
        <v>94</v>
      </c>
      <c r="D3785" s="9" t="s">
        <v>92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153</v>
      </c>
      <c r="B3786" s="9" t="s">
        <v>3883</v>
      </c>
      <c r="C3786" s="9" t="s">
        <v>94</v>
      </c>
      <c r="D3786" s="9" t="s">
        <v>92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153</v>
      </c>
      <c r="B3787" s="9" t="s">
        <v>3884</v>
      </c>
      <c r="C3787" s="9" t="s">
        <v>94</v>
      </c>
      <c r="D3787" s="9" t="s">
        <v>92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153</v>
      </c>
      <c r="B3788" s="9" t="s">
        <v>3885</v>
      </c>
      <c r="C3788" s="9" t="s">
        <v>94</v>
      </c>
      <c r="D3788" s="9" t="s">
        <v>92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153</v>
      </c>
      <c r="B3789" s="9" t="s">
        <v>3886</v>
      </c>
      <c r="C3789" s="9" t="s">
        <v>94</v>
      </c>
      <c r="D3789" s="9" t="s">
        <v>92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153</v>
      </c>
      <c r="B3790" s="9" t="s">
        <v>3887</v>
      </c>
      <c r="C3790" s="9" t="s">
        <v>94</v>
      </c>
      <c r="D3790" s="9" t="s">
        <v>92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153</v>
      </c>
      <c r="B3791" s="9" t="s">
        <v>3888</v>
      </c>
      <c r="C3791" s="9" t="s">
        <v>94</v>
      </c>
      <c r="D3791" s="9" t="s">
        <v>92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153</v>
      </c>
      <c r="B3792" s="9" t="s">
        <v>3889</v>
      </c>
      <c r="C3792" s="9" t="s">
        <v>94</v>
      </c>
      <c r="D3792" s="9" t="s">
        <v>92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153</v>
      </c>
      <c r="B3793" s="9" t="s">
        <v>3890</v>
      </c>
      <c r="C3793" s="9" t="s">
        <v>94</v>
      </c>
      <c r="D3793" s="9" t="s">
        <v>92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153</v>
      </c>
      <c r="B3794" s="9" t="s">
        <v>3891</v>
      </c>
      <c r="C3794" s="9" t="s">
        <v>94</v>
      </c>
      <c r="D3794" s="9" t="s">
        <v>92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153</v>
      </c>
      <c r="B3795" s="9" t="s">
        <v>3892</v>
      </c>
      <c r="C3795" s="9" t="s">
        <v>94</v>
      </c>
      <c r="D3795" s="9" t="s">
        <v>92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153</v>
      </c>
      <c r="B3796" s="9" t="s">
        <v>3893</v>
      </c>
      <c r="C3796" s="9" t="s">
        <v>94</v>
      </c>
      <c r="D3796" s="9" t="s">
        <v>92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153</v>
      </c>
      <c r="B3797" s="9" t="s">
        <v>3894</v>
      </c>
      <c r="C3797" s="9" t="s">
        <v>94</v>
      </c>
      <c r="D3797" s="9" t="s">
        <v>92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153</v>
      </c>
      <c r="B3798" s="9" t="s">
        <v>3895</v>
      </c>
      <c r="C3798" s="9" t="s">
        <v>94</v>
      </c>
      <c r="D3798" s="9" t="s">
        <v>92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153</v>
      </c>
      <c r="B3799" s="9" t="s">
        <v>3896</v>
      </c>
      <c r="C3799" s="9" t="s">
        <v>94</v>
      </c>
      <c r="D3799" s="9" t="s">
        <v>92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153</v>
      </c>
      <c r="B3800" s="9" t="s">
        <v>3897</v>
      </c>
      <c r="C3800" s="9" t="s">
        <v>94</v>
      </c>
      <c r="D3800" s="9" t="s">
        <v>92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153</v>
      </c>
      <c r="B3801" s="9" t="s">
        <v>3898</v>
      </c>
      <c r="C3801" s="9" t="s">
        <v>94</v>
      </c>
      <c r="D3801" s="9" t="s">
        <v>92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153</v>
      </c>
      <c r="B3802" s="9" t="s">
        <v>3899</v>
      </c>
      <c r="C3802" s="9" t="s">
        <v>94</v>
      </c>
      <c r="D3802" s="9" t="s">
        <v>92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153</v>
      </c>
      <c r="B3803" s="9" t="s">
        <v>3900</v>
      </c>
      <c r="C3803" s="9" t="s">
        <v>94</v>
      </c>
      <c r="D3803" s="9" t="s">
        <v>92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153</v>
      </c>
      <c r="B3804" s="9" t="s">
        <v>3901</v>
      </c>
      <c r="C3804" s="9" t="s">
        <v>94</v>
      </c>
      <c r="D3804" s="9" t="s">
        <v>92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153</v>
      </c>
      <c r="B3805" s="9" t="s">
        <v>3902</v>
      </c>
      <c r="C3805" s="9" t="s">
        <v>94</v>
      </c>
      <c r="D3805" s="9" t="s">
        <v>92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153</v>
      </c>
      <c r="B3806" s="9" t="s">
        <v>3903</v>
      </c>
      <c r="C3806" s="9" t="s">
        <v>94</v>
      </c>
      <c r="D3806" s="9" t="s">
        <v>92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153</v>
      </c>
      <c r="B3807" s="9" t="s">
        <v>3904</v>
      </c>
      <c r="C3807" s="9" t="s">
        <v>94</v>
      </c>
      <c r="D3807" s="9" t="s">
        <v>92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153</v>
      </c>
      <c r="B3808" s="9" t="s">
        <v>3905</v>
      </c>
      <c r="C3808" s="9" t="s">
        <v>94</v>
      </c>
      <c r="D3808" s="9" t="s">
        <v>92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153</v>
      </c>
      <c r="B3809" s="9" t="s">
        <v>3906</v>
      </c>
      <c r="C3809" s="9" t="s">
        <v>94</v>
      </c>
      <c r="D3809" s="9" t="s">
        <v>92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153</v>
      </c>
      <c r="B3810" s="9" t="s">
        <v>3907</v>
      </c>
      <c r="C3810" s="9" t="s">
        <v>94</v>
      </c>
      <c r="D3810" s="9" t="s">
        <v>92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153</v>
      </c>
      <c r="B3811" s="9" t="s">
        <v>3908</v>
      </c>
      <c r="C3811" s="9" t="s">
        <v>94</v>
      </c>
      <c r="D3811" s="9" t="s">
        <v>92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153</v>
      </c>
      <c r="B3812" s="9" t="s">
        <v>3909</v>
      </c>
      <c r="C3812" s="9" t="s">
        <v>94</v>
      </c>
      <c r="D3812" s="9" t="s">
        <v>92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153</v>
      </c>
      <c r="B3813" s="9" t="s">
        <v>3910</v>
      </c>
      <c r="C3813" s="9" t="s">
        <v>94</v>
      </c>
      <c r="D3813" s="9" t="s">
        <v>92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153</v>
      </c>
      <c r="B3814" s="9" t="s">
        <v>3911</v>
      </c>
      <c r="C3814" s="9" t="s">
        <v>94</v>
      </c>
      <c r="D3814" s="9" t="s">
        <v>92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153</v>
      </c>
      <c r="B3815" s="9" t="s">
        <v>3912</v>
      </c>
      <c r="C3815" s="9" t="s">
        <v>94</v>
      </c>
      <c r="D3815" s="9" t="s">
        <v>92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153</v>
      </c>
      <c r="B3816" s="9" t="s">
        <v>3913</v>
      </c>
      <c r="C3816" s="9" t="s">
        <v>94</v>
      </c>
      <c r="D3816" s="9" t="s">
        <v>92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153</v>
      </c>
      <c r="B3817" s="9" t="s">
        <v>3914</v>
      </c>
      <c r="C3817" s="9" t="s">
        <v>94</v>
      </c>
      <c r="D3817" s="9" t="s">
        <v>92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153</v>
      </c>
      <c r="B3818" s="9" t="s">
        <v>3915</v>
      </c>
      <c r="C3818" s="9" t="s">
        <v>94</v>
      </c>
      <c r="D3818" s="9" t="s">
        <v>92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153</v>
      </c>
      <c r="B3819" s="9" t="s">
        <v>3916</v>
      </c>
      <c r="C3819" s="9" t="s">
        <v>94</v>
      </c>
      <c r="D3819" s="9" t="s">
        <v>92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153</v>
      </c>
      <c r="B3820" s="9" t="s">
        <v>3917</v>
      </c>
      <c r="C3820" s="9" t="s">
        <v>94</v>
      </c>
      <c r="D3820" s="9" t="s">
        <v>92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153</v>
      </c>
      <c r="B3821" s="9" t="s">
        <v>3918</v>
      </c>
      <c r="C3821" s="9" t="s">
        <v>94</v>
      </c>
      <c r="D3821" s="9" t="s">
        <v>92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153</v>
      </c>
      <c r="B3822" s="9" t="s">
        <v>3919</v>
      </c>
      <c r="C3822" s="9" t="s">
        <v>94</v>
      </c>
      <c r="D3822" s="9" t="s">
        <v>92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153</v>
      </c>
      <c r="B3823" s="9" t="s">
        <v>3920</v>
      </c>
      <c r="C3823" s="9" t="s">
        <v>94</v>
      </c>
      <c r="D3823" s="9" t="s">
        <v>92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153</v>
      </c>
      <c r="B3824" s="9" t="s">
        <v>3921</v>
      </c>
      <c r="C3824" s="9" t="s">
        <v>94</v>
      </c>
      <c r="D3824" s="9" t="s">
        <v>92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153</v>
      </c>
      <c r="B3825" s="9" t="s">
        <v>3922</v>
      </c>
      <c r="C3825" s="9" t="s">
        <v>94</v>
      </c>
      <c r="D3825" s="9" t="s">
        <v>92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153</v>
      </c>
      <c r="B3826" s="9" t="s">
        <v>3923</v>
      </c>
      <c r="C3826" s="9" t="s">
        <v>94</v>
      </c>
      <c r="D3826" s="9" t="s">
        <v>92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153</v>
      </c>
      <c r="B3827" s="9" t="s">
        <v>3924</v>
      </c>
      <c r="C3827" s="9" t="s">
        <v>94</v>
      </c>
      <c r="D3827" s="9" t="s">
        <v>92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153</v>
      </c>
      <c r="B3828" s="9" t="s">
        <v>3925</v>
      </c>
      <c r="C3828" s="9" t="s">
        <v>94</v>
      </c>
      <c r="D3828" s="9" t="s">
        <v>92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153</v>
      </c>
      <c r="B3829" s="9" t="s">
        <v>3926</v>
      </c>
      <c r="C3829" s="9" t="s">
        <v>94</v>
      </c>
      <c r="D3829" s="9" t="s">
        <v>92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153</v>
      </c>
      <c r="B3830" s="9" t="s">
        <v>3927</v>
      </c>
      <c r="C3830" s="9" t="s">
        <v>94</v>
      </c>
      <c r="D3830" s="9" t="s">
        <v>92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153</v>
      </c>
      <c r="B3831" s="9" t="s">
        <v>3928</v>
      </c>
      <c r="C3831" s="9" t="s">
        <v>94</v>
      </c>
      <c r="D3831" s="9" t="s">
        <v>92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153</v>
      </c>
      <c r="B3832" s="9" t="s">
        <v>3929</v>
      </c>
      <c r="C3832" s="9" t="s">
        <v>94</v>
      </c>
      <c r="D3832" s="9" t="s">
        <v>92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153</v>
      </c>
      <c r="B3833" s="9" t="s">
        <v>3930</v>
      </c>
      <c r="C3833" s="9" t="s">
        <v>94</v>
      </c>
      <c r="D3833" s="9" t="s">
        <v>92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153</v>
      </c>
      <c r="B3834" s="9" t="s">
        <v>3931</v>
      </c>
      <c r="C3834" s="9" t="s">
        <v>94</v>
      </c>
      <c r="D3834" s="9" t="s">
        <v>92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153</v>
      </c>
      <c r="B3835" s="9" t="s">
        <v>3932</v>
      </c>
      <c r="C3835" s="9" t="s">
        <v>94</v>
      </c>
      <c r="D3835" s="9" t="s">
        <v>92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153</v>
      </c>
      <c r="B3836" s="9" t="s">
        <v>3933</v>
      </c>
      <c r="C3836" s="9" t="s">
        <v>94</v>
      </c>
      <c r="D3836" s="9" t="s">
        <v>92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153</v>
      </c>
      <c r="B3837" s="9" t="s">
        <v>3934</v>
      </c>
      <c r="C3837" s="9" t="s">
        <v>94</v>
      </c>
      <c r="D3837" s="9" t="s">
        <v>92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153</v>
      </c>
      <c r="B3838" s="9" t="s">
        <v>3935</v>
      </c>
      <c r="C3838" s="9" t="s">
        <v>94</v>
      </c>
      <c r="D3838" s="9" t="s">
        <v>92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153</v>
      </c>
      <c r="B3839" s="9" t="s">
        <v>3936</v>
      </c>
      <c r="C3839" s="9" t="s">
        <v>94</v>
      </c>
      <c r="D3839" s="9" t="s">
        <v>92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153</v>
      </c>
      <c r="B3840" s="9" t="s">
        <v>3937</v>
      </c>
      <c r="C3840" s="9" t="s">
        <v>94</v>
      </c>
      <c r="D3840" s="9" t="s">
        <v>92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153</v>
      </c>
      <c r="B3841" s="9" t="s">
        <v>3938</v>
      </c>
      <c r="C3841" s="9" t="s">
        <v>94</v>
      </c>
      <c r="D3841" s="9" t="s">
        <v>92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153</v>
      </c>
      <c r="B3842" s="9" t="s">
        <v>3939</v>
      </c>
      <c r="C3842" s="9" t="s">
        <v>94</v>
      </c>
      <c r="D3842" s="9" t="s">
        <v>92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153</v>
      </c>
      <c r="B3843" s="9" t="s">
        <v>3940</v>
      </c>
      <c r="C3843" s="9" t="s">
        <v>94</v>
      </c>
      <c r="D3843" s="9" t="s">
        <v>92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153</v>
      </c>
      <c r="B3844" s="9" t="s">
        <v>3941</v>
      </c>
      <c r="C3844" s="9" t="s">
        <v>94</v>
      </c>
      <c r="D3844" s="9" t="s">
        <v>92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153</v>
      </c>
      <c r="B3845" s="9" t="s">
        <v>3942</v>
      </c>
      <c r="C3845" s="9" t="s">
        <v>94</v>
      </c>
      <c r="D3845" s="9" t="s">
        <v>92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153</v>
      </c>
      <c r="B3846" s="9" t="s">
        <v>3943</v>
      </c>
      <c r="C3846" s="9" t="s">
        <v>94</v>
      </c>
      <c r="D3846" s="9" t="s">
        <v>92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153</v>
      </c>
      <c r="B3847" s="9" t="s">
        <v>3944</v>
      </c>
      <c r="C3847" s="9" t="s">
        <v>94</v>
      </c>
      <c r="D3847" s="9" t="s">
        <v>92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153</v>
      </c>
      <c r="B3848" s="9" t="s">
        <v>3945</v>
      </c>
      <c r="C3848" s="9" t="s">
        <v>94</v>
      </c>
      <c r="D3848" s="9" t="s">
        <v>92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153</v>
      </c>
      <c r="B3849" s="9" t="s">
        <v>3946</v>
      </c>
      <c r="C3849" s="9" t="s">
        <v>94</v>
      </c>
      <c r="D3849" s="9" t="s">
        <v>92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153</v>
      </c>
      <c r="B3850" s="9" t="s">
        <v>3947</v>
      </c>
      <c r="C3850" s="9" t="s">
        <v>94</v>
      </c>
      <c r="D3850" s="9" t="s">
        <v>92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153</v>
      </c>
      <c r="B3851" s="9" t="s">
        <v>3948</v>
      </c>
      <c r="C3851" s="9" t="s">
        <v>94</v>
      </c>
      <c r="D3851" s="9" t="s">
        <v>92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153</v>
      </c>
      <c r="B3852" s="9" t="s">
        <v>3949</v>
      </c>
      <c r="C3852" s="9" t="s">
        <v>94</v>
      </c>
      <c r="D3852" s="9" t="s">
        <v>92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153</v>
      </c>
      <c r="B3853" s="9" t="s">
        <v>3950</v>
      </c>
      <c r="C3853" s="9" t="s">
        <v>94</v>
      </c>
      <c r="D3853" s="9" t="s">
        <v>92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153</v>
      </c>
      <c r="B3854" s="9" t="s">
        <v>3951</v>
      </c>
      <c r="C3854" s="9" t="s">
        <v>94</v>
      </c>
      <c r="D3854" s="9" t="s">
        <v>92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153</v>
      </c>
      <c r="B3855" s="9" t="s">
        <v>3952</v>
      </c>
      <c r="C3855" s="9" t="s">
        <v>94</v>
      </c>
      <c r="D3855" s="9" t="s">
        <v>92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153</v>
      </c>
      <c r="B3856" s="9" t="s">
        <v>3953</v>
      </c>
      <c r="C3856" s="9" t="s">
        <v>94</v>
      </c>
      <c r="D3856" s="9" t="s">
        <v>92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153</v>
      </c>
      <c r="B3857" s="9" t="s">
        <v>3954</v>
      </c>
      <c r="C3857" s="9" t="s">
        <v>94</v>
      </c>
      <c r="D3857" s="9" t="s">
        <v>92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153</v>
      </c>
      <c r="B3858" s="9" t="s">
        <v>3955</v>
      </c>
      <c r="C3858" s="9" t="s">
        <v>94</v>
      </c>
      <c r="D3858" s="9" t="s">
        <v>92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153</v>
      </c>
      <c r="B3859" s="9" t="s">
        <v>3956</v>
      </c>
      <c r="C3859" s="9" t="s">
        <v>94</v>
      </c>
      <c r="D3859" s="9" t="s">
        <v>92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153</v>
      </c>
      <c r="B3860" s="9" t="s">
        <v>3957</v>
      </c>
      <c r="C3860" s="9" t="s">
        <v>94</v>
      </c>
      <c r="D3860" s="9" t="s">
        <v>92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153</v>
      </c>
      <c r="B3861" s="9" t="s">
        <v>3958</v>
      </c>
      <c r="C3861" s="9" t="s">
        <v>94</v>
      </c>
      <c r="D3861" s="9" t="s">
        <v>92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153</v>
      </c>
      <c r="B3862" s="9" t="s">
        <v>3959</v>
      </c>
      <c r="C3862" s="9" t="s">
        <v>94</v>
      </c>
      <c r="D3862" s="9" t="s">
        <v>92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153</v>
      </c>
      <c r="B3863" s="9" t="s">
        <v>3960</v>
      </c>
      <c r="C3863" s="9" t="s">
        <v>94</v>
      </c>
      <c r="D3863" s="9" t="s">
        <v>92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153</v>
      </c>
      <c r="B3864" s="9" t="s">
        <v>3961</v>
      </c>
      <c r="C3864" s="9" t="s">
        <v>94</v>
      </c>
      <c r="D3864" s="9" t="s">
        <v>92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153</v>
      </c>
      <c r="B3865" s="9" t="s">
        <v>3962</v>
      </c>
      <c r="C3865" s="9" t="s">
        <v>94</v>
      </c>
      <c r="D3865" s="9" t="s">
        <v>92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153</v>
      </c>
      <c r="B3866" s="9" t="s">
        <v>3963</v>
      </c>
      <c r="C3866" s="9" t="s">
        <v>94</v>
      </c>
      <c r="D3866" s="9" t="s">
        <v>92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153</v>
      </c>
      <c r="B3867" s="9" t="s">
        <v>3964</v>
      </c>
      <c r="C3867" s="9" t="s">
        <v>94</v>
      </c>
      <c r="D3867" s="9" t="s">
        <v>92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153</v>
      </c>
      <c r="B3868" s="9" t="s">
        <v>3965</v>
      </c>
      <c r="C3868" s="9" t="s">
        <v>94</v>
      </c>
      <c r="D3868" s="9" t="s">
        <v>92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153</v>
      </c>
      <c r="B3869" s="9" t="s">
        <v>3966</v>
      </c>
      <c r="C3869" s="9" t="s">
        <v>94</v>
      </c>
      <c r="D3869" s="9" t="s">
        <v>92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153</v>
      </c>
      <c r="B3870" s="9" t="s">
        <v>3967</v>
      </c>
      <c r="C3870" s="9" t="s">
        <v>94</v>
      </c>
      <c r="D3870" s="9" t="s">
        <v>92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153</v>
      </c>
      <c r="B3871" s="9" t="s">
        <v>3968</v>
      </c>
      <c r="C3871" s="9" t="s">
        <v>94</v>
      </c>
      <c r="D3871" s="9" t="s">
        <v>92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153</v>
      </c>
      <c r="B3872" s="9" t="s">
        <v>3969</v>
      </c>
      <c r="C3872" s="9" t="s">
        <v>94</v>
      </c>
      <c r="D3872" s="9" t="s">
        <v>92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153</v>
      </c>
      <c r="B3873" s="9" t="s">
        <v>3970</v>
      </c>
      <c r="C3873" s="9" t="s">
        <v>94</v>
      </c>
      <c r="D3873" s="9" t="s">
        <v>92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153</v>
      </c>
      <c r="B3874" s="9" t="s">
        <v>3971</v>
      </c>
      <c r="C3874" s="9" t="s">
        <v>94</v>
      </c>
      <c r="D3874" s="9" t="s">
        <v>92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153</v>
      </c>
      <c r="B3875" s="9" t="s">
        <v>3972</v>
      </c>
      <c r="C3875" s="9" t="s">
        <v>94</v>
      </c>
      <c r="D3875" s="9" t="s">
        <v>92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153</v>
      </c>
      <c r="B3876" s="9" t="s">
        <v>3973</v>
      </c>
      <c r="C3876" s="9" t="s">
        <v>94</v>
      </c>
      <c r="D3876" s="9" t="s">
        <v>92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153</v>
      </c>
      <c r="B3877" s="9" t="s">
        <v>3974</v>
      </c>
      <c r="C3877" s="9" t="s">
        <v>94</v>
      </c>
      <c r="D3877" s="9" t="s">
        <v>92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153</v>
      </c>
      <c r="B3878" s="9" t="s">
        <v>3975</v>
      </c>
      <c r="C3878" s="9" t="s">
        <v>94</v>
      </c>
      <c r="D3878" s="9" t="s">
        <v>92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153</v>
      </c>
      <c r="B3879" s="9" t="s">
        <v>3976</v>
      </c>
      <c r="C3879" s="9" t="s">
        <v>94</v>
      </c>
      <c r="D3879" s="9" t="s">
        <v>92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153</v>
      </c>
      <c r="B3880" s="9" t="s">
        <v>3977</v>
      </c>
      <c r="C3880" s="9" t="s">
        <v>94</v>
      </c>
      <c r="D3880" s="9" t="s">
        <v>92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153</v>
      </c>
      <c r="B3881" s="9" t="s">
        <v>3978</v>
      </c>
      <c r="C3881" s="9" t="s">
        <v>94</v>
      </c>
      <c r="D3881" s="9" t="s">
        <v>92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153</v>
      </c>
      <c r="B3882" s="9" t="s">
        <v>3979</v>
      </c>
      <c r="C3882" s="9" t="s">
        <v>94</v>
      </c>
      <c r="D3882" s="9" t="s">
        <v>92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153</v>
      </c>
      <c r="B3883" s="9" t="s">
        <v>3980</v>
      </c>
      <c r="C3883" s="9" t="s">
        <v>94</v>
      </c>
      <c r="D3883" s="9" t="s">
        <v>92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153</v>
      </c>
      <c r="B3884" s="9" t="s">
        <v>3981</v>
      </c>
      <c r="C3884" s="9" t="s">
        <v>94</v>
      </c>
      <c r="D3884" s="9" t="s">
        <v>92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153</v>
      </c>
      <c r="B3885" s="9" t="s">
        <v>3982</v>
      </c>
      <c r="C3885" s="9" t="s">
        <v>94</v>
      </c>
      <c r="D3885" s="9" t="s">
        <v>92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153</v>
      </c>
      <c r="B3886" s="9" t="s">
        <v>3983</v>
      </c>
      <c r="C3886" s="9" t="s">
        <v>94</v>
      </c>
      <c r="D3886" s="9" t="s">
        <v>92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153</v>
      </c>
      <c r="B3887" s="9" t="s">
        <v>3984</v>
      </c>
      <c r="C3887" s="9" t="s">
        <v>94</v>
      </c>
      <c r="D3887" s="9" t="s">
        <v>92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153</v>
      </c>
      <c r="B3888" s="9" t="s">
        <v>3985</v>
      </c>
      <c r="C3888" s="9" t="s">
        <v>94</v>
      </c>
      <c r="D3888" s="9" t="s">
        <v>92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153</v>
      </c>
      <c r="B3889" s="9" t="s">
        <v>3986</v>
      </c>
      <c r="C3889" s="9" t="s">
        <v>94</v>
      </c>
      <c r="D3889" s="9" t="s">
        <v>92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153</v>
      </c>
      <c r="B3890" s="9" t="s">
        <v>3987</v>
      </c>
      <c r="C3890" s="9" t="s">
        <v>94</v>
      </c>
      <c r="D3890" s="9" t="s">
        <v>92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153</v>
      </c>
      <c r="B3891" s="9" t="s">
        <v>3988</v>
      </c>
      <c r="C3891" s="9" t="s">
        <v>94</v>
      </c>
      <c r="D3891" s="9" t="s">
        <v>92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153</v>
      </c>
      <c r="B3892" s="9" t="s">
        <v>3989</v>
      </c>
      <c r="C3892" s="9" t="s">
        <v>94</v>
      </c>
      <c r="D3892" s="9" t="s">
        <v>92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153</v>
      </c>
      <c r="B3893" s="9" t="s">
        <v>3990</v>
      </c>
      <c r="C3893" s="9" t="s">
        <v>94</v>
      </c>
      <c r="D3893" s="9" t="s">
        <v>92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153</v>
      </c>
      <c r="B3894" s="9" t="s">
        <v>3991</v>
      </c>
      <c r="C3894" s="9" t="s">
        <v>94</v>
      </c>
      <c r="D3894" s="9" t="s">
        <v>92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153</v>
      </c>
      <c r="B3895" s="9" t="s">
        <v>3992</v>
      </c>
      <c r="C3895" s="9" t="s">
        <v>94</v>
      </c>
      <c r="D3895" s="9" t="s">
        <v>92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153</v>
      </c>
      <c r="B3896" s="9" t="s">
        <v>3993</v>
      </c>
      <c r="C3896" s="9" t="s">
        <v>94</v>
      </c>
      <c r="D3896" s="9" t="s">
        <v>92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153</v>
      </c>
      <c r="B3897" s="9" t="s">
        <v>3994</v>
      </c>
      <c r="C3897" s="9" t="s">
        <v>94</v>
      </c>
      <c r="D3897" s="9" t="s">
        <v>92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153</v>
      </c>
      <c r="B3898" s="9" t="s">
        <v>3995</v>
      </c>
      <c r="C3898" s="9" t="s">
        <v>94</v>
      </c>
      <c r="D3898" s="9" t="s">
        <v>92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153</v>
      </c>
      <c r="B3899" s="9" t="s">
        <v>3996</v>
      </c>
      <c r="C3899" s="9" t="s">
        <v>94</v>
      </c>
      <c r="D3899" s="9" t="s">
        <v>92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153</v>
      </c>
      <c r="B3900" s="9" t="s">
        <v>3997</v>
      </c>
      <c r="C3900" s="9" t="s">
        <v>94</v>
      </c>
      <c r="D3900" s="9" t="s">
        <v>92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153</v>
      </c>
      <c r="B3901" s="9" t="s">
        <v>3998</v>
      </c>
      <c r="C3901" s="9" t="s">
        <v>94</v>
      </c>
      <c r="D3901" s="9" t="s">
        <v>92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153</v>
      </c>
      <c r="B3902" s="9" t="s">
        <v>3999</v>
      </c>
      <c r="C3902" s="9" t="s">
        <v>94</v>
      </c>
      <c r="D3902" s="9" t="s">
        <v>92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153</v>
      </c>
      <c r="B3903" s="9" t="s">
        <v>4000</v>
      </c>
      <c r="C3903" s="9" t="s">
        <v>94</v>
      </c>
      <c r="D3903" s="9" t="s">
        <v>92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153</v>
      </c>
      <c r="B3904" s="9" t="s">
        <v>4001</v>
      </c>
      <c r="C3904" s="9" t="s">
        <v>94</v>
      </c>
      <c r="D3904" s="9" t="s">
        <v>92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153</v>
      </c>
      <c r="B3905" s="9" t="s">
        <v>4002</v>
      </c>
      <c r="C3905" s="9" t="s">
        <v>94</v>
      </c>
      <c r="D3905" s="9" t="s">
        <v>92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153</v>
      </c>
      <c r="B3906" s="9" t="s">
        <v>4003</v>
      </c>
      <c r="C3906" s="9" t="s">
        <v>94</v>
      </c>
      <c r="D3906" s="9" t="s">
        <v>92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153</v>
      </c>
      <c r="B3907" s="9" t="s">
        <v>4004</v>
      </c>
      <c r="C3907" s="9" t="s">
        <v>94</v>
      </c>
      <c r="D3907" s="9" t="s">
        <v>92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153</v>
      </c>
      <c r="B3908" s="9" t="s">
        <v>4005</v>
      </c>
      <c r="C3908" s="9" t="s">
        <v>94</v>
      </c>
      <c r="D3908" s="9" t="s">
        <v>92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153</v>
      </c>
      <c r="B3909" s="9" t="s">
        <v>4006</v>
      </c>
      <c r="C3909" s="9" t="s">
        <v>94</v>
      </c>
      <c r="D3909" s="9" t="s">
        <v>92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153</v>
      </c>
      <c r="B3910" s="9" t="s">
        <v>4007</v>
      </c>
      <c r="C3910" s="9" t="s">
        <v>94</v>
      </c>
      <c r="D3910" s="9" t="s">
        <v>92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153</v>
      </c>
      <c r="B3911" s="9" t="s">
        <v>4008</v>
      </c>
      <c r="C3911" s="9" t="s">
        <v>94</v>
      </c>
      <c r="D3911" s="9" t="s">
        <v>92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153</v>
      </c>
      <c r="B3912" s="9" t="s">
        <v>4009</v>
      </c>
      <c r="C3912" s="9" t="s">
        <v>94</v>
      </c>
      <c r="D3912" s="9" t="s">
        <v>92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153</v>
      </c>
      <c r="B3913" s="9" t="s">
        <v>4010</v>
      </c>
      <c r="C3913" s="9" t="s">
        <v>94</v>
      </c>
      <c r="D3913" s="9" t="s">
        <v>92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153</v>
      </c>
      <c r="B3914" s="9" t="s">
        <v>4011</v>
      </c>
      <c r="C3914" s="9" t="s">
        <v>94</v>
      </c>
      <c r="D3914" s="9" t="s">
        <v>92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153</v>
      </c>
      <c r="B3915" s="9" t="s">
        <v>4012</v>
      </c>
      <c r="C3915" s="9" t="s">
        <v>94</v>
      </c>
      <c r="D3915" s="9" t="s">
        <v>92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153</v>
      </c>
      <c r="B3916" s="9" t="s">
        <v>4013</v>
      </c>
      <c r="C3916" s="9" t="s">
        <v>94</v>
      </c>
      <c r="D3916" s="9" t="s">
        <v>92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153</v>
      </c>
      <c r="B3917" s="9" t="s">
        <v>4014</v>
      </c>
      <c r="C3917" s="9" t="s">
        <v>94</v>
      </c>
      <c r="D3917" s="9" t="s">
        <v>92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153</v>
      </c>
      <c r="B3918" s="9" t="s">
        <v>4015</v>
      </c>
      <c r="C3918" s="9" t="s">
        <v>94</v>
      </c>
      <c r="D3918" s="9" t="s">
        <v>92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153</v>
      </c>
      <c r="B3919" s="9" t="s">
        <v>4016</v>
      </c>
      <c r="C3919" s="9" t="s">
        <v>94</v>
      </c>
      <c r="D3919" s="9" t="s">
        <v>92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153</v>
      </c>
      <c r="B3920" s="9" t="s">
        <v>4017</v>
      </c>
      <c r="C3920" s="9" t="s">
        <v>94</v>
      </c>
      <c r="D3920" s="9" t="s">
        <v>92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153</v>
      </c>
      <c r="B3921" s="9" t="s">
        <v>4018</v>
      </c>
      <c r="C3921" s="9" t="s">
        <v>94</v>
      </c>
      <c r="D3921" s="9" t="s">
        <v>92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153</v>
      </c>
      <c r="B3922" s="9" t="s">
        <v>4019</v>
      </c>
      <c r="C3922" s="9" t="s">
        <v>94</v>
      </c>
      <c r="D3922" s="9" t="s">
        <v>92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153</v>
      </c>
      <c r="B3923" s="9" t="s">
        <v>4020</v>
      </c>
      <c r="C3923" s="9" t="s">
        <v>94</v>
      </c>
      <c r="D3923" s="9" t="s">
        <v>92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153</v>
      </c>
      <c r="B3924" s="9" t="s">
        <v>4021</v>
      </c>
      <c r="C3924" s="9" t="s">
        <v>94</v>
      </c>
      <c r="D3924" s="9" t="s">
        <v>92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153</v>
      </c>
      <c r="B3925" s="9" t="s">
        <v>4022</v>
      </c>
      <c r="C3925" s="9" t="s">
        <v>94</v>
      </c>
      <c r="D3925" s="9" t="s">
        <v>92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153</v>
      </c>
      <c r="B3926" s="9" t="s">
        <v>4023</v>
      </c>
      <c r="C3926" s="9" t="s">
        <v>94</v>
      </c>
      <c r="D3926" s="9" t="s">
        <v>92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153</v>
      </c>
      <c r="B3927" s="9" t="s">
        <v>4024</v>
      </c>
      <c r="C3927" s="9" t="s">
        <v>94</v>
      </c>
      <c r="D3927" s="9" t="s">
        <v>92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153</v>
      </c>
      <c r="B3928" s="9" t="s">
        <v>4025</v>
      </c>
      <c r="C3928" s="9" t="s">
        <v>94</v>
      </c>
      <c r="D3928" s="9" t="s">
        <v>92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153</v>
      </c>
      <c r="B3929" s="9" t="s">
        <v>4026</v>
      </c>
      <c r="C3929" s="9" t="s">
        <v>94</v>
      </c>
      <c r="D3929" s="9" t="s">
        <v>92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153</v>
      </c>
      <c r="B3930" s="9" t="s">
        <v>4027</v>
      </c>
      <c r="C3930" s="9" t="s">
        <v>94</v>
      </c>
      <c r="D3930" s="9" t="s">
        <v>92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153</v>
      </c>
      <c r="B3931" s="9" t="s">
        <v>4028</v>
      </c>
      <c r="C3931" s="9" t="s">
        <v>94</v>
      </c>
      <c r="D3931" s="9" t="s">
        <v>92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153</v>
      </c>
      <c r="B3932" s="9" t="s">
        <v>4029</v>
      </c>
      <c r="C3932" s="9" t="s">
        <v>94</v>
      </c>
      <c r="D3932" s="9" t="s">
        <v>92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153</v>
      </c>
      <c r="B3933" s="9" t="s">
        <v>4030</v>
      </c>
      <c r="C3933" s="9" t="s">
        <v>94</v>
      </c>
      <c r="D3933" s="9" t="s">
        <v>92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153</v>
      </c>
      <c r="B3934" s="9" t="s">
        <v>4031</v>
      </c>
      <c r="C3934" s="9" t="s">
        <v>94</v>
      </c>
      <c r="D3934" s="9" t="s">
        <v>92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153</v>
      </c>
      <c r="B3935" s="9" t="s">
        <v>4032</v>
      </c>
      <c r="C3935" s="9" t="s">
        <v>94</v>
      </c>
      <c r="D3935" s="9" t="s">
        <v>92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153</v>
      </c>
      <c r="B3936" s="9" t="s">
        <v>4033</v>
      </c>
      <c r="C3936" s="9" t="s">
        <v>94</v>
      </c>
      <c r="D3936" s="9" t="s">
        <v>92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153</v>
      </c>
      <c r="B3937" s="9" t="s">
        <v>4034</v>
      </c>
      <c r="C3937" s="9" t="s">
        <v>94</v>
      </c>
      <c r="D3937" s="9" t="s">
        <v>92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153</v>
      </c>
      <c r="B3938" s="9" t="s">
        <v>4035</v>
      </c>
      <c r="C3938" s="9" t="s">
        <v>94</v>
      </c>
      <c r="D3938" s="9" t="s">
        <v>92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153</v>
      </c>
      <c r="B3939" s="9" t="s">
        <v>4036</v>
      </c>
      <c r="C3939" s="9" t="s">
        <v>94</v>
      </c>
      <c r="D3939" s="9" t="s">
        <v>92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153</v>
      </c>
      <c r="B3940" s="9" t="s">
        <v>4037</v>
      </c>
      <c r="C3940" s="9" t="s">
        <v>94</v>
      </c>
      <c r="D3940" s="9" t="s">
        <v>92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153</v>
      </c>
      <c r="B3941" s="9" t="s">
        <v>4038</v>
      </c>
      <c r="C3941" s="9" t="s">
        <v>94</v>
      </c>
      <c r="D3941" s="9" t="s">
        <v>92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153</v>
      </c>
      <c r="B3942" s="9" t="s">
        <v>4039</v>
      </c>
      <c r="C3942" s="9" t="s">
        <v>94</v>
      </c>
      <c r="D3942" s="9" t="s">
        <v>92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153</v>
      </c>
      <c r="B3943" s="9" t="s">
        <v>4040</v>
      </c>
      <c r="C3943" s="9" t="s">
        <v>94</v>
      </c>
      <c r="D3943" s="9" t="s">
        <v>92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153</v>
      </c>
      <c r="B3944" s="9" t="s">
        <v>4041</v>
      </c>
      <c r="C3944" s="9" t="s">
        <v>94</v>
      </c>
      <c r="D3944" s="9" t="s">
        <v>92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153</v>
      </c>
      <c r="B3945" s="9" t="s">
        <v>4042</v>
      </c>
      <c r="C3945" s="9" t="s">
        <v>94</v>
      </c>
      <c r="D3945" s="9" t="s">
        <v>92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153</v>
      </c>
      <c r="B3946" s="9" t="s">
        <v>4043</v>
      </c>
      <c r="C3946" s="9" t="s">
        <v>94</v>
      </c>
      <c r="D3946" s="9" t="s">
        <v>92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153</v>
      </c>
      <c r="B3947" s="9" t="s">
        <v>4044</v>
      </c>
      <c r="C3947" s="9" t="s">
        <v>94</v>
      </c>
      <c r="D3947" s="9" t="s">
        <v>92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153</v>
      </c>
      <c r="B3948" s="9" t="s">
        <v>4045</v>
      </c>
      <c r="C3948" s="9" t="s">
        <v>94</v>
      </c>
      <c r="D3948" s="9" t="s">
        <v>92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153</v>
      </c>
      <c r="B3949" s="9" t="s">
        <v>4046</v>
      </c>
      <c r="C3949" s="9" t="s">
        <v>94</v>
      </c>
      <c r="D3949" s="9" t="s">
        <v>92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153</v>
      </c>
      <c r="B3950" s="9" t="s">
        <v>4047</v>
      </c>
      <c r="C3950" s="9" t="s">
        <v>94</v>
      </c>
      <c r="D3950" s="9" t="s">
        <v>92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153</v>
      </c>
      <c r="B3951" s="9" t="s">
        <v>4048</v>
      </c>
      <c r="C3951" s="9" t="s">
        <v>94</v>
      </c>
      <c r="D3951" s="9" t="s">
        <v>92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153</v>
      </c>
      <c r="B3952" s="9" t="s">
        <v>4049</v>
      </c>
      <c r="C3952" s="9" t="s">
        <v>94</v>
      </c>
      <c r="D3952" s="9" t="s">
        <v>92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153</v>
      </c>
      <c r="B3953" s="9" t="s">
        <v>4050</v>
      </c>
      <c r="C3953" s="9" t="s">
        <v>94</v>
      </c>
      <c r="D3953" s="9" t="s">
        <v>92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153</v>
      </c>
      <c r="B3954" s="9" t="s">
        <v>4051</v>
      </c>
      <c r="C3954" s="9" t="s">
        <v>94</v>
      </c>
      <c r="D3954" s="9" t="s">
        <v>92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153</v>
      </c>
      <c r="B3955" s="9" t="s">
        <v>4052</v>
      </c>
      <c r="C3955" s="9" t="s">
        <v>94</v>
      </c>
      <c r="D3955" s="9" t="s">
        <v>92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153</v>
      </c>
      <c r="B3956" s="9" t="s">
        <v>4053</v>
      </c>
      <c r="C3956" s="9" t="s">
        <v>94</v>
      </c>
      <c r="D3956" s="9" t="s">
        <v>92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153</v>
      </c>
      <c r="B3957" s="9" t="s">
        <v>4054</v>
      </c>
      <c r="C3957" s="9" t="s">
        <v>94</v>
      </c>
      <c r="D3957" s="9" t="s">
        <v>92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153</v>
      </c>
      <c r="B3958" s="9" t="s">
        <v>4055</v>
      </c>
      <c r="C3958" s="9" t="s">
        <v>94</v>
      </c>
      <c r="D3958" s="9" t="s">
        <v>92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153</v>
      </c>
      <c r="B3959" s="9" t="s">
        <v>4056</v>
      </c>
      <c r="C3959" s="9" t="s">
        <v>94</v>
      </c>
      <c r="D3959" s="9" t="s">
        <v>92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153</v>
      </c>
      <c r="B3960" s="9" t="s">
        <v>4057</v>
      </c>
      <c r="C3960" s="9" t="s">
        <v>94</v>
      </c>
      <c r="D3960" s="9" t="s">
        <v>92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153</v>
      </c>
      <c r="B3961" s="9" t="s">
        <v>4058</v>
      </c>
      <c r="C3961" s="9" t="s">
        <v>94</v>
      </c>
      <c r="D3961" s="9" t="s">
        <v>92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153</v>
      </c>
      <c r="B3962" s="9" t="s">
        <v>4059</v>
      </c>
      <c r="C3962" s="9" t="s">
        <v>94</v>
      </c>
      <c r="D3962" s="9" t="s">
        <v>92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153</v>
      </c>
      <c r="B3963" s="9" t="s">
        <v>4060</v>
      </c>
      <c r="C3963" s="9" t="s">
        <v>94</v>
      </c>
      <c r="D3963" s="9" t="s">
        <v>92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153</v>
      </c>
      <c r="B3964" s="9" t="s">
        <v>4061</v>
      </c>
      <c r="C3964" s="9" t="s">
        <v>94</v>
      </c>
      <c r="D3964" s="9" t="s">
        <v>92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153</v>
      </c>
      <c r="B3965" s="9" t="s">
        <v>4062</v>
      </c>
      <c r="C3965" s="9" t="s">
        <v>94</v>
      </c>
      <c r="D3965" s="9" t="s">
        <v>92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153</v>
      </c>
      <c r="B3966" s="9" t="s">
        <v>4063</v>
      </c>
      <c r="C3966" s="9" t="s">
        <v>94</v>
      </c>
      <c r="D3966" s="9" t="s">
        <v>92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153</v>
      </c>
      <c r="B3967" s="9" t="s">
        <v>4064</v>
      </c>
      <c r="C3967" s="9" t="s">
        <v>94</v>
      </c>
      <c r="D3967" s="9" t="s">
        <v>92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153</v>
      </c>
      <c r="B3968" s="9" t="s">
        <v>4065</v>
      </c>
      <c r="C3968" s="9" t="s">
        <v>94</v>
      </c>
      <c r="D3968" s="9" t="s">
        <v>92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153</v>
      </c>
      <c r="B3969" s="9" t="s">
        <v>4066</v>
      </c>
      <c r="C3969" s="9" t="s">
        <v>94</v>
      </c>
      <c r="D3969" s="9" t="s">
        <v>92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153</v>
      </c>
      <c r="B3970" s="9" t="s">
        <v>4067</v>
      </c>
      <c r="C3970" s="9" t="s">
        <v>94</v>
      </c>
      <c r="D3970" s="9" t="s">
        <v>92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153</v>
      </c>
      <c r="B3971" s="9" t="s">
        <v>4068</v>
      </c>
      <c r="C3971" s="9" t="s">
        <v>94</v>
      </c>
      <c r="D3971" s="9" t="s">
        <v>92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153</v>
      </c>
      <c r="B3972" s="9" t="s">
        <v>4069</v>
      </c>
      <c r="C3972" s="9" t="s">
        <v>94</v>
      </c>
      <c r="D3972" s="9" t="s">
        <v>92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L25" sqref="L25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8" t="s">
        <v>47</v>
      </c>
      <c r="B3" s="182">
        <v>31</v>
      </c>
      <c r="C3" s="2" t="str" cm="1">
        <f t="array" aca="1" ref="C3" ca="1">INDIRECT(ADDRESS($B3,2,1,1,"mkt data"))</f>
        <v>BTCV6</v>
      </c>
      <c r="D3" s="1" cm="1">
        <f t="array" aca="1" ref="D3" ca="1">INDIRECT(ADDRESS($B3,24,1,1,"mkt data"))</f>
        <v>32</v>
      </c>
      <c r="E3" s="151" cm="1">
        <f t="array" aca="1" ref="E3" ca="1">INDIRECT(ADDRESS($B3,11,1,1,"mkt data"))</f>
        <v>83535</v>
      </c>
      <c r="F3" s="152">
        <f ca="1">AVERAGE(E3,G3)</f>
        <v>83550</v>
      </c>
      <c r="G3" s="153" cm="1">
        <f t="array" aca="1" ref="G3" ca="1">INDIRECT(ADDRESS($B3,12,1,1,"mkt data"))</f>
        <v>83565</v>
      </c>
      <c r="H3" s="172"/>
      <c r="I3" s="173"/>
      <c r="J3" s="150"/>
      <c r="K3" s="354">
        <f ca="1">+E4-G3</f>
        <v>335</v>
      </c>
      <c r="L3" s="355"/>
      <c r="M3" s="356">
        <f ca="1">+G4-E3</f>
        <v>420</v>
      </c>
      <c r="N3" s="369">
        <f ca="1">M3-K3</f>
        <v>85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89"/>
      <c r="B4" s="222">
        <f>B3+1</f>
        <v>32</v>
      </c>
      <c r="C4" s="2" t="str" cm="1">
        <f t="array" aca="1" ref="C4" ca="1">INDIRECT(ADDRESS($B4,2,1,1,"mkt data"))</f>
        <v>BTCX6</v>
      </c>
      <c r="D4" s="1" cm="1">
        <f t="array" aca="1" ref="D4" ca="1">INDIRECT(ADDRESS($B4,24,1,1,"mkt data"))</f>
        <v>60</v>
      </c>
      <c r="E4" s="151" cm="1">
        <f t="array" aca="1" ref="E4" ca="1">INDIRECT(ADDRESS($B4,11,1,1,"mkt data"))</f>
        <v>83900</v>
      </c>
      <c r="F4" s="152">
        <f t="shared" ref="F4:F8" ca="1" si="0">AVERAGE(E4,G4)</f>
        <v>83927.5</v>
      </c>
      <c r="G4" s="153" cm="1">
        <f t="array" aca="1" ref="G4" ca="1">INDIRECT(ADDRESS($B4,12,1,1,"mkt data"))</f>
        <v>83955</v>
      </c>
      <c r="H4" s="172" t="str">
        <f ca="1">C3</f>
        <v>BTCV6</v>
      </c>
      <c r="I4" s="173" t="str">
        <f ca="1">C4</f>
        <v>BTCX6</v>
      </c>
      <c r="J4" s="150">
        <f t="shared" ref="J4:M8" ca="1" si="1">D4-D3</f>
        <v>28</v>
      </c>
      <c r="K4" s="241">
        <f t="shared" ca="1" si="1"/>
        <v>365</v>
      </c>
      <c r="L4" s="152">
        <f t="shared" ca="1" si="1"/>
        <v>377.5</v>
      </c>
      <c r="M4" s="241">
        <f ca="1">G4-G3</f>
        <v>390</v>
      </c>
      <c r="N4" s="153">
        <f ca="1">M4-K4</f>
        <v>25</v>
      </c>
      <c r="O4" s="182" t="str">
        <f t="shared" ref="O4:P20" ca="1" si="2">H4</f>
        <v>BTCV6</v>
      </c>
      <c r="P4" s="183" t="str">
        <f t="shared" ca="1" si="2"/>
        <v>BTCX6</v>
      </c>
      <c r="Q4" s="187">
        <f ca="1">IF(J4=35,80%,100%)</f>
        <v>1</v>
      </c>
      <c r="R4" s="152">
        <f ca="1">$K4*$Q4</f>
        <v>365</v>
      </c>
      <c r="S4" s="152">
        <f ca="1">$L4*$Q4</f>
        <v>377.5</v>
      </c>
      <c r="T4" s="152">
        <f ca="1">$M4*$Q4</f>
        <v>390</v>
      </c>
      <c r="U4" s="188">
        <f ca="1">T4-R4</f>
        <v>25</v>
      </c>
      <c r="V4" s="182" t="str">
        <f t="shared" ref="V4:V8" ca="1" si="3">O4</f>
        <v>BTCV6</v>
      </c>
      <c r="W4" s="183" t="str">
        <f t="shared" ref="W4:W8" ca="1" si="4">P4</f>
        <v>BTCX6</v>
      </c>
      <c r="X4" s="187">
        <f ca="1">Q4/80%</f>
        <v>1.25</v>
      </c>
      <c r="Y4" s="152">
        <f ca="1">$K4*$X4</f>
        <v>456.25</v>
      </c>
      <c r="Z4" s="152">
        <f ca="1">$L4*$X4</f>
        <v>471.875</v>
      </c>
      <c r="AA4" s="152">
        <f ca="1">$M4*$X4</f>
        <v>487.5</v>
      </c>
      <c r="AB4" s="188">
        <f ca="1">AA4-Y4</f>
        <v>31.25</v>
      </c>
      <c r="AC4" s="182" t="str">
        <f t="shared" ref="AC4:AC8" ca="1" si="5">V4</f>
        <v>BTCV6</v>
      </c>
      <c r="AD4" s="183" t="str">
        <f t="shared" ref="AD4:AD8" ca="1" si="6">W4</f>
        <v>BTCX6</v>
      </c>
      <c r="AE4" s="224">
        <f ca="1">J4/$AE$21</f>
        <v>7.7777777777777779E-2</v>
      </c>
      <c r="AF4" s="227">
        <f ca="1">K4/$F3/$AE4</f>
        <v>5.6168248268786872E-2</v>
      </c>
      <c r="AG4" s="227">
        <f t="shared" ref="AG4:AG8" ca="1" si="7">L4/$F3/$AE4</f>
        <v>5.8091818414978201E-2</v>
      </c>
      <c r="AH4" s="227">
        <f t="shared" ref="AH4:AH8" ca="1" si="8">M4/$F3/$AE4</f>
        <v>6.001538856116953E-2</v>
      </c>
      <c r="AI4" s="237">
        <f ca="1">AH4-AF4</f>
        <v>3.8471402923826586E-3</v>
      </c>
    </row>
    <row r="5" spans="1:54" x14ac:dyDescent="0.25">
      <c r="A5" s="389"/>
      <c r="B5" s="222">
        <f t="shared" ref="B5:B14" si="9">B4+1</f>
        <v>33</v>
      </c>
      <c r="C5" s="2" t="str" cm="1">
        <f t="array" aca="1" ref="C5" ca="1">INDIRECT(ADDRESS($B5,2,1,1,"mkt data"))</f>
        <v>BTCZ6</v>
      </c>
      <c r="D5" s="1" cm="1">
        <f t="array" aca="1" ref="D5" ca="1">INDIRECT(ADDRESS($B5,24,1,1,"mkt data"))</f>
        <v>87</v>
      </c>
      <c r="E5" s="151" cm="1">
        <f t="array" aca="1" ref="E5" ca="1">INDIRECT(ADDRESS($B5,11,1,1,"mkt data"))</f>
        <v>84245</v>
      </c>
      <c r="F5" s="152">
        <f t="shared" ca="1" si="0"/>
        <v>84295</v>
      </c>
      <c r="G5" s="153" cm="1">
        <f t="array" aca="1" ref="G5" ca="1">INDIRECT(ADDRESS($B5,12,1,1,"mkt data"))</f>
        <v>84345</v>
      </c>
      <c r="H5" s="172" t="str">
        <f ca="1">C4</f>
        <v>BTCX6</v>
      </c>
      <c r="I5" s="173" t="str">
        <f ca="1">C5</f>
        <v>BTCZ6</v>
      </c>
      <c r="J5" s="150">
        <f t="shared" ca="1" si="1"/>
        <v>27</v>
      </c>
      <c r="K5" s="241">
        <f ca="1">E5-E4</f>
        <v>345</v>
      </c>
      <c r="L5" s="152">
        <f t="shared" ca="1" si="1"/>
        <v>367.5</v>
      </c>
      <c r="M5" s="241">
        <f ca="1">G5-G4</f>
        <v>390</v>
      </c>
      <c r="N5" s="153">
        <f t="shared" ref="N5:N8" ca="1" si="10">M5-K5</f>
        <v>45</v>
      </c>
      <c r="O5" s="182" t="str">
        <f t="shared" ca="1" si="2"/>
        <v>BTCX6</v>
      </c>
      <c r="P5" s="183" t="str">
        <f t="shared" ca="1" si="2"/>
        <v>BTCZ6</v>
      </c>
      <c r="Q5" s="187">
        <f ca="1">IF(J5=35,80%,100%)</f>
        <v>1</v>
      </c>
      <c r="R5" s="152">
        <f ca="1">$K5*$Q5</f>
        <v>345</v>
      </c>
      <c r="S5" s="152">
        <f ca="1">$L5*$Q5</f>
        <v>367.5</v>
      </c>
      <c r="T5" s="152">
        <f ca="1">$M5*$Q5</f>
        <v>390</v>
      </c>
      <c r="U5" s="188">
        <f t="shared" ref="U5:U20" ca="1" si="11">T5-R5</f>
        <v>45</v>
      </c>
      <c r="V5" s="182" t="str">
        <f t="shared" ca="1" si="3"/>
        <v>BTCX6</v>
      </c>
      <c r="W5" s="183" t="str">
        <f t="shared" ca="1" si="4"/>
        <v>BTCZ6</v>
      </c>
      <c r="X5" s="187">
        <f ca="1">Q5/80%</f>
        <v>1.25</v>
      </c>
      <c r="Y5" s="152">
        <f ca="1">$K5*$X5</f>
        <v>431.25</v>
      </c>
      <c r="Z5" s="152">
        <f ca="1">$L5*$X5</f>
        <v>459.375</v>
      </c>
      <c r="AA5" s="152">
        <f ca="1">$M5*$X5</f>
        <v>487.5</v>
      </c>
      <c r="AB5" s="188">
        <f t="shared" ref="AB5:AB8" ca="1" si="12">AA5-Y5</f>
        <v>56.25</v>
      </c>
      <c r="AC5" s="182" t="str">
        <f t="shared" ca="1" si="5"/>
        <v>BTCX6</v>
      </c>
      <c r="AD5" s="183" t="str">
        <f t="shared" ca="1" si="6"/>
        <v>BTCZ6</v>
      </c>
      <c r="AE5" s="224">
        <f t="shared" ref="AE5:AE8" ca="1" si="13">J5/$AE$21</f>
        <v>7.4999999999999997E-2</v>
      </c>
      <c r="AF5" s="227">
        <f t="shared" ref="AF5:AF8" ca="1" si="14">K5/$F4/$AE5</f>
        <v>5.4809210330344638E-2</v>
      </c>
      <c r="AG5" s="227">
        <f t="shared" ca="1" si="7"/>
        <v>5.8383724047541032E-2</v>
      </c>
      <c r="AH5" s="227">
        <f t="shared" ca="1" si="8"/>
        <v>6.1958237764737426E-2</v>
      </c>
      <c r="AI5" s="237">
        <f t="shared" ref="AI5:AI20" ca="1" si="15">AH5-AF5</f>
        <v>7.1490274343927879E-3</v>
      </c>
    </row>
    <row r="6" spans="1:54" x14ac:dyDescent="0.25">
      <c r="A6" s="389"/>
      <c r="B6" s="222">
        <f t="shared" si="9"/>
        <v>34</v>
      </c>
      <c r="C6" s="2" t="str" cm="1">
        <f t="array" aca="1" ref="C6" ca="1">INDIRECT(ADDRESS($B6,2,1,1,"mkt data"))</f>
        <v>BTCF7</v>
      </c>
      <c r="D6" s="1" cm="1">
        <f t="array" aca="1" ref="D6" ca="1">INDIRECT(ADDRESS($B6,24,1,1,"mkt data"))</f>
        <v>123</v>
      </c>
      <c r="E6" s="151" cm="1">
        <f t="array" aca="1" ref="E6" ca="1">INDIRECT(ADDRESS($B6,11,1,1,"mkt data"))</f>
        <v>84635</v>
      </c>
      <c r="F6" s="152">
        <f t="shared" ca="1" si="0"/>
        <v>84727.5</v>
      </c>
      <c r="G6" s="153" cm="1">
        <f t="array" aca="1" ref="G6" ca="1">INDIRECT(ADDRESS($B6,12,1,1,"mkt data"))</f>
        <v>84820</v>
      </c>
      <c r="H6" s="172" t="str">
        <f ca="1">C5</f>
        <v>BTCZ6</v>
      </c>
      <c r="I6" s="173" t="str">
        <f ca="1">C6</f>
        <v>BTCF7</v>
      </c>
      <c r="J6" s="150">
        <f t="shared" ca="1" si="1"/>
        <v>36</v>
      </c>
      <c r="K6" s="151">
        <f t="shared" ca="1" si="1"/>
        <v>390</v>
      </c>
      <c r="L6" s="152">
        <f t="shared" ca="1" si="1"/>
        <v>432.5</v>
      </c>
      <c r="M6" s="151">
        <f ca="1">G6-G5</f>
        <v>475</v>
      </c>
      <c r="N6" s="153">
        <f t="shared" ca="1" si="10"/>
        <v>85</v>
      </c>
      <c r="O6" s="182" t="str">
        <f t="shared" ca="1" si="2"/>
        <v>BTCZ6</v>
      </c>
      <c r="P6" s="183" t="str">
        <f t="shared" ca="1" si="2"/>
        <v>BTCF7</v>
      </c>
      <c r="Q6" s="187">
        <f ca="1">IF(J6=35,80%,100%)</f>
        <v>1</v>
      </c>
      <c r="R6" s="152">
        <f ca="1">$K6*$Q6</f>
        <v>390</v>
      </c>
      <c r="S6" s="152">
        <f ca="1">$L6*$Q6</f>
        <v>432.5</v>
      </c>
      <c r="T6" s="152">
        <f ca="1">$M6*$Q6</f>
        <v>475</v>
      </c>
      <c r="U6" s="188">
        <f t="shared" ca="1" si="11"/>
        <v>85</v>
      </c>
      <c r="V6" s="182" t="str">
        <f t="shared" ca="1" si="3"/>
        <v>BTCZ6</v>
      </c>
      <c r="W6" s="183" t="str">
        <f t="shared" ca="1" si="4"/>
        <v>BTCF7</v>
      </c>
      <c r="X6" s="187">
        <f ca="1">Q6/80%</f>
        <v>1.25</v>
      </c>
      <c r="Y6" s="152">
        <f ca="1">$K6*$X6</f>
        <v>487.5</v>
      </c>
      <c r="Z6" s="152">
        <f ca="1">$L6*$X6</f>
        <v>540.625</v>
      </c>
      <c r="AA6" s="152">
        <f ca="1">$M6*$X6</f>
        <v>593.75</v>
      </c>
      <c r="AB6" s="188">
        <f t="shared" ca="1" si="12"/>
        <v>106.25</v>
      </c>
      <c r="AC6" s="182" t="str">
        <f t="shared" ca="1" si="5"/>
        <v>BTCZ6</v>
      </c>
      <c r="AD6" s="183" t="str">
        <f t="shared" ca="1" si="6"/>
        <v>BTCF7</v>
      </c>
      <c r="AE6" s="224">
        <f t="shared" ca="1" si="13"/>
        <v>0.1</v>
      </c>
      <c r="AF6" s="227">
        <f t="shared" ca="1" si="14"/>
        <v>4.6266089329141703E-2</v>
      </c>
      <c r="AG6" s="227">
        <f t="shared" ca="1" si="7"/>
        <v>5.1307906756035353E-2</v>
      </c>
      <c r="AH6" s="227">
        <f t="shared" ca="1" si="8"/>
        <v>5.6349724182928995E-2</v>
      </c>
      <c r="AI6" s="237">
        <f t="shared" ca="1" si="15"/>
        <v>1.0083634853787292E-2</v>
      </c>
    </row>
    <row r="7" spans="1:54" x14ac:dyDescent="0.25">
      <c r="A7" s="389"/>
      <c r="B7" s="222">
        <f t="shared" si="9"/>
        <v>35</v>
      </c>
      <c r="C7" s="2" t="str" cm="1">
        <f t="array" aca="1" ref="C7" ca="1">INDIRECT(ADDRESS($B7,2,1,1,"mkt data"))</f>
        <v>BTCG7</v>
      </c>
      <c r="D7" s="1" cm="1">
        <f t="array" aca="1" ref="D7" ca="1">INDIRECT(ADDRESS($B7,24,1,1,"mkt data"))</f>
        <v>151</v>
      </c>
      <c r="E7" s="151" cm="1">
        <f t="array" aca="1" ref="E7" ca="1">INDIRECT(ADDRESS($B7,11,1,1,"mkt data"))</f>
        <v>84895</v>
      </c>
      <c r="F7" s="152">
        <f t="shared" ca="1" si="0"/>
        <v>85060</v>
      </c>
      <c r="G7" s="153" cm="1">
        <f t="array" aca="1" ref="G7" ca="1">INDIRECT(ADDRESS($B7,12,1,1,"mkt data"))</f>
        <v>85225</v>
      </c>
      <c r="H7" s="172" t="str">
        <f ca="1">C6</f>
        <v>BTCF7</v>
      </c>
      <c r="I7" s="173" t="str">
        <f ca="1">C7</f>
        <v>BTCG7</v>
      </c>
      <c r="J7" s="150">
        <f t="shared" ca="1" si="1"/>
        <v>28</v>
      </c>
      <c r="K7" s="151">
        <f t="shared" ca="1" si="1"/>
        <v>260</v>
      </c>
      <c r="L7" s="152">
        <f t="shared" ca="1" si="1"/>
        <v>332.5</v>
      </c>
      <c r="M7" s="151">
        <f t="shared" ca="1" si="1"/>
        <v>405</v>
      </c>
      <c r="N7" s="153">
        <f t="shared" ca="1" si="10"/>
        <v>145</v>
      </c>
      <c r="O7" s="182" t="str">
        <f t="shared" ca="1" si="2"/>
        <v>BTCF7</v>
      </c>
      <c r="P7" s="183" t="str">
        <f t="shared" ca="1" si="2"/>
        <v>BTCG7</v>
      </c>
      <c r="Q7" s="187">
        <f ca="1">IF(J7=35,80%,100%)</f>
        <v>1</v>
      </c>
      <c r="R7" s="152">
        <f ca="1">$K7*$Q7</f>
        <v>260</v>
      </c>
      <c r="S7" s="152">
        <f ca="1">$L7*$Q7</f>
        <v>332.5</v>
      </c>
      <c r="T7" s="152">
        <f ca="1">$M7*$Q7</f>
        <v>405</v>
      </c>
      <c r="U7" s="188">
        <f t="shared" ca="1" si="11"/>
        <v>145</v>
      </c>
      <c r="V7" s="182" t="str">
        <f t="shared" ca="1" si="3"/>
        <v>BTCF7</v>
      </c>
      <c r="W7" s="183" t="str">
        <f t="shared" ca="1" si="4"/>
        <v>BTCG7</v>
      </c>
      <c r="X7" s="187">
        <f ca="1">Q7/80%</f>
        <v>1.25</v>
      </c>
      <c r="Y7" s="152">
        <f ca="1">$K7*$X7</f>
        <v>325</v>
      </c>
      <c r="Z7" s="152">
        <f ca="1">$L7*$X7</f>
        <v>415.625</v>
      </c>
      <c r="AA7" s="152">
        <f ca="1">$M7*$X7</f>
        <v>506.25</v>
      </c>
      <c r="AB7" s="188">
        <f t="shared" ca="1" si="12"/>
        <v>181.25</v>
      </c>
      <c r="AC7" s="182" t="str">
        <f t="shared" ca="1" si="5"/>
        <v>BTCF7</v>
      </c>
      <c r="AD7" s="183" t="str">
        <f t="shared" ca="1" si="6"/>
        <v>BTCG7</v>
      </c>
      <c r="AE7" s="224">
        <f t="shared" ca="1" si="13"/>
        <v>7.7777777777777779E-2</v>
      </c>
      <c r="AF7" s="227">
        <f t="shared" ca="1" si="14"/>
        <v>3.9454216669406537E-2</v>
      </c>
      <c r="AG7" s="227">
        <f t="shared" ca="1" si="7"/>
        <v>5.045587324068336E-2</v>
      </c>
      <c r="AH7" s="227">
        <f t="shared" ca="1" si="8"/>
        <v>6.145752981196019E-2</v>
      </c>
      <c r="AI7" s="237">
        <f t="shared" ca="1" si="15"/>
        <v>2.2003313142553653E-2</v>
      </c>
    </row>
    <row r="8" spans="1:54" ht="15.75" thickBot="1" x14ac:dyDescent="0.3">
      <c r="A8" s="390"/>
      <c r="B8" s="222">
        <f t="shared" si="9"/>
        <v>36</v>
      </c>
      <c r="C8" s="2" t="str" cm="1">
        <f t="array" aca="1" ref="C8" ca="1">INDIRECT(ADDRESS($B8,2,1,1,"mkt data"))</f>
        <v>BTCH7</v>
      </c>
      <c r="D8" s="1" cm="1">
        <f t="array" aca="1" ref="D8" ca="1">INDIRECT(ADDRESS($B8,24,1,1,"mkt data"))</f>
        <v>178</v>
      </c>
      <c r="E8" s="151" cm="1">
        <f t="array" aca="1" ref="E8" ca="1">INDIRECT(ADDRESS($B8,11,1,1,"mkt data"))</f>
        <v>85035</v>
      </c>
      <c r="F8" s="152">
        <f t="shared" ca="1" si="0"/>
        <v>85405</v>
      </c>
      <c r="G8" s="153" cm="1">
        <f t="array" aca="1" ref="G8" ca="1">INDIRECT(ADDRESS($B8,12,1,1,"mkt data"))</f>
        <v>85775</v>
      </c>
      <c r="H8" s="172" t="str">
        <f ca="1">C7</f>
        <v>BTCG7</v>
      </c>
      <c r="I8" s="173" t="str">
        <f ca="1">C8</f>
        <v>BTCH7</v>
      </c>
      <c r="J8" s="154">
        <f t="shared" ca="1" si="1"/>
        <v>27</v>
      </c>
      <c r="K8" s="157">
        <f t="shared" ca="1" si="1"/>
        <v>140</v>
      </c>
      <c r="L8" s="158">
        <f t="shared" ca="1" si="1"/>
        <v>345</v>
      </c>
      <c r="M8" s="157">
        <f t="shared" ca="1" si="1"/>
        <v>550</v>
      </c>
      <c r="N8" s="159">
        <f t="shared" ca="1" si="10"/>
        <v>410</v>
      </c>
      <c r="O8" s="182" t="str">
        <f t="shared" ca="1" si="2"/>
        <v>BTCG7</v>
      </c>
      <c r="P8" s="183" t="str">
        <f t="shared" ca="1" si="2"/>
        <v>BTCH7</v>
      </c>
      <c r="Q8" s="189">
        <f ca="1">IF(J8=35,80%,100%)</f>
        <v>1</v>
      </c>
      <c r="R8" s="158">
        <f ca="1">$K8*$Q8</f>
        <v>140</v>
      </c>
      <c r="S8" s="158">
        <f ca="1">$L8*$Q8</f>
        <v>345</v>
      </c>
      <c r="T8" s="158">
        <f ca="1">$M8*$Q8</f>
        <v>550</v>
      </c>
      <c r="U8" s="190">
        <f t="shared" ca="1" si="11"/>
        <v>410</v>
      </c>
      <c r="V8" s="182" t="str">
        <f t="shared" ca="1" si="3"/>
        <v>BTCG7</v>
      </c>
      <c r="W8" s="183" t="str">
        <f t="shared" ca="1" si="4"/>
        <v>BTCH7</v>
      </c>
      <c r="X8" s="189">
        <f ca="1">Q8/80%</f>
        <v>1.25</v>
      </c>
      <c r="Y8" s="158">
        <f ca="1">$K8*$X8</f>
        <v>175</v>
      </c>
      <c r="Z8" s="158">
        <f ca="1">$L8*$X8</f>
        <v>431.25</v>
      </c>
      <c r="AA8" s="158">
        <f ca="1">$M8*$X8</f>
        <v>687.5</v>
      </c>
      <c r="AB8" s="190">
        <f t="shared" ca="1" si="12"/>
        <v>512.5</v>
      </c>
      <c r="AC8" s="182" t="str">
        <f t="shared" ca="1" si="5"/>
        <v>BTCG7</v>
      </c>
      <c r="AD8" s="183" t="str">
        <f t="shared" ca="1" si="6"/>
        <v>BTCH7</v>
      </c>
      <c r="AE8" s="225">
        <f t="shared" ca="1" si="13"/>
        <v>7.4999999999999997E-2</v>
      </c>
      <c r="AF8" s="230">
        <f t="shared" ca="1" si="14"/>
        <v>2.194529351830081E-2</v>
      </c>
      <c r="AG8" s="230">
        <f t="shared" ca="1" si="7"/>
        <v>5.407947331295556E-2</v>
      </c>
      <c r="AH8" s="230">
        <f t="shared" ca="1" si="8"/>
        <v>8.6213653107610325E-2</v>
      </c>
      <c r="AI8" s="238">
        <f t="shared" ca="1" si="15"/>
        <v>6.4268359589309515E-2</v>
      </c>
    </row>
    <row r="9" spans="1:54" x14ac:dyDescent="0.25">
      <c r="A9" s="388" t="s">
        <v>45</v>
      </c>
      <c r="B9" s="295">
        <v>4</v>
      </c>
      <c r="C9" s="169" t="str" cm="1">
        <f t="array" aca="1" ref="C9" ca="1">INDIRECT(ADDRESS($B9,2,1,1,"mkt data"))</f>
        <v>b/o BTCV6</v>
      </c>
      <c r="D9" s="160">
        <f ca="1">D3</f>
        <v>32</v>
      </c>
      <c r="E9" s="161" cm="1">
        <f t="array" aca="1" ref="E9" ca="1">INDIRECT(ADDRESS($B9,11,1,1,"mkt data"))</f>
        <v>83535</v>
      </c>
      <c r="F9" s="162">
        <f ca="1">AVERAGE(E9,G9)</f>
        <v>83550</v>
      </c>
      <c r="G9" s="163" cm="1">
        <f t="array" aca="1" ref="G9" ca="1">INDIRECT(ADDRESS($B9,12,1,1,"mkt data"))</f>
        <v>83565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89"/>
      <c r="B10" s="222">
        <f t="shared" si="9"/>
        <v>5</v>
      </c>
      <c r="C10" s="2" t="str" cm="1">
        <f t="array" aca="1" ref="C10" ca="1">INDIRECT(ADDRESS($B10,2,1,1,"mkt data"))</f>
        <v>b/o BTCX6</v>
      </c>
      <c r="D10" s="1">
        <f t="shared" ref="D10:D14" ca="1" si="16">D4</f>
        <v>60</v>
      </c>
      <c r="E10" s="151" cm="1">
        <f t="array" aca="1" ref="E10" ca="1">INDIRECT(ADDRESS($B10,11,1,1,"mkt data"))</f>
        <v>83907</v>
      </c>
      <c r="F10" s="152">
        <f t="shared" ref="F10:F20" ca="1" si="17">AVERAGE(E10,G10)</f>
        <v>83924</v>
      </c>
      <c r="G10" s="153" cm="1">
        <f t="array" aca="1" ref="G10" ca="1">INDIRECT(ADDRESS($B10,12,1,1,"mkt data"))</f>
        <v>83941</v>
      </c>
      <c r="H10" s="172" t="str">
        <f ca="1">C9</f>
        <v>b/o BTCV6</v>
      </c>
      <c r="I10" s="173" t="str">
        <f ca="1">C10</f>
        <v>b/o BTCX6</v>
      </c>
      <c r="J10" s="150">
        <f ca="1">J4</f>
        <v>28</v>
      </c>
      <c r="K10" s="151">
        <f ca="1">E10-E9</f>
        <v>372</v>
      </c>
      <c r="L10" s="360">
        <f ca="1">F10-F9</f>
        <v>374</v>
      </c>
      <c r="M10" s="151">
        <f t="shared" ref="K10:M14" ca="1" si="18">G10-G9</f>
        <v>376</v>
      </c>
      <c r="N10" s="153">
        <f ca="1">M10-K10</f>
        <v>4</v>
      </c>
      <c r="O10" s="172" t="str">
        <f t="shared" ca="1" si="2"/>
        <v>b/o BTCV6</v>
      </c>
      <c r="P10" s="173" t="str">
        <f t="shared" ca="1" si="2"/>
        <v>b/o BTCX6</v>
      </c>
      <c r="Q10" s="180">
        <f ca="1">Q4</f>
        <v>1</v>
      </c>
      <c r="R10" s="151">
        <f ca="1">$K10*$Q10</f>
        <v>372</v>
      </c>
      <c r="S10" s="152">
        <f ca="1">$L10*$Q10</f>
        <v>374</v>
      </c>
      <c r="T10" s="151">
        <f ca="1">$M10*$Q10</f>
        <v>376</v>
      </c>
      <c r="U10" s="153">
        <f t="shared" ca="1" si="11"/>
        <v>4</v>
      </c>
      <c r="V10" s="172" t="str">
        <f t="shared" ref="V10:V14" ca="1" si="19">O10</f>
        <v>b/o BTCV6</v>
      </c>
      <c r="W10" s="173" t="str">
        <f t="shared" ref="W10:W14" ca="1" si="20">P10</f>
        <v>b/o BTCX6</v>
      </c>
      <c r="X10" s="180">
        <f ca="1">X4</f>
        <v>1.25</v>
      </c>
      <c r="Y10" s="151">
        <f ca="1">$K10*$X10</f>
        <v>465</v>
      </c>
      <c r="Z10" s="152">
        <f ca="1">$L10*$X10</f>
        <v>467.5</v>
      </c>
      <c r="AA10" s="151">
        <f ca="1">$M10*$X10</f>
        <v>470</v>
      </c>
      <c r="AB10" s="153">
        <f t="shared" ref="AB10:AB14" ca="1" si="21">AA10-Y10</f>
        <v>5</v>
      </c>
      <c r="AC10" s="172" t="str">
        <f t="shared" ref="AC10:AC14" ca="1" si="22">V10</f>
        <v>b/o BTCV6</v>
      </c>
      <c r="AD10" s="173" t="str">
        <f t="shared" ref="AD10:AD14" ca="1" si="23">W10</f>
        <v>b/o BTCX6</v>
      </c>
      <c r="AE10" s="224">
        <f ca="1">J10/$AE$21</f>
        <v>7.7777777777777779E-2</v>
      </c>
      <c r="AF10" s="228">
        <f ca="1">K10/$F9/$AE10</f>
        <v>5.7245447550654006E-2</v>
      </c>
      <c r="AG10" s="227">
        <f t="shared" ref="AG10:AG14" ca="1" si="24">L10/$F9/$AE10</f>
        <v>5.7553218774044623E-2</v>
      </c>
      <c r="AH10" s="228">
        <f t="shared" ref="AH10:AH14" ca="1" si="25">M10/$F9/$AE10</f>
        <v>5.7860989997435233E-2</v>
      </c>
      <c r="AI10" s="232">
        <f t="shared" ca="1" si="15"/>
        <v>6.1554244678122677E-4</v>
      </c>
    </row>
    <row r="11" spans="1:54" x14ac:dyDescent="0.25">
      <c r="A11" s="389"/>
      <c r="B11" s="222">
        <f t="shared" si="9"/>
        <v>6</v>
      </c>
      <c r="C11" s="2" t="str" cm="1">
        <f t="array" aca="1" ref="C11" ca="1">INDIRECT(ADDRESS($B11,2,1,1,"mkt data"))</f>
        <v>b/o BTCZ6</v>
      </c>
      <c r="D11" s="1">
        <f t="shared" ca="1" si="16"/>
        <v>87</v>
      </c>
      <c r="E11" s="151" cm="1">
        <f t="array" aca="1" ref="E11" ca="1">INDIRECT(ADDRESS($B11,11,1,1,"mkt data"))</f>
        <v>84271</v>
      </c>
      <c r="F11" s="152">
        <f t="shared" ca="1" si="17"/>
        <v>84299</v>
      </c>
      <c r="G11" s="153" cm="1">
        <f t="array" aca="1" ref="G11" ca="1">INDIRECT(ADDRESS($B11,12,1,1,"mkt data"))</f>
        <v>84327</v>
      </c>
      <c r="H11" s="172" t="str">
        <f ca="1">C10</f>
        <v>b/o BTCX6</v>
      </c>
      <c r="I11" s="173" t="str">
        <f ca="1">C11</f>
        <v>b/o BTCZ6</v>
      </c>
      <c r="J11" s="150">
        <f t="shared" ref="J11:J14" ca="1" si="26">J5</f>
        <v>27</v>
      </c>
      <c r="K11" s="151">
        <f ca="1">E11-E10</f>
        <v>364</v>
      </c>
      <c r="L11" s="360">
        <f t="shared" ca="1" si="18"/>
        <v>375</v>
      </c>
      <c r="M11" s="151">
        <f ca="1">G11-G10</f>
        <v>386</v>
      </c>
      <c r="N11" s="153">
        <f t="shared" ref="N11:N14" ca="1" si="27">M11-K11</f>
        <v>22</v>
      </c>
      <c r="O11" s="172" t="str">
        <f t="shared" ca="1" si="2"/>
        <v>b/o BTCX6</v>
      </c>
      <c r="P11" s="173" t="str">
        <f t="shared" ca="1" si="2"/>
        <v>b/o BTCZ6</v>
      </c>
      <c r="Q11" s="180">
        <f ca="1">Q5</f>
        <v>1</v>
      </c>
      <c r="R11" s="151">
        <f ca="1">$K11*$Q11</f>
        <v>364</v>
      </c>
      <c r="S11" s="152">
        <f ca="1">$L11*$Q11</f>
        <v>375</v>
      </c>
      <c r="T11" s="151">
        <f ca="1">$M11*$Q11</f>
        <v>386</v>
      </c>
      <c r="U11" s="153">
        <f t="shared" ca="1" si="11"/>
        <v>22</v>
      </c>
      <c r="V11" s="172" t="str">
        <f t="shared" ca="1" si="19"/>
        <v>b/o BTCX6</v>
      </c>
      <c r="W11" s="173" t="str">
        <f t="shared" ca="1" si="20"/>
        <v>b/o BTCZ6</v>
      </c>
      <c r="X11" s="180">
        <f ca="1">X5</f>
        <v>1.25</v>
      </c>
      <c r="Y11" s="151">
        <f ca="1">$K11*$X11</f>
        <v>455</v>
      </c>
      <c r="Z11" s="152">
        <f ca="1">$L11*$X11</f>
        <v>468.75</v>
      </c>
      <c r="AA11" s="151">
        <f ca="1">$M11*$X11</f>
        <v>482.5</v>
      </c>
      <c r="AB11" s="153">
        <f t="shared" ca="1" si="21"/>
        <v>27.5</v>
      </c>
      <c r="AC11" s="172" t="str">
        <f t="shared" ca="1" si="22"/>
        <v>b/o BTCX6</v>
      </c>
      <c r="AD11" s="173" t="str">
        <f t="shared" ca="1" si="23"/>
        <v>b/o BTCZ6</v>
      </c>
      <c r="AE11" s="224">
        <f t="shared" ref="AE11:AE14" ca="1" si="28">J11/$AE$21</f>
        <v>7.4999999999999997E-2</v>
      </c>
      <c r="AF11" s="228">
        <f t="shared" ref="AF11:AF14" ca="1" si="29">K11/$F10/$AE11</f>
        <v>5.7830100249432033E-2</v>
      </c>
      <c r="AG11" s="227">
        <f t="shared" ca="1" si="24"/>
        <v>5.9577713169057724E-2</v>
      </c>
      <c r="AH11" s="228">
        <f t="shared" ca="1" si="25"/>
        <v>6.1325326088683407E-2</v>
      </c>
      <c r="AI11" s="232">
        <f t="shared" ca="1" si="15"/>
        <v>3.4952258392513744E-3</v>
      </c>
    </row>
    <row r="12" spans="1:54" x14ac:dyDescent="0.25">
      <c r="A12" s="389"/>
      <c r="B12" s="222">
        <f t="shared" si="9"/>
        <v>7</v>
      </c>
      <c r="C12" s="2" t="str" cm="1">
        <f t="array" aca="1" ref="C12" ca="1">INDIRECT(ADDRESS($B12,2,1,1,"mkt data"))</f>
        <v>b/o BTCF7</v>
      </c>
      <c r="D12" s="1">
        <f t="shared" ca="1" si="16"/>
        <v>123</v>
      </c>
      <c r="E12" s="151" cm="1">
        <f t="array" aca="1" ref="E12" ca="1">INDIRECT(ADDRESS($B12,11,1,1,"mkt data"))</f>
        <v>84683</v>
      </c>
      <c r="F12" s="152">
        <f t="shared" ca="1" si="17"/>
        <v>84729.5</v>
      </c>
      <c r="G12" s="153" cm="1">
        <f t="array" aca="1" ref="G12" ca="1">INDIRECT(ADDRESS($B12,12,1,1,"mkt data"))</f>
        <v>84776</v>
      </c>
      <c r="H12" s="172" t="str">
        <f ca="1">C11</f>
        <v>b/o BTCZ6</v>
      </c>
      <c r="I12" s="173" t="str">
        <f ca="1">C12</f>
        <v>b/o BTCF7</v>
      </c>
      <c r="J12" s="150">
        <f t="shared" ca="1" si="26"/>
        <v>36</v>
      </c>
      <c r="K12" s="151">
        <f t="shared" ca="1" si="18"/>
        <v>412</v>
      </c>
      <c r="L12" s="360">
        <f t="shared" ca="1" si="18"/>
        <v>430.5</v>
      </c>
      <c r="M12" s="151">
        <f t="shared" ca="1" si="18"/>
        <v>449</v>
      </c>
      <c r="N12" s="153">
        <f t="shared" ca="1" si="27"/>
        <v>37</v>
      </c>
      <c r="O12" s="172" t="str">
        <f t="shared" ca="1" si="2"/>
        <v>b/o BTCZ6</v>
      </c>
      <c r="P12" s="173" t="str">
        <f t="shared" ca="1" si="2"/>
        <v>b/o BTCF7</v>
      </c>
      <c r="Q12" s="180">
        <f ca="1">Q6</f>
        <v>1</v>
      </c>
      <c r="R12" s="151">
        <f ca="1">$K12*$Q12</f>
        <v>412</v>
      </c>
      <c r="S12" s="152">
        <f ca="1">$L12*$Q12</f>
        <v>430.5</v>
      </c>
      <c r="T12" s="151">
        <f ca="1">$M12*$Q12</f>
        <v>449</v>
      </c>
      <c r="U12" s="153">
        <f t="shared" ca="1" si="11"/>
        <v>37</v>
      </c>
      <c r="V12" s="172" t="str">
        <f t="shared" ca="1" si="19"/>
        <v>b/o BTCZ6</v>
      </c>
      <c r="W12" s="173" t="str">
        <f t="shared" ca="1" si="20"/>
        <v>b/o BTCF7</v>
      </c>
      <c r="X12" s="180">
        <f ca="1">X6</f>
        <v>1.25</v>
      </c>
      <c r="Y12" s="151">
        <f ca="1">$K12*$X12</f>
        <v>515</v>
      </c>
      <c r="Z12" s="152">
        <f ca="1">$L12*$X12</f>
        <v>538.125</v>
      </c>
      <c r="AA12" s="151">
        <f ca="1">$M12*$X12</f>
        <v>561.25</v>
      </c>
      <c r="AB12" s="153">
        <f t="shared" ca="1" si="21"/>
        <v>46.25</v>
      </c>
      <c r="AC12" s="172" t="str">
        <f t="shared" ca="1" si="22"/>
        <v>b/o BTCZ6</v>
      </c>
      <c r="AD12" s="173" t="str">
        <f t="shared" ca="1" si="23"/>
        <v>b/o BTCF7</v>
      </c>
      <c r="AE12" s="224">
        <f t="shared" ca="1" si="28"/>
        <v>0.1</v>
      </c>
      <c r="AF12" s="228">
        <f t="shared" ca="1" si="29"/>
        <v>4.8873652119242224E-2</v>
      </c>
      <c r="AG12" s="227">
        <f t="shared" ca="1" si="24"/>
        <v>5.106822144983926E-2</v>
      </c>
      <c r="AH12" s="228">
        <f t="shared" ca="1" si="25"/>
        <v>5.3262790780436303E-2</v>
      </c>
      <c r="AI12" s="232">
        <f t="shared" ca="1" si="15"/>
        <v>4.3891386611940794E-3</v>
      </c>
    </row>
    <row r="13" spans="1:54" x14ac:dyDescent="0.25">
      <c r="A13" s="389"/>
      <c r="B13" s="222">
        <f t="shared" si="9"/>
        <v>8</v>
      </c>
      <c r="C13" s="2" t="str" cm="1">
        <f t="array" aca="1" ref="C13" ca="1">INDIRECT(ADDRESS($B13,2,1,1,"mkt data"))</f>
        <v>b/o BTCG7</v>
      </c>
      <c r="D13" s="1">
        <f t="shared" ca="1" si="16"/>
        <v>151</v>
      </c>
      <c r="E13" s="151" cm="1">
        <f t="array" aca="1" ref="E13" ca="1">INDIRECT(ADDRESS($B13,11,1,1,"mkt data"))</f>
        <v>84927</v>
      </c>
      <c r="F13" s="152">
        <f t="shared" ca="1" si="17"/>
        <v>85054</v>
      </c>
      <c r="G13" s="153" cm="1">
        <f t="array" aca="1" ref="G13" ca="1">INDIRECT(ADDRESS($B13,12,1,1,"mkt data"))</f>
        <v>85181</v>
      </c>
      <c r="H13" s="172" t="str">
        <f ca="1">C12</f>
        <v>b/o BTCF7</v>
      </c>
      <c r="I13" s="173" t="str">
        <f ca="1">C13</f>
        <v>b/o BTCG7</v>
      </c>
      <c r="J13" s="150">
        <f t="shared" ca="1" si="26"/>
        <v>28</v>
      </c>
      <c r="K13" s="371">
        <f ca="1">E13-E12</f>
        <v>244</v>
      </c>
      <c r="L13" s="372">
        <f t="shared" ca="1" si="18"/>
        <v>324.5</v>
      </c>
      <c r="M13" s="371">
        <f t="shared" ca="1" si="18"/>
        <v>405</v>
      </c>
      <c r="N13" s="153">
        <f t="shared" ca="1" si="27"/>
        <v>161</v>
      </c>
      <c r="O13" s="172" t="str">
        <f t="shared" ca="1" si="2"/>
        <v>b/o BTCF7</v>
      </c>
      <c r="P13" s="173" t="str">
        <f t="shared" ca="1" si="2"/>
        <v>b/o BTCG7</v>
      </c>
      <c r="Q13" s="180">
        <f ca="1">Q7</f>
        <v>1</v>
      </c>
      <c r="R13" s="151">
        <f ca="1">$K13*$Q13</f>
        <v>244</v>
      </c>
      <c r="S13" s="152">
        <f ca="1">$L13*$Q13</f>
        <v>324.5</v>
      </c>
      <c r="T13" s="151">
        <f ca="1">$M13*$Q13</f>
        <v>405</v>
      </c>
      <c r="U13" s="153">
        <f t="shared" ca="1" si="11"/>
        <v>161</v>
      </c>
      <c r="V13" s="172" t="str">
        <f t="shared" ca="1" si="19"/>
        <v>b/o BTCF7</v>
      </c>
      <c r="W13" s="173" t="str">
        <f t="shared" ca="1" si="20"/>
        <v>b/o BTCG7</v>
      </c>
      <c r="X13" s="180">
        <f ca="1">X7</f>
        <v>1.25</v>
      </c>
      <c r="Y13" s="151">
        <f ca="1">$K13*$X13</f>
        <v>305</v>
      </c>
      <c r="Z13" s="152">
        <f ca="1">$L13*$X13</f>
        <v>405.625</v>
      </c>
      <c r="AA13" s="151">
        <f ca="1">$M13*$X13</f>
        <v>506.25</v>
      </c>
      <c r="AB13" s="153">
        <f t="shared" ca="1" si="21"/>
        <v>201.25</v>
      </c>
      <c r="AC13" s="172" t="str">
        <f t="shared" ca="1" si="22"/>
        <v>b/o BTCF7</v>
      </c>
      <c r="AD13" s="173" t="str">
        <f t="shared" ca="1" si="23"/>
        <v>b/o BTCG7</v>
      </c>
      <c r="AE13" s="224">
        <f t="shared" ca="1" si="28"/>
        <v>7.7777777777777779E-2</v>
      </c>
      <c r="AF13" s="228">
        <f t="shared" ca="1" si="29"/>
        <v>3.7025390886796884E-2</v>
      </c>
      <c r="AG13" s="227">
        <f t="shared" ca="1" si="24"/>
        <v>4.9240735011334386E-2</v>
      </c>
      <c r="AH13" s="228">
        <f ca="1">M13/$F12/$AE13</f>
        <v>6.1456079135871887E-2</v>
      </c>
      <c r="AI13" s="232">
        <f t="shared" ca="1" si="15"/>
        <v>2.4430688249075003E-2</v>
      </c>
    </row>
    <row r="14" spans="1:54" ht="15.75" thickBot="1" x14ac:dyDescent="0.3">
      <c r="A14" s="390"/>
      <c r="B14" s="223">
        <f t="shared" si="9"/>
        <v>9</v>
      </c>
      <c r="C14" s="155" t="str" cm="1">
        <f t="array" aca="1" ref="C14" ca="1">INDIRECT(ADDRESS($B14,2,1,1,"mkt data"))</f>
        <v>b/o BTCH7</v>
      </c>
      <c r="D14" s="156">
        <f t="shared" ca="1" si="16"/>
        <v>178</v>
      </c>
      <c r="E14" s="157" cm="1">
        <f t="array" aca="1" ref="E14" ca="1">INDIRECT(ADDRESS($B14,11,1,1,"mkt data"))</f>
        <v>85171</v>
      </c>
      <c r="F14" s="158">
        <f t="shared" ca="1" si="17"/>
        <v>85448.5</v>
      </c>
      <c r="G14" s="159" cm="1">
        <f t="array" aca="1" ref="G14" ca="1">INDIRECT(ADDRESS($B14,12,1,1,"mkt data"))</f>
        <v>85726</v>
      </c>
      <c r="H14" s="174" t="str">
        <f ca="1">C13</f>
        <v>b/o BTCG7</v>
      </c>
      <c r="I14" s="175" t="str">
        <f ca="1">C14</f>
        <v>b/o BTCH7</v>
      </c>
      <c r="J14" s="154">
        <f t="shared" ca="1" si="26"/>
        <v>27</v>
      </c>
      <c r="K14" s="157">
        <f t="shared" ca="1" si="18"/>
        <v>244</v>
      </c>
      <c r="L14" s="361">
        <f ca="1">F14-F13</f>
        <v>394.5</v>
      </c>
      <c r="M14" s="157">
        <f t="shared" ca="1" si="18"/>
        <v>545</v>
      </c>
      <c r="N14" s="159">
        <f t="shared" ca="1" si="27"/>
        <v>301</v>
      </c>
      <c r="O14" s="174" t="str">
        <f t="shared" ca="1" si="2"/>
        <v>b/o BTCG7</v>
      </c>
      <c r="P14" s="175" t="str">
        <f t="shared" ca="1" si="2"/>
        <v>b/o BTCH7</v>
      </c>
      <c r="Q14" s="180">
        <f ca="1">Q8</f>
        <v>1</v>
      </c>
      <c r="R14" s="151">
        <f ca="1">$K14*$Q14</f>
        <v>244</v>
      </c>
      <c r="S14" s="152">
        <f ca="1">$L14*$Q14</f>
        <v>394.5</v>
      </c>
      <c r="T14" s="151">
        <f ca="1">$M14*$Q14</f>
        <v>545</v>
      </c>
      <c r="U14" s="153">
        <f t="shared" ca="1" si="11"/>
        <v>301</v>
      </c>
      <c r="V14" s="172" t="str">
        <f t="shared" ca="1" si="19"/>
        <v>b/o BTCG7</v>
      </c>
      <c r="W14" s="173" t="str">
        <f t="shared" ca="1" si="20"/>
        <v>b/o BTCH7</v>
      </c>
      <c r="X14" s="180">
        <f ca="1">X8</f>
        <v>1.25</v>
      </c>
      <c r="Y14" s="151">
        <f ca="1">$K14*$X14</f>
        <v>305</v>
      </c>
      <c r="Z14" s="152">
        <f ca="1">$L14*$X14</f>
        <v>493.125</v>
      </c>
      <c r="AA14" s="151">
        <f ca="1">$M14*$X14</f>
        <v>681.25</v>
      </c>
      <c r="AB14" s="153">
        <f t="shared" ca="1" si="21"/>
        <v>376.25</v>
      </c>
      <c r="AC14" s="174" t="str">
        <f t="shared" ca="1" si="22"/>
        <v>b/o BTCG7</v>
      </c>
      <c r="AD14" s="175" t="str">
        <f t="shared" ca="1" si="23"/>
        <v>b/o BTCH7</v>
      </c>
      <c r="AE14" s="225">
        <f t="shared" ca="1" si="28"/>
        <v>7.4999999999999997E-2</v>
      </c>
      <c r="AF14" s="229">
        <f t="shared" ca="1" si="29"/>
        <v>3.8250209670718995E-2</v>
      </c>
      <c r="AG14" s="230">
        <f t="shared" ca="1" si="24"/>
        <v>6.1843064406141984E-2</v>
      </c>
      <c r="AH14" s="229">
        <f t="shared" ca="1" si="25"/>
        <v>8.5435919141564967E-2</v>
      </c>
      <c r="AI14" s="234">
        <f t="shared" ca="1" si="15"/>
        <v>4.7185709470845973E-2</v>
      </c>
    </row>
    <row r="15" spans="1:54" x14ac:dyDescent="0.25">
      <c r="A15" s="388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89"/>
      <c r="B16" s="182">
        <v>43</v>
      </c>
      <c r="C16" s="2" t="str" cm="1">
        <f t="array" aca="1" ref="C16" ca="1">INDIRECT(ADDRESS($B16,2,1,1,"mkt data"))</f>
        <v>BTCV6/BTCX6</v>
      </c>
      <c r="E16" s="151" cm="1">
        <f t="array" aca="1" ref="E16" ca="1">INDIRECT(ADDRESS($B16,11,1,1,"mkt data"))</f>
        <v>372</v>
      </c>
      <c r="F16" s="152">
        <f t="shared" ca="1" si="17"/>
        <v>374</v>
      </c>
      <c r="G16" s="244" cm="1">
        <f t="array" aca="1" ref="G16" ca="1">INDIRECT(ADDRESS($B16,12,1,1,"mkt data"))</f>
        <v>376</v>
      </c>
      <c r="H16" s="172" t="str" cm="1">
        <f t="array" aca="1" ref="H16:I16" ca="1">_xlfn.TEXTSPLIT(C16,"/")</f>
        <v>BTCV6</v>
      </c>
      <c r="I16" s="173" t="str">
        <f ca="1"/>
        <v>BTCX6</v>
      </c>
      <c r="J16" s="150">
        <f ca="1">J4</f>
        <v>28</v>
      </c>
      <c r="K16" s="151">
        <f t="shared" ref="K16:M20" ca="1" si="30">E16</f>
        <v>372</v>
      </c>
      <c r="L16" s="288">
        <f t="shared" ca="1" si="30"/>
        <v>374</v>
      </c>
      <c r="M16" s="151">
        <f ca="1">G16</f>
        <v>376</v>
      </c>
      <c r="N16" s="153">
        <f ca="1">M16-K16</f>
        <v>4</v>
      </c>
      <c r="O16" s="172" t="str">
        <f t="shared" ca="1" si="2"/>
        <v>BTCV6</v>
      </c>
      <c r="P16" s="102" t="str">
        <f t="shared" ca="1" si="2"/>
        <v>BTCX6</v>
      </c>
      <c r="Q16" s="204">
        <f ca="1">Q4</f>
        <v>1</v>
      </c>
      <c r="R16" s="151">
        <f ca="1">$K16*$Q16</f>
        <v>372</v>
      </c>
      <c r="S16" s="152">
        <f ca="1">$L16*$Q16</f>
        <v>374</v>
      </c>
      <c r="T16" s="151">
        <f ca="1">$M16*$Q16</f>
        <v>376</v>
      </c>
      <c r="U16" s="153">
        <f t="shared" ca="1" si="11"/>
        <v>4</v>
      </c>
      <c r="V16" s="172" t="str">
        <f t="shared" ref="V16:V20" ca="1" si="31">O16</f>
        <v>BTCV6</v>
      </c>
      <c r="W16" s="173" t="str">
        <f t="shared" ref="W16:W20" ca="1" si="32">P16</f>
        <v>BTCX6</v>
      </c>
      <c r="X16" s="180">
        <f ca="1">X4</f>
        <v>1.25</v>
      </c>
      <c r="Y16" s="151">
        <f ca="1">$K16*$X16</f>
        <v>465</v>
      </c>
      <c r="Z16" s="152">
        <f ca="1">$L16*$X16</f>
        <v>467.5</v>
      </c>
      <c r="AA16" s="151">
        <f ca="1">$M16*$X16</f>
        <v>470</v>
      </c>
      <c r="AB16" s="205">
        <f t="shared" ref="AB16:AB20" ca="1" si="33">AA16-Y16</f>
        <v>5</v>
      </c>
      <c r="AC16" s="172" t="str">
        <f t="shared" ref="AC16:AC20" ca="1" si="34">V16</f>
        <v>BTCV6</v>
      </c>
      <c r="AD16" s="102" t="str">
        <f t="shared" ref="AD16:AD20" ca="1" si="35">W16</f>
        <v>BTCX6</v>
      </c>
      <c r="AE16" s="224">
        <f ca="1">J16/$AE$21</f>
        <v>7.7777777777777779E-2</v>
      </c>
      <c r="AF16" s="228">
        <f ca="1">K16/$F9/$AE16</f>
        <v>5.7245447550654006E-2</v>
      </c>
      <c r="AG16" s="227">
        <f t="shared" ref="AG16:AH16" ca="1" si="36">L16/$F9/$AE16</f>
        <v>5.7553218774044623E-2</v>
      </c>
      <c r="AH16" s="228">
        <f t="shared" ca="1" si="36"/>
        <v>5.7860989997435233E-2</v>
      </c>
      <c r="AI16" s="232">
        <f t="shared" ca="1" si="15"/>
        <v>6.1554244678122677E-4</v>
      </c>
    </row>
    <row r="17" spans="1:35" x14ac:dyDescent="0.25">
      <c r="A17" s="389"/>
      <c r="B17" s="222">
        <f>B16+5</f>
        <v>48</v>
      </c>
      <c r="C17" s="2" t="str" cm="1">
        <f t="array" aca="1" ref="C17" ca="1">INDIRECT(ADDRESS($B17,2,1,1,"mkt data"))</f>
        <v>BTCX6/BTCZ6</v>
      </c>
      <c r="E17" s="151" cm="1">
        <f t="array" aca="1" ref="E17" ca="1">INDIRECT(ADDRESS($B17,11,1,1,"mkt data"))</f>
        <v>364</v>
      </c>
      <c r="F17" s="152">
        <f t="shared" ca="1" si="17"/>
        <v>375</v>
      </c>
      <c r="G17" s="244" cm="1">
        <f t="array" aca="1" ref="G17" ca="1">INDIRECT(ADDRESS($B17,12,1,1,"mkt data"))</f>
        <v>386</v>
      </c>
      <c r="H17" s="172" t="str" cm="1">
        <f t="array" aca="1" ref="H17:I17" ca="1">_xlfn.TEXTSPLIT(C17,"/")</f>
        <v>BTCX6</v>
      </c>
      <c r="I17" s="173" t="str">
        <f ca="1"/>
        <v>BTCZ6</v>
      </c>
      <c r="J17" s="150">
        <f ca="1">J5</f>
        <v>27</v>
      </c>
      <c r="K17" s="151">
        <f t="shared" ca="1" si="30"/>
        <v>364</v>
      </c>
      <c r="L17" s="288">
        <f ca="1">F17</f>
        <v>375</v>
      </c>
      <c r="M17" s="151">
        <f t="shared" ca="1" si="30"/>
        <v>386</v>
      </c>
      <c r="N17" s="153">
        <f t="shared" ref="N17:N20" ca="1" si="37">M17-K17</f>
        <v>22</v>
      </c>
      <c r="O17" s="172" t="str">
        <f t="shared" ca="1" si="2"/>
        <v>BTCX6</v>
      </c>
      <c r="P17" s="102" t="str">
        <f t="shared" ca="1" si="2"/>
        <v>BTCZ6</v>
      </c>
      <c r="Q17" s="204">
        <f ca="1">Q5</f>
        <v>1</v>
      </c>
      <c r="R17" s="151">
        <f ca="1">$K17*$Q17</f>
        <v>364</v>
      </c>
      <c r="S17" s="152">
        <f ca="1">$L17*$Q17</f>
        <v>375</v>
      </c>
      <c r="T17" s="151">
        <f ca="1">$M17*$Q17</f>
        <v>386</v>
      </c>
      <c r="U17" s="153">
        <f t="shared" ca="1" si="11"/>
        <v>22</v>
      </c>
      <c r="V17" s="172" t="str">
        <f t="shared" ca="1" si="31"/>
        <v>BTCX6</v>
      </c>
      <c r="W17" s="173" t="str">
        <f t="shared" ca="1" si="32"/>
        <v>BTCZ6</v>
      </c>
      <c r="X17" s="180">
        <f ca="1">X5</f>
        <v>1.25</v>
      </c>
      <c r="Y17" s="151">
        <f ca="1">$K17*$X17</f>
        <v>455</v>
      </c>
      <c r="Z17" s="152">
        <f ca="1">$L17*$X17</f>
        <v>468.75</v>
      </c>
      <c r="AA17" s="151">
        <f ca="1">$M17*$X17</f>
        <v>482.5</v>
      </c>
      <c r="AB17" s="205">
        <f t="shared" ca="1" si="33"/>
        <v>27.5</v>
      </c>
      <c r="AC17" s="172" t="str">
        <f t="shared" ca="1" si="34"/>
        <v>BTCX6</v>
      </c>
      <c r="AD17" s="102" t="str">
        <f t="shared" ca="1" si="35"/>
        <v>BTCZ6</v>
      </c>
      <c r="AE17" s="224">
        <f t="shared" ref="AE17:AE20" ca="1" si="38">J17/$AE$21</f>
        <v>7.4999999999999997E-2</v>
      </c>
      <c r="AF17" s="228">
        <f t="shared" ref="AF17:AH17" ca="1" si="39">K17/$F10/$AE17</f>
        <v>5.7830100249432033E-2</v>
      </c>
      <c r="AG17" s="227">
        <f t="shared" ca="1" si="39"/>
        <v>5.9577713169057724E-2</v>
      </c>
      <c r="AH17" s="228">
        <f t="shared" ca="1" si="39"/>
        <v>6.1325326088683407E-2</v>
      </c>
      <c r="AI17" s="232">
        <f t="shared" ca="1" si="15"/>
        <v>3.4952258392513744E-3</v>
      </c>
    </row>
    <row r="18" spans="1:35" x14ac:dyDescent="0.25">
      <c r="A18" s="389"/>
      <c r="B18" s="222">
        <f>B17+4</f>
        <v>52</v>
      </c>
      <c r="C18" s="2" t="str" cm="1">
        <f t="array" aca="1" ref="C18" ca="1">INDIRECT(ADDRESS($B18,2,1,1,"mkt data"))</f>
        <v>BTCZ6/BTCF7</v>
      </c>
      <c r="E18" s="151" cm="1">
        <f t="array" aca="1" ref="E18" ca="1">INDIRECT(ADDRESS($B18,11,1,1,"mkt data"))</f>
        <v>412</v>
      </c>
      <c r="F18" s="152">
        <f t="shared" ca="1" si="17"/>
        <v>430.5</v>
      </c>
      <c r="G18" s="244" cm="1">
        <f t="array" aca="1" ref="G18" ca="1">INDIRECT(ADDRESS($B18,12,1,1,"mkt data"))</f>
        <v>449</v>
      </c>
      <c r="H18" s="172" t="str" cm="1">
        <f t="array" aca="1" ref="H18:I18" ca="1">_xlfn.TEXTSPLIT(C18,"/")</f>
        <v>BTCZ6</v>
      </c>
      <c r="I18" s="173" t="str">
        <f ca="1"/>
        <v>BTCF7</v>
      </c>
      <c r="J18" s="150">
        <f ca="1">J6</f>
        <v>36</v>
      </c>
      <c r="K18" s="151">
        <f t="shared" ca="1" si="30"/>
        <v>412</v>
      </c>
      <c r="L18" s="288">
        <f ca="1">F18</f>
        <v>430.5</v>
      </c>
      <c r="M18" s="151">
        <f t="shared" ca="1" si="30"/>
        <v>449</v>
      </c>
      <c r="N18" s="153">
        <f t="shared" ca="1" si="37"/>
        <v>37</v>
      </c>
      <c r="O18" s="172" t="str">
        <f t="shared" ca="1" si="2"/>
        <v>BTCZ6</v>
      </c>
      <c r="P18" s="102" t="str">
        <f t="shared" ca="1" si="2"/>
        <v>BTCF7</v>
      </c>
      <c r="Q18" s="204">
        <f ca="1">Q6</f>
        <v>1</v>
      </c>
      <c r="R18" s="151">
        <f ca="1">$K18*$Q18</f>
        <v>412</v>
      </c>
      <c r="S18" s="152">
        <f ca="1">$L18*$Q18</f>
        <v>430.5</v>
      </c>
      <c r="T18" s="151">
        <f ca="1">$M18*$Q18</f>
        <v>449</v>
      </c>
      <c r="U18" s="153">
        <f t="shared" ca="1" si="11"/>
        <v>37</v>
      </c>
      <c r="V18" s="172" t="str">
        <f t="shared" ca="1" si="31"/>
        <v>BTCZ6</v>
      </c>
      <c r="W18" s="173" t="str">
        <f t="shared" ca="1" si="32"/>
        <v>BTCF7</v>
      </c>
      <c r="X18" s="180">
        <f ca="1">X6</f>
        <v>1.25</v>
      </c>
      <c r="Y18" s="151">
        <f ca="1">$K18*$X18</f>
        <v>515</v>
      </c>
      <c r="Z18" s="152">
        <f ca="1">$L18*$X18</f>
        <v>538.125</v>
      </c>
      <c r="AA18" s="151">
        <f ca="1">$M18*$X18</f>
        <v>561.25</v>
      </c>
      <c r="AB18" s="205">
        <f t="shared" ca="1" si="33"/>
        <v>46.25</v>
      </c>
      <c r="AC18" s="172" t="str">
        <f t="shared" ca="1" si="34"/>
        <v>BTCZ6</v>
      </c>
      <c r="AD18" s="102" t="str">
        <f t="shared" ca="1" si="35"/>
        <v>BTCF7</v>
      </c>
      <c r="AE18" s="224">
        <f t="shared" ca="1" si="38"/>
        <v>0.1</v>
      </c>
      <c r="AF18" s="228">
        <f t="shared" ref="AF18:AH18" ca="1" si="40">K18/$F11/$AE18</f>
        <v>4.8873652119242224E-2</v>
      </c>
      <c r="AG18" s="227">
        <f t="shared" ca="1" si="40"/>
        <v>5.106822144983926E-2</v>
      </c>
      <c r="AH18" s="228">
        <f t="shared" ca="1" si="40"/>
        <v>5.3262790780436303E-2</v>
      </c>
      <c r="AI18" s="232">
        <f t="shared" ca="1" si="15"/>
        <v>4.3891386611940794E-3</v>
      </c>
    </row>
    <row r="19" spans="1:35" x14ac:dyDescent="0.25">
      <c r="A19" s="389"/>
      <c r="B19" s="222">
        <f>B18+3</f>
        <v>55</v>
      </c>
      <c r="C19" s="2" t="str" cm="1">
        <f t="array" aca="1" ref="C19" ca="1">INDIRECT(ADDRESS($B19,2,1,1,"mkt data"))</f>
        <v>BTCF7/BTCG7</v>
      </c>
      <c r="E19" s="151" cm="1">
        <f t="array" aca="1" ref="E19" ca="1">INDIRECT(ADDRESS($B19,11,1,1,"mkt data"))</f>
        <v>244</v>
      </c>
      <c r="F19" s="152">
        <f t="shared" ca="1" si="17"/>
        <v>324.5</v>
      </c>
      <c r="G19" s="244" cm="1">
        <f t="array" aca="1" ref="G19" ca="1">INDIRECT(ADDRESS($B19,12,1,1,"mkt data"))</f>
        <v>405</v>
      </c>
      <c r="H19" s="172" t="str" cm="1">
        <f t="array" aca="1" ref="H19:I19" ca="1">_xlfn.TEXTSPLIT(C19,"/")</f>
        <v>BTCF7</v>
      </c>
      <c r="I19" s="173" t="str">
        <f ca="1"/>
        <v>BTCG7</v>
      </c>
      <c r="J19" s="150">
        <f ca="1">J7</f>
        <v>28</v>
      </c>
      <c r="K19" s="151">
        <f t="shared" ca="1" si="30"/>
        <v>244</v>
      </c>
      <c r="L19" s="288">
        <f t="shared" ca="1" si="30"/>
        <v>324.5</v>
      </c>
      <c r="M19" s="151">
        <f t="shared" ca="1" si="30"/>
        <v>405</v>
      </c>
      <c r="N19" s="153">
        <f t="shared" ca="1" si="37"/>
        <v>161</v>
      </c>
      <c r="O19" s="172" t="str">
        <f t="shared" ca="1" si="2"/>
        <v>BTCF7</v>
      </c>
      <c r="P19" s="102" t="str">
        <f t="shared" ca="1" si="2"/>
        <v>BTCG7</v>
      </c>
      <c r="Q19" s="204">
        <f ca="1">Q7</f>
        <v>1</v>
      </c>
      <c r="R19" s="151">
        <f ca="1">$K19*$Q19</f>
        <v>244</v>
      </c>
      <c r="S19" s="152">
        <f ca="1">$L19*$Q19</f>
        <v>324.5</v>
      </c>
      <c r="T19" s="151">
        <f ca="1">$M19*$Q19</f>
        <v>405</v>
      </c>
      <c r="U19" s="153">
        <f t="shared" ca="1" si="11"/>
        <v>161</v>
      </c>
      <c r="V19" s="172" t="str">
        <f t="shared" ca="1" si="31"/>
        <v>BTCF7</v>
      </c>
      <c r="W19" s="173" t="str">
        <f t="shared" ca="1" si="32"/>
        <v>BTCG7</v>
      </c>
      <c r="X19" s="180">
        <f ca="1">X7</f>
        <v>1.25</v>
      </c>
      <c r="Y19" s="151">
        <f ca="1">$K19*$X19</f>
        <v>305</v>
      </c>
      <c r="Z19" s="152">
        <f ca="1">$L19*$X19</f>
        <v>405.625</v>
      </c>
      <c r="AA19" s="151">
        <f ca="1">$M19*$X19</f>
        <v>506.25</v>
      </c>
      <c r="AB19" s="205">
        <f t="shared" ca="1" si="33"/>
        <v>201.25</v>
      </c>
      <c r="AC19" s="172" t="str">
        <f t="shared" ca="1" si="34"/>
        <v>BTCF7</v>
      </c>
      <c r="AD19" s="102" t="str">
        <f t="shared" ca="1" si="35"/>
        <v>BTCG7</v>
      </c>
      <c r="AE19" s="224">
        <f t="shared" ca="1" si="38"/>
        <v>7.7777777777777779E-2</v>
      </c>
      <c r="AF19" s="228">
        <f t="shared" ref="AF19:AH19" ca="1" si="41">K19/$F12/$AE19</f>
        <v>3.7025390886796884E-2</v>
      </c>
      <c r="AG19" s="227">
        <f t="shared" ca="1" si="41"/>
        <v>4.9240735011334386E-2</v>
      </c>
      <c r="AH19" s="228">
        <f t="shared" ca="1" si="41"/>
        <v>6.1456079135871887E-2</v>
      </c>
      <c r="AI19" s="232">
        <f t="shared" ca="1" si="15"/>
        <v>2.4430688249075003E-2</v>
      </c>
    </row>
    <row r="20" spans="1:35" ht="15.75" thickBot="1" x14ac:dyDescent="0.3">
      <c r="A20" s="390"/>
      <c r="B20" s="223">
        <f>B19+2</f>
        <v>57</v>
      </c>
      <c r="C20" s="155" t="str" cm="1">
        <f t="array" aca="1" ref="C20" ca="1">INDIRECT(ADDRESS($B20,2,1,1,"mkt data"))</f>
        <v>BTCG7/BTCH7</v>
      </c>
      <c r="D20" s="156"/>
      <c r="E20" s="157" cm="1">
        <f t="array" aca="1" ref="E20" ca="1">INDIRECT(ADDRESS($B20,11,1,1,"mkt data"))</f>
        <v>200</v>
      </c>
      <c r="F20" s="158">
        <f t="shared" ca="1" si="17"/>
        <v>372.5</v>
      </c>
      <c r="G20" s="250" cm="1">
        <f t="array" aca="1" ref="G20" ca="1">INDIRECT(ADDRESS($B20,12,1,1,"mkt data"))</f>
        <v>545</v>
      </c>
      <c r="H20" s="174" t="str" cm="1">
        <f t="array" aca="1" ref="H20:I20" ca="1">_xlfn.TEXTSPLIT(C20,"/")</f>
        <v>BTCG7</v>
      </c>
      <c r="I20" s="175" t="str">
        <f ca="1"/>
        <v>BTCH7</v>
      </c>
      <c r="J20" s="154">
        <f ca="1">J8</f>
        <v>27</v>
      </c>
      <c r="K20" s="157">
        <f t="shared" ca="1" si="30"/>
        <v>200</v>
      </c>
      <c r="L20" s="289">
        <f t="shared" ca="1" si="30"/>
        <v>372.5</v>
      </c>
      <c r="M20" s="157">
        <f t="shared" ca="1" si="30"/>
        <v>545</v>
      </c>
      <c r="N20" s="159">
        <f t="shared" ca="1" si="37"/>
        <v>345</v>
      </c>
      <c r="O20" s="174" t="str">
        <f t="shared" ca="1" si="2"/>
        <v>BTCG7</v>
      </c>
      <c r="P20" s="193" t="str">
        <f t="shared" ca="1" si="2"/>
        <v>BTCH7</v>
      </c>
      <c r="Q20" s="206">
        <f ca="1">Q8</f>
        <v>1</v>
      </c>
      <c r="R20" s="207">
        <f ca="1">$K20*$Q20</f>
        <v>200</v>
      </c>
      <c r="S20" s="208">
        <f ca="1">$L20*$Q20</f>
        <v>372.5</v>
      </c>
      <c r="T20" s="207">
        <f ca="1">$M20*$Q20</f>
        <v>545</v>
      </c>
      <c r="U20" s="209">
        <f t="shared" ca="1" si="11"/>
        <v>345</v>
      </c>
      <c r="V20" s="210" t="str">
        <f t="shared" ca="1" si="31"/>
        <v>BTCG7</v>
      </c>
      <c r="W20" s="211" t="str">
        <f t="shared" ca="1" si="32"/>
        <v>BTCH7</v>
      </c>
      <c r="X20" s="212">
        <f ca="1">X8</f>
        <v>1.25</v>
      </c>
      <c r="Y20" s="207">
        <f ca="1">$K20*$X20</f>
        <v>250</v>
      </c>
      <c r="Z20" s="208">
        <f ca="1">$L20*$X20</f>
        <v>465.625</v>
      </c>
      <c r="AA20" s="207">
        <f ca="1">$M20*$X20</f>
        <v>681.25</v>
      </c>
      <c r="AB20" s="213">
        <f t="shared" ca="1" si="33"/>
        <v>431.25</v>
      </c>
      <c r="AC20" s="174" t="str">
        <f t="shared" ca="1" si="34"/>
        <v>BTCG7</v>
      </c>
      <c r="AD20" s="193" t="str">
        <f t="shared" ca="1" si="35"/>
        <v>BTCH7</v>
      </c>
      <c r="AE20" s="225">
        <f t="shared" ca="1" si="38"/>
        <v>7.4999999999999997E-2</v>
      </c>
      <c r="AF20" s="229">
        <f t="shared" ref="AF20:AH20" ca="1" si="42">K20/$F13/$AE20</f>
        <v>3.1352630877638524E-2</v>
      </c>
      <c r="AG20" s="230">
        <f t="shared" ca="1" si="42"/>
        <v>5.8394275009601739E-2</v>
      </c>
      <c r="AH20" s="229">
        <f t="shared" ca="1" si="42"/>
        <v>8.5435919141564967E-2</v>
      </c>
      <c r="AI20" s="234">
        <f t="shared" ca="1" si="15"/>
        <v>5.4083288263926443E-2</v>
      </c>
    </row>
    <row r="21" spans="1:35" ht="15.75" thickBot="1" x14ac:dyDescent="0.3">
      <c r="A21" s="388" t="s">
        <v>50</v>
      </c>
      <c r="B21" s="184"/>
      <c r="C21" s="169" t="str">
        <f ca="1">C3</f>
        <v>BTCV6</v>
      </c>
      <c r="D21" s="384">
        <f>'MKT DATA'!AB31</f>
        <v>0</v>
      </c>
      <c r="E21" s="379">
        <f>'MKT DATA'!AA31</f>
        <v>84420</v>
      </c>
      <c r="F21" s="162">
        <f ca="1">F9</f>
        <v>83550</v>
      </c>
      <c r="G21" s="163">
        <f ca="1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89"/>
      <c r="B22" s="222"/>
      <c r="C22" s="2" t="str">
        <f t="shared" ref="C22:C26" ca="1" si="43">C4</f>
        <v>BTCX6</v>
      </c>
      <c r="D22" s="384">
        <f>'MKT DATA'!AB32</f>
        <v>0</v>
      </c>
      <c r="E22" s="380">
        <f>'MKT DATA'!AA32</f>
        <v>84800</v>
      </c>
      <c r="F22" s="152">
        <f t="shared" ref="F22:F26" ca="1" si="44">F10</f>
        <v>83924</v>
      </c>
      <c r="G22" s="153">
        <f ca="1">D22*$R$24*(F22-E22)</f>
        <v>0</v>
      </c>
      <c r="H22" s="216">
        <f>E22-E21</f>
        <v>380</v>
      </c>
      <c r="I22" s="362">
        <f ca="1">L10-H22</f>
        <v>-6</v>
      </c>
      <c r="K22" s="102"/>
      <c r="L22" s="102"/>
      <c r="M22" s="102"/>
      <c r="N22" s="102"/>
      <c r="Q22" s="194" t="s">
        <v>49</v>
      </c>
      <c r="R22" s="215">
        <f ca="1">MAX(R16:R20)-U21</f>
        <v>393.97120000000001</v>
      </c>
      <c r="S22" s="215"/>
      <c r="T22" s="148">
        <f ca="1">MIN(T16:T20)+U21</f>
        <v>394.02879999999999</v>
      </c>
      <c r="U22" s="370">
        <f ca="1">MAX(R16:R20)-MIN(T16:T20)</f>
        <v>36</v>
      </c>
      <c r="X22" s="194" t="s">
        <v>49</v>
      </c>
      <c r="Y22" s="215">
        <f ca="1">MAX(Y16:Y20)-AB21</f>
        <v>492.464</v>
      </c>
      <c r="Z22" s="215"/>
      <c r="AA22" s="215">
        <f ca="1">MIN(AA16:AA20)+AB21</f>
        <v>492.536</v>
      </c>
      <c r="AB22" s="196">
        <f ca="1">MAX(Y16:Y20)-MIN(AA16:AA20)</f>
        <v>45</v>
      </c>
      <c r="AE22" s="287"/>
    </row>
    <row r="23" spans="1:35" ht="15.75" thickBot="1" x14ac:dyDescent="0.3">
      <c r="A23" s="389"/>
      <c r="B23" s="222"/>
      <c r="C23" s="2" t="str">
        <f t="shared" ca="1" si="43"/>
        <v>BTCZ6</v>
      </c>
      <c r="D23" s="384">
        <f>'MKT DATA'!AB33</f>
        <v>0</v>
      </c>
      <c r="E23" s="380">
        <f>'MKT DATA'!AA33</f>
        <v>85175</v>
      </c>
      <c r="F23" s="152">
        <f t="shared" ca="1" si="44"/>
        <v>84299</v>
      </c>
      <c r="G23" s="153">
        <f t="shared" ref="G23:G26" ca="1" si="45">D23*$R$24*(F23-E23)</f>
        <v>0</v>
      </c>
      <c r="H23" s="217">
        <f t="shared" ref="H23:H26" si="46">E23-E22</f>
        <v>375</v>
      </c>
      <c r="I23" s="363">
        <f t="shared" ref="I23:I25" ca="1" si="47">L11-H23</f>
        <v>0</v>
      </c>
      <c r="K23" s="102"/>
      <c r="L23" s="102"/>
      <c r="T23" s="343" t="s">
        <v>61</v>
      </c>
      <c r="U23" s="253">
        <f ca="1">U22-U21</f>
        <v>17.9712</v>
      </c>
      <c r="V23" s="171" t="s">
        <v>62</v>
      </c>
      <c r="AA23" s="343" t="s">
        <v>61</v>
      </c>
      <c r="AB23" s="253">
        <f ca="1">AB22-AB21</f>
        <v>22.464000000000002</v>
      </c>
      <c r="AC23" s="171" t="s">
        <v>62</v>
      </c>
    </row>
    <row r="24" spans="1:35" ht="15.75" thickBot="1" x14ac:dyDescent="0.3">
      <c r="A24" s="389"/>
      <c r="B24" s="222"/>
      <c r="C24" s="2" t="str">
        <f t="shared" ca="1" si="43"/>
        <v>BTCF7</v>
      </c>
      <c r="D24" s="384">
        <f>'MKT DATA'!AB34</f>
        <v>0</v>
      </c>
      <c r="E24" s="380">
        <f>'MKT DATA'!AA34</f>
        <v>85630</v>
      </c>
      <c r="F24" s="152">
        <f t="shared" ca="1" si="44"/>
        <v>84729.5</v>
      </c>
      <c r="G24" s="153">
        <f t="shared" ca="1" si="45"/>
        <v>0</v>
      </c>
      <c r="H24" s="217">
        <f t="shared" si="46"/>
        <v>455</v>
      </c>
      <c r="I24" s="363">
        <f ca="1">L12-H24</f>
        <v>-24.5</v>
      </c>
      <c r="K24" s="102"/>
      <c r="L24" s="102"/>
      <c r="Q24" s="283" t="s">
        <v>57</v>
      </c>
      <c r="R24" s="282">
        <v>5</v>
      </c>
      <c r="T24" s="194"/>
      <c r="U24" s="265">
        <f ca="1">U23*R24</f>
        <v>89.855999999999995</v>
      </c>
      <c r="V24" s="175" t="s">
        <v>63</v>
      </c>
      <c r="AA24" s="194"/>
      <c r="AB24" s="265">
        <f ca="1">AB23*R24</f>
        <v>112.32000000000001</v>
      </c>
      <c r="AC24" s="175" t="s">
        <v>63</v>
      </c>
    </row>
    <row r="25" spans="1:35" ht="15.75" thickBot="1" x14ac:dyDescent="0.3">
      <c r="A25" s="389"/>
      <c r="B25" s="222"/>
      <c r="C25" s="2" t="str">
        <f t="shared" ca="1" si="43"/>
        <v>BTCG7</v>
      </c>
      <c r="D25" s="384">
        <f>'MKT DATA'!AB35</f>
        <v>0</v>
      </c>
      <c r="E25" s="380">
        <f>'MKT DATA'!AA35</f>
        <v>85985</v>
      </c>
      <c r="F25" s="152">
        <f t="shared" ca="1" si="44"/>
        <v>85054</v>
      </c>
      <c r="G25" s="153">
        <f t="shared" ca="1" si="45"/>
        <v>0</v>
      </c>
      <c r="H25" s="217">
        <f t="shared" si="46"/>
        <v>355</v>
      </c>
      <c r="I25" s="363">
        <f t="shared" ca="1" si="47"/>
        <v>-30.5</v>
      </c>
      <c r="K25" s="102"/>
      <c r="L25" s="102"/>
    </row>
    <row r="26" spans="1:35" ht="15.75" thickBot="1" x14ac:dyDescent="0.3">
      <c r="A26" s="390"/>
      <c r="B26" s="223"/>
      <c r="C26" s="155" t="str">
        <f t="shared" ca="1" si="43"/>
        <v>BTCH7</v>
      </c>
      <c r="D26" s="385">
        <f>'MKT DATA'!AB36</f>
        <v>0</v>
      </c>
      <c r="E26" s="380">
        <f>'MKT DATA'!AA36</f>
        <v>86325</v>
      </c>
      <c r="F26" s="158">
        <f t="shared" ca="1" si="44"/>
        <v>85448.5</v>
      </c>
      <c r="G26" s="159">
        <f t="shared" ca="1" si="45"/>
        <v>0</v>
      </c>
      <c r="H26" s="218">
        <f t="shared" si="46"/>
        <v>340</v>
      </c>
      <c r="I26" s="364">
        <f ca="1">L14-H26</f>
        <v>54.5</v>
      </c>
      <c r="J26" s="303"/>
      <c r="K26" s="102"/>
      <c r="L26" s="102"/>
      <c r="Q26" s="292">
        <f ca="1">S26*R26</f>
        <v>299.2</v>
      </c>
      <c r="R26" s="219">
        <v>0.8</v>
      </c>
      <c r="S26" s="386">
        <f ca="1">L16</f>
        <v>374</v>
      </c>
    </row>
    <row r="27" spans="1:35" ht="15.75" thickBot="1" x14ac:dyDescent="0.3">
      <c r="A27" s="344" t="str">
        <f>'MKT DATA'!AC2</f>
        <v>2026-09-28_23-35-15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87">
        <f ca="1">L17</f>
        <v>375</v>
      </c>
      <c r="R27" s="220">
        <v>1.25</v>
      </c>
      <c r="S27" s="250">
        <f ca="1">+Q27*R27</f>
        <v>468.75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+Q26-Q27</f>
        <v>-75.800000000000011</v>
      </c>
      <c r="S28" s="286">
        <f ca="1">+S26-S27</f>
        <v>-94.75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83535</v>
      </c>
      <c r="I31" s="305">
        <f ca="1">E35</f>
        <v>83907</v>
      </c>
      <c r="J31" s="305">
        <f ca="1">E36</f>
        <v>84271</v>
      </c>
      <c r="K31" s="306">
        <f ca="1">E37</f>
        <v>84683</v>
      </c>
      <c r="L31" s="306">
        <f ca="1">E38</f>
        <v>84927</v>
      </c>
      <c r="M31" s="307">
        <f ca="1">E39</f>
        <v>85171</v>
      </c>
      <c r="O31" s="1"/>
    </row>
    <row r="32" spans="1:35" ht="15.75" thickBot="1" x14ac:dyDescent="0.3">
      <c r="E32" s="6"/>
      <c r="G32" s="102" t="s">
        <v>39</v>
      </c>
      <c r="H32" s="240">
        <f ca="1">F34</f>
        <v>83565</v>
      </c>
      <c r="I32" s="240">
        <f ca="1">F35</f>
        <v>83941</v>
      </c>
      <c r="J32" s="240">
        <f ca="1">F36</f>
        <v>84327</v>
      </c>
      <c r="K32" s="148">
        <f ca="1">F37</f>
        <v>84776</v>
      </c>
      <c r="L32" s="148">
        <f ca="1">F38</f>
        <v>85181</v>
      </c>
      <c r="M32" s="308">
        <f ca="1">F39</f>
        <v>85726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BTCV6</v>
      </c>
      <c r="I33" s="3" t="str">
        <f ca="1">G35</f>
        <v>b/o BTCX6</v>
      </c>
      <c r="J33" s="3" t="str">
        <f ca="1">G36</f>
        <v>b/o BTCZ6</v>
      </c>
      <c r="K33" s="3" t="str">
        <f ca="1">G37</f>
        <v>b/o BTCF7</v>
      </c>
      <c r="L33" s="3" t="str">
        <f ca="1">G38</f>
        <v>b/o BTCG7</v>
      </c>
      <c r="M33" s="86" t="str">
        <f ca="1">G39</f>
        <v>b/o BTCH7</v>
      </c>
      <c r="O33" s="5"/>
      <c r="P33" s="319" t="str">
        <f ca="1">O34</f>
        <v>BTCV6</v>
      </c>
      <c r="Q33" s="319" t="str">
        <f ca="1">O35</f>
        <v>BTCX6</v>
      </c>
      <c r="R33" s="319" t="str">
        <f ca="1">O36</f>
        <v>BTCZ6</v>
      </c>
      <c r="S33" s="319" t="str">
        <f ca="1">O37</f>
        <v>BTCF7</v>
      </c>
      <c r="T33" s="319" t="str">
        <f ca="1">O38</f>
        <v>BTCG7</v>
      </c>
      <c r="U33" s="320" t="str">
        <f ca="1">O39</f>
        <v>BTCH7</v>
      </c>
      <c r="W33" s="5"/>
      <c r="X33" s="319" t="str">
        <f ca="1">W34</f>
        <v>BTCV6</v>
      </c>
      <c r="Y33" s="319" t="str">
        <f ca="1">W35</f>
        <v>BTCX6</v>
      </c>
      <c r="Z33" s="319" t="str">
        <f ca="1">W36</f>
        <v>BTCZ6</v>
      </c>
      <c r="AA33" s="319" t="str">
        <f ca="1">W37</f>
        <v>BTCF7</v>
      </c>
      <c r="AB33" s="319" t="str">
        <f ca="1">W38</f>
        <v>BTCG7</v>
      </c>
      <c r="AC33" s="320" t="str">
        <f ca="1">W39</f>
        <v>BTCH7</v>
      </c>
    </row>
    <row r="34" spans="5:29" x14ac:dyDescent="0.25">
      <c r="E34" s="309">
        <f t="shared" ref="E34:E39" ca="1" si="48">E9</f>
        <v>83535</v>
      </c>
      <c r="F34" s="148">
        <f t="shared" ref="F34:F39" ca="1" si="49">G9</f>
        <v>83565</v>
      </c>
      <c r="G34" s="102" t="str">
        <f t="shared" ref="G34:G39" ca="1" si="50">C9</f>
        <v>b/o BTCV6</v>
      </c>
      <c r="H34" s="310"/>
      <c r="I34" s="311">
        <f ca="1">I$32-$F34</f>
        <v>376</v>
      </c>
      <c r="J34" s="311">
        <f ca="1">J$32-$F34</f>
        <v>762</v>
      </c>
      <c r="K34" s="311">
        <f ca="1">K$32-$F34</f>
        <v>1211</v>
      </c>
      <c r="L34" s="311">
        <f ca="1">L$32-$F34</f>
        <v>1616</v>
      </c>
      <c r="M34" s="312">
        <f ca="1">M$32-$F34</f>
        <v>2161</v>
      </c>
      <c r="O34" s="172" t="str">
        <f t="shared" ref="O34:O39" ca="1" si="51">C3</f>
        <v>BTCV6</v>
      </c>
      <c r="P34" s="310"/>
      <c r="Q34" s="311">
        <f>'MKT DATA'!$H43</f>
        <v>376</v>
      </c>
      <c r="R34" s="311">
        <f>'MKT DATA'!$H44</f>
        <v>767</v>
      </c>
      <c r="S34" s="311">
        <f>'MKT DATA'!$H45</f>
        <v>1239</v>
      </c>
      <c r="T34" s="311">
        <f>'MKT DATA'!$H46</f>
        <v>1690</v>
      </c>
      <c r="U34" s="312">
        <f>'MKT DATA'!$H47</f>
        <v>2240</v>
      </c>
      <c r="W34" s="172" t="str">
        <f ca="1">O34</f>
        <v>BTCV6</v>
      </c>
      <c r="X34" s="310"/>
      <c r="Y34" s="311">
        <f ca="1">Q34-I34</f>
        <v>0</v>
      </c>
      <c r="Z34" s="311">
        <f t="shared" ref="Z34:AC38" ca="1" si="52">R34-J34</f>
        <v>5</v>
      </c>
      <c r="AA34" s="311">
        <f t="shared" ca="1" si="52"/>
        <v>28</v>
      </c>
      <c r="AB34" s="311">
        <f t="shared" ca="1" si="52"/>
        <v>74</v>
      </c>
      <c r="AC34" s="312">
        <f t="shared" ca="1" si="52"/>
        <v>79</v>
      </c>
    </row>
    <row r="35" spans="5:29" x14ac:dyDescent="0.25">
      <c r="E35" s="309">
        <f t="shared" ca="1" si="48"/>
        <v>83907</v>
      </c>
      <c r="F35" s="148">
        <f t="shared" ca="1" si="49"/>
        <v>83941</v>
      </c>
      <c r="G35" s="102" t="str">
        <f t="shared" ca="1" si="50"/>
        <v>b/o BTCX6</v>
      </c>
      <c r="H35" s="313">
        <f ca="1">$E35-H$31</f>
        <v>372</v>
      </c>
      <c r="I35" s="310"/>
      <c r="J35" s="311">
        <f ca="1">J$32-$F35</f>
        <v>386</v>
      </c>
      <c r="K35" s="311">
        <f ca="1">K$32-$F35</f>
        <v>835</v>
      </c>
      <c r="L35" s="311">
        <f ca="1">L$32-$F35</f>
        <v>1240</v>
      </c>
      <c r="M35" s="312">
        <f ca="1">M$32-$F35</f>
        <v>1785</v>
      </c>
      <c r="O35" s="172" t="str">
        <f t="shared" ca="1" si="51"/>
        <v>BTCX6</v>
      </c>
      <c r="P35" s="313">
        <f>'MKT DATA'!$G43</f>
        <v>372</v>
      </c>
      <c r="Q35" s="310"/>
      <c r="R35" s="311">
        <f>'MKT DATA'!$H48</f>
        <v>386</v>
      </c>
      <c r="S35" s="311">
        <f>'MKT DATA'!$H49</f>
        <v>844</v>
      </c>
      <c r="T35" s="311">
        <f>'MKT DATA'!$H50</f>
        <v>1325</v>
      </c>
      <c r="U35" s="312">
        <f>'MKT DATA'!$H51</f>
        <v>1875</v>
      </c>
      <c r="W35" s="172" t="str">
        <f t="shared" ref="W35:W39" ca="1" si="53">O35</f>
        <v>BTCX6</v>
      </c>
      <c r="X35" s="313">
        <f ca="1">H35-P35</f>
        <v>0</v>
      </c>
      <c r="Y35" s="310"/>
      <c r="Z35" s="311">
        <f t="shared" ca="1" si="52"/>
        <v>0</v>
      </c>
      <c r="AA35" s="311">
        <f t="shared" ca="1" si="52"/>
        <v>9</v>
      </c>
      <c r="AB35" s="311">
        <f t="shared" ca="1" si="52"/>
        <v>85</v>
      </c>
      <c r="AC35" s="312">
        <f t="shared" ca="1" si="52"/>
        <v>90</v>
      </c>
    </row>
    <row r="36" spans="5:29" x14ac:dyDescent="0.25">
      <c r="E36" s="309">
        <f t="shared" ca="1" si="48"/>
        <v>84271</v>
      </c>
      <c r="F36" s="148">
        <f t="shared" ca="1" si="49"/>
        <v>84327</v>
      </c>
      <c r="G36" s="102" t="str">
        <f t="shared" ca="1" si="50"/>
        <v>b/o BTCZ6</v>
      </c>
      <c r="H36" s="313">
        <f ca="1">$E36-H$31</f>
        <v>736</v>
      </c>
      <c r="I36" s="313">
        <f ca="1">$E36-I$31</f>
        <v>364</v>
      </c>
      <c r="J36" s="310"/>
      <c r="K36" s="311">
        <f ca="1">K$32-$F36</f>
        <v>449</v>
      </c>
      <c r="L36" s="311">
        <f ca="1">L$32-$F36</f>
        <v>854</v>
      </c>
      <c r="M36" s="312">
        <f ca="1">M$32-$F36</f>
        <v>1399</v>
      </c>
      <c r="O36" s="172" t="str">
        <f t="shared" ca="1" si="51"/>
        <v>BTCZ6</v>
      </c>
      <c r="P36" s="313">
        <f>'MKT DATA'!$G44</f>
        <v>731</v>
      </c>
      <c r="Q36" s="313">
        <f>'MKT DATA'!$G48</f>
        <v>364</v>
      </c>
      <c r="R36" s="310"/>
      <c r="S36" s="311">
        <f>'MKT DATA'!$H52</f>
        <v>449</v>
      </c>
      <c r="T36" s="311">
        <f>'MKT DATA'!$H53</f>
        <v>980</v>
      </c>
      <c r="U36" s="312">
        <f>'MKT DATA'!$H54</f>
        <v>1500</v>
      </c>
      <c r="W36" s="172" t="str">
        <f t="shared" ca="1" si="53"/>
        <v>BTCZ6</v>
      </c>
      <c r="X36" s="313">
        <f t="shared" ref="X36:X39" ca="1" si="54">H36-P36</f>
        <v>5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126</v>
      </c>
      <c r="AC36" s="312">
        <f t="shared" ca="1" si="52"/>
        <v>101</v>
      </c>
    </row>
    <row r="37" spans="5:29" x14ac:dyDescent="0.25">
      <c r="E37" s="309">
        <f t="shared" ca="1" si="48"/>
        <v>84683</v>
      </c>
      <c r="F37" s="148">
        <f t="shared" ca="1" si="49"/>
        <v>84776</v>
      </c>
      <c r="G37" s="102" t="str">
        <f t="shared" ca="1" si="50"/>
        <v>b/o BTCF7</v>
      </c>
      <c r="H37" s="313">
        <f ca="1">$E37-H$31</f>
        <v>1148</v>
      </c>
      <c r="I37" s="313">
        <f ca="1">$E37-I$31</f>
        <v>776</v>
      </c>
      <c r="J37" s="313">
        <f ca="1">$E37-J$31</f>
        <v>412</v>
      </c>
      <c r="K37" s="310"/>
      <c r="L37" s="311">
        <f ca="1">L$32-$F37</f>
        <v>405</v>
      </c>
      <c r="M37" s="312">
        <f ca="1">M$32-$F37</f>
        <v>950</v>
      </c>
      <c r="O37" s="172" t="str">
        <f t="shared" ca="1" si="51"/>
        <v>BTCF7</v>
      </c>
      <c r="P37" s="313">
        <f>'MKT DATA'!$G45</f>
        <v>1086</v>
      </c>
      <c r="Q37" s="313">
        <f>'MKT DATA'!$G49</f>
        <v>736</v>
      </c>
      <c r="R37" s="313">
        <f>'MKT DATA'!$G52</f>
        <v>412</v>
      </c>
      <c r="S37" s="310"/>
      <c r="T37" s="311">
        <f>'MKT DATA'!$H55</f>
        <v>405</v>
      </c>
      <c r="U37" s="312">
        <f>'MKT DATA'!$H56</f>
        <v>1140</v>
      </c>
      <c r="W37" s="172" t="str">
        <f t="shared" ca="1" si="53"/>
        <v>BTCF7</v>
      </c>
      <c r="X37" s="313">
        <f t="shared" ca="1" si="54"/>
        <v>62</v>
      </c>
      <c r="Y37" s="313">
        <f t="shared" ca="1" si="55"/>
        <v>40</v>
      </c>
      <c r="Z37" s="313">
        <f t="shared" ca="1" si="55"/>
        <v>0</v>
      </c>
      <c r="AA37" s="310"/>
      <c r="AB37" s="311">
        <f t="shared" ca="1" si="52"/>
        <v>0</v>
      </c>
      <c r="AC37" s="312">
        <f t="shared" ca="1" si="52"/>
        <v>190</v>
      </c>
    </row>
    <row r="38" spans="5:29" x14ac:dyDescent="0.25">
      <c r="E38" s="309">
        <f t="shared" ca="1" si="48"/>
        <v>84927</v>
      </c>
      <c r="F38" s="148">
        <f t="shared" ca="1" si="49"/>
        <v>85181</v>
      </c>
      <c r="G38" s="102" t="str">
        <f t="shared" ca="1" si="50"/>
        <v>b/o BTCG7</v>
      </c>
      <c r="H38" s="313">
        <f ca="1">$E38-H$31</f>
        <v>1392</v>
      </c>
      <c r="I38" s="313">
        <f ca="1">$E38-I$31</f>
        <v>1020</v>
      </c>
      <c r="J38" s="313">
        <f ca="1">$E38-J$31</f>
        <v>656</v>
      </c>
      <c r="K38" s="313">
        <f ca="1">$E38-K$31</f>
        <v>244</v>
      </c>
      <c r="L38" s="310"/>
      <c r="M38" s="312">
        <f ca="1">M$32-$F38</f>
        <v>545</v>
      </c>
      <c r="O38" s="172" t="str">
        <f t="shared" ca="1" si="51"/>
        <v>BTCG7</v>
      </c>
      <c r="P38" s="313">
        <f>'MKT DATA'!$G46</f>
        <v>1330</v>
      </c>
      <c r="Q38" s="313">
        <f>'MKT DATA'!$G50</f>
        <v>940</v>
      </c>
      <c r="R38" s="313">
        <f>'MKT DATA'!$G53</f>
        <v>550</v>
      </c>
      <c r="S38" s="313">
        <f>'MKT DATA'!$G55</f>
        <v>244</v>
      </c>
      <c r="T38" s="310"/>
      <c r="U38" s="312">
        <f>'MKT DATA'!$H57</f>
        <v>545</v>
      </c>
      <c r="W38" s="172" t="str">
        <f t="shared" ca="1" si="53"/>
        <v>BTCG7</v>
      </c>
      <c r="X38" s="313">
        <f t="shared" ca="1" si="54"/>
        <v>62</v>
      </c>
      <c r="Y38" s="313">
        <f t="shared" ca="1" si="55"/>
        <v>80</v>
      </c>
      <c r="Z38" s="313">
        <f t="shared" ca="1" si="55"/>
        <v>106</v>
      </c>
      <c r="AA38" s="313">
        <f t="shared" ca="1" si="55"/>
        <v>0</v>
      </c>
      <c r="AB38" s="310"/>
      <c r="AC38" s="312">
        <f t="shared" ca="1" si="52"/>
        <v>0</v>
      </c>
    </row>
    <row r="39" spans="5:29" ht="15.75" thickBot="1" x14ac:dyDescent="0.3">
      <c r="E39" s="314">
        <f t="shared" ca="1" si="48"/>
        <v>85171</v>
      </c>
      <c r="F39" s="215">
        <f t="shared" ca="1" si="49"/>
        <v>85726</v>
      </c>
      <c r="G39" s="193" t="str">
        <f t="shared" ca="1" si="50"/>
        <v>b/o BTCH7</v>
      </c>
      <c r="H39" s="315">
        <f ca="1">$E39-H$31</f>
        <v>1636</v>
      </c>
      <c r="I39" s="315">
        <f ca="1">$E39-I$31</f>
        <v>1264</v>
      </c>
      <c r="J39" s="315">
        <f ca="1">$E39-J$31</f>
        <v>900</v>
      </c>
      <c r="K39" s="315">
        <f ca="1">$E39-K$31</f>
        <v>488</v>
      </c>
      <c r="L39" s="315">
        <f ca="1">$E39-L$31</f>
        <v>244</v>
      </c>
      <c r="M39" s="316"/>
      <c r="O39" s="174" t="str">
        <f t="shared" ca="1" si="51"/>
        <v>BTCH7</v>
      </c>
      <c r="P39" s="315">
        <f>'MKT DATA'!$G47</f>
        <v>1470</v>
      </c>
      <c r="Q39" s="315">
        <f>'MKT DATA'!$G51</f>
        <v>1080</v>
      </c>
      <c r="R39" s="315">
        <f>'MKT DATA'!$G54</f>
        <v>900</v>
      </c>
      <c r="S39" s="315">
        <f>'MKT DATA'!$G56</f>
        <v>215</v>
      </c>
      <c r="T39" s="315">
        <f>'MKT DATA'!$G57</f>
        <v>200</v>
      </c>
      <c r="U39" s="316"/>
      <c r="W39" s="174" t="str">
        <f t="shared" ca="1" si="53"/>
        <v>BTCH7</v>
      </c>
      <c r="X39" s="315">
        <f t="shared" ca="1" si="54"/>
        <v>166</v>
      </c>
      <c r="Y39" s="315">
        <f t="shared" ca="1" si="55"/>
        <v>184</v>
      </c>
      <c r="Z39" s="315">
        <f t="shared" ca="1" si="55"/>
        <v>0</v>
      </c>
      <c r="AA39" s="315">
        <f t="shared" ca="1" si="55"/>
        <v>273</v>
      </c>
      <c r="AB39" s="315">
        <f t="shared" ca="1" si="55"/>
        <v>44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7" sqref="L27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8" t="s">
        <v>47</v>
      </c>
      <c r="B3" s="182">
        <v>37</v>
      </c>
      <c r="C3" s="2" t="str" cm="1">
        <f t="array" aca="1" ref="C3" ca="1">INDIRECT(ADDRESS($B3,2,1,1,"mkt data"))</f>
        <v>ETHV6</v>
      </c>
      <c r="D3" s="1" cm="1">
        <f t="array" aca="1" ref="D3" ca="1">INDIRECT(ADDRESS($B3,24,1,1,"mkt data"))</f>
        <v>32</v>
      </c>
      <c r="E3" s="242" cm="1">
        <f t="array" aca="1" ref="E3" ca="1">INDIRECT(ADDRESS($B3,11,1,1,"mkt data"))</f>
        <v>2678</v>
      </c>
      <c r="F3" s="243">
        <f t="shared" ref="F3:F12" ca="1" si="0">AVERAGE(E3,G3)</f>
        <v>2678.5</v>
      </c>
      <c r="G3" s="244" cm="1">
        <f t="array" aca="1" ref="G3" ca="1">INDIRECT(ADDRESS($B3,12,1,1,"mkt data"))</f>
        <v>2679</v>
      </c>
      <c r="H3" s="172"/>
      <c r="I3" s="173"/>
      <c r="J3" s="168"/>
      <c r="K3" s="357">
        <f ca="1">+E4-G3</f>
        <v>9</v>
      </c>
      <c r="L3" s="358"/>
      <c r="M3" s="359">
        <f ca="1">+G4-E3</f>
        <v>12.5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89"/>
      <c r="B4" s="222">
        <f>B3+1</f>
        <v>38</v>
      </c>
      <c r="C4" s="2" t="str" cm="1">
        <f t="array" aca="1" ref="C4" ca="1">INDIRECT(ADDRESS($B4,2,1,1,"mkt data"))</f>
        <v>ETHX6</v>
      </c>
      <c r="D4" s="1" cm="1">
        <f t="array" aca="1" ref="D4" ca="1">INDIRECT(ADDRESS($B4,24,1,1,"mkt data"))</f>
        <v>60</v>
      </c>
      <c r="E4" s="242" cm="1">
        <f t="array" aca="1" ref="E4" ca="1">INDIRECT(ADDRESS($B4,11,1,1,"mkt data"))</f>
        <v>2688</v>
      </c>
      <c r="F4" s="243">
        <f t="shared" ca="1" si="0"/>
        <v>2689.25</v>
      </c>
      <c r="G4" s="244" cm="1">
        <f t="array" aca="1" ref="G4" ca="1">INDIRECT(ADDRESS($B4,12,1,1,"mkt data"))</f>
        <v>2690.5</v>
      </c>
      <c r="H4" s="172" t="str">
        <f ca="1">C3</f>
        <v>ETHV6</v>
      </c>
      <c r="I4" s="173" t="str">
        <f ca="1">C4</f>
        <v>ETHX6</v>
      </c>
      <c r="J4" s="150">
        <f t="shared" ref="J4:M6" ca="1" si="1">D4-D3</f>
        <v>28</v>
      </c>
      <c r="K4" s="252">
        <f t="shared" ca="1" si="1"/>
        <v>10</v>
      </c>
      <c r="L4" s="243">
        <f t="shared" ca="1" si="1"/>
        <v>10.75</v>
      </c>
      <c r="M4" s="252">
        <f ca="1">G4-G3</f>
        <v>11.5</v>
      </c>
      <c r="N4" s="244">
        <f ca="1">M4-K4</f>
        <v>1.5</v>
      </c>
      <c r="O4" s="182" t="str">
        <f t="shared" ref="O4:P8" ca="1" si="2">H4</f>
        <v>ETHV6</v>
      </c>
      <c r="P4" s="183" t="str">
        <f t="shared" ca="1" si="2"/>
        <v>ETHX6</v>
      </c>
      <c r="Q4" s="187">
        <f ca="1">IF(J4=35,80%,100%)</f>
        <v>1</v>
      </c>
      <c r="R4" s="243">
        <f ca="1">$K4*$Q4</f>
        <v>10</v>
      </c>
      <c r="S4" s="243">
        <f ca="1">$L4*$Q4</f>
        <v>10.75</v>
      </c>
      <c r="T4" s="243">
        <f ca="1">$M4*$Q4</f>
        <v>11.5</v>
      </c>
      <c r="U4" s="255">
        <f ca="1">T4-R4</f>
        <v>1.5</v>
      </c>
      <c r="V4" s="182" t="str">
        <f t="shared" ref="V4:W8" ca="1" si="3">O4</f>
        <v>ETHV6</v>
      </c>
      <c r="W4" s="183" t="str">
        <f t="shared" ca="1" si="3"/>
        <v>ETHX6</v>
      </c>
      <c r="X4" s="187">
        <f ca="1">Q4/80%</f>
        <v>1.25</v>
      </c>
      <c r="Y4" s="243">
        <f ca="1">$K4*$X4</f>
        <v>12.5</v>
      </c>
      <c r="Z4" s="243">
        <f ca="1">$L4*$X4</f>
        <v>13.4375</v>
      </c>
      <c r="AA4" s="243">
        <f ca="1">$M4*$X4</f>
        <v>14.375</v>
      </c>
      <c r="AB4" s="255">
        <f ca="1">AA4-Y4</f>
        <v>1.875</v>
      </c>
      <c r="AC4" s="182" t="str">
        <f t="shared" ref="AC4:AD8" ca="1" si="4">V4</f>
        <v>ETHV6</v>
      </c>
      <c r="AD4" s="183" t="str">
        <f t="shared" ca="1" si="4"/>
        <v>ETHX6</v>
      </c>
      <c r="AE4" s="224">
        <f ca="1">J4/$AE$21</f>
        <v>7.7777777777777779E-2</v>
      </c>
      <c r="AF4" s="227">
        <f t="shared" ref="AF4:AH8" ca="1" si="5">K4/$F3/$AE4</f>
        <v>4.8001280034134244E-2</v>
      </c>
      <c r="AG4" s="227">
        <f t="shared" ca="1" si="5"/>
        <v>5.1601376036694305E-2</v>
      </c>
      <c r="AH4" s="227">
        <f t="shared" ca="1" si="5"/>
        <v>5.5201472039254379E-2</v>
      </c>
      <c r="AI4" s="237">
        <f ca="1">AH4-AF4</f>
        <v>7.2001920051201346E-3</v>
      </c>
    </row>
    <row r="5" spans="1:38" x14ac:dyDescent="0.25">
      <c r="A5" s="389"/>
      <c r="B5" s="222">
        <f t="shared" ref="B5:B8" si="6">B4+1</f>
        <v>39</v>
      </c>
      <c r="C5" s="2" t="str" cm="1">
        <f t="array" aca="1" ref="C5" ca="1">INDIRECT(ADDRESS($B5,2,1,1,"mkt data"))</f>
        <v>ETHZ6</v>
      </c>
      <c r="D5" s="1" cm="1">
        <f t="array" aca="1" ref="D5" ca="1">INDIRECT(ADDRESS($B5,24,1,1,"mkt data"))</f>
        <v>87</v>
      </c>
      <c r="E5" s="242" cm="1">
        <f t="array" aca="1" ref="E5" ca="1">INDIRECT(ADDRESS($B5,11,1,1,"mkt data"))</f>
        <v>2694.5</v>
      </c>
      <c r="F5" s="243">
        <f t="shared" ca="1" si="0"/>
        <v>2700</v>
      </c>
      <c r="G5" s="244" cm="1">
        <f t="array" aca="1" ref="G5" ca="1">INDIRECT(ADDRESS($B5,12,1,1,"mkt data"))</f>
        <v>2705.5</v>
      </c>
      <c r="H5" s="172" t="str">
        <f ca="1">C4</f>
        <v>ETHX6</v>
      </c>
      <c r="I5" s="173" t="str">
        <f ca="1">C5</f>
        <v>ETHZ6</v>
      </c>
      <c r="J5" s="150">
        <f t="shared" ca="1" si="1"/>
        <v>27</v>
      </c>
      <c r="K5" s="252">
        <f t="shared" ca="1" si="1"/>
        <v>6.5</v>
      </c>
      <c r="L5" s="243">
        <f t="shared" ca="1" si="1"/>
        <v>10.75</v>
      </c>
      <c r="M5" s="252">
        <f t="shared" ca="1" si="1"/>
        <v>15</v>
      </c>
      <c r="N5" s="244">
        <f ca="1">M5-K5</f>
        <v>8.5</v>
      </c>
      <c r="O5" s="182" t="str">
        <f t="shared" ca="1" si="2"/>
        <v>ETHX6</v>
      </c>
      <c r="P5" s="183" t="str">
        <f t="shared" ca="1" si="2"/>
        <v>ETHZ6</v>
      </c>
      <c r="Q5" s="187">
        <f ca="1">IF(J5=35,80%,100%)</f>
        <v>1</v>
      </c>
      <c r="R5" s="243">
        <f ca="1">$K5*$Q5</f>
        <v>6.5</v>
      </c>
      <c r="S5" s="243">
        <f ca="1">$L5*$Q5</f>
        <v>10.75</v>
      </c>
      <c r="T5" s="243">
        <f ca="1">$M5*$Q5</f>
        <v>15</v>
      </c>
      <c r="U5" s="255">
        <f ca="1">T5-R5</f>
        <v>8.5</v>
      </c>
      <c r="V5" s="182" t="str">
        <f t="shared" ca="1" si="3"/>
        <v>ETHX6</v>
      </c>
      <c r="W5" s="183" t="str">
        <f t="shared" ca="1" si="3"/>
        <v>ETHZ6</v>
      </c>
      <c r="X5" s="187">
        <f ca="1">Q5/80%</f>
        <v>1.25</v>
      </c>
      <c r="Y5" s="243">
        <f ca="1">$K5*$X5</f>
        <v>8.125</v>
      </c>
      <c r="Z5" s="243">
        <f ca="1">$L5*$X5</f>
        <v>13.4375</v>
      </c>
      <c r="AA5" s="243">
        <f ca="1">$M5*$X5</f>
        <v>18.75</v>
      </c>
      <c r="AB5" s="255">
        <f ca="1">AA5-Y5</f>
        <v>10.625</v>
      </c>
      <c r="AC5" s="182" t="str">
        <f t="shared" ca="1" si="4"/>
        <v>ETHX6</v>
      </c>
      <c r="AD5" s="183" t="str">
        <f t="shared" ca="1" si="4"/>
        <v>ETHZ6</v>
      </c>
      <c r="AE5" s="224">
        <f t="shared" ref="AE5:AE8" ca="1" si="7">J5/$AE$21</f>
        <v>7.4999999999999997E-2</v>
      </c>
      <c r="AF5" s="227">
        <f t="shared" ca="1" si="5"/>
        <v>3.2227076942146202E-2</v>
      </c>
      <c r="AG5" s="227">
        <f t="shared" ca="1" si="5"/>
        <v>5.3298627250472561E-2</v>
      </c>
      <c r="AH5" s="227">
        <f t="shared" ca="1" si="5"/>
        <v>7.4370177558798919E-2</v>
      </c>
      <c r="AI5" s="237">
        <f ca="1">AH5-AF5</f>
        <v>4.2143100616652718E-2</v>
      </c>
    </row>
    <row r="6" spans="1:38" x14ac:dyDescent="0.25">
      <c r="A6" s="389"/>
      <c r="B6" s="222">
        <f t="shared" si="6"/>
        <v>40</v>
      </c>
      <c r="C6" s="2" t="str" cm="1">
        <f t="array" aca="1" ref="C6" ca="1">INDIRECT(ADDRESS($B6,2,1,1,"mkt data"))</f>
        <v>ETHF7</v>
      </c>
      <c r="D6" s="1" cm="1">
        <f t="array" aca="1" ref="D6" ca="1">INDIRECT(ADDRESS($B6,24,1,1,"mkt data"))</f>
        <v>123</v>
      </c>
      <c r="E6" s="242" cm="1">
        <f t="array" aca="1" ref="E6" ca="1">INDIRECT(ADDRESS($B6,11,1,1,"mkt data"))</f>
        <v>-1</v>
      </c>
      <c r="F6" s="243">
        <f t="shared" ca="1" si="0"/>
        <v>-1</v>
      </c>
      <c r="G6" s="244" cm="1">
        <f t="array" aca="1" ref="G6" ca="1">INDIRECT(ADDRESS($B6,12,1,1,"mkt data"))</f>
        <v>-1</v>
      </c>
      <c r="H6" s="172" t="str">
        <f ca="1">C5</f>
        <v>ETHZ6</v>
      </c>
      <c r="I6" s="173" t="str">
        <f ca="1">C6</f>
        <v>ETHF7</v>
      </c>
      <c r="J6" s="150">
        <f t="shared" ca="1" si="1"/>
        <v>36</v>
      </c>
      <c r="K6" s="242">
        <f t="shared" ca="1" si="1"/>
        <v>-2695.5</v>
      </c>
      <c r="L6" s="243">
        <f t="shared" ca="1" si="1"/>
        <v>-2701</v>
      </c>
      <c r="M6" s="242">
        <f t="shared" ca="1" si="1"/>
        <v>-2706.5</v>
      </c>
      <c r="N6" s="244">
        <f ca="1">M6-K6</f>
        <v>-11</v>
      </c>
      <c r="O6" s="182" t="str">
        <f t="shared" ca="1" si="2"/>
        <v>ETHZ6</v>
      </c>
      <c r="P6" s="183" t="str">
        <f t="shared" ca="1" si="2"/>
        <v>ETHF7</v>
      </c>
      <c r="Q6" s="187">
        <f ca="1">IF(J6=35,80%,100%)</f>
        <v>1</v>
      </c>
      <c r="R6" s="243">
        <f ca="1">$K6*$Q6</f>
        <v>-2695.5</v>
      </c>
      <c r="S6" s="243">
        <f ca="1">$L6*$Q6</f>
        <v>-2701</v>
      </c>
      <c r="T6" s="243">
        <f ca="1">$M6*$Q6</f>
        <v>-2706.5</v>
      </c>
      <c r="U6" s="255">
        <f ca="1">T6-R6</f>
        <v>-11</v>
      </c>
      <c r="V6" s="182" t="str">
        <f t="shared" ca="1" si="3"/>
        <v>ETHZ6</v>
      </c>
      <c r="W6" s="183" t="str">
        <f t="shared" ca="1" si="3"/>
        <v>ETHF7</v>
      </c>
      <c r="X6" s="187">
        <f ca="1">Q6/80%</f>
        <v>1.25</v>
      </c>
      <c r="Y6" s="243">
        <f ca="1">$K6*$X6</f>
        <v>-3369.375</v>
      </c>
      <c r="Z6" s="243">
        <f ca="1">$L6*$X6</f>
        <v>-3376.25</v>
      </c>
      <c r="AA6" s="243">
        <f ca="1">$M6*$X6</f>
        <v>-3383.125</v>
      </c>
      <c r="AB6" s="255">
        <f ca="1">AA6-Y6</f>
        <v>-13.75</v>
      </c>
      <c r="AC6" s="182" t="str">
        <f t="shared" ca="1" si="4"/>
        <v>ETHZ6</v>
      </c>
      <c r="AD6" s="183" t="str">
        <f t="shared" ca="1" si="4"/>
        <v>ETHF7</v>
      </c>
      <c r="AE6" s="224">
        <f t="shared" ca="1" si="7"/>
        <v>0.1</v>
      </c>
      <c r="AF6" s="227">
        <f t="shared" ca="1" si="5"/>
        <v>-9.9833333333333325</v>
      </c>
      <c r="AG6" s="227">
        <f t="shared" ca="1" si="5"/>
        <v>-10.003703703703703</v>
      </c>
      <c r="AH6" s="227">
        <f t="shared" ca="1" si="5"/>
        <v>-10.024074074074074</v>
      </c>
      <c r="AI6" s="237">
        <f ca="1">AH6-AF6</f>
        <v>-4.0740740740741188E-2</v>
      </c>
    </row>
    <row r="7" spans="1:38" x14ac:dyDescent="0.25">
      <c r="A7" s="389"/>
      <c r="B7" s="222">
        <f t="shared" si="6"/>
        <v>41</v>
      </c>
      <c r="C7" s="2" t="str" cm="1">
        <f t="array" aca="1" ref="C7" ca="1">INDIRECT(ADDRESS($B7,2,1,1,"mkt data"))</f>
        <v>ETHG7</v>
      </c>
      <c r="D7" s="1" cm="1">
        <f t="array" aca="1" ref="D7" ca="1">INDIRECT(ADDRESS($B7,24,1,1,"mkt data"))</f>
        <v>151</v>
      </c>
      <c r="E7" s="242"/>
      <c r="F7" s="243"/>
      <c r="G7" s="244"/>
      <c r="H7" s="172" t="str">
        <f ca="1">C6</f>
        <v>ETHF7</v>
      </c>
      <c r="I7" s="173" t="str">
        <f ca="1">C7</f>
        <v>ETHG7</v>
      </c>
      <c r="J7" s="150">
        <f ca="1">D7-D6</f>
        <v>28</v>
      </c>
      <c r="K7" s="242"/>
      <c r="L7" s="243"/>
      <c r="M7" s="242"/>
      <c r="N7" s="244"/>
      <c r="O7" s="182" t="str">
        <f t="shared" ca="1" si="2"/>
        <v>ETHF7</v>
      </c>
      <c r="P7" s="183" t="str">
        <f t="shared" ca="1" si="2"/>
        <v>ETHG7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ETHF7</v>
      </c>
      <c r="W7" s="183" t="str">
        <f t="shared" ca="1" si="3"/>
        <v>ETHG7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ETHF7</v>
      </c>
      <c r="AD7" s="183" t="str">
        <f t="shared" ca="1" si="4"/>
        <v>ETHG7</v>
      </c>
      <c r="AE7" s="224">
        <f t="shared" ca="1" si="7"/>
        <v>7.7777777777777779E-2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0"/>
      <c r="B8" s="223">
        <f t="shared" si="6"/>
        <v>42</v>
      </c>
      <c r="C8" s="2" t="str" cm="1">
        <f t="array" aca="1" ref="C8" ca="1">INDIRECT(ADDRESS($B8,2,1,1,"mkt data"))</f>
        <v>ETHH7</v>
      </c>
      <c r="D8" s="1" cm="1">
        <f t="array" aca="1" ref="D8" ca="1">INDIRECT(ADDRESS($B8,24,1,1,"mkt data"))</f>
        <v>178</v>
      </c>
      <c r="E8" s="242"/>
      <c r="F8" s="243"/>
      <c r="G8" s="244"/>
      <c r="H8" s="172" t="str">
        <f ca="1">C7</f>
        <v>ETHG7</v>
      </c>
      <c r="I8" s="173" t="str">
        <f ca="1">C8</f>
        <v>ETHH7</v>
      </c>
      <c r="J8" s="154">
        <f ca="1">D8-D7</f>
        <v>27</v>
      </c>
      <c r="K8" s="248"/>
      <c r="L8" s="249"/>
      <c r="M8" s="248"/>
      <c r="N8" s="250"/>
      <c r="O8" s="182" t="str">
        <f t="shared" ca="1" si="2"/>
        <v>ETHG7</v>
      </c>
      <c r="P8" s="183" t="str">
        <f t="shared" ca="1" si="2"/>
        <v>ETHH7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ETHG7</v>
      </c>
      <c r="W8" s="183" t="str">
        <f t="shared" ca="1" si="3"/>
        <v>ETHH7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ETHG7</v>
      </c>
      <c r="AD8" s="183" t="str">
        <f t="shared" ca="1" si="4"/>
        <v>ETHH7</v>
      </c>
      <c r="AE8" s="225">
        <f t="shared" ca="1" si="7"/>
        <v>7.4999999999999997E-2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8" t="s">
        <v>45</v>
      </c>
      <c r="B9" s="295">
        <v>10</v>
      </c>
      <c r="C9" s="169" t="str" cm="1">
        <f t="array" aca="1" ref="C9" ca="1">INDIRECT(ADDRESS($B9,2,1,1,"mkt data"))</f>
        <v>b/o ETHV6</v>
      </c>
      <c r="D9" s="160">
        <f t="shared" ref="D9:D14" ca="1" si="8">D3</f>
        <v>32</v>
      </c>
      <c r="E9" s="245" cm="1">
        <f t="array" aca="1" ref="E9" ca="1">INDIRECT(ADDRESS($B9,11,1,1,"mkt data"))</f>
        <v>2678</v>
      </c>
      <c r="F9" s="246">
        <f t="shared" ca="1" si="0"/>
        <v>2678.5</v>
      </c>
      <c r="G9" s="247" cm="1">
        <f t="array" aca="1" ref="G9" ca="1">INDIRECT(ADDRESS($B9,12,1,1,"mkt data"))</f>
        <v>2679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89"/>
      <c r="B10" s="222">
        <f>B9+1</f>
        <v>11</v>
      </c>
      <c r="C10" s="2" t="str" cm="1">
        <f t="array" aca="1" ref="C10" ca="1">INDIRECT(ADDRESS($B10,2,1,1,"mkt data"))</f>
        <v>b/o ETHX6</v>
      </c>
      <c r="D10" s="1">
        <f t="shared" ca="1" si="8"/>
        <v>60</v>
      </c>
      <c r="E10" s="242" cm="1">
        <f t="array" aca="1" ref="E10" ca="1">INDIRECT(ADDRESS($B10,11,1,1,"mkt data"))</f>
        <v>2688.5</v>
      </c>
      <c r="F10" s="243">
        <f t="shared" ca="1" si="0"/>
        <v>2689.2249999999999</v>
      </c>
      <c r="G10" s="244" cm="1">
        <f t="array" aca="1" ref="G10" ca="1">INDIRECT(ADDRESS($B10,12,1,1,"mkt data"))</f>
        <v>2689.95</v>
      </c>
      <c r="H10" s="172" t="str">
        <f ca="1">C9</f>
        <v>b/o ETHV6</v>
      </c>
      <c r="I10" s="173" t="str">
        <f ca="1">C10</f>
        <v>b/o ETHX6</v>
      </c>
      <c r="J10" s="150">
        <f ca="1">J4</f>
        <v>28</v>
      </c>
      <c r="K10" s="242">
        <f t="shared" ref="K10:M12" ca="1" si="9">E10-E9</f>
        <v>10.5</v>
      </c>
      <c r="L10" s="365">
        <f t="shared" ca="1" si="9"/>
        <v>10.724999999999909</v>
      </c>
      <c r="M10" s="242">
        <f t="shared" ca="1" si="9"/>
        <v>10.949999999999818</v>
      </c>
      <c r="N10" s="244">
        <f ca="1">M10-K10</f>
        <v>0.4499999999998181</v>
      </c>
      <c r="O10" s="172" t="str">
        <f t="shared" ref="O10:P14" ca="1" si="10">H10</f>
        <v>b/o ETHV6</v>
      </c>
      <c r="P10" s="173" t="str">
        <f t="shared" ca="1" si="10"/>
        <v>b/o ETHX6</v>
      </c>
      <c r="Q10" s="180">
        <f ca="1">Q4</f>
        <v>1</v>
      </c>
      <c r="R10" s="242">
        <f ca="1">$K10*$Q10</f>
        <v>10.5</v>
      </c>
      <c r="S10" s="243">
        <f ca="1">$L10*$Q10</f>
        <v>10.724999999999909</v>
      </c>
      <c r="T10" s="242">
        <f ca="1">$M10*$Q10</f>
        <v>10.949999999999818</v>
      </c>
      <c r="U10" s="244">
        <f ca="1">T10-R10</f>
        <v>0.4499999999998181</v>
      </c>
      <c r="V10" s="172" t="str">
        <f t="shared" ref="V10:W14" ca="1" si="11">O10</f>
        <v>b/o ETHV6</v>
      </c>
      <c r="W10" s="173" t="str">
        <f t="shared" ca="1" si="11"/>
        <v>b/o ETHX6</v>
      </c>
      <c r="X10" s="180">
        <f ca="1">X4</f>
        <v>1.25</v>
      </c>
      <c r="Y10" s="242">
        <f ca="1">$K10*$X10</f>
        <v>13.125</v>
      </c>
      <c r="Z10" s="243">
        <f ca="1">$L10*$X10</f>
        <v>13.406249999999886</v>
      </c>
      <c r="AA10" s="242">
        <f ca="1">$M10*$X10</f>
        <v>13.687499999999773</v>
      </c>
      <c r="AB10" s="244">
        <f ca="1">AA10-Y10</f>
        <v>0.56249999999977263</v>
      </c>
      <c r="AC10" s="172" t="str">
        <f t="shared" ref="AC10:AD14" ca="1" si="12">V10</f>
        <v>b/o ETHV6</v>
      </c>
      <c r="AD10" s="173" t="str">
        <f t="shared" ca="1" si="12"/>
        <v>b/o ETHX6</v>
      </c>
      <c r="AE10" s="224">
        <f ca="1">J10/$AE$21</f>
        <v>7.7777777777777779E-2</v>
      </c>
      <c r="AF10" s="228">
        <f t="shared" ref="AF10:AH12" ca="1" si="13">K10/$F9/$AE10</f>
        <v>5.0401344035840956E-2</v>
      </c>
      <c r="AG10" s="227">
        <f t="shared" ca="1" si="13"/>
        <v>5.1481372836608544E-2</v>
      </c>
      <c r="AH10" s="228">
        <f t="shared" ca="1" si="13"/>
        <v>5.2561401637376125E-2</v>
      </c>
      <c r="AI10" s="232">
        <f ca="1">AH10-AF10</f>
        <v>2.1600576015351688E-3</v>
      </c>
    </row>
    <row r="11" spans="1:38" x14ac:dyDescent="0.25">
      <c r="A11" s="389"/>
      <c r="B11" s="222">
        <f t="shared" ref="B11:B14" si="14">B10+1</f>
        <v>12</v>
      </c>
      <c r="C11" s="2" t="str" cm="1">
        <f t="array" aca="1" ref="C11" ca="1">INDIRECT(ADDRESS($B11,2,1,1,"mkt data"))</f>
        <v>b/o ETHZ6</v>
      </c>
      <c r="D11" s="1">
        <f t="shared" ca="1" si="8"/>
        <v>87</v>
      </c>
      <c r="E11" s="242" cm="1">
        <f t="array" aca="1" ref="E11" ca="1">INDIRECT(ADDRESS($B11,11,1,1,"mkt data"))</f>
        <v>2698.55</v>
      </c>
      <c r="F11" s="243">
        <f t="shared" ca="1" si="0"/>
        <v>2700.3</v>
      </c>
      <c r="G11" s="244" cm="1">
        <f t="array" aca="1" ref="G11" ca="1">INDIRECT(ADDRESS($B11,12,1,1,"mkt data"))</f>
        <v>2702.0499999999997</v>
      </c>
      <c r="H11" s="172" t="str">
        <f ca="1">C10</f>
        <v>b/o ETHX6</v>
      </c>
      <c r="I11" s="173" t="str">
        <f ca="1">C11</f>
        <v>b/o ETHZ6</v>
      </c>
      <c r="J11" s="150">
        <f ca="1">J5</f>
        <v>27</v>
      </c>
      <c r="K11" s="242">
        <f t="shared" ca="1" si="9"/>
        <v>10.050000000000182</v>
      </c>
      <c r="L11" s="365">
        <f t="shared" ca="1" si="9"/>
        <v>11.075000000000273</v>
      </c>
      <c r="M11" s="242">
        <f t="shared" ca="1" si="9"/>
        <v>12.099999999999909</v>
      </c>
      <c r="N11" s="244">
        <f ca="1">M11-K11</f>
        <v>2.0499999999997272</v>
      </c>
      <c r="O11" s="172" t="str">
        <f t="shared" ca="1" si="10"/>
        <v>b/o ETHX6</v>
      </c>
      <c r="P11" s="173" t="str">
        <f t="shared" ca="1" si="10"/>
        <v>b/o ETHZ6</v>
      </c>
      <c r="Q11" s="180">
        <f ca="1">Q5</f>
        <v>1</v>
      </c>
      <c r="R11" s="242">
        <f ca="1">$K11*$Q11</f>
        <v>10.050000000000182</v>
      </c>
      <c r="S11" s="243">
        <f ca="1">$L11*$Q11</f>
        <v>11.075000000000273</v>
      </c>
      <c r="T11" s="242">
        <f ca="1">$M11*$Q11</f>
        <v>12.099999999999909</v>
      </c>
      <c r="U11" s="244">
        <f ca="1">T11-R11</f>
        <v>2.0499999999997272</v>
      </c>
      <c r="V11" s="172" t="str">
        <f t="shared" ca="1" si="11"/>
        <v>b/o ETHX6</v>
      </c>
      <c r="W11" s="173" t="str">
        <f t="shared" ca="1" si="11"/>
        <v>b/o ETHZ6</v>
      </c>
      <c r="X11" s="180">
        <f ca="1">X5</f>
        <v>1.25</v>
      </c>
      <c r="Y11" s="242">
        <f ca="1">$K11*$X11</f>
        <v>12.562500000000227</v>
      </c>
      <c r="Z11" s="243">
        <f ca="1">$L11*$X11</f>
        <v>13.843750000000341</v>
      </c>
      <c r="AA11" s="242">
        <f ca="1">$M11*$X11</f>
        <v>15.124999999999886</v>
      </c>
      <c r="AB11" s="244">
        <f ca="1">AA11-Y11</f>
        <v>2.5624999999996589</v>
      </c>
      <c r="AC11" s="172" t="str">
        <f t="shared" ca="1" si="12"/>
        <v>b/o ETHX6</v>
      </c>
      <c r="AD11" s="173" t="str">
        <f t="shared" ca="1" si="12"/>
        <v>b/o ETHZ6</v>
      </c>
      <c r="AE11" s="224">
        <f t="shared" ref="AE11:AE14" ca="1" si="15">J11/$AE$21</f>
        <v>7.4999999999999997E-2</v>
      </c>
      <c r="AF11" s="228">
        <f t="shared" ca="1" si="13"/>
        <v>4.9828482183529615E-2</v>
      </c>
      <c r="AG11" s="227">
        <f t="shared" ca="1" si="13"/>
        <v>5.4910491560457124E-2</v>
      </c>
      <c r="AH11" s="228">
        <f t="shared" ca="1" si="13"/>
        <v>5.9992500937382384E-2</v>
      </c>
      <c r="AI11" s="232">
        <f ca="1">AH11-AF11</f>
        <v>1.0164018753852769E-2</v>
      </c>
    </row>
    <row r="12" spans="1:38" x14ac:dyDescent="0.25">
      <c r="A12" s="389"/>
      <c r="B12" s="222">
        <f t="shared" si="14"/>
        <v>13</v>
      </c>
      <c r="C12" s="2" t="str" cm="1">
        <f t="array" aca="1" ref="C12" ca="1">INDIRECT(ADDRESS($B12,2,1,1,"mkt data"))</f>
        <v>b/o ETHF7</v>
      </c>
      <c r="D12" s="1">
        <f t="shared" ca="1" si="8"/>
        <v>123</v>
      </c>
      <c r="E12" s="242" cm="1">
        <f t="array" aca="1" ref="E12" ca="1">INDIRECT(ADDRESS($B12,11,1,1,"mkt data"))</f>
        <v>-1</v>
      </c>
      <c r="F12" s="243">
        <f t="shared" ca="1" si="0"/>
        <v>-1</v>
      </c>
      <c r="G12" s="244" cm="1">
        <f t="array" aca="1" ref="G12" ca="1">INDIRECT(ADDRESS($B12,12,1,1,"mkt data"))</f>
        <v>-1</v>
      </c>
      <c r="H12" s="172" t="str">
        <f ca="1">C11</f>
        <v>b/o ETHZ6</v>
      </c>
      <c r="I12" s="173" t="str">
        <f ca="1">C12</f>
        <v>b/o ETHF7</v>
      </c>
      <c r="J12" s="150">
        <f ca="1">J6</f>
        <v>36</v>
      </c>
      <c r="K12" s="242">
        <f t="shared" ca="1" si="9"/>
        <v>-2699.55</v>
      </c>
      <c r="L12" s="365">
        <f ca="1">F12-F11</f>
        <v>-2701.3</v>
      </c>
      <c r="M12" s="242">
        <f t="shared" ca="1" si="9"/>
        <v>-2703.0499999999997</v>
      </c>
      <c r="N12" s="244">
        <f ca="1">M12-K12</f>
        <v>-3.4999999999995453</v>
      </c>
      <c r="O12" s="172" t="str">
        <f t="shared" ca="1" si="10"/>
        <v>b/o ETHZ6</v>
      </c>
      <c r="P12" s="173" t="str">
        <f t="shared" ca="1" si="10"/>
        <v>b/o ETHF7</v>
      </c>
      <c r="Q12" s="180">
        <f ca="1">Q6</f>
        <v>1</v>
      </c>
      <c r="R12" s="242">
        <f ca="1">$K12*$Q12</f>
        <v>-2699.55</v>
      </c>
      <c r="S12" s="243">
        <f ca="1">$L12*$Q12</f>
        <v>-2701.3</v>
      </c>
      <c r="T12" s="242">
        <f ca="1">$M12*$Q12</f>
        <v>-2703.0499999999997</v>
      </c>
      <c r="U12" s="244">
        <f ca="1">T12-R12</f>
        <v>-3.4999999999995453</v>
      </c>
      <c r="V12" s="172" t="str">
        <f t="shared" ca="1" si="11"/>
        <v>b/o ETHZ6</v>
      </c>
      <c r="W12" s="173" t="str">
        <f t="shared" ca="1" si="11"/>
        <v>b/o ETHF7</v>
      </c>
      <c r="X12" s="180">
        <f ca="1">X6</f>
        <v>1.25</v>
      </c>
      <c r="Y12" s="242">
        <f ca="1">$K12*$X12</f>
        <v>-3374.4375</v>
      </c>
      <c r="Z12" s="243">
        <f ca="1">$L12*$X12</f>
        <v>-3376.625</v>
      </c>
      <c r="AA12" s="242">
        <f ca="1">$M12*$X12</f>
        <v>-3378.8124999999995</v>
      </c>
      <c r="AB12" s="244">
        <f ca="1">AA12-Y12</f>
        <v>-4.3749999999995453</v>
      </c>
      <c r="AC12" s="172" t="str">
        <f t="shared" ca="1" si="12"/>
        <v>b/o ETHZ6</v>
      </c>
      <c r="AD12" s="173" t="str">
        <f t="shared" ca="1" si="12"/>
        <v>b/o ETHF7</v>
      </c>
      <c r="AE12" s="224">
        <f t="shared" ca="1" si="15"/>
        <v>0.1</v>
      </c>
      <c r="AF12" s="228">
        <f t="shared" ca="1" si="13"/>
        <v>-9.997222530829907</v>
      </c>
      <c r="AG12" s="227">
        <f t="shared" ca="1" si="13"/>
        <v>-10.003703292226788</v>
      </c>
      <c r="AH12" s="228">
        <f t="shared" ca="1" si="13"/>
        <v>-10.01018405362367</v>
      </c>
      <c r="AI12" s="232">
        <f ca="1">AH12-AF12</f>
        <v>-1.2961522793762725E-2</v>
      </c>
    </row>
    <row r="13" spans="1:38" x14ac:dyDescent="0.25">
      <c r="A13" s="389"/>
      <c r="B13" s="222">
        <f t="shared" si="14"/>
        <v>14</v>
      </c>
      <c r="C13" s="2" t="str" cm="1">
        <f t="array" aca="1" ref="C13" ca="1">INDIRECT(ADDRESS($B13,2,1,1,"mkt data"))</f>
        <v>b/o ETHG7</v>
      </c>
      <c r="D13" s="1">
        <f t="shared" ca="1" si="8"/>
        <v>151</v>
      </c>
      <c r="E13" s="242"/>
      <c r="F13" s="243"/>
      <c r="G13" s="244"/>
      <c r="H13" s="172" t="str">
        <f ca="1">C12</f>
        <v>b/o ETHF7</v>
      </c>
      <c r="I13" s="173" t="str">
        <f ca="1">C13</f>
        <v>b/o ETHG7</v>
      </c>
      <c r="J13" s="150">
        <f ca="1">J7</f>
        <v>28</v>
      </c>
      <c r="K13" s="242"/>
      <c r="L13" s="290"/>
      <c r="M13" s="242"/>
      <c r="N13" s="244"/>
      <c r="O13" s="172" t="str">
        <f t="shared" ca="1" si="10"/>
        <v>b/o ETHF7</v>
      </c>
      <c r="P13" s="173" t="str">
        <f t="shared" ca="1" si="10"/>
        <v>b/o ETHG7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ETHF7</v>
      </c>
      <c r="W13" s="173" t="str">
        <f t="shared" ca="1" si="11"/>
        <v>b/o ETHG7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ETHF7</v>
      </c>
      <c r="AD13" s="173" t="str">
        <f t="shared" ca="1" si="12"/>
        <v>b/o ETHG7</v>
      </c>
      <c r="AE13" s="224">
        <f t="shared" ca="1" si="15"/>
        <v>7.7777777777777779E-2</v>
      </c>
      <c r="AF13" s="228"/>
      <c r="AG13" s="227"/>
      <c r="AH13" s="228"/>
      <c r="AI13" s="232"/>
    </row>
    <row r="14" spans="1:38" ht="15.75" thickBot="1" x14ac:dyDescent="0.3">
      <c r="A14" s="390"/>
      <c r="B14" s="223">
        <f t="shared" si="14"/>
        <v>15</v>
      </c>
      <c r="C14" s="155" t="str" cm="1">
        <f t="array" aca="1" ref="C14" ca="1">INDIRECT(ADDRESS($B14,2,1,1,"mkt data"))</f>
        <v>b/o ETHH7</v>
      </c>
      <c r="D14" s="156">
        <f t="shared" ca="1" si="8"/>
        <v>178</v>
      </c>
      <c r="E14" s="248"/>
      <c r="F14" s="249"/>
      <c r="G14" s="250"/>
      <c r="H14" s="174" t="str">
        <f ca="1">C13</f>
        <v>b/o ETHG7</v>
      </c>
      <c r="I14" s="175" t="str">
        <f ca="1">C14</f>
        <v>b/o ETHH7</v>
      </c>
      <c r="J14" s="154">
        <f ca="1">J8</f>
        <v>27</v>
      </c>
      <c r="K14" s="248"/>
      <c r="L14" s="291"/>
      <c r="M14" s="248"/>
      <c r="N14" s="250"/>
      <c r="O14" s="174" t="str">
        <f t="shared" ca="1" si="10"/>
        <v>b/o ETHG7</v>
      </c>
      <c r="P14" s="175" t="str">
        <f t="shared" ca="1" si="10"/>
        <v>b/o ETHH7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ETHG7</v>
      </c>
      <c r="W14" s="173" t="str">
        <f t="shared" ca="1" si="11"/>
        <v>b/o ETHH7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ETHG7</v>
      </c>
      <c r="AD14" s="175" t="str">
        <f t="shared" ca="1" si="12"/>
        <v>b/o ETHH7</v>
      </c>
      <c r="AE14" s="225">
        <f t="shared" ca="1" si="15"/>
        <v>7.4999999999999997E-2</v>
      </c>
      <c r="AF14" s="229"/>
      <c r="AG14" s="230"/>
      <c r="AH14" s="229"/>
      <c r="AI14" s="234"/>
    </row>
    <row r="15" spans="1:38" ht="15.75" thickBot="1" x14ac:dyDescent="0.3">
      <c r="A15" s="388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89"/>
      <c r="B16" s="182">
        <v>58</v>
      </c>
      <c r="C16" s="2" t="str" cm="1">
        <f t="array" aca="1" ref="C16" ca="1">INDIRECT(ADDRESS($B16,2,1,1,"mkt data"))</f>
        <v>ETHV6/ETHX6</v>
      </c>
      <c r="E16" s="242" cm="1">
        <f t="array" aca="1" ref="E16" ca="1">INDIRECT(ADDRESS($B16,11,1,1,"mkt data"))</f>
        <v>10.5</v>
      </c>
      <c r="F16" s="243">
        <f ca="1">AVERAGE(E16,G16)</f>
        <v>10.725</v>
      </c>
      <c r="G16" s="244" cm="1">
        <f t="array" aca="1" ref="G16" ca="1">INDIRECT(ADDRESS($B16,12,1,1,"mkt data"))</f>
        <v>10.95</v>
      </c>
      <c r="H16" s="172" t="str" cm="1">
        <f t="array" aca="1" ref="H16:I16" ca="1">_xlfn.TEXTSPLIT(C16,"/")</f>
        <v>ETHV6</v>
      </c>
      <c r="I16" s="173" t="str">
        <f ca="1"/>
        <v>ETHX6</v>
      </c>
      <c r="J16" s="150">
        <f ca="1">J4</f>
        <v>28</v>
      </c>
      <c r="K16" s="242">
        <f t="shared" ref="K16:M18" ca="1" si="16">E16</f>
        <v>10.5</v>
      </c>
      <c r="L16" s="290">
        <f t="shared" ca="1" si="16"/>
        <v>10.725</v>
      </c>
      <c r="M16" s="242">
        <f t="shared" ca="1" si="16"/>
        <v>10.95</v>
      </c>
      <c r="N16" s="244">
        <f ca="1">M16-K16</f>
        <v>0.44999999999999929</v>
      </c>
      <c r="O16" s="172" t="str">
        <f t="shared" ref="O16:P20" ca="1" si="17">H16</f>
        <v>ETHV6</v>
      </c>
      <c r="P16" s="102" t="str">
        <f t="shared" ca="1" si="17"/>
        <v>ETHX6</v>
      </c>
      <c r="Q16" s="204">
        <f ca="1">Q4</f>
        <v>1</v>
      </c>
      <c r="R16" s="242">
        <f ca="1">$K16*$Q16</f>
        <v>10.5</v>
      </c>
      <c r="S16" s="243">
        <f ca="1">$L16*$Q16</f>
        <v>10.725</v>
      </c>
      <c r="T16" s="242">
        <f ca="1">$M16*$Q16</f>
        <v>10.95</v>
      </c>
      <c r="U16" s="244">
        <f ca="1">T16-R16</f>
        <v>0.44999999999999929</v>
      </c>
      <c r="V16" s="172" t="str">
        <f t="shared" ref="V16:W20" ca="1" si="18">O16</f>
        <v>ETHV6</v>
      </c>
      <c r="W16" s="173" t="str">
        <f t="shared" ca="1" si="18"/>
        <v>ETHX6</v>
      </c>
      <c r="X16" s="180">
        <f ca="1">X4</f>
        <v>1.25</v>
      </c>
      <c r="Y16" s="242">
        <f ca="1">$K16*$X16</f>
        <v>13.125</v>
      </c>
      <c r="Z16" s="243">
        <f ca="1">$L16*$X16</f>
        <v>13.40625</v>
      </c>
      <c r="AA16" s="242">
        <f ca="1">$M16*$X16</f>
        <v>13.6875</v>
      </c>
      <c r="AB16" s="263">
        <f ca="1">AA16-Y16</f>
        <v>0.5625</v>
      </c>
      <c r="AC16" s="172" t="str">
        <f t="shared" ref="AC16:AD20" ca="1" si="19">V16</f>
        <v>ETHV6</v>
      </c>
      <c r="AD16" s="102" t="str">
        <f t="shared" ca="1" si="19"/>
        <v>ETHX6</v>
      </c>
      <c r="AE16" s="224">
        <f ca="1">J16/$AE$21</f>
        <v>7.7777777777777779E-2</v>
      </c>
      <c r="AF16" s="228">
        <f t="shared" ref="AF16:AH18" ca="1" si="20">K16/$F9/$AE16</f>
        <v>5.0401344035840956E-2</v>
      </c>
      <c r="AG16" s="227">
        <f t="shared" ca="1" si="20"/>
        <v>5.1481372836608974E-2</v>
      </c>
      <c r="AH16" s="228">
        <f t="shared" ca="1" si="20"/>
        <v>5.2561401637376992E-2</v>
      </c>
      <c r="AI16" s="232">
        <f ca="1">AH16-AF16</f>
        <v>2.1600576015360362E-3</v>
      </c>
      <c r="AJ16" s="296">
        <f ca="1">'BTC FUTS'!AF16-AF16</f>
        <v>6.8441035148130505E-3</v>
      </c>
      <c r="AK16" s="179"/>
      <c r="AL16" s="297">
        <f ca="1">'BTC FUTS'!AH16-AH16</f>
        <v>5.2995883600582411E-3</v>
      </c>
    </row>
    <row r="17" spans="1:38" x14ac:dyDescent="0.25">
      <c r="A17" s="389"/>
      <c r="B17" s="222">
        <f>B16+5</f>
        <v>63</v>
      </c>
      <c r="C17" s="2" t="str" cm="1">
        <f t="array" aca="1" ref="C17" ca="1">INDIRECT(ADDRESS($B17,2,1,1,"mkt data"))</f>
        <v>ETHX6/ETHZ6</v>
      </c>
      <c r="E17" s="242" cm="1">
        <f t="array" aca="1" ref="E17" ca="1">INDIRECT(ADDRESS($B17,11,1,1,"mkt data"))</f>
        <v>10.050000000000001</v>
      </c>
      <c r="F17" s="243">
        <f ca="1">AVERAGE(E17,G17)</f>
        <v>11.074999999999999</v>
      </c>
      <c r="G17" s="244" cm="1">
        <f t="array" aca="1" ref="G17" ca="1">INDIRECT(ADDRESS($B17,12,1,1,"mkt data"))</f>
        <v>12.1</v>
      </c>
      <c r="H17" s="172" t="str" cm="1">
        <f t="array" aca="1" ref="H17:I17" ca="1">_xlfn.TEXTSPLIT(C17,"/")</f>
        <v>ETHX6</v>
      </c>
      <c r="I17" s="173" t="str">
        <f ca="1"/>
        <v>ETHZ6</v>
      </c>
      <c r="J17" s="150">
        <f ca="1">J5</f>
        <v>27</v>
      </c>
      <c r="K17" s="242">
        <f t="shared" ca="1" si="16"/>
        <v>10.050000000000001</v>
      </c>
      <c r="L17" s="290">
        <f t="shared" ca="1" si="16"/>
        <v>11.074999999999999</v>
      </c>
      <c r="M17" s="242">
        <f t="shared" ca="1" si="16"/>
        <v>12.1</v>
      </c>
      <c r="N17" s="244">
        <f ca="1">M17-K17</f>
        <v>2.0499999999999989</v>
      </c>
      <c r="O17" s="172" t="str">
        <f t="shared" ca="1" si="17"/>
        <v>ETHX6</v>
      </c>
      <c r="P17" s="102" t="str">
        <f t="shared" ca="1" si="17"/>
        <v>ETHZ6</v>
      </c>
      <c r="Q17" s="204">
        <f ca="1">Q5</f>
        <v>1</v>
      </c>
      <c r="R17" s="242">
        <f ca="1">$K17*$Q17</f>
        <v>10.050000000000001</v>
      </c>
      <c r="S17" s="243">
        <f ca="1">$L17*$Q17</f>
        <v>11.074999999999999</v>
      </c>
      <c r="T17" s="242">
        <f ca="1">$M17*$Q17</f>
        <v>12.1</v>
      </c>
      <c r="U17" s="244">
        <f ca="1">T17-R17</f>
        <v>2.0499999999999989</v>
      </c>
      <c r="V17" s="172" t="str">
        <f t="shared" ca="1" si="18"/>
        <v>ETHX6</v>
      </c>
      <c r="W17" s="173" t="str">
        <f t="shared" ca="1" si="18"/>
        <v>ETHZ6</v>
      </c>
      <c r="X17" s="180">
        <f ca="1">X5</f>
        <v>1.25</v>
      </c>
      <c r="Y17" s="242">
        <f ca="1">$K17*$X17</f>
        <v>12.5625</v>
      </c>
      <c r="Z17" s="243">
        <f ca="1">$L17*$X17</f>
        <v>13.84375</v>
      </c>
      <c r="AA17" s="242">
        <f ca="1">$M17*$X17</f>
        <v>15.125</v>
      </c>
      <c r="AB17" s="263">
        <f ca="1">AA17-Y17</f>
        <v>2.5625</v>
      </c>
      <c r="AC17" s="172" t="str">
        <f t="shared" ca="1" si="19"/>
        <v>ETHX6</v>
      </c>
      <c r="AD17" s="102" t="str">
        <f t="shared" ca="1" si="19"/>
        <v>ETHZ6</v>
      </c>
      <c r="AE17" s="224">
        <f ca="1">J17/$AE$21</f>
        <v>7.4999999999999997E-2</v>
      </c>
      <c r="AF17" s="228">
        <f t="shared" ca="1" si="20"/>
        <v>4.9828482183528713E-2</v>
      </c>
      <c r="AG17" s="227">
        <f t="shared" ca="1" si="20"/>
        <v>5.4910491560455771E-2</v>
      </c>
      <c r="AH17" s="228">
        <f t="shared" ca="1" si="20"/>
        <v>5.9992500937382835E-2</v>
      </c>
      <c r="AI17" s="232">
        <f ca="1">AH17-AF17</f>
        <v>1.0164018753854122E-2</v>
      </c>
      <c r="AJ17" s="298">
        <f ca="1">'BTC FUTS'!AF17-AF17</f>
        <v>8.0016180659033195E-3</v>
      </c>
      <c r="AL17" s="299">
        <f ca="1">'BTC FUTS'!AH17-AH17</f>
        <v>1.3328251513005721E-3</v>
      </c>
    </row>
    <row r="18" spans="1:38" ht="15.75" thickBot="1" x14ac:dyDescent="0.3">
      <c r="A18" s="389"/>
      <c r="B18" s="222">
        <f>B17+4</f>
        <v>67</v>
      </c>
      <c r="C18" s="2" t="str" cm="1">
        <f t="array" aca="1" ref="C18" ca="1">INDIRECT(ADDRESS($B18,2,1,1,"mkt data"))</f>
        <v>ETHZ6/ETHF7</v>
      </c>
      <c r="E18" s="242" cm="1">
        <f t="array" aca="1" ref="E18" ca="1">INDIRECT(ADDRESS($B18,11,1,1,"mkt data"))</f>
        <v>0</v>
      </c>
      <c r="F18" s="243">
        <f ca="1">AVERAGE(E18,G18)</f>
        <v>0</v>
      </c>
      <c r="G18" s="244" cm="1">
        <f t="array" aca="1" ref="G18" ca="1">INDIRECT(ADDRESS($B18,12,1,1,"mkt data"))</f>
        <v>0</v>
      </c>
      <c r="H18" s="172" t="str" cm="1">
        <f t="array" aca="1" ref="H18:I18" ca="1">_xlfn.TEXTSPLIT(C18,"/")</f>
        <v>ETHZ6</v>
      </c>
      <c r="I18" s="173" t="str">
        <f ca="1"/>
        <v>ETHF7</v>
      </c>
      <c r="J18" s="150">
        <f ca="1">J6</f>
        <v>36</v>
      </c>
      <c r="K18" s="242">
        <f t="shared" ca="1" si="16"/>
        <v>0</v>
      </c>
      <c r="L18" s="290">
        <f t="shared" ca="1" si="16"/>
        <v>0</v>
      </c>
      <c r="M18" s="242">
        <f t="shared" ca="1" si="16"/>
        <v>0</v>
      </c>
      <c r="N18" s="244">
        <f ca="1">M18-K18</f>
        <v>0</v>
      </c>
      <c r="O18" s="172" t="str">
        <f t="shared" ca="1" si="17"/>
        <v>ETHZ6</v>
      </c>
      <c r="P18" s="102" t="str">
        <f t="shared" ca="1" si="17"/>
        <v>ETHF7</v>
      </c>
      <c r="Q18" s="204">
        <f ca="1">Q6</f>
        <v>1</v>
      </c>
      <c r="R18" s="242">
        <f ca="1">$K18*$Q18</f>
        <v>0</v>
      </c>
      <c r="S18" s="243">
        <f ca="1">$L18*$Q18</f>
        <v>0</v>
      </c>
      <c r="T18" s="242">
        <f ca="1">$M18*$Q18</f>
        <v>0</v>
      </c>
      <c r="U18" s="244">
        <f ca="1">T18-R18</f>
        <v>0</v>
      </c>
      <c r="V18" s="172" t="str">
        <f t="shared" ca="1" si="18"/>
        <v>ETHZ6</v>
      </c>
      <c r="W18" s="173" t="str">
        <f t="shared" ca="1" si="18"/>
        <v>ETHF7</v>
      </c>
      <c r="X18" s="180">
        <f ca="1">X6</f>
        <v>1.25</v>
      </c>
      <c r="Y18" s="242">
        <f ca="1">$K18*$X18</f>
        <v>0</v>
      </c>
      <c r="Z18" s="243">
        <f ca="1">$L18*$X18</f>
        <v>0</v>
      </c>
      <c r="AA18" s="242">
        <f ca="1">$M18*$X18</f>
        <v>0</v>
      </c>
      <c r="AB18" s="263">
        <f ca="1">AA18-Y18</f>
        <v>0</v>
      </c>
      <c r="AC18" s="172" t="str">
        <f t="shared" ca="1" si="19"/>
        <v>ETHZ6</v>
      </c>
      <c r="AD18" s="102" t="str">
        <f t="shared" ca="1" si="19"/>
        <v>ETHF7</v>
      </c>
      <c r="AE18" s="224">
        <f t="shared" ref="AE18:AE20" ca="1" si="21">J18/$AE$21</f>
        <v>0.1</v>
      </c>
      <c r="AF18" s="228">
        <f t="shared" ca="1" si="20"/>
        <v>0</v>
      </c>
      <c r="AG18" s="227">
        <f t="shared" ca="1" si="20"/>
        <v>0</v>
      </c>
      <c r="AH18" s="228">
        <f t="shared" ca="1" si="20"/>
        <v>0</v>
      </c>
      <c r="AI18" s="232">
        <f ca="1">AH18-AF18</f>
        <v>0</v>
      </c>
      <c r="AJ18" s="300">
        <f ca="1">'BTC FUTS'!AF18-AF18</f>
        <v>4.8873652119242224E-2</v>
      </c>
      <c r="AK18" s="195"/>
      <c r="AL18" s="301">
        <f ca="1">'BTC FUTS'!AH18-AH18</f>
        <v>5.3262790780436303E-2</v>
      </c>
    </row>
    <row r="19" spans="1:38" x14ac:dyDescent="0.25">
      <c r="A19" s="389"/>
      <c r="B19" s="222">
        <f>B18+3</f>
        <v>70</v>
      </c>
      <c r="C19" s="2" t="str" cm="1">
        <f t="array" aca="1" ref="C19" ca="1">INDIRECT(ADDRESS($B19,2,1,1,"mkt data"))</f>
        <v>ETHF7/ETHG7</v>
      </c>
      <c r="E19" s="242"/>
      <c r="F19" s="243"/>
      <c r="G19" s="244"/>
      <c r="H19" s="172" t="str" cm="1">
        <f t="array" aca="1" ref="H19:I19" ca="1">_xlfn.TEXTSPLIT(C19,"/")</f>
        <v>ETHF7</v>
      </c>
      <c r="I19" s="173" t="str">
        <f ca="1"/>
        <v>ETHG7</v>
      </c>
      <c r="J19" s="150">
        <f ca="1">J7</f>
        <v>28</v>
      </c>
      <c r="K19" s="242"/>
      <c r="L19" s="243"/>
      <c r="M19" s="242"/>
      <c r="N19" s="244"/>
      <c r="O19" s="172" t="str">
        <f t="shared" ca="1" si="17"/>
        <v>ETHF7</v>
      </c>
      <c r="P19" s="102" t="str">
        <f t="shared" ca="1" si="17"/>
        <v>ETHG7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ETHF7</v>
      </c>
      <c r="W19" s="173" t="str">
        <f t="shared" ca="1" si="18"/>
        <v>ETHG7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ETHF7</v>
      </c>
      <c r="AD19" s="102" t="str">
        <f t="shared" ca="1" si="19"/>
        <v>ETHG7</v>
      </c>
      <c r="AE19" s="224">
        <f t="shared" ca="1" si="21"/>
        <v>7.7777777777777779E-2</v>
      </c>
      <c r="AF19" s="228"/>
      <c r="AG19" s="227"/>
      <c r="AH19" s="228"/>
      <c r="AI19" s="232"/>
    </row>
    <row r="20" spans="1:38" ht="15.75" thickBot="1" x14ac:dyDescent="0.3">
      <c r="A20" s="390"/>
      <c r="B20" s="223">
        <f>B19+2</f>
        <v>72</v>
      </c>
      <c r="C20" s="155" t="str" cm="1">
        <f t="array" aca="1" ref="C20" ca="1">INDIRECT(ADDRESS($B20,2,1,1,"mkt data"))</f>
        <v>ETHG7/ETHH7</v>
      </c>
      <c r="D20" s="156"/>
      <c r="E20" s="248"/>
      <c r="F20" s="249"/>
      <c r="G20" s="250"/>
      <c r="H20" s="174" t="str" cm="1">
        <f t="array" aca="1" ref="H20:I20" ca="1">_xlfn.TEXTSPLIT(C20,"/")</f>
        <v>ETHG7</v>
      </c>
      <c r="I20" s="175" t="str">
        <f ca="1"/>
        <v>ETHH7</v>
      </c>
      <c r="J20" s="154">
        <f ca="1">J8</f>
        <v>27</v>
      </c>
      <c r="K20" s="248"/>
      <c r="L20" s="249"/>
      <c r="M20" s="248"/>
      <c r="N20" s="250"/>
      <c r="O20" s="174" t="str">
        <f t="shared" ca="1" si="17"/>
        <v>ETHG7</v>
      </c>
      <c r="P20" s="193" t="str">
        <f t="shared" ca="1" si="17"/>
        <v>ETHH7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ETHG7</v>
      </c>
      <c r="W20" s="211" t="str">
        <f t="shared" ca="1" si="18"/>
        <v>ETHH7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ETHG7</v>
      </c>
      <c r="AD20" s="193" t="str">
        <f t="shared" ca="1" si="19"/>
        <v>ETHH7</v>
      </c>
      <c r="AE20" s="225">
        <f t="shared" ca="1" si="21"/>
        <v>7.4999999999999997E-2</v>
      </c>
      <c r="AF20" s="229"/>
      <c r="AG20" s="230"/>
      <c r="AH20" s="229"/>
      <c r="AI20" s="234"/>
    </row>
    <row r="21" spans="1:38" ht="15.75" thickBot="1" x14ac:dyDescent="0.3">
      <c r="A21" s="388" t="s">
        <v>50</v>
      </c>
      <c r="B21" s="184"/>
      <c r="C21" s="169" t="str">
        <f t="shared" ref="C21:C26" ca="1" si="23">C3</f>
        <v>ETHV6</v>
      </c>
      <c r="D21" s="384">
        <f>'MKT DATA'!AB37</f>
        <v>0</v>
      </c>
      <c r="E21" s="377">
        <f>'MKT DATA'!AA37</f>
        <v>2706</v>
      </c>
      <c r="F21" s="284">
        <f t="shared" ref="F21:F24" ca="1" si="24">F9</f>
        <v>2678.5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89"/>
      <c r="B22" s="222"/>
      <c r="C22" s="2" t="str">
        <f t="shared" ca="1" si="23"/>
        <v>ETHX6</v>
      </c>
      <c r="D22" s="384">
        <f>'MKT DATA'!AB38</f>
        <v>0</v>
      </c>
      <c r="E22" s="378">
        <f>'MKT DATA'!AA38</f>
        <v>2716.5</v>
      </c>
      <c r="F22" s="24">
        <f t="shared" ca="1" si="24"/>
        <v>2689.2249999999999</v>
      </c>
      <c r="G22" s="244">
        <f t="shared" ca="1" si="25"/>
        <v>0</v>
      </c>
      <c r="H22" s="349">
        <f>E22-E21</f>
        <v>10.5</v>
      </c>
      <c r="I22" s="366">
        <f ca="1">L10-H22</f>
        <v>0.22499999999990905</v>
      </c>
      <c r="J22" s="340"/>
      <c r="K22" s="342"/>
      <c r="L22" s="342"/>
      <c r="M22" s="340"/>
      <c r="Q22" s="194" t="s">
        <v>49</v>
      </c>
      <c r="R22" s="265">
        <f ca="1">MAX(R16:R18)-U21</f>
        <v>9.274560000000001</v>
      </c>
      <c r="S22" s="265"/>
      <c r="T22" s="265">
        <f ca="1">MIN(T16:T18)+U21</f>
        <v>1.2254399999999999</v>
      </c>
      <c r="U22" s="196">
        <f ca="1">MAX(R16:R20)-MIN(T16:T20)</f>
        <v>10.5</v>
      </c>
      <c r="X22" s="194" t="s">
        <v>49</v>
      </c>
      <c r="Y22" s="265">
        <f ca="1">MAX(Y16:Y18)-AB21</f>
        <v>11.5932</v>
      </c>
      <c r="Z22" s="265"/>
      <c r="AA22" s="265">
        <f ca="1">MIN(AA16:AA18)+AB21</f>
        <v>1.5318000000000001</v>
      </c>
      <c r="AB22" s="196">
        <f ca="1">MAX(Y16:Y20)-MIN(AA16:AA20)</f>
        <v>13.125</v>
      </c>
    </row>
    <row r="23" spans="1:38" ht="15.75" thickBot="1" x14ac:dyDescent="0.3">
      <c r="A23" s="389"/>
      <c r="B23" s="222"/>
      <c r="C23" s="2" t="str">
        <f t="shared" ca="1" si="23"/>
        <v>ETHZ6</v>
      </c>
      <c r="D23" s="384">
        <f>'MKT DATA'!AB39</f>
        <v>0</v>
      </c>
      <c r="E23" s="378">
        <f>'MKT DATA'!AA39</f>
        <v>2728.5</v>
      </c>
      <c r="F23" s="24">
        <f t="shared" ca="1" si="24"/>
        <v>2700.3</v>
      </c>
      <c r="G23" s="244">
        <f t="shared" ca="1" si="25"/>
        <v>0</v>
      </c>
      <c r="H23" s="350">
        <f t="shared" ref="H23:H26" si="26">E23-E22</f>
        <v>12</v>
      </c>
      <c r="I23" s="367">
        <f t="shared" ref="I23:I24" ca="1" si="27">L11-H23</f>
        <v>-0.92499999999972715</v>
      </c>
      <c r="J23" s="340"/>
      <c r="K23" s="342"/>
      <c r="L23" s="342"/>
      <c r="M23" s="340"/>
      <c r="T23" s="343" t="s">
        <v>61</v>
      </c>
      <c r="U23" s="253">
        <f ca="1">U22-U21</f>
        <v>9.274560000000001</v>
      </c>
      <c r="V23" s="171" t="s">
        <v>62</v>
      </c>
      <c r="AA23" s="343" t="s">
        <v>61</v>
      </c>
      <c r="AB23" s="253">
        <f ca="1">AB22-AB21</f>
        <v>11.5932</v>
      </c>
      <c r="AC23" s="171" t="s">
        <v>62</v>
      </c>
    </row>
    <row r="24" spans="1:38" ht="15.75" thickBot="1" x14ac:dyDescent="0.3">
      <c r="A24" s="389"/>
      <c r="B24" s="222"/>
      <c r="C24" s="2" t="str">
        <f t="shared" ca="1" si="23"/>
        <v>ETHF7</v>
      </c>
      <c r="D24" s="384">
        <f>'MKT DATA'!AB40</f>
        <v>0</v>
      </c>
      <c r="E24" s="378">
        <f>'MKT DATA'!AA40</f>
        <v>2744.5</v>
      </c>
      <c r="F24" s="24">
        <f t="shared" ca="1" si="24"/>
        <v>-1</v>
      </c>
      <c r="G24" s="244">
        <f t="shared" ca="1" si="25"/>
        <v>0</v>
      </c>
      <c r="H24" s="350">
        <f t="shared" si="26"/>
        <v>16</v>
      </c>
      <c r="I24" s="367">
        <f t="shared" ca="1" si="27"/>
        <v>-2717.3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463.72800000000007</v>
      </c>
      <c r="V24" s="175" t="s">
        <v>63</v>
      </c>
      <c r="AA24" s="194"/>
      <c r="AB24" s="265">
        <f ca="1">AB23*R24</f>
        <v>579.66</v>
      </c>
      <c r="AC24" s="175" t="s">
        <v>63</v>
      </c>
    </row>
    <row r="25" spans="1:38" ht="15.75" thickBot="1" x14ac:dyDescent="0.3">
      <c r="A25" s="389"/>
      <c r="B25" s="222"/>
      <c r="C25" s="2" t="str">
        <f t="shared" ca="1" si="23"/>
        <v>ETHG7</v>
      </c>
      <c r="D25" s="384">
        <f>'MKT DATA'!AB41</f>
        <v>0</v>
      </c>
      <c r="E25" s="378">
        <f>'MKT DATA'!AA41</f>
        <v>2762</v>
      </c>
      <c r="F25" s="24"/>
      <c r="G25" s="244"/>
      <c r="H25" s="350">
        <f t="shared" si="26"/>
        <v>17.5</v>
      </c>
      <c r="I25" s="367"/>
    </row>
    <row r="26" spans="1:38" ht="15.75" thickBot="1" x14ac:dyDescent="0.3">
      <c r="A26" s="390"/>
      <c r="B26" s="223"/>
      <c r="C26" s="155" t="str">
        <f t="shared" ca="1" si="23"/>
        <v>ETHH7</v>
      </c>
      <c r="D26" s="385">
        <f>'MKT DATA'!AB42</f>
        <v>0</v>
      </c>
      <c r="E26" s="378">
        <f>'MKT DATA'!AA42</f>
        <v>2773.5</v>
      </c>
      <c r="F26" s="285"/>
      <c r="G26" s="250"/>
      <c r="H26" s="351">
        <f t="shared" si="26"/>
        <v>11.5</v>
      </c>
      <c r="I26" s="368"/>
      <c r="J26" s="286"/>
      <c r="K26" s="67"/>
      <c r="L26" s="67"/>
      <c r="M26" s="67"/>
      <c r="Q26" s="292">
        <f ca="1">S26*R26</f>
        <v>8.58</v>
      </c>
      <c r="R26" s="219">
        <v>0.8</v>
      </c>
      <c r="S26" s="386">
        <f ca="1">L16</f>
        <v>10.725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87">
        <f ca="1">L17</f>
        <v>11.074999999999999</v>
      </c>
      <c r="R27" s="220">
        <v>1.25</v>
      </c>
      <c r="S27" s="250">
        <f ca="1">+Q27*R27</f>
        <v>13.84375</v>
      </c>
    </row>
    <row r="28" spans="1:38" x14ac:dyDescent="0.25">
      <c r="F28" s="1" t="s">
        <v>0</v>
      </c>
      <c r="G28" s="281">
        <f ca="1">'BTC FUTS'!G27</f>
        <v>0</v>
      </c>
      <c r="Q28" s="286">
        <f ca="1">+Q26-Q27</f>
        <v>-2.4949999999999992</v>
      </c>
      <c r="S28" s="286">
        <f ca="1">+S26-S27</f>
        <v>-3.1187500000000004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2678</v>
      </c>
      <c r="I31" s="322">
        <f ca="1">E35</f>
        <v>2688.5</v>
      </c>
      <c r="J31" s="322">
        <f ca="1">E36</f>
        <v>2698.55</v>
      </c>
      <c r="K31" s="245">
        <f ca="1">E37</f>
        <v>-1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2679</v>
      </c>
      <c r="I32" s="325">
        <f ca="1">F35</f>
        <v>2689.95</v>
      </c>
      <c r="J32" s="325">
        <f ca="1">F36</f>
        <v>2702.0499999999997</v>
      </c>
      <c r="K32" s="242">
        <f ca="1">F37</f>
        <v>-1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ETHV6</v>
      </c>
      <c r="I33" s="85" t="str">
        <f ca="1">G35</f>
        <v>b/o ETHX6</v>
      </c>
      <c r="J33" s="85" t="str">
        <f ca="1">G36</f>
        <v>b/o ETHZ6</v>
      </c>
      <c r="K33" s="85" t="str">
        <f ca="1">G37</f>
        <v>b/o ETHF7</v>
      </c>
      <c r="L33" s="85" t="str">
        <f ca="1">G38</f>
        <v>b/o ETHG7</v>
      </c>
      <c r="M33" s="327" t="str">
        <f ca="1">G39</f>
        <v>b/o ETHH7</v>
      </c>
      <c r="O33" s="292"/>
      <c r="P33" s="336" t="str">
        <f ca="1">O34</f>
        <v>ETHV6</v>
      </c>
      <c r="Q33" s="336" t="str">
        <f ca="1">O35</f>
        <v>ETHX6</v>
      </c>
      <c r="R33" s="336" t="str">
        <f ca="1">O36</f>
        <v>ETHZ6</v>
      </c>
      <c r="S33" s="336" t="str">
        <f ca="1">O37</f>
        <v>ETHF7</v>
      </c>
      <c r="T33" s="336" t="str">
        <f ca="1">O38</f>
        <v>ETHG7</v>
      </c>
      <c r="U33" s="337" t="str">
        <f ca="1">O39</f>
        <v>ETHH7</v>
      </c>
      <c r="W33" s="292"/>
      <c r="X33" s="336" t="str">
        <f ca="1">W34</f>
        <v>ETHV6</v>
      </c>
      <c r="Y33" s="336" t="str">
        <f ca="1">W35</f>
        <v>ETHX6</v>
      </c>
      <c r="Z33" s="336" t="str">
        <f ca="1">W36</f>
        <v>ETHZ6</v>
      </c>
      <c r="AA33" s="336" t="str">
        <f ca="1">W37</f>
        <v>ETHF7</v>
      </c>
      <c r="AB33" s="336" t="str">
        <f ca="1">W38</f>
        <v>ETHG7</v>
      </c>
      <c r="AC33" s="337" t="str">
        <f ca="1">W39</f>
        <v>ETHH7</v>
      </c>
    </row>
    <row r="34" spans="5:29" x14ac:dyDescent="0.25">
      <c r="E34" s="323">
        <f ca="1">E9</f>
        <v>2678</v>
      </c>
      <c r="F34" s="242">
        <f ca="1">G9</f>
        <v>2679</v>
      </c>
      <c r="G34" s="324" t="str">
        <f t="shared" ref="G34:G39" ca="1" si="28">C9</f>
        <v>b/o ETHV6</v>
      </c>
      <c r="H34" s="328"/>
      <c r="I34" s="329">
        <f ca="1">I$32-$F34</f>
        <v>10.949999999999818</v>
      </c>
      <c r="J34" s="329">
        <f ca="1">J$32-$F34</f>
        <v>23.049999999999727</v>
      </c>
      <c r="K34" s="329">
        <f ca="1">K$32-$F34</f>
        <v>-2680</v>
      </c>
      <c r="L34" s="329"/>
      <c r="M34" s="330"/>
      <c r="O34" s="338" t="str">
        <f t="shared" ref="O34:O39" ca="1" si="29">C3</f>
        <v>ETHV6</v>
      </c>
      <c r="P34" s="328"/>
      <c r="Q34" s="329">
        <f>'MKT DATA'!$H58</f>
        <v>10.95</v>
      </c>
      <c r="R34" s="329">
        <f>'MKT DATA'!$H59</f>
        <v>26.15</v>
      </c>
      <c r="S34" s="329">
        <f>'MKT DATA'!$H60</f>
        <v>0</v>
      </c>
      <c r="T34" s="329"/>
      <c r="U34" s="330"/>
      <c r="W34" s="338" t="str">
        <f ca="1">O34</f>
        <v>ETHV6</v>
      </c>
      <c r="X34" s="328"/>
      <c r="Y34" s="329">
        <f ca="1">Q34-I34</f>
        <v>1.8118839761882555E-13</v>
      </c>
      <c r="Z34" s="329">
        <f t="shared" ref="Z34:AA36" ca="1" si="30">R34-J34</f>
        <v>3.1000000000002714</v>
      </c>
      <c r="AA34" s="329">
        <f t="shared" ca="1" si="30"/>
        <v>2680</v>
      </c>
      <c r="AB34" s="329"/>
      <c r="AC34" s="330"/>
    </row>
    <row r="35" spans="5:29" x14ac:dyDescent="0.25">
      <c r="E35" s="323">
        <f ca="1">E10</f>
        <v>2688.5</v>
      </c>
      <c r="F35" s="242">
        <f ca="1">G10</f>
        <v>2689.95</v>
      </c>
      <c r="G35" s="324" t="str">
        <f t="shared" ca="1" si="28"/>
        <v>b/o ETHX6</v>
      </c>
      <c r="H35" s="331">
        <f ca="1">$E35-H$31</f>
        <v>10.5</v>
      </c>
      <c r="I35" s="328"/>
      <c r="J35" s="329">
        <f ca="1">J$32-$F35</f>
        <v>12.099999999999909</v>
      </c>
      <c r="K35" s="329">
        <f ca="1">K$32-$F35</f>
        <v>-2690.95</v>
      </c>
      <c r="L35" s="329"/>
      <c r="M35" s="330"/>
      <c r="O35" s="338" t="str">
        <f t="shared" ca="1" si="29"/>
        <v>ETHX6</v>
      </c>
      <c r="P35" s="331">
        <f>'MKT DATA'!G58</f>
        <v>10.5</v>
      </c>
      <c r="Q35" s="328"/>
      <c r="R35" s="329">
        <f>'MKT DATA'!$H63</f>
        <v>12.1</v>
      </c>
      <c r="S35" s="329">
        <f>'MKT DATA'!$H64</f>
        <v>0</v>
      </c>
      <c r="T35" s="329"/>
      <c r="U35" s="330"/>
      <c r="W35" s="338" t="str">
        <f t="shared" ref="W35:W39" ca="1" si="31">O35</f>
        <v>ETHX6</v>
      </c>
      <c r="X35" s="331">
        <f ca="1">H35-P35</f>
        <v>0</v>
      </c>
      <c r="Y35" s="328"/>
      <c r="Z35" s="329">
        <f ca="1">R35-J35</f>
        <v>9.0594198809412774E-14</v>
      </c>
      <c r="AA35" s="329">
        <f t="shared" ca="1" si="30"/>
        <v>2690.95</v>
      </c>
      <c r="AB35" s="329"/>
      <c r="AC35" s="330"/>
    </row>
    <row r="36" spans="5:29" x14ac:dyDescent="0.25">
      <c r="E36" s="323">
        <f ca="1">E11</f>
        <v>2698.55</v>
      </c>
      <c r="F36" s="242">
        <f ca="1">G11</f>
        <v>2702.0499999999997</v>
      </c>
      <c r="G36" s="324" t="str">
        <f t="shared" ca="1" si="28"/>
        <v>b/o ETHZ6</v>
      </c>
      <c r="H36" s="331">
        <f ca="1">$E36-H$31</f>
        <v>20.550000000000182</v>
      </c>
      <c r="I36" s="331">
        <f ca="1">$E36-I$31</f>
        <v>10.050000000000182</v>
      </c>
      <c r="J36" s="328"/>
      <c r="K36" s="329">
        <f ca="1">K$32-$F36</f>
        <v>-2703.0499999999997</v>
      </c>
      <c r="L36" s="329"/>
      <c r="M36" s="330"/>
      <c r="O36" s="338" t="str">
        <f t="shared" ca="1" si="29"/>
        <v>ETHZ6</v>
      </c>
      <c r="P36" s="331">
        <f>'MKT DATA'!G59</f>
        <v>17.3</v>
      </c>
      <c r="Q36" s="331">
        <f>'MKT DATA'!$G63</f>
        <v>10.050000000000001</v>
      </c>
      <c r="R36" s="328"/>
      <c r="S36" s="329">
        <f>'MKT DATA'!$H67</f>
        <v>0</v>
      </c>
      <c r="T36" s="329"/>
      <c r="U36" s="330"/>
      <c r="W36" s="338" t="str">
        <f t="shared" ca="1" si="31"/>
        <v>ETHZ6</v>
      </c>
      <c r="X36" s="331">
        <f t="shared" ref="X36:Z37" ca="1" si="32">H36-P36</f>
        <v>3.2500000000001812</v>
      </c>
      <c r="Y36" s="331">
        <f t="shared" ca="1" si="32"/>
        <v>1.8118839761882555E-13</v>
      </c>
      <c r="Z36" s="328"/>
      <c r="AA36" s="329">
        <f t="shared" ca="1" si="30"/>
        <v>2703.0499999999997</v>
      </c>
      <c r="AB36" s="329"/>
      <c r="AC36" s="330"/>
    </row>
    <row r="37" spans="5:29" x14ac:dyDescent="0.25">
      <c r="E37" s="323">
        <f ca="1">E12</f>
        <v>-1</v>
      </c>
      <c r="F37" s="242">
        <f ca="1">G12</f>
        <v>-1</v>
      </c>
      <c r="G37" s="324" t="str">
        <f t="shared" ca="1" si="28"/>
        <v>b/o ETHF7</v>
      </c>
      <c r="H37" s="331">
        <f ca="1">$E37-H$31</f>
        <v>-2679</v>
      </c>
      <c r="I37" s="331">
        <f ca="1">$E37-I$31</f>
        <v>-2689.5</v>
      </c>
      <c r="J37" s="331">
        <f ca="1">$E37-J$31</f>
        <v>-2699.55</v>
      </c>
      <c r="K37" s="328"/>
      <c r="L37" s="329"/>
      <c r="M37" s="330"/>
      <c r="O37" s="338" t="str">
        <f t="shared" ca="1" si="29"/>
        <v>ETHF7</v>
      </c>
      <c r="P37" s="331">
        <f>'MKT DATA'!G60</f>
        <v>0</v>
      </c>
      <c r="Q37" s="331">
        <f>'MKT DATA'!$G64</f>
        <v>0</v>
      </c>
      <c r="R37" s="331">
        <f>'MKT DATA'!$G67</f>
        <v>0</v>
      </c>
      <c r="S37" s="328"/>
      <c r="T37" s="329"/>
      <c r="U37" s="330"/>
      <c r="W37" s="338" t="str">
        <f t="shared" ca="1" si="31"/>
        <v>ETHF7</v>
      </c>
      <c r="X37" s="331">
        <f t="shared" ca="1" si="32"/>
        <v>-2679</v>
      </c>
      <c r="Y37" s="331">
        <f t="shared" ca="1" si="32"/>
        <v>-2689.5</v>
      </c>
      <c r="Z37" s="331">
        <f t="shared" ca="1" si="32"/>
        <v>-2699.55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ETHG7</v>
      </c>
      <c r="H38" s="331"/>
      <c r="I38" s="331"/>
      <c r="J38" s="331"/>
      <c r="K38" s="331"/>
      <c r="L38" s="328"/>
      <c r="M38" s="330"/>
      <c r="O38" s="338" t="str">
        <f t="shared" ca="1" si="29"/>
        <v>ETHG7</v>
      </c>
      <c r="P38" s="331"/>
      <c r="Q38" s="331"/>
      <c r="R38" s="331"/>
      <c r="S38" s="331"/>
      <c r="T38" s="328"/>
      <c r="U38" s="330"/>
      <c r="W38" s="338" t="str">
        <f t="shared" ca="1" si="31"/>
        <v>ETHG7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ETHH7</v>
      </c>
      <c r="H39" s="334"/>
      <c r="I39" s="334"/>
      <c r="J39" s="334"/>
      <c r="K39" s="334"/>
      <c r="L39" s="334"/>
      <c r="M39" s="335"/>
      <c r="O39" s="339" t="str">
        <f t="shared" ca="1" si="29"/>
        <v>ETHH7</v>
      </c>
      <c r="P39" s="334"/>
      <c r="Q39" s="334"/>
      <c r="R39" s="334"/>
      <c r="S39" s="334"/>
      <c r="T39" s="334"/>
      <c r="U39" s="335"/>
      <c r="W39" s="339" t="str">
        <f t="shared" ca="1" si="31"/>
        <v>ETHH7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cf_unit_hit_bid_comm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cf_unit_lift_ask_comm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2.5510000000000001E-2</v>
      </c>
      <c r="C2" s="8">
        <f>'MKT DATA'!O2</f>
        <v>-83.163300000000007</v>
      </c>
      <c r="D2" s="8">
        <f>'MKT DATA'!P2</f>
        <v>83163.3</v>
      </c>
      <c r="E2" s="8">
        <f>'MKT DATA'!Q2</f>
        <v>83080.136700000003</v>
      </c>
      <c r="F2" s="8">
        <f>E2+G2</f>
        <v>-167.58785999999964</v>
      </c>
      <c r="G2" s="8">
        <f>'MKT DATA'!R2</f>
        <v>-83247.724560000002</v>
      </c>
      <c r="H2" s="8">
        <f>'MKT DATA'!S2</f>
        <v>-83164.56</v>
      </c>
      <c r="I2" s="8">
        <f>'MKT DATA'!T2</f>
        <v>-83.164559999999994</v>
      </c>
      <c r="J2" s="63">
        <f>'MKT DATA'!U2</f>
        <v>2.5699999999999998E-3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1.5286666612691522</v>
      </c>
      <c r="C3" s="8">
        <f>'MKT DATA'!O3</f>
        <v>-9.7143480499999999</v>
      </c>
      <c r="D3" s="8">
        <f>'MKT DATA'!P3</f>
        <v>83154.819308000006</v>
      </c>
      <c r="E3" s="8">
        <f>'MKT DATA'!Q3</f>
        <v>83145.104959950011</v>
      </c>
      <c r="F3" s="8">
        <f t="shared" ref="F3:F9" si="0">E3+G3</f>
        <v>-71.249202749997494</v>
      </c>
      <c r="G3" s="8">
        <f>'MKT DATA'!R3</f>
        <v>-83216.354162700009</v>
      </c>
      <c r="H3" s="8">
        <f>'MKT DATA'!S3</f>
        <v>-83210.031212000002</v>
      </c>
      <c r="I3" s="8">
        <f>'MKT DATA'!T3</f>
        <v>-6.3229506999999998</v>
      </c>
      <c r="J3" s="63">
        <f>'MKT DATA'!U3</f>
        <v>0.2609541143504408</v>
      </c>
      <c r="K3" s="99">
        <f>'MKT DATA'!V21</f>
        <v>1</v>
      </c>
      <c r="L3" s="99">
        <f>'MKT DATA'!W21</f>
        <v>1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BTCV6</v>
      </c>
      <c r="B4" s="63">
        <f>'MKT DATA'!N4</f>
        <v>10</v>
      </c>
      <c r="C4" s="8">
        <f>'MKT DATA'!O4</f>
        <v>-2.504</v>
      </c>
      <c r="D4" s="8">
        <f>'MKT DATA'!P4</f>
        <v>83535</v>
      </c>
      <c r="E4" s="8">
        <f>'MKT DATA'!Q4</f>
        <v>83532.495999999999</v>
      </c>
      <c r="F4" s="8">
        <f t="shared" si="0"/>
        <v>-35.00800000000163</v>
      </c>
      <c r="G4" s="8">
        <f>'MKT DATA'!R4</f>
        <v>-83567.504000000001</v>
      </c>
      <c r="H4" s="8">
        <f>'MKT DATA'!S4</f>
        <v>-83565</v>
      </c>
      <c r="I4" s="8">
        <f>'MKT DATA'!T4</f>
        <v>-2.504</v>
      </c>
      <c r="J4" s="63">
        <f>'MKT DATA'!U4</f>
        <v>5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BTCX6</v>
      </c>
      <c r="B5" s="63">
        <f>'MKT DATA'!N5</f>
        <v>5</v>
      </c>
      <c r="C5" s="8">
        <f>'MKT DATA'!O5</f>
        <v>-2.504</v>
      </c>
      <c r="D5" s="8">
        <f>'MKT DATA'!P5</f>
        <v>83900</v>
      </c>
      <c r="E5" s="8">
        <f>'MKT DATA'!Q5</f>
        <v>83897.495999999999</v>
      </c>
      <c r="F5" s="8">
        <f t="shared" si="0"/>
        <v>-60.00800000000163</v>
      </c>
      <c r="G5" s="8">
        <f>'MKT DATA'!R5</f>
        <v>-83957.504000000001</v>
      </c>
      <c r="H5" s="8">
        <f>'MKT DATA'!S5</f>
        <v>-83955</v>
      </c>
      <c r="I5" s="8">
        <f>'MKT DATA'!T5</f>
        <v>-2.504</v>
      </c>
      <c r="J5" s="63">
        <f>'MKT DATA'!U5</f>
        <v>5</v>
      </c>
      <c r="K5" s="99">
        <f>'MKT DATA'!V33</f>
        <v>0</v>
      </c>
      <c r="L5" s="99">
        <f>'MKT DATA'!W33</f>
        <v>0</v>
      </c>
      <c r="M5" s="99">
        <f>'MKT DATA'!X33</f>
        <v>87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BTCZ6</v>
      </c>
      <c r="B6" s="63">
        <f>'MKT DATA'!N6</f>
        <v>5</v>
      </c>
      <c r="C6" s="8">
        <f>'MKT DATA'!O6</f>
        <v>-2.504</v>
      </c>
      <c r="D6" s="8">
        <f>'MKT DATA'!P6</f>
        <v>84245</v>
      </c>
      <c r="E6" s="8">
        <f>'MKT DATA'!Q6</f>
        <v>84242.495999999999</v>
      </c>
      <c r="F6" s="8">
        <f t="shared" si="0"/>
        <v>-105.00800000000163</v>
      </c>
      <c r="G6" s="8">
        <f>'MKT DATA'!R6</f>
        <v>-84347.504000000001</v>
      </c>
      <c r="H6" s="8">
        <f>'MKT DATA'!S6</f>
        <v>-84345</v>
      </c>
      <c r="I6" s="8">
        <f>'MKT DATA'!T6</f>
        <v>-2.504</v>
      </c>
      <c r="J6" s="63">
        <f>'MKT DATA'!U6</f>
        <v>5</v>
      </c>
      <c r="K6" s="99">
        <f>'MKT DATA'!V34</f>
        <v>0</v>
      </c>
      <c r="L6" s="99">
        <f>'MKT DATA'!W34</f>
        <v>0</v>
      </c>
      <c r="M6" s="99">
        <f>'MKT DATA'!X34</f>
        <v>123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BTCF7</v>
      </c>
      <c r="B7" s="63">
        <f>'MKT DATA'!N7</f>
        <v>5</v>
      </c>
      <c r="C7" s="8">
        <f>'MKT DATA'!O7</f>
        <v>-2.504</v>
      </c>
      <c r="D7" s="8">
        <f>'MKT DATA'!P7</f>
        <v>84635</v>
      </c>
      <c r="E7" s="8">
        <f>'MKT DATA'!Q7</f>
        <v>84632.495999999999</v>
      </c>
      <c r="F7" s="8">
        <f t="shared" si="0"/>
        <v>-190.00800000000163</v>
      </c>
      <c r="G7" s="8">
        <f>'MKT DATA'!R7</f>
        <v>-84822.504000000001</v>
      </c>
      <c r="H7" s="8">
        <f>'MKT DATA'!S7</f>
        <v>-84820</v>
      </c>
      <c r="I7" s="8">
        <f>'MKT DATA'!T7</f>
        <v>-2.504</v>
      </c>
      <c r="J7" s="63">
        <f>'MKT DATA'!U7</f>
        <v>5</v>
      </c>
      <c r="K7" s="99">
        <f>'MKT DATA'!V35</f>
        <v>0</v>
      </c>
      <c r="L7" s="99">
        <f>'MKT DATA'!W35</f>
        <v>0</v>
      </c>
      <c r="M7" s="99">
        <f>'MKT DATA'!X35</f>
        <v>151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BTCG7</v>
      </c>
      <c r="B8" s="63">
        <f>'MKT DATA'!N8</f>
        <v>5</v>
      </c>
      <c r="C8" s="8">
        <f>'MKT DATA'!O8</f>
        <v>-2.504</v>
      </c>
      <c r="D8" s="8">
        <f>'MKT DATA'!P8</f>
        <v>84895</v>
      </c>
      <c r="E8" s="8">
        <f>'MKT DATA'!Q8</f>
        <v>84892.495999999999</v>
      </c>
      <c r="F8" s="8">
        <f t="shared" si="0"/>
        <v>-335.00800000000163</v>
      </c>
      <c r="G8" s="8">
        <f>'MKT DATA'!R8</f>
        <v>-85227.504000000001</v>
      </c>
      <c r="H8" s="8">
        <f>'MKT DATA'!S8</f>
        <v>-85225</v>
      </c>
      <c r="I8" s="8">
        <f>'MKT DATA'!T8</f>
        <v>-2.504</v>
      </c>
      <c r="J8" s="63">
        <f>'MKT DATA'!U8</f>
        <v>5</v>
      </c>
      <c r="K8" s="99">
        <f>'MKT DATA'!V36</f>
        <v>0</v>
      </c>
      <c r="L8" s="99">
        <f>'MKT DATA'!W36</f>
        <v>0</v>
      </c>
      <c r="M8" s="99">
        <f>'MKT DATA'!X36</f>
        <v>178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BTCH7</v>
      </c>
      <c r="B9" s="63">
        <f>'MKT DATA'!N9</f>
        <v>5</v>
      </c>
      <c r="C9" s="8">
        <f>'MKT DATA'!O9</f>
        <v>-2.504</v>
      </c>
      <c r="D9" s="8">
        <f>'MKT DATA'!P9</f>
        <v>85035</v>
      </c>
      <c r="E9" s="8">
        <f>'MKT DATA'!Q9</f>
        <v>85032.495999999999</v>
      </c>
      <c r="F9" s="8">
        <f t="shared" si="0"/>
        <v>-745.00800000000163</v>
      </c>
      <c r="G9" s="8">
        <f>'MKT DATA'!R9</f>
        <v>-85777.504000000001</v>
      </c>
      <c r="H9" s="8">
        <f>'MKT DATA'!S9</f>
        <v>-85775</v>
      </c>
      <c r="I9" s="8">
        <f>'MKT DATA'!T9</f>
        <v>-2.504</v>
      </c>
      <c r="J9" s="63">
        <f>'MKT DATA'!U9</f>
        <v>5</v>
      </c>
      <c r="K9" s="99">
        <f>'MKT DATA'!V37</f>
        <v>0</v>
      </c>
      <c r="L9" s="99">
        <f>'MKT DATA'!W37</f>
        <v>0</v>
      </c>
      <c r="M9" s="99">
        <f>'MKT DATA'!X37</f>
        <v>32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BTCV6</v>
      </c>
      <c r="G13" s="85" t="str">
        <f>C17</f>
        <v>b/o BTCX6</v>
      </c>
      <c r="H13" s="85" t="str">
        <f>C18</f>
        <v>b/o BTCZ6</v>
      </c>
      <c r="I13" s="85" t="str">
        <f>C19</f>
        <v>b/o BTCF7</v>
      </c>
      <c r="J13" s="85" t="str">
        <f>C20</f>
        <v>b/o BTCG7</v>
      </c>
      <c r="K13" s="85" t="str">
        <f>C21</f>
        <v>b/o BTCH7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BTCV6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BTCX6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BTCZ6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BTCF7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BTCG7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BTCH7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83163.3</v>
      </c>
      <c r="E25" s="91">
        <f>D3</f>
        <v>83154.819308000006</v>
      </c>
      <c r="F25" s="91">
        <f>D4</f>
        <v>83535</v>
      </c>
      <c r="G25" s="91">
        <f>D5</f>
        <v>83900</v>
      </c>
      <c r="H25" s="91">
        <f>D6</f>
        <v>84245</v>
      </c>
      <c r="I25" s="91">
        <f>D7</f>
        <v>84635</v>
      </c>
      <c r="J25" s="91">
        <f>D8</f>
        <v>84895</v>
      </c>
      <c r="K25" s="91">
        <f>D9</f>
        <v>85035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BTCV6</v>
      </c>
      <c r="G26" s="85" t="str">
        <f>C30</f>
        <v>b/o BTCX6</v>
      </c>
      <c r="H26" s="85" t="str">
        <f>C31</f>
        <v>b/o BTCZ6</v>
      </c>
      <c r="I26" s="85" t="str">
        <f>C32</f>
        <v>b/o BTCF7</v>
      </c>
      <c r="J26" s="85" t="str">
        <f>C33</f>
        <v>b/o BTCG7</v>
      </c>
      <c r="K26" s="85" t="str">
        <f>C34</f>
        <v>b/o BTCH7</v>
      </c>
      <c r="L26" s="86"/>
    </row>
    <row r="27" spans="1:15" x14ac:dyDescent="0.25">
      <c r="B27" s="87">
        <f t="shared" si="10"/>
        <v>-83164.56</v>
      </c>
      <c r="C27" s="2" t="str">
        <f t="shared" si="11"/>
        <v>b/o SPOT</v>
      </c>
      <c r="D27" s="77">
        <f>D39</f>
        <v>165.06786000001011</v>
      </c>
      <c r="E27" s="133">
        <f t="shared" ref="E27:K27" si="12">(-E$25/E50-1)/E87</f>
        <v>0.36028406422042636</v>
      </c>
      <c r="F27" s="133" t="e">
        <f t="shared" si="12"/>
        <v>#REF!</v>
      </c>
      <c r="G27" s="133">
        <f t="shared" si="12"/>
        <v>4.0897158522599154E-2</v>
      </c>
      <c r="H27" s="133">
        <f t="shared" si="12"/>
        <v>4.1081442039697089E-2</v>
      </c>
      <c r="I27" s="133">
        <f t="shared" si="12"/>
        <v>4.4655479008101157E-2</v>
      </c>
      <c r="J27" s="133">
        <f t="shared" si="12"/>
        <v>4.4211333163578739E-2</v>
      </c>
      <c r="K27" s="134">
        <f t="shared" si="12"/>
        <v>0.26488342488167643</v>
      </c>
      <c r="L27" s="95">
        <f>B87</f>
        <v>0</v>
      </c>
    </row>
    <row r="28" spans="1:15" x14ac:dyDescent="0.25">
      <c r="B28" s="87">
        <f t="shared" si="10"/>
        <v>-83210.031212000002</v>
      </c>
      <c r="C28" s="2" t="str">
        <f t="shared" si="11"/>
        <v>b/o ETF</v>
      </c>
      <c r="D28" s="137">
        <f t="shared" ref="D28:D33" si="13">(-$B28/D51-1)/D88</f>
        <v>0.18487769574289104</v>
      </c>
      <c r="E28" s="78">
        <f>E40</f>
        <v>-39.174672065288178</v>
      </c>
      <c r="F28" s="135" t="e">
        <f t="shared" ref="F28:K28" si="14">(-F$25/F51-1)/F88</f>
        <v>#REF!</v>
      </c>
      <c r="G28" s="135">
        <f t="shared" si="14"/>
        <v>3.5158053380676978E-2</v>
      </c>
      <c r="H28" s="135">
        <f t="shared" si="14"/>
        <v>3.7019339749383554E-2</v>
      </c>
      <c r="I28" s="135">
        <f t="shared" si="14"/>
        <v>4.135890019206432E-2</v>
      </c>
      <c r="J28" s="135">
        <f t="shared" si="14"/>
        <v>4.1405755640675279E-2</v>
      </c>
      <c r="K28" s="136">
        <f t="shared" si="14"/>
        <v>0.25595416815464728</v>
      </c>
      <c r="L28" s="95">
        <f t="shared" ref="L28:L34" si="15">B88</f>
        <v>1</v>
      </c>
    </row>
    <row r="29" spans="1:15" x14ac:dyDescent="0.25">
      <c r="B29" s="87">
        <f t="shared" si="10"/>
        <v>-83565</v>
      </c>
      <c r="C29" s="2" t="str">
        <f t="shared" si="11"/>
        <v>b/o BTCV6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-83955</v>
      </c>
      <c r="C30" s="2" t="str">
        <f t="shared" si="11"/>
        <v>b/o BTCX6</v>
      </c>
      <c r="D30" s="137">
        <f t="shared" si="13"/>
        <v>-3.5093704047541557E-2</v>
      </c>
      <c r="E30" s="138">
        <f t="shared" si="16"/>
        <v>-3.9660498395129008E-2</v>
      </c>
      <c r="F30" s="81" t="e">
        <f>(-$B30/F53-1)/F90</f>
        <v>#REF!</v>
      </c>
      <c r="G30" s="78">
        <f>G42</f>
        <v>-49.949640666658524</v>
      </c>
      <c r="H30" s="79">
        <f>(-H$25/H53-1)/H90</f>
        <v>3.5145984076971892E-2</v>
      </c>
      <c r="I30" s="79">
        <f>(-I$25/I53-1)/I90</f>
        <v>4.5901257686799396E-2</v>
      </c>
      <c r="J30" s="79">
        <f>(-J$25/J53-1)/J90</f>
        <v>4.4534401488035717E-2</v>
      </c>
      <c r="K30" s="80">
        <f>(-K$25/K53-1)/K90</f>
        <v>-8.4599786383970893E-2</v>
      </c>
      <c r="L30" s="95">
        <f t="shared" si="15"/>
        <v>87</v>
      </c>
    </row>
    <row r="31" spans="1:15" x14ac:dyDescent="0.25">
      <c r="B31" s="87">
        <f t="shared" si="10"/>
        <v>-84345</v>
      </c>
      <c r="C31" s="2" t="str">
        <f t="shared" si="11"/>
        <v>b/o BTCZ6</v>
      </c>
      <c r="D31" s="137">
        <f t="shared" si="13"/>
        <v>-3.8533818369250086E-2</v>
      </c>
      <c r="E31" s="138">
        <f t="shared" si="16"/>
        <v>-4.1794849836006329E-2</v>
      </c>
      <c r="F31" s="81" t="e">
        <f>(-$B31/F54-1)/F91</f>
        <v>#REF!</v>
      </c>
      <c r="G31" s="81">
        <f>(-$B31/G54-1)/G91</f>
        <v>-5.2434226400261963E-2</v>
      </c>
      <c r="H31" s="78">
        <f>H43</f>
        <v>-94.932112666661851</v>
      </c>
      <c r="I31" s="79">
        <f>(-I$25/I54-1)/I91</f>
        <v>4.4981420840275774E-2</v>
      </c>
      <c r="J31" s="79">
        <f>(-J$25/J54-1)/J91</f>
        <v>4.3077715800487096E-2</v>
      </c>
      <c r="K31" s="80">
        <f>(-K$25/K54-1)/K91</f>
        <v>-3.2602813944076547E-2</v>
      </c>
      <c r="L31" s="95">
        <f t="shared" si="15"/>
        <v>123</v>
      </c>
    </row>
    <row r="32" spans="1:15" x14ac:dyDescent="0.25">
      <c r="B32" s="87">
        <f t="shared" si="10"/>
        <v>-84820</v>
      </c>
      <c r="C32" s="2" t="str">
        <f t="shared" si="11"/>
        <v>b/o BTCF7</v>
      </c>
      <c r="D32" s="137">
        <f t="shared" si="13"/>
        <v>-4.4991650290910505E-2</v>
      </c>
      <c r="E32" s="138">
        <f t="shared" si="16"/>
        <v>-4.7700498183807477E-2</v>
      </c>
      <c r="F32" s="81" t="e">
        <f>(-$B32/F55-1)/F92</f>
        <v>#REF!</v>
      </c>
      <c r="G32" s="81">
        <f>(-$B32/G55-1)/G92</f>
        <v>-6.1338283055776127E-2</v>
      </c>
      <c r="H32" s="81">
        <f>(-$B32/H55-1)/H92</f>
        <v>-8.6975580853274295E-2</v>
      </c>
      <c r="I32" s="78">
        <f>I44</f>
        <v>-179.9184797777707</v>
      </c>
      <c r="J32" s="79">
        <f>(-J$25/J55-1)/J92</f>
        <v>1.2589219232905791E-2</v>
      </c>
      <c r="K32" s="80">
        <f>(-K$25/K55-1)/K92</f>
        <v>-7.849949586929179E-3</v>
      </c>
      <c r="L32" s="95">
        <f t="shared" si="15"/>
        <v>151</v>
      </c>
      <c r="M32" s="2"/>
    </row>
    <row r="33" spans="1:15" x14ac:dyDescent="0.25">
      <c r="B33" s="87">
        <f t="shared" si="10"/>
        <v>-85225</v>
      </c>
      <c r="C33" s="2" t="str">
        <f t="shared" si="11"/>
        <v>b/o BTCG7</v>
      </c>
      <c r="D33" s="137">
        <f t="shared" si="13"/>
        <v>-4.8006248711910254E-2</v>
      </c>
      <c r="E33" s="138">
        <f t="shared" si="16"/>
        <v>-5.0328661669527319E-2</v>
      </c>
      <c r="F33" s="81" t="e">
        <f>(-$B33/F56-1)/F93</f>
        <v>#REF!</v>
      </c>
      <c r="G33" s="81">
        <f>(-$B33/G56-1)/G93</f>
        <v>-6.2234380122279526E-2</v>
      </c>
      <c r="H33" s="81">
        <f>(-$B33/H56-1)/H93</f>
        <v>-7.5743248502746649E-2</v>
      </c>
      <c r="I33" s="81">
        <f>(-$B33/I56-1)/I93</f>
        <v>-9.2142078831060445E-2</v>
      </c>
      <c r="J33" s="78">
        <f>J45</f>
        <v>-324.90533377777319</v>
      </c>
      <c r="K33" s="80">
        <f>(-K$25/K56-1)/K93</f>
        <v>5.3500524110448276E-3</v>
      </c>
      <c r="L33" s="95">
        <f t="shared" si="15"/>
        <v>178</v>
      </c>
    </row>
    <row r="34" spans="1:15" ht="15.75" thickBot="1" x14ac:dyDescent="0.3">
      <c r="B34" s="87">
        <f t="shared" si="10"/>
        <v>-85775</v>
      </c>
      <c r="C34" s="2" t="str">
        <f t="shared" si="11"/>
        <v>b/o BTCH7</v>
      </c>
      <c r="D34" s="139">
        <f>(-$B34/D57-1)/D94</f>
        <v>-0.34136000477449691</v>
      </c>
      <c r="E34" s="140">
        <f t="shared" si="16"/>
        <v>-0.36415883911943103</v>
      </c>
      <c r="F34" s="82" t="e">
        <f>(-$B34/F57-1)/F94</f>
        <v>#REF!</v>
      </c>
      <c r="G34" s="82">
        <f>(-$B34/G57-1)/G94</f>
        <v>0.14587525211956581</v>
      </c>
      <c r="H34" s="82">
        <f>(-$B34/H57-1)/H94</f>
        <v>7.1604671888926705E-2</v>
      </c>
      <c r="I34" s="82">
        <f>(-$B34/I57-1)/I94</f>
        <v>4.056431383232461E-2</v>
      </c>
      <c r="J34" s="82">
        <f>(-$B34/J57-1)/J94</f>
        <v>2.5409875354025439E-2</v>
      </c>
      <c r="K34" s="83">
        <f>K46</f>
        <v>-734.97641955554718</v>
      </c>
      <c r="L34" s="95">
        <f t="shared" si="15"/>
        <v>32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1</v>
      </c>
      <c r="F35" s="97" t="e">
        <f>L29</f>
        <v>#REF!</v>
      </c>
      <c r="G35" s="97">
        <f>L30</f>
        <v>87</v>
      </c>
      <c r="H35" s="97">
        <f>L31</f>
        <v>123</v>
      </c>
      <c r="I35" s="97">
        <f>L32</f>
        <v>151</v>
      </c>
      <c r="J35" s="97">
        <f>L33</f>
        <v>178</v>
      </c>
      <c r="K35" s="97">
        <f>L34</f>
        <v>32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BTCV6</v>
      </c>
      <c r="G38" s="40" t="str">
        <f t="shared" si="17"/>
        <v>b/o BTCX6</v>
      </c>
      <c r="H38" s="40" t="str">
        <f t="shared" si="17"/>
        <v>b/o BTCZ6</v>
      </c>
      <c r="I38" s="40" t="str">
        <f t="shared" si="17"/>
        <v>b/o BTCF7</v>
      </c>
      <c r="J38" s="40" t="str">
        <f t="shared" si="17"/>
        <v>b/o BTCG7</v>
      </c>
      <c r="K38" s="40" t="str">
        <f t="shared" si="17"/>
        <v>b/o BTCH7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165.06786000001011</v>
      </c>
      <c r="E39" s="122">
        <f>E50+E$25</f>
        <v>83.137231222906848</v>
      </c>
      <c r="F39" s="122">
        <f t="shared" ref="F39:K39" si="20">F50+F$25</f>
        <v>456.10856000000786</v>
      </c>
      <c r="G39" s="122">
        <f t="shared" si="20"/>
        <v>821.10856000000786</v>
      </c>
      <c r="H39" s="122">
        <f t="shared" si="20"/>
        <v>1166.1085600000079</v>
      </c>
      <c r="I39" s="122">
        <f t="shared" si="20"/>
        <v>1556.1085600000079</v>
      </c>
      <c r="J39" s="122">
        <f t="shared" si="20"/>
        <v>1816.1085600000079</v>
      </c>
      <c r="K39" s="122">
        <f t="shared" si="20"/>
        <v>1956.1085600000079</v>
      </c>
    </row>
    <row r="40" spans="1:15" x14ac:dyDescent="0.25">
      <c r="B40" s="66"/>
      <c r="C40" s="2" t="str">
        <f t="shared" si="18"/>
        <v>b/o ETF</v>
      </c>
      <c r="D40" s="121">
        <f t="shared" si="19"/>
        <v>42.754397688040626</v>
      </c>
      <c r="E40" s="121">
        <f t="shared" ref="E40:E46" si="21">E51+$B28</f>
        <v>-39.174672065288178</v>
      </c>
      <c r="F40" s="122">
        <f>F51+F$25</f>
        <v>333.79595580148452</v>
      </c>
      <c r="G40" s="122">
        <f t="shared" ref="G40" si="22">G51+G$25</f>
        <v>698.79595580148452</v>
      </c>
      <c r="H40" s="122">
        <f t="shared" ref="H40" si="23">H51+H$25</f>
        <v>1043.7959558014845</v>
      </c>
      <c r="I40" s="122">
        <f t="shared" ref="I40" si="24">I51+I$25</f>
        <v>1433.7959558014845</v>
      </c>
      <c r="J40" s="122">
        <f t="shared" ref="J40" si="25">J51+J$25</f>
        <v>1693.7959558014845</v>
      </c>
      <c r="K40" s="122">
        <f t="shared" ref="K40" si="26">K51+K$25</f>
        <v>1833.7959558014845</v>
      </c>
    </row>
    <row r="41" spans="1:15" x14ac:dyDescent="0.25">
      <c r="A41" s="131" t="s">
        <v>26</v>
      </c>
      <c r="B41" s="66"/>
      <c r="C41" s="2" t="str">
        <f t="shared" si="18"/>
        <v>b/o BTCV6</v>
      </c>
      <c r="D41" s="121">
        <f t="shared" si="19"/>
        <v>-316.03269999999611</v>
      </c>
      <c r="E41" s="121">
        <f t="shared" si="21"/>
        <v>-397.96214097789198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BTCX6</v>
      </c>
      <c r="D42" s="121">
        <f t="shared" si="19"/>
        <v>-706.03269999999611</v>
      </c>
      <c r="E42" s="121">
        <f t="shared" si="21"/>
        <v>-787.96214097789198</v>
      </c>
      <c r="F42" s="121" t="e">
        <f t="shared" si="27"/>
        <v>#REF!</v>
      </c>
      <c r="G42" s="121">
        <f>G53+$B30</f>
        <v>-49.949640666658524</v>
      </c>
      <c r="H42" s="122">
        <f t="shared" ref="H42" si="33">H53+H$25</f>
        <v>295.05035933334148</v>
      </c>
      <c r="I42" s="122">
        <f t="shared" ref="I42" si="34">I53+I$25</f>
        <v>685.05035933334148</v>
      </c>
      <c r="J42" s="122">
        <f t="shared" ref="J42" si="35">J53+J$25</f>
        <v>945.05035933334148</v>
      </c>
      <c r="K42" s="122">
        <f t="shared" ref="K42" si="36">K53+K$25</f>
        <v>1085.0503593333415</v>
      </c>
    </row>
    <row r="43" spans="1:15" x14ac:dyDescent="0.25">
      <c r="B43" s="66"/>
      <c r="C43" s="2" t="str">
        <f t="shared" si="18"/>
        <v>b/o BTCZ6</v>
      </c>
      <c r="D43" s="121">
        <f t="shared" si="19"/>
        <v>-1096.0326999999961</v>
      </c>
      <c r="E43" s="121">
        <f t="shared" si="21"/>
        <v>-1177.962140977892</v>
      </c>
      <c r="F43" s="121" t="e">
        <f t="shared" si="27"/>
        <v>#REF!</v>
      </c>
      <c r="G43" s="121">
        <f>G54+$B31</f>
        <v>-439.94964066665852</v>
      </c>
      <c r="H43" s="121">
        <f>H54+$B31</f>
        <v>-94.932112666661851</v>
      </c>
      <c r="I43" s="122">
        <f t="shared" ref="I43" si="37">I54+I$25</f>
        <v>295.06788733333815</v>
      </c>
      <c r="J43" s="122">
        <f t="shared" ref="J43" si="38">J54+J$25</f>
        <v>555.06788733333815</v>
      </c>
      <c r="K43" s="122">
        <f t="shared" ref="K43" si="39">K54+K$25</f>
        <v>695.06788733333815</v>
      </c>
    </row>
    <row r="44" spans="1:15" x14ac:dyDescent="0.25">
      <c r="B44" s="66"/>
      <c r="C44" s="2" t="str">
        <f t="shared" si="18"/>
        <v>b/o BTCF7</v>
      </c>
      <c r="D44" s="121">
        <f t="shared" si="19"/>
        <v>-1571.0326999999961</v>
      </c>
      <c r="E44" s="121">
        <f t="shared" si="21"/>
        <v>-1652.962140977892</v>
      </c>
      <c r="F44" s="121" t="e">
        <f t="shared" si="27"/>
        <v>#REF!</v>
      </c>
      <c r="G44" s="121">
        <f>G55+$B32</f>
        <v>-914.94964066665852</v>
      </c>
      <c r="H44" s="121">
        <f>H55+$B32</f>
        <v>-569.93211266666185</v>
      </c>
      <c r="I44" s="121">
        <f>I55+$B32</f>
        <v>-179.9184797777707</v>
      </c>
      <c r="J44" s="122">
        <f t="shared" ref="J44" si="40">J55+J$25</f>
        <v>80.081520222229301</v>
      </c>
      <c r="K44" s="122">
        <f t="shared" ref="K44" si="41">K55+K$25</f>
        <v>220.0815202222293</v>
      </c>
    </row>
    <row r="45" spans="1:15" x14ac:dyDescent="0.25">
      <c r="B45" s="66"/>
      <c r="C45" s="2" t="str">
        <f t="shared" si="18"/>
        <v>b/o BTCG7</v>
      </c>
      <c r="D45" s="121">
        <f t="shared" si="19"/>
        <v>-1976.0326999999961</v>
      </c>
      <c r="E45" s="121">
        <f t="shared" si="21"/>
        <v>-2057.962140977892</v>
      </c>
      <c r="F45" s="121" t="e">
        <f t="shared" si="27"/>
        <v>#REF!</v>
      </c>
      <c r="G45" s="121">
        <f>G56+$B33</f>
        <v>-1319.9496406666585</v>
      </c>
      <c r="H45" s="121">
        <f>H56+$B33</f>
        <v>-974.93211266666185</v>
      </c>
      <c r="I45" s="121">
        <f>I56+$B33</f>
        <v>-584.9184797777707</v>
      </c>
      <c r="J45" s="121">
        <f>J56+$B33</f>
        <v>-324.90533377777319</v>
      </c>
      <c r="K45" s="122">
        <f t="shared" ref="K45" si="42">K56+K$25</f>
        <v>-184.90533377777319</v>
      </c>
    </row>
    <row r="46" spans="1:15" x14ac:dyDescent="0.25">
      <c r="B46" s="66"/>
      <c r="C46" s="2" t="str">
        <f t="shared" si="18"/>
        <v>b/o BTCH7</v>
      </c>
      <c r="D46" s="121">
        <f t="shared" si="19"/>
        <v>-2526.0326999999961</v>
      </c>
      <c r="E46" s="121">
        <f t="shared" si="21"/>
        <v>-2607.962140977892</v>
      </c>
      <c r="F46" s="121" t="e">
        <f t="shared" si="27"/>
        <v>#REF!</v>
      </c>
      <c r="G46" s="121">
        <f>G57+$B34</f>
        <v>-1869.9496406666585</v>
      </c>
      <c r="H46" s="121">
        <f>H57+$B34</f>
        <v>-1524.9321126666619</v>
      </c>
      <c r="I46" s="121">
        <f>I57+$B34</f>
        <v>-1134.9184797777707</v>
      </c>
      <c r="J46" s="121">
        <f>J57+$B34</f>
        <v>-874.90533377777319</v>
      </c>
      <c r="K46" s="121">
        <f>K57+$B34</f>
        <v>-734.97641955554718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BTCV6</v>
      </c>
      <c r="G49" s="40" t="str">
        <f t="shared" si="43"/>
        <v>b/o BTCX6</v>
      </c>
      <c r="H49" s="40" t="str">
        <f t="shared" si="43"/>
        <v>b/o BTCZ6</v>
      </c>
      <c r="I49" s="105" t="str">
        <f t="shared" si="43"/>
        <v>b/o BTCF7</v>
      </c>
      <c r="J49" s="40" t="str">
        <f t="shared" si="43"/>
        <v>b/o BTCG7</v>
      </c>
      <c r="K49" s="40" t="str">
        <f t="shared" si="43"/>
        <v>b/o BTCH7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83329.627860000008</v>
      </c>
      <c r="E50" s="121">
        <f t="shared" ref="E50:K50" si="45">$B27+E62+E74</f>
        <v>-83071.682076777099</v>
      </c>
      <c r="F50" s="121">
        <f t="shared" si="45"/>
        <v>-83078.891439999992</v>
      </c>
      <c r="G50" s="121">
        <f t="shared" si="45"/>
        <v>-83078.891439999992</v>
      </c>
      <c r="H50" s="121">
        <f t="shared" si="45"/>
        <v>-83078.891439999992</v>
      </c>
      <c r="I50" s="121">
        <f t="shared" si="45"/>
        <v>-83078.891439999992</v>
      </c>
      <c r="J50" s="121">
        <f t="shared" si="45"/>
        <v>-83078.891439999992</v>
      </c>
      <c r="K50" s="121">
        <f t="shared" si="45"/>
        <v>-83078.891439999992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83252.785609688042</v>
      </c>
      <c r="E51" s="122">
        <f t="shared" si="46"/>
        <v>83170.856539934714</v>
      </c>
      <c r="F51" s="121">
        <f t="shared" ref="F51:K51" si="47">$B28+F63+F75</f>
        <v>-83201.204044198515</v>
      </c>
      <c r="G51" s="121">
        <f t="shared" si="47"/>
        <v>-83201.204044198515</v>
      </c>
      <c r="H51" s="121">
        <f t="shared" si="47"/>
        <v>-83201.204044198515</v>
      </c>
      <c r="I51" s="121">
        <f t="shared" si="47"/>
        <v>-83201.204044198515</v>
      </c>
      <c r="J51" s="121">
        <f t="shared" si="47"/>
        <v>-83201.204044198515</v>
      </c>
      <c r="K51" s="121">
        <f t="shared" si="47"/>
        <v>-83201.204044198515</v>
      </c>
      <c r="L51" s="3"/>
    </row>
    <row r="52" spans="1:15" x14ac:dyDescent="0.25">
      <c r="B52" s="120"/>
      <c r="C52" s="2" t="str">
        <f t="shared" si="44"/>
        <v>b/o BTCV6</v>
      </c>
      <c r="D52" s="122">
        <f t="shared" si="46"/>
        <v>83248.967300000004</v>
      </c>
      <c r="E52" s="122">
        <f t="shared" si="46"/>
        <v>83167.037859022108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BTCX6</v>
      </c>
      <c r="D53" s="122">
        <f t="shared" si="46"/>
        <v>83248.967300000004</v>
      </c>
      <c r="E53" s="122">
        <f t="shared" si="46"/>
        <v>83167.037859022108</v>
      </c>
      <c r="F53" s="122" t="e">
        <f t="shared" ref="F53:G53" si="49">F$25+F65+F77</f>
        <v>#REF!</v>
      </c>
      <c r="G53" s="122">
        <f t="shared" si="49"/>
        <v>83905.050359333341</v>
      </c>
      <c r="H53" s="121">
        <f>$B30+H65+H77</f>
        <v>-83949.949640666659</v>
      </c>
      <c r="I53" s="121">
        <f>$B30+I65+I77</f>
        <v>-83949.949640666659</v>
      </c>
      <c r="J53" s="121">
        <f>$B30+J65+J77</f>
        <v>-83949.949640666659</v>
      </c>
      <c r="K53" s="121">
        <f>$B30+K65+K77</f>
        <v>-83949.949640666659</v>
      </c>
      <c r="L53" s="3"/>
    </row>
    <row r="54" spans="1:15" x14ac:dyDescent="0.25">
      <c r="B54" s="120"/>
      <c r="C54" s="2" t="str">
        <f t="shared" si="44"/>
        <v>b/o BTCZ6</v>
      </c>
      <c r="D54" s="122">
        <f t="shared" si="46"/>
        <v>83248.967300000004</v>
      </c>
      <c r="E54" s="122">
        <f t="shared" si="46"/>
        <v>83167.037859022108</v>
      </c>
      <c r="F54" s="122" t="e">
        <f t="shared" ref="F54:G54" si="50">F$25+F66+F78</f>
        <v>#REF!</v>
      </c>
      <c r="G54" s="122">
        <f t="shared" si="50"/>
        <v>83905.050359333341</v>
      </c>
      <c r="H54" s="122">
        <f>H$25+H66+H78</f>
        <v>84250.067887333338</v>
      </c>
      <c r="I54" s="121">
        <f>$B31+I66+I78</f>
        <v>-84339.932112666662</v>
      </c>
      <c r="J54" s="121">
        <f>$B31+J66+J78</f>
        <v>-84339.932112666662</v>
      </c>
      <c r="K54" s="121">
        <f>$B31+K66+K78</f>
        <v>-84339.932112666662</v>
      </c>
      <c r="L54" s="3"/>
    </row>
    <row r="55" spans="1:15" x14ac:dyDescent="0.25">
      <c r="B55" s="74"/>
      <c r="C55" s="2" t="str">
        <f t="shared" si="44"/>
        <v>b/o BTCF7</v>
      </c>
      <c r="D55" s="122">
        <f t="shared" si="46"/>
        <v>83248.967300000004</v>
      </c>
      <c r="E55" s="122">
        <f t="shared" si="46"/>
        <v>83167.037859022108</v>
      </c>
      <c r="F55" s="122" t="e">
        <f t="shared" ref="F55:G55" si="51">F$25+F67+F79</f>
        <v>#REF!</v>
      </c>
      <c r="G55" s="122">
        <f t="shared" si="51"/>
        <v>83905.050359333341</v>
      </c>
      <c r="H55" s="122">
        <f>H$25+H67+H79</f>
        <v>84250.067887333338</v>
      </c>
      <c r="I55" s="122">
        <f>I$25+I67+I79</f>
        <v>84640.081520222229</v>
      </c>
      <c r="J55" s="121">
        <f>$B32+J67+J79</f>
        <v>-84814.918479777771</v>
      </c>
      <c r="K55" s="121">
        <f>$B32+K67+K79</f>
        <v>-84814.918479777771</v>
      </c>
      <c r="L55" s="3"/>
    </row>
    <row r="56" spans="1:15" x14ac:dyDescent="0.25">
      <c r="B56" s="74"/>
      <c r="C56" s="2" t="str">
        <f t="shared" si="44"/>
        <v>b/o BTCG7</v>
      </c>
      <c r="D56" s="122">
        <f t="shared" si="46"/>
        <v>83248.967300000004</v>
      </c>
      <c r="E56" s="122">
        <f t="shared" si="46"/>
        <v>83167.037859022108</v>
      </c>
      <c r="F56" s="122" t="e">
        <f t="shared" ref="F56:G56" si="52">F$25+F68+F80</f>
        <v>#REF!</v>
      </c>
      <c r="G56" s="122">
        <f t="shared" si="52"/>
        <v>83905.050359333341</v>
      </c>
      <c r="H56" s="122">
        <f t="shared" ref="H56" si="53">H$25+H68+H80</f>
        <v>84250.067887333338</v>
      </c>
      <c r="I56" s="122">
        <f t="shared" ref="I56:J56" si="54">I$25+I68+I80</f>
        <v>84640.081520222229</v>
      </c>
      <c r="J56" s="122">
        <f t="shared" si="54"/>
        <v>84900.094666222227</v>
      </c>
      <c r="K56" s="121">
        <f>$B33+K68+K80</f>
        <v>-85219.905333777773</v>
      </c>
      <c r="L56" s="3"/>
    </row>
    <row r="57" spans="1:15" x14ac:dyDescent="0.25">
      <c r="B57" s="74"/>
      <c r="C57" s="2" t="str">
        <f t="shared" si="44"/>
        <v>b/o BTCH7</v>
      </c>
      <c r="D57" s="122">
        <f t="shared" si="46"/>
        <v>83248.967300000004</v>
      </c>
      <c r="E57" s="122">
        <f t="shared" si="46"/>
        <v>83167.037859022108</v>
      </c>
      <c r="F57" s="122" t="e">
        <f t="shared" ref="F57:G57" si="55">F$25+F69+F81</f>
        <v>#REF!</v>
      </c>
      <c r="G57" s="122">
        <f t="shared" si="55"/>
        <v>83905.050359333341</v>
      </c>
      <c r="H57" s="122">
        <f t="shared" ref="H57" si="56">H$25+H69+H81</f>
        <v>84250.067887333338</v>
      </c>
      <c r="I57" s="122">
        <f t="shared" ref="I57:K57" si="57">I$25+I69+I81</f>
        <v>84640.081520222229</v>
      </c>
      <c r="J57" s="122">
        <f t="shared" si="57"/>
        <v>84900.094666222227</v>
      </c>
      <c r="K57" s="122">
        <f t="shared" si="57"/>
        <v>85040.023580444453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cf_unit_hit_bid_comm</v>
      </c>
      <c r="D60" s="127">
        <f>-C2</f>
        <v>83.163300000000007</v>
      </c>
      <c r="E60" s="129">
        <f>-C3/(1+A63*B88/A88)</f>
        <v>9.7133632228954561</v>
      </c>
      <c r="F60" s="127">
        <f>-C4</f>
        <v>2.504</v>
      </c>
      <c r="G60" s="127">
        <f>-C5</f>
        <v>2.504</v>
      </c>
      <c r="H60" s="127">
        <f>-C6</f>
        <v>2.504</v>
      </c>
      <c r="I60" s="127">
        <f>-C7</f>
        <v>2.504</v>
      </c>
      <c r="J60" s="127">
        <f>-C8</f>
        <v>2.504</v>
      </c>
      <c r="K60" s="127">
        <f>-C9</f>
        <v>2.504</v>
      </c>
      <c r="M60"/>
      <c r="N60"/>
      <c r="O60" s="103"/>
    </row>
    <row r="61" spans="1:15" s="3" customFormat="1" ht="17.25" x14ac:dyDescent="0.4">
      <c r="B61" s="73" t="str">
        <f>I1</f>
        <v>cf_unit_lift_ask_comm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BTCV6</v>
      </c>
      <c r="G61" s="40" t="str">
        <f t="shared" si="58"/>
        <v>b/o BTCX6</v>
      </c>
      <c r="H61" s="40" t="str">
        <f t="shared" si="58"/>
        <v>b/o BTCZ6</v>
      </c>
      <c r="I61" s="40" t="str">
        <f t="shared" si="58"/>
        <v>b/o BTCF7</v>
      </c>
      <c r="J61" s="40" t="str">
        <f t="shared" si="58"/>
        <v>b/o BTCG7</v>
      </c>
      <c r="K61" s="40" t="str">
        <f t="shared" si="58"/>
        <v>b/o BTCH7</v>
      </c>
      <c r="M61"/>
      <c r="N61"/>
    </row>
    <row r="62" spans="1:15" x14ac:dyDescent="0.25">
      <c r="A62" s="75" t="s">
        <v>14</v>
      </c>
      <c r="B62" s="127">
        <f>-I2</f>
        <v>83.164559999999994</v>
      </c>
      <c r="C62" s="2" t="str">
        <f t="shared" ref="C62:C69" si="59">C27</f>
        <v>b/o SPOT</v>
      </c>
      <c r="D62" s="7">
        <f>D$60+$B62</f>
        <v>166.32785999999999</v>
      </c>
      <c r="E62" s="7">
        <f t="shared" ref="E62:K69" si="60">E$60+$B62</f>
        <v>92.877923222895447</v>
      </c>
      <c r="F62" s="7">
        <f t="shared" si="60"/>
        <v>85.668559999999999</v>
      </c>
      <c r="G62" s="7">
        <f t="shared" si="60"/>
        <v>85.668559999999999</v>
      </c>
      <c r="H62" s="7">
        <f t="shared" si="60"/>
        <v>85.668559999999999</v>
      </c>
      <c r="I62" s="7">
        <f t="shared" si="60"/>
        <v>85.668559999999999</v>
      </c>
      <c r="J62" s="7">
        <f t="shared" si="60"/>
        <v>85.668559999999999</v>
      </c>
      <c r="K62" s="7">
        <f t="shared" si="60"/>
        <v>85.668559999999999</v>
      </c>
      <c r="L62" s="3"/>
    </row>
    <row r="63" spans="1:15" x14ac:dyDescent="0.25">
      <c r="A63" s="76">
        <v>3.6499999999999998E-2</v>
      </c>
      <c r="B63" s="128">
        <f>-I3/(1+A63*B88/A88)</f>
        <v>6.3223096880455163</v>
      </c>
      <c r="C63" s="2" t="str">
        <f t="shared" si="59"/>
        <v>b/o ETF</v>
      </c>
      <c r="D63" s="7">
        <f t="shared" ref="D63:D69" si="61">D$60+$B63</f>
        <v>89.485609688045528</v>
      </c>
      <c r="E63" s="7">
        <f t="shared" si="60"/>
        <v>16.035672910940974</v>
      </c>
      <c r="F63" s="7">
        <f t="shared" si="60"/>
        <v>8.8263096880455159</v>
      </c>
      <c r="G63" s="7">
        <f t="shared" si="60"/>
        <v>8.8263096880455159</v>
      </c>
      <c r="H63" s="7">
        <f t="shared" si="60"/>
        <v>8.8263096880455159</v>
      </c>
      <c r="I63" s="7">
        <f t="shared" si="60"/>
        <v>8.8263096880455159</v>
      </c>
      <c r="J63" s="7">
        <f t="shared" si="60"/>
        <v>8.8263096880455159</v>
      </c>
      <c r="K63" s="7">
        <f t="shared" si="60"/>
        <v>8.8263096880455159</v>
      </c>
      <c r="L63" s="3"/>
    </row>
    <row r="64" spans="1:15" x14ac:dyDescent="0.25">
      <c r="B64" s="127">
        <f t="shared" ref="B64:B69" si="62">-I4</f>
        <v>2.504</v>
      </c>
      <c r="C64" s="2" t="str">
        <f t="shared" si="59"/>
        <v>b/o BTCV6</v>
      </c>
      <c r="D64" s="7">
        <f t="shared" si="61"/>
        <v>85.667300000000012</v>
      </c>
      <c r="E64" s="7">
        <f t="shared" si="60"/>
        <v>12.217363222895456</v>
      </c>
      <c r="F64" s="7">
        <f t="shared" si="60"/>
        <v>5.008</v>
      </c>
      <c r="G64" s="7">
        <f t="shared" si="60"/>
        <v>5.008</v>
      </c>
      <c r="H64" s="7">
        <f t="shared" si="60"/>
        <v>5.008</v>
      </c>
      <c r="I64" s="7">
        <f t="shared" si="60"/>
        <v>5.008</v>
      </c>
      <c r="J64" s="7">
        <f t="shared" si="60"/>
        <v>5.008</v>
      </c>
      <c r="K64" s="7">
        <f t="shared" si="60"/>
        <v>5.008</v>
      </c>
      <c r="L64" s="3"/>
    </row>
    <row r="65" spans="1:13" x14ac:dyDescent="0.25">
      <c r="B65" s="127">
        <f t="shared" si="62"/>
        <v>2.504</v>
      </c>
      <c r="C65" s="2" t="str">
        <f t="shared" si="59"/>
        <v>b/o BTCX6</v>
      </c>
      <c r="D65" s="7">
        <f t="shared" si="61"/>
        <v>85.667300000000012</v>
      </c>
      <c r="E65" s="7">
        <f t="shared" si="60"/>
        <v>12.217363222895456</v>
      </c>
      <c r="F65" s="7">
        <f t="shared" si="60"/>
        <v>5.008</v>
      </c>
      <c r="G65" s="7">
        <f t="shared" si="60"/>
        <v>5.008</v>
      </c>
      <c r="H65" s="7">
        <f t="shared" si="60"/>
        <v>5.008</v>
      </c>
      <c r="I65" s="7">
        <f t="shared" si="60"/>
        <v>5.008</v>
      </c>
      <c r="J65" s="7">
        <f t="shared" si="60"/>
        <v>5.008</v>
      </c>
      <c r="K65" s="7">
        <f t="shared" si="60"/>
        <v>5.008</v>
      </c>
      <c r="L65" s="3"/>
    </row>
    <row r="66" spans="1:13" x14ac:dyDescent="0.25">
      <c r="B66" s="127">
        <f t="shared" si="62"/>
        <v>2.504</v>
      </c>
      <c r="C66" s="2" t="str">
        <f t="shared" si="59"/>
        <v>b/o BTCZ6</v>
      </c>
      <c r="D66" s="7">
        <f t="shared" si="61"/>
        <v>85.667300000000012</v>
      </c>
      <c r="E66" s="7">
        <f t="shared" si="60"/>
        <v>12.217363222895456</v>
      </c>
      <c r="F66" s="7">
        <f t="shared" si="60"/>
        <v>5.008</v>
      </c>
      <c r="G66" s="7">
        <f t="shared" si="60"/>
        <v>5.008</v>
      </c>
      <c r="H66" s="7">
        <f t="shared" si="60"/>
        <v>5.008</v>
      </c>
      <c r="I66" s="7">
        <f t="shared" si="60"/>
        <v>5.008</v>
      </c>
      <c r="J66" s="7">
        <f t="shared" si="60"/>
        <v>5.008</v>
      </c>
      <c r="K66" s="7">
        <f t="shared" si="60"/>
        <v>5.008</v>
      </c>
      <c r="L66" s="3"/>
    </row>
    <row r="67" spans="1:13" x14ac:dyDescent="0.25">
      <c r="B67" s="127">
        <f t="shared" si="62"/>
        <v>2.504</v>
      </c>
      <c r="C67" s="2" t="str">
        <f t="shared" si="59"/>
        <v>b/o BTCF7</v>
      </c>
      <c r="D67" s="7">
        <f t="shared" si="61"/>
        <v>85.667300000000012</v>
      </c>
      <c r="E67" s="7">
        <f t="shared" si="60"/>
        <v>12.217363222895456</v>
      </c>
      <c r="F67" s="7">
        <f t="shared" si="60"/>
        <v>5.008</v>
      </c>
      <c r="G67" s="7">
        <f t="shared" si="60"/>
        <v>5.008</v>
      </c>
      <c r="H67" s="7">
        <f t="shared" si="60"/>
        <v>5.008</v>
      </c>
      <c r="I67" s="7">
        <f t="shared" si="60"/>
        <v>5.008</v>
      </c>
      <c r="J67" s="7">
        <f t="shared" si="60"/>
        <v>5.008</v>
      </c>
      <c r="K67" s="7">
        <f t="shared" si="60"/>
        <v>5.008</v>
      </c>
      <c r="L67" s="3"/>
    </row>
    <row r="68" spans="1:13" x14ac:dyDescent="0.25">
      <c r="B68" s="127">
        <f t="shared" si="62"/>
        <v>2.504</v>
      </c>
      <c r="C68" s="2" t="str">
        <f t="shared" si="59"/>
        <v>b/o BTCG7</v>
      </c>
      <c r="D68" s="7">
        <f t="shared" si="61"/>
        <v>85.667300000000012</v>
      </c>
      <c r="E68" s="7">
        <f t="shared" si="60"/>
        <v>12.217363222895456</v>
      </c>
      <c r="F68" s="7">
        <f t="shared" si="60"/>
        <v>5.008</v>
      </c>
      <c r="G68" s="7">
        <f t="shared" si="60"/>
        <v>5.008</v>
      </c>
      <c r="H68" s="7">
        <f t="shared" si="60"/>
        <v>5.008</v>
      </c>
      <c r="I68" s="7">
        <f t="shared" si="60"/>
        <v>5.008</v>
      </c>
      <c r="J68" s="7">
        <f t="shared" si="60"/>
        <v>5.008</v>
      </c>
      <c r="K68" s="7">
        <f t="shared" si="60"/>
        <v>5.008</v>
      </c>
      <c r="L68" s="3"/>
    </row>
    <row r="69" spans="1:13" x14ac:dyDescent="0.25">
      <c r="B69" s="127">
        <f t="shared" si="62"/>
        <v>2.504</v>
      </c>
      <c r="C69" s="2" t="str">
        <f t="shared" si="59"/>
        <v>b/o BTCH7</v>
      </c>
      <c r="D69" s="7">
        <f t="shared" si="61"/>
        <v>85.667300000000012</v>
      </c>
      <c r="E69" s="7">
        <f t="shared" si="60"/>
        <v>12.217363222895456</v>
      </c>
      <c r="F69" s="7">
        <f t="shared" si="60"/>
        <v>5.008</v>
      </c>
      <c r="G69" s="7">
        <f t="shared" si="60"/>
        <v>5.008</v>
      </c>
      <c r="H69" s="7">
        <f t="shared" si="60"/>
        <v>5.008</v>
      </c>
      <c r="I69" s="7">
        <f t="shared" si="60"/>
        <v>5.008</v>
      </c>
      <c r="J69" s="7">
        <f t="shared" si="60"/>
        <v>5.008</v>
      </c>
      <c r="K69" s="7">
        <f t="shared" si="60"/>
        <v>5.008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2.7777777777777779E-3</v>
      </c>
      <c r="F72" s="106" t="e">
        <f t="shared" si="63"/>
        <v>#REF!</v>
      </c>
      <c r="G72" s="106">
        <f t="shared" si="63"/>
        <v>0.24166666666666667</v>
      </c>
      <c r="H72" s="106">
        <f t="shared" si="63"/>
        <v>0.34166666666666667</v>
      </c>
      <c r="I72" s="106">
        <f t="shared" si="63"/>
        <v>0.41944444444444445</v>
      </c>
      <c r="J72" s="106">
        <f t="shared" si="63"/>
        <v>0.49444444444444446</v>
      </c>
      <c r="K72" s="106">
        <f t="shared" si="63"/>
        <v>8.8888888888888892E-2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BTCV6</v>
      </c>
      <c r="G73" s="40" t="str">
        <f t="shared" si="64"/>
        <v>b/o BTCX6</v>
      </c>
      <c r="H73" s="40" t="str">
        <f t="shared" si="64"/>
        <v>b/o BTCZ6</v>
      </c>
      <c r="I73" s="40" t="str">
        <f t="shared" si="64"/>
        <v>b/o BTCF7</v>
      </c>
      <c r="J73" s="40" t="str">
        <f t="shared" si="64"/>
        <v>b/o BTCG7</v>
      </c>
      <c r="K73" s="40" t="str">
        <f t="shared" si="64"/>
        <v>b/o BTCH7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2.7777777777777779E-3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1.5590237552303725E-3</v>
      </c>
      <c r="F75" s="124">
        <f t="shared" si="67"/>
        <v>8.5811344189331412E-4</v>
      </c>
      <c r="G75" s="124">
        <f t="shared" si="67"/>
        <v>8.5811344189331412E-4</v>
      </c>
      <c r="H75" s="124">
        <f t="shared" si="67"/>
        <v>8.5811344189331412E-4</v>
      </c>
      <c r="I75" s="124">
        <f t="shared" si="67"/>
        <v>8.5811344189331412E-4</v>
      </c>
      <c r="J75" s="124">
        <f t="shared" si="67"/>
        <v>8.5811344189331412E-4</v>
      </c>
      <c r="K75" s="124">
        <f t="shared" si="67"/>
        <v>8.5811344189331412E-4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BTCV6</v>
      </c>
      <c r="D76" s="123">
        <f t="shared" si="66"/>
        <v>0</v>
      </c>
      <c r="E76" s="123">
        <f t="shared" si="69"/>
        <v>1.1877992022259472E-3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0.24166666666666667</v>
      </c>
      <c r="C77" s="2" t="str">
        <f t="shared" si="65"/>
        <v>b/o BTCX6</v>
      </c>
      <c r="D77" s="125">
        <f t="shared" si="66"/>
        <v>0</v>
      </c>
      <c r="E77" s="125">
        <f t="shared" si="69"/>
        <v>1.1877992022259472E-3</v>
      </c>
      <c r="F77" s="125" t="e">
        <f t="shared" si="70"/>
        <v>#REF!</v>
      </c>
      <c r="G77" s="125">
        <f>G65*G$82*G$72</f>
        <v>4.2359333333333339E-2</v>
      </c>
      <c r="H77" s="126">
        <f t="shared" si="67"/>
        <v>4.2359333333333339E-2</v>
      </c>
      <c r="I77" s="126">
        <f t="shared" si="67"/>
        <v>4.2359333333333339E-2</v>
      </c>
      <c r="J77" s="126">
        <f t="shared" si="67"/>
        <v>4.2359333333333339E-2</v>
      </c>
      <c r="K77" s="124">
        <f t="shared" si="67"/>
        <v>4.2359333333333339E-2</v>
      </c>
      <c r="L77" s="111">
        <v>3.5000000000000003E-2</v>
      </c>
    </row>
    <row r="78" spans="1:13" x14ac:dyDescent="0.25">
      <c r="B78" s="112">
        <f t="shared" si="68"/>
        <v>0.34166666666666667</v>
      </c>
      <c r="C78" s="2" t="str">
        <f t="shared" si="65"/>
        <v>b/o BTCZ6</v>
      </c>
      <c r="D78" s="125">
        <f t="shared" si="66"/>
        <v>0</v>
      </c>
      <c r="E78" s="125">
        <f t="shared" si="69"/>
        <v>1.1877992022259472E-3</v>
      </c>
      <c r="F78" s="125" t="e">
        <f t="shared" si="70"/>
        <v>#REF!</v>
      </c>
      <c r="G78" s="125">
        <f>G66*G$82*G$72</f>
        <v>4.2359333333333339E-2</v>
      </c>
      <c r="H78" s="125">
        <f>H66*H$82*H$72</f>
        <v>5.9887333333333341E-2</v>
      </c>
      <c r="I78" s="126">
        <f t="shared" si="67"/>
        <v>5.9887333333333341E-2</v>
      </c>
      <c r="J78" s="126">
        <f t="shared" si="67"/>
        <v>5.9887333333333341E-2</v>
      </c>
      <c r="K78" s="124">
        <f t="shared" si="67"/>
        <v>5.9887333333333341E-2</v>
      </c>
      <c r="L78" s="111">
        <v>3.5000000000000003E-2</v>
      </c>
    </row>
    <row r="79" spans="1:13" x14ac:dyDescent="0.25">
      <c r="B79" s="112">
        <f t="shared" si="68"/>
        <v>0.41944444444444445</v>
      </c>
      <c r="C79" s="2" t="str">
        <f t="shared" si="65"/>
        <v>b/o BTCF7</v>
      </c>
      <c r="D79" s="125">
        <f t="shared" si="66"/>
        <v>0</v>
      </c>
      <c r="E79" s="125">
        <f t="shared" si="69"/>
        <v>1.1877992022259472E-3</v>
      </c>
      <c r="F79" s="125" t="e">
        <f t="shared" si="70"/>
        <v>#REF!</v>
      </c>
      <c r="G79" s="125">
        <f>G67*G$82*G$72</f>
        <v>4.2359333333333339E-2</v>
      </c>
      <c r="H79" s="125">
        <f>H67*H$82*H$72</f>
        <v>5.9887333333333341E-2</v>
      </c>
      <c r="I79" s="125">
        <f>I67*I$82*I$72</f>
        <v>7.3520222222222237E-2</v>
      </c>
      <c r="J79" s="126">
        <f t="shared" si="67"/>
        <v>7.3520222222222237E-2</v>
      </c>
      <c r="K79" s="124">
        <f t="shared" si="67"/>
        <v>7.3520222222222237E-2</v>
      </c>
      <c r="L79" s="111">
        <v>3.5000000000000003E-2</v>
      </c>
      <c r="M79" s="2"/>
    </row>
    <row r="80" spans="1:13" x14ac:dyDescent="0.25">
      <c r="B80" s="112">
        <f t="shared" si="68"/>
        <v>0.49444444444444446</v>
      </c>
      <c r="C80" s="2" t="str">
        <f t="shared" si="65"/>
        <v>b/o BTCG7</v>
      </c>
      <c r="D80" s="125">
        <f t="shared" si="66"/>
        <v>0</v>
      </c>
      <c r="E80" s="125">
        <f t="shared" si="69"/>
        <v>1.1877992022259472E-3</v>
      </c>
      <c r="F80" s="125" t="e">
        <f t="shared" si="70"/>
        <v>#REF!</v>
      </c>
      <c r="G80" s="125">
        <f>G68*G$82*G$72</f>
        <v>4.2359333333333339E-2</v>
      </c>
      <c r="H80" s="125">
        <f>H68*H$82*H$72</f>
        <v>5.9887333333333341E-2</v>
      </c>
      <c r="I80" s="125">
        <f>I68*I$82*I$72</f>
        <v>7.3520222222222237E-2</v>
      </c>
      <c r="J80" s="125">
        <f>J68*J$82*J$72</f>
        <v>8.6666222222222242E-2</v>
      </c>
      <c r="K80" s="124">
        <f t="shared" si="67"/>
        <v>8.6666222222222242E-2</v>
      </c>
      <c r="L80" s="111">
        <v>3.5000000000000003E-2</v>
      </c>
    </row>
    <row r="81" spans="1:13" x14ac:dyDescent="0.25">
      <c r="B81" s="112">
        <f t="shared" si="68"/>
        <v>8.8888888888888892E-2</v>
      </c>
      <c r="C81" s="2" t="str">
        <f t="shared" si="65"/>
        <v>b/o BTCH7</v>
      </c>
      <c r="D81" s="125">
        <f t="shared" si="66"/>
        <v>0</v>
      </c>
      <c r="E81" s="125">
        <f t="shared" si="69"/>
        <v>1.1877992022259472E-3</v>
      </c>
      <c r="F81" s="125" t="e">
        <f t="shared" si="70"/>
        <v>#REF!</v>
      </c>
      <c r="G81" s="125">
        <f>G69*G$82*G$72</f>
        <v>4.2359333333333339E-2</v>
      </c>
      <c r="H81" s="125">
        <f>H69*H$82*H$72</f>
        <v>5.9887333333333341E-2</v>
      </c>
      <c r="I81" s="125">
        <f>I69*I$82*I$72</f>
        <v>7.3520222222222237E-2</v>
      </c>
      <c r="J81" s="125">
        <f>J69*J$82*J$72</f>
        <v>8.6666222222222242E-2</v>
      </c>
      <c r="K81" s="123">
        <f>K69*K$82*K$72</f>
        <v>1.5580444444444447E-2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1</v>
      </c>
      <c r="F85" s="115" t="e">
        <f>B89</f>
        <v>#REF!</v>
      </c>
      <c r="G85" s="115">
        <f>B90</f>
        <v>87</v>
      </c>
      <c r="H85" s="115">
        <f>B91</f>
        <v>123</v>
      </c>
      <c r="I85" s="115">
        <f>B92</f>
        <v>151</v>
      </c>
      <c r="J85" s="115">
        <f>B93</f>
        <v>178</v>
      </c>
      <c r="K85" s="96">
        <f>B94</f>
        <v>32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BTCV6</v>
      </c>
      <c r="G86" s="116" t="str">
        <f t="shared" si="71"/>
        <v>b/o BTCX6</v>
      </c>
      <c r="H86" s="116" t="str">
        <f t="shared" si="71"/>
        <v>b/o BTCZ6</v>
      </c>
      <c r="I86" s="116" t="str">
        <f t="shared" si="71"/>
        <v>b/o BTCF7</v>
      </c>
      <c r="J86" s="116" t="str">
        <f t="shared" si="71"/>
        <v>b/o BTCG7</v>
      </c>
      <c r="K86" s="70" t="str">
        <f t="shared" si="71"/>
        <v>b/o BTCH7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2.7777777777777779E-3</v>
      </c>
      <c r="F87" s="118" t="e">
        <f t="shared" si="73"/>
        <v>#REF!</v>
      </c>
      <c r="G87" s="118">
        <f t="shared" si="73"/>
        <v>0.24166666666666667</v>
      </c>
      <c r="H87" s="118">
        <f t="shared" si="73"/>
        <v>0.34166666666666667</v>
      </c>
      <c r="I87" s="118">
        <f t="shared" si="73"/>
        <v>0.41944444444444445</v>
      </c>
      <c r="J87" s="118">
        <f t="shared" si="73"/>
        <v>0.49444444444444446</v>
      </c>
      <c r="K87" s="71">
        <f t="shared" si="73"/>
        <v>8.8888888888888892E-2</v>
      </c>
    </row>
    <row r="88" spans="1:13" x14ac:dyDescent="0.25">
      <c r="A88" s="104">
        <v>360</v>
      </c>
      <c r="B88" s="119">
        <f>L3</f>
        <v>1</v>
      </c>
      <c r="C88" s="2" t="str">
        <f t="shared" si="72"/>
        <v>b/o ETF</v>
      </c>
      <c r="D88" s="118">
        <f t="shared" ref="D88:D94" si="74">(D$85-$B88)/$A$88</f>
        <v>-2.7777777777777779E-3</v>
      </c>
      <c r="E88" s="118">
        <f t="shared" si="73"/>
        <v>0</v>
      </c>
      <c r="F88" s="118" t="e">
        <f t="shared" si="73"/>
        <v>#REF!</v>
      </c>
      <c r="G88" s="118">
        <f t="shared" si="73"/>
        <v>0.2388888888888889</v>
      </c>
      <c r="H88" s="118">
        <f t="shared" si="73"/>
        <v>0.33888888888888891</v>
      </c>
      <c r="I88" s="118">
        <f t="shared" si="73"/>
        <v>0.41666666666666669</v>
      </c>
      <c r="J88" s="118">
        <f t="shared" si="73"/>
        <v>0.49166666666666664</v>
      </c>
      <c r="K88" s="71">
        <f t="shared" si="73"/>
        <v>8.611111111111111E-2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BTCV6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87</v>
      </c>
      <c r="C90" s="2" t="str">
        <f t="shared" si="72"/>
        <v>b/o BTCX6</v>
      </c>
      <c r="D90" s="118">
        <f t="shared" si="74"/>
        <v>-0.24166666666666667</v>
      </c>
      <c r="E90" s="118">
        <f t="shared" si="73"/>
        <v>-0.2388888888888889</v>
      </c>
      <c r="F90" s="118" t="e">
        <f t="shared" si="73"/>
        <v>#REF!</v>
      </c>
      <c r="G90" s="118">
        <f t="shared" si="73"/>
        <v>0</v>
      </c>
      <c r="H90" s="118">
        <f t="shared" si="73"/>
        <v>0.1</v>
      </c>
      <c r="I90" s="118">
        <f t="shared" si="73"/>
        <v>0.17777777777777778</v>
      </c>
      <c r="J90" s="118">
        <f t="shared" si="73"/>
        <v>0.25277777777777777</v>
      </c>
      <c r="K90" s="71">
        <f t="shared" si="73"/>
        <v>-0.15277777777777779</v>
      </c>
    </row>
    <row r="91" spans="1:13" x14ac:dyDescent="0.25">
      <c r="B91" s="117">
        <f t="shared" si="75"/>
        <v>123</v>
      </c>
      <c r="C91" s="2" t="str">
        <f t="shared" si="72"/>
        <v>b/o BTCZ6</v>
      </c>
      <c r="D91" s="118">
        <f t="shared" si="74"/>
        <v>-0.34166666666666667</v>
      </c>
      <c r="E91" s="118">
        <f t="shared" si="73"/>
        <v>-0.33888888888888891</v>
      </c>
      <c r="F91" s="118" t="e">
        <f t="shared" si="73"/>
        <v>#REF!</v>
      </c>
      <c r="G91" s="118">
        <f t="shared" si="73"/>
        <v>-0.1</v>
      </c>
      <c r="H91" s="118">
        <f t="shared" si="73"/>
        <v>0</v>
      </c>
      <c r="I91" s="118">
        <f t="shared" si="73"/>
        <v>7.7777777777777779E-2</v>
      </c>
      <c r="J91" s="118">
        <f t="shared" si="73"/>
        <v>0.15277777777777779</v>
      </c>
      <c r="K91" s="71">
        <f t="shared" si="73"/>
        <v>-0.25277777777777777</v>
      </c>
    </row>
    <row r="92" spans="1:13" x14ac:dyDescent="0.25">
      <c r="B92" s="117">
        <f t="shared" si="75"/>
        <v>151</v>
      </c>
      <c r="C92" s="2" t="str">
        <f t="shared" si="72"/>
        <v>b/o BTCF7</v>
      </c>
      <c r="D92" s="118">
        <f t="shared" si="74"/>
        <v>-0.41944444444444445</v>
      </c>
      <c r="E92" s="118">
        <f t="shared" si="73"/>
        <v>-0.41666666666666669</v>
      </c>
      <c r="F92" s="118" t="e">
        <f t="shared" si="73"/>
        <v>#REF!</v>
      </c>
      <c r="G92" s="118">
        <f t="shared" si="73"/>
        <v>-0.17777777777777778</v>
      </c>
      <c r="H92" s="118">
        <f t="shared" si="73"/>
        <v>-7.7777777777777779E-2</v>
      </c>
      <c r="I92" s="118">
        <f t="shared" si="73"/>
        <v>0</v>
      </c>
      <c r="J92" s="118">
        <f t="shared" si="73"/>
        <v>7.4999999999999997E-2</v>
      </c>
      <c r="K92" s="71">
        <f t="shared" si="73"/>
        <v>-0.33055555555555555</v>
      </c>
      <c r="M92" s="2"/>
    </row>
    <row r="93" spans="1:13" x14ac:dyDescent="0.25">
      <c r="B93" s="117">
        <f t="shared" si="75"/>
        <v>178</v>
      </c>
      <c r="C93" s="2" t="str">
        <f t="shared" si="72"/>
        <v>b/o BTCG7</v>
      </c>
      <c r="D93" s="118">
        <f t="shared" si="74"/>
        <v>-0.49444444444444446</v>
      </c>
      <c r="E93" s="118">
        <f t="shared" si="73"/>
        <v>-0.49166666666666664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-0.15277777777777779</v>
      </c>
      <c r="I93" s="118">
        <f t="shared" si="73"/>
        <v>-7.4999999999999997E-2</v>
      </c>
      <c r="J93" s="118">
        <f t="shared" si="73"/>
        <v>0</v>
      </c>
      <c r="K93" s="71">
        <f t="shared" si="73"/>
        <v>-0.40555555555555556</v>
      </c>
    </row>
    <row r="94" spans="1:13" x14ac:dyDescent="0.25">
      <c r="B94" s="117">
        <f t="shared" si="75"/>
        <v>32</v>
      </c>
      <c r="C94" s="2" t="str">
        <f t="shared" si="72"/>
        <v>b/o BTCH7</v>
      </c>
      <c r="D94" s="118">
        <f t="shared" si="74"/>
        <v>-8.8888888888888892E-2</v>
      </c>
      <c r="E94" s="118">
        <f t="shared" si="73"/>
        <v>-8.611111111111111E-2</v>
      </c>
      <c r="F94" s="118" t="e">
        <f t="shared" si="73"/>
        <v>#REF!</v>
      </c>
      <c r="G94" s="118">
        <f t="shared" si="73"/>
        <v>0.15277777777777779</v>
      </c>
      <c r="H94" s="118">
        <f t="shared" si="73"/>
        <v>0.25277777777777777</v>
      </c>
      <c r="I94" s="118">
        <f t="shared" si="73"/>
        <v>0.33055555555555555</v>
      </c>
      <c r="J94" s="118">
        <f t="shared" si="73"/>
        <v>0.40555555555555556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1</v>
      </c>
      <c r="F98" s="115" t="e">
        <f>L102</f>
        <v>#REF!</v>
      </c>
      <c r="G98" s="115">
        <f>L103</f>
        <v>87</v>
      </c>
      <c r="H98" s="115">
        <f>L104</f>
        <v>123</v>
      </c>
      <c r="I98" s="115">
        <f>L105</f>
        <v>151</v>
      </c>
      <c r="J98" s="115">
        <f>L106</f>
        <v>178</v>
      </c>
      <c r="K98" s="96">
        <f>L107</f>
        <v>32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BTCV6</v>
      </c>
      <c r="G99" s="116" t="str">
        <f t="shared" si="76"/>
        <v>b/o BTCX6</v>
      </c>
      <c r="H99" s="116" t="str">
        <f t="shared" si="76"/>
        <v>b/o BTCZ6</v>
      </c>
      <c r="I99" s="116" t="str">
        <f t="shared" si="76"/>
        <v>b/o BTCF7</v>
      </c>
      <c r="J99" s="116" t="str">
        <f t="shared" si="76"/>
        <v>b/o BTCG7</v>
      </c>
      <c r="K99" s="70" t="str">
        <f t="shared" si="76"/>
        <v>b/o BTCH7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46293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46294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1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BTCV6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46380</v>
      </c>
      <c r="C103" s="2" t="str">
        <f t="shared" si="80"/>
        <v>b/o BTCX6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87</v>
      </c>
    </row>
    <row r="104" spans="1:12" x14ac:dyDescent="0.25">
      <c r="A104" s="144" t="e">
        <v>#REF!</v>
      </c>
      <c r="B104" s="141">
        <f t="shared" ca="1" si="78"/>
        <v>46416</v>
      </c>
      <c r="C104" s="2" t="str">
        <f t="shared" si="80"/>
        <v>b/o BTCZ6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123</v>
      </c>
    </row>
    <row r="105" spans="1:12" x14ac:dyDescent="0.25">
      <c r="A105" s="144" t="e">
        <v>#REF!</v>
      </c>
      <c r="B105" s="141">
        <f t="shared" ca="1" si="78"/>
        <v>46444</v>
      </c>
      <c r="C105" s="2" t="str">
        <f t="shared" si="80"/>
        <v>b/o BTCF7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151</v>
      </c>
    </row>
    <row r="106" spans="1:12" x14ac:dyDescent="0.25">
      <c r="A106" s="144" t="e">
        <v>#REF!</v>
      </c>
      <c r="B106" s="141">
        <f t="shared" ca="1" si="78"/>
        <v>46471</v>
      </c>
      <c r="C106" s="2" t="str">
        <f t="shared" si="80"/>
        <v>b/o BTCG7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178</v>
      </c>
    </row>
    <row r="107" spans="1:12" x14ac:dyDescent="0.25">
      <c r="A107" s="144" t="e">
        <v>#REF!</v>
      </c>
      <c r="B107" s="141">
        <f t="shared" ca="1" si="78"/>
        <v>46325</v>
      </c>
      <c r="C107" s="2" t="str">
        <f t="shared" si="80"/>
        <v>b/o BTCH7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32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83171.3</v>
      </c>
      <c r="H1" s="48">
        <f>H11</f>
        <v>83164</v>
      </c>
      <c r="I1" s="45"/>
      <c r="J1" s="44" t="str">
        <f>E1</f>
        <v>best</v>
      </c>
      <c r="K1" s="46"/>
      <c r="L1" s="46"/>
      <c r="M1" s="48">
        <f>M9</f>
        <v>83080.136700000003</v>
      </c>
      <c r="N1" s="48">
        <f>N9</f>
        <v>-83247.724560000002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-7.3000000000029104</v>
      </c>
      <c r="J4" s="43" t="s">
        <v>5</v>
      </c>
      <c r="L4" s="13"/>
      <c r="M4" s="50"/>
      <c r="N4" s="48">
        <f>N1+M1</f>
        <v>-167.58785999999964</v>
      </c>
      <c r="Q4" s="43" t="s">
        <v>10</v>
      </c>
    </row>
    <row r="5" spans="1:24" x14ac:dyDescent="0.25">
      <c r="E5" s="43" t="s">
        <v>6</v>
      </c>
      <c r="G5" s="8">
        <f>G9-G11</f>
        <v>8</v>
      </c>
      <c r="H5" s="8">
        <f>H9-H11</f>
        <v>7.3999999999941792</v>
      </c>
      <c r="J5" s="43" t="s">
        <v>6</v>
      </c>
      <c r="M5" s="8">
        <f>M9-M11</f>
        <v>409.31574000000546</v>
      </c>
      <c r="N5" s="8">
        <f>N9-N11</f>
        <v>421.14454000000842</v>
      </c>
    </row>
    <row r="6" spans="1:24" x14ac:dyDescent="0.25">
      <c r="E6" s="43" t="s">
        <v>7</v>
      </c>
      <c r="G6" s="8">
        <f>G9-G10</f>
        <v>4.4100000000034925</v>
      </c>
      <c r="H6" s="8">
        <f>H9-H10</f>
        <v>3.5540000000037253</v>
      </c>
      <c r="J6" s="43" t="s">
        <v>7</v>
      </c>
      <c r="M6" s="8">
        <f>M9-M10</f>
        <v>159.42441199999303</v>
      </c>
      <c r="N6" s="8">
        <f>N9-N10</f>
        <v>166.30219600000419</v>
      </c>
    </row>
    <row r="7" spans="1:24" x14ac:dyDescent="0.25">
      <c r="E7" s="43" t="s">
        <v>8</v>
      </c>
      <c r="G7" s="8">
        <f>G10-G11</f>
        <v>3.5899999999965075</v>
      </c>
      <c r="H7" s="8">
        <f>H10-H11</f>
        <v>3.8459999999904539</v>
      </c>
      <c r="J7" s="43" t="s">
        <v>8</v>
      </c>
      <c r="M7" s="8">
        <f>M10-M11</f>
        <v>249.89132800001244</v>
      </c>
      <c r="N7" s="8">
        <f>N10-N11</f>
        <v>254.84234400000423</v>
      </c>
    </row>
    <row r="9" spans="1:24" x14ac:dyDescent="0.25">
      <c r="E9" s="43" t="s">
        <v>1</v>
      </c>
      <c r="G9" s="8">
        <f>MAX(G$14:G$18)</f>
        <v>83171.3</v>
      </c>
      <c r="H9" s="8">
        <f>MAX(H$14:H$18)</f>
        <v>83171.399999999994</v>
      </c>
      <c r="J9" s="43" t="str">
        <f>E9</f>
        <v>max</v>
      </c>
      <c r="L9" s="8">
        <f>MAX(L$14:L$18)</f>
        <v>83171.3</v>
      </c>
      <c r="M9" s="8">
        <f>MAX(M$14:M$18)</f>
        <v>83080.136700000003</v>
      </c>
      <c r="N9" s="8">
        <f>MAX(N$14:N$18)</f>
        <v>-83247.724560000002</v>
      </c>
      <c r="O9" s="8">
        <f>MAX(O$14:O$18)</f>
        <v>-83164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83166.89</v>
      </c>
      <c r="H10" s="8">
        <f>AVERAGE(H$14:H$18)</f>
        <v>83167.84599999999</v>
      </c>
      <c r="J10" s="43" t="str">
        <f t="shared" ref="J10" si="0">E10</f>
        <v>avg</v>
      </c>
      <c r="L10" s="8">
        <f>AVERAGE(L$14:L$18)</f>
        <v>83166.89</v>
      </c>
      <c r="M10" s="8">
        <f>AVERAGE(M$14:M$18)</f>
        <v>82920.71228800001</v>
      </c>
      <c r="N10" s="8">
        <f>AVERAGE(N$14:N$18)</f>
        <v>-83414.026756000007</v>
      </c>
      <c r="O10" s="8">
        <f>AVERAGE(O$14:O$18)</f>
        <v>-83167.84599999999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83163.3</v>
      </c>
      <c r="H11" s="8">
        <f>MIN(H$14:H$18)</f>
        <v>83164</v>
      </c>
      <c r="J11" s="43" t="str">
        <f>E11</f>
        <v>min</v>
      </c>
      <c r="L11" s="8">
        <f>MIN(L$14:L$18)</f>
        <v>83163.3</v>
      </c>
      <c r="M11" s="8">
        <f>MIN(M$14:M$18)</f>
        <v>82670.820959999997</v>
      </c>
      <c r="N11" s="8">
        <f>MIN(N$14:N$18)</f>
        <v>-83668.869100000011</v>
      </c>
      <c r="O11" s="8">
        <f>MIN(O$14:O$18)</f>
        <v>-83171.399999999994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2.5510000000000001E-2</v>
      </c>
      <c r="G14" s="8">
        <f>'MKT DATA'!K16</f>
        <v>83163.3</v>
      </c>
      <c r="H14" s="8">
        <f>'MKT DATA'!L16</f>
        <v>83164.56</v>
      </c>
      <c r="I14" s="47">
        <f>'MKT DATA'!M16</f>
        <v>2.5699999999999998E-3</v>
      </c>
      <c r="J14" s="43" t="str">
        <f>E14</f>
        <v>BinanceUS</v>
      </c>
      <c r="K14" s="8">
        <f>'MKT DATA'!O16</f>
        <v>-83.163300000000007</v>
      </c>
      <c r="L14" s="8">
        <f>'MKT DATA'!P16</f>
        <v>83163.3</v>
      </c>
      <c r="M14" s="8">
        <f>'MKT DATA'!Q16</f>
        <v>83080.136700000003</v>
      </c>
      <c r="N14" s="8">
        <f>'MKT DATA'!R16</f>
        <v>-83247.724560000002</v>
      </c>
      <c r="O14" s="8">
        <f>'MKT DATA'!S16</f>
        <v>-83164.56</v>
      </c>
      <c r="P14" s="8">
        <f>'MKT DATA'!T16</f>
        <v>-83.164559999999994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3.2112380000000003E-2</v>
      </c>
      <c r="G15" s="8">
        <f>'MKT DATA'!K17</f>
        <v>83169.84</v>
      </c>
      <c r="H15" s="8">
        <f>'MKT DATA'!L17</f>
        <v>83169.850000000006</v>
      </c>
      <c r="I15" s="47">
        <f>'MKT DATA'!M17</f>
        <v>0.27443984999999999</v>
      </c>
      <c r="J15" s="43" t="str">
        <f t="shared" ref="J15:J18" si="2">E15</f>
        <v>Coinbase</v>
      </c>
      <c r="K15" s="8">
        <f>'MKT DATA'!O17</f>
        <v>-499.01903999999996</v>
      </c>
      <c r="L15" s="8">
        <f>'MKT DATA'!P17</f>
        <v>83169.84</v>
      </c>
      <c r="M15" s="8">
        <f>'MKT DATA'!Q17</f>
        <v>82670.820959999997</v>
      </c>
      <c r="N15" s="8">
        <f>'MKT DATA'!R17</f>
        <v>-83668.869100000011</v>
      </c>
      <c r="O15" s="8">
        <f>'MKT DATA'!S17</f>
        <v>-83169.850000000006</v>
      </c>
      <c r="P15" s="8">
        <f>'MKT DATA'!T17</f>
        <v>-499.01910000000004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0.04</v>
      </c>
      <c r="G16" s="8">
        <f>'MKT DATA'!K18</f>
        <v>83166.009999999995</v>
      </c>
      <c r="H16" s="8">
        <f>'MKT DATA'!L18</f>
        <v>83169.42</v>
      </c>
      <c r="I16" s="47">
        <f>'MKT DATA'!M18</f>
        <v>1.305308E-2</v>
      </c>
      <c r="J16" s="43" t="str">
        <f t="shared" si="2"/>
        <v>Gemini</v>
      </c>
      <c r="K16" s="8">
        <f>'MKT DATA'!O18</f>
        <v>-332.66404</v>
      </c>
      <c r="L16" s="8">
        <f>'MKT DATA'!P18</f>
        <v>83166.009999999995</v>
      </c>
      <c r="M16" s="8">
        <f>'MKT DATA'!Q18</f>
        <v>82833.345959999991</v>
      </c>
      <c r="N16" s="8">
        <f>'MKT DATA'!R18</f>
        <v>-83502.097679999992</v>
      </c>
      <c r="O16" s="8">
        <f>'MKT DATA'!S18</f>
        <v>-83169.42</v>
      </c>
      <c r="P16" s="8">
        <f>'MKT DATA'!T18</f>
        <v>-332.67768000000001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83164</v>
      </c>
      <c r="H17" s="8">
        <f>'MKT DATA'!L19</f>
        <v>83164</v>
      </c>
      <c r="I17" s="47">
        <f>'MKT DATA'!M19</f>
        <v>0</v>
      </c>
      <c r="J17" s="43" t="str">
        <f t="shared" si="2"/>
        <v>IBKR</v>
      </c>
      <c r="K17" s="8">
        <f>'MKT DATA'!O19</f>
        <v>-99.79679999999999</v>
      </c>
      <c r="L17" s="8">
        <f>'MKT DATA'!P19</f>
        <v>83164</v>
      </c>
      <c r="M17" s="8">
        <f>'MKT DATA'!Q19</f>
        <v>83064.203200000004</v>
      </c>
      <c r="N17" s="8">
        <f>'MKT DATA'!R19</f>
        <v>-83263.796799999996</v>
      </c>
      <c r="O17" s="8">
        <f>'MKT DATA'!S19</f>
        <v>-83164</v>
      </c>
      <c r="P17" s="8">
        <f>'MKT DATA'!T19</f>
        <v>-99.79679999999999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1.8579760000000001E-2</v>
      </c>
      <c r="G18" s="8">
        <f>'MKT DATA'!K20</f>
        <v>83171.3</v>
      </c>
      <c r="H18" s="8">
        <f>'MKT DATA'!L20</f>
        <v>83171.399999999994</v>
      </c>
      <c r="I18" s="47">
        <f>'MKT DATA'!M20</f>
        <v>2.0601103699999999</v>
      </c>
      <c r="J18" s="43" t="str">
        <f t="shared" si="2"/>
        <v>KrakenSpot</v>
      </c>
      <c r="K18" s="8">
        <f>'MKT DATA'!O20</f>
        <v>-216.24538000000001</v>
      </c>
      <c r="L18" s="8">
        <f>'MKT DATA'!P20</f>
        <v>83171.3</v>
      </c>
      <c r="M18" s="8">
        <f>'MKT DATA'!Q20</f>
        <v>82955.05462000001</v>
      </c>
      <c r="N18" s="8">
        <f>'MKT DATA'!R20</f>
        <v>-83387.645639999988</v>
      </c>
      <c r="O18" s="8">
        <f>'MKT DATA'!S20</f>
        <v>-83171.399999999994</v>
      </c>
      <c r="P18" s="8">
        <f>'MKT DATA'!T20</f>
        <v>-216.24563999999998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1.2599999999947613</v>
      </c>
      <c r="J22" s="43" t="str">
        <f>J14</f>
        <v>BinanceUS</v>
      </c>
      <c r="N22" s="8">
        <f>N14+M14</f>
        <v>-167.58785999999964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1.0000000009313226E-2</v>
      </c>
      <c r="J23" s="43" t="str">
        <f t="shared" ref="J23:J26" si="6">J15</f>
        <v>Coinbase</v>
      </c>
      <c r="N23" s="8">
        <f t="shared" ref="N23:N25" si="7">N15+M15</f>
        <v>-998.04814000001352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3.4100000000034925</v>
      </c>
      <c r="J24" s="43" t="str">
        <f t="shared" si="6"/>
        <v>Gemini</v>
      </c>
      <c r="N24" s="8">
        <f t="shared" si="7"/>
        <v>-668.7517200000002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-199.59359999999288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9.9999999991268851E-2</v>
      </c>
      <c r="J26" s="43" t="str">
        <f t="shared" si="6"/>
        <v>KrakenSpot</v>
      </c>
      <c r="K26" s="13"/>
      <c r="L26" s="13"/>
      <c r="M26" s="13"/>
      <c r="N26" s="8">
        <f>N18+M18</f>
        <v>-432.59101999997802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83154.819308000006</v>
      </c>
      <c r="H1" s="48">
        <f>H11</f>
        <v>83207.80666100001</v>
      </c>
      <c r="I1" s="45"/>
      <c r="J1" s="44" t="str">
        <f>E1</f>
        <v>best</v>
      </c>
      <c r="K1" s="46"/>
      <c r="L1" s="46"/>
      <c r="M1" s="48">
        <f>M9</f>
        <v>83145.104959950011</v>
      </c>
      <c r="N1" s="48">
        <f>N9</f>
        <v>-83216.354162700009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-52.987353000004077</v>
      </c>
      <c r="J4" s="43" t="s">
        <v>5</v>
      </c>
      <c r="L4" s="13"/>
      <c r="M4" s="50"/>
      <c r="N4" s="48">
        <f>N1+M1</f>
        <v>-71.249202749997494</v>
      </c>
      <c r="Q4" s="43" t="s">
        <v>10</v>
      </c>
    </row>
    <row r="5" spans="1:24" x14ac:dyDescent="0.25">
      <c r="E5" s="43" t="s">
        <v>6</v>
      </c>
      <c r="G5" s="8">
        <f>G9-G11</f>
        <v>707.29883400000108</v>
      </c>
      <c r="H5" s="8">
        <f>H9-H11</f>
        <v>849.54362699999183</v>
      </c>
      <c r="J5" s="43" t="s">
        <v>6</v>
      </c>
      <c r="M5" s="8">
        <f>M9-M11</f>
        <v>707.10498485001153</v>
      </c>
      <c r="N5" s="8">
        <f>N9-N11</f>
        <v>850.51662419999775</v>
      </c>
    </row>
    <row r="6" spans="1:24" x14ac:dyDescent="0.25">
      <c r="E6" s="43" t="s">
        <v>7</v>
      </c>
      <c r="G6" s="8">
        <f>G9-G10</f>
        <v>252.77406779998273</v>
      </c>
      <c r="H6" s="8">
        <f>H9-H10</f>
        <v>630.46828569998615</v>
      </c>
      <c r="J6" s="43" t="s">
        <v>7</v>
      </c>
      <c r="M6" s="8">
        <f>M9-M10</f>
        <v>254.6617456250242</v>
      </c>
      <c r="N6" s="8">
        <f>N9-N10</f>
        <v>222.12986547499895</v>
      </c>
    </row>
    <row r="7" spans="1:24" x14ac:dyDescent="0.25">
      <c r="E7" s="43" t="s">
        <v>8</v>
      </c>
      <c r="G7" s="8">
        <f>G10-G11</f>
        <v>454.52476620001835</v>
      </c>
      <c r="H7" s="8">
        <f>H10-H11</f>
        <v>219.07534130000568</v>
      </c>
      <c r="J7" s="43" t="s">
        <v>8</v>
      </c>
      <c r="M7" s="8">
        <f>M10-M11</f>
        <v>452.44323922498734</v>
      </c>
      <c r="N7" s="8">
        <f>N10-N11</f>
        <v>628.3867587249988</v>
      </c>
    </row>
    <row r="9" spans="1:24" x14ac:dyDescent="0.25">
      <c r="E9" s="43" t="s">
        <v>1</v>
      </c>
      <c r="G9" s="8">
        <f>MAX(G$14:G$23)</f>
        <v>83154.819308000006</v>
      </c>
      <c r="H9" s="8">
        <f>MAX(H$14:H$23)</f>
        <v>84057.350288000001</v>
      </c>
      <c r="J9" s="43" t="str">
        <f>E9</f>
        <v>max</v>
      </c>
      <c r="L9" s="8">
        <f>MAX(L$14:L$23)</f>
        <v>83154.819308000006</v>
      </c>
      <c r="M9" s="8">
        <f>MAX(M$14:M$23)</f>
        <v>83145.104959950011</v>
      </c>
      <c r="N9" s="8">
        <f>MAX(N$14:N$23)</f>
        <v>-83216.354162700009</v>
      </c>
      <c r="O9" s="8">
        <f>MAX(O$14:O$23)</f>
        <v>-83207.80666100001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82902.045240200023</v>
      </c>
      <c r="H10" s="8">
        <f>AVERAGE(H$14:H$23)</f>
        <v>83426.882002300015</v>
      </c>
      <c r="J10" s="43" t="str">
        <f t="shared" ref="J10" si="0">E10</f>
        <v>avg</v>
      </c>
      <c r="L10" s="8">
        <f>AVERAGE(L$14:L$23)</f>
        <v>82902.045240200023</v>
      </c>
      <c r="M10" s="8">
        <f>AVERAGE(M$14:M$23)</f>
        <v>82890.443214324987</v>
      </c>
      <c r="N10" s="8">
        <f>AVERAGE(N$14:N$23)</f>
        <v>-83438.484028175008</v>
      </c>
      <c r="O10" s="8">
        <f>AVERAGE(O$14:O$23)</f>
        <v>-83426.882002300015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82447.520474000004</v>
      </c>
      <c r="H11" s="8">
        <f>MIN(H$14:H$23)</f>
        <v>83207.80666100001</v>
      </c>
      <c r="J11" s="43" t="str">
        <f>E11</f>
        <v>min</v>
      </c>
      <c r="L11" s="8">
        <f>MIN(L$14:L$23)</f>
        <v>82447.520474000004</v>
      </c>
      <c r="M11" s="8">
        <f>MIN(M$14:M$23)</f>
        <v>82437.9999751</v>
      </c>
      <c r="N11" s="8">
        <f>MIN(N$14:N$23)</f>
        <v>-84066.870786900006</v>
      </c>
      <c r="O11" s="8">
        <f>MIN(O$14:O$23)</f>
        <v>-84057.350288000001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12700</v>
      </c>
      <c r="B14" s="8">
        <f>'MKT DATA'!G21</f>
        <v>27.55</v>
      </c>
      <c r="C14" s="8">
        <f>'MKT DATA'!H21</f>
        <v>27.59</v>
      </c>
      <c r="D14" s="42">
        <f>'MKT DATA'!I21</f>
        <v>11800</v>
      </c>
      <c r="E14" s="43" t="str">
        <f>'MKT DATA'!B21</f>
        <v>ARKB</v>
      </c>
      <c r="F14" s="13">
        <f>'MKT DATA'!J21</f>
        <v>4.2099677317575637</v>
      </c>
      <c r="G14" s="8">
        <f>'MKT DATA'!K21</f>
        <v>83108.713010000007</v>
      </c>
      <c r="H14" s="8">
        <f>'MKT DATA'!L21</f>
        <v>83229.379018000007</v>
      </c>
      <c r="I14" s="13">
        <f>'MKT DATA'!M21</f>
        <v>3.9116235617904924</v>
      </c>
      <c r="J14" s="43" t="str">
        <f>E14</f>
        <v>ARKB</v>
      </c>
      <c r="K14" s="8">
        <f>'MKT DATA'!O21</f>
        <v>-16.591576099999997</v>
      </c>
      <c r="L14" s="8">
        <f>'MKT DATA'!P21</f>
        <v>83108.713010000007</v>
      </c>
      <c r="M14" s="8">
        <f>'MKT DATA'!Q21</f>
        <v>83092.1214339</v>
      </c>
      <c r="N14" s="8">
        <f>'MKT DATA'!R21</f>
        <v>-83245.970594100014</v>
      </c>
      <c r="O14" s="8">
        <f>'MKT DATA'!S21</f>
        <v>-83229.379018000007</v>
      </c>
      <c r="P14" s="8">
        <f>'MKT DATA'!T21</f>
        <v>-16.591576099999997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12600</v>
      </c>
      <c r="B15" s="8">
        <f>'MKT DATA'!G22</f>
        <v>45.03</v>
      </c>
      <c r="C15" s="8">
        <f>'MKT DATA'!H22</f>
        <v>45.18</v>
      </c>
      <c r="D15" s="42">
        <f>'MKT DATA'!I22</f>
        <v>13800</v>
      </c>
      <c r="E15" s="43" t="str">
        <f>'MKT DATA'!B22</f>
        <v>BITB</v>
      </c>
      <c r="F15" s="13">
        <f>'MKT DATA'!J22</f>
        <v>6.8362701895811657</v>
      </c>
      <c r="G15" s="8">
        <f>'MKT DATA'!K22</f>
        <v>82995.256808999999</v>
      </c>
      <c r="H15" s="8">
        <f>'MKT DATA'!L22</f>
        <v>83271.723354000002</v>
      </c>
      <c r="I15" s="13">
        <f>'MKT DATA'!M22</f>
        <v>7.4873435409698486</v>
      </c>
      <c r="J15" s="43" t="str">
        <f t="shared" ref="J15:J23" si="2">E15</f>
        <v>BITB</v>
      </c>
      <c r="K15" s="8">
        <f>'MKT DATA'!O22</f>
        <v>-10.13710665</v>
      </c>
      <c r="L15" s="8">
        <f>'MKT DATA'!P22</f>
        <v>82995.256808999999</v>
      </c>
      <c r="M15" s="8">
        <f>'MKT DATA'!Q22</f>
        <v>82985.119702349999</v>
      </c>
      <c r="N15" s="8">
        <f>'MKT DATA'!R22</f>
        <v>-83281.860460650001</v>
      </c>
      <c r="O15" s="8">
        <f>'MKT DATA'!S22</f>
        <v>-83271.723354000002</v>
      </c>
      <c r="P15" s="8">
        <f>'MKT DATA'!T22</f>
        <v>-10.13710665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15000</v>
      </c>
      <c r="B16" s="8">
        <f>'MKT DATA'!G23</f>
        <v>23.31</v>
      </c>
      <c r="C16" s="8">
        <f>'MKT DATA'!H23</f>
        <v>23.57</v>
      </c>
      <c r="D16" s="42">
        <f>'MKT DATA'!I23</f>
        <v>15000</v>
      </c>
      <c r="E16" s="43" t="str">
        <f>'MKT DATA'!B23</f>
        <v>BRRR</v>
      </c>
      <c r="F16" s="13">
        <f>'MKT DATA'!J23</f>
        <v>4.2265809166659407</v>
      </c>
      <c r="G16" s="8">
        <f>'MKT DATA'!K23</f>
        <v>82726.441748999991</v>
      </c>
      <c r="H16" s="8">
        <f>'MKT DATA'!L23</f>
        <v>83649.173403000008</v>
      </c>
      <c r="I16" s="13">
        <f>'MKT DATA'!M23</f>
        <v>4.2265809166659407</v>
      </c>
      <c r="J16" s="43" t="str">
        <f t="shared" si="2"/>
        <v>BRRR</v>
      </c>
      <c r="K16" s="8">
        <f>'MKT DATA'!O23</f>
        <v>-19.519323449999998</v>
      </c>
      <c r="L16" s="8">
        <f>'MKT DATA'!P23</f>
        <v>82726.441748999991</v>
      </c>
      <c r="M16" s="8">
        <f>'MKT DATA'!Q23</f>
        <v>82706.922425549987</v>
      </c>
      <c r="N16" s="8">
        <f>'MKT DATA'!R23</f>
        <v>-83668.692726450012</v>
      </c>
      <c r="O16" s="8">
        <f>'MKT DATA'!S23</f>
        <v>-83649.173403000008</v>
      </c>
      <c r="P16" s="8">
        <f>'MKT DATA'!T23</f>
        <v>-19.519323449999998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12300</v>
      </c>
      <c r="B17" s="8">
        <f>'MKT DATA'!G24</f>
        <v>36.659999999999997</v>
      </c>
      <c r="C17" s="8">
        <f>'MKT DATA'!H24</f>
        <v>36.93</v>
      </c>
      <c r="D17" s="42">
        <f>'MKT DATA'!I24</f>
        <v>13600</v>
      </c>
      <c r="E17" s="43" t="str">
        <f>'MKT DATA'!B24</f>
        <v>BTC</v>
      </c>
      <c r="F17" s="13">
        <f>'MKT DATA'!J24</f>
        <v>5.437057658891379</v>
      </c>
      <c r="G17" s="8">
        <f>'MKT DATA'!K24</f>
        <v>82934.19498</v>
      </c>
      <c r="H17" s="8">
        <f>'MKT DATA'!L24</f>
        <v>83545.003290000008</v>
      </c>
      <c r="I17" s="13">
        <f>'MKT DATA'!M24</f>
        <v>6.0117060293433138</v>
      </c>
      <c r="J17" s="43" t="str">
        <f t="shared" si="2"/>
        <v>BTC</v>
      </c>
      <c r="K17" s="8">
        <f>'MKT DATA'!O24</f>
        <v>-12.442391499999999</v>
      </c>
      <c r="L17" s="8">
        <f>'MKT DATA'!P24</f>
        <v>82934.19498</v>
      </c>
      <c r="M17" s="8">
        <f>'MKT DATA'!Q24</f>
        <v>82921.752588500007</v>
      </c>
      <c r="N17" s="8">
        <f>'MKT DATA'!R24</f>
        <v>-83557.445681500001</v>
      </c>
      <c r="O17" s="8">
        <f>'MKT DATA'!S24</f>
        <v>-83545.003290000008</v>
      </c>
      <c r="P17" s="8">
        <f>'MKT DATA'!T24</f>
        <v>-12.442391499999999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3900</v>
      </c>
      <c r="B18" s="8">
        <f>'MKT DATA'!G25</f>
        <v>87.38</v>
      </c>
      <c r="C18" s="8">
        <f>'MKT DATA'!H25</f>
        <v>88.34</v>
      </c>
      <c r="D18" s="42">
        <f>'MKT DATA'!I25</f>
        <v>3900</v>
      </c>
      <c r="E18" s="43" t="str">
        <f>'MKT DATA'!B25</f>
        <v>BTCW</v>
      </c>
      <c r="F18" s="13">
        <f>'MKT DATA'!J25</f>
        <v>4.1192538784887702</v>
      </c>
      <c r="G18" s="8">
        <f>'MKT DATA'!K25</f>
        <v>82729.059691999995</v>
      </c>
      <c r="H18" s="8">
        <f>'MKT DATA'!L25</f>
        <v>83637.962156000009</v>
      </c>
      <c r="I18" s="13">
        <f>'MKT DATA'!M25</f>
        <v>4.1192538784887702</v>
      </c>
      <c r="J18" s="43" t="str">
        <f t="shared" si="2"/>
        <v>BTCW</v>
      </c>
      <c r="K18" s="8">
        <f>'MKT DATA'!O25</f>
        <v>-5.2072536999999999</v>
      </c>
      <c r="L18" s="8">
        <f>'MKT DATA'!P25</f>
        <v>82729.059691999995</v>
      </c>
      <c r="M18" s="8">
        <f>'MKT DATA'!Q25</f>
        <v>82723.852438299989</v>
      </c>
      <c r="N18" s="8">
        <f>'MKT DATA'!R25</f>
        <v>-83643.169409700015</v>
      </c>
      <c r="O18" s="8">
        <f>'MKT DATA'!S25</f>
        <v>-83637.962156000009</v>
      </c>
      <c r="P18" s="8">
        <f>'MKT DATA'!T25</f>
        <v>-5.2072536999999999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100</v>
      </c>
      <c r="B19" s="8">
        <f>'MKT DATA'!G26</f>
        <v>47.63</v>
      </c>
      <c r="C19" s="8">
        <f>'MKT DATA'!H26</f>
        <v>48.56</v>
      </c>
      <c r="D19" s="42">
        <f>'MKT DATA'!I26</f>
        <v>100</v>
      </c>
      <c r="E19" s="43" t="str">
        <f>'MKT DATA'!B26</f>
        <v>EZBC</v>
      </c>
      <c r="F19" s="13">
        <f>'MKT DATA'!J26</f>
        <v>5.7770081775861556E-2</v>
      </c>
      <c r="G19" s="8">
        <f>'MKT DATA'!K26</f>
        <v>82447.520474000004</v>
      </c>
      <c r="H19" s="8">
        <f>'MKT DATA'!L26</f>
        <v>84057.350288000001</v>
      </c>
      <c r="I19" s="13">
        <f>'MKT DATA'!M26</f>
        <v>5.7770081775861556E-2</v>
      </c>
      <c r="J19" s="43" t="str">
        <f t="shared" si="2"/>
        <v>EZBC</v>
      </c>
      <c r="K19" s="8">
        <f>'MKT DATA'!O26</f>
        <v>-9.5204988999999998</v>
      </c>
      <c r="L19" s="8">
        <f>'MKT DATA'!P26</f>
        <v>82447.520474000004</v>
      </c>
      <c r="M19" s="8">
        <f>'MKT DATA'!Q26</f>
        <v>82437.9999751</v>
      </c>
      <c r="N19" s="8">
        <f>'MKT DATA'!R26</f>
        <v>-84066.870786900006</v>
      </c>
      <c r="O19" s="8">
        <f>'MKT DATA'!S26</f>
        <v>-84057.350288000001</v>
      </c>
      <c r="P19" s="8">
        <f>'MKT DATA'!T26</f>
        <v>-9.5204988999999998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9300</v>
      </c>
      <c r="B20" s="8">
        <f>'MKT DATA'!G27</f>
        <v>72.260000000000005</v>
      </c>
      <c r="C20" s="8">
        <f>'MKT DATA'!H27</f>
        <v>72.38</v>
      </c>
      <c r="D20" s="42">
        <f>'MKT DATA'!I27</f>
        <v>300</v>
      </c>
      <c r="E20" s="43" t="str">
        <f>'MKT DATA'!B27</f>
        <v>FBTC</v>
      </c>
      <c r="F20" s="13">
        <f>'MKT DATA'!J27</f>
        <v>8.0895775448636655</v>
      </c>
      <c r="G20" s="8">
        <f>'MKT DATA'!K27</f>
        <v>83072.075924000019</v>
      </c>
      <c r="H20" s="8">
        <f>'MKT DATA'!L27</f>
        <v>83210.031212000002</v>
      </c>
      <c r="I20" s="13">
        <f>'MKT DATA'!M27</f>
        <v>0.2609541143504408</v>
      </c>
      <c r="J20" s="43" t="str">
        <f t="shared" si="2"/>
        <v>FBTC</v>
      </c>
      <c r="K20" s="8">
        <f>'MKT DATA'!O27</f>
        <v>-6.3229506999999998</v>
      </c>
      <c r="L20" s="8">
        <f>'MKT DATA'!P27</f>
        <v>83072.075924000019</v>
      </c>
      <c r="M20" s="8">
        <f>'MKT DATA'!Q27</f>
        <v>83065.752973300012</v>
      </c>
      <c r="N20" s="8">
        <f>'MKT DATA'!R27</f>
        <v>-83216.354162700009</v>
      </c>
      <c r="O20" s="8">
        <f>'MKT DATA'!S27</f>
        <v>-83210.031212000002</v>
      </c>
      <c r="P20" s="8">
        <f>'MKT DATA'!T27</f>
        <v>-6.3229506999999998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3900</v>
      </c>
      <c r="B21" s="8">
        <f>'MKT DATA'!G28</f>
        <v>64.25</v>
      </c>
      <c r="C21" s="8">
        <f>'MKT DATA'!H28</f>
        <v>64.31</v>
      </c>
      <c r="D21" s="42">
        <f>'MKT DATA'!I28</f>
        <v>3900</v>
      </c>
      <c r="E21" s="43" t="str">
        <f>'MKT DATA'!B28</f>
        <v>GBTC</v>
      </c>
      <c r="F21" s="13">
        <f>'MKT DATA'!J28</f>
        <v>3.0135319173596824</v>
      </c>
      <c r="G21" s="8">
        <f>'MKT DATA'!K28</f>
        <v>83149.940624999988</v>
      </c>
      <c r="H21" s="8">
        <f>'MKT DATA'!L28</f>
        <v>83227.590375</v>
      </c>
      <c r="I21" s="13">
        <f>'MKT DATA'!M28</f>
        <v>3.0135319173596824</v>
      </c>
      <c r="J21" s="43" t="str">
        <f t="shared" si="2"/>
        <v>GBTC</v>
      </c>
      <c r="K21" s="8">
        <f>'MKT DATA'!O28</f>
        <v>-7.1178937499999995</v>
      </c>
      <c r="L21" s="8">
        <f>'MKT DATA'!P28</f>
        <v>83149.940624999988</v>
      </c>
      <c r="M21" s="8">
        <f>'MKT DATA'!Q28</f>
        <v>83142.822731249995</v>
      </c>
      <c r="N21" s="8">
        <f>'MKT DATA'!R28</f>
        <v>-83234.708268749993</v>
      </c>
      <c r="O21" s="8">
        <f>'MKT DATA'!S28</f>
        <v>-83227.590375</v>
      </c>
      <c r="P21" s="8">
        <f>'MKT DATA'!T28</f>
        <v>-7.1178937499999995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22800</v>
      </c>
      <c r="B22" s="8">
        <f>'MKT DATA'!G29</f>
        <v>23.39</v>
      </c>
      <c r="C22" s="8">
        <f>'MKT DATA'!H29</f>
        <v>23.54</v>
      </c>
      <c r="D22" s="42">
        <f>'MKT DATA'!I29</f>
        <v>5600</v>
      </c>
      <c r="E22" s="43" t="str">
        <f>'MKT DATA'!B29</f>
        <v>HODL</v>
      </c>
      <c r="F22" s="13">
        <f>'MKT DATA'!J29</f>
        <v>6.4483232365695491</v>
      </c>
      <c r="G22" s="8">
        <f>'MKT DATA'!K29</f>
        <v>82702.429831000001</v>
      </c>
      <c r="H22" s="8">
        <f>'MKT DATA'!L29</f>
        <v>83232.800266000006</v>
      </c>
      <c r="I22" s="13">
        <f>'MKT DATA'!M29</f>
        <v>1.5837986896837488</v>
      </c>
      <c r="J22" s="43" t="str">
        <f t="shared" si="2"/>
        <v>HODL</v>
      </c>
      <c r="K22" s="8">
        <f>'MKT DATA'!O29</f>
        <v>-19.446915950000001</v>
      </c>
      <c r="L22" s="8">
        <f>'MKT DATA'!P29</f>
        <v>82702.429831000001</v>
      </c>
      <c r="M22" s="8">
        <f>'MKT DATA'!Q29</f>
        <v>82682.982915050001</v>
      </c>
      <c r="N22" s="8">
        <f>'MKT DATA'!R29</f>
        <v>-83252.247181950006</v>
      </c>
      <c r="O22" s="8">
        <f>'MKT DATA'!S29</f>
        <v>-83232.800266000006</v>
      </c>
      <c r="P22" s="8">
        <f>'MKT DATA'!T29</f>
        <v>-19.446915950000001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2700</v>
      </c>
      <c r="B23" s="8">
        <f>'MKT DATA'!G30</f>
        <v>47.08</v>
      </c>
      <c r="C23" s="8">
        <f>'MKT DATA'!H30</f>
        <v>47.11</v>
      </c>
      <c r="D23" s="42">
        <f>'MKT DATA'!I30</f>
        <v>25100</v>
      </c>
      <c r="E23" s="43" t="str">
        <f>'MKT DATA'!B30</f>
        <v>IBIT</v>
      </c>
      <c r="F23" s="13">
        <f>'MKT DATA'!J30</f>
        <v>1.5286666612691522</v>
      </c>
      <c r="G23" s="8">
        <f>'MKT DATA'!K30</f>
        <v>83154.819308000006</v>
      </c>
      <c r="H23" s="8">
        <f>'MKT DATA'!L30</f>
        <v>83207.80666100001</v>
      </c>
      <c r="I23" s="13">
        <f>'MKT DATA'!M30</f>
        <v>14.210938221428044</v>
      </c>
      <c r="J23" s="43" t="str">
        <f t="shared" si="2"/>
        <v>IBIT</v>
      </c>
      <c r="K23" s="8">
        <f>'MKT DATA'!O30</f>
        <v>-9.7143480499999999</v>
      </c>
      <c r="L23" s="8">
        <f>'MKT DATA'!P30</f>
        <v>83154.819308000006</v>
      </c>
      <c r="M23" s="8">
        <f>'MKT DATA'!Q30</f>
        <v>83145.104959950011</v>
      </c>
      <c r="N23" s="8">
        <f>'MKT DATA'!R30</f>
        <v>-83217.521009050004</v>
      </c>
      <c r="O23" s="8">
        <f>'MKT DATA'!S30</f>
        <v>-83207.80666100001</v>
      </c>
      <c r="P23" s="8">
        <f>'MKT DATA'!T30</f>
        <v>-9.7143480499999999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120.66600800000015</v>
      </c>
      <c r="J27" s="43" t="str">
        <f t="shared" si="5"/>
        <v>ARKB</v>
      </c>
      <c r="K27" s="13"/>
      <c r="L27" s="13"/>
      <c r="M27" s="13"/>
      <c r="N27" s="8">
        <f>N14+M14</f>
        <v>-153.84916020001401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276.46654500000295</v>
      </c>
      <c r="J28" s="43" t="str">
        <f t="shared" si="5"/>
        <v>BITB</v>
      </c>
      <c r="N28" s="8">
        <f t="shared" ref="N28:N35" si="8">N15+M15</f>
        <v>-296.7407583000022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922.73165400001744</v>
      </c>
      <c r="J29" s="43" t="str">
        <f t="shared" si="5"/>
        <v>BRRR</v>
      </c>
      <c r="N29" s="8">
        <f t="shared" si="8"/>
        <v>-961.77030090002518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610.80831000000762</v>
      </c>
      <c r="J30" s="43" t="str">
        <f t="shared" si="5"/>
        <v>BTC</v>
      </c>
      <c r="N30" s="8">
        <f t="shared" si="8"/>
        <v>-635.69309299999441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908.90246400001342</v>
      </c>
      <c r="J31" s="43" t="str">
        <f t="shared" si="5"/>
        <v>BTCW</v>
      </c>
      <c r="N31" s="8">
        <f t="shared" si="8"/>
        <v>-919.31697140002507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1609.829813999997</v>
      </c>
      <c r="J32" s="43" t="str">
        <f t="shared" si="5"/>
        <v>EZBC</v>
      </c>
      <c r="N32" s="8">
        <f t="shared" si="8"/>
        <v>-1628.8708118000068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137.95528799998283</v>
      </c>
      <c r="J33" s="43" t="str">
        <f t="shared" si="5"/>
        <v>FBTC</v>
      </c>
      <c r="N33" s="8">
        <f t="shared" si="8"/>
        <v>-150.60118939999666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77.649750000011409</v>
      </c>
      <c r="J34" s="43" t="str">
        <f t="shared" si="5"/>
        <v>GBTC</v>
      </c>
      <c r="N34" s="8">
        <f t="shared" si="8"/>
        <v>-91.885537499998463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530.37043500000436</v>
      </c>
      <c r="J35" s="43" t="str">
        <f t="shared" si="5"/>
        <v>HODL</v>
      </c>
      <c r="N35" s="8">
        <f t="shared" si="8"/>
        <v>-569.26426690000517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52.987353000004077</v>
      </c>
      <c r="J36" s="43" t="str">
        <f t="shared" si="5"/>
        <v>IBIT</v>
      </c>
      <c r="N36" s="8">
        <f>N23+M23</f>
        <v>-72.416049099992961</v>
      </c>
      <c r="Q36" s="43" t="str">
        <f t="shared" si="6"/>
        <v>IBIT</v>
      </c>
    </row>
    <row r="40" spans="5:17" x14ac:dyDescent="0.25">
      <c r="M40" s="8">
        <f>+N9</f>
        <v>-83216.354162700009</v>
      </c>
      <c r="N40" s="8">
        <f>+M9</f>
        <v>83145.104959950011</v>
      </c>
    </row>
    <row r="41" spans="5:17" ht="17.25" x14ac:dyDescent="0.4">
      <c r="M41" s="53">
        <f>-O18</f>
        <v>83637.962156000009</v>
      </c>
      <c r="N41" s="53">
        <f>-L18</f>
        <v>-82729.059691999995</v>
      </c>
    </row>
    <row r="42" spans="5:17" x14ac:dyDescent="0.25">
      <c r="M42" s="8">
        <f>SUM(M40:M41)</f>
        <v>421.60799330000009</v>
      </c>
      <c r="N42" s="8">
        <f>SUM(N40:N41)</f>
        <v>416.04526795001584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83535</v>
      </c>
      <c r="H1" s="48">
        <f>H11</f>
        <v>83565</v>
      </c>
      <c r="I1" s="45"/>
      <c r="J1" s="44" t="str">
        <f>E1</f>
        <v>best</v>
      </c>
      <c r="K1" s="46"/>
      <c r="L1" s="46"/>
      <c r="M1" s="48">
        <f>M9</f>
        <v>83532.495999999999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0</v>
      </c>
      <c r="I2" s="56"/>
      <c r="J2" s="58"/>
      <c r="K2" s="57"/>
      <c r="L2" s="57"/>
      <c r="M2" s="57">
        <f>'MKT DATA'!Q4-M1</f>
        <v>0</v>
      </c>
      <c r="N2" s="57">
        <f>'MKT DATA'!R4-N1</f>
        <v>-83567.504000000001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-30</v>
      </c>
      <c r="I4" s="57">
        <f>H4-(G14-H14)</f>
        <v>0</v>
      </c>
      <c r="J4" s="43" t="s">
        <v>5</v>
      </c>
      <c r="L4" s="13"/>
      <c r="M4" s="50"/>
      <c r="N4" s="48">
        <f>N1+M1</f>
        <v>83532.495999999999</v>
      </c>
      <c r="O4" s="57">
        <f>(N14+M14)-N4</f>
        <v>-83567.504000000001</v>
      </c>
      <c r="Q4" s="43" t="s">
        <v>10</v>
      </c>
    </row>
    <row r="5" spans="1:24" x14ac:dyDescent="0.25">
      <c r="E5" s="43" t="s">
        <v>6</v>
      </c>
      <c r="G5" s="8">
        <f>G9-G11</f>
        <v>1367</v>
      </c>
      <c r="H5" s="8">
        <f>H9-H11</f>
        <v>1394</v>
      </c>
      <c r="J5" s="43" t="s">
        <v>6</v>
      </c>
      <c r="M5" s="8">
        <f>M9-M11</f>
        <v>83532.495999999999</v>
      </c>
      <c r="N5" s="8">
        <f>N9-N11</f>
        <v>83567.504000000001</v>
      </c>
    </row>
    <row r="6" spans="1:24" x14ac:dyDescent="0.25">
      <c r="E6" s="43" t="s">
        <v>7</v>
      </c>
      <c r="G6" s="8">
        <f>G9-G10</f>
        <v>826.98466257668042</v>
      </c>
      <c r="H6" s="8">
        <f>H9-H10</f>
        <v>561.23312883435574</v>
      </c>
      <c r="J6" s="43" t="s">
        <v>7</v>
      </c>
      <c r="M6" s="8">
        <f>M9-M10</f>
        <v>83276.261349693246</v>
      </c>
      <c r="N6" s="8">
        <f>N9-N10</f>
        <v>256.34203680981597</v>
      </c>
    </row>
    <row r="7" spans="1:24" x14ac:dyDescent="0.25">
      <c r="E7" s="43" t="s">
        <v>8</v>
      </c>
      <c r="G7" s="8">
        <f>G10-G11</f>
        <v>540.01533742331958</v>
      </c>
      <c r="H7" s="8">
        <f>H10-H11</f>
        <v>832.76687116564426</v>
      </c>
      <c r="J7" s="43" t="s">
        <v>8</v>
      </c>
      <c r="M7" s="8">
        <f>M10-M11</f>
        <v>256.23465030674845</v>
      </c>
      <c r="N7" s="8">
        <f>N10-N11</f>
        <v>83311.161963190185</v>
      </c>
    </row>
    <row r="9" spans="1:24" x14ac:dyDescent="0.25">
      <c r="E9" s="43" t="s">
        <v>1</v>
      </c>
      <c r="G9" s="8">
        <f>MAX(G$14:G$339)</f>
        <v>83535</v>
      </c>
      <c r="H9" s="8">
        <f>MAX(H$14:H$339)</f>
        <v>84959</v>
      </c>
      <c r="J9" s="43" t="str">
        <f>E9</f>
        <v>max</v>
      </c>
      <c r="L9" s="8">
        <f>MAX(L$14:L$339)</f>
        <v>83535</v>
      </c>
      <c r="M9" s="8">
        <f>MAX(M$14:M$339)</f>
        <v>83532.495999999999</v>
      </c>
      <c r="N9" s="8">
        <f>MAX(N$14:N$339)</f>
        <v>0</v>
      </c>
      <c r="O9" s="8">
        <f>MAX(O$14:O$339)</f>
        <v>-83565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82708.01533742332</v>
      </c>
      <c r="H10" s="8">
        <f>AVERAGE(H$14:H$339)</f>
        <v>84397.766871165644</v>
      </c>
      <c r="J10" s="43" t="str">
        <f t="shared" ref="J10" si="0">E10</f>
        <v>avg</v>
      </c>
      <c r="L10" s="8">
        <f>AVERAGE(L$14:L$339)</f>
        <v>82708.01533742332</v>
      </c>
      <c r="M10" s="8">
        <f>AVERAGE(M$14:M$339)</f>
        <v>256.23465030674845</v>
      </c>
      <c r="N10" s="8">
        <f>AVERAGE(N$14:N$339)</f>
        <v>-256.34203680981597</v>
      </c>
      <c r="O10" s="8">
        <f>AVERAGE(O$14:O$339)</f>
        <v>-84397.766871165644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82168</v>
      </c>
      <c r="H11" s="8">
        <f>MIN(H$14:H$339)</f>
        <v>83565</v>
      </c>
      <c r="J11" s="43" t="str">
        <f>E11</f>
        <v>min</v>
      </c>
      <c r="L11" s="8">
        <f>MIN(L$14:L$339)</f>
        <v>82168</v>
      </c>
      <c r="M11" s="8">
        <f>MIN(M$14:M$339)</f>
        <v>0</v>
      </c>
      <c r="N11" s="8">
        <f>MIN(N$14:N$339)</f>
        <v>-83567.504000000001</v>
      </c>
      <c r="O11" s="8">
        <f>MIN(O$14:O$339)</f>
        <v>-84959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BTCV6</v>
      </c>
      <c r="F14" s="13">
        <f>'MKT DATA'!J31</f>
        <v>10</v>
      </c>
      <c r="G14" s="8">
        <f>'MKT DATA'!K31</f>
        <v>83535</v>
      </c>
      <c r="H14" s="8">
        <f>'MKT DATA'!L31</f>
        <v>83565</v>
      </c>
      <c r="I14" s="13">
        <f>'MKT DATA'!M31</f>
        <v>5</v>
      </c>
      <c r="J14" s="43" t="str">
        <f>E14</f>
        <v>BTCV6</v>
      </c>
      <c r="K14" s="8">
        <f>'MKT DATA'!O31</f>
        <v>-2.504</v>
      </c>
      <c r="L14" s="8">
        <f>'MKT DATA'!P31</f>
        <v>83535</v>
      </c>
      <c r="M14" s="8">
        <f>'MKT DATA'!Q31</f>
        <v>83532.495999999999</v>
      </c>
      <c r="N14" s="8">
        <f>'MKT DATA'!R31</f>
        <v>-83567.504000000001</v>
      </c>
      <c r="O14" s="8">
        <f>'MKT DATA'!S31</f>
        <v>-83565</v>
      </c>
      <c r="P14" s="8">
        <f>'MKT DATA'!T31</f>
        <v>-2.504</v>
      </c>
      <c r="Q14" s="43" t="str">
        <f>J14</f>
        <v>BTCV6</v>
      </c>
      <c r="R14" s="13">
        <f>'MKT DATA'!AB31</f>
        <v>0</v>
      </c>
    </row>
    <row r="15" spans="1:24" x14ac:dyDescent="0.25">
      <c r="E15" s="43" t="str">
        <f>'MKT DATA'!B73</f>
        <v>syn BTCX6/BTCV6</v>
      </c>
      <c r="F15" s="13">
        <f>'MKT DATA'!J73</f>
        <v>2</v>
      </c>
      <c r="G15" s="8">
        <f>'MKT DATA'!K73</f>
        <v>83524</v>
      </c>
      <c r="H15" s="8">
        <f>'MKT DATA'!L73</f>
        <v>83583</v>
      </c>
      <c r="I15" s="13">
        <f>'MKT DATA'!M73</f>
        <v>4</v>
      </c>
      <c r="J15" s="43" t="str">
        <f t="shared" ref="J15:J16" si="2">E15</f>
        <v>syn BTCX6/BTCV6</v>
      </c>
      <c r="K15" s="8">
        <f>'MKT DATA'!O73</f>
        <v>0</v>
      </c>
      <c r="L15" s="8">
        <f>'MKT DATA'!P73</f>
        <v>83524</v>
      </c>
      <c r="M15" s="8">
        <f>'MKT DATA'!Q73</f>
        <v>0</v>
      </c>
      <c r="N15" s="8">
        <f>'MKT DATA'!R73</f>
        <v>0</v>
      </c>
      <c r="O15" s="8">
        <f>'MKT DATA'!S73</f>
        <v>-83583</v>
      </c>
      <c r="P15" s="8">
        <f>'MKT DATA'!T73</f>
        <v>0</v>
      </c>
      <c r="Q15" s="43" t="str">
        <f t="shared" ref="Q15:Q16" si="3">J15</f>
        <v>syn BTCX6/BTCV6</v>
      </c>
      <c r="R15" s="13">
        <f>'MKT DATA'!AB73</f>
        <v>0</v>
      </c>
    </row>
    <row r="16" spans="1:24" x14ac:dyDescent="0.25">
      <c r="E16" s="43" t="str">
        <f>'MKT DATA'!B74</f>
        <v>syn BTCZ6/BTCV6</v>
      </c>
      <c r="F16" s="13">
        <f>'MKT DATA'!J74</f>
        <v>1</v>
      </c>
      <c r="G16" s="8">
        <f>'MKT DATA'!K74</f>
        <v>83478</v>
      </c>
      <c r="H16" s="8">
        <f>'MKT DATA'!L74</f>
        <v>83614</v>
      </c>
      <c r="I16" s="13">
        <f>'MKT DATA'!M74</f>
        <v>1</v>
      </c>
      <c r="J16" s="43" t="str">
        <f t="shared" si="2"/>
        <v>syn BTCZ6/BTCV6</v>
      </c>
      <c r="K16" s="8">
        <f>'MKT DATA'!O74</f>
        <v>0</v>
      </c>
      <c r="L16" s="8">
        <f>'MKT DATA'!P74</f>
        <v>83478</v>
      </c>
      <c r="M16" s="8">
        <f>'MKT DATA'!Q74</f>
        <v>0</v>
      </c>
      <c r="N16" s="8">
        <f>'MKT DATA'!R74</f>
        <v>0</v>
      </c>
      <c r="O16" s="8">
        <f>'MKT DATA'!S74</f>
        <v>-83614</v>
      </c>
      <c r="P16" s="8">
        <f>'MKT DATA'!T74</f>
        <v>0</v>
      </c>
      <c r="Q16" s="43" t="str">
        <f t="shared" si="3"/>
        <v>syn BTCZ6/BTCV6</v>
      </c>
      <c r="R16" s="13">
        <f>'MKT DATA'!AB74</f>
        <v>0</v>
      </c>
    </row>
    <row r="17" spans="5:18" x14ac:dyDescent="0.25">
      <c r="E17" s="43" t="str">
        <f>'MKT DATA'!B75</f>
        <v>syn BTCF7/BTCV6</v>
      </c>
      <c r="F17" s="13">
        <f>'MKT DATA'!J75</f>
        <v>1</v>
      </c>
      <c r="G17" s="8">
        <f>'MKT DATA'!K75</f>
        <v>83396</v>
      </c>
      <c r="H17" s="8">
        <f>'MKT DATA'!L75</f>
        <v>83734</v>
      </c>
      <c r="I17" s="13">
        <f>'MKT DATA'!M75</f>
        <v>1</v>
      </c>
      <c r="J17" s="43" t="str">
        <f t="shared" ref="J17:J80" si="4">E17</f>
        <v>syn BTCF7/BTCV6</v>
      </c>
      <c r="K17" s="8">
        <f>'MKT DATA'!O75</f>
        <v>0</v>
      </c>
      <c r="L17" s="8">
        <f>'MKT DATA'!P75</f>
        <v>83396</v>
      </c>
      <c r="M17" s="8">
        <f>'MKT DATA'!Q75</f>
        <v>0</v>
      </c>
      <c r="N17" s="8">
        <f>'MKT DATA'!R75</f>
        <v>0</v>
      </c>
      <c r="O17" s="8">
        <f>'MKT DATA'!S75</f>
        <v>-83734</v>
      </c>
      <c r="P17" s="8">
        <f>'MKT DATA'!T75</f>
        <v>0</v>
      </c>
      <c r="Q17" s="43" t="str">
        <f t="shared" ref="Q17:Q80" si="5">J17</f>
        <v>syn BTCF7/BTCV6</v>
      </c>
      <c r="R17" s="13">
        <f>'MKT DATA'!AB75</f>
        <v>0</v>
      </c>
    </row>
    <row r="18" spans="5:18" x14ac:dyDescent="0.25">
      <c r="E18" s="43" t="str">
        <f>'MKT DATA'!B76</f>
        <v>syn BTCG7/BTCV6</v>
      </c>
      <c r="F18" s="13">
        <f>'MKT DATA'!J76</f>
        <v>1</v>
      </c>
      <c r="G18" s="8">
        <f>'MKT DATA'!K76</f>
        <v>83205</v>
      </c>
      <c r="H18" s="8">
        <f>'MKT DATA'!L76</f>
        <v>83895</v>
      </c>
      <c r="I18" s="13">
        <f>'MKT DATA'!M76</f>
        <v>1</v>
      </c>
      <c r="J18" s="43" t="str">
        <f t="shared" si="4"/>
        <v>syn BTCG7/BTCV6</v>
      </c>
      <c r="K18" s="8">
        <f>'MKT DATA'!O76</f>
        <v>0</v>
      </c>
      <c r="L18" s="8">
        <f>'MKT DATA'!P76</f>
        <v>83205</v>
      </c>
      <c r="M18" s="8">
        <f>'MKT DATA'!Q76</f>
        <v>0</v>
      </c>
      <c r="N18" s="8">
        <f>'MKT DATA'!R76</f>
        <v>0</v>
      </c>
      <c r="O18" s="8">
        <f>'MKT DATA'!S76</f>
        <v>-83895</v>
      </c>
      <c r="P18" s="8">
        <f>'MKT DATA'!T76</f>
        <v>0</v>
      </c>
      <c r="Q18" s="43" t="str">
        <f t="shared" si="5"/>
        <v>syn BTCG7/BTCV6</v>
      </c>
      <c r="R18" s="13">
        <f>'MKT DATA'!AB76</f>
        <v>0</v>
      </c>
    </row>
    <row r="19" spans="5:18" x14ac:dyDescent="0.25">
      <c r="E19" s="43" t="str">
        <f>'MKT DATA'!B77</f>
        <v>syn BTCH7/BTCV6</v>
      </c>
      <c r="F19" s="13">
        <f>'MKT DATA'!J77</f>
        <v>1</v>
      </c>
      <c r="G19" s="8">
        <f>'MKT DATA'!K77</f>
        <v>82795</v>
      </c>
      <c r="H19" s="8">
        <f>'MKT DATA'!L77</f>
        <v>84305</v>
      </c>
      <c r="I19" s="13">
        <f>'MKT DATA'!M77</f>
        <v>1</v>
      </c>
      <c r="J19" s="43" t="str">
        <f t="shared" si="4"/>
        <v>syn BTCH7/BTCV6</v>
      </c>
      <c r="K19" s="8">
        <f>'MKT DATA'!O77</f>
        <v>0</v>
      </c>
      <c r="L19" s="8">
        <f>'MKT DATA'!P77</f>
        <v>82795</v>
      </c>
      <c r="M19" s="8">
        <f>'MKT DATA'!Q77</f>
        <v>0</v>
      </c>
      <c r="N19" s="8">
        <f>'MKT DATA'!R77</f>
        <v>0</v>
      </c>
      <c r="O19" s="8">
        <f>'MKT DATA'!S77</f>
        <v>-84305</v>
      </c>
      <c r="P19" s="8">
        <f>'MKT DATA'!T77</f>
        <v>0</v>
      </c>
      <c r="Q19" s="43" t="str">
        <f t="shared" si="5"/>
        <v>syn BTCH7/BTCV6</v>
      </c>
      <c r="R19" s="13">
        <f>'MKT DATA'!AB77</f>
        <v>0</v>
      </c>
    </row>
    <row r="20" spans="5:18" x14ac:dyDescent="0.25">
      <c r="E20" s="43" t="str">
        <f>'MKT DATA'!B78</f>
        <v>syn BTCX6/BTCZ6/BTCV6</v>
      </c>
      <c r="F20" s="13">
        <f>'MKT DATA'!J78</f>
        <v>1</v>
      </c>
      <c r="G20" s="8">
        <f>'MKT DATA'!K78</f>
        <v>83497</v>
      </c>
      <c r="H20" s="8">
        <f>'MKT DATA'!L78</f>
        <v>83610</v>
      </c>
      <c r="I20" s="13">
        <f>'MKT DATA'!M78</f>
        <v>1</v>
      </c>
      <c r="J20" s="43" t="str">
        <f t="shared" si="4"/>
        <v>syn BTCX6/BTCZ6/BTCV6</v>
      </c>
      <c r="K20" s="8">
        <f>'MKT DATA'!O78</f>
        <v>0</v>
      </c>
      <c r="L20" s="8">
        <f>'MKT DATA'!P78</f>
        <v>83497</v>
      </c>
      <c r="M20" s="8">
        <f>'MKT DATA'!Q78</f>
        <v>0</v>
      </c>
      <c r="N20" s="8">
        <f>'MKT DATA'!R78</f>
        <v>0</v>
      </c>
      <c r="O20" s="8">
        <f>'MKT DATA'!S78</f>
        <v>-83610</v>
      </c>
      <c r="P20" s="8">
        <f>'MKT DATA'!T78</f>
        <v>0</v>
      </c>
      <c r="Q20" s="43" t="str">
        <f t="shared" si="5"/>
        <v>syn BTCX6/BTCZ6/BTCV6</v>
      </c>
      <c r="R20" s="13">
        <f>'MKT DATA'!AB78</f>
        <v>0</v>
      </c>
    </row>
    <row r="21" spans="5:18" x14ac:dyDescent="0.25">
      <c r="E21" s="43" t="str">
        <f>'MKT DATA'!B79</f>
        <v>syn BTCX6/BTCF7/BTCV6</v>
      </c>
      <c r="F21" s="13">
        <f>'MKT DATA'!J79</f>
        <v>1</v>
      </c>
      <c r="G21" s="8">
        <f>'MKT DATA'!K79</f>
        <v>83397</v>
      </c>
      <c r="H21" s="8">
        <f>'MKT DATA'!L79</f>
        <v>83713</v>
      </c>
      <c r="I21" s="13">
        <f>'MKT DATA'!M79</f>
        <v>1</v>
      </c>
      <c r="J21" s="43" t="str">
        <f t="shared" si="4"/>
        <v>syn BTCX6/BTCF7/BTCV6</v>
      </c>
      <c r="K21" s="8">
        <f>'MKT DATA'!O79</f>
        <v>0</v>
      </c>
      <c r="L21" s="8">
        <f>'MKT DATA'!P79</f>
        <v>83397</v>
      </c>
      <c r="M21" s="8">
        <f>'MKT DATA'!Q79</f>
        <v>0</v>
      </c>
      <c r="N21" s="8">
        <f>'MKT DATA'!R79</f>
        <v>0</v>
      </c>
      <c r="O21" s="8">
        <f>'MKT DATA'!S79</f>
        <v>-83713</v>
      </c>
      <c r="P21" s="8">
        <f>'MKT DATA'!T79</f>
        <v>0</v>
      </c>
      <c r="Q21" s="43" t="str">
        <f t="shared" si="5"/>
        <v>syn BTCX6/BTCF7/BTCV6</v>
      </c>
      <c r="R21" s="13">
        <f>'MKT DATA'!AB79</f>
        <v>0</v>
      </c>
    </row>
    <row r="22" spans="5:18" x14ac:dyDescent="0.25">
      <c r="E22" s="43" t="str">
        <f>'MKT DATA'!B80</f>
        <v>syn BTCX6/BTCG7/BTCV6</v>
      </c>
      <c r="F22" s="13">
        <f>'MKT DATA'!J80</f>
        <v>1</v>
      </c>
      <c r="G22" s="8">
        <f>'MKT DATA'!K80</f>
        <v>83150</v>
      </c>
      <c r="H22" s="8">
        <f>'MKT DATA'!L80</f>
        <v>83950</v>
      </c>
      <c r="I22" s="13">
        <f>'MKT DATA'!M80</f>
        <v>1</v>
      </c>
      <c r="J22" s="43" t="str">
        <f t="shared" si="4"/>
        <v>syn BTCX6/BTCG7/BTCV6</v>
      </c>
      <c r="K22" s="8">
        <f>'MKT DATA'!O80</f>
        <v>0</v>
      </c>
      <c r="L22" s="8">
        <f>'MKT DATA'!P80</f>
        <v>83150</v>
      </c>
      <c r="M22" s="8">
        <f>'MKT DATA'!Q80</f>
        <v>0</v>
      </c>
      <c r="N22" s="8">
        <f>'MKT DATA'!R80</f>
        <v>0</v>
      </c>
      <c r="O22" s="8">
        <f>'MKT DATA'!S80</f>
        <v>-83950</v>
      </c>
      <c r="P22" s="8">
        <f>'MKT DATA'!T80</f>
        <v>0</v>
      </c>
      <c r="Q22" s="43" t="str">
        <f t="shared" si="5"/>
        <v>syn BTCX6/BTCG7/BTCV6</v>
      </c>
      <c r="R22" s="13">
        <f>'MKT DATA'!AB80</f>
        <v>0</v>
      </c>
    </row>
    <row r="23" spans="5:18" x14ac:dyDescent="0.25">
      <c r="E23" s="43" t="str">
        <f>'MKT DATA'!B81</f>
        <v>syn BTCX6/BTCH7/BTCV6</v>
      </c>
      <c r="F23" s="13">
        <f>'MKT DATA'!J81</f>
        <v>1</v>
      </c>
      <c r="G23" s="8">
        <f>'MKT DATA'!K81</f>
        <v>82740</v>
      </c>
      <c r="H23" s="8">
        <f>'MKT DATA'!L81</f>
        <v>84360</v>
      </c>
      <c r="I23" s="13">
        <f>'MKT DATA'!M81</f>
        <v>1</v>
      </c>
      <c r="J23" s="43" t="str">
        <f t="shared" si="4"/>
        <v>syn BTCX6/BTCH7/BTCV6</v>
      </c>
      <c r="K23" s="8">
        <f>'MKT DATA'!O81</f>
        <v>0</v>
      </c>
      <c r="L23" s="8">
        <f>'MKT DATA'!P81</f>
        <v>82740</v>
      </c>
      <c r="M23" s="8">
        <f>'MKT DATA'!Q81</f>
        <v>0</v>
      </c>
      <c r="N23" s="8">
        <f>'MKT DATA'!R81</f>
        <v>0</v>
      </c>
      <c r="O23" s="8">
        <f>'MKT DATA'!S81</f>
        <v>-84360</v>
      </c>
      <c r="P23" s="8">
        <f>'MKT DATA'!T81</f>
        <v>0</v>
      </c>
      <c r="Q23" s="43" t="str">
        <f t="shared" si="5"/>
        <v>syn BTCX6/BTCH7/BTCV6</v>
      </c>
      <c r="R23" s="13">
        <f>'MKT DATA'!AB81</f>
        <v>0</v>
      </c>
    </row>
    <row r="24" spans="5:18" x14ac:dyDescent="0.25">
      <c r="E24" s="43" t="str">
        <f>'MKT DATA'!B82</f>
        <v>syn BTCZ6/BTCX6/BTCV6</v>
      </c>
      <c r="F24" s="13">
        <f>'MKT DATA'!J82</f>
        <v>1</v>
      </c>
      <c r="G24" s="8">
        <f>'MKT DATA'!K82</f>
        <v>83483</v>
      </c>
      <c r="H24" s="8">
        <f>'MKT DATA'!L82</f>
        <v>83609</v>
      </c>
      <c r="I24" s="13">
        <f>'MKT DATA'!M82</f>
        <v>4</v>
      </c>
      <c r="J24" s="43" t="str">
        <f t="shared" si="4"/>
        <v>syn BTCZ6/BTCX6/BTCV6</v>
      </c>
      <c r="K24" s="8">
        <f>'MKT DATA'!O82</f>
        <v>0</v>
      </c>
      <c r="L24" s="8">
        <f>'MKT DATA'!P82</f>
        <v>83483</v>
      </c>
      <c r="M24" s="8">
        <f>'MKT DATA'!Q82</f>
        <v>0</v>
      </c>
      <c r="N24" s="8">
        <f>'MKT DATA'!R82</f>
        <v>0</v>
      </c>
      <c r="O24" s="8">
        <f>'MKT DATA'!S82</f>
        <v>-83609</v>
      </c>
      <c r="P24" s="8">
        <f>'MKT DATA'!T82</f>
        <v>0</v>
      </c>
      <c r="Q24" s="43" t="str">
        <f t="shared" si="5"/>
        <v>syn BTCZ6/BTCX6/BTCV6</v>
      </c>
      <c r="R24" s="13">
        <f>'MKT DATA'!AB82</f>
        <v>0</v>
      </c>
    </row>
    <row r="25" spans="5:18" x14ac:dyDescent="0.25">
      <c r="E25" s="43" t="str">
        <f>'MKT DATA'!B83</f>
        <v>syn BTCZ6/BTCF7/BTCV6</v>
      </c>
      <c r="F25" s="13">
        <f>'MKT DATA'!J83</f>
        <v>1</v>
      </c>
      <c r="G25" s="8">
        <f>'MKT DATA'!K83</f>
        <v>83418</v>
      </c>
      <c r="H25" s="8">
        <f>'MKT DATA'!L83</f>
        <v>83708</v>
      </c>
      <c r="I25" s="13">
        <f>'MKT DATA'!M83</f>
        <v>1</v>
      </c>
      <c r="J25" s="43" t="str">
        <f t="shared" si="4"/>
        <v>syn BTCZ6/BTCF7/BTCV6</v>
      </c>
      <c r="K25" s="8">
        <f>'MKT DATA'!O83</f>
        <v>0</v>
      </c>
      <c r="L25" s="8">
        <f>'MKT DATA'!P83</f>
        <v>83418</v>
      </c>
      <c r="M25" s="8">
        <f>'MKT DATA'!Q83</f>
        <v>0</v>
      </c>
      <c r="N25" s="8">
        <f>'MKT DATA'!R83</f>
        <v>0</v>
      </c>
      <c r="O25" s="8">
        <f>'MKT DATA'!S83</f>
        <v>-83708</v>
      </c>
      <c r="P25" s="8">
        <f>'MKT DATA'!T83</f>
        <v>0</v>
      </c>
      <c r="Q25" s="43" t="str">
        <f t="shared" si="5"/>
        <v>syn BTCZ6/BTCF7/BTCV6</v>
      </c>
      <c r="R25" s="13">
        <f>'MKT DATA'!AB83</f>
        <v>0</v>
      </c>
    </row>
    <row r="26" spans="5:18" x14ac:dyDescent="0.25">
      <c r="E26" s="43" t="str">
        <f>'MKT DATA'!B84</f>
        <v>syn BTCZ6/BTCG7/BTCV6</v>
      </c>
      <c r="F26" s="13">
        <f>'MKT DATA'!J84</f>
        <v>1</v>
      </c>
      <c r="G26" s="8">
        <f>'MKT DATA'!K84</f>
        <v>83105</v>
      </c>
      <c r="H26" s="8">
        <f>'MKT DATA'!L84</f>
        <v>83995</v>
      </c>
      <c r="I26" s="13">
        <f>'MKT DATA'!M84</f>
        <v>1</v>
      </c>
      <c r="J26" s="43" t="str">
        <f t="shared" si="4"/>
        <v>syn BTCZ6/BTCG7/BTCV6</v>
      </c>
      <c r="K26" s="8">
        <f>'MKT DATA'!O84</f>
        <v>0</v>
      </c>
      <c r="L26" s="8">
        <f>'MKT DATA'!P84</f>
        <v>83105</v>
      </c>
      <c r="M26" s="8">
        <f>'MKT DATA'!Q84</f>
        <v>0</v>
      </c>
      <c r="N26" s="8">
        <f>'MKT DATA'!R84</f>
        <v>0</v>
      </c>
      <c r="O26" s="8">
        <f>'MKT DATA'!S84</f>
        <v>-83995</v>
      </c>
      <c r="P26" s="8">
        <f>'MKT DATA'!T84</f>
        <v>0</v>
      </c>
      <c r="Q26" s="43" t="str">
        <f t="shared" si="5"/>
        <v>syn BTCZ6/BTCG7/BTCV6</v>
      </c>
      <c r="R26" s="13">
        <f>'MKT DATA'!AB84</f>
        <v>0</v>
      </c>
    </row>
    <row r="27" spans="5:18" x14ac:dyDescent="0.25">
      <c r="E27" s="43" t="str">
        <f>'MKT DATA'!B85</f>
        <v>syn BTCZ6/BTCH7/BTCV6</v>
      </c>
      <c r="F27" s="13">
        <f>'MKT DATA'!J85</f>
        <v>1</v>
      </c>
      <c r="G27" s="8">
        <f>'MKT DATA'!K85</f>
        <v>82905</v>
      </c>
      <c r="H27" s="8">
        <f>'MKT DATA'!L85</f>
        <v>84375</v>
      </c>
      <c r="I27" s="13">
        <f>'MKT DATA'!M85</f>
        <v>1</v>
      </c>
      <c r="J27" s="43" t="str">
        <f t="shared" si="4"/>
        <v>syn BTCZ6/BTCH7/BTCV6</v>
      </c>
      <c r="K27" s="8">
        <f>'MKT DATA'!O85</f>
        <v>0</v>
      </c>
      <c r="L27" s="8">
        <f>'MKT DATA'!P85</f>
        <v>82905</v>
      </c>
      <c r="M27" s="8">
        <f>'MKT DATA'!Q85</f>
        <v>0</v>
      </c>
      <c r="N27" s="8">
        <f>'MKT DATA'!R85</f>
        <v>0</v>
      </c>
      <c r="O27" s="8">
        <f>'MKT DATA'!S85</f>
        <v>-84375</v>
      </c>
      <c r="P27" s="8">
        <f>'MKT DATA'!T85</f>
        <v>0</v>
      </c>
      <c r="Q27" s="43" t="str">
        <f t="shared" si="5"/>
        <v>syn BTCZ6/BTCH7/BTCV6</v>
      </c>
      <c r="R27" s="13">
        <f>'MKT DATA'!AB85</f>
        <v>0</v>
      </c>
    </row>
    <row r="28" spans="5:18" x14ac:dyDescent="0.25">
      <c r="E28" s="43" t="str">
        <f>'MKT DATA'!B86</f>
        <v>syn BTCF7/BTCX6/BTCV6</v>
      </c>
      <c r="F28" s="13">
        <f>'MKT DATA'!J86</f>
        <v>1</v>
      </c>
      <c r="G28" s="8">
        <f>'MKT DATA'!K86</f>
        <v>83415</v>
      </c>
      <c r="H28" s="8">
        <f>'MKT DATA'!L86</f>
        <v>83712</v>
      </c>
      <c r="I28" s="13">
        <f>'MKT DATA'!M86</f>
        <v>1</v>
      </c>
      <c r="J28" s="43" t="str">
        <f t="shared" si="4"/>
        <v>syn BTCF7/BTCX6/BTCV6</v>
      </c>
      <c r="K28" s="8">
        <f>'MKT DATA'!O86</f>
        <v>0</v>
      </c>
      <c r="L28" s="8">
        <f>'MKT DATA'!P86</f>
        <v>83415</v>
      </c>
      <c r="M28" s="8">
        <f>'MKT DATA'!Q86</f>
        <v>0</v>
      </c>
      <c r="N28" s="8">
        <f>'MKT DATA'!R86</f>
        <v>0</v>
      </c>
      <c r="O28" s="8">
        <f>'MKT DATA'!S86</f>
        <v>-83712</v>
      </c>
      <c r="P28" s="8">
        <f>'MKT DATA'!T86</f>
        <v>0</v>
      </c>
      <c r="Q28" s="43" t="str">
        <f t="shared" si="5"/>
        <v>syn BTCF7/BTCX6/BTCV6</v>
      </c>
      <c r="R28" s="13">
        <f>'MKT DATA'!AB86</f>
        <v>0</v>
      </c>
    </row>
    <row r="29" spans="5:18" x14ac:dyDescent="0.25">
      <c r="E29" s="43" t="str">
        <f>'MKT DATA'!B87</f>
        <v>syn BTCF7/BTCZ6/BTCV6</v>
      </c>
      <c r="F29" s="13">
        <f>'MKT DATA'!J87</f>
        <v>1</v>
      </c>
      <c r="G29" s="8">
        <f>'MKT DATA'!K87</f>
        <v>83419</v>
      </c>
      <c r="H29" s="8">
        <f>'MKT DATA'!L87</f>
        <v>83677</v>
      </c>
      <c r="I29" s="13">
        <f>'MKT DATA'!M87</f>
        <v>1</v>
      </c>
      <c r="J29" s="43" t="str">
        <f t="shared" si="4"/>
        <v>syn BTCF7/BTCZ6/BTCV6</v>
      </c>
      <c r="K29" s="8">
        <f>'MKT DATA'!O87</f>
        <v>0</v>
      </c>
      <c r="L29" s="8">
        <f>'MKT DATA'!P87</f>
        <v>83419</v>
      </c>
      <c r="M29" s="8">
        <f>'MKT DATA'!Q87</f>
        <v>0</v>
      </c>
      <c r="N29" s="8">
        <f>'MKT DATA'!R87</f>
        <v>0</v>
      </c>
      <c r="O29" s="8">
        <f>'MKT DATA'!S87</f>
        <v>-83677</v>
      </c>
      <c r="P29" s="8">
        <f>'MKT DATA'!T87</f>
        <v>0</v>
      </c>
      <c r="Q29" s="43" t="str">
        <f t="shared" si="5"/>
        <v>syn BTCF7/BTCZ6/BTCV6</v>
      </c>
      <c r="R29" s="13">
        <f>'MKT DATA'!AB87</f>
        <v>0</v>
      </c>
    </row>
    <row r="30" spans="5:18" x14ac:dyDescent="0.25">
      <c r="E30" s="43" t="str">
        <f>'MKT DATA'!B88</f>
        <v>syn BTCF7/BTCG7/BTCV6</v>
      </c>
      <c r="F30" s="13">
        <f>'MKT DATA'!J88</f>
        <v>1</v>
      </c>
      <c r="G30" s="8">
        <f>'MKT DATA'!K88</f>
        <v>83189</v>
      </c>
      <c r="H30" s="8">
        <f>'MKT DATA'!L88</f>
        <v>83895</v>
      </c>
      <c r="I30" s="13">
        <f>'MKT DATA'!M88</f>
        <v>1</v>
      </c>
      <c r="J30" s="43" t="str">
        <f t="shared" si="4"/>
        <v>syn BTCF7/BTCG7/BTCV6</v>
      </c>
      <c r="K30" s="8">
        <f>'MKT DATA'!O88</f>
        <v>0</v>
      </c>
      <c r="L30" s="8">
        <f>'MKT DATA'!P88</f>
        <v>83189</v>
      </c>
      <c r="M30" s="8">
        <f>'MKT DATA'!Q88</f>
        <v>0</v>
      </c>
      <c r="N30" s="8">
        <f>'MKT DATA'!R88</f>
        <v>0</v>
      </c>
      <c r="O30" s="8">
        <f>'MKT DATA'!S88</f>
        <v>-83895</v>
      </c>
      <c r="P30" s="8">
        <f>'MKT DATA'!T88</f>
        <v>0</v>
      </c>
      <c r="Q30" s="43" t="str">
        <f t="shared" si="5"/>
        <v>syn BTCF7/BTCG7/BTCV6</v>
      </c>
      <c r="R30" s="13">
        <f>'MKT DATA'!AB88</f>
        <v>0</v>
      </c>
    </row>
    <row r="31" spans="5:18" x14ac:dyDescent="0.25">
      <c r="E31" s="43" t="str">
        <f>'MKT DATA'!B89</f>
        <v>syn BTCF7/BTCH7/BTCV6</v>
      </c>
      <c r="F31" s="13">
        <f>'MKT DATA'!J89</f>
        <v>1</v>
      </c>
      <c r="G31" s="8">
        <f>'MKT DATA'!K89</f>
        <v>82610</v>
      </c>
      <c r="H31" s="8">
        <f>'MKT DATA'!L89</f>
        <v>84490</v>
      </c>
      <c r="I31" s="13">
        <f>'MKT DATA'!M89</f>
        <v>1</v>
      </c>
      <c r="J31" s="43" t="str">
        <f t="shared" si="4"/>
        <v>syn BTCF7/BTCH7/BTCV6</v>
      </c>
      <c r="K31" s="8">
        <f>'MKT DATA'!O89</f>
        <v>0</v>
      </c>
      <c r="L31" s="8">
        <f>'MKT DATA'!P89</f>
        <v>82610</v>
      </c>
      <c r="M31" s="8">
        <f>'MKT DATA'!Q89</f>
        <v>0</v>
      </c>
      <c r="N31" s="8">
        <f>'MKT DATA'!R89</f>
        <v>0</v>
      </c>
      <c r="O31" s="8">
        <f>'MKT DATA'!S89</f>
        <v>-84490</v>
      </c>
      <c r="P31" s="8">
        <f>'MKT DATA'!T89</f>
        <v>0</v>
      </c>
      <c r="Q31" s="43" t="str">
        <f t="shared" si="5"/>
        <v>syn BTCF7/BTCH7/BTCV6</v>
      </c>
      <c r="R31" s="13">
        <f>'MKT DATA'!AB89</f>
        <v>0</v>
      </c>
    </row>
    <row r="32" spans="5:18" x14ac:dyDescent="0.25">
      <c r="E32" s="43" t="str">
        <f>'MKT DATA'!B90</f>
        <v>syn BTCG7/BTCX6/BTCV6</v>
      </c>
      <c r="F32" s="13">
        <f>'MKT DATA'!J90</f>
        <v>1</v>
      </c>
      <c r="G32" s="8">
        <f>'MKT DATA'!K90</f>
        <v>83194</v>
      </c>
      <c r="H32" s="8">
        <f>'MKT DATA'!L90</f>
        <v>83913</v>
      </c>
      <c r="I32" s="13">
        <f>'MKT DATA'!M90</f>
        <v>1</v>
      </c>
      <c r="J32" s="43" t="str">
        <f t="shared" si="4"/>
        <v>syn BTCG7/BTCX6/BTCV6</v>
      </c>
      <c r="K32" s="8">
        <f>'MKT DATA'!O90</f>
        <v>0</v>
      </c>
      <c r="L32" s="8">
        <f>'MKT DATA'!P90</f>
        <v>83194</v>
      </c>
      <c r="M32" s="8">
        <f>'MKT DATA'!Q90</f>
        <v>0</v>
      </c>
      <c r="N32" s="8">
        <f>'MKT DATA'!R90</f>
        <v>0</v>
      </c>
      <c r="O32" s="8">
        <f>'MKT DATA'!S90</f>
        <v>-83913</v>
      </c>
      <c r="P32" s="8">
        <f>'MKT DATA'!T90</f>
        <v>0</v>
      </c>
      <c r="Q32" s="43" t="str">
        <f t="shared" si="5"/>
        <v>syn BTCG7/BTCX6/BTCV6</v>
      </c>
      <c r="R32" s="13">
        <f>'MKT DATA'!AB90</f>
        <v>0</v>
      </c>
    </row>
    <row r="33" spans="5:18" x14ac:dyDescent="0.25">
      <c r="E33" s="43" t="str">
        <f>'MKT DATA'!B91</f>
        <v>syn BTCG7/BTCZ6/BTCV6</v>
      </c>
      <c r="F33" s="13">
        <f>'MKT DATA'!J91</f>
        <v>1</v>
      </c>
      <c r="G33" s="8">
        <f>'MKT DATA'!K91</f>
        <v>83148</v>
      </c>
      <c r="H33" s="8">
        <f>'MKT DATA'!L91</f>
        <v>83944</v>
      </c>
      <c r="I33" s="13">
        <f>'MKT DATA'!M91</f>
        <v>1</v>
      </c>
      <c r="J33" s="43" t="str">
        <f t="shared" si="4"/>
        <v>syn BTCG7/BTCZ6/BTCV6</v>
      </c>
      <c r="K33" s="8">
        <f>'MKT DATA'!O91</f>
        <v>0</v>
      </c>
      <c r="L33" s="8">
        <f>'MKT DATA'!P91</f>
        <v>83148</v>
      </c>
      <c r="M33" s="8">
        <f>'MKT DATA'!Q91</f>
        <v>0</v>
      </c>
      <c r="N33" s="8">
        <f>'MKT DATA'!R91</f>
        <v>0</v>
      </c>
      <c r="O33" s="8">
        <f>'MKT DATA'!S91</f>
        <v>-83944</v>
      </c>
      <c r="P33" s="8">
        <f>'MKT DATA'!T91</f>
        <v>0</v>
      </c>
      <c r="Q33" s="43" t="str">
        <f t="shared" si="5"/>
        <v>syn BTCG7/BTCZ6/BTCV6</v>
      </c>
      <c r="R33" s="13">
        <f>'MKT DATA'!AB91</f>
        <v>0</v>
      </c>
    </row>
    <row r="34" spans="5:18" x14ac:dyDescent="0.25">
      <c r="E34" s="43" t="str">
        <f>'MKT DATA'!B92</f>
        <v>syn BTCG7/BTCF7/BTCV6</v>
      </c>
      <c r="F34" s="13">
        <f>'MKT DATA'!J92</f>
        <v>1</v>
      </c>
      <c r="G34" s="8">
        <f>'MKT DATA'!K92</f>
        <v>83251</v>
      </c>
      <c r="H34" s="8">
        <f>'MKT DATA'!L92</f>
        <v>83895</v>
      </c>
      <c r="I34" s="13">
        <f>'MKT DATA'!M92</f>
        <v>1</v>
      </c>
      <c r="J34" s="43" t="str">
        <f t="shared" si="4"/>
        <v>syn BTCG7/BTCF7/BTCV6</v>
      </c>
      <c r="K34" s="8">
        <f>'MKT DATA'!O92</f>
        <v>0</v>
      </c>
      <c r="L34" s="8">
        <f>'MKT DATA'!P92</f>
        <v>83251</v>
      </c>
      <c r="M34" s="8">
        <f>'MKT DATA'!Q92</f>
        <v>0</v>
      </c>
      <c r="N34" s="8">
        <f>'MKT DATA'!R92</f>
        <v>0</v>
      </c>
      <c r="O34" s="8">
        <f>'MKT DATA'!S92</f>
        <v>-83895</v>
      </c>
      <c r="P34" s="8">
        <f>'MKT DATA'!T92</f>
        <v>0</v>
      </c>
      <c r="Q34" s="43" t="str">
        <f t="shared" si="5"/>
        <v>syn BTCG7/BTCF7/BTCV6</v>
      </c>
      <c r="R34" s="13">
        <f>'MKT DATA'!AB92</f>
        <v>0</v>
      </c>
    </row>
    <row r="35" spans="5:18" x14ac:dyDescent="0.25">
      <c r="E35" s="43" t="str">
        <f>'MKT DATA'!B93</f>
        <v>syn BTCG7/BTCH7/BTCV6</v>
      </c>
      <c r="F35" s="13">
        <f>'MKT DATA'!J93</f>
        <v>1</v>
      </c>
      <c r="G35" s="8">
        <f>'MKT DATA'!K93</f>
        <v>82855</v>
      </c>
      <c r="H35" s="8">
        <f>'MKT DATA'!L93</f>
        <v>84300</v>
      </c>
      <c r="I35" s="13">
        <f>'MKT DATA'!M93</f>
        <v>1</v>
      </c>
      <c r="J35" s="43" t="str">
        <f t="shared" si="4"/>
        <v>syn BTCG7/BTCH7/BTCV6</v>
      </c>
      <c r="K35" s="8">
        <f>'MKT DATA'!O93</f>
        <v>0</v>
      </c>
      <c r="L35" s="8">
        <f>'MKT DATA'!P93</f>
        <v>82855</v>
      </c>
      <c r="M35" s="8">
        <f>'MKT DATA'!Q93</f>
        <v>0</v>
      </c>
      <c r="N35" s="8">
        <f>'MKT DATA'!R93</f>
        <v>0</v>
      </c>
      <c r="O35" s="8">
        <f>'MKT DATA'!S93</f>
        <v>-84300</v>
      </c>
      <c r="P35" s="8">
        <f>'MKT DATA'!T93</f>
        <v>0</v>
      </c>
      <c r="Q35" s="43" t="str">
        <f t="shared" si="5"/>
        <v>syn BTCG7/BTCH7/BTCV6</v>
      </c>
      <c r="R35" s="13">
        <f>'MKT DATA'!AB93</f>
        <v>0</v>
      </c>
    </row>
    <row r="36" spans="5:18" x14ac:dyDescent="0.25">
      <c r="E36" s="43" t="str">
        <f>'MKT DATA'!B94</f>
        <v>syn BTCH7/BTCX6/BTCV6</v>
      </c>
      <c r="F36" s="13">
        <f>'MKT DATA'!J94</f>
        <v>1</v>
      </c>
      <c r="G36" s="8">
        <f>'MKT DATA'!K94</f>
        <v>82784</v>
      </c>
      <c r="H36" s="8">
        <f>'MKT DATA'!L94</f>
        <v>84323</v>
      </c>
      <c r="I36" s="13">
        <f>'MKT DATA'!M94</f>
        <v>1</v>
      </c>
      <c r="J36" s="43" t="str">
        <f t="shared" si="4"/>
        <v>syn BTCH7/BTCX6/BTCV6</v>
      </c>
      <c r="K36" s="8">
        <f>'MKT DATA'!O94</f>
        <v>0</v>
      </c>
      <c r="L36" s="8">
        <f>'MKT DATA'!P94</f>
        <v>82784</v>
      </c>
      <c r="M36" s="8">
        <f>'MKT DATA'!Q94</f>
        <v>0</v>
      </c>
      <c r="N36" s="8">
        <f>'MKT DATA'!R94</f>
        <v>0</v>
      </c>
      <c r="O36" s="8">
        <f>'MKT DATA'!S94</f>
        <v>-84323</v>
      </c>
      <c r="P36" s="8">
        <f>'MKT DATA'!T94</f>
        <v>0</v>
      </c>
      <c r="Q36" s="43" t="str">
        <f t="shared" si="5"/>
        <v>syn BTCH7/BTCX6/BTCV6</v>
      </c>
      <c r="R36" s="13">
        <f>'MKT DATA'!AB94</f>
        <v>0</v>
      </c>
    </row>
    <row r="37" spans="5:18" x14ac:dyDescent="0.25">
      <c r="E37" s="43" t="str">
        <f>'MKT DATA'!B95</f>
        <v>syn BTCH7/BTCZ6/BTCV6</v>
      </c>
      <c r="F37" s="13">
        <f>'MKT DATA'!J95</f>
        <v>1</v>
      </c>
      <c r="G37" s="8">
        <f>'MKT DATA'!K95</f>
        <v>82768</v>
      </c>
      <c r="H37" s="8">
        <f>'MKT DATA'!L95</f>
        <v>84144</v>
      </c>
      <c r="I37" s="13">
        <f>'MKT DATA'!M95</f>
        <v>1</v>
      </c>
      <c r="J37" s="43" t="str">
        <f t="shared" si="4"/>
        <v>syn BTCH7/BTCZ6/BTCV6</v>
      </c>
      <c r="K37" s="8">
        <f>'MKT DATA'!O95</f>
        <v>0</v>
      </c>
      <c r="L37" s="8">
        <f>'MKT DATA'!P95</f>
        <v>82768</v>
      </c>
      <c r="M37" s="8">
        <f>'MKT DATA'!Q95</f>
        <v>0</v>
      </c>
      <c r="N37" s="8">
        <f>'MKT DATA'!R95</f>
        <v>0</v>
      </c>
      <c r="O37" s="8">
        <f>'MKT DATA'!S95</f>
        <v>-84144</v>
      </c>
      <c r="P37" s="8">
        <f>'MKT DATA'!T95</f>
        <v>0</v>
      </c>
      <c r="Q37" s="43" t="str">
        <f t="shared" si="5"/>
        <v>syn BTCH7/BTCZ6/BTCV6</v>
      </c>
      <c r="R37" s="13">
        <f>'MKT DATA'!AB95</f>
        <v>0</v>
      </c>
    </row>
    <row r="38" spans="5:18" x14ac:dyDescent="0.25">
      <c r="E38" s="43" t="str">
        <f>'MKT DATA'!B96</f>
        <v>syn BTCH7/BTCF7/BTCV6</v>
      </c>
      <c r="F38" s="13">
        <f>'MKT DATA'!J96</f>
        <v>1</v>
      </c>
      <c r="G38" s="8">
        <f>'MKT DATA'!K96</f>
        <v>82656</v>
      </c>
      <c r="H38" s="8">
        <f>'MKT DATA'!L96</f>
        <v>84474</v>
      </c>
      <c r="I38" s="13">
        <f>'MKT DATA'!M96</f>
        <v>1</v>
      </c>
      <c r="J38" s="43" t="str">
        <f t="shared" si="4"/>
        <v>syn BTCH7/BTCF7/BTCV6</v>
      </c>
      <c r="K38" s="8">
        <f>'MKT DATA'!O96</f>
        <v>0</v>
      </c>
      <c r="L38" s="8">
        <f>'MKT DATA'!P96</f>
        <v>82656</v>
      </c>
      <c r="M38" s="8">
        <f>'MKT DATA'!Q96</f>
        <v>0</v>
      </c>
      <c r="N38" s="8">
        <f>'MKT DATA'!R96</f>
        <v>0</v>
      </c>
      <c r="O38" s="8">
        <f>'MKT DATA'!S96</f>
        <v>-84474</v>
      </c>
      <c r="P38" s="8">
        <f>'MKT DATA'!T96</f>
        <v>0</v>
      </c>
      <c r="Q38" s="43" t="str">
        <f t="shared" si="5"/>
        <v>syn BTCH7/BTCF7/BTCV6</v>
      </c>
      <c r="R38" s="13">
        <f>'MKT DATA'!AB96</f>
        <v>0</v>
      </c>
    </row>
    <row r="39" spans="5:18" x14ac:dyDescent="0.25">
      <c r="E39" s="43" t="str">
        <f>'MKT DATA'!B97</f>
        <v>syn BTCH7/BTCG7/BTCV6</v>
      </c>
      <c r="F39" s="13">
        <f>'MKT DATA'!J97</f>
        <v>1</v>
      </c>
      <c r="G39" s="8">
        <f>'MKT DATA'!K97</f>
        <v>82800</v>
      </c>
      <c r="H39" s="8">
        <f>'MKT DATA'!L97</f>
        <v>84245</v>
      </c>
      <c r="I39" s="13">
        <f>'MKT DATA'!M97</f>
        <v>1</v>
      </c>
      <c r="J39" s="43" t="str">
        <f t="shared" si="4"/>
        <v>syn BTCH7/BTCG7/BTCV6</v>
      </c>
      <c r="K39" s="8">
        <f>'MKT DATA'!O97</f>
        <v>0</v>
      </c>
      <c r="L39" s="8">
        <f>'MKT DATA'!P97</f>
        <v>82800</v>
      </c>
      <c r="M39" s="8">
        <f>'MKT DATA'!Q97</f>
        <v>0</v>
      </c>
      <c r="N39" s="8">
        <f>'MKT DATA'!R97</f>
        <v>0</v>
      </c>
      <c r="O39" s="8">
        <f>'MKT DATA'!S97</f>
        <v>-84245</v>
      </c>
      <c r="P39" s="8">
        <f>'MKT DATA'!T97</f>
        <v>0</v>
      </c>
      <c r="Q39" s="43" t="str">
        <f t="shared" si="5"/>
        <v>syn BTCH7/BTCG7/BTCV6</v>
      </c>
      <c r="R39" s="13">
        <f>'MKT DATA'!AB97</f>
        <v>0</v>
      </c>
    </row>
    <row r="40" spans="5:18" x14ac:dyDescent="0.25">
      <c r="E40" s="43" t="str">
        <f>'MKT DATA'!B98</f>
        <v>syn BTCX6/BTCZ6/BTCF7/BTCV6</v>
      </c>
      <c r="F40" s="13">
        <f>'MKT DATA'!J98</f>
        <v>1</v>
      </c>
      <c r="G40" s="8">
        <f>'MKT DATA'!K98</f>
        <v>83437</v>
      </c>
      <c r="H40" s="8">
        <f>'MKT DATA'!L98</f>
        <v>83704</v>
      </c>
      <c r="I40" s="13">
        <f>'MKT DATA'!M98</f>
        <v>1</v>
      </c>
      <c r="J40" s="43" t="str">
        <f t="shared" si="4"/>
        <v>syn BTCX6/BTCZ6/BTCF7/BTCV6</v>
      </c>
      <c r="K40" s="8">
        <f>'MKT DATA'!O98</f>
        <v>0</v>
      </c>
      <c r="L40" s="8">
        <f>'MKT DATA'!P98</f>
        <v>83437</v>
      </c>
      <c r="M40" s="8">
        <f>'MKT DATA'!Q98</f>
        <v>0</v>
      </c>
      <c r="N40" s="8">
        <f>'MKT DATA'!R98</f>
        <v>0</v>
      </c>
      <c r="O40" s="8">
        <f>'MKT DATA'!S98</f>
        <v>-83704</v>
      </c>
      <c r="P40" s="8">
        <f>'MKT DATA'!T98</f>
        <v>0</v>
      </c>
      <c r="Q40" s="43" t="str">
        <f t="shared" si="5"/>
        <v>syn BTCX6/BTCZ6/BTCF7/BTCV6</v>
      </c>
      <c r="R40" s="13">
        <f>'MKT DATA'!AB98</f>
        <v>0</v>
      </c>
    </row>
    <row r="41" spans="5:18" x14ac:dyDescent="0.25">
      <c r="E41" s="43" t="str">
        <f>'MKT DATA'!B99</f>
        <v>syn BTCX6/BTCZ6/BTCG7/BTCV6</v>
      </c>
      <c r="F41" s="13">
        <f>'MKT DATA'!J99</f>
        <v>1</v>
      </c>
      <c r="G41" s="8">
        <f>'MKT DATA'!K99</f>
        <v>83124</v>
      </c>
      <c r="H41" s="8">
        <f>'MKT DATA'!L99</f>
        <v>83991</v>
      </c>
      <c r="I41" s="13">
        <f>'MKT DATA'!M99</f>
        <v>1</v>
      </c>
      <c r="J41" s="43" t="str">
        <f t="shared" si="4"/>
        <v>syn BTCX6/BTCZ6/BTCG7/BTCV6</v>
      </c>
      <c r="K41" s="8">
        <f>'MKT DATA'!O99</f>
        <v>0</v>
      </c>
      <c r="L41" s="8">
        <f>'MKT DATA'!P99</f>
        <v>83124</v>
      </c>
      <c r="M41" s="8">
        <f>'MKT DATA'!Q99</f>
        <v>0</v>
      </c>
      <c r="N41" s="8">
        <f>'MKT DATA'!R99</f>
        <v>0</v>
      </c>
      <c r="O41" s="8">
        <f>'MKT DATA'!S99</f>
        <v>-83991</v>
      </c>
      <c r="P41" s="8">
        <f>'MKT DATA'!T99</f>
        <v>0</v>
      </c>
      <c r="Q41" s="43" t="str">
        <f t="shared" si="5"/>
        <v>syn BTCX6/BTCZ6/BTCG7/BTCV6</v>
      </c>
      <c r="R41" s="13">
        <f>'MKT DATA'!AB99</f>
        <v>0</v>
      </c>
    </row>
    <row r="42" spans="5:18" x14ac:dyDescent="0.25">
      <c r="E42" s="43" t="str">
        <f>'MKT DATA'!B100</f>
        <v>syn BTCX6/BTCZ6/BTCH7/BTCV6</v>
      </c>
      <c r="F42" s="13">
        <f>'MKT DATA'!J100</f>
        <v>1</v>
      </c>
      <c r="G42" s="8">
        <f>'MKT DATA'!K100</f>
        <v>82924</v>
      </c>
      <c r="H42" s="8">
        <f>'MKT DATA'!L100</f>
        <v>84371</v>
      </c>
      <c r="I42" s="13">
        <f>'MKT DATA'!M100</f>
        <v>1</v>
      </c>
      <c r="J42" s="43" t="str">
        <f t="shared" si="4"/>
        <v>syn BTCX6/BTCZ6/BTCH7/BTCV6</v>
      </c>
      <c r="K42" s="8">
        <f>'MKT DATA'!O100</f>
        <v>0</v>
      </c>
      <c r="L42" s="8">
        <f>'MKT DATA'!P100</f>
        <v>82924</v>
      </c>
      <c r="M42" s="8">
        <f>'MKT DATA'!Q100</f>
        <v>0</v>
      </c>
      <c r="N42" s="8">
        <f>'MKT DATA'!R100</f>
        <v>0</v>
      </c>
      <c r="O42" s="8">
        <f>'MKT DATA'!S100</f>
        <v>-84371</v>
      </c>
      <c r="P42" s="8">
        <f>'MKT DATA'!T100</f>
        <v>0</v>
      </c>
      <c r="Q42" s="43" t="str">
        <f t="shared" si="5"/>
        <v>syn BTCX6/BTCZ6/BTCH7/BTCV6</v>
      </c>
      <c r="R42" s="13">
        <f>'MKT DATA'!AB100</f>
        <v>0</v>
      </c>
    </row>
    <row r="43" spans="5:18" x14ac:dyDescent="0.25">
      <c r="E43" s="43" t="str">
        <f>'MKT DATA'!B101</f>
        <v>syn BTCX6/BTCF7/BTCZ6/BTCV6</v>
      </c>
      <c r="F43" s="13">
        <f>'MKT DATA'!J101</f>
        <v>1</v>
      </c>
      <c r="G43" s="8">
        <f>'MKT DATA'!K101</f>
        <v>83420</v>
      </c>
      <c r="H43" s="8">
        <f>'MKT DATA'!L101</f>
        <v>83656</v>
      </c>
      <c r="I43" s="13">
        <f>'MKT DATA'!M101</f>
        <v>1</v>
      </c>
      <c r="J43" s="43" t="str">
        <f t="shared" si="4"/>
        <v>syn BTCX6/BTCF7/BTCZ6/BTCV6</v>
      </c>
      <c r="K43" s="8">
        <f>'MKT DATA'!O101</f>
        <v>0</v>
      </c>
      <c r="L43" s="8">
        <f>'MKT DATA'!P101</f>
        <v>83420</v>
      </c>
      <c r="M43" s="8">
        <f>'MKT DATA'!Q101</f>
        <v>0</v>
      </c>
      <c r="N43" s="8">
        <f>'MKT DATA'!R101</f>
        <v>0</v>
      </c>
      <c r="O43" s="8">
        <f>'MKT DATA'!S101</f>
        <v>-83656</v>
      </c>
      <c r="P43" s="8">
        <f>'MKT DATA'!T101</f>
        <v>0</v>
      </c>
      <c r="Q43" s="43" t="str">
        <f t="shared" si="5"/>
        <v>syn BTCX6/BTCF7/BTCZ6/BTCV6</v>
      </c>
      <c r="R43" s="13">
        <f>'MKT DATA'!AB101</f>
        <v>0</v>
      </c>
    </row>
    <row r="44" spans="5:18" x14ac:dyDescent="0.25">
      <c r="E44" s="43" t="str">
        <f>'MKT DATA'!B102</f>
        <v>syn BTCX6/BTCF7/BTCG7/BTCV6</v>
      </c>
      <c r="F44" s="13">
        <f>'MKT DATA'!J102</f>
        <v>1</v>
      </c>
      <c r="G44" s="8">
        <f>'MKT DATA'!K102</f>
        <v>83190</v>
      </c>
      <c r="H44" s="8">
        <f>'MKT DATA'!L102</f>
        <v>83874</v>
      </c>
      <c r="I44" s="13">
        <f>'MKT DATA'!M102</f>
        <v>1</v>
      </c>
      <c r="J44" s="43" t="str">
        <f t="shared" si="4"/>
        <v>syn BTCX6/BTCF7/BTCG7/BTCV6</v>
      </c>
      <c r="K44" s="8">
        <f>'MKT DATA'!O102</f>
        <v>0</v>
      </c>
      <c r="L44" s="8">
        <f>'MKT DATA'!P102</f>
        <v>83190</v>
      </c>
      <c r="M44" s="8">
        <f>'MKT DATA'!Q102</f>
        <v>0</v>
      </c>
      <c r="N44" s="8">
        <f>'MKT DATA'!R102</f>
        <v>0</v>
      </c>
      <c r="O44" s="8">
        <f>'MKT DATA'!S102</f>
        <v>-83874</v>
      </c>
      <c r="P44" s="8">
        <f>'MKT DATA'!T102</f>
        <v>0</v>
      </c>
      <c r="Q44" s="43" t="str">
        <f t="shared" si="5"/>
        <v>syn BTCX6/BTCF7/BTCG7/BTCV6</v>
      </c>
      <c r="R44" s="13">
        <f>'MKT DATA'!AB102</f>
        <v>0</v>
      </c>
    </row>
    <row r="45" spans="5:18" x14ac:dyDescent="0.25">
      <c r="E45" s="43" t="str">
        <f>'MKT DATA'!B103</f>
        <v>syn BTCX6/BTCF7/BTCH7/BTCV6</v>
      </c>
      <c r="F45" s="13">
        <f>'MKT DATA'!J103</f>
        <v>1</v>
      </c>
      <c r="G45" s="8">
        <f>'MKT DATA'!K103</f>
        <v>82611</v>
      </c>
      <c r="H45" s="8">
        <f>'MKT DATA'!L103</f>
        <v>84469</v>
      </c>
      <c r="I45" s="13">
        <f>'MKT DATA'!M103</f>
        <v>1</v>
      </c>
      <c r="J45" s="43" t="str">
        <f t="shared" si="4"/>
        <v>syn BTCX6/BTCF7/BTCH7/BTCV6</v>
      </c>
      <c r="K45" s="8">
        <f>'MKT DATA'!O103</f>
        <v>0</v>
      </c>
      <c r="L45" s="8">
        <f>'MKT DATA'!P103</f>
        <v>82611</v>
      </c>
      <c r="M45" s="8">
        <f>'MKT DATA'!Q103</f>
        <v>0</v>
      </c>
      <c r="N45" s="8">
        <f>'MKT DATA'!R103</f>
        <v>0</v>
      </c>
      <c r="O45" s="8">
        <f>'MKT DATA'!S103</f>
        <v>-84469</v>
      </c>
      <c r="P45" s="8">
        <f>'MKT DATA'!T103</f>
        <v>0</v>
      </c>
      <c r="Q45" s="43" t="str">
        <f t="shared" si="5"/>
        <v>syn BTCX6/BTCF7/BTCH7/BTCV6</v>
      </c>
      <c r="R45" s="13">
        <f>'MKT DATA'!AB103</f>
        <v>0</v>
      </c>
    </row>
    <row r="46" spans="5:18" x14ac:dyDescent="0.25">
      <c r="E46" s="43" t="str">
        <f>'MKT DATA'!B104</f>
        <v>syn BTCX6/BTCG7/BTCZ6/BTCV6</v>
      </c>
      <c r="F46" s="13">
        <f>'MKT DATA'!J104</f>
        <v>1</v>
      </c>
      <c r="G46" s="8">
        <f>'MKT DATA'!K104</f>
        <v>83093</v>
      </c>
      <c r="H46" s="8">
        <f>'MKT DATA'!L104</f>
        <v>83999</v>
      </c>
      <c r="I46" s="13">
        <f>'MKT DATA'!M104</f>
        <v>1</v>
      </c>
      <c r="J46" s="43" t="str">
        <f t="shared" si="4"/>
        <v>syn BTCX6/BTCG7/BTCZ6/BTCV6</v>
      </c>
      <c r="K46" s="8">
        <f>'MKT DATA'!O104</f>
        <v>0</v>
      </c>
      <c r="L46" s="8">
        <f>'MKT DATA'!P104</f>
        <v>83093</v>
      </c>
      <c r="M46" s="8">
        <f>'MKT DATA'!Q104</f>
        <v>0</v>
      </c>
      <c r="N46" s="8">
        <f>'MKT DATA'!R104</f>
        <v>0</v>
      </c>
      <c r="O46" s="8">
        <f>'MKT DATA'!S104</f>
        <v>-83999</v>
      </c>
      <c r="P46" s="8">
        <f>'MKT DATA'!T104</f>
        <v>0</v>
      </c>
      <c r="Q46" s="43" t="str">
        <f t="shared" si="5"/>
        <v>syn BTCX6/BTCG7/BTCZ6/BTCV6</v>
      </c>
      <c r="R46" s="13">
        <f>'MKT DATA'!AB104</f>
        <v>0</v>
      </c>
    </row>
    <row r="47" spans="5:18" x14ac:dyDescent="0.25">
      <c r="E47" s="43" t="str">
        <f>'MKT DATA'!B105</f>
        <v>syn BTCX6/BTCG7/BTCF7/BTCV6</v>
      </c>
      <c r="F47" s="13">
        <f>'MKT DATA'!J105</f>
        <v>1</v>
      </c>
      <c r="G47" s="8">
        <f>'MKT DATA'!K105</f>
        <v>83196</v>
      </c>
      <c r="H47" s="8">
        <f>'MKT DATA'!L105</f>
        <v>83950</v>
      </c>
      <c r="I47" s="13">
        <f>'MKT DATA'!M105</f>
        <v>1</v>
      </c>
      <c r="J47" s="43" t="str">
        <f t="shared" si="4"/>
        <v>syn BTCX6/BTCG7/BTCF7/BTCV6</v>
      </c>
      <c r="K47" s="8">
        <f>'MKT DATA'!O105</f>
        <v>0</v>
      </c>
      <c r="L47" s="8">
        <f>'MKT DATA'!P105</f>
        <v>83196</v>
      </c>
      <c r="M47" s="8">
        <f>'MKT DATA'!Q105</f>
        <v>0</v>
      </c>
      <c r="N47" s="8">
        <f>'MKT DATA'!R105</f>
        <v>0</v>
      </c>
      <c r="O47" s="8">
        <f>'MKT DATA'!S105</f>
        <v>-83950</v>
      </c>
      <c r="P47" s="8">
        <f>'MKT DATA'!T105</f>
        <v>0</v>
      </c>
      <c r="Q47" s="43" t="str">
        <f t="shared" si="5"/>
        <v>syn BTCX6/BTCG7/BTCF7/BTCV6</v>
      </c>
      <c r="R47" s="13">
        <f>'MKT DATA'!AB105</f>
        <v>0</v>
      </c>
    </row>
    <row r="48" spans="5:18" x14ac:dyDescent="0.25">
      <c r="E48" s="43" t="str">
        <f>'MKT DATA'!B106</f>
        <v>syn BTCX6/BTCG7/BTCH7/BTCV6</v>
      </c>
      <c r="F48" s="13">
        <f>'MKT DATA'!J106</f>
        <v>1</v>
      </c>
      <c r="G48" s="8">
        <f>'MKT DATA'!K106</f>
        <v>82800</v>
      </c>
      <c r="H48" s="8">
        <f>'MKT DATA'!L106</f>
        <v>84355</v>
      </c>
      <c r="I48" s="13">
        <f>'MKT DATA'!M106</f>
        <v>1</v>
      </c>
      <c r="J48" s="43" t="str">
        <f t="shared" si="4"/>
        <v>syn BTCX6/BTCG7/BTCH7/BTCV6</v>
      </c>
      <c r="K48" s="8">
        <f>'MKT DATA'!O106</f>
        <v>0</v>
      </c>
      <c r="L48" s="8">
        <f>'MKT DATA'!P106</f>
        <v>82800</v>
      </c>
      <c r="M48" s="8">
        <f>'MKT DATA'!Q106</f>
        <v>0</v>
      </c>
      <c r="N48" s="8">
        <f>'MKT DATA'!R106</f>
        <v>0</v>
      </c>
      <c r="O48" s="8">
        <f>'MKT DATA'!S106</f>
        <v>-84355</v>
      </c>
      <c r="P48" s="8">
        <f>'MKT DATA'!T106</f>
        <v>0</v>
      </c>
      <c r="Q48" s="43" t="str">
        <f t="shared" si="5"/>
        <v>syn BTCX6/BTCG7/BTCH7/BTCV6</v>
      </c>
      <c r="R48" s="13">
        <f>'MKT DATA'!AB106</f>
        <v>0</v>
      </c>
    </row>
    <row r="49" spans="5:18" x14ac:dyDescent="0.25">
      <c r="E49" s="43" t="str">
        <f>'MKT DATA'!B107</f>
        <v>syn BTCX6/BTCH7/BTCZ6/BTCV6</v>
      </c>
      <c r="F49" s="13">
        <f>'MKT DATA'!J107</f>
        <v>1</v>
      </c>
      <c r="G49" s="8">
        <f>'MKT DATA'!K107</f>
        <v>82713</v>
      </c>
      <c r="H49" s="8">
        <f>'MKT DATA'!L107</f>
        <v>84199</v>
      </c>
      <c r="I49" s="13">
        <f>'MKT DATA'!M107</f>
        <v>1</v>
      </c>
      <c r="J49" s="43" t="str">
        <f t="shared" si="4"/>
        <v>syn BTCX6/BTCH7/BTCZ6/BTCV6</v>
      </c>
      <c r="K49" s="8">
        <f>'MKT DATA'!O107</f>
        <v>0</v>
      </c>
      <c r="L49" s="8">
        <f>'MKT DATA'!P107</f>
        <v>82713</v>
      </c>
      <c r="M49" s="8">
        <f>'MKT DATA'!Q107</f>
        <v>0</v>
      </c>
      <c r="N49" s="8">
        <f>'MKT DATA'!R107</f>
        <v>0</v>
      </c>
      <c r="O49" s="8">
        <f>'MKT DATA'!S107</f>
        <v>-84199</v>
      </c>
      <c r="P49" s="8">
        <f>'MKT DATA'!T107</f>
        <v>0</v>
      </c>
      <c r="Q49" s="43" t="str">
        <f t="shared" si="5"/>
        <v>syn BTCX6/BTCH7/BTCZ6/BTCV6</v>
      </c>
      <c r="R49" s="13">
        <f>'MKT DATA'!AB107</f>
        <v>0</v>
      </c>
    </row>
    <row r="50" spans="5:18" x14ac:dyDescent="0.25">
      <c r="E50" s="43" t="str">
        <f>'MKT DATA'!B108</f>
        <v>syn BTCX6/BTCH7/BTCF7/BTCV6</v>
      </c>
      <c r="F50" s="13">
        <f>'MKT DATA'!J108</f>
        <v>1</v>
      </c>
      <c r="G50" s="8">
        <f>'MKT DATA'!K108</f>
        <v>82601</v>
      </c>
      <c r="H50" s="8">
        <f>'MKT DATA'!L108</f>
        <v>84529</v>
      </c>
      <c r="I50" s="13">
        <f>'MKT DATA'!M108</f>
        <v>1</v>
      </c>
      <c r="J50" s="43" t="str">
        <f t="shared" si="4"/>
        <v>syn BTCX6/BTCH7/BTCF7/BTCV6</v>
      </c>
      <c r="K50" s="8">
        <f>'MKT DATA'!O108</f>
        <v>0</v>
      </c>
      <c r="L50" s="8">
        <f>'MKT DATA'!P108</f>
        <v>82601</v>
      </c>
      <c r="M50" s="8">
        <f>'MKT DATA'!Q108</f>
        <v>0</v>
      </c>
      <c r="N50" s="8">
        <f>'MKT DATA'!R108</f>
        <v>0</v>
      </c>
      <c r="O50" s="8">
        <f>'MKT DATA'!S108</f>
        <v>-84529</v>
      </c>
      <c r="P50" s="8">
        <f>'MKT DATA'!T108</f>
        <v>0</v>
      </c>
      <c r="Q50" s="43" t="str">
        <f t="shared" si="5"/>
        <v>syn BTCX6/BTCH7/BTCF7/BTCV6</v>
      </c>
      <c r="R50" s="13">
        <f>'MKT DATA'!AB108</f>
        <v>0</v>
      </c>
    </row>
    <row r="51" spans="5:18" x14ac:dyDescent="0.25">
      <c r="E51" s="43" t="str">
        <f>'MKT DATA'!B109</f>
        <v>syn BTCX6/BTCH7/BTCG7/BTCV6</v>
      </c>
      <c r="F51" s="13">
        <f>'MKT DATA'!J109</f>
        <v>1</v>
      </c>
      <c r="G51" s="8">
        <f>'MKT DATA'!K109</f>
        <v>82745</v>
      </c>
      <c r="H51" s="8">
        <f>'MKT DATA'!L109</f>
        <v>84300</v>
      </c>
      <c r="I51" s="13">
        <f>'MKT DATA'!M109</f>
        <v>1</v>
      </c>
      <c r="J51" s="43" t="str">
        <f t="shared" si="4"/>
        <v>syn BTCX6/BTCH7/BTCG7/BTCV6</v>
      </c>
      <c r="K51" s="8">
        <f>'MKT DATA'!O109</f>
        <v>0</v>
      </c>
      <c r="L51" s="8">
        <f>'MKT DATA'!P109</f>
        <v>82745</v>
      </c>
      <c r="M51" s="8">
        <f>'MKT DATA'!Q109</f>
        <v>0</v>
      </c>
      <c r="N51" s="8">
        <f>'MKT DATA'!R109</f>
        <v>0</v>
      </c>
      <c r="O51" s="8">
        <f>'MKT DATA'!S109</f>
        <v>-84300</v>
      </c>
      <c r="P51" s="8">
        <f>'MKT DATA'!T109</f>
        <v>0</v>
      </c>
      <c r="Q51" s="43" t="str">
        <f t="shared" si="5"/>
        <v>syn BTCX6/BTCH7/BTCG7/BTCV6</v>
      </c>
      <c r="R51" s="13">
        <f>'MKT DATA'!AB109</f>
        <v>0</v>
      </c>
    </row>
    <row r="52" spans="5:18" x14ac:dyDescent="0.25">
      <c r="E52" s="43" t="str">
        <f>'MKT DATA'!B110</f>
        <v>syn BTCZ6/BTCX6/BTCF7/BTCV6</v>
      </c>
      <c r="F52" s="13">
        <f>'MKT DATA'!J110</f>
        <v>1</v>
      </c>
      <c r="G52" s="8">
        <f>'MKT DATA'!K110</f>
        <v>83356</v>
      </c>
      <c r="H52" s="8">
        <f>'MKT DATA'!L110</f>
        <v>83739</v>
      </c>
      <c r="I52" s="13">
        <f>'MKT DATA'!M110</f>
        <v>1</v>
      </c>
      <c r="J52" s="43" t="str">
        <f t="shared" si="4"/>
        <v>syn BTCZ6/BTCX6/BTCF7/BTCV6</v>
      </c>
      <c r="K52" s="8">
        <f>'MKT DATA'!O110</f>
        <v>0</v>
      </c>
      <c r="L52" s="8">
        <f>'MKT DATA'!P110</f>
        <v>83356</v>
      </c>
      <c r="M52" s="8">
        <f>'MKT DATA'!Q110</f>
        <v>0</v>
      </c>
      <c r="N52" s="8">
        <f>'MKT DATA'!R110</f>
        <v>0</v>
      </c>
      <c r="O52" s="8">
        <f>'MKT DATA'!S110</f>
        <v>-83739</v>
      </c>
      <c r="P52" s="8">
        <f>'MKT DATA'!T110</f>
        <v>0</v>
      </c>
      <c r="Q52" s="43" t="str">
        <f t="shared" si="5"/>
        <v>syn BTCZ6/BTCX6/BTCF7/BTCV6</v>
      </c>
      <c r="R52" s="13">
        <f>'MKT DATA'!AB110</f>
        <v>0</v>
      </c>
    </row>
    <row r="53" spans="5:18" x14ac:dyDescent="0.25">
      <c r="E53" s="43" t="str">
        <f>'MKT DATA'!B111</f>
        <v>syn BTCZ6/BTCX6/BTCG7/BTCV6</v>
      </c>
      <c r="F53" s="13">
        <f>'MKT DATA'!J111</f>
        <v>1</v>
      </c>
      <c r="G53" s="8">
        <f>'MKT DATA'!K111</f>
        <v>83109</v>
      </c>
      <c r="H53" s="8">
        <f>'MKT DATA'!L111</f>
        <v>83976</v>
      </c>
      <c r="I53" s="13">
        <f>'MKT DATA'!M111</f>
        <v>1</v>
      </c>
      <c r="J53" s="43" t="str">
        <f t="shared" si="4"/>
        <v>syn BTCZ6/BTCX6/BTCG7/BTCV6</v>
      </c>
      <c r="K53" s="8">
        <f>'MKT DATA'!O111</f>
        <v>0</v>
      </c>
      <c r="L53" s="8">
        <f>'MKT DATA'!P111</f>
        <v>83109</v>
      </c>
      <c r="M53" s="8">
        <f>'MKT DATA'!Q111</f>
        <v>0</v>
      </c>
      <c r="N53" s="8">
        <f>'MKT DATA'!R111</f>
        <v>0</v>
      </c>
      <c r="O53" s="8">
        <f>'MKT DATA'!S111</f>
        <v>-83976</v>
      </c>
      <c r="P53" s="8">
        <f>'MKT DATA'!T111</f>
        <v>0</v>
      </c>
      <c r="Q53" s="43" t="str">
        <f t="shared" si="5"/>
        <v>syn BTCZ6/BTCX6/BTCG7/BTCV6</v>
      </c>
      <c r="R53" s="13">
        <f>'MKT DATA'!AB111</f>
        <v>0</v>
      </c>
    </row>
    <row r="54" spans="5:18" x14ac:dyDescent="0.25">
      <c r="E54" s="43" t="str">
        <f>'MKT DATA'!B112</f>
        <v>syn BTCZ6/BTCX6/BTCH7/BTCV6</v>
      </c>
      <c r="F54" s="13">
        <f>'MKT DATA'!J112</f>
        <v>1</v>
      </c>
      <c r="G54" s="8">
        <f>'MKT DATA'!K112</f>
        <v>82699</v>
      </c>
      <c r="H54" s="8">
        <f>'MKT DATA'!L112</f>
        <v>84386</v>
      </c>
      <c r="I54" s="13">
        <f>'MKT DATA'!M112</f>
        <v>1</v>
      </c>
      <c r="J54" s="43" t="str">
        <f t="shared" si="4"/>
        <v>syn BTCZ6/BTCX6/BTCH7/BTCV6</v>
      </c>
      <c r="K54" s="8">
        <f>'MKT DATA'!O112</f>
        <v>0</v>
      </c>
      <c r="L54" s="8">
        <f>'MKT DATA'!P112</f>
        <v>82699</v>
      </c>
      <c r="M54" s="8">
        <f>'MKT DATA'!Q112</f>
        <v>0</v>
      </c>
      <c r="N54" s="8">
        <f>'MKT DATA'!R112</f>
        <v>0</v>
      </c>
      <c r="O54" s="8">
        <f>'MKT DATA'!S112</f>
        <v>-84386</v>
      </c>
      <c r="P54" s="8">
        <f>'MKT DATA'!T112</f>
        <v>0</v>
      </c>
      <c r="Q54" s="43" t="str">
        <f t="shared" si="5"/>
        <v>syn BTCZ6/BTCX6/BTCH7/BTCV6</v>
      </c>
      <c r="R54" s="13">
        <f>'MKT DATA'!AB112</f>
        <v>0</v>
      </c>
    </row>
    <row r="55" spans="5:18" x14ac:dyDescent="0.25">
      <c r="E55" s="43" t="str">
        <f>'MKT DATA'!B113</f>
        <v>syn BTCZ6/BTCF7/BTCX6/BTCV6</v>
      </c>
      <c r="F55" s="13">
        <f>'MKT DATA'!J113</f>
        <v>1</v>
      </c>
      <c r="G55" s="8">
        <f>'MKT DATA'!K113</f>
        <v>83437</v>
      </c>
      <c r="H55" s="8">
        <f>'MKT DATA'!L113</f>
        <v>83686</v>
      </c>
      <c r="I55" s="13">
        <f>'MKT DATA'!M113</f>
        <v>1</v>
      </c>
      <c r="J55" s="43" t="str">
        <f t="shared" si="4"/>
        <v>syn BTCZ6/BTCF7/BTCX6/BTCV6</v>
      </c>
      <c r="K55" s="8">
        <f>'MKT DATA'!O113</f>
        <v>0</v>
      </c>
      <c r="L55" s="8">
        <f>'MKT DATA'!P113</f>
        <v>83437</v>
      </c>
      <c r="M55" s="8">
        <f>'MKT DATA'!Q113</f>
        <v>0</v>
      </c>
      <c r="N55" s="8">
        <f>'MKT DATA'!R113</f>
        <v>0</v>
      </c>
      <c r="O55" s="8">
        <f>'MKT DATA'!S113</f>
        <v>-83686</v>
      </c>
      <c r="P55" s="8">
        <f>'MKT DATA'!T113</f>
        <v>0</v>
      </c>
      <c r="Q55" s="43" t="str">
        <f t="shared" si="5"/>
        <v>syn BTCZ6/BTCF7/BTCX6/BTCV6</v>
      </c>
      <c r="R55" s="13">
        <f>'MKT DATA'!AB113</f>
        <v>0</v>
      </c>
    </row>
    <row r="56" spans="5:18" x14ac:dyDescent="0.25">
      <c r="E56" s="43" t="str">
        <f>'MKT DATA'!B114</f>
        <v>syn BTCZ6/BTCF7/BTCG7/BTCV6</v>
      </c>
      <c r="F56" s="13">
        <f>'MKT DATA'!J114</f>
        <v>1</v>
      </c>
      <c r="G56" s="8">
        <f>'MKT DATA'!K114</f>
        <v>83211</v>
      </c>
      <c r="H56" s="8">
        <f>'MKT DATA'!L114</f>
        <v>83869</v>
      </c>
      <c r="I56" s="13">
        <f>'MKT DATA'!M114</f>
        <v>1</v>
      </c>
      <c r="J56" s="43" t="str">
        <f t="shared" si="4"/>
        <v>syn BTCZ6/BTCF7/BTCG7/BTCV6</v>
      </c>
      <c r="K56" s="8">
        <f>'MKT DATA'!O114</f>
        <v>0</v>
      </c>
      <c r="L56" s="8">
        <f>'MKT DATA'!P114</f>
        <v>83211</v>
      </c>
      <c r="M56" s="8">
        <f>'MKT DATA'!Q114</f>
        <v>0</v>
      </c>
      <c r="N56" s="8">
        <f>'MKT DATA'!R114</f>
        <v>0</v>
      </c>
      <c r="O56" s="8">
        <f>'MKT DATA'!S114</f>
        <v>-83869</v>
      </c>
      <c r="P56" s="8">
        <f>'MKT DATA'!T114</f>
        <v>0</v>
      </c>
      <c r="Q56" s="43" t="str">
        <f t="shared" si="5"/>
        <v>syn BTCZ6/BTCF7/BTCG7/BTCV6</v>
      </c>
      <c r="R56" s="13">
        <f>'MKT DATA'!AB114</f>
        <v>0</v>
      </c>
    </row>
    <row r="57" spans="5:18" x14ac:dyDescent="0.25">
      <c r="E57" s="43" t="str">
        <f>'MKT DATA'!B115</f>
        <v>syn BTCZ6/BTCF7/BTCH7/BTCV6</v>
      </c>
      <c r="F57" s="13">
        <f>'MKT DATA'!J115</f>
        <v>1</v>
      </c>
      <c r="G57" s="8">
        <f>'MKT DATA'!K115</f>
        <v>82632</v>
      </c>
      <c r="H57" s="8">
        <f>'MKT DATA'!L115</f>
        <v>84464</v>
      </c>
      <c r="I57" s="13">
        <f>'MKT DATA'!M115</f>
        <v>1</v>
      </c>
      <c r="J57" s="43" t="str">
        <f t="shared" si="4"/>
        <v>syn BTCZ6/BTCF7/BTCH7/BTCV6</v>
      </c>
      <c r="K57" s="8">
        <f>'MKT DATA'!O115</f>
        <v>0</v>
      </c>
      <c r="L57" s="8">
        <f>'MKT DATA'!P115</f>
        <v>82632</v>
      </c>
      <c r="M57" s="8">
        <f>'MKT DATA'!Q115</f>
        <v>0</v>
      </c>
      <c r="N57" s="8">
        <f>'MKT DATA'!R115</f>
        <v>0</v>
      </c>
      <c r="O57" s="8">
        <f>'MKT DATA'!S115</f>
        <v>-84464</v>
      </c>
      <c r="P57" s="8">
        <f>'MKT DATA'!T115</f>
        <v>0</v>
      </c>
      <c r="Q57" s="43" t="str">
        <f t="shared" si="5"/>
        <v>syn BTCZ6/BTCF7/BTCH7/BTCV6</v>
      </c>
      <c r="R57" s="13">
        <f>'MKT DATA'!AB115</f>
        <v>0</v>
      </c>
    </row>
    <row r="58" spans="5:18" x14ac:dyDescent="0.25">
      <c r="E58" s="43" t="str">
        <f>'MKT DATA'!B116</f>
        <v>syn BTCZ6/BTCG7/BTCX6/BTCV6</v>
      </c>
      <c r="F58" s="13">
        <f>'MKT DATA'!J116</f>
        <v>1</v>
      </c>
      <c r="G58" s="8">
        <f>'MKT DATA'!K116</f>
        <v>83094</v>
      </c>
      <c r="H58" s="8">
        <f>'MKT DATA'!L116</f>
        <v>84013</v>
      </c>
      <c r="I58" s="13">
        <f>'MKT DATA'!M116</f>
        <v>1</v>
      </c>
      <c r="J58" s="43" t="str">
        <f t="shared" si="4"/>
        <v>syn BTCZ6/BTCG7/BTCX6/BTCV6</v>
      </c>
      <c r="K58" s="8">
        <f>'MKT DATA'!O116</f>
        <v>0</v>
      </c>
      <c r="L58" s="8">
        <f>'MKT DATA'!P116</f>
        <v>83094</v>
      </c>
      <c r="M58" s="8">
        <f>'MKT DATA'!Q116</f>
        <v>0</v>
      </c>
      <c r="N58" s="8">
        <f>'MKT DATA'!R116</f>
        <v>0</v>
      </c>
      <c r="O58" s="8">
        <f>'MKT DATA'!S116</f>
        <v>-84013</v>
      </c>
      <c r="P58" s="8">
        <f>'MKT DATA'!T116</f>
        <v>0</v>
      </c>
      <c r="Q58" s="43" t="str">
        <f t="shared" si="5"/>
        <v>syn BTCZ6/BTCG7/BTCX6/BTCV6</v>
      </c>
      <c r="R58" s="13">
        <f>'MKT DATA'!AB116</f>
        <v>0</v>
      </c>
    </row>
    <row r="59" spans="5:18" x14ac:dyDescent="0.25">
      <c r="E59" s="43" t="str">
        <f>'MKT DATA'!B117</f>
        <v>syn BTCZ6/BTCG7/BTCF7/BTCV6</v>
      </c>
      <c r="F59" s="13">
        <f>'MKT DATA'!J117</f>
        <v>1</v>
      </c>
      <c r="G59" s="8">
        <f>'MKT DATA'!K117</f>
        <v>83151</v>
      </c>
      <c r="H59" s="8">
        <f>'MKT DATA'!L117</f>
        <v>83995</v>
      </c>
      <c r="I59" s="13">
        <f>'MKT DATA'!M117</f>
        <v>1</v>
      </c>
      <c r="J59" s="43" t="str">
        <f t="shared" si="4"/>
        <v>syn BTCZ6/BTCG7/BTCF7/BTCV6</v>
      </c>
      <c r="K59" s="8">
        <f>'MKT DATA'!O117</f>
        <v>0</v>
      </c>
      <c r="L59" s="8">
        <f>'MKT DATA'!P117</f>
        <v>83151</v>
      </c>
      <c r="M59" s="8">
        <f>'MKT DATA'!Q117</f>
        <v>0</v>
      </c>
      <c r="N59" s="8">
        <f>'MKT DATA'!R117</f>
        <v>0</v>
      </c>
      <c r="O59" s="8">
        <f>'MKT DATA'!S117</f>
        <v>-83995</v>
      </c>
      <c r="P59" s="8">
        <f>'MKT DATA'!T117</f>
        <v>0</v>
      </c>
      <c r="Q59" s="43" t="str">
        <f t="shared" si="5"/>
        <v>syn BTCZ6/BTCG7/BTCF7/BTCV6</v>
      </c>
      <c r="R59" s="13">
        <f>'MKT DATA'!AB117</f>
        <v>0</v>
      </c>
    </row>
    <row r="60" spans="5:18" x14ac:dyDescent="0.25">
      <c r="E60" s="43" t="str">
        <f>'MKT DATA'!B118</f>
        <v>syn BTCZ6/BTCG7/BTCH7/BTCV6</v>
      </c>
      <c r="F60" s="13">
        <f>'MKT DATA'!J118</f>
        <v>1</v>
      </c>
      <c r="G60" s="8">
        <f>'MKT DATA'!K118</f>
        <v>82755</v>
      </c>
      <c r="H60" s="8">
        <f>'MKT DATA'!L118</f>
        <v>84400</v>
      </c>
      <c r="I60" s="13">
        <f>'MKT DATA'!M118</f>
        <v>1</v>
      </c>
      <c r="J60" s="43" t="str">
        <f t="shared" si="4"/>
        <v>syn BTCZ6/BTCG7/BTCH7/BTCV6</v>
      </c>
      <c r="K60" s="8">
        <f>'MKT DATA'!O118</f>
        <v>0</v>
      </c>
      <c r="L60" s="8">
        <f>'MKT DATA'!P118</f>
        <v>82755</v>
      </c>
      <c r="M60" s="8">
        <f>'MKT DATA'!Q118</f>
        <v>0</v>
      </c>
      <c r="N60" s="8">
        <f>'MKT DATA'!R118</f>
        <v>0</v>
      </c>
      <c r="O60" s="8">
        <f>'MKT DATA'!S118</f>
        <v>-84400</v>
      </c>
      <c r="P60" s="8">
        <f>'MKT DATA'!T118</f>
        <v>0</v>
      </c>
      <c r="Q60" s="43" t="str">
        <f t="shared" si="5"/>
        <v>syn BTCZ6/BTCG7/BTCH7/BTCV6</v>
      </c>
      <c r="R60" s="13">
        <f>'MKT DATA'!AB118</f>
        <v>0</v>
      </c>
    </row>
    <row r="61" spans="5:18" x14ac:dyDescent="0.25">
      <c r="E61" s="43" t="str">
        <f>'MKT DATA'!B119</f>
        <v>syn BTCZ6/BTCH7/BTCX6/BTCV6</v>
      </c>
      <c r="F61" s="13">
        <f>'MKT DATA'!J119</f>
        <v>1</v>
      </c>
      <c r="G61" s="8">
        <f>'MKT DATA'!K119</f>
        <v>82894</v>
      </c>
      <c r="H61" s="8">
        <f>'MKT DATA'!L119</f>
        <v>84393</v>
      </c>
      <c r="I61" s="13">
        <f>'MKT DATA'!M119</f>
        <v>1</v>
      </c>
      <c r="J61" s="43" t="str">
        <f t="shared" si="4"/>
        <v>syn BTCZ6/BTCH7/BTCX6/BTCV6</v>
      </c>
      <c r="K61" s="8">
        <f>'MKT DATA'!O119</f>
        <v>0</v>
      </c>
      <c r="L61" s="8">
        <f>'MKT DATA'!P119</f>
        <v>82894</v>
      </c>
      <c r="M61" s="8">
        <f>'MKT DATA'!Q119</f>
        <v>0</v>
      </c>
      <c r="N61" s="8">
        <f>'MKT DATA'!R119</f>
        <v>0</v>
      </c>
      <c r="O61" s="8">
        <f>'MKT DATA'!S119</f>
        <v>-84393</v>
      </c>
      <c r="P61" s="8">
        <f>'MKT DATA'!T119</f>
        <v>0</v>
      </c>
      <c r="Q61" s="43" t="str">
        <f t="shared" si="5"/>
        <v>syn BTCZ6/BTCH7/BTCX6/BTCV6</v>
      </c>
      <c r="R61" s="13">
        <f>'MKT DATA'!AB119</f>
        <v>0</v>
      </c>
    </row>
    <row r="62" spans="5:18" x14ac:dyDescent="0.25">
      <c r="E62" s="43" t="str">
        <f>'MKT DATA'!B120</f>
        <v>syn BTCZ6/BTCH7/BTCF7/BTCV6</v>
      </c>
      <c r="F62" s="13">
        <f>'MKT DATA'!J120</f>
        <v>1</v>
      </c>
      <c r="G62" s="8">
        <f>'MKT DATA'!K120</f>
        <v>82766</v>
      </c>
      <c r="H62" s="8">
        <f>'MKT DATA'!L120</f>
        <v>84544</v>
      </c>
      <c r="I62" s="13">
        <f>'MKT DATA'!M120</f>
        <v>1</v>
      </c>
      <c r="J62" s="43" t="str">
        <f t="shared" si="4"/>
        <v>syn BTCZ6/BTCH7/BTCF7/BTCV6</v>
      </c>
      <c r="K62" s="8">
        <f>'MKT DATA'!O120</f>
        <v>0</v>
      </c>
      <c r="L62" s="8">
        <f>'MKT DATA'!P120</f>
        <v>82766</v>
      </c>
      <c r="M62" s="8">
        <f>'MKT DATA'!Q120</f>
        <v>0</v>
      </c>
      <c r="N62" s="8">
        <f>'MKT DATA'!R120</f>
        <v>0</v>
      </c>
      <c r="O62" s="8">
        <f>'MKT DATA'!S120</f>
        <v>-84544</v>
      </c>
      <c r="P62" s="8">
        <f>'MKT DATA'!T120</f>
        <v>0</v>
      </c>
      <c r="Q62" s="43" t="str">
        <f t="shared" si="5"/>
        <v>syn BTCZ6/BTCH7/BTCF7/BTCV6</v>
      </c>
      <c r="R62" s="13">
        <f>'MKT DATA'!AB120</f>
        <v>0</v>
      </c>
    </row>
    <row r="63" spans="5:18" x14ac:dyDescent="0.25">
      <c r="E63" s="43" t="str">
        <f>'MKT DATA'!B121</f>
        <v>syn BTCZ6/BTCH7/BTCG7/BTCV6</v>
      </c>
      <c r="F63" s="13">
        <f>'MKT DATA'!J121</f>
        <v>1</v>
      </c>
      <c r="G63" s="8">
        <f>'MKT DATA'!K121</f>
        <v>82910</v>
      </c>
      <c r="H63" s="8">
        <f>'MKT DATA'!L121</f>
        <v>84315</v>
      </c>
      <c r="I63" s="13">
        <f>'MKT DATA'!M121</f>
        <v>1</v>
      </c>
      <c r="J63" s="43" t="str">
        <f t="shared" si="4"/>
        <v>syn BTCZ6/BTCH7/BTCG7/BTCV6</v>
      </c>
      <c r="K63" s="8">
        <f>'MKT DATA'!O121</f>
        <v>0</v>
      </c>
      <c r="L63" s="8">
        <f>'MKT DATA'!P121</f>
        <v>82910</v>
      </c>
      <c r="M63" s="8">
        <f>'MKT DATA'!Q121</f>
        <v>0</v>
      </c>
      <c r="N63" s="8">
        <f>'MKT DATA'!R121</f>
        <v>0</v>
      </c>
      <c r="O63" s="8">
        <f>'MKT DATA'!S121</f>
        <v>-84315</v>
      </c>
      <c r="P63" s="8">
        <f>'MKT DATA'!T121</f>
        <v>0</v>
      </c>
      <c r="Q63" s="43" t="str">
        <f t="shared" si="5"/>
        <v>syn BTCZ6/BTCH7/BTCG7/BTCV6</v>
      </c>
      <c r="R63" s="13">
        <f>'MKT DATA'!AB121</f>
        <v>0</v>
      </c>
    </row>
    <row r="64" spans="5:18" x14ac:dyDescent="0.25">
      <c r="E64" s="43" t="str">
        <f>'MKT DATA'!B122</f>
        <v>syn BTCF7/BTCX6/BTCZ6/BTCV6</v>
      </c>
      <c r="F64" s="13">
        <f>'MKT DATA'!J122</f>
        <v>1</v>
      </c>
      <c r="G64" s="8">
        <f>'MKT DATA'!K122</f>
        <v>83388</v>
      </c>
      <c r="H64" s="8">
        <f>'MKT DATA'!L122</f>
        <v>83739</v>
      </c>
      <c r="I64" s="13">
        <f>'MKT DATA'!M122</f>
        <v>1</v>
      </c>
      <c r="J64" s="43" t="str">
        <f t="shared" si="4"/>
        <v>syn BTCF7/BTCX6/BTCZ6/BTCV6</v>
      </c>
      <c r="K64" s="8">
        <f>'MKT DATA'!O122</f>
        <v>0</v>
      </c>
      <c r="L64" s="8">
        <f>'MKT DATA'!P122</f>
        <v>83388</v>
      </c>
      <c r="M64" s="8">
        <f>'MKT DATA'!Q122</f>
        <v>0</v>
      </c>
      <c r="N64" s="8">
        <f>'MKT DATA'!R122</f>
        <v>0</v>
      </c>
      <c r="O64" s="8">
        <f>'MKT DATA'!S122</f>
        <v>-83739</v>
      </c>
      <c r="P64" s="8">
        <f>'MKT DATA'!T122</f>
        <v>0</v>
      </c>
      <c r="Q64" s="43" t="str">
        <f t="shared" si="5"/>
        <v>syn BTCF7/BTCX6/BTCZ6/BTCV6</v>
      </c>
      <c r="R64" s="13">
        <f>'MKT DATA'!AB122</f>
        <v>0</v>
      </c>
    </row>
    <row r="65" spans="5:18" x14ac:dyDescent="0.25">
      <c r="E65" s="43" t="str">
        <f>'MKT DATA'!B123</f>
        <v>syn BTCF7/BTCX6/BTCG7/BTCV6</v>
      </c>
      <c r="F65" s="13">
        <f>'MKT DATA'!J123</f>
        <v>1</v>
      </c>
      <c r="G65" s="8">
        <f>'MKT DATA'!K123</f>
        <v>83041</v>
      </c>
      <c r="H65" s="8">
        <f>'MKT DATA'!L123</f>
        <v>84079</v>
      </c>
      <c r="I65" s="13">
        <f>'MKT DATA'!M123</f>
        <v>1</v>
      </c>
      <c r="J65" s="43" t="str">
        <f t="shared" si="4"/>
        <v>syn BTCF7/BTCX6/BTCG7/BTCV6</v>
      </c>
      <c r="K65" s="8">
        <f>'MKT DATA'!O123</f>
        <v>0</v>
      </c>
      <c r="L65" s="8">
        <f>'MKT DATA'!P123</f>
        <v>83041</v>
      </c>
      <c r="M65" s="8">
        <f>'MKT DATA'!Q123</f>
        <v>0</v>
      </c>
      <c r="N65" s="8">
        <f>'MKT DATA'!R123</f>
        <v>0</v>
      </c>
      <c r="O65" s="8">
        <f>'MKT DATA'!S123</f>
        <v>-84079</v>
      </c>
      <c r="P65" s="8">
        <f>'MKT DATA'!T123</f>
        <v>0</v>
      </c>
      <c r="Q65" s="43" t="str">
        <f t="shared" si="5"/>
        <v>syn BTCF7/BTCX6/BTCG7/BTCV6</v>
      </c>
      <c r="R65" s="13">
        <f>'MKT DATA'!AB123</f>
        <v>0</v>
      </c>
    </row>
    <row r="66" spans="5:18" x14ac:dyDescent="0.25">
      <c r="E66" s="43" t="str">
        <f>'MKT DATA'!B124</f>
        <v>syn BTCF7/BTCX6/BTCH7/BTCV6</v>
      </c>
      <c r="F66" s="13">
        <f>'MKT DATA'!J124</f>
        <v>1</v>
      </c>
      <c r="G66" s="8">
        <f>'MKT DATA'!K124</f>
        <v>82631</v>
      </c>
      <c r="H66" s="8">
        <f>'MKT DATA'!L124</f>
        <v>84489</v>
      </c>
      <c r="I66" s="13">
        <f>'MKT DATA'!M124</f>
        <v>1</v>
      </c>
      <c r="J66" s="43" t="str">
        <f t="shared" si="4"/>
        <v>syn BTCF7/BTCX6/BTCH7/BTCV6</v>
      </c>
      <c r="K66" s="8">
        <f>'MKT DATA'!O124</f>
        <v>0</v>
      </c>
      <c r="L66" s="8">
        <f>'MKT DATA'!P124</f>
        <v>82631</v>
      </c>
      <c r="M66" s="8">
        <f>'MKT DATA'!Q124</f>
        <v>0</v>
      </c>
      <c r="N66" s="8">
        <f>'MKT DATA'!R124</f>
        <v>0</v>
      </c>
      <c r="O66" s="8">
        <f>'MKT DATA'!S124</f>
        <v>-84489</v>
      </c>
      <c r="P66" s="8">
        <f>'MKT DATA'!T124</f>
        <v>0</v>
      </c>
      <c r="Q66" s="43" t="str">
        <f t="shared" si="5"/>
        <v>syn BTCF7/BTCX6/BTCH7/BTCV6</v>
      </c>
      <c r="R66" s="13">
        <f>'MKT DATA'!AB124</f>
        <v>0</v>
      </c>
    </row>
    <row r="67" spans="5:18" x14ac:dyDescent="0.25">
      <c r="E67" s="43" t="str">
        <f>'MKT DATA'!B125</f>
        <v>syn BTCF7/BTCZ6/BTCX6/BTCV6</v>
      </c>
      <c r="F67" s="13">
        <f>'MKT DATA'!J125</f>
        <v>1</v>
      </c>
      <c r="G67" s="8">
        <f>'MKT DATA'!K125</f>
        <v>83424</v>
      </c>
      <c r="H67" s="8">
        <f>'MKT DATA'!L125</f>
        <v>83672</v>
      </c>
      <c r="I67" s="13">
        <f>'MKT DATA'!M125</f>
        <v>1</v>
      </c>
      <c r="J67" s="43" t="str">
        <f t="shared" si="4"/>
        <v>syn BTCF7/BTCZ6/BTCX6/BTCV6</v>
      </c>
      <c r="K67" s="8">
        <f>'MKT DATA'!O125</f>
        <v>0</v>
      </c>
      <c r="L67" s="8">
        <f>'MKT DATA'!P125</f>
        <v>83424</v>
      </c>
      <c r="M67" s="8">
        <f>'MKT DATA'!Q125</f>
        <v>0</v>
      </c>
      <c r="N67" s="8">
        <f>'MKT DATA'!R125</f>
        <v>0</v>
      </c>
      <c r="O67" s="8">
        <f>'MKT DATA'!S125</f>
        <v>-83672</v>
      </c>
      <c r="P67" s="8">
        <f>'MKT DATA'!T125</f>
        <v>0</v>
      </c>
      <c r="Q67" s="43" t="str">
        <f t="shared" si="5"/>
        <v>syn BTCF7/BTCZ6/BTCX6/BTCV6</v>
      </c>
      <c r="R67" s="13">
        <f>'MKT DATA'!AB125</f>
        <v>0</v>
      </c>
    </row>
    <row r="68" spans="5:18" x14ac:dyDescent="0.25">
      <c r="E68" s="43" t="str">
        <f>'MKT DATA'!B126</f>
        <v>syn BTCF7/BTCZ6/BTCG7/BTCV6</v>
      </c>
      <c r="F68" s="13">
        <f>'MKT DATA'!J126</f>
        <v>1</v>
      </c>
      <c r="G68" s="8">
        <f>'MKT DATA'!K126</f>
        <v>83046</v>
      </c>
      <c r="H68" s="8">
        <f>'MKT DATA'!L126</f>
        <v>84058</v>
      </c>
      <c r="I68" s="13">
        <f>'MKT DATA'!M126</f>
        <v>1</v>
      </c>
      <c r="J68" s="43" t="str">
        <f t="shared" si="4"/>
        <v>syn BTCF7/BTCZ6/BTCG7/BTCV6</v>
      </c>
      <c r="K68" s="8">
        <f>'MKT DATA'!O126</f>
        <v>0</v>
      </c>
      <c r="L68" s="8">
        <f>'MKT DATA'!P126</f>
        <v>83046</v>
      </c>
      <c r="M68" s="8">
        <f>'MKT DATA'!Q126</f>
        <v>0</v>
      </c>
      <c r="N68" s="8">
        <f>'MKT DATA'!R126</f>
        <v>0</v>
      </c>
      <c r="O68" s="8">
        <f>'MKT DATA'!S126</f>
        <v>-84058</v>
      </c>
      <c r="P68" s="8">
        <f>'MKT DATA'!T126</f>
        <v>0</v>
      </c>
      <c r="Q68" s="43" t="str">
        <f t="shared" si="5"/>
        <v>syn BTCF7/BTCZ6/BTCG7/BTCV6</v>
      </c>
      <c r="R68" s="13">
        <f>'MKT DATA'!AB126</f>
        <v>0</v>
      </c>
    </row>
    <row r="69" spans="5:18" x14ac:dyDescent="0.25">
      <c r="E69" s="43" t="str">
        <f>'MKT DATA'!B127</f>
        <v>syn BTCF7/BTCZ6/BTCH7/BTCV6</v>
      </c>
      <c r="F69" s="13">
        <f>'MKT DATA'!J127</f>
        <v>1</v>
      </c>
      <c r="G69" s="8">
        <f>'MKT DATA'!K127</f>
        <v>82846</v>
      </c>
      <c r="H69" s="8">
        <f>'MKT DATA'!L127</f>
        <v>84438</v>
      </c>
      <c r="I69" s="13">
        <f>'MKT DATA'!M127</f>
        <v>1</v>
      </c>
      <c r="J69" s="43" t="str">
        <f t="shared" si="4"/>
        <v>syn BTCF7/BTCZ6/BTCH7/BTCV6</v>
      </c>
      <c r="K69" s="8">
        <f>'MKT DATA'!O127</f>
        <v>0</v>
      </c>
      <c r="L69" s="8">
        <f>'MKT DATA'!P127</f>
        <v>82846</v>
      </c>
      <c r="M69" s="8">
        <f>'MKT DATA'!Q127</f>
        <v>0</v>
      </c>
      <c r="N69" s="8">
        <f>'MKT DATA'!R127</f>
        <v>0</v>
      </c>
      <c r="O69" s="8">
        <f>'MKT DATA'!S127</f>
        <v>-84438</v>
      </c>
      <c r="P69" s="8">
        <f>'MKT DATA'!T127</f>
        <v>0</v>
      </c>
      <c r="Q69" s="43" t="str">
        <f t="shared" si="5"/>
        <v>syn BTCF7/BTCZ6/BTCH7/BTCV6</v>
      </c>
      <c r="R69" s="13">
        <f>'MKT DATA'!AB127</f>
        <v>0</v>
      </c>
    </row>
    <row r="70" spans="5:18" x14ac:dyDescent="0.25">
      <c r="E70" s="43" t="str">
        <f>'MKT DATA'!B128</f>
        <v>syn BTCF7/BTCG7/BTCX6/BTCV6</v>
      </c>
      <c r="F70" s="13">
        <f>'MKT DATA'!J128</f>
        <v>1</v>
      </c>
      <c r="G70" s="8">
        <f>'MKT DATA'!K128</f>
        <v>83178</v>
      </c>
      <c r="H70" s="8">
        <f>'MKT DATA'!L128</f>
        <v>83913</v>
      </c>
      <c r="I70" s="13">
        <f>'MKT DATA'!M128</f>
        <v>1</v>
      </c>
      <c r="J70" s="43" t="str">
        <f t="shared" si="4"/>
        <v>syn BTCF7/BTCG7/BTCX6/BTCV6</v>
      </c>
      <c r="K70" s="8">
        <f>'MKT DATA'!O128</f>
        <v>0</v>
      </c>
      <c r="L70" s="8">
        <f>'MKT DATA'!P128</f>
        <v>83178</v>
      </c>
      <c r="M70" s="8">
        <f>'MKT DATA'!Q128</f>
        <v>0</v>
      </c>
      <c r="N70" s="8">
        <f>'MKT DATA'!R128</f>
        <v>0</v>
      </c>
      <c r="O70" s="8">
        <f>'MKT DATA'!S128</f>
        <v>-83913</v>
      </c>
      <c r="P70" s="8">
        <f>'MKT DATA'!T128</f>
        <v>0</v>
      </c>
      <c r="Q70" s="43" t="str">
        <f t="shared" si="5"/>
        <v>syn BTCF7/BTCG7/BTCX6/BTCV6</v>
      </c>
      <c r="R70" s="13">
        <f>'MKT DATA'!AB128</f>
        <v>0</v>
      </c>
    </row>
    <row r="71" spans="5:18" x14ac:dyDescent="0.25">
      <c r="E71" s="43" t="str">
        <f>'MKT DATA'!B129</f>
        <v>syn BTCF7/BTCG7/BTCZ6/BTCV6</v>
      </c>
      <c r="F71" s="13">
        <f>'MKT DATA'!J129</f>
        <v>1</v>
      </c>
      <c r="G71" s="8">
        <f>'MKT DATA'!K129</f>
        <v>83132</v>
      </c>
      <c r="H71" s="8">
        <f>'MKT DATA'!L129</f>
        <v>83944</v>
      </c>
      <c r="I71" s="13">
        <f>'MKT DATA'!M129</f>
        <v>1</v>
      </c>
      <c r="J71" s="43" t="str">
        <f t="shared" si="4"/>
        <v>syn BTCF7/BTCG7/BTCZ6/BTCV6</v>
      </c>
      <c r="K71" s="8">
        <f>'MKT DATA'!O129</f>
        <v>0</v>
      </c>
      <c r="L71" s="8">
        <f>'MKT DATA'!P129</f>
        <v>83132</v>
      </c>
      <c r="M71" s="8">
        <f>'MKT DATA'!Q129</f>
        <v>0</v>
      </c>
      <c r="N71" s="8">
        <f>'MKT DATA'!R129</f>
        <v>0</v>
      </c>
      <c r="O71" s="8">
        <f>'MKT DATA'!S129</f>
        <v>-83944</v>
      </c>
      <c r="P71" s="8">
        <f>'MKT DATA'!T129</f>
        <v>0</v>
      </c>
      <c r="Q71" s="43" t="str">
        <f t="shared" si="5"/>
        <v>syn BTCF7/BTCG7/BTCZ6/BTCV6</v>
      </c>
      <c r="R71" s="13">
        <f>'MKT DATA'!AB129</f>
        <v>0</v>
      </c>
    </row>
    <row r="72" spans="5:18" x14ac:dyDescent="0.25">
      <c r="E72" s="43" t="str">
        <f>'MKT DATA'!B130</f>
        <v>syn BTCF7/BTCG7/BTCH7/BTCV6</v>
      </c>
      <c r="F72" s="13">
        <f>'MKT DATA'!J130</f>
        <v>1</v>
      </c>
      <c r="G72" s="8">
        <f>'MKT DATA'!K130</f>
        <v>82839</v>
      </c>
      <c r="H72" s="8">
        <f>'MKT DATA'!L130</f>
        <v>84300</v>
      </c>
      <c r="I72" s="13">
        <f>'MKT DATA'!M130</f>
        <v>1</v>
      </c>
      <c r="J72" s="43" t="str">
        <f t="shared" si="4"/>
        <v>syn BTCF7/BTCG7/BTCH7/BTCV6</v>
      </c>
      <c r="K72" s="8">
        <f>'MKT DATA'!O130</f>
        <v>0</v>
      </c>
      <c r="L72" s="8">
        <f>'MKT DATA'!P130</f>
        <v>82839</v>
      </c>
      <c r="M72" s="8">
        <f>'MKT DATA'!Q130</f>
        <v>0</v>
      </c>
      <c r="N72" s="8">
        <f>'MKT DATA'!R130</f>
        <v>0</v>
      </c>
      <c r="O72" s="8">
        <f>'MKT DATA'!S130</f>
        <v>-84300</v>
      </c>
      <c r="P72" s="8">
        <f>'MKT DATA'!T130</f>
        <v>0</v>
      </c>
      <c r="Q72" s="43" t="str">
        <f t="shared" si="5"/>
        <v>syn BTCF7/BTCG7/BTCH7/BTCV6</v>
      </c>
      <c r="R72" s="13">
        <f>'MKT DATA'!AB130</f>
        <v>0</v>
      </c>
    </row>
    <row r="73" spans="5:18" x14ac:dyDescent="0.25">
      <c r="E73" s="43" t="str">
        <f>'MKT DATA'!B131</f>
        <v>syn BTCF7/BTCH7/BTCX6/BTCV6</v>
      </c>
      <c r="F73" s="13">
        <f>'MKT DATA'!J131</f>
        <v>1</v>
      </c>
      <c r="G73" s="8">
        <f>'MKT DATA'!K131</f>
        <v>82599</v>
      </c>
      <c r="H73" s="8">
        <f>'MKT DATA'!L131</f>
        <v>84508</v>
      </c>
      <c r="I73" s="13">
        <f>'MKT DATA'!M131</f>
        <v>1</v>
      </c>
      <c r="J73" s="43" t="str">
        <f t="shared" si="4"/>
        <v>syn BTCF7/BTCH7/BTCX6/BTCV6</v>
      </c>
      <c r="K73" s="8">
        <f>'MKT DATA'!O131</f>
        <v>0</v>
      </c>
      <c r="L73" s="8">
        <f>'MKT DATA'!P131</f>
        <v>82599</v>
      </c>
      <c r="M73" s="8">
        <f>'MKT DATA'!Q131</f>
        <v>0</v>
      </c>
      <c r="N73" s="8">
        <f>'MKT DATA'!R131</f>
        <v>0</v>
      </c>
      <c r="O73" s="8">
        <f>'MKT DATA'!S131</f>
        <v>-84508</v>
      </c>
      <c r="P73" s="8">
        <f>'MKT DATA'!T131</f>
        <v>0</v>
      </c>
      <c r="Q73" s="43" t="str">
        <f t="shared" si="5"/>
        <v>syn BTCF7/BTCH7/BTCX6/BTCV6</v>
      </c>
      <c r="R73" s="13">
        <f>'MKT DATA'!AB131</f>
        <v>0</v>
      </c>
    </row>
    <row r="74" spans="5:18" x14ac:dyDescent="0.25">
      <c r="E74" s="43" t="str">
        <f>'MKT DATA'!B132</f>
        <v>syn BTCF7/BTCH7/BTCZ6/BTCV6</v>
      </c>
      <c r="F74" s="13">
        <f>'MKT DATA'!J132</f>
        <v>1</v>
      </c>
      <c r="G74" s="8">
        <f>'MKT DATA'!K132</f>
        <v>82583</v>
      </c>
      <c r="H74" s="8">
        <f>'MKT DATA'!L132</f>
        <v>84329</v>
      </c>
      <c r="I74" s="13">
        <f>'MKT DATA'!M132</f>
        <v>1</v>
      </c>
      <c r="J74" s="43" t="str">
        <f t="shared" si="4"/>
        <v>syn BTCF7/BTCH7/BTCZ6/BTCV6</v>
      </c>
      <c r="K74" s="8">
        <f>'MKT DATA'!O132</f>
        <v>0</v>
      </c>
      <c r="L74" s="8">
        <f>'MKT DATA'!P132</f>
        <v>82583</v>
      </c>
      <c r="M74" s="8">
        <f>'MKT DATA'!Q132</f>
        <v>0</v>
      </c>
      <c r="N74" s="8">
        <f>'MKT DATA'!R132</f>
        <v>0</v>
      </c>
      <c r="O74" s="8">
        <f>'MKT DATA'!S132</f>
        <v>-84329</v>
      </c>
      <c r="P74" s="8">
        <f>'MKT DATA'!T132</f>
        <v>0</v>
      </c>
      <c r="Q74" s="43" t="str">
        <f t="shared" si="5"/>
        <v>syn BTCF7/BTCH7/BTCZ6/BTCV6</v>
      </c>
      <c r="R74" s="13">
        <f>'MKT DATA'!AB132</f>
        <v>0</v>
      </c>
    </row>
    <row r="75" spans="5:18" x14ac:dyDescent="0.25">
      <c r="E75" s="43" t="str">
        <f>'MKT DATA'!B133</f>
        <v>syn BTCF7/BTCH7/BTCG7/BTCV6</v>
      </c>
      <c r="F75" s="13">
        <f>'MKT DATA'!J133</f>
        <v>1</v>
      </c>
      <c r="G75" s="8">
        <f>'MKT DATA'!K133</f>
        <v>82615</v>
      </c>
      <c r="H75" s="8">
        <f>'MKT DATA'!L133</f>
        <v>84430</v>
      </c>
      <c r="I75" s="13">
        <f>'MKT DATA'!M133</f>
        <v>1</v>
      </c>
      <c r="J75" s="43" t="str">
        <f t="shared" si="4"/>
        <v>syn BTCF7/BTCH7/BTCG7/BTCV6</v>
      </c>
      <c r="K75" s="8">
        <f>'MKT DATA'!O133</f>
        <v>0</v>
      </c>
      <c r="L75" s="8">
        <f>'MKT DATA'!P133</f>
        <v>82615</v>
      </c>
      <c r="M75" s="8">
        <f>'MKT DATA'!Q133</f>
        <v>0</v>
      </c>
      <c r="N75" s="8">
        <f>'MKT DATA'!R133</f>
        <v>0</v>
      </c>
      <c r="O75" s="8">
        <f>'MKT DATA'!S133</f>
        <v>-84430</v>
      </c>
      <c r="P75" s="8">
        <f>'MKT DATA'!T133</f>
        <v>0</v>
      </c>
      <c r="Q75" s="43" t="str">
        <f t="shared" si="5"/>
        <v>syn BTCF7/BTCH7/BTCG7/BTCV6</v>
      </c>
      <c r="R75" s="13">
        <f>'MKT DATA'!AB133</f>
        <v>0</v>
      </c>
    </row>
    <row r="76" spans="5:18" x14ac:dyDescent="0.25">
      <c r="E76" s="43" t="str">
        <f>'MKT DATA'!B134</f>
        <v>syn BTCG7/BTCX6/BTCZ6/BTCV6</v>
      </c>
      <c r="F76" s="13">
        <f>'MKT DATA'!J134</f>
        <v>1</v>
      </c>
      <c r="G76" s="8">
        <f>'MKT DATA'!K134</f>
        <v>83167</v>
      </c>
      <c r="H76" s="8">
        <f>'MKT DATA'!L134</f>
        <v>83940</v>
      </c>
      <c r="I76" s="13">
        <f>'MKT DATA'!M134</f>
        <v>1</v>
      </c>
      <c r="J76" s="43" t="str">
        <f t="shared" si="4"/>
        <v>syn BTCG7/BTCX6/BTCZ6/BTCV6</v>
      </c>
      <c r="K76" s="8">
        <f>'MKT DATA'!O134</f>
        <v>0</v>
      </c>
      <c r="L76" s="8">
        <f>'MKT DATA'!P134</f>
        <v>83167</v>
      </c>
      <c r="M76" s="8">
        <f>'MKT DATA'!Q134</f>
        <v>0</v>
      </c>
      <c r="N76" s="8">
        <f>'MKT DATA'!R134</f>
        <v>0</v>
      </c>
      <c r="O76" s="8">
        <f>'MKT DATA'!S134</f>
        <v>-83940</v>
      </c>
      <c r="P76" s="8">
        <f>'MKT DATA'!T134</f>
        <v>0</v>
      </c>
      <c r="Q76" s="43" t="str">
        <f t="shared" si="5"/>
        <v>syn BTCG7/BTCX6/BTCZ6/BTCV6</v>
      </c>
      <c r="R76" s="13">
        <f>'MKT DATA'!AB134</f>
        <v>0</v>
      </c>
    </row>
    <row r="77" spans="5:18" x14ac:dyDescent="0.25">
      <c r="E77" s="43" t="str">
        <f>'MKT DATA'!B135</f>
        <v>syn BTCG7/BTCX6/BTCF7/BTCV6</v>
      </c>
      <c r="F77" s="13">
        <f>'MKT DATA'!J135</f>
        <v>1</v>
      </c>
      <c r="G77" s="8">
        <f>'MKT DATA'!K135</f>
        <v>83067</v>
      </c>
      <c r="H77" s="8">
        <f>'MKT DATA'!L135</f>
        <v>84043</v>
      </c>
      <c r="I77" s="13">
        <f>'MKT DATA'!M135</f>
        <v>1</v>
      </c>
      <c r="J77" s="43" t="str">
        <f t="shared" si="4"/>
        <v>syn BTCG7/BTCX6/BTCF7/BTCV6</v>
      </c>
      <c r="K77" s="8">
        <f>'MKT DATA'!O135</f>
        <v>0</v>
      </c>
      <c r="L77" s="8">
        <f>'MKT DATA'!P135</f>
        <v>83067</v>
      </c>
      <c r="M77" s="8">
        <f>'MKT DATA'!Q135</f>
        <v>0</v>
      </c>
      <c r="N77" s="8">
        <f>'MKT DATA'!R135</f>
        <v>0</v>
      </c>
      <c r="O77" s="8">
        <f>'MKT DATA'!S135</f>
        <v>-84043</v>
      </c>
      <c r="P77" s="8">
        <f>'MKT DATA'!T135</f>
        <v>0</v>
      </c>
      <c r="Q77" s="43" t="str">
        <f t="shared" si="5"/>
        <v>syn BTCG7/BTCX6/BTCF7/BTCV6</v>
      </c>
      <c r="R77" s="13">
        <f>'MKT DATA'!AB135</f>
        <v>0</v>
      </c>
    </row>
    <row r="78" spans="5:18" x14ac:dyDescent="0.25">
      <c r="E78" s="43" t="str">
        <f>'MKT DATA'!B136</f>
        <v>syn BTCG7/BTCX6/BTCH7/BTCV6</v>
      </c>
      <c r="F78" s="13">
        <f>'MKT DATA'!J136</f>
        <v>1</v>
      </c>
      <c r="G78" s="8">
        <f>'MKT DATA'!K136</f>
        <v>82410</v>
      </c>
      <c r="H78" s="8">
        <f>'MKT DATA'!L136</f>
        <v>84690</v>
      </c>
      <c r="I78" s="13">
        <f>'MKT DATA'!M136</f>
        <v>1</v>
      </c>
      <c r="J78" s="43" t="str">
        <f t="shared" si="4"/>
        <v>syn BTCG7/BTCX6/BTCH7/BTCV6</v>
      </c>
      <c r="K78" s="8">
        <f>'MKT DATA'!O136</f>
        <v>0</v>
      </c>
      <c r="L78" s="8">
        <f>'MKT DATA'!P136</f>
        <v>82410</v>
      </c>
      <c r="M78" s="8">
        <f>'MKT DATA'!Q136</f>
        <v>0</v>
      </c>
      <c r="N78" s="8">
        <f>'MKT DATA'!R136</f>
        <v>0</v>
      </c>
      <c r="O78" s="8">
        <f>'MKT DATA'!S136</f>
        <v>-84690</v>
      </c>
      <c r="P78" s="8">
        <f>'MKT DATA'!T136</f>
        <v>0</v>
      </c>
      <c r="Q78" s="43" t="str">
        <f t="shared" si="5"/>
        <v>syn BTCG7/BTCX6/BTCH7/BTCV6</v>
      </c>
      <c r="R78" s="13">
        <f>'MKT DATA'!AB136</f>
        <v>0</v>
      </c>
    </row>
    <row r="79" spans="5:18" x14ac:dyDescent="0.25">
      <c r="E79" s="43" t="str">
        <f>'MKT DATA'!B137</f>
        <v>syn BTCG7/BTCZ6/BTCX6/BTCV6</v>
      </c>
      <c r="F79" s="13">
        <f>'MKT DATA'!J137</f>
        <v>1</v>
      </c>
      <c r="G79" s="8">
        <f>'MKT DATA'!K137</f>
        <v>83153</v>
      </c>
      <c r="H79" s="8">
        <f>'MKT DATA'!L137</f>
        <v>83939</v>
      </c>
      <c r="I79" s="13">
        <f>'MKT DATA'!M137</f>
        <v>1</v>
      </c>
      <c r="J79" s="43" t="str">
        <f t="shared" si="4"/>
        <v>syn BTCG7/BTCZ6/BTCX6/BTCV6</v>
      </c>
      <c r="K79" s="8">
        <f>'MKT DATA'!O137</f>
        <v>0</v>
      </c>
      <c r="L79" s="8">
        <f>'MKT DATA'!P137</f>
        <v>83153</v>
      </c>
      <c r="M79" s="8">
        <f>'MKT DATA'!Q137</f>
        <v>0</v>
      </c>
      <c r="N79" s="8">
        <f>'MKT DATA'!R137</f>
        <v>0</v>
      </c>
      <c r="O79" s="8">
        <f>'MKT DATA'!S137</f>
        <v>-83939</v>
      </c>
      <c r="P79" s="8">
        <f>'MKT DATA'!T137</f>
        <v>0</v>
      </c>
      <c r="Q79" s="43" t="str">
        <f t="shared" si="5"/>
        <v>syn BTCG7/BTCZ6/BTCX6/BTCV6</v>
      </c>
      <c r="R79" s="13">
        <f>'MKT DATA'!AB137</f>
        <v>0</v>
      </c>
    </row>
    <row r="80" spans="5:18" x14ac:dyDescent="0.25">
      <c r="E80" s="43" t="str">
        <f>'MKT DATA'!B138</f>
        <v>syn BTCG7/BTCZ6/BTCF7/BTCV6</v>
      </c>
      <c r="F80" s="13">
        <f>'MKT DATA'!J138</f>
        <v>1</v>
      </c>
      <c r="G80" s="8">
        <f>'MKT DATA'!K138</f>
        <v>83088</v>
      </c>
      <c r="H80" s="8">
        <f>'MKT DATA'!L138</f>
        <v>84038</v>
      </c>
      <c r="I80" s="13">
        <f>'MKT DATA'!M138</f>
        <v>1</v>
      </c>
      <c r="J80" s="43" t="str">
        <f t="shared" si="4"/>
        <v>syn BTCG7/BTCZ6/BTCF7/BTCV6</v>
      </c>
      <c r="K80" s="8">
        <f>'MKT DATA'!O138</f>
        <v>0</v>
      </c>
      <c r="L80" s="8">
        <f>'MKT DATA'!P138</f>
        <v>83088</v>
      </c>
      <c r="M80" s="8">
        <f>'MKT DATA'!Q138</f>
        <v>0</v>
      </c>
      <c r="N80" s="8">
        <f>'MKT DATA'!R138</f>
        <v>0</v>
      </c>
      <c r="O80" s="8">
        <f>'MKT DATA'!S138</f>
        <v>-84038</v>
      </c>
      <c r="P80" s="8">
        <f>'MKT DATA'!T138</f>
        <v>0</v>
      </c>
      <c r="Q80" s="43" t="str">
        <f t="shared" si="5"/>
        <v>syn BTCG7/BTCZ6/BTCF7/BTCV6</v>
      </c>
      <c r="R80" s="13">
        <f>'MKT DATA'!AB138</f>
        <v>0</v>
      </c>
    </row>
    <row r="81" spans="5:18" x14ac:dyDescent="0.25">
      <c r="E81" s="43" t="str">
        <f>'MKT DATA'!B139</f>
        <v>syn BTCG7/BTCZ6/BTCH7/BTCV6</v>
      </c>
      <c r="F81" s="13">
        <f>'MKT DATA'!J139</f>
        <v>1</v>
      </c>
      <c r="G81" s="8">
        <f>'MKT DATA'!K139</f>
        <v>82575</v>
      </c>
      <c r="H81" s="8">
        <f>'MKT DATA'!L139</f>
        <v>84705</v>
      </c>
      <c r="I81" s="13">
        <f>'MKT DATA'!M139</f>
        <v>1</v>
      </c>
      <c r="J81" s="43" t="str">
        <f t="shared" ref="J81:J144" si="6">E81</f>
        <v>syn BTCG7/BTCZ6/BTCH7/BTCV6</v>
      </c>
      <c r="K81" s="8">
        <f>'MKT DATA'!O139</f>
        <v>0</v>
      </c>
      <c r="L81" s="8">
        <f>'MKT DATA'!P139</f>
        <v>82575</v>
      </c>
      <c r="M81" s="8">
        <f>'MKT DATA'!Q139</f>
        <v>0</v>
      </c>
      <c r="N81" s="8">
        <f>'MKT DATA'!R139</f>
        <v>0</v>
      </c>
      <c r="O81" s="8">
        <f>'MKT DATA'!S139</f>
        <v>-84705</v>
      </c>
      <c r="P81" s="8">
        <f>'MKT DATA'!T139</f>
        <v>0</v>
      </c>
      <c r="Q81" s="43" t="str">
        <f t="shared" ref="Q81:Q144" si="7">J81</f>
        <v>syn BTCG7/BTCZ6/BTCH7/BTCV6</v>
      </c>
      <c r="R81" s="13">
        <f>'MKT DATA'!AB139</f>
        <v>0</v>
      </c>
    </row>
    <row r="82" spans="5:18" x14ac:dyDescent="0.25">
      <c r="E82" s="43" t="str">
        <f>'MKT DATA'!B140</f>
        <v>syn BTCG7/BTCF7/BTCX6/BTCV6</v>
      </c>
      <c r="F82" s="13">
        <f>'MKT DATA'!J140</f>
        <v>1</v>
      </c>
      <c r="G82" s="8">
        <f>'MKT DATA'!K140</f>
        <v>83270</v>
      </c>
      <c r="H82" s="8">
        <f>'MKT DATA'!L140</f>
        <v>83873</v>
      </c>
      <c r="I82" s="13">
        <f>'MKT DATA'!M140</f>
        <v>1</v>
      </c>
      <c r="J82" s="43" t="str">
        <f t="shared" si="6"/>
        <v>syn BTCG7/BTCF7/BTCX6/BTCV6</v>
      </c>
      <c r="K82" s="8">
        <f>'MKT DATA'!O140</f>
        <v>0</v>
      </c>
      <c r="L82" s="8">
        <f>'MKT DATA'!P140</f>
        <v>83270</v>
      </c>
      <c r="M82" s="8">
        <f>'MKT DATA'!Q140</f>
        <v>0</v>
      </c>
      <c r="N82" s="8">
        <f>'MKT DATA'!R140</f>
        <v>0</v>
      </c>
      <c r="O82" s="8">
        <f>'MKT DATA'!S140</f>
        <v>-83873</v>
      </c>
      <c r="P82" s="8">
        <f>'MKT DATA'!T140</f>
        <v>0</v>
      </c>
      <c r="Q82" s="43" t="str">
        <f t="shared" si="7"/>
        <v>syn BTCG7/BTCF7/BTCX6/BTCV6</v>
      </c>
      <c r="R82" s="13">
        <f>'MKT DATA'!AB140</f>
        <v>0</v>
      </c>
    </row>
    <row r="83" spans="5:18" x14ac:dyDescent="0.25">
      <c r="E83" s="43" t="str">
        <f>'MKT DATA'!B141</f>
        <v>syn BTCG7/BTCF7/BTCZ6/BTCV6</v>
      </c>
      <c r="F83" s="13">
        <f>'MKT DATA'!J141</f>
        <v>1</v>
      </c>
      <c r="G83" s="8">
        <f>'MKT DATA'!K141</f>
        <v>83274</v>
      </c>
      <c r="H83" s="8">
        <f>'MKT DATA'!L141</f>
        <v>83838</v>
      </c>
      <c r="I83" s="13">
        <f>'MKT DATA'!M141</f>
        <v>1</v>
      </c>
      <c r="J83" s="43" t="str">
        <f t="shared" si="6"/>
        <v>syn BTCG7/BTCF7/BTCZ6/BTCV6</v>
      </c>
      <c r="K83" s="8">
        <f>'MKT DATA'!O141</f>
        <v>0</v>
      </c>
      <c r="L83" s="8">
        <f>'MKT DATA'!P141</f>
        <v>83274</v>
      </c>
      <c r="M83" s="8">
        <f>'MKT DATA'!Q141</f>
        <v>0</v>
      </c>
      <c r="N83" s="8">
        <f>'MKT DATA'!R141</f>
        <v>0</v>
      </c>
      <c r="O83" s="8">
        <f>'MKT DATA'!S141</f>
        <v>-83838</v>
      </c>
      <c r="P83" s="8">
        <f>'MKT DATA'!T141</f>
        <v>0</v>
      </c>
      <c r="Q83" s="43" t="str">
        <f t="shared" si="7"/>
        <v>syn BTCG7/BTCF7/BTCZ6/BTCV6</v>
      </c>
      <c r="R83" s="13">
        <f>'MKT DATA'!AB141</f>
        <v>0</v>
      </c>
    </row>
    <row r="84" spans="5:18" x14ac:dyDescent="0.25">
      <c r="E84" s="43" t="str">
        <f>'MKT DATA'!B142</f>
        <v>syn BTCG7/BTCF7/BTCH7/BTCV6</v>
      </c>
      <c r="F84" s="13">
        <f>'MKT DATA'!J142</f>
        <v>1</v>
      </c>
      <c r="G84" s="8">
        <f>'MKT DATA'!K142</f>
        <v>82465</v>
      </c>
      <c r="H84" s="8">
        <f>'MKT DATA'!L142</f>
        <v>84651</v>
      </c>
      <c r="I84" s="13">
        <f>'MKT DATA'!M142</f>
        <v>1</v>
      </c>
      <c r="J84" s="43" t="str">
        <f t="shared" si="6"/>
        <v>syn BTCG7/BTCF7/BTCH7/BTCV6</v>
      </c>
      <c r="K84" s="8">
        <f>'MKT DATA'!O142</f>
        <v>0</v>
      </c>
      <c r="L84" s="8">
        <f>'MKT DATA'!P142</f>
        <v>82465</v>
      </c>
      <c r="M84" s="8">
        <f>'MKT DATA'!Q142</f>
        <v>0</v>
      </c>
      <c r="N84" s="8">
        <f>'MKT DATA'!R142</f>
        <v>0</v>
      </c>
      <c r="O84" s="8">
        <f>'MKT DATA'!S142</f>
        <v>-84651</v>
      </c>
      <c r="P84" s="8">
        <f>'MKT DATA'!T142</f>
        <v>0</v>
      </c>
      <c r="Q84" s="43" t="str">
        <f t="shared" si="7"/>
        <v>syn BTCG7/BTCF7/BTCH7/BTCV6</v>
      </c>
      <c r="R84" s="13">
        <f>'MKT DATA'!AB142</f>
        <v>0</v>
      </c>
    </row>
    <row r="85" spans="5:18" x14ac:dyDescent="0.25">
      <c r="E85" s="43" t="str">
        <f>'MKT DATA'!B143</f>
        <v>syn BTCG7/BTCH7/BTCX6/BTCV6</v>
      </c>
      <c r="F85" s="13">
        <f>'MKT DATA'!J143</f>
        <v>1</v>
      </c>
      <c r="G85" s="8">
        <f>'MKT DATA'!K143</f>
        <v>82844</v>
      </c>
      <c r="H85" s="8">
        <f>'MKT DATA'!L143</f>
        <v>84318</v>
      </c>
      <c r="I85" s="13">
        <f>'MKT DATA'!M143</f>
        <v>1</v>
      </c>
      <c r="J85" s="43" t="str">
        <f t="shared" si="6"/>
        <v>syn BTCG7/BTCH7/BTCX6/BTCV6</v>
      </c>
      <c r="K85" s="8">
        <f>'MKT DATA'!O143</f>
        <v>0</v>
      </c>
      <c r="L85" s="8">
        <f>'MKT DATA'!P143</f>
        <v>82844</v>
      </c>
      <c r="M85" s="8">
        <f>'MKT DATA'!Q143</f>
        <v>0</v>
      </c>
      <c r="N85" s="8">
        <f>'MKT DATA'!R143</f>
        <v>0</v>
      </c>
      <c r="O85" s="8">
        <f>'MKT DATA'!S143</f>
        <v>-84318</v>
      </c>
      <c r="P85" s="8">
        <f>'MKT DATA'!T143</f>
        <v>0</v>
      </c>
      <c r="Q85" s="43" t="str">
        <f t="shared" si="7"/>
        <v>syn BTCG7/BTCH7/BTCX6/BTCV6</v>
      </c>
      <c r="R85" s="13">
        <f>'MKT DATA'!AB143</f>
        <v>0</v>
      </c>
    </row>
    <row r="86" spans="5:18" x14ac:dyDescent="0.25">
      <c r="E86" s="43" t="str">
        <f>'MKT DATA'!B144</f>
        <v>syn BTCG7/BTCH7/BTCZ6/BTCV6</v>
      </c>
      <c r="F86" s="13">
        <f>'MKT DATA'!J144</f>
        <v>1</v>
      </c>
      <c r="G86" s="8">
        <f>'MKT DATA'!K144</f>
        <v>82828</v>
      </c>
      <c r="H86" s="8">
        <f>'MKT DATA'!L144</f>
        <v>84139</v>
      </c>
      <c r="I86" s="13">
        <f>'MKT DATA'!M144</f>
        <v>1</v>
      </c>
      <c r="J86" s="43" t="str">
        <f t="shared" si="6"/>
        <v>syn BTCG7/BTCH7/BTCZ6/BTCV6</v>
      </c>
      <c r="K86" s="8">
        <f>'MKT DATA'!O144</f>
        <v>0</v>
      </c>
      <c r="L86" s="8">
        <f>'MKT DATA'!P144</f>
        <v>82828</v>
      </c>
      <c r="M86" s="8">
        <f>'MKT DATA'!Q144</f>
        <v>0</v>
      </c>
      <c r="N86" s="8">
        <f>'MKT DATA'!R144</f>
        <v>0</v>
      </c>
      <c r="O86" s="8">
        <f>'MKT DATA'!S144</f>
        <v>-84139</v>
      </c>
      <c r="P86" s="8">
        <f>'MKT DATA'!T144</f>
        <v>0</v>
      </c>
      <c r="Q86" s="43" t="str">
        <f t="shared" si="7"/>
        <v>syn BTCG7/BTCH7/BTCZ6/BTCV6</v>
      </c>
      <c r="R86" s="13">
        <f>'MKT DATA'!AB144</f>
        <v>0</v>
      </c>
    </row>
    <row r="87" spans="5:18" x14ac:dyDescent="0.25">
      <c r="E87" s="43" t="str">
        <f>'MKT DATA'!B145</f>
        <v>syn BTCG7/BTCH7/BTCF7/BTCV6</v>
      </c>
      <c r="F87" s="13">
        <f>'MKT DATA'!J145</f>
        <v>1</v>
      </c>
      <c r="G87" s="8">
        <f>'MKT DATA'!K145</f>
        <v>82716</v>
      </c>
      <c r="H87" s="8">
        <f>'MKT DATA'!L145</f>
        <v>84469</v>
      </c>
      <c r="I87" s="13">
        <f>'MKT DATA'!M145</f>
        <v>1</v>
      </c>
      <c r="J87" s="43" t="str">
        <f t="shared" si="6"/>
        <v>syn BTCG7/BTCH7/BTCF7/BTCV6</v>
      </c>
      <c r="K87" s="8">
        <f>'MKT DATA'!O145</f>
        <v>0</v>
      </c>
      <c r="L87" s="8">
        <f>'MKT DATA'!P145</f>
        <v>82716</v>
      </c>
      <c r="M87" s="8">
        <f>'MKT DATA'!Q145</f>
        <v>0</v>
      </c>
      <c r="N87" s="8">
        <f>'MKT DATA'!R145</f>
        <v>0</v>
      </c>
      <c r="O87" s="8">
        <f>'MKT DATA'!S145</f>
        <v>-84469</v>
      </c>
      <c r="P87" s="8">
        <f>'MKT DATA'!T145</f>
        <v>0</v>
      </c>
      <c r="Q87" s="43" t="str">
        <f t="shared" si="7"/>
        <v>syn BTCG7/BTCH7/BTCF7/BTCV6</v>
      </c>
      <c r="R87" s="13">
        <f>'MKT DATA'!AB145</f>
        <v>0</v>
      </c>
    </row>
    <row r="88" spans="5:18" x14ac:dyDescent="0.25">
      <c r="E88" s="43" t="str">
        <f>'MKT DATA'!B146</f>
        <v>syn BTCH7/BTCX6/BTCZ6/BTCV6</v>
      </c>
      <c r="F88" s="13">
        <f>'MKT DATA'!J146</f>
        <v>1</v>
      </c>
      <c r="G88" s="8">
        <f>'MKT DATA'!K146</f>
        <v>82757</v>
      </c>
      <c r="H88" s="8">
        <f>'MKT DATA'!L146</f>
        <v>84350</v>
      </c>
      <c r="I88" s="13">
        <f>'MKT DATA'!M146</f>
        <v>1</v>
      </c>
      <c r="J88" s="43" t="str">
        <f t="shared" si="6"/>
        <v>syn BTCH7/BTCX6/BTCZ6/BTCV6</v>
      </c>
      <c r="K88" s="8">
        <f>'MKT DATA'!O146</f>
        <v>0</v>
      </c>
      <c r="L88" s="8">
        <f>'MKT DATA'!P146</f>
        <v>82757</v>
      </c>
      <c r="M88" s="8">
        <f>'MKT DATA'!Q146</f>
        <v>0</v>
      </c>
      <c r="N88" s="8">
        <f>'MKT DATA'!R146</f>
        <v>0</v>
      </c>
      <c r="O88" s="8">
        <f>'MKT DATA'!S146</f>
        <v>-84350</v>
      </c>
      <c r="P88" s="8">
        <f>'MKT DATA'!T146</f>
        <v>0</v>
      </c>
      <c r="Q88" s="43" t="str">
        <f t="shared" si="7"/>
        <v>syn BTCH7/BTCX6/BTCZ6/BTCV6</v>
      </c>
      <c r="R88" s="13">
        <f>'MKT DATA'!AB146</f>
        <v>0</v>
      </c>
    </row>
    <row r="89" spans="5:18" x14ac:dyDescent="0.25">
      <c r="E89" s="43" t="str">
        <f>'MKT DATA'!B147</f>
        <v>syn BTCH7/BTCX6/BTCF7/BTCV6</v>
      </c>
      <c r="F89" s="13">
        <f>'MKT DATA'!J147</f>
        <v>1</v>
      </c>
      <c r="G89" s="8">
        <f>'MKT DATA'!K147</f>
        <v>82657</v>
      </c>
      <c r="H89" s="8">
        <f>'MKT DATA'!L147</f>
        <v>84453</v>
      </c>
      <c r="I89" s="13">
        <f>'MKT DATA'!M147</f>
        <v>1</v>
      </c>
      <c r="J89" s="43" t="str">
        <f t="shared" si="6"/>
        <v>syn BTCH7/BTCX6/BTCF7/BTCV6</v>
      </c>
      <c r="K89" s="8">
        <f>'MKT DATA'!O147</f>
        <v>0</v>
      </c>
      <c r="L89" s="8">
        <f>'MKT DATA'!P147</f>
        <v>82657</v>
      </c>
      <c r="M89" s="8">
        <f>'MKT DATA'!Q147</f>
        <v>0</v>
      </c>
      <c r="N89" s="8">
        <f>'MKT DATA'!R147</f>
        <v>0</v>
      </c>
      <c r="O89" s="8">
        <f>'MKT DATA'!S147</f>
        <v>-84453</v>
      </c>
      <c r="P89" s="8">
        <f>'MKT DATA'!T147</f>
        <v>0</v>
      </c>
      <c r="Q89" s="43" t="str">
        <f t="shared" si="7"/>
        <v>syn BTCH7/BTCX6/BTCF7/BTCV6</v>
      </c>
      <c r="R89" s="13">
        <f>'MKT DATA'!AB147</f>
        <v>0</v>
      </c>
    </row>
    <row r="90" spans="5:18" x14ac:dyDescent="0.25">
      <c r="E90" s="43" t="str">
        <f>'MKT DATA'!B148</f>
        <v>syn BTCH7/BTCX6/BTCG7/BTCV6</v>
      </c>
      <c r="F90" s="13">
        <f>'MKT DATA'!J148</f>
        <v>1</v>
      </c>
      <c r="G90" s="8">
        <f>'MKT DATA'!K148</f>
        <v>82410</v>
      </c>
      <c r="H90" s="8">
        <f>'MKT DATA'!L148</f>
        <v>84690</v>
      </c>
      <c r="I90" s="13">
        <f>'MKT DATA'!M148</f>
        <v>1</v>
      </c>
      <c r="J90" s="43" t="str">
        <f t="shared" si="6"/>
        <v>syn BTCH7/BTCX6/BTCG7/BTCV6</v>
      </c>
      <c r="K90" s="8">
        <f>'MKT DATA'!O148</f>
        <v>0</v>
      </c>
      <c r="L90" s="8">
        <f>'MKT DATA'!P148</f>
        <v>82410</v>
      </c>
      <c r="M90" s="8">
        <f>'MKT DATA'!Q148</f>
        <v>0</v>
      </c>
      <c r="N90" s="8">
        <f>'MKT DATA'!R148</f>
        <v>0</v>
      </c>
      <c r="O90" s="8">
        <f>'MKT DATA'!S148</f>
        <v>-84690</v>
      </c>
      <c r="P90" s="8">
        <f>'MKT DATA'!T148</f>
        <v>0</v>
      </c>
      <c r="Q90" s="43" t="str">
        <f t="shared" si="7"/>
        <v>syn BTCH7/BTCX6/BTCG7/BTCV6</v>
      </c>
      <c r="R90" s="13">
        <f>'MKT DATA'!AB148</f>
        <v>0</v>
      </c>
    </row>
    <row r="91" spans="5:18" x14ac:dyDescent="0.25">
      <c r="E91" s="43" t="str">
        <f>'MKT DATA'!B149</f>
        <v>syn BTCH7/BTCZ6/BTCX6/BTCV6</v>
      </c>
      <c r="F91" s="13">
        <f>'MKT DATA'!J149</f>
        <v>1</v>
      </c>
      <c r="G91" s="8">
        <f>'MKT DATA'!K149</f>
        <v>82773</v>
      </c>
      <c r="H91" s="8">
        <f>'MKT DATA'!L149</f>
        <v>84139</v>
      </c>
      <c r="I91" s="13">
        <f>'MKT DATA'!M149</f>
        <v>1</v>
      </c>
      <c r="J91" s="43" t="str">
        <f t="shared" si="6"/>
        <v>syn BTCH7/BTCZ6/BTCX6/BTCV6</v>
      </c>
      <c r="K91" s="8">
        <f>'MKT DATA'!O149</f>
        <v>0</v>
      </c>
      <c r="L91" s="8">
        <f>'MKT DATA'!P149</f>
        <v>82773</v>
      </c>
      <c r="M91" s="8">
        <f>'MKT DATA'!Q149</f>
        <v>0</v>
      </c>
      <c r="N91" s="8">
        <f>'MKT DATA'!R149</f>
        <v>0</v>
      </c>
      <c r="O91" s="8">
        <f>'MKT DATA'!S149</f>
        <v>-84139</v>
      </c>
      <c r="P91" s="8">
        <f>'MKT DATA'!T149</f>
        <v>0</v>
      </c>
      <c r="Q91" s="43" t="str">
        <f t="shared" si="7"/>
        <v>syn BTCH7/BTCZ6/BTCX6/BTCV6</v>
      </c>
      <c r="R91" s="13">
        <f>'MKT DATA'!AB149</f>
        <v>0</v>
      </c>
    </row>
    <row r="92" spans="5:18" x14ac:dyDescent="0.25">
      <c r="E92" s="43" t="str">
        <f>'MKT DATA'!B150</f>
        <v>syn BTCH7/BTCZ6/BTCF7/BTCV6</v>
      </c>
      <c r="F92" s="13">
        <f>'MKT DATA'!J150</f>
        <v>1</v>
      </c>
      <c r="G92" s="8">
        <f>'MKT DATA'!K150</f>
        <v>82708</v>
      </c>
      <c r="H92" s="8">
        <f>'MKT DATA'!L150</f>
        <v>84238</v>
      </c>
      <c r="I92" s="13">
        <f>'MKT DATA'!M150</f>
        <v>1</v>
      </c>
      <c r="J92" s="43" t="str">
        <f t="shared" si="6"/>
        <v>syn BTCH7/BTCZ6/BTCF7/BTCV6</v>
      </c>
      <c r="K92" s="8">
        <f>'MKT DATA'!O150</f>
        <v>0</v>
      </c>
      <c r="L92" s="8">
        <f>'MKT DATA'!P150</f>
        <v>82708</v>
      </c>
      <c r="M92" s="8">
        <f>'MKT DATA'!Q150</f>
        <v>0</v>
      </c>
      <c r="N92" s="8">
        <f>'MKT DATA'!R150</f>
        <v>0</v>
      </c>
      <c r="O92" s="8">
        <f>'MKT DATA'!S150</f>
        <v>-84238</v>
      </c>
      <c r="P92" s="8">
        <f>'MKT DATA'!T150</f>
        <v>0</v>
      </c>
      <c r="Q92" s="43" t="str">
        <f t="shared" si="7"/>
        <v>syn BTCH7/BTCZ6/BTCF7/BTCV6</v>
      </c>
      <c r="R92" s="13">
        <f>'MKT DATA'!AB150</f>
        <v>0</v>
      </c>
    </row>
    <row r="93" spans="5:18" x14ac:dyDescent="0.25">
      <c r="E93" s="43" t="str">
        <f>'MKT DATA'!B151</f>
        <v>syn BTCH7/BTCZ6/BTCG7/BTCV6</v>
      </c>
      <c r="F93" s="13">
        <f>'MKT DATA'!J151</f>
        <v>1</v>
      </c>
      <c r="G93" s="8">
        <f>'MKT DATA'!K151</f>
        <v>82395</v>
      </c>
      <c r="H93" s="8">
        <f>'MKT DATA'!L151</f>
        <v>84525</v>
      </c>
      <c r="I93" s="13">
        <f>'MKT DATA'!M151</f>
        <v>1</v>
      </c>
      <c r="J93" s="43" t="str">
        <f t="shared" si="6"/>
        <v>syn BTCH7/BTCZ6/BTCG7/BTCV6</v>
      </c>
      <c r="K93" s="8">
        <f>'MKT DATA'!O151</f>
        <v>0</v>
      </c>
      <c r="L93" s="8">
        <f>'MKT DATA'!P151</f>
        <v>82395</v>
      </c>
      <c r="M93" s="8">
        <f>'MKT DATA'!Q151</f>
        <v>0</v>
      </c>
      <c r="N93" s="8">
        <f>'MKT DATA'!R151</f>
        <v>0</v>
      </c>
      <c r="O93" s="8">
        <f>'MKT DATA'!S151</f>
        <v>-84525</v>
      </c>
      <c r="P93" s="8">
        <f>'MKT DATA'!T151</f>
        <v>0</v>
      </c>
      <c r="Q93" s="43" t="str">
        <f t="shared" si="7"/>
        <v>syn BTCH7/BTCZ6/BTCG7/BTCV6</v>
      </c>
      <c r="R93" s="13">
        <f>'MKT DATA'!AB151</f>
        <v>0</v>
      </c>
    </row>
    <row r="94" spans="5:18" x14ac:dyDescent="0.25">
      <c r="E94" s="43" t="str">
        <f>'MKT DATA'!B152</f>
        <v>syn BTCH7/BTCF7/BTCX6/BTCV6</v>
      </c>
      <c r="F94" s="13">
        <f>'MKT DATA'!J152</f>
        <v>1</v>
      </c>
      <c r="G94" s="8">
        <f>'MKT DATA'!K152</f>
        <v>82675</v>
      </c>
      <c r="H94" s="8">
        <f>'MKT DATA'!L152</f>
        <v>84452</v>
      </c>
      <c r="I94" s="13">
        <f>'MKT DATA'!M152</f>
        <v>1</v>
      </c>
      <c r="J94" s="43" t="str">
        <f t="shared" si="6"/>
        <v>syn BTCH7/BTCF7/BTCX6/BTCV6</v>
      </c>
      <c r="K94" s="8">
        <f>'MKT DATA'!O152</f>
        <v>0</v>
      </c>
      <c r="L94" s="8">
        <f>'MKT DATA'!P152</f>
        <v>82675</v>
      </c>
      <c r="M94" s="8">
        <f>'MKT DATA'!Q152</f>
        <v>0</v>
      </c>
      <c r="N94" s="8">
        <f>'MKT DATA'!R152</f>
        <v>0</v>
      </c>
      <c r="O94" s="8">
        <f>'MKT DATA'!S152</f>
        <v>-84452</v>
      </c>
      <c r="P94" s="8">
        <f>'MKT DATA'!T152</f>
        <v>0</v>
      </c>
      <c r="Q94" s="43" t="str">
        <f t="shared" si="7"/>
        <v>syn BTCH7/BTCF7/BTCX6/BTCV6</v>
      </c>
      <c r="R94" s="13">
        <f>'MKT DATA'!AB152</f>
        <v>0</v>
      </c>
    </row>
    <row r="95" spans="5:18" x14ac:dyDescent="0.25">
      <c r="E95" s="43" t="str">
        <f>'MKT DATA'!B153</f>
        <v>syn BTCH7/BTCF7/BTCZ6/BTCV6</v>
      </c>
      <c r="F95" s="13">
        <f>'MKT DATA'!J153</f>
        <v>1</v>
      </c>
      <c r="G95" s="8">
        <f>'MKT DATA'!K153</f>
        <v>82679</v>
      </c>
      <c r="H95" s="8">
        <f>'MKT DATA'!L153</f>
        <v>84417</v>
      </c>
      <c r="I95" s="13">
        <f>'MKT DATA'!M153</f>
        <v>1</v>
      </c>
      <c r="J95" s="43" t="str">
        <f t="shared" si="6"/>
        <v>syn BTCH7/BTCF7/BTCZ6/BTCV6</v>
      </c>
      <c r="K95" s="8">
        <f>'MKT DATA'!O153</f>
        <v>0</v>
      </c>
      <c r="L95" s="8">
        <f>'MKT DATA'!P153</f>
        <v>82679</v>
      </c>
      <c r="M95" s="8">
        <f>'MKT DATA'!Q153</f>
        <v>0</v>
      </c>
      <c r="N95" s="8">
        <f>'MKT DATA'!R153</f>
        <v>0</v>
      </c>
      <c r="O95" s="8">
        <f>'MKT DATA'!S153</f>
        <v>-84417</v>
      </c>
      <c r="P95" s="8">
        <f>'MKT DATA'!T153</f>
        <v>0</v>
      </c>
      <c r="Q95" s="43" t="str">
        <f t="shared" si="7"/>
        <v>syn BTCH7/BTCF7/BTCZ6/BTCV6</v>
      </c>
      <c r="R95" s="13">
        <f>'MKT DATA'!AB153</f>
        <v>0</v>
      </c>
    </row>
    <row r="96" spans="5:18" x14ac:dyDescent="0.25">
      <c r="E96" s="43" t="str">
        <f>'MKT DATA'!B154</f>
        <v>syn BTCH7/BTCF7/BTCG7/BTCV6</v>
      </c>
      <c r="F96" s="13">
        <f>'MKT DATA'!J154</f>
        <v>1</v>
      </c>
      <c r="G96" s="8">
        <f>'MKT DATA'!K154</f>
        <v>82449</v>
      </c>
      <c r="H96" s="8">
        <f>'MKT DATA'!L154</f>
        <v>84635</v>
      </c>
      <c r="I96" s="13">
        <f>'MKT DATA'!M154</f>
        <v>1</v>
      </c>
      <c r="J96" s="43" t="str">
        <f t="shared" si="6"/>
        <v>syn BTCH7/BTCF7/BTCG7/BTCV6</v>
      </c>
      <c r="K96" s="8">
        <f>'MKT DATA'!O154</f>
        <v>0</v>
      </c>
      <c r="L96" s="8">
        <f>'MKT DATA'!P154</f>
        <v>82449</v>
      </c>
      <c r="M96" s="8">
        <f>'MKT DATA'!Q154</f>
        <v>0</v>
      </c>
      <c r="N96" s="8">
        <f>'MKT DATA'!R154</f>
        <v>0</v>
      </c>
      <c r="O96" s="8">
        <f>'MKT DATA'!S154</f>
        <v>-84635</v>
      </c>
      <c r="P96" s="8">
        <f>'MKT DATA'!T154</f>
        <v>0</v>
      </c>
      <c r="Q96" s="43" t="str">
        <f t="shared" si="7"/>
        <v>syn BTCH7/BTCF7/BTCG7/BTCV6</v>
      </c>
      <c r="R96" s="13">
        <f>'MKT DATA'!AB154</f>
        <v>0</v>
      </c>
    </row>
    <row r="97" spans="5:18" x14ac:dyDescent="0.25">
      <c r="E97" s="43" t="str">
        <f>'MKT DATA'!B155</f>
        <v>syn BTCH7/BTCG7/BTCX6/BTCV6</v>
      </c>
      <c r="F97" s="13">
        <f>'MKT DATA'!J155</f>
        <v>1</v>
      </c>
      <c r="G97" s="8">
        <f>'MKT DATA'!K155</f>
        <v>82789</v>
      </c>
      <c r="H97" s="8">
        <f>'MKT DATA'!L155</f>
        <v>84263</v>
      </c>
      <c r="I97" s="13">
        <f>'MKT DATA'!M155</f>
        <v>1</v>
      </c>
      <c r="J97" s="43" t="str">
        <f t="shared" si="6"/>
        <v>syn BTCH7/BTCG7/BTCX6/BTCV6</v>
      </c>
      <c r="K97" s="8">
        <f>'MKT DATA'!O155</f>
        <v>0</v>
      </c>
      <c r="L97" s="8">
        <f>'MKT DATA'!P155</f>
        <v>82789</v>
      </c>
      <c r="M97" s="8">
        <f>'MKT DATA'!Q155</f>
        <v>0</v>
      </c>
      <c r="N97" s="8">
        <f>'MKT DATA'!R155</f>
        <v>0</v>
      </c>
      <c r="O97" s="8">
        <f>'MKT DATA'!S155</f>
        <v>-84263</v>
      </c>
      <c r="P97" s="8">
        <f>'MKT DATA'!T155</f>
        <v>0</v>
      </c>
      <c r="Q97" s="43" t="str">
        <f t="shared" si="7"/>
        <v>syn BTCH7/BTCG7/BTCX6/BTCV6</v>
      </c>
      <c r="R97" s="13">
        <f>'MKT DATA'!AB155</f>
        <v>0</v>
      </c>
    </row>
    <row r="98" spans="5:18" x14ac:dyDescent="0.25">
      <c r="E98" s="43" t="str">
        <f>'MKT DATA'!B156</f>
        <v>syn BTCH7/BTCG7/BTCZ6/BTCV6</v>
      </c>
      <c r="F98" s="13">
        <f>'MKT DATA'!J156</f>
        <v>1</v>
      </c>
      <c r="G98" s="8">
        <f>'MKT DATA'!K156</f>
        <v>82743</v>
      </c>
      <c r="H98" s="8">
        <f>'MKT DATA'!L156</f>
        <v>84294</v>
      </c>
      <c r="I98" s="13">
        <f>'MKT DATA'!M156</f>
        <v>1</v>
      </c>
      <c r="J98" s="43" t="str">
        <f t="shared" si="6"/>
        <v>syn BTCH7/BTCG7/BTCZ6/BTCV6</v>
      </c>
      <c r="K98" s="8">
        <f>'MKT DATA'!O156</f>
        <v>0</v>
      </c>
      <c r="L98" s="8">
        <f>'MKT DATA'!P156</f>
        <v>82743</v>
      </c>
      <c r="M98" s="8">
        <f>'MKT DATA'!Q156</f>
        <v>0</v>
      </c>
      <c r="N98" s="8">
        <f>'MKT DATA'!R156</f>
        <v>0</v>
      </c>
      <c r="O98" s="8">
        <f>'MKT DATA'!S156</f>
        <v>-84294</v>
      </c>
      <c r="P98" s="8">
        <f>'MKT DATA'!T156</f>
        <v>0</v>
      </c>
      <c r="Q98" s="43" t="str">
        <f t="shared" si="7"/>
        <v>syn BTCH7/BTCG7/BTCZ6/BTCV6</v>
      </c>
      <c r="R98" s="13">
        <f>'MKT DATA'!AB156</f>
        <v>0</v>
      </c>
    </row>
    <row r="99" spans="5:18" x14ac:dyDescent="0.25">
      <c r="E99" s="43" t="str">
        <f>'MKT DATA'!B157</f>
        <v>syn BTCH7/BTCG7/BTCF7/BTCV6</v>
      </c>
      <c r="F99" s="13">
        <f>'MKT DATA'!J157</f>
        <v>1</v>
      </c>
      <c r="G99" s="8">
        <f>'MKT DATA'!K157</f>
        <v>82846</v>
      </c>
      <c r="H99" s="8">
        <f>'MKT DATA'!L157</f>
        <v>84245</v>
      </c>
      <c r="I99" s="13">
        <f>'MKT DATA'!M157</f>
        <v>1</v>
      </c>
      <c r="J99" s="43" t="str">
        <f t="shared" si="6"/>
        <v>syn BTCH7/BTCG7/BTCF7/BTCV6</v>
      </c>
      <c r="K99" s="8">
        <f>'MKT DATA'!O157</f>
        <v>0</v>
      </c>
      <c r="L99" s="8">
        <f>'MKT DATA'!P157</f>
        <v>82846</v>
      </c>
      <c r="M99" s="8">
        <f>'MKT DATA'!Q157</f>
        <v>0</v>
      </c>
      <c r="N99" s="8">
        <f>'MKT DATA'!R157</f>
        <v>0</v>
      </c>
      <c r="O99" s="8">
        <f>'MKT DATA'!S157</f>
        <v>-84245</v>
      </c>
      <c r="P99" s="8">
        <f>'MKT DATA'!T157</f>
        <v>0</v>
      </c>
      <c r="Q99" s="43" t="str">
        <f t="shared" si="7"/>
        <v>syn BTCH7/BTCG7/BTCF7/BTCV6</v>
      </c>
      <c r="R99" s="13">
        <f>'MKT DATA'!AB157</f>
        <v>0</v>
      </c>
    </row>
    <row r="100" spans="5:18" x14ac:dyDescent="0.25">
      <c r="E100" s="43" t="str">
        <f>'MKT DATA'!B158</f>
        <v>syn BTCX6/BTCZ6/BTCF7/BTCG7/BTCV6</v>
      </c>
      <c r="F100" s="13">
        <f>'MKT DATA'!J158</f>
        <v>1</v>
      </c>
      <c r="G100" s="8">
        <f>'MKT DATA'!K158</f>
        <v>83230</v>
      </c>
      <c r="H100" s="8">
        <f>'MKT DATA'!L158</f>
        <v>83865</v>
      </c>
      <c r="I100" s="13">
        <f>'MKT DATA'!M158</f>
        <v>1</v>
      </c>
      <c r="J100" s="43" t="str">
        <f t="shared" si="6"/>
        <v>syn BTCX6/BTCZ6/BTCF7/BTCG7/BTCV6</v>
      </c>
      <c r="K100" s="8">
        <f>'MKT DATA'!O158</f>
        <v>0</v>
      </c>
      <c r="L100" s="8">
        <f>'MKT DATA'!P158</f>
        <v>83230</v>
      </c>
      <c r="M100" s="8">
        <f>'MKT DATA'!Q158</f>
        <v>0</v>
      </c>
      <c r="N100" s="8">
        <f>'MKT DATA'!R158</f>
        <v>0</v>
      </c>
      <c r="O100" s="8">
        <f>'MKT DATA'!S158</f>
        <v>-83865</v>
      </c>
      <c r="P100" s="8">
        <f>'MKT DATA'!T158</f>
        <v>0</v>
      </c>
      <c r="Q100" s="43" t="str">
        <f t="shared" si="7"/>
        <v>syn BTCX6/BTCZ6/BTCF7/BTCG7/BTCV6</v>
      </c>
      <c r="R100" s="13">
        <f>'MKT DATA'!AB158</f>
        <v>0</v>
      </c>
    </row>
    <row r="101" spans="5:18" x14ac:dyDescent="0.25">
      <c r="E101" s="43" t="str">
        <f>'MKT DATA'!B159</f>
        <v>syn BTCX6/BTCZ6/BTCF7/BTCH7/BTCV6</v>
      </c>
      <c r="F101" s="13">
        <f>'MKT DATA'!J159</f>
        <v>1</v>
      </c>
      <c r="G101" s="8">
        <f>'MKT DATA'!K159</f>
        <v>82651</v>
      </c>
      <c r="H101" s="8">
        <f>'MKT DATA'!L159</f>
        <v>84460</v>
      </c>
      <c r="I101" s="13">
        <f>'MKT DATA'!M159</f>
        <v>1</v>
      </c>
      <c r="J101" s="43" t="str">
        <f t="shared" si="6"/>
        <v>syn BTCX6/BTCZ6/BTCF7/BTCH7/BTCV6</v>
      </c>
      <c r="K101" s="8">
        <f>'MKT DATA'!O159</f>
        <v>0</v>
      </c>
      <c r="L101" s="8">
        <f>'MKT DATA'!P159</f>
        <v>82651</v>
      </c>
      <c r="M101" s="8">
        <f>'MKT DATA'!Q159</f>
        <v>0</v>
      </c>
      <c r="N101" s="8">
        <f>'MKT DATA'!R159</f>
        <v>0</v>
      </c>
      <c r="O101" s="8">
        <f>'MKT DATA'!S159</f>
        <v>-84460</v>
      </c>
      <c r="P101" s="8">
        <f>'MKT DATA'!T159</f>
        <v>0</v>
      </c>
      <c r="Q101" s="43" t="str">
        <f t="shared" si="7"/>
        <v>syn BTCX6/BTCZ6/BTCF7/BTCH7/BTCV6</v>
      </c>
      <c r="R101" s="13">
        <f>'MKT DATA'!AB159</f>
        <v>0</v>
      </c>
    </row>
    <row r="102" spans="5:18" x14ac:dyDescent="0.25">
      <c r="E102" s="43" t="str">
        <f>'MKT DATA'!B160</f>
        <v>syn BTCX6/BTCZ6/BTCG7/BTCF7/BTCV6</v>
      </c>
      <c r="F102" s="13">
        <f>'MKT DATA'!J160</f>
        <v>1</v>
      </c>
      <c r="G102" s="8">
        <f>'MKT DATA'!K160</f>
        <v>83170</v>
      </c>
      <c r="H102" s="8">
        <f>'MKT DATA'!L160</f>
        <v>83991</v>
      </c>
      <c r="I102" s="13">
        <f>'MKT DATA'!M160</f>
        <v>1</v>
      </c>
      <c r="J102" s="43" t="str">
        <f t="shared" si="6"/>
        <v>syn BTCX6/BTCZ6/BTCG7/BTCF7/BTCV6</v>
      </c>
      <c r="K102" s="8">
        <f>'MKT DATA'!O160</f>
        <v>0</v>
      </c>
      <c r="L102" s="8">
        <f>'MKT DATA'!P160</f>
        <v>83170</v>
      </c>
      <c r="M102" s="8">
        <f>'MKT DATA'!Q160</f>
        <v>0</v>
      </c>
      <c r="N102" s="8">
        <f>'MKT DATA'!R160</f>
        <v>0</v>
      </c>
      <c r="O102" s="8">
        <f>'MKT DATA'!S160</f>
        <v>-83991</v>
      </c>
      <c r="P102" s="8">
        <f>'MKT DATA'!T160</f>
        <v>0</v>
      </c>
      <c r="Q102" s="43" t="str">
        <f t="shared" si="7"/>
        <v>syn BTCX6/BTCZ6/BTCG7/BTCF7/BTCV6</v>
      </c>
      <c r="R102" s="13">
        <f>'MKT DATA'!AB160</f>
        <v>0</v>
      </c>
    </row>
    <row r="103" spans="5:18" x14ac:dyDescent="0.25">
      <c r="E103" s="43" t="str">
        <f>'MKT DATA'!B161</f>
        <v>syn BTCX6/BTCZ6/BTCG7/BTCH7/BTCV6</v>
      </c>
      <c r="F103" s="13">
        <f>'MKT DATA'!J161</f>
        <v>1</v>
      </c>
      <c r="G103" s="8">
        <f>'MKT DATA'!K161</f>
        <v>82774</v>
      </c>
      <c r="H103" s="8">
        <f>'MKT DATA'!L161</f>
        <v>84396</v>
      </c>
      <c r="I103" s="13">
        <f>'MKT DATA'!M161</f>
        <v>1</v>
      </c>
      <c r="J103" s="43" t="str">
        <f t="shared" si="6"/>
        <v>syn BTCX6/BTCZ6/BTCG7/BTCH7/BTCV6</v>
      </c>
      <c r="K103" s="8">
        <f>'MKT DATA'!O161</f>
        <v>0</v>
      </c>
      <c r="L103" s="8">
        <f>'MKT DATA'!P161</f>
        <v>82774</v>
      </c>
      <c r="M103" s="8">
        <f>'MKT DATA'!Q161</f>
        <v>0</v>
      </c>
      <c r="N103" s="8">
        <f>'MKT DATA'!R161</f>
        <v>0</v>
      </c>
      <c r="O103" s="8">
        <f>'MKT DATA'!S161</f>
        <v>-84396</v>
      </c>
      <c r="P103" s="8">
        <f>'MKT DATA'!T161</f>
        <v>0</v>
      </c>
      <c r="Q103" s="43" t="str">
        <f t="shared" si="7"/>
        <v>syn BTCX6/BTCZ6/BTCG7/BTCH7/BTCV6</v>
      </c>
      <c r="R103" s="13">
        <f>'MKT DATA'!AB161</f>
        <v>0</v>
      </c>
    </row>
    <row r="104" spans="5:18" x14ac:dyDescent="0.25">
      <c r="E104" s="43" t="str">
        <f>'MKT DATA'!B162</f>
        <v>syn BTCX6/BTCZ6/BTCH7/BTCF7/BTCV6</v>
      </c>
      <c r="F104" s="13">
        <f>'MKT DATA'!J162</f>
        <v>1</v>
      </c>
      <c r="G104" s="8">
        <f>'MKT DATA'!K162</f>
        <v>82785</v>
      </c>
      <c r="H104" s="8">
        <f>'MKT DATA'!L162</f>
        <v>84540</v>
      </c>
      <c r="I104" s="13">
        <f>'MKT DATA'!M162</f>
        <v>1</v>
      </c>
      <c r="J104" s="43" t="str">
        <f t="shared" si="6"/>
        <v>syn BTCX6/BTCZ6/BTCH7/BTCF7/BTCV6</v>
      </c>
      <c r="K104" s="8">
        <f>'MKT DATA'!O162</f>
        <v>0</v>
      </c>
      <c r="L104" s="8">
        <f>'MKT DATA'!P162</f>
        <v>82785</v>
      </c>
      <c r="M104" s="8">
        <f>'MKT DATA'!Q162</f>
        <v>0</v>
      </c>
      <c r="N104" s="8">
        <f>'MKT DATA'!R162</f>
        <v>0</v>
      </c>
      <c r="O104" s="8">
        <f>'MKT DATA'!S162</f>
        <v>-84540</v>
      </c>
      <c r="P104" s="8">
        <f>'MKT DATA'!T162</f>
        <v>0</v>
      </c>
      <c r="Q104" s="43" t="str">
        <f t="shared" si="7"/>
        <v>syn BTCX6/BTCZ6/BTCH7/BTCF7/BTCV6</v>
      </c>
      <c r="R104" s="13">
        <f>'MKT DATA'!AB162</f>
        <v>0</v>
      </c>
    </row>
    <row r="105" spans="5:18" x14ac:dyDescent="0.25">
      <c r="E105" s="43" t="str">
        <f>'MKT DATA'!B163</f>
        <v>syn BTCX6/BTCZ6/BTCH7/BTCG7/BTCV6</v>
      </c>
      <c r="F105" s="13">
        <f>'MKT DATA'!J163</f>
        <v>1</v>
      </c>
      <c r="G105" s="8">
        <f>'MKT DATA'!K163</f>
        <v>82929</v>
      </c>
      <c r="H105" s="8">
        <f>'MKT DATA'!L163</f>
        <v>84311</v>
      </c>
      <c r="I105" s="13">
        <f>'MKT DATA'!M163</f>
        <v>1</v>
      </c>
      <c r="J105" s="43" t="str">
        <f t="shared" si="6"/>
        <v>syn BTCX6/BTCZ6/BTCH7/BTCG7/BTCV6</v>
      </c>
      <c r="K105" s="8">
        <f>'MKT DATA'!O163</f>
        <v>0</v>
      </c>
      <c r="L105" s="8">
        <f>'MKT DATA'!P163</f>
        <v>82929</v>
      </c>
      <c r="M105" s="8">
        <f>'MKT DATA'!Q163</f>
        <v>0</v>
      </c>
      <c r="N105" s="8">
        <f>'MKT DATA'!R163</f>
        <v>0</v>
      </c>
      <c r="O105" s="8">
        <f>'MKT DATA'!S163</f>
        <v>-84311</v>
      </c>
      <c r="P105" s="8">
        <f>'MKT DATA'!T163</f>
        <v>0</v>
      </c>
      <c r="Q105" s="43" t="str">
        <f t="shared" si="7"/>
        <v>syn BTCX6/BTCZ6/BTCH7/BTCG7/BTCV6</v>
      </c>
      <c r="R105" s="13">
        <f>'MKT DATA'!AB163</f>
        <v>0</v>
      </c>
    </row>
    <row r="106" spans="5:18" x14ac:dyDescent="0.25">
      <c r="E106" s="43" t="str">
        <f>'MKT DATA'!B164</f>
        <v>syn BTCX6/BTCF7/BTCZ6/BTCG7/BTCV6</v>
      </c>
      <c r="F106" s="13">
        <f>'MKT DATA'!J164</f>
        <v>1</v>
      </c>
      <c r="G106" s="8">
        <f>'MKT DATA'!K164</f>
        <v>83047</v>
      </c>
      <c r="H106" s="8">
        <f>'MKT DATA'!L164</f>
        <v>84037</v>
      </c>
      <c r="I106" s="13">
        <f>'MKT DATA'!M164</f>
        <v>1</v>
      </c>
      <c r="J106" s="43" t="str">
        <f t="shared" si="6"/>
        <v>syn BTCX6/BTCF7/BTCZ6/BTCG7/BTCV6</v>
      </c>
      <c r="K106" s="8">
        <f>'MKT DATA'!O164</f>
        <v>0</v>
      </c>
      <c r="L106" s="8">
        <f>'MKT DATA'!P164</f>
        <v>83047</v>
      </c>
      <c r="M106" s="8">
        <f>'MKT DATA'!Q164</f>
        <v>0</v>
      </c>
      <c r="N106" s="8">
        <f>'MKT DATA'!R164</f>
        <v>0</v>
      </c>
      <c r="O106" s="8">
        <f>'MKT DATA'!S164</f>
        <v>-84037</v>
      </c>
      <c r="P106" s="8">
        <f>'MKT DATA'!T164</f>
        <v>0</v>
      </c>
      <c r="Q106" s="43" t="str">
        <f t="shared" si="7"/>
        <v>syn BTCX6/BTCF7/BTCZ6/BTCG7/BTCV6</v>
      </c>
      <c r="R106" s="13">
        <f>'MKT DATA'!AB164</f>
        <v>0</v>
      </c>
    </row>
    <row r="107" spans="5:18" x14ac:dyDescent="0.25">
      <c r="E107" s="43" t="str">
        <f>'MKT DATA'!B165</f>
        <v>syn BTCX6/BTCF7/BTCZ6/BTCH7/BTCV6</v>
      </c>
      <c r="F107" s="13">
        <f>'MKT DATA'!J165</f>
        <v>1</v>
      </c>
      <c r="G107" s="8">
        <f>'MKT DATA'!K165</f>
        <v>82847</v>
      </c>
      <c r="H107" s="8">
        <f>'MKT DATA'!L165</f>
        <v>84417</v>
      </c>
      <c r="I107" s="13">
        <f>'MKT DATA'!M165</f>
        <v>1</v>
      </c>
      <c r="J107" s="43" t="str">
        <f t="shared" si="6"/>
        <v>syn BTCX6/BTCF7/BTCZ6/BTCH7/BTCV6</v>
      </c>
      <c r="K107" s="8">
        <f>'MKT DATA'!O165</f>
        <v>0</v>
      </c>
      <c r="L107" s="8">
        <f>'MKT DATA'!P165</f>
        <v>82847</v>
      </c>
      <c r="M107" s="8">
        <f>'MKT DATA'!Q165</f>
        <v>0</v>
      </c>
      <c r="N107" s="8">
        <f>'MKT DATA'!R165</f>
        <v>0</v>
      </c>
      <c r="O107" s="8">
        <f>'MKT DATA'!S165</f>
        <v>-84417</v>
      </c>
      <c r="P107" s="8">
        <f>'MKT DATA'!T165</f>
        <v>0</v>
      </c>
      <c r="Q107" s="43" t="str">
        <f t="shared" si="7"/>
        <v>syn BTCX6/BTCF7/BTCZ6/BTCH7/BTCV6</v>
      </c>
      <c r="R107" s="13">
        <f>'MKT DATA'!AB165</f>
        <v>0</v>
      </c>
    </row>
    <row r="108" spans="5:18" x14ac:dyDescent="0.25">
      <c r="E108" s="43" t="str">
        <f>'MKT DATA'!B166</f>
        <v>syn BTCX6/BTCF7/BTCG7/BTCZ6/BTCV6</v>
      </c>
      <c r="F108" s="13">
        <f>'MKT DATA'!J166</f>
        <v>1</v>
      </c>
      <c r="G108" s="8">
        <f>'MKT DATA'!K166</f>
        <v>83133</v>
      </c>
      <c r="H108" s="8">
        <f>'MKT DATA'!L166</f>
        <v>83923</v>
      </c>
      <c r="I108" s="13">
        <f>'MKT DATA'!M166</f>
        <v>1</v>
      </c>
      <c r="J108" s="43" t="str">
        <f t="shared" si="6"/>
        <v>syn BTCX6/BTCF7/BTCG7/BTCZ6/BTCV6</v>
      </c>
      <c r="K108" s="8">
        <f>'MKT DATA'!O166</f>
        <v>0</v>
      </c>
      <c r="L108" s="8">
        <f>'MKT DATA'!P166</f>
        <v>83133</v>
      </c>
      <c r="M108" s="8">
        <f>'MKT DATA'!Q166</f>
        <v>0</v>
      </c>
      <c r="N108" s="8">
        <f>'MKT DATA'!R166</f>
        <v>0</v>
      </c>
      <c r="O108" s="8">
        <f>'MKT DATA'!S166</f>
        <v>-83923</v>
      </c>
      <c r="P108" s="8">
        <f>'MKT DATA'!T166</f>
        <v>0</v>
      </c>
      <c r="Q108" s="43" t="str">
        <f t="shared" si="7"/>
        <v>syn BTCX6/BTCF7/BTCG7/BTCZ6/BTCV6</v>
      </c>
      <c r="R108" s="13">
        <f>'MKT DATA'!AB166</f>
        <v>0</v>
      </c>
    </row>
    <row r="109" spans="5:18" x14ac:dyDescent="0.25">
      <c r="E109" s="43" t="str">
        <f>'MKT DATA'!B167</f>
        <v>syn BTCX6/BTCF7/BTCG7/BTCH7/BTCV6</v>
      </c>
      <c r="F109" s="13">
        <f>'MKT DATA'!J167</f>
        <v>1</v>
      </c>
      <c r="G109" s="8">
        <f>'MKT DATA'!K167</f>
        <v>82840</v>
      </c>
      <c r="H109" s="8">
        <f>'MKT DATA'!L167</f>
        <v>84279</v>
      </c>
      <c r="I109" s="13">
        <f>'MKT DATA'!M167</f>
        <v>1</v>
      </c>
      <c r="J109" s="43" t="str">
        <f t="shared" si="6"/>
        <v>syn BTCX6/BTCF7/BTCG7/BTCH7/BTCV6</v>
      </c>
      <c r="K109" s="8">
        <f>'MKT DATA'!O167</f>
        <v>0</v>
      </c>
      <c r="L109" s="8">
        <f>'MKT DATA'!P167</f>
        <v>82840</v>
      </c>
      <c r="M109" s="8">
        <f>'MKT DATA'!Q167</f>
        <v>0</v>
      </c>
      <c r="N109" s="8">
        <f>'MKT DATA'!R167</f>
        <v>0</v>
      </c>
      <c r="O109" s="8">
        <f>'MKT DATA'!S167</f>
        <v>-84279</v>
      </c>
      <c r="P109" s="8">
        <f>'MKT DATA'!T167</f>
        <v>0</v>
      </c>
      <c r="Q109" s="43" t="str">
        <f t="shared" si="7"/>
        <v>syn BTCX6/BTCF7/BTCG7/BTCH7/BTCV6</v>
      </c>
      <c r="R109" s="13">
        <f>'MKT DATA'!AB167</f>
        <v>0</v>
      </c>
    </row>
    <row r="110" spans="5:18" x14ac:dyDescent="0.25">
      <c r="E110" s="43" t="str">
        <f>'MKT DATA'!B168</f>
        <v>syn BTCX6/BTCF7/BTCH7/BTCZ6/BTCV6</v>
      </c>
      <c r="F110" s="13">
        <f>'MKT DATA'!J168</f>
        <v>1</v>
      </c>
      <c r="G110" s="8">
        <f>'MKT DATA'!K168</f>
        <v>82584</v>
      </c>
      <c r="H110" s="8">
        <f>'MKT DATA'!L168</f>
        <v>84308</v>
      </c>
      <c r="I110" s="13">
        <f>'MKT DATA'!M168</f>
        <v>1</v>
      </c>
      <c r="J110" s="43" t="str">
        <f t="shared" si="6"/>
        <v>syn BTCX6/BTCF7/BTCH7/BTCZ6/BTCV6</v>
      </c>
      <c r="K110" s="8">
        <f>'MKT DATA'!O168</f>
        <v>0</v>
      </c>
      <c r="L110" s="8">
        <f>'MKT DATA'!P168</f>
        <v>82584</v>
      </c>
      <c r="M110" s="8">
        <f>'MKT DATA'!Q168</f>
        <v>0</v>
      </c>
      <c r="N110" s="8">
        <f>'MKT DATA'!R168</f>
        <v>0</v>
      </c>
      <c r="O110" s="8">
        <f>'MKT DATA'!S168</f>
        <v>-84308</v>
      </c>
      <c r="P110" s="8">
        <f>'MKT DATA'!T168</f>
        <v>0</v>
      </c>
      <c r="Q110" s="43" t="str">
        <f t="shared" si="7"/>
        <v>syn BTCX6/BTCF7/BTCH7/BTCZ6/BTCV6</v>
      </c>
      <c r="R110" s="13">
        <f>'MKT DATA'!AB168</f>
        <v>0</v>
      </c>
    </row>
    <row r="111" spans="5:18" x14ac:dyDescent="0.25">
      <c r="E111" s="43" t="str">
        <f>'MKT DATA'!B169</f>
        <v>syn BTCX6/BTCF7/BTCH7/BTCG7/BTCV6</v>
      </c>
      <c r="F111" s="13">
        <f>'MKT DATA'!J169</f>
        <v>1</v>
      </c>
      <c r="G111" s="8">
        <f>'MKT DATA'!K169</f>
        <v>82616</v>
      </c>
      <c r="H111" s="8">
        <f>'MKT DATA'!L169</f>
        <v>84409</v>
      </c>
      <c r="I111" s="13">
        <f>'MKT DATA'!M169</f>
        <v>1</v>
      </c>
      <c r="J111" s="43" t="str">
        <f t="shared" si="6"/>
        <v>syn BTCX6/BTCF7/BTCH7/BTCG7/BTCV6</v>
      </c>
      <c r="K111" s="8">
        <f>'MKT DATA'!O169</f>
        <v>0</v>
      </c>
      <c r="L111" s="8">
        <f>'MKT DATA'!P169</f>
        <v>82616</v>
      </c>
      <c r="M111" s="8">
        <f>'MKT DATA'!Q169</f>
        <v>0</v>
      </c>
      <c r="N111" s="8">
        <f>'MKT DATA'!R169</f>
        <v>0</v>
      </c>
      <c r="O111" s="8">
        <f>'MKT DATA'!S169</f>
        <v>-84409</v>
      </c>
      <c r="P111" s="8">
        <f>'MKT DATA'!T169</f>
        <v>0</v>
      </c>
      <c r="Q111" s="43" t="str">
        <f t="shared" si="7"/>
        <v>syn BTCX6/BTCF7/BTCH7/BTCG7/BTCV6</v>
      </c>
      <c r="R111" s="13">
        <f>'MKT DATA'!AB169</f>
        <v>0</v>
      </c>
    </row>
    <row r="112" spans="5:18" x14ac:dyDescent="0.25">
      <c r="E112" s="43" t="str">
        <f>'MKT DATA'!B170</f>
        <v>syn BTCX6/BTCG7/BTCZ6/BTCF7/BTCV6</v>
      </c>
      <c r="F112" s="13">
        <f>'MKT DATA'!J170</f>
        <v>1</v>
      </c>
      <c r="G112" s="8">
        <f>'MKT DATA'!K170</f>
        <v>83033</v>
      </c>
      <c r="H112" s="8">
        <f>'MKT DATA'!L170</f>
        <v>84093</v>
      </c>
      <c r="I112" s="13">
        <f>'MKT DATA'!M170</f>
        <v>1</v>
      </c>
      <c r="J112" s="43" t="str">
        <f t="shared" si="6"/>
        <v>syn BTCX6/BTCG7/BTCZ6/BTCF7/BTCV6</v>
      </c>
      <c r="K112" s="8">
        <f>'MKT DATA'!O170</f>
        <v>0</v>
      </c>
      <c r="L112" s="8">
        <f>'MKT DATA'!P170</f>
        <v>83033</v>
      </c>
      <c r="M112" s="8">
        <f>'MKT DATA'!Q170</f>
        <v>0</v>
      </c>
      <c r="N112" s="8">
        <f>'MKT DATA'!R170</f>
        <v>0</v>
      </c>
      <c r="O112" s="8">
        <f>'MKT DATA'!S170</f>
        <v>-84093</v>
      </c>
      <c r="P112" s="8">
        <f>'MKT DATA'!T170</f>
        <v>0</v>
      </c>
      <c r="Q112" s="43" t="str">
        <f t="shared" si="7"/>
        <v>syn BTCX6/BTCG7/BTCZ6/BTCF7/BTCV6</v>
      </c>
      <c r="R112" s="13">
        <f>'MKT DATA'!AB170</f>
        <v>0</v>
      </c>
    </row>
    <row r="113" spans="5:18" x14ac:dyDescent="0.25">
      <c r="E113" s="43" t="str">
        <f>'MKT DATA'!B171</f>
        <v>syn BTCX6/BTCG7/BTCZ6/BTCH7/BTCV6</v>
      </c>
      <c r="F113" s="13">
        <f>'MKT DATA'!J171</f>
        <v>1</v>
      </c>
      <c r="G113" s="8">
        <f>'MKT DATA'!K171</f>
        <v>82520</v>
      </c>
      <c r="H113" s="8">
        <f>'MKT DATA'!L171</f>
        <v>84760</v>
      </c>
      <c r="I113" s="13">
        <f>'MKT DATA'!M171</f>
        <v>1</v>
      </c>
      <c r="J113" s="43" t="str">
        <f t="shared" si="6"/>
        <v>syn BTCX6/BTCG7/BTCZ6/BTCH7/BTCV6</v>
      </c>
      <c r="K113" s="8">
        <f>'MKT DATA'!O171</f>
        <v>0</v>
      </c>
      <c r="L113" s="8">
        <f>'MKT DATA'!P171</f>
        <v>82520</v>
      </c>
      <c r="M113" s="8">
        <f>'MKT DATA'!Q171</f>
        <v>0</v>
      </c>
      <c r="N113" s="8">
        <f>'MKT DATA'!R171</f>
        <v>0</v>
      </c>
      <c r="O113" s="8">
        <f>'MKT DATA'!S171</f>
        <v>-84760</v>
      </c>
      <c r="P113" s="8">
        <f>'MKT DATA'!T171</f>
        <v>0</v>
      </c>
      <c r="Q113" s="43" t="str">
        <f t="shared" si="7"/>
        <v>syn BTCX6/BTCG7/BTCZ6/BTCH7/BTCV6</v>
      </c>
      <c r="R113" s="13">
        <f>'MKT DATA'!AB171</f>
        <v>0</v>
      </c>
    </row>
    <row r="114" spans="5:18" x14ac:dyDescent="0.25">
      <c r="E114" s="43" t="str">
        <f>'MKT DATA'!B172</f>
        <v>syn BTCX6/BTCG7/BTCF7/BTCZ6/BTCV6</v>
      </c>
      <c r="F114" s="13">
        <f>'MKT DATA'!J172</f>
        <v>1</v>
      </c>
      <c r="G114" s="8">
        <f>'MKT DATA'!K172</f>
        <v>83219</v>
      </c>
      <c r="H114" s="8">
        <f>'MKT DATA'!L172</f>
        <v>83893</v>
      </c>
      <c r="I114" s="13">
        <f>'MKT DATA'!M172</f>
        <v>1</v>
      </c>
      <c r="J114" s="43" t="str">
        <f t="shared" si="6"/>
        <v>syn BTCX6/BTCG7/BTCF7/BTCZ6/BTCV6</v>
      </c>
      <c r="K114" s="8">
        <f>'MKT DATA'!O172</f>
        <v>0</v>
      </c>
      <c r="L114" s="8">
        <f>'MKT DATA'!P172</f>
        <v>83219</v>
      </c>
      <c r="M114" s="8">
        <f>'MKT DATA'!Q172</f>
        <v>0</v>
      </c>
      <c r="N114" s="8">
        <f>'MKT DATA'!R172</f>
        <v>0</v>
      </c>
      <c r="O114" s="8">
        <f>'MKT DATA'!S172</f>
        <v>-83893</v>
      </c>
      <c r="P114" s="8">
        <f>'MKT DATA'!T172</f>
        <v>0</v>
      </c>
      <c r="Q114" s="43" t="str">
        <f t="shared" si="7"/>
        <v>syn BTCX6/BTCG7/BTCF7/BTCZ6/BTCV6</v>
      </c>
      <c r="R114" s="13">
        <f>'MKT DATA'!AB172</f>
        <v>0</v>
      </c>
    </row>
    <row r="115" spans="5:18" x14ac:dyDescent="0.25">
      <c r="E115" s="43" t="str">
        <f>'MKT DATA'!B173</f>
        <v>syn BTCX6/BTCG7/BTCF7/BTCH7/BTCV6</v>
      </c>
      <c r="F115" s="13">
        <f>'MKT DATA'!J173</f>
        <v>1</v>
      </c>
      <c r="G115" s="8">
        <f>'MKT DATA'!K173</f>
        <v>82410</v>
      </c>
      <c r="H115" s="8">
        <f>'MKT DATA'!L173</f>
        <v>84706</v>
      </c>
      <c r="I115" s="13">
        <f>'MKT DATA'!M173</f>
        <v>1</v>
      </c>
      <c r="J115" s="43" t="str">
        <f t="shared" si="6"/>
        <v>syn BTCX6/BTCG7/BTCF7/BTCH7/BTCV6</v>
      </c>
      <c r="K115" s="8">
        <f>'MKT DATA'!O173</f>
        <v>0</v>
      </c>
      <c r="L115" s="8">
        <f>'MKT DATA'!P173</f>
        <v>82410</v>
      </c>
      <c r="M115" s="8">
        <f>'MKT DATA'!Q173</f>
        <v>0</v>
      </c>
      <c r="N115" s="8">
        <f>'MKT DATA'!R173</f>
        <v>0</v>
      </c>
      <c r="O115" s="8">
        <f>'MKT DATA'!S173</f>
        <v>-84706</v>
      </c>
      <c r="P115" s="8">
        <f>'MKT DATA'!T173</f>
        <v>0</v>
      </c>
      <c r="Q115" s="43" t="str">
        <f t="shared" si="7"/>
        <v>syn BTCX6/BTCG7/BTCF7/BTCH7/BTCV6</v>
      </c>
      <c r="R115" s="13">
        <f>'MKT DATA'!AB173</f>
        <v>0</v>
      </c>
    </row>
    <row r="116" spans="5:18" x14ac:dyDescent="0.25">
      <c r="E116" s="43" t="str">
        <f>'MKT DATA'!B174</f>
        <v>syn BTCX6/BTCG7/BTCH7/BTCZ6/BTCV6</v>
      </c>
      <c r="F116" s="13">
        <f>'MKT DATA'!J174</f>
        <v>1</v>
      </c>
      <c r="G116" s="8">
        <f>'MKT DATA'!K174</f>
        <v>82773</v>
      </c>
      <c r="H116" s="8">
        <f>'MKT DATA'!L174</f>
        <v>84194</v>
      </c>
      <c r="I116" s="13">
        <f>'MKT DATA'!M174</f>
        <v>1</v>
      </c>
      <c r="J116" s="43" t="str">
        <f t="shared" si="6"/>
        <v>syn BTCX6/BTCG7/BTCH7/BTCZ6/BTCV6</v>
      </c>
      <c r="K116" s="8">
        <f>'MKT DATA'!O174</f>
        <v>0</v>
      </c>
      <c r="L116" s="8">
        <f>'MKT DATA'!P174</f>
        <v>82773</v>
      </c>
      <c r="M116" s="8">
        <f>'MKT DATA'!Q174</f>
        <v>0</v>
      </c>
      <c r="N116" s="8">
        <f>'MKT DATA'!R174</f>
        <v>0</v>
      </c>
      <c r="O116" s="8">
        <f>'MKT DATA'!S174</f>
        <v>-84194</v>
      </c>
      <c r="P116" s="8">
        <f>'MKT DATA'!T174</f>
        <v>0</v>
      </c>
      <c r="Q116" s="43" t="str">
        <f t="shared" si="7"/>
        <v>syn BTCX6/BTCG7/BTCH7/BTCZ6/BTCV6</v>
      </c>
      <c r="R116" s="13">
        <f>'MKT DATA'!AB174</f>
        <v>0</v>
      </c>
    </row>
    <row r="117" spans="5:18" x14ac:dyDescent="0.25">
      <c r="E117" s="43" t="str">
        <f>'MKT DATA'!B175</f>
        <v>syn BTCX6/BTCG7/BTCH7/BTCF7/BTCV6</v>
      </c>
      <c r="F117" s="13">
        <f>'MKT DATA'!J175</f>
        <v>1</v>
      </c>
      <c r="G117" s="8">
        <f>'MKT DATA'!K175</f>
        <v>82661</v>
      </c>
      <c r="H117" s="8">
        <f>'MKT DATA'!L175</f>
        <v>84524</v>
      </c>
      <c r="I117" s="13">
        <f>'MKT DATA'!M175</f>
        <v>1</v>
      </c>
      <c r="J117" s="43" t="str">
        <f t="shared" si="6"/>
        <v>syn BTCX6/BTCG7/BTCH7/BTCF7/BTCV6</v>
      </c>
      <c r="K117" s="8">
        <f>'MKT DATA'!O175</f>
        <v>0</v>
      </c>
      <c r="L117" s="8">
        <f>'MKT DATA'!P175</f>
        <v>82661</v>
      </c>
      <c r="M117" s="8">
        <f>'MKT DATA'!Q175</f>
        <v>0</v>
      </c>
      <c r="N117" s="8">
        <f>'MKT DATA'!R175</f>
        <v>0</v>
      </c>
      <c r="O117" s="8">
        <f>'MKT DATA'!S175</f>
        <v>-84524</v>
      </c>
      <c r="P117" s="8">
        <f>'MKT DATA'!T175</f>
        <v>0</v>
      </c>
      <c r="Q117" s="43" t="str">
        <f t="shared" si="7"/>
        <v>syn BTCX6/BTCG7/BTCH7/BTCF7/BTCV6</v>
      </c>
      <c r="R117" s="13">
        <f>'MKT DATA'!AB175</f>
        <v>0</v>
      </c>
    </row>
    <row r="118" spans="5:18" x14ac:dyDescent="0.25">
      <c r="E118" s="43" t="str">
        <f>'MKT DATA'!B176</f>
        <v>syn BTCX6/BTCH7/BTCZ6/BTCF7/BTCV6</v>
      </c>
      <c r="F118" s="13">
        <f>'MKT DATA'!J176</f>
        <v>1</v>
      </c>
      <c r="G118" s="8">
        <f>'MKT DATA'!K176</f>
        <v>82653</v>
      </c>
      <c r="H118" s="8">
        <f>'MKT DATA'!L176</f>
        <v>84293</v>
      </c>
      <c r="I118" s="13">
        <f>'MKT DATA'!M176</f>
        <v>1</v>
      </c>
      <c r="J118" s="43" t="str">
        <f t="shared" si="6"/>
        <v>syn BTCX6/BTCH7/BTCZ6/BTCF7/BTCV6</v>
      </c>
      <c r="K118" s="8">
        <f>'MKT DATA'!O176</f>
        <v>0</v>
      </c>
      <c r="L118" s="8">
        <f>'MKT DATA'!P176</f>
        <v>82653</v>
      </c>
      <c r="M118" s="8">
        <f>'MKT DATA'!Q176</f>
        <v>0</v>
      </c>
      <c r="N118" s="8">
        <f>'MKT DATA'!R176</f>
        <v>0</v>
      </c>
      <c r="O118" s="8">
        <f>'MKT DATA'!S176</f>
        <v>-84293</v>
      </c>
      <c r="P118" s="8">
        <f>'MKT DATA'!T176</f>
        <v>0</v>
      </c>
      <c r="Q118" s="43" t="str">
        <f t="shared" si="7"/>
        <v>syn BTCX6/BTCH7/BTCZ6/BTCF7/BTCV6</v>
      </c>
      <c r="R118" s="13">
        <f>'MKT DATA'!AB176</f>
        <v>0</v>
      </c>
    </row>
    <row r="119" spans="5:18" x14ac:dyDescent="0.25">
      <c r="E119" s="43" t="str">
        <f>'MKT DATA'!B177</f>
        <v>syn BTCX6/BTCH7/BTCZ6/BTCG7/BTCV6</v>
      </c>
      <c r="F119" s="13">
        <f>'MKT DATA'!J177</f>
        <v>1</v>
      </c>
      <c r="G119" s="8">
        <f>'MKT DATA'!K177</f>
        <v>82340</v>
      </c>
      <c r="H119" s="8">
        <f>'MKT DATA'!L177</f>
        <v>84580</v>
      </c>
      <c r="I119" s="13">
        <f>'MKT DATA'!M177</f>
        <v>1</v>
      </c>
      <c r="J119" s="43" t="str">
        <f t="shared" si="6"/>
        <v>syn BTCX6/BTCH7/BTCZ6/BTCG7/BTCV6</v>
      </c>
      <c r="K119" s="8">
        <f>'MKT DATA'!O177</f>
        <v>0</v>
      </c>
      <c r="L119" s="8">
        <f>'MKT DATA'!P177</f>
        <v>82340</v>
      </c>
      <c r="M119" s="8">
        <f>'MKT DATA'!Q177</f>
        <v>0</v>
      </c>
      <c r="N119" s="8">
        <f>'MKT DATA'!R177</f>
        <v>0</v>
      </c>
      <c r="O119" s="8">
        <f>'MKT DATA'!S177</f>
        <v>-84580</v>
      </c>
      <c r="P119" s="8">
        <f>'MKT DATA'!T177</f>
        <v>0</v>
      </c>
      <c r="Q119" s="43" t="str">
        <f t="shared" si="7"/>
        <v>syn BTCX6/BTCH7/BTCZ6/BTCG7/BTCV6</v>
      </c>
      <c r="R119" s="13">
        <f>'MKT DATA'!AB177</f>
        <v>0</v>
      </c>
    </row>
    <row r="120" spans="5:18" x14ac:dyDescent="0.25">
      <c r="E120" s="43" t="str">
        <f>'MKT DATA'!B178</f>
        <v>syn BTCX6/BTCH7/BTCF7/BTCZ6/BTCV6</v>
      </c>
      <c r="F120" s="13">
        <f>'MKT DATA'!J178</f>
        <v>1</v>
      </c>
      <c r="G120" s="8">
        <f>'MKT DATA'!K178</f>
        <v>82624</v>
      </c>
      <c r="H120" s="8">
        <f>'MKT DATA'!L178</f>
        <v>84472</v>
      </c>
      <c r="I120" s="13">
        <f>'MKT DATA'!M178</f>
        <v>1</v>
      </c>
      <c r="J120" s="43" t="str">
        <f t="shared" si="6"/>
        <v>syn BTCX6/BTCH7/BTCF7/BTCZ6/BTCV6</v>
      </c>
      <c r="K120" s="8">
        <f>'MKT DATA'!O178</f>
        <v>0</v>
      </c>
      <c r="L120" s="8">
        <f>'MKT DATA'!P178</f>
        <v>82624</v>
      </c>
      <c r="M120" s="8">
        <f>'MKT DATA'!Q178</f>
        <v>0</v>
      </c>
      <c r="N120" s="8">
        <f>'MKT DATA'!R178</f>
        <v>0</v>
      </c>
      <c r="O120" s="8">
        <f>'MKT DATA'!S178</f>
        <v>-84472</v>
      </c>
      <c r="P120" s="8">
        <f>'MKT DATA'!T178</f>
        <v>0</v>
      </c>
      <c r="Q120" s="43" t="str">
        <f t="shared" si="7"/>
        <v>syn BTCX6/BTCH7/BTCF7/BTCZ6/BTCV6</v>
      </c>
      <c r="R120" s="13">
        <f>'MKT DATA'!AB178</f>
        <v>0</v>
      </c>
    </row>
    <row r="121" spans="5:18" x14ac:dyDescent="0.25">
      <c r="E121" s="43" t="str">
        <f>'MKT DATA'!B179</f>
        <v>syn BTCX6/BTCH7/BTCF7/BTCG7/BTCV6</v>
      </c>
      <c r="F121" s="13">
        <f>'MKT DATA'!J179</f>
        <v>1</v>
      </c>
      <c r="G121" s="8">
        <f>'MKT DATA'!K179</f>
        <v>82394</v>
      </c>
      <c r="H121" s="8">
        <f>'MKT DATA'!L179</f>
        <v>84690</v>
      </c>
      <c r="I121" s="13">
        <f>'MKT DATA'!M179</f>
        <v>1</v>
      </c>
      <c r="J121" s="43" t="str">
        <f t="shared" si="6"/>
        <v>syn BTCX6/BTCH7/BTCF7/BTCG7/BTCV6</v>
      </c>
      <c r="K121" s="8">
        <f>'MKT DATA'!O179</f>
        <v>0</v>
      </c>
      <c r="L121" s="8">
        <f>'MKT DATA'!P179</f>
        <v>82394</v>
      </c>
      <c r="M121" s="8">
        <f>'MKT DATA'!Q179</f>
        <v>0</v>
      </c>
      <c r="N121" s="8">
        <f>'MKT DATA'!R179</f>
        <v>0</v>
      </c>
      <c r="O121" s="8">
        <f>'MKT DATA'!S179</f>
        <v>-84690</v>
      </c>
      <c r="P121" s="8">
        <f>'MKT DATA'!T179</f>
        <v>0</v>
      </c>
      <c r="Q121" s="43" t="str">
        <f t="shared" si="7"/>
        <v>syn BTCX6/BTCH7/BTCF7/BTCG7/BTCV6</v>
      </c>
      <c r="R121" s="13">
        <f>'MKT DATA'!AB179</f>
        <v>0</v>
      </c>
    </row>
    <row r="122" spans="5:18" x14ac:dyDescent="0.25">
      <c r="E122" s="43" t="str">
        <f>'MKT DATA'!B180</f>
        <v>syn BTCX6/BTCH7/BTCG7/BTCZ6/BTCV6</v>
      </c>
      <c r="F122" s="13">
        <f>'MKT DATA'!J180</f>
        <v>1</v>
      </c>
      <c r="G122" s="8">
        <f>'MKT DATA'!K180</f>
        <v>82688</v>
      </c>
      <c r="H122" s="8">
        <f>'MKT DATA'!L180</f>
        <v>84349</v>
      </c>
      <c r="I122" s="13">
        <f>'MKT DATA'!M180</f>
        <v>1</v>
      </c>
      <c r="J122" s="43" t="str">
        <f t="shared" si="6"/>
        <v>syn BTCX6/BTCH7/BTCG7/BTCZ6/BTCV6</v>
      </c>
      <c r="K122" s="8">
        <f>'MKT DATA'!O180</f>
        <v>0</v>
      </c>
      <c r="L122" s="8">
        <f>'MKT DATA'!P180</f>
        <v>82688</v>
      </c>
      <c r="M122" s="8">
        <f>'MKT DATA'!Q180</f>
        <v>0</v>
      </c>
      <c r="N122" s="8">
        <f>'MKT DATA'!R180</f>
        <v>0</v>
      </c>
      <c r="O122" s="8">
        <f>'MKT DATA'!S180</f>
        <v>-84349</v>
      </c>
      <c r="P122" s="8">
        <f>'MKT DATA'!T180</f>
        <v>0</v>
      </c>
      <c r="Q122" s="43" t="str">
        <f t="shared" si="7"/>
        <v>syn BTCX6/BTCH7/BTCG7/BTCZ6/BTCV6</v>
      </c>
      <c r="R122" s="13">
        <f>'MKT DATA'!AB180</f>
        <v>0</v>
      </c>
    </row>
    <row r="123" spans="5:18" x14ac:dyDescent="0.25">
      <c r="E123" s="43" t="str">
        <f>'MKT DATA'!B181</f>
        <v>syn BTCX6/BTCH7/BTCG7/BTCF7/BTCV6</v>
      </c>
      <c r="F123" s="13">
        <f>'MKT DATA'!J181</f>
        <v>1</v>
      </c>
      <c r="G123" s="8">
        <f>'MKT DATA'!K181</f>
        <v>82791</v>
      </c>
      <c r="H123" s="8">
        <f>'MKT DATA'!L181</f>
        <v>84300</v>
      </c>
      <c r="I123" s="13">
        <f>'MKT DATA'!M181</f>
        <v>1</v>
      </c>
      <c r="J123" s="43" t="str">
        <f t="shared" si="6"/>
        <v>syn BTCX6/BTCH7/BTCG7/BTCF7/BTCV6</v>
      </c>
      <c r="K123" s="8">
        <f>'MKT DATA'!O181</f>
        <v>0</v>
      </c>
      <c r="L123" s="8">
        <f>'MKT DATA'!P181</f>
        <v>82791</v>
      </c>
      <c r="M123" s="8">
        <f>'MKT DATA'!Q181</f>
        <v>0</v>
      </c>
      <c r="N123" s="8">
        <f>'MKT DATA'!R181</f>
        <v>0</v>
      </c>
      <c r="O123" s="8">
        <f>'MKT DATA'!S181</f>
        <v>-84300</v>
      </c>
      <c r="P123" s="8">
        <f>'MKT DATA'!T181</f>
        <v>0</v>
      </c>
      <c r="Q123" s="43" t="str">
        <f t="shared" si="7"/>
        <v>syn BTCX6/BTCH7/BTCG7/BTCF7/BTCV6</v>
      </c>
      <c r="R123" s="13">
        <f>'MKT DATA'!AB181</f>
        <v>0</v>
      </c>
    </row>
    <row r="124" spans="5:18" x14ac:dyDescent="0.25">
      <c r="E124" s="43" t="str">
        <f>'MKT DATA'!B182</f>
        <v>syn BTCZ6/BTCX6/BTCF7/BTCG7/BTCV6</v>
      </c>
      <c r="F124" s="13">
        <f>'MKT DATA'!J182</f>
        <v>1</v>
      </c>
      <c r="G124" s="8">
        <f>'MKT DATA'!K182</f>
        <v>83149</v>
      </c>
      <c r="H124" s="8">
        <f>'MKT DATA'!L182</f>
        <v>83900</v>
      </c>
      <c r="I124" s="13">
        <f>'MKT DATA'!M182</f>
        <v>1</v>
      </c>
      <c r="J124" s="43" t="str">
        <f t="shared" si="6"/>
        <v>syn BTCZ6/BTCX6/BTCF7/BTCG7/BTCV6</v>
      </c>
      <c r="K124" s="8">
        <f>'MKT DATA'!O182</f>
        <v>0</v>
      </c>
      <c r="L124" s="8">
        <f>'MKT DATA'!P182</f>
        <v>83149</v>
      </c>
      <c r="M124" s="8">
        <f>'MKT DATA'!Q182</f>
        <v>0</v>
      </c>
      <c r="N124" s="8">
        <f>'MKT DATA'!R182</f>
        <v>0</v>
      </c>
      <c r="O124" s="8">
        <f>'MKT DATA'!S182</f>
        <v>-83900</v>
      </c>
      <c r="P124" s="8">
        <f>'MKT DATA'!T182</f>
        <v>0</v>
      </c>
      <c r="Q124" s="43" t="str">
        <f t="shared" si="7"/>
        <v>syn BTCZ6/BTCX6/BTCF7/BTCG7/BTCV6</v>
      </c>
      <c r="R124" s="13">
        <f>'MKT DATA'!AB182</f>
        <v>0</v>
      </c>
    </row>
    <row r="125" spans="5:18" x14ac:dyDescent="0.25">
      <c r="E125" s="43" t="str">
        <f>'MKT DATA'!B183</f>
        <v>syn BTCZ6/BTCX6/BTCF7/BTCH7/BTCV6</v>
      </c>
      <c r="F125" s="13">
        <f>'MKT DATA'!J183</f>
        <v>1</v>
      </c>
      <c r="G125" s="8">
        <f>'MKT DATA'!K183</f>
        <v>82570</v>
      </c>
      <c r="H125" s="8">
        <f>'MKT DATA'!L183</f>
        <v>84495</v>
      </c>
      <c r="I125" s="13">
        <f>'MKT DATA'!M183</f>
        <v>1</v>
      </c>
      <c r="J125" s="43" t="str">
        <f t="shared" si="6"/>
        <v>syn BTCZ6/BTCX6/BTCF7/BTCH7/BTCV6</v>
      </c>
      <c r="K125" s="8">
        <f>'MKT DATA'!O183</f>
        <v>0</v>
      </c>
      <c r="L125" s="8">
        <f>'MKT DATA'!P183</f>
        <v>82570</v>
      </c>
      <c r="M125" s="8">
        <f>'MKT DATA'!Q183</f>
        <v>0</v>
      </c>
      <c r="N125" s="8">
        <f>'MKT DATA'!R183</f>
        <v>0</v>
      </c>
      <c r="O125" s="8">
        <f>'MKT DATA'!S183</f>
        <v>-84495</v>
      </c>
      <c r="P125" s="8">
        <f>'MKT DATA'!T183</f>
        <v>0</v>
      </c>
      <c r="Q125" s="43" t="str">
        <f t="shared" si="7"/>
        <v>syn BTCZ6/BTCX6/BTCF7/BTCH7/BTCV6</v>
      </c>
      <c r="R125" s="13">
        <f>'MKT DATA'!AB183</f>
        <v>0</v>
      </c>
    </row>
    <row r="126" spans="5:18" x14ac:dyDescent="0.25">
      <c r="E126" s="43" t="str">
        <f>'MKT DATA'!B184</f>
        <v>syn BTCZ6/BTCX6/BTCG7/BTCF7/BTCV6</v>
      </c>
      <c r="F126" s="13">
        <f>'MKT DATA'!J184</f>
        <v>1</v>
      </c>
      <c r="G126" s="8">
        <f>'MKT DATA'!K184</f>
        <v>83155</v>
      </c>
      <c r="H126" s="8">
        <f>'MKT DATA'!L184</f>
        <v>83976</v>
      </c>
      <c r="I126" s="13">
        <f>'MKT DATA'!M184</f>
        <v>1</v>
      </c>
      <c r="J126" s="43" t="str">
        <f t="shared" si="6"/>
        <v>syn BTCZ6/BTCX6/BTCG7/BTCF7/BTCV6</v>
      </c>
      <c r="K126" s="8">
        <f>'MKT DATA'!O184</f>
        <v>0</v>
      </c>
      <c r="L126" s="8">
        <f>'MKT DATA'!P184</f>
        <v>83155</v>
      </c>
      <c r="M126" s="8">
        <f>'MKT DATA'!Q184</f>
        <v>0</v>
      </c>
      <c r="N126" s="8">
        <f>'MKT DATA'!R184</f>
        <v>0</v>
      </c>
      <c r="O126" s="8">
        <f>'MKT DATA'!S184</f>
        <v>-83976</v>
      </c>
      <c r="P126" s="8">
        <f>'MKT DATA'!T184</f>
        <v>0</v>
      </c>
      <c r="Q126" s="43" t="str">
        <f t="shared" si="7"/>
        <v>syn BTCZ6/BTCX6/BTCG7/BTCF7/BTCV6</v>
      </c>
      <c r="R126" s="13">
        <f>'MKT DATA'!AB184</f>
        <v>0</v>
      </c>
    </row>
    <row r="127" spans="5:18" x14ac:dyDescent="0.25">
      <c r="E127" s="43" t="str">
        <f>'MKT DATA'!B185</f>
        <v>syn BTCZ6/BTCX6/BTCG7/BTCH7/BTCV6</v>
      </c>
      <c r="F127" s="13">
        <f>'MKT DATA'!J185</f>
        <v>1</v>
      </c>
      <c r="G127" s="8">
        <f>'MKT DATA'!K185</f>
        <v>82759</v>
      </c>
      <c r="H127" s="8">
        <f>'MKT DATA'!L185</f>
        <v>84381</v>
      </c>
      <c r="I127" s="13">
        <f>'MKT DATA'!M185</f>
        <v>1</v>
      </c>
      <c r="J127" s="43" t="str">
        <f t="shared" si="6"/>
        <v>syn BTCZ6/BTCX6/BTCG7/BTCH7/BTCV6</v>
      </c>
      <c r="K127" s="8">
        <f>'MKT DATA'!O185</f>
        <v>0</v>
      </c>
      <c r="L127" s="8">
        <f>'MKT DATA'!P185</f>
        <v>82759</v>
      </c>
      <c r="M127" s="8">
        <f>'MKT DATA'!Q185</f>
        <v>0</v>
      </c>
      <c r="N127" s="8">
        <f>'MKT DATA'!R185</f>
        <v>0</v>
      </c>
      <c r="O127" s="8">
        <f>'MKT DATA'!S185</f>
        <v>-84381</v>
      </c>
      <c r="P127" s="8">
        <f>'MKT DATA'!T185</f>
        <v>0</v>
      </c>
      <c r="Q127" s="43" t="str">
        <f t="shared" si="7"/>
        <v>syn BTCZ6/BTCX6/BTCG7/BTCH7/BTCV6</v>
      </c>
      <c r="R127" s="13">
        <f>'MKT DATA'!AB185</f>
        <v>0</v>
      </c>
    </row>
    <row r="128" spans="5:18" x14ac:dyDescent="0.25">
      <c r="E128" s="43" t="str">
        <f>'MKT DATA'!B186</f>
        <v>syn BTCZ6/BTCX6/BTCH7/BTCF7/BTCV6</v>
      </c>
      <c r="F128" s="13">
        <f>'MKT DATA'!J186</f>
        <v>1</v>
      </c>
      <c r="G128" s="8">
        <f>'MKT DATA'!K186</f>
        <v>82560</v>
      </c>
      <c r="H128" s="8">
        <f>'MKT DATA'!L186</f>
        <v>84555</v>
      </c>
      <c r="I128" s="13">
        <f>'MKT DATA'!M186</f>
        <v>1</v>
      </c>
      <c r="J128" s="43" t="str">
        <f t="shared" si="6"/>
        <v>syn BTCZ6/BTCX6/BTCH7/BTCF7/BTCV6</v>
      </c>
      <c r="K128" s="8">
        <f>'MKT DATA'!O186</f>
        <v>0</v>
      </c>
      <c r="L128" s="8">
        <f>'MKT DATA'!P186</f>
        <v>82560</v>
      </c>
      <c r="M128" s="8">
        <f>'MKT DATA'!Q186</f>
        <v>0</v>
      </c>
      <c r="N128" s="8">
        <f>'MKT DATA'!R186</f>
        <v>0</v>
      </c>
      <c r="O128" s="8">
        <f>'MKT DATA'!S186</f>
        <v>-84555</v>
      </c>
      <c r="P128" s="8">
        <f>'MKT DATA'!T186</f>
        <v>0</v>
      </c>
      <c r="Q128" s="43" t="str">
        <f t="shared" si="7"/>
        <v>syn BTCZ6/BTCX6/BTCH7/BTCF7/BTCV6</v>
      </c>
      <c r="R128" s="13">
        <f>'MKT DATA'!AB186</f>
        <v>0</v>
      </c>
    </row>
    <row r="129" spans="5:18" x14ac:dyDescent="0.25">
      <c r="E129" s="43" t="str">
        <f>'MKT DATA'!B187</f>
        <v>syn BTCZ6/BTCX6/BTCH7/BTCG7/BTCV6</v>
      </c>
      <c r="F129" s="13">
        <f>'MKT DATA'!J187</f>
        <v>1</v>
      </c>
      <c r="G129" s="8">
        <f>'MKT DATA'!K187</f>
        <v>82704</v>
      </c>
      <c r="H129" s="8">
        <f>'MKT DATA'!L187</f>
        <v>84326</v>
      </c>
      <c r="I129" s="13">
        <f>'MKT DATA'!M187</f>
        <v>1</v>
      </c>
      <c r="J129" s="43" t="str">
        <f t="shared" si="6"/>
        <v>syn BTCZ6/BTCX6/BTCH7/BTCG7/BTCV6</v>
      </c>
      <c r="K129" s="8">
        <f>'MKT DATA'!O187</f>
        <v>0</v>
      </c>
      <c r="L129" s="8">
        <f>'MKT DATA'!P187</f>
        <v>82704</v>
      </c>
      <c r="M129" s="8">
        <f>'MKT DATA'!Q187</f>
        <v>0</v>
      </c>
      <c r="N129" s="8">
        <f>'MKT DATA'!R187</f>
        <v>0</v>
      </c>
      <c r="O129" s="8">
        <f>'MKT DATA'!S187</f>
        <v>-84326</v>
      </c>
      <c r="P129" s="8">
        <f>'MKT DATA'!T187</f>
        <v>0</v>
      </c>
      <c r="Q129" s="43" t="str">
        <f t="shared" si="7"/>
        <v>syn BTCZ6/BTCX6/BTCH7/BTCG7/BTCV6</v>
      </c>
      <c r="R129" s="13">
        <f>'MKT DATA'!AB187</f>
        <v>0</v>
      </c>
    </row>
    <row r="130" spans="5:18" x14ac:dyDescent="0.25">
      <c r="E130" s="43" t="str">
        <f>'MKT DATA'!B188</f>
        <v>syn BTCZ6/BTCF7/BTCX6/BTCG7/BTCV6</v>
      </c>
      <c r="F130" s="13">
        <f>'MKT DATA'!J188</f>
        <v>1</v>
      </c>
      <c r="G130" s="8">
        <f>'MKT DATA'!K188</f>
        <v>83063</v>
      </c>
      <c r="H130" s="8">
        <f>'MKT DATA'!L188</f>
        <v>84053</v>
      </c>
      <c r="I130" s="13">
        <f>'MKT DATA'!M188</f>
        <v>1</v>
      </c>
      <c r="J130" s="43" t="str">
        <f t="shared" si="6"/>
        <v>syn BTCZ6/BTCF7/BTCX6/BTCG7/BTCV6</v>
      </c>
      <c r="K130" s="8">
        <f>'MKT DATA'!O188</f>
        <v>0</v>
      </c>
      <c r="L130" s="8">
        <f>'MKT DATA'!P188</f>
        <v>83063</v>
      </c>
      <c r="M130" s="8">
        <f>'MKT DATA'!Q188</f>
        <v>0</v>
      </c>
      <c r="N130" s="8">
        <f>'MKT DATA'!R188</f>
        <v>0</v>
      </c>
      <c r="O130" s="8">
        <f>'MKT DATA'!S188</f>
        <v>-84053</v>
      </c>
      <c r="P130" s="8">
        <f>'MKT DATA'!T188</f>
        <v>0</v>
      </c>
      <c r="Q130" s="43" t="str">
        <f t="shared" si="7"/>
        <v>syn BTCZ6/BTCF7/BTCX6/BTCG7/BTCV6</v>
      </c>
      <c r="R130" s="13">
        <f>'MKT DATA'!AB188</f>
        <v>0</v>
      </c>
    </row>
    <row r="131" spans="5:18" x14ac:dyDescent="0.25">
      <c r="E131" s="43" t="str">
        <f>'MKT DATA'!B189</f>
        <v>syn BTCZ6/BTCF7/BTCX6/BTCH7/BTCV6</v>
      </c>
      <c r="F131" s="13">
        <f>'MKT DATA'!J189</f>
        <v>1</v>
      </c>
      <c r="G131" s="8">
        <f>'MKT DATA'!K189</f>
        <v>82653</v>
      </c>
      <c r="H131" s="8">
        <f>'MKT DATA'!L189</f>
        <v>84463</v>
      </c>
      <c r="I131" s="13">
        <f>'MKT DATA'!M189</f>
        <v>1</v>
      </c>
      <c r="J131" s="43" t="str">
        <f t="shared" si="6"/>
        <v>syn BTCZ6/BTCF7/BTCX6/BTCH7/BTCV6</v>
      </c>
      <c r="K131" s="8">
        <f>'MKT DATA'!O189</f>
        <v>0</v>
      </c>
      <c r="L131" s="8">
        <f>'MKT DATA'!P189</f>
        <v>82653</v>
      </c>
      <c r="M131" s="8">
        <f>'MKT DATA'!Q189</f>
        <v>0</v>
      </c>
      <c r="N131" s="8">
        <f>'MKT DATA'!R189</f>
        <v>0</v>
      </c>
      <c r="O131" s="8">
        <f>'MKT DATA'!S189</f>
        <v>-84463</v>
      </c>
      <c r="P131" s="8">
        <f>'MKT DATA'!T189</f>
        <v>0</v>
      </c>
      <c r="Q131" s="43" t="str">
        <f t="shared" si="7"/>
        <v>syn BTCZ6/BTCF7/BTCX6/BTCH7/BTCV6</v>
      </c>
      <c r="R131" s="13">
        <f>'MKT DATA'!AB189</f>
        <v>0</v>
      </c>
    </row>
    <row r="132" spans="5:18" x14ac:dyDescent="0.25">
      <c r="E132" s="43" t="str">
        <f>'MKT DATA'!B190</f>
        <v>syn BTCZ6/BTCF7/BTCG7/BTCX6/BTCV6</v>
      </c>
      <c r="F132" s="13">
        <f>'MKT DATA'!J190</f>
        <v>1</v>
      </c>
      <c r="G132" s="8">
        <f>'MKT DATA'!K190</f>
        <v>83200</v>
      </c>
      <c r="H132" s="8">
        <f>'MKT DATA'!L190</f>
        <v>83887</v>
      </c>
      <c r="I132" s="13">
        <f>'MKT DATA'!M190</f>
        <v>1</v>
      </c>
      <c r="J132" s="43" t="str">
        <f t="shared" si="6"/>
        <v>syn BTCZ6/BTCF7/BTCG7/BTCX6/BTCV6</v>
      </c>
      <c r="K132" s="8">
        <f>'MKT DATA'!O190</f>
        <v>0</v>
      </c>
      <c r="L132" s="8">
        <f>'MKT DATA'!P190</f>
        <v>83200</v>
      </c>
      <c r="M132" s="8">
        <f>'MKT DATA'!Q190</f>
        <v>0</v>
      </c>
      <c r="N132" s="8">
        <f>'MKT DATA'!R190</f>
        <v>0</v>
      </c>
      <c r="O132" s="8">
        <f>'MKT DATA'!S190</f>
        <v>-83887</v>
      </c>
      <c r="P132" s="8">
        <f>'MKT DATA'!T190</f>
        <v>0</v>
      </c>
      <c r="Q132" s="43" t="str">
        <f t="shared" si="7"/>
        <v>syn BTCZ6/BTCF7/BTCG7/BTCX6/BTCV6</v>
      </c>
      <c r="R132" s="13">
        <f>'MKT DATA'!AB190</f>
        <v>0</v>
      </c>
    </row>
    <row r="133" spans="5:18" x14ac:dyDescent="0.25">
      <c r="E133" s="43" t="str">
        <f>'MKT DATA'!B191</f>
        <v>syn BTCZ6/BTCF7/BTCG7/BTCH7/BTCV6</v>
      </c>
      <c r="F133" s="13">
        <f>'MKT DATA'!J191</f>
        <v>1</v>
      </c>
      <c r="G133" s="8">
        <f>'MKT DATA'!K191</f>
        <v>82861</v>
      </c>
      <c r="H133" s="8">
        <f>'MKT DATA'!L191</f>
        <v>84274</v>
      </c>
      <c r="I133" s="13">
        <f>'MKT DATA'!M191</f>
        <v>1</v>
      </c>
      <c r="J133" s="43" t="str">
        <f t="shared" si="6"/>
        <v>syn BTCZ6/BTCF7/BTCG7/BTCH7/BTCV6</v>
      </c>
      <c r="K133" s="8">
        <f>'MKT DATA'!O191</f>
        <v>0</v>
      </c>
      <c r="L133" s="8">
        <f>'MKT DATA'!P191</f>
        <v>82861</v>
      </c>
      <c r="M133" s="8">
        <f>'MKT DATA'!Q191</f>
        <v>0</v>
      </c>
      <c r="N133" s="8">
        <f>'MKT DATA'!R191</f>
        <v>0</v>
      </c>
      <c r="O133" s="8">
        <f>'MKT DATA'!S191</f>
        <v>-84274</v>
      </c>
      <c r="P133" s="8">
        <f>'MKT DATA'!T191</f>
        <v>0</v>
      </c>
      <c r="Q133" s="43" t="str">
        <f t="shared" si="7"/>
        <v>syn BTCZ6/BTCF7/BTCG7/BTCH7/BTCV6</v>
      </c>
      <c r="R133" s="13">
        <f>'MKT DATA'!AB191</f>
        <v>0</v>
      </c>
    </row>
    <row r="134" spans="5:18" x14ac:dyDescent="0.25">
      <c r="E134" s="43" t="str">
        <f>'MKT DATA'!B192</f>
        <v>syn BTCZ6/BTCF7/BTCH7/BTCX6/BTCV6</v>
      </c>
      <c r="F134" s="13">
        <f>'MKT DATA'!J192</f>
        <v>1</v>
      </c>
      <c r="G134" s="8">
        <f>'MKT DATA'!K192</f>
        <v>82621</v>
      </c>
      <c r="H134" s="8">
        <f>'MKT DATA'!L192</f>
        <v>84482</v>
      </c>
      <c r="I134" s="13">
        <f>'MKT DATA'!M192</f>
        <v>1</v>
      </c>
      <c r="J134" s="43" t="str">
        <f t="shared" si="6"/>
        <v>syn BTCZ6/BTCF7/BTCH7/BTCX6/BTCV6</v>
      </c>
      <c r="K134" s="8">
        <f>'MKT DATA'!O192</f>
        <v>0</v>
      </c>
      <c r="L134" s="8">
        <f>'MKT DATA'!P192</f>
        <v>82621</v>
      </c>
      <c r="M134" s="8">
        <f>'MKT DATA'!Q192</f>
        <v>0</v>
      </c>
      <c r="N134" s="8">
        <f>'MKT DATA'!R192</f>
        <v>0</v>
      </c>
      <c r="O134" s="8">
        <f>'MKT DATA'!S192</f>
        <v>-84482</v>
      </c>
      <c r="P134" s="8">
        <f>'MKT DATA'!T192</f>
        <v>0</v>
      </c>
      <c r="Q134" s="43" t="str">
        <f t="shared" si="7"/>
        <v>syn BTCZ6/BTCF7/BTCH7/BTCX6/BTCV6</v>
      </c>
      <c r="R134" s="13">
        <f>'MKT DATA'!AB192</f>
        <v>0</v>
      </c>
    </row>
    <row r="135" spans="5:18" x14ac:dyDescent="0.25">
      <c r="E135" s="43" t="str">
        <f>'MKT DATA'!B193</f>
        <v>syn BTCZ6/BTCF7/BTCH7/BTCG7/BTCV6</v>
      </c>
      <c r="F135" s="13">
        <f>'MKT DATA'!J193</f>
        <v>1</v>
      </c>
      <c r="G135" s="8">
        <f>'MKT DATA'!K193</f>
        <v>82637</v>
      </c>
      <c r="H135" s="8">
        <f>'MKT DATA'!L193</f>
        <v>84404</v>
      </c>
      <c r="I135" s="13">
        <f>'MKT DATA'!M193</f>
        <v>1</v>
      </c>
      <c r="J135" s="43" t="str">
        <f t="shared" si="6"/>
        <v>syn BTCZ6/BTCF7/BTCH7/BTCG7/BTCV6</v>
      </c>
      <c r="K135" s="8">
        <f>'MKT DATA'!O193</f>
        <v>0</v>
      </c>
      <c r="L135" s="8">
        <f>'MKT DATA'!P193</f>
        <v>82637</v>
      </c>
      <c r="M135" s="8">
        <f>'MKT DATA'!Q193</f>
        <v>0</v>
      </c>
      <c r="N135" s="8">
        <f>'MKT DATA'!R193</f>
        <v>0</v>
      </c>
      <c r="O135" s="8">
        <f>'MKT DATA'!S193</f>
        <v>-84404</v>
      </c>
      <c r="P135" s="8">
        <f>'MKT DATA'!T193</f>
        <v>0</v>
      </c>
      <c r="Q135" s="43" t="str">
        <f t="shared" si="7"/>
        <v>syn BTCZ6/BTCF7/BTCH7/BTCG7/BTCV6</v>
      </c>
      <c r="R135" s="13">
        <f>'MKT DATA'!AB193</f>
        <v>0</v>
      </c>
    </row>
    <row r="136" spans="5:18" x14ac:dyDescent="0.25">
      <c r="E136" s="43" t="str">
        <f>'MKT DATA'!B194</f>
        <v>syn BTCZ6/BTCG7/BTCX6/BTCF7/BTCV6</v>
      </c>
      <c r="F136" s="13">
        <f>'MKT DATA'!J194</f>
        <v>1</v>
      </c>
      <c r="G136" s="8">
        <f>'MKT DATA'!K194</f>
        <v>82967</v>
      </c>
      <c r="H136" s="8">
        <f>'MKT DATA'!L194</f>
        <v>84143</v>
      </c>
      <c r="I136" s="13">
        <f>'MKT DATA'!M194</f>
        <v>1</v>
      </c>
      <c r="J136" s="43" t="str">
        <f t="shared" si="6"/>
        <v>syn BTCZ6/BTCG7/BTCX6/BTCF7/BTCV6</v>
      </c>
      <c r="K136" s="8">
        <f>'MKT DATA'!O194</f>
        <v>0</v>
      </c>
      <c r="L136" s="8">
        <f>'MKT DATA'!P194</f>
        <v>82967</v>
      </c>
      <c r="M136" s="8">
        <f>'MKT DATA'!Q194</f>
        <v>0</v>
      </c>
      <c r="N136" s="8">
        <f>'MKT DATA'!R194</f>
        <v>0</v>
      </c>
      <c r="O136" s="8">
        <f>'MKT DATA'!S194</f>
        <v>-84143</v>
      </c>
      <c r="P136" s="8">
        <f>'MKT DATA'!T194</f>
        <v>0</v>
      </c>
      <c r="Q136" s="43" t="str">
        <f t="shared" si="7"/>
        <v>syn BTCZ6/BTCG7/BTCX6/BTCF7/BTCV6</v>
      </c>
      <c r="R136" s="13">
        <f>'MKT DATA'!AB194</f>
        <v>0</v>
      </c>
    </row>
    <row r="137" spans="5:18" x14ac:dyDescent="0.25">
      <c r="E137" s="43" t="str">
        <f>'MKT DATA'!B195</f>
        <v>syn BTCZ6/BTCG7/BTCX6/BTCH7/BTCV6</v>
      </c>
      <c r="F137" s="13">
        <f>'MKT DATA'!J195</f>
        <v>1</v>
      </c>
      <c r="G137" s="8">
        <f>'MKT DATA'!K195</f>
        <v>82310</v>
      </c>
      <c r="H137" s="8">
        <f>'MKT DATA'!L195</f>
        <v>84790</v>
      </c>
      <c r="I137" s="13">
        <f>'MKT DATA'!M195</f>
        <v>1</v>
      </c>
      <c r="J137" s="43" t="str">
        <f t="shared" si="6"/>
        <v>syn BTCZ6/BTCG7/BTCX6/BTCH7/BTCV6</v>
      </c>
      <c r="K137" s="8">
        <f>'MKT DATA'!O195</f>
        <v>0</v>
      </c>
      <c r="L137" s="8">
        <f>'MKT DATA'!P195</f>
        <v>82310</v>
      </c>
      <c r="M137" s="8">
        <f>'MKT DATA'!Q195</f>
        <v>0</v>
      </c>
      <c r="N137" s="8">
        <f>'MKT DATA'!R195</f>
        <v>0</v>
      </c>
      <c r="O137" s="8">
        <f>'MKT DATA'!S195</f>
        <v>-84790</v>
      </c>
      <c r="P137" s="8">
        <f>'MKT DATA'!T195</f>
        <v>0</v>
      </c>
      <c r="Q137" s="43" t="str">
        <f t="shared" si="7"/>
        <v>syn BTCZ6/BTCG7/BTCX6/BTCH7/BTCV6</v>
      </c>
      <c r="R137" s="13">
        <f>'MKT DATA'!AB195</f>
        <v>0</v>
      </c>
    </row>
    <row r="138" spans="5:18" x14ac:dyDescent="0.25">
      <c r="E138" s="43" t="str">
        <f>'MKT DATA'!B196</f>
        <v>syn BTCZ6/BTCG7/BTCF7/BTCX6/BTCV6</v>
      </c>
      <c r="F138" s="13">
        <f>'MKT DATA'!J196</f>
        <v>1</v>
      </c>
      <c r="G138" s="8">
        <f>'MKT DATA'!K196</f>
        <v>83170</v>
      </c>
      <c r="H138" s="8">
        <f>'MKT DATA'!L196</f>
        <v>83973</v>
      </c>
      <c r="I138" s="13">
        <f>'MKT DATA'!M196</f>
        <v>1</v>
      </c>
      <c r="J138" s="43" t="str">
        <f t="shared" si="6"/>
        <v>syn BTCZ6/BTCG7/BTCF7/BTCX6/BTCV6</v>
      </c>
      <c r="K138" s="8">
        <f>'MKT DATA'!O196</f>
        <v>0</v>
      </c>
      <c r="L138" s="8">
        <f>'MKT DATA'!P196</f>
        <v>83170</v>
      </c>
      <c r="M138" s="8">
        <f>'MKT DATA'!Q196</f>
        <v>0</v>
      </c>
      <c r="N138" s="8">
        <f>'MKT DATA'!R196</f>
        <v>0</v>
      </c>
      <c r="O138" s="8">
        <f>'MKT DATA'!S196</f>
        <v>-83973</v>
      </c>
      <c r="P138" s="8">
        <f>'MKT DATA'!T196</f>
        <v>0</v>
      </c>
      <c r="Q138" s="43" t="str">
        <f t="shared" si="7"/>
        <v>syn BTCZ6/BTCG7/BTCF7/BTCX6/BTCV6</v>
      </c>
      <c r="R138" s="13">
        <f>'MKT DATA'!AB196</f>
        <v>0</v>
      </c>
    </row>
    <row r="139" spans="5:18" x14ac:dyDescent="0.25">
      <c r="E139" s="43" t="str">
        <f>'MKT DATA'!B197</f>
        <v>syn BTCZ6/BTCG7/BTCF7/BTCH7/BTCV6</v>
      </c>
      <c r="F139" s="13">
        <f>'MKT DATA'!J197</f>
        <v>1</v>
      </c>
      <c r="G139" s="8">
        <f>'MKT DATA'!K197</f>
        <v>82365</v>
      </c>
      <c r="H139" s="8">
        <f>'MKT DATA'!L197</f>
        <v>84751</v>
      </c>
      <c r="I139" s="13">
        <f>'MKT DATA'!M197</f>
        <v>1</v>
      </c>
      <c r="J139" s="43" t="str">
        <f t="shared" si="6"/>
        <v>syn BTCZ6/BTCG7/BTCF7/BTCH7/BTCV6</v>
      </c>
      <c r="K139" s="8">
        <f>'MKT DATA'!O197</f>
        <v>0</v>
      </c>
      <c r="L139" s="8">
        <f>'MKT DATA'!P197</f>
        <v>82365</v>
      </c>
      <c r="M139" s="8">
        <f>'MKT DATA'!Q197</f>
        <v>0</v>
      </c>
      <c r="N139" s="8">
        <f>'MKT DATA'!R197</f>
        <v>0</v>
      </c>
      <c r="O139" s="8">
        <f>'MKT DATA'!S197</f>
        <v>-84751</v>
      </c>
      <c r="P139" s="8">
        <f>'MKT DATA'!T197</f>
        <v>0</v>
      </c>
      <c r="Q139" s="43" t="str">
        <f t="shared" si="7"/>
        <v>syn BTCZ6/BTCG7/BTCF7/BTCH7/BTCV6</v>
      </c>
      <c r="R139" s="13">
        <f>'MKT DATA'!AB197</f>
        <v>0</v>
      </c>
    </row>
    <row r="140" spans="5:18" x14ac:dyDescent="0.25">
      <c r="E140" s="43" t="str">
        <f>'MKT DATA'!B198</f>
        <v>syn BTCZ6/BTCG7/BTCH7/BTCX6/BTCV6</v>
      </c>
      <c r="F140" s="13">
        <f>'MKT DATA'!J198</f>
        <v>1</v>
      </c>
      <c r="G140" s="8">
        <f>'MKT DATA'!K198</f>
        <v>82744</v>
      </c>
      <c r="H140" s="8">
        <f>'MKT DATA'!L198</f>
        <v>84418</v>
      </c>
      <c r="I140" s="13">
        <f>'MKT DATA'!M198</f>
        <v>1</v>
      </c>
      <c r="J140" s="43" t="str">
        <f t="shared" si="6"/>
        <v>syn BTCZ6/BTCG7/BTCH7/BTCX6/BTCV6</v>
      </c>
      <c r="K140" s="8">
        <f>'MKT DATA'!O198</f>
        <v>0</v>
      </c>
      <c r="L140" s="8">
        <f>'MKT DATA'!P198</f>
        <v>82744</v>
      </c>
      <c r="M140" s="8">
        <f>'MKT DATA'!Q198</f>
        <v>0</v>
      </c>
      <c r="N140" s="8">
        <f>'MKT DATA'!R198</f>
        <v>0</v>
      </c>
      <c r="O140" s="8">
        <f>'MKT DATA'!S198</f>
        <v>-84418</v>
      </c>
      <c r="P140" s="8">
        <f>'MKT DATA'!T198</f>
        <v>0</v>
      </c>
      <c r="Q140" s="43" t="str">
        <f t="shared" si="7"/>
        <v>syn BTCZ6/BTCG7/BTCH7/BTCX6/BTCV6</v>
      </c>
      <c r="R140" s="13">
        <f>'MKT DATA'!AB198</f>
        <v>0</v>
      </c>
    </row>
    <row r="141" spans="5:18" x14ac:dyDescent="0.25">
      <c r="E141" s="43" t="str">
        <f>'MKT DATA'!B199</f>
        <v>syn BTCZ6/BTCG7/BTCH7/BTCF7/BTCV6</v>
      </c>
      <c r="F141" s="13">
        <f>'MKT DATA'!J199</f>
        <v>1</v>
      </c>
      <c r="G141" s="8">
        <f>'MKT DATA'!K199</f>
        <v>82616</v>
      </c>
      <c r="H141" s="8">
        <f>'MKT DATA'!L199</f>
        <v>84569</v>
      </c>
      <c r="I141" s="13">
        <f>'MKT DATA'!M199</f>
        <v>1</v>
      </c>
      <c r="J141" s="43" t="str">
        <f t="shared" si="6"/>
        <v>syn BTCZ6/BTCG7/BTCH7/BTCF7/BTCV6</v>
      </c>
      <c r="K141" s="8">
        <f>'MKT DATA'!O199</f>
        <v>0</v>
      </c>
      <c r="L141" s="8">
        <f>'MKT DATA'!P199</f>
        <v>82616</v>
      </c>
      <c r="M141" s="8">
        <f>'MKT DATA'!Q199</f>
        <v>0</v>
      </c>
      <c r="N141" s="8">
        <f>'MKT DATA'!R199</f>
        <v>0</v>
      </c>
      <c r="O141" s="8">
        <f>'MKT DATA'!S199</f>
        <v>-84569</v>
      </c>
      <c r="P141" s="8">
        <f>'MKT DATA'!T199</f>
        <v>0</v>
      </c>
      <c r="Q141" s="43" t="str">
        <f t="shared" si="7"/>
        <v>syn BTCZ6/BTCG7/BTCH7/BTCF7/BTCV6</v>
      </c>
      <c r="R141" s="13">
        <f>'MKT DATA'!AB199</f>
        <v>0</v>
      </c>
    </row>
    <row r="142" spans="5:18" x14ac:dyDescent="0.25">
      <c r="E142" s="43" t="str">
        <f>'MKT DATA'!B200</f>
        <v>syn BTCZ6/BTCH7/BTCX6/BTCF7/BTCV6</v>
      </c>
      <c r="F142" s="13">
        <f>'MKT DATA'!J200</f>
        <v>1</v>
      </c>
      <c r="G142" s="8">
        <f>'MKT DATA'!K200</f>
        <v>82767</v>
      </c>
      <c r="H142" s="8">
        <f>'MKT DATA'!L200</f>
        <v>84523</v>
      </c>
      <c r="I142" s="13">
        <f>'MKT DATA'!M200</f>
        <v>1</v>
      </c>
      <c r="J142" s="43" t="str">
        <f t="shared" si="6"/>
        <v>syn BTCZ6/BTCH7/BTCX6/BTCF7/BTCV6</v>
      </c>
      <c r="K142" s="8">
        <f>'MKT DATA'!O200</f>
        <v>0</v>
      </c>
      <c r="L142" s="8">
        <f>'MKT DATA'!P200</f>
        <v>82767</v>
      </c>
      <c r="M142" s="8">
        <f>'MKT DATA'!Q200</f>
        <v>0</v>
      </c>
      <c r="N142" s="8">
        <f>'MKT DATA'!R200</f>
        <v>0</v>
      </c>
      <c r="O142" s="8">
        <f>'MKT DATA'!S200</f>
        <v>-84523</v>
      </c>
      <c r="P142" s="8">
        <f>'MKT DATA'!T200</f>
        <v>0</v>
      </c>
      <c r="Q142" s="43" t="str">
        <f t="shared" si="7"/>
        <v>syn BTCZ6/BTCH7/BTCX6/BTCF7/BTCV6</v>
      </c>
      <c r="R142" s="13">
        <f>'MKT DATA'!AB200</f>
        <v>0</v>
      </c>
    </row>
    <row r="143" spans="5:18" x14ac:dyDescent="0.25">
      <c r="E143" s="43" t="str">
        <f>'MKT DATA'!B201</f>
        <v>syn BTCZ6/BTCH7/BTCX6/BTCG7/BTCV6</v>
      </c>
      <c r="F143" s="13">
        <f>'MKT DATA'!J201</f>
        <v>1</v>
      </c>
      <c r="G143" s="8">
        <f>'MKT DATA'!K201</f>
        <v>82520</v>
      </c>
      <c r="H143" s="8">
        <f>'MKT DATA'!L201</f>
        <v>84760</v>
      </c>
      <c r="I143" s="13">
        <f>'MKT DATA'!M201</f>
        <v>1</v>
      </c>
      <c r="J143" s="43" t="str">
        <f t="shared" si="6"/>
        <v>syn BTCZ6/BTCH7/BTCX6/BTCG7/BTCV6</v>
      </c>
      <c r="K143" s="8">
        <f>'MKT DATA'!O201</f>
        <v>0</v>
      </c>
      <c r="L143" s="8">
        <f>'MKT DATA'!P201</f>
        <v>82520</v>
      </c>
      <c r="M143" s="8">
        <f>'MKT DATA'!Q201</f>
        <v>0</v>
      </c>
      <c r="N143" s="8">
        <f>'MKT DATA'!R201</f>
        <v>0</v>
      </c>
      <c r="O143" s="8">
        <f>'MKT DATA'!S201</f>
        <v>-84760</v>
      </c>
      <c r="P143" s="8">
        <f>'MKT DATA'!T201</f>
        <v>0</v>
      </c>
      <c r="Q143" s="43" t="str">
        <f t="shared" si="7"/>
        <v>syn BTCZ6/BTCH7/BTCX6/BTCG7/BTCV6</v>
      </c>
      <c r="R143" s="13">
        <f>'MKT DATA'!AB201</f>
        <v>0</v>
      </c>
    </row>
    <row r="144" spans="5:18" x14ac:dyDescent="0.25">
      <c r="E144" s="43" t="str">
        <f>'MKT DATA'!B202</f>
        <v>syn BTCZ6/BTCH7/BTCF7/BTCX6/BTCV6</v>
      </c>
      <c r="F144" s="13">
        <f>'MKT DATA'!J202</f>
        <v>1</v>
      </c>
      <c r="G144" s="8">
        <f>'MKT DATA'!K202</f>
        <v>82785</v>
      </c>
      <c r="H144" s="8">
        <f>'MKT DATA'!L202</f>
        <v>84522</v>
      </c>
      <c r="I144" s="13">
        <f>'MKT DATA'!M202</f>
        <v>1</v>
      </c>
      <c r="J144" s="43" t="str">
        <f t="shared" si="6"/>
        <v>syn BTCZ6/BTCH7/BTCF7/BTCX6/BTCV6</v>
      </c>
      <c r="K144" s="8">
        <f>'MKT DATA'!O202</f>
        <v>0</v>
      </c>
      <c r="L144" s="8">
        <f>'MKT DATA'!P202</f>
        <v>82785</v>
      </c>
      <c r="M144" s="8">
        <f>'MKT DATA'!Q202</f>
        <v>0</v>
      </c>
      <c r="N144" s="8">
        <f>'MKT DATA'!R202</f>
        <v>0</v>
      </c>
      <c r="O144" s="8">
        <f>'MKT DATA'!S202</f>
        <v>-84522</v>
      </c>
      <c r="P144" s="8">
        <f>'MKT DATA'!T202</f>
        <v>0</v>
      </c>
      <c r="Q144" s="43" t="str">
        <f t="shared" si="7"/>
        <v>syn BTCZ6/BTCH7/BTCF7/BTCX6/BTCV6</v>
      </c>
      <c r="R144" s="13">
        <f>'MKT DATA'!AB202</f>
        <v>0</v>
      </c>
    </row>
    <row r="145" spans="5:18" x14ac:dyDescent="0.25">
      <c r="E145" s="43" t="str">
        <f>'MKT DATA'!B203</f>
        <v>syn BTCZ6/BTCH7/BTCF7/BTCG7/BTCV6</v>
      </c>
      <c r="F145" s="13">
        <f>'MKT DATA'!J203</f>
        <v>1</v>
      </c>
      <c r="G145" s="8">
        <f>'MKT DATA'!K203</f>
        <v>82559</v>
      </c>
      <c r="H145" s="8">
        <f>'MKT DATA'!L203</f>
        <v>84705</v>
      </c>
      <c r="I145" s="13">
        <f>'MKT DATA'!M203</f>
        <v>1</v>
      </c>
      <c r="J145" s="43" t="str">
        <f t="shared" ref="J145:J208" si="8">E145</f>
        <v>syn BTCZ6/BTCH7/BTCF7/BTCG7/BTCV6</v>
      </c>
      <c r="K145" s="8">
        <f>'MKT DATA'!O203</f>
        <v>0</v>
      </c>
      <c r="L145" s="8">
        <f>'MKT DATA'!P203</f>
        <v>82559</v>
      </c>
      <c r="M145" s="8">
        <f>'MKT DATA'!Q203</f>
        <v>0</v>
      </c>
      <c r="N145" s="8">
        <f>'MKT DATA'!R203</f>
        <v>0</v>
      </c>
      <c r="O145" s="8">
        <f>'MKT DATA'!S203</f>
        <v>-84705</v>
      </c>
      <c r="P145" s="8">
        <f>'MKT DATA'!T203</f>
        <v>0</v>
      </c>
      <c r="Q145" s="43" t="str">
        <f t="shared" ref="Q145:Q208" si="9">J145</f>
        <v>syn BTCZ6/BTCH7/BTCF7/BTCG7/BTCV6</v>
      </c>
      <c r="R145" s="13">
        <f>'MKT DATA'!AB203</f>
        <v>0</v>
      </c>
    </row>
    <row r="146" spans="5:18" x14ac:dyDescent="0.25">
      <c r="E146" s="43" t="str">
        <f>'MKT DATA'!B204</f>
        <v>syn BTCZ6/BTCH7/BTCG7/BTCX6/BTCV6</v>
      </c>
      <c r="F146" s="13">
        <f>'MKT DATA'!J204</f>
        <v>1</v>
      </c>
      <c r="G146" s="8">
        <f>'MKT DATA'!K204</f>
        <v>82899</v>
      </c>
      <c r="H146" s="8">
        <f>'MKT DATA'!L204</f>
        <v>84333</v>
      </c>
      <c r="I146" s="13">
        <f>'MKT DATA'!M204</f>
        <v>1</v>
      </c>
      <c r="J146" s="43" t="str">
        <f t="shared" si="8"/>
        <v>syn BTCZ6/BTCH7/BTCG7/BTCX6/BTCV6</v>
      </c>
      <c r="K146" s="8">
        <f>'MKT DATA'!O204</f>
        <v>0</v>
      </c>
      <c r="L146" s="8">
        <f>'MKT DATA'!P204</f>
        <v>82899</v>
      </c>
      <c r="M146" s="8">
        <f>'MKT DATA'!Q204</f>
        <v>0</v>
      </c>
      <c r="N146" s="8">
        <f>'MKT DATA'!R204</f>
        <v>0</v>
      </c>
      <c r="O146" s="8">
        <f>'MKT DATA'!S204</f>
        <v>-84333</v>
      </c>
      <c r="P146" s="8">
        <f>'MKT DATA'!T204</f>
        <v>0</v>
      </c>
      <c r="Q146" s="43" t="str">
        <f t="shared" si="9"/>
        <v>syn BTCZ6/BTCH7/BTCG7/BTCX6/BTCV6</v>
      </c>
      <c r="R146" s="13">
        <f>'MKT DATA'!AB204</f>
        <v>0</v>
      </c>
    </row>
    <row r="147" spans="5:18" x14ac:dyDescent="0.25">
      <c r="E147" s="43" t="str">
        <f>'MKT DATA'!B205</f>
        <v>syn BTCZ6/BTCH7/BTCG7/BTCF7/BTCV6</v>
      </c>
      <c r="F147" s="13">
        <f>'MKT DATA'!J205</f>
        <v>1</v>
      </c>
      <c r="G147" s="8">
        <f>'MKT DATA'!K205</f>
        <v>82956</v>
      </c>
      <c r="H147" s="8">
        <f>'MKT DATA'!L205</f>
        <v>84315</v>
      </c>
      <c r="I147" s="13">
        <f>'MKT DATA'!M205</f>
        <v>1</v>
      </c>
      <c r="J147" s="43" t="str">
        <f t="shared" si="8"/>
        <v>syn BTCZ6/BTCH7/BTCG7/BTCF7/BTCV6</v>
      </c>
      <c r="K147" s="8">
        <f>'MKT DATA'!O205</f>
        <v>0</v>
      </c>
      <c r="L147" s="8">
        <f>'MKT DATA'!P205</f>
        <v>82956</v>
      </c>
      <c r="M147" s="8">
        <f>'MKT DATA'!Q205</f>
        <v>0</v>
      </c>
      <c r="N147" s="8">
        <f>'MKT DATA'!R205</f>
        <v>0</v>
      </c>
      <c r="O147" s="8">
        <f>'MKT DATA'!S205</f>
        <v>-84315</v>
      </c>
      <c r="P147" s="8">
        <f>'MKT DATA'!T205</f>
        <v>0</v>
      </c>
      <c r="Q147" s="43" t="str">
        <f t="shared" si="9"/>
        <v>syn BTCZ6/BTCH7/BTCG7/BTCF7/BTCV6</v>
      </c>
      <c r="R147" s="13">
        <f>'MKT DATA'!AB205</f>
        <v>0</v>
      </c>
    </row>
    <row r="148" spans="5:18" x14ac:dyDescent="0.25">
      <c r="E148" s="43" t="str">
        <f>'MKT DATA'!B206</f>
        <v>syn BTCF7/BTCX6/BTCZ6/BTCG7/BTCV6</v>
      </c>
      <c r="F148" s="13">
        <f>'MKT DATA'!J206</f>
        <v>1</v>
      </c>
      <c r="G148" s="8">
        <f>'MKT DATA'!K206</f>
        <v>83015</v>
      </c>
      <c r="H148" s="8">
        <f>'MKT DATA'!L206</f>
        <v>84120</v>
      </c>
      <c r="I148" s="13">
        <f>'MKT DATA'!M206</f>
        <v>1</v>
      </c>
      <c r="J148" s="43" t="str">
        <f t="shared" si="8"/>
        <v>syn BTCF7/BTCX6/BTCZ6/BTCG7/BTCV6</v>
      </c>
      <c r="K148" s="8">
        <f>'MKT DATA'!O206</f>
        <v>0</v>
      </c>
      <c r="L148" s="8">
        <f>'MKT DATA'!P206</f>
        <v>83015</v>
      </c>
      <c r="M148" s="8">
        <f>'MKT DATA'!Q206</f>
        <v>0</v>
      </c>
      <c r="N148" s="8">
        <f>'MKT DATA'!R206</f>
        <v>0</v>
      </c>
      <c r="O148" s="8">
        <f>'MKT DATA'!S206</f>
        <v>-84120</v>
      </c>
      <c r="P148" s="8">
        <f>'MKT DATA'!T206</f>
        <v>0</v>
      </c>
      <c r="Q148" s="43" t="str">
        <f t="shared" si="9"/>
        <v>syn BTCF7/BTCX6/BTCZ6/BTCG7/BTCV6</v>
      </c>
      <c r="R148" s="13">
        <f>'MKT DATA'!AB206</f>
        <v>0</v>
      </c>
    </row>
    <row r="149" spans="5:18" x14ac:dyDescent="0.25">
      <c r="E149" s="43" t="str">
        <f>'MKT DATA'!B207</f>
        <v>syn BTCF7/BTCX6/BTCZ6/BTCH7/BTCV6</v>
      </c>
      <c r="F149" s="13">
        <f>'MKT DATA'!J207</f>
        <v>1</v>
      </c>
      <c r="G149" s="8">
        <f>'MKT DATA'!K207</f>
        <v>82815</v>
      </c>
      <c r="H149" s="8">
        <f>'MKT DATA'!L207</f>
        <v>84500</v>
      </c>
      <c r="I149" s="13">
        <f>'MKT DATA'!M207</f>
        <v>1</v>
      </c>
      <c r="J149" s="43" t="str">
        <f t="shared" si="8"/>
        <v>syn BTCF7/BTCX6/BTCZ6/BTCH7/BTCV6</v>
      </c>
      <c r="K149" s="8">
        <f>'MKT DATA'!O207</f>
        <v>0</v>
      </c>
      <c r="L149" s="8">
        <f>'MKT DATA'!P207</f>
        <v>82815</v>
      </c>
      <c r="M149" s="8">
        <f>'MKT DATA'!Q207</f>
        <v>0</v>
      </c>
      <c r="N149" s="8">
        <f>'MKT DATA'!R207</f>
        <v>0</v>
      </c>
      <c r="O149" s="8">
        <f>'MKT DATA'!S207</f>
        <v>-84500</v>
      </c>
      <c r="P149" s="8">
        <f>'MKT DATA'!T207</f>
        <v>0</v>
      </c>
      <c r="Q149" s="43" t="str">
        <f t="shared" si="9"/>
        <v>syn BTCF7/BTCX6/BTCZ6/BTCH7/BTCV6</v>
      </c>
      <c r="R149" s="13">
        <f>'MKT DATA'!AB207</f>
        <v>0</v>
      </c>
    </row>
    <row r="150" spans="5:18" x14ac:dyDescent="0.25">
      <c r="E150" s="43" t="str">
        <f>'MKT DATA'!B208</f>
        <v>syn BTCF7/BTCX6/BTCG7/BTCZ6/BTCV6</v>
      </c>
      <c r="F150" s="13">
        <f>'MKT DATA'!J208</f>
        <v>1</v>
      </c>
      <c r="G150" s="8">
        <f>'MKT DATA'!K208</f>
        <v>82984</v>
      </c>
      <c r="H150" s="8">
        <f>'MKT DATA'!L208</f>
        <v>84128</v>
      </c>
      <c r="I150" s="13">
        <f>'MKT DATA'!M208</f>
        <v>1</v>
      </c>
      <c r="J150" s="43" t="str">
        <f t="shared" si="8"/>
        <v>syn BTCF7/BTCX6/BTCG7/BTCZ6/BTCV6</v>
      </c>
      <c r="K150" s="8">
        <f>'MKT DATA'!O208</f>
        <v>0</v>
      </c>
      <c r="L150" s="8">
        <f>'MKT DATA'!P208</f>
        <v>82984</v>
      </c>
      <c r="M150" s="8">
        <f>'MKT DATA'!Q208</f>
        <v>0</v>
      </c>
      <c r="N150" s="8">
        <f>'MKT DATA'!R208</f>
        <v>0</v>
      </c>
      <c r="O150" s="8">
        <f>'MKT DATA'!S208</f>
        <v>-84128</v>
      </c>
      <c r="P150" s="8">
        <f>'MKT DATA'!T208</f>
        <v>0</v>
      </c>
      <c r="Q150" s="43" t="str">
        <f t="shared" si="9"/>
        <v>syn BTCF7/BTCX6/BTCG7/BTCZ6/BTCV6</v>
      </c>
      <c r="R150" s="13">
        <f>'MKT DATA'!AB208</f>
        <v>0</v>
      </c>
    </row>
    <row r="151" spans="5:18" x14ac:dyDescent="0.25">
      <c r="E151" s="43" t="str">
        <f>'MKT DATA'!B209</f>
        <v>syn BTCF7/BTCX6/BTCG7/BTCH7/BTCV6</v>
      </c>
      <c r="F151" s="13">
        <f>'MKT DATA'!J209</f>
        <v>1</v>
      </c>
      <c r="G151" s="8">
        <f>'MKT DATA'!K209</f>
        <v>82691</v>
      </c>
      <c r="H151" s="8">
        <f>'MKT DATA'!L209</f>
        <v>84484</v>
      </c>
      <c r="I151" s="13">
        <f>'MKT DATA'!M209</f>
        <v>1</v>
      </c>
      <c r="J151" s="43" t="str">
        <f t="shared" si="8"/>
        <v>syn BTCF7/BTCX6/BTCG7/BTCH7/BTCV6</v>
      </c>
      <c r="K151" s="8">
        <f>'MKT DATA'!O209</f>
        <v>0</v>
      </c>
      <c r="L151" s="8">
        <f>'MKT DATA'!P209</f>
        <v>82691</v>
      </c>
      <c r="M151" s="8">
        <f>'MKT DATA'!Q209</f>
        <v>0</v>
      </c>
      <c r="N151" s="8">
        <f>'MKT DATA'!R209</f>
        <v>0</v>
      </c>
      <c r="O151" s="8">
        <f>'MKT DATA'!S209</f>
        <v>-84484</v>
      </c>
      <c r="P151" s="8">
        <f>'MKT DATA'!T209</f>
        <v>0</v>
      </c>
      <c r="Q151" s="43" t="str">
        <f t="shared" si="9"/>
        <v>syn BTCF7/BTCX6/BTCG7/BTCH7/BTCV6</v>
      </c>
      <c r="R151" s="13">
        <f>'MKT DATA'!AB209</f>
        <v>0</v>
      </c>
    </row>
    <row r="152" spans="5:18" x14ac:dyDescent="0.25">
      <c r="E152" s="43" t="str">
        <f>'MKT DATA'!B210</f>
        <v>syn BTCF7/BTCX6/BTCH7/BTCZ6/BTCV6</v>
      </c>
      <c r="F152" s="13">
        <f>'MKT DATA'!J210</f>
        <v>1</v>
      </c>
      <c r="G152" s="8">
        <f>'MKT DATA'!K210</f>
        <v>82604</v>
      </c>
      <c r="H152" s="8">
        <f>'MKT DATA'!L210</f>
        <v>84328</v>
      </c>
      <c r="I152" s="13">
        <f>'MKT DATA'!M210</f>
        <v>1</v>
      </c>
      <c r="J152" s="43" t="str">
        <f t="shared" si="8"/>
        <v>syn BTCF7/BTCX6/BTCH7/BTCZ6/BTCV6</v>
      </c>
      <c r="K152" s="8">
        <f>'MKT DATA'!O210</f>
        <v>0</v>
      </c>
      <c r="L152" s="8">
        <f>'MKT DATA'!P210</f>
        <v>82604</v>
      </c>
      <c r="M152" s="8">
        <f>'MKT DATA'!Q210</f>
        <v>0</v>
      </c>
      <c r="N152" s="8">
        <f>'MKT DATA'!R210</f>
        <v>0</v>
      </c>
      <c r="O152" s="8">
        <f>'MKT DATA'!S210</f>
        <v>-84328</v>
      </c>
      <c r="P152" s="8">
        <f>'MKT DATA'!T210</f>
        <v>0</v>
      </c>
      <c r="Q152" s="43" t="str">
        <f t="shared" si="9"/>
        <v>syn BTCF7/BTCX6/BTCH7/BTCZ6/BTCV6</v>
      </c>
      <c r="R152" s="13">
        <f>'MKT DATA'!AB210</f>
        <v>0</v>
      </c>
    </row>
    <row r="153" spans="5:18" x14ac:dyDescent="0.25">
      <c r="E153" s="43" t="str">
        <f>'MKT DATA'!B211</f>
        <v>syn BTCF7/BTCX6/BTCH7/BTCG7/BTCV6</v>
      </c>
      <c r="F153" s="13">
        <f>'MKT DATA'!J211</f>
        <v>1</v>
      </c>
      <c r="G153" s="8">
        <f>'MKT DATA'!K211</f>
        <v>82636</v>
      </c>
      <c r="H153" s="8">
        <f>'MKT DATA'!L211</f>
        <v>84429</v>
      </c>
      <c r="I153" s="13">
        <f>'MKT DATA'!M211</f>
        <v>1</v>
      </c>
      <c r="J153" s="43" t="str">
        <f t="shared" si="8"/>
        <v>syn BTCF7/BTCX6/BTCH7/BTCG7/BTCV6</v>
      </c>
      <c r="K153" s="8">
        <f>'MKT DATA'!O211</f>
        <v>0</v>
      </c>
      <c r="L153" s="8">
        <f>'MKT DATA'!P211</f>
        <v>82636</v>
      </c>
      <c r="M153" s="8">
        <f>'MKT DATA'!Q211</f>
        <v>0</v>
      </c>
      <c r="N153" s="8">
        <f>'MKT DATA'!R211</f>
        <v>0</v>
      </c>
      <c r="O153" s="8">
        <f>'MKT DATA'!S211</f>
        <v>-84429</v>
      </c>
      <c r="P153" s="8">
        <f>'MKT DATA'!T211</f>
        <v>0</v>
      </c>
      <c r="Q153" s="43" t="str">
        <f t="shared" si="9"/>
        <v>syn BTCF7/BTCX6/BTCH7/BTCG7/BTCV6</v>
      </c>
      <c r="R153" s="13">
        <f>'MKT DATA'!AB211</f>
        <v>0</v>
      </c>
    </row>
    <row r="154" spans="5:18" x14ac:dyDescent="0.25">
      <c r="E154" s="43" t="str">
        <f>'MKT DATA'!B212</f>
        <v>syn BTCF7/BTCZ6/BTCX6/BTCG7/BTCV6</v>
      </c>
      <c r="F154" s="13">
        <f>'MKT DATA'!J212</f>
        <v>1</v>
      </c>
      <c r="G154" s="8">
        <f>'MKT DATA'!K212</f>
        <v>83050</v>
      </c>
      <c r="H154" s="8">
        <f>'MKT DATA'!L212</f>
        <v>84039</v>
      </c>
      <c r="I154" s="13">
        <f>'MKT DATA'!M212</f>
        <v>1</v>
      </c>
      <c r="J154" s="43" t="str">
        <f t="shared" si="8"/>
        <v>syn BTCF7/BTCZ6/BTCX6/BTCG7/BTCV6</v>
      </c>
      <c r="K154" s="8">
        <f>'MKT DATA'!O212</f>
        <v>0</v>
      </c>
      <c r="L154" s="8">
        <f>'MKT DATA'!P212</f>
        <v>83050</v>
      </c>
      <c r="M154" s="8">
        <f>'MKT DATA'!Q212</f>
        <v>0</v>
      </c>
      <c r="N154" s="8">
        <f>'MKT DATA'!R212</f>
        <v>0</v>
      </c>
      <c r="O154" s="8">
        <f>'MKT DATA'!S212</f>
        <v>-84039</v>
      </c>
      <c r="P154" s="8">
        <f>'MKT DATA'!T212</f>
        <v>0</v>
      </c>
      <c r="Q154" s="43" t="str">
        <f t="shared" si="9"/>
        <v>syn BTCF7/BTCZ6/BTCX6/BTCG7/BTCV6</v>
      </c>
      <c r="R154" s="13">
        <f>'MKT DATA'!AB212</f>
        <v>0</v>
      </c>
    </row>
    <row r="155" spans="5:18" x14ac:dyDescent="0.25">
      <c r="E155" s="43" t="str">
        <f>'MKT DATA'!B213</f>
        <v>syn BTCF7/BTCZ6/BTCX6/BTCH7/BTCV6</v>
      </c>
      <c r="F155" s="13">
        <f>'MKT DATA'!J213</f>
        <v>1</v>
      </c>
      <c r="G155" s="8">
        <f>'MKT DATA'!K213</f>
        <v>82640</v>
      </c>
      <c r="H155" s="8">
        <f>'MKT DATA'!L213</f>
        <v>84449</v>
      </c>
      <c r="I155" s="13">
        <f>'MKT DATA'!M213</f>
        <v>1</v>
      </c>
      <c r="J155" s="43" t="str">
        <f t="shared" si="8"/>
        <v>syn BTCF7/BTCZ6/BTCX6/BTCH7/BTCV6</v>
      </c>
      <c r="K155" s="8">
        <f>'MKT DATA'!O213</f>
        <v>0</v>
      </c>
      <c r="L155" s="8">
        <f>'MKT DATA'!P213</f>
        <v>82640</v>
      </c>
      <c r="M155" s="8">
        <f>'MKT DATA'!Q213</f>
        <v>0</v>
      </c>
      <c r="N155" s="8">
        <f>'MKT DATA'!R213</f>
        <v>0</v>
      </c>
      <c r="O155" s="8">
        <f>'MKT DATA'!S213</f>
        <v>-84449</v>
      </c>
      <c r="P155" s="8">
        <f>'MKT DATA'!T213</f>
        <v>0</v>
      </c>
      <c r="Q155" s="43" t="str">
        <f t="shared" si="9"/>
        <v>syn BTCF7/BTCZ6/BTCX6/BTCH7/BTCV6</v>
      </c>
      <c r="R155" s="13">
        <f>'MKT DATA'!AB213</f>
        <v>0</v>
      </c>
    </row>
    <row r="156" spans="5:18" x14ac:dyDescent="0.25">
      <c r="E156" s="43" t="str">
        <f>'MKT DATA'!B214</f>
        <v>syn BTCF7/BTCZ6/BTCG7/BTCX6/BTCV6</v>
      </c>
      <c r="F156" s="13">
        <f>'MKT DATA'!J214</f>
        <v>1</v>
      </c>
      <c r="G156" s="8">
        <f>'MKT DATA'!K214</f>
        <v>83035</v>
      </c>
      <c r="H156" s="8">
        <f>'MKT DATA'!L214</f>
        <v>84076</v>
      </c>
      <c r="I156" s="13">
        <f>'MKT DATA'!M214</f>
        <v>1</v>
      </c>
      <c r="J156" s="43" t="str">
        <f t="shared" si="8"/>
        <v>syn BTCF7/BTCZ6/BTCG7/BTCX6/BTCV6</v>
      </c>
      <c r="K156" s="8">
        <f>'MKT DATA'!O214</f>
        <v>0</v>
      </c>
      <c r="L156" s="8">
        <f>'MKT DATA'!P214</f>
        <v>83035</v>
      </c>
      <c r="M156" s="8">
        <f>'MKT DATA'!Q214</f>
        <v>0</v>
      </c>
      <c r="N156" s="8">
        <f>'MKT DATA'!R214</f>
        <v>0</v>
      </c>
      <c r="O156" s="8">
        <f>'MKT DATA'!S214</f>
        <v>-84076</v>
      </c>
      <c r="P156" s="8">
        <f>'MKT DATA'!T214</f>
        <v>0</v>
      </c>
      <c r="Q156" s="43" t="str">
        <f t="shared" si="9"/>
        <v>syn BTCF7/BTCZ6/BTCG7/BTCX6/BTCV6</v>
      </c>
      <c r="R156" s="13">
        <f>'MKT DATA'!AB214</f>
        <v>0</v>
      </c>
    </row>
    <row r="157" spans="5:18" x14ac:dyDescent="0.25">
      <c r="E157" s="43" t="str">
        <f>'MKT DATA'!B215</f>
        <v>syn BTCF7/BTCZ6/BTCG7/BTCH7/BTCV6</v>
      </c>
      <c r="F157" s="13">
        <f>'MKT DATA'!J215</f>
        <v>1</v>
      </c>
      <c r="G157" s="8">
        <f>'MKT DATA'!K215</f>
        <v>82696</v>
      </c>
      <c r="H157" s="8">
        <f>'MKT DATA'!L215</f>
        <v>84463</v>
      </c>
      <c r="I157" s="13">
        <f>'MKT DATA'!M215</f>
        <v>1</v>
      </c>
      <c r="J157" s="43" t="str">
        <f t="shared" si="8"/>
        <v>syn BTCF7/BTCZ6/BTCG7/BTCH7/BTCV6</v>
      </c>
      <c r="K157" s="8">
        <f>'MKT DATA'!O215</f>
        <v>0</v>
      </c>
      <c r="L157" s="8">
        <f>'MKT DATA'!P215</f>
        <v>82696</v>
      </c>
      <c r="M157" s="8">
        <f>'MKT DATA'!Q215</f>
        <v>0</v>
      </c>
      <c r="N157" s="8">
        <f>'MKT DATA'!R215</f>
        <v>0</v>
      </c>
      <c r="O157" s="8">
        <f>'MKT DATA'!S215</f>
        <v>-84463</v>
      </c>
      <c r="P157" s="8">
        <f>'MKT DATA'!T215</f>
        <v>0</v>
      </c>
      <c r="Q157" s="43" t="str">
        <f t="shared" si="9"/>
        <v>syn BTCF7/BTCZ6/BTCG7/BTCH7/BTCV6</v>
      </c>
      <c r="R157" s="13">
        <f>'MKT DATA'!AB215</f>
        <v>0</v>
      </c>
    </row>
    <row r="158" spans="5:18" x14ac:dyDescent="0.25">
      <c r="E158" s="43" t="str">
        <f>'MKT DATA'!B216</f>
        <v>syn BTCF7/BTCZ6/BTCH7/BTCX6/BTCV6</v>
      </c>
      <c r="F158" s="13">
        <f>'MKT DATA'!J216</f>
        <v>1</v>
      </c>
      <c r="G158" s="8">
        <f>'MKT DATA'!K216</f>
        <v>82835</v>
      </c>
      <c r="H158" s="8">
        <f>'MKT DATA'!L216</f>
        <v>84456</v>
      </c>
      <c r="I158" s="13">
        <f>'MKT DATA'!M216</f>
        <v>1</v>
      </c>
      <c r="J158" s="43" t="str">
        <f t="shared" si="8"/>
        <v>syn BTCF7/BTCZ6/BTCH7/BTCX6/BTCV6</v>
      </c>
      <c r="K158" s="8">
        <f>'MKT DATA'!O216</f>
        <v>0</v>
      </c>
      <c r="L158" s="8">
        <f>'MKT DATA'!P216</f>
        <v>82835</v>
      </c>
      <c r="M158" s="8">
        <f>'MKT DATA'!Q216</f>
        <v>0</v>
      </c>
      <c r="N158" s="8">
        <f>'MKT DATA'!R216</f>
        <v>0</v>
      </c>
      <c r="O158" s="8">
        <f>'MKT DATA'!S216</f>
        <v>-84456</v>
      </c>
      <c r="P158" s="8">
        <f>'MKT DATA'!T216</f>
        <v>0</v>
      </c>
      <c r="Q158" s="43" t="str">
        <f t="shared" si="9"/>
        <v>syn BTCF7/BTCZ6/BTCH7/BTCX6/BTCV6</v>
      </c>
      <c r="R158" s="13">
        <f>'MKT DATA'!AB216</f>
        <v>0</v>
      </c>
    </row>
    <row r="159" spans="5:18" x14ac:dyDescent="0.25">
      <c r="E159" s="43" t="str">
        <f>'MKT DATA'!B217</f>
        <v>syn BTCF7/BTCZ6/BTCH7/BTCG7/BTCV6</v>
      </c>
      <c r="F159" s="13">
        <f>'MKT DATA'!J217</f>
        <v>1</v>
      </c>
      <c r="G159" s="8">
        <f>'MKT DATA'!K217</f>
        <v>82851</v>
      </c>
      <c r="H159" s="8">
        <f>'MKT DATA'!L217</f>
        <v>84378</v>
      </c>
      <c r="I159" s="13">
        <f>'MKT DATA'!M217</f>
        <v>1</v>
      </c>
      <c r="J159" s="43" t="str">
        <f t="shared" si="8"/>
        <v>syn BTCF7/BTCZ6/BTCH7/BTCG7/BTCV6</v>
      </c>
      <c r="K159" s="8">
        <f>'MKT DATA'!O217</f>
        <v>0</v>
      </c>
      <c r="L159" s="8">
        <f>'MKT DATA'!P217</f>
        <v>82851</v>
      </c>
      <c r="M159" s="8">
        <f>'MKT DATA'!Q217</f>
        <v>0</v>
      </c>
      <c r="N159" s="8">
        <f>'MKT DATA'!R217</f>
        <v>0</v>
      </c>
      <c r="O159" s="8">
        <f>'MKT DATA'!S217</f>
        <v>-84378</v>
      </c>
      <c r="P159" s="8">
        <f>'MKT DATA'!T217</f>
        <v>0</v>
      </c>
      <c r="Q159" s="43" t="str">
        <f t="shared" si="9"/>
        <v>syn BTCF7/BTCZ6/BTCH7/BTCG7/BTCV6</v>
      </c>
      <c r="R159" s="13">
        <f>'MKT DATA'!AB217</f>
        <v>0</v>
      </c>
    </row>
    <row r="160" spans="5:18" x14ac:dyDescent="0.25">
      <c r="E160" s="43" t="str">
        <f>'MKT DATA'!B218</f>
        <v>syn BTCF7/BTCG7/BTCX6/BTCZ6/BTCV6</v>
      </c>
      <c r="F160" s="13">
        <f>'MKT DATA'!J218</f>
        <v>1</v>
      </c>
      <c r="G160" s="8">
        <f>'MKT DATA'!K218</f>
        <v>83151</v>
      </c>
      <c r="H160" s="8">
        <f>'MKT DATA'!L218</f>
        <v>83940</v>
      </c>
      <c r="I160" s="13">
        <f>'MKT DATA'!M218</f>
        <v>1</v>
      </c>
      <c r="J160" s="43" t="str">
        <f t="shared" si="8"/>
        <v>syn BTCF7/BTCG7/BTCX6/BTCZ6/BTCV6</v>
      </c>
      <c r="K160" s="8">
        <f>'MKT DATA'!O218</f>
        <v>0</v>
      </c>
      <c r="L160" s="8">
        <f>'MKT DATA'!P218</f>
        <v>83151</v>
      </c>
      <c r="M160" s="8">
        <f>'MKT DATA'!Q218</f>
        <v>0</v>
      </c>
      <c r="N160" s="8">
        <f>'MKT DATA'!R218</f>
        <v>0</v>
      </c>
      <c r="O160" s="8">
        <f>'MKT DATA'!S218</f>
        <v>-83940</v>
      </c>
      <c r="P160" s="8">
        <f>'MKT DATA'!T218</f>
        <v>0</v>
      </c>
      <c r="Q160" s="43" t="str">
        <f t="shared" si="9"/>
        <v>syn BTCF7/BTCG7/BTCX6/BTCZ6/BTCV6</v>
      </c>
      <c r="R160" s="13">
        <f>'MKT DATA'!AB218</f>
        <v>0</v>
      </c>
    </row>
    <row r="161" spans="5:18" x14ac:dyDescent="0.25">
      <c r="E161" s="43" t="str">
        <f>'MKT DATA'!B219</f>
        <v>syn BTCF7/BTCG7/BTCX6/BTCH7/BTCV6</v>
      </c>
      <c r="F161" s="13">
        <f>'MKT DATA'!J219</f>
        <v>1</v>
      </c>
      <c r="G161" s="8">
        <f>'MKT DATA'!K219</f>
        <v>82394</v>
      </c>
      <c r="H161" s="8">
        <f>'MKT DATA'!L219</f>
        <v>84690</v>
      </c>
      <c r="I161" s="13">
        <f>'MKT DATA'!M219</f>
        <v>1</v>
      </c>
      <c r="J161" s="43" t="str">
        <f t="shared" si="8"/>
        <v>syn BTCF7/BTCG7/BTCX6/BTCH7/BTCV6</v>
      </c>
      <c r="K161" s="8">
        <f>'MKT DATA'!O219</f>
        <v>0</v>
      </c>
      <c r="L161" s="8">
        <f>'MKT DATA'!P219</f>
        <v>82394</v>
      </c>
      <c r="M161" s="8">
        <f>'MKT DATA'!Q219</f>
        <v>0</v>
      </c>
      <c r="N161" s="8">
        <f>'MKT DATA'!R219</f>
        <v>0</v>
      </c>
      <c r="O161" s="8">
        <f>'MKT DATA'!S219</f>
        <v>-84690</v>
      </c>
      <c r="P161" s="8">
        <f>'MKT DATA'!T219</f>
        <v>0</v>
      </c>
      <c r="Q161" s="43" t="str">
        <f t="shared" si="9"/>
        <v>syn BTCF7/BTCG7/BTCX6/BTCH7/BTCV6</v>
      </c>
      <c r="R161" s="13">
        <f>'MKT DATA'!AB219</f>
        <v>0</v>
      </c>
    </row>
    <row r="162" spans="5:18" x14ac:dyDescent="0.25">
      <c r="E162" s="43" t="str">
        <f>'MKT DATA'!B220</f>
        <v>syn BTCF7/BTCG7/BTCZ6/BTCX6/BTCV6</v>
      </c>
      <c r="F162" s="13">
        <f>'MKT DATA'!J220</f>
        <v>1</v>
      </c>
      <c r="G162" s="8">
        <f>'MKT DATA'!K220</f>
        <v>83137</v>
      </c>
      <c r="H162" s="8">
        <f>'MKT DATA'!L220</f>
        <v>83939</v>
      </c>
      <c r="I162" s="13">
        <f>'MKT DATA'!M220</f>
        <v>1</v>
      </c>
      <c r="J162" s="43" t="str">
        <f t="shared" si="8"/>
        <v>syn BTCF7/BTCG7/BTCZ6/BTCX6/BTCV6</v>
      </c>
      <c r="K162" s="8">
        <f>'MKT DATA'!O220</f>
        <v>0</v>
      </c>
      <c r="L162" s="8">
        <f>'MKT DATA'!P220</f>
        <v>83137</v>
      </c>
      <c r="M162" s="8">
        <f>'MKT DATA'!Q220</f>
        <v>0</v>
      </c>
      <c r="N162" s="8">
        <f>'MKT DATA'!R220</f>
        <v>0</v>
      </c>
      <c r="O162" s="8">
        <f>'MKT DATA'!S220</f>
        <v>-83939</v>
      </c>
      <c r="P162" s="8">
        <f>'MKT DATA'!T220</f>
        <v>0</v>
      </c>
      <c r="Q162" s="43" t="str">
        <f t="shared" si="9"/>
        <v>syn BTCF7/BTCG7/BTCZ6/BTCX6/BTCV6</v>
      </c>
      <c r="R162" s="13">
        <f>'MKT DATA'!AB220</f>
        <v>0</v>
      </c>
    </row>
    <row r="163" spans="5:18" x14ac:dyDescent="0.25">
      <c r="E163" s="43" t="str">
        <f>'MKT DATA'!B221</f>
        <v>syn BTCF7/BTCG7/BTCZ6/BTCH7/BTCV6</v>
      </c>
      <c r="F163" s="13">
        <f>'MKT DATA'!J221</f>
        <v>1</v>
      </c>
      <c r="G163" s="8">
        <f>'MKT DATA'!K221</f>
        <v>82559</v>
      </c>
      <c r="H163" s="8">
        <f>'MKT DATA'!L221</f>
        <v>84705</v>
      </c>
      <c r="I163" s="13">
        <f>'MKT DATA'!M221</f>
        <v>1</v>
      </c>
      <c r="J163" s="43" t="str">
        <f t="shared" si="8"/>
        <v>syn BTCF7/BTCG7/BTCZ6/BTCH7/BTCV6</v>
      </c>
      <c r="K163" s="8">
        <f>'MKT DATA'!O221</f>
        <v>0</v>
      </c>
      <c r="L163" s="8">
        <f>'MKT DATA'!P221</f>
        <v>82559</v>
      </c>
      <c r="M163" s="8">
        <f>'MKT DATA'!Q221</f>
        <v>0</v>
      </c>
      <c r="N163" s="8">
        <f>'MKT DATA'!R221</f>
        <v>0</v>
      </c>
      <c r="O163" s="8">
        <f>'MKT DATA'!S221</f>
        <v>-84705</v>
      </c>
      <c r="P163" s="8">
        <f>'MKT DATA'!T221</f>
        <v>0</v>
      </c>
      <c r="Q163" s="43" t="str">
        <f t="shared" si="9"/>
        <v>syn BTCF7/BTCG7/BTCZ6/BTCH7/BTCV6</v>
      </c>
      <c r="R163" s="13">
        <f>'MKT DATA'!AB221</f>
        <v>0</v>
      </c>
    </row>
    <row r="164" spans="5:18" x14ac:dyDescent="0.25">
      <c r="E164" s="43" t="str">
        <f>'MKT DATA'!B222</f>
        <v>syn BTCF7/BTCG7/BTCH7/BTCX6/BTCV6</v>
      </c>
      <c r="F164" s="13">
        <f>'MKT DATA'!J222</f>
        <v>1</v>
      </c>
      <c r="G164" s="8">
        <f>'MKT DATA'!K222</f>
        <v>82828</v>
      </c>
      <c r="H164" s="8">
        <f>'MKT DATA'!L222</f>
        <v>84318</v>
      </c>
      <c r="I164" s="13">
        <f>'MKT DATA'!M222</f>
        <v>1</v>
      </c>
      <c r="J164" s="43" t="str">
        <f t="shared" si="8"/>
        <v>syn BTCF7/BTCG7/BTCH7/BTCX6/BTCV6</v>
      </c>
      <c r="K164" s="8">
        <f>'MKT DATA'!O222</f>
        <v>0</v>
      </c>
      <c r="L164" s="8">
        <f>'MKT DATA'!P222</f>
        <v>82828</v>
      </c>
      <c r="M164" s="8">
        <f>'MKT DATA'!Q222</f>
        <v>0</v>
      </c>
      <c r="N164" s="8">
        <f>'MKT DATA'!R222</f>
        <v>0</v>
      </c>
      <c r="O164" s="8">
        <f>'MKT DATA'!S222</f>
        <v>-84318</v>
      </c>
      <c r="P164" s="8">
        <f>'MKT DATA'!T222</f>
        <v>0</v>
      </c>
      <c r="Q164" s="43" t="str">
        <f t="shared" si="9"/>
        <v>syn BTCF7/BTCG7/BTCH7/BTCX6/BTCV6</v>
      </c>
      <c r="R164" s="13">
        <f>'MKT DATA'!AB222</f>
        <v>0</v>
      </c>
    </row>
    <row r="165" spans="5:18" x14ac:dyDescent="0.25">
      <c r="E165" s="43" t="str">
        <f>'MKT DATA'!B223</f>
        <v>syn BTCF7/BTCG7/BTCH7/BTCZ6/BTCV6</v>
      </c>
      <c r="F165" s="13">
        <f>'MKT DATA'!J223</f>
        <v>1</v>
      </c>
      <c r="G165" s="8">
        <f>'MKT DATA'!K223</f>
        <v>82812</v>
      </c>
      <c r="H165" s="8">
        <f>'MKT DATA'!L223</f>
        <v>84139</v>
      </c>
      <c r="I165" s="13">
        <f>'MKT DATA'!M223</f>
        <v>1</v>
      </c>
      <c r="J165" s="43" t="str">
        <f t="shared" si="8"/>
        <v>syn BTCF7/BTCG7/BTCH7/BTCZ6/BTCV6</v>
      </c>
      <c r="K165" s="8">
        <f>'MKT DATA'!O223</f>
        <v>0</v>
      </c>
      <c r="L165" s="8">
        <f>'MKT DATA'!P223</f>
        <v>82812</v>
      </c>
      <c r="M165" s="8">
        <f>'MKT DATA'!Q223</f>
        <v>0</v>
      </c>
      <c r="N165" s="8">
        <f>'MKT DATA'!R223</f>
        <v>0</v>
      </c>
      <c r="O165" s="8">
        <f>'MKT DATA'!S223</f>
        <v>-84139</v>
      </c>
      <c r="P165" s="8">
        <f>'MKT DATA'!T223</f>
        <v>0</v>
      </c>
      <c r="Q165" s="43" t="str">
        <f t="shared" si="9"/>
        <v>syn BTCF7/BTCG7/BTCH7/BTCZ6/BTCV6</v>
      </c>
      <c r="R165" s="13">
        <f>'MKT DATA'!AB223</f>
        <v>0</v>
      </c>
    </row>
    <row r="166" spans="5:18" x14ac:dyDescent="0.25">
      <c r="E166" s="43" t="str">
        <f>'MKT DATA'!B224</f>
        <v>syn BTCF7/BTCH7/BTCX6/BTCZ6/BTCV6</v>
      </c>
      <c r="F166" s="13">
        <f>'MKT DATA'!J224</f>
        <v>1</v>
      </c>
      <c r="G166" s="8">
        <f>'MKT DATA'!K224</f>
        <v>82572</v>
      </c>
      <c r="H166" s="8">
        <f>'MKT DATA'!L224</f>
        <v>84535</v>
      </c>
      <c r="I166" s="13">
        <f>'MKT DATA'!M224</f>
        <v>1</v>
      </c>
      <c r="J166" s="43" t="str">
        <f t="shared" si="8"/>
        <v>syn BTCF7/BTCH7/BTCX6/BTCZ6/BTCV6</v>
      </c>
      <c r="K166" s="8">
        <f>'MKT DATA'!O224</f>
        <v>0</v>
      </c>
      <c r="L166" s="8">
        <f>'MKT DATA'!P224</f>
        <v>82572</v>
      </c>
      <c r="M166" s="8">
        <f>'MKT DATA'!Q224</f>
        <v>0</v>
      </c>
      <c r="N166" s="8">
        <f>'MKT DATA'!R224</f>
        <v>0</v>
      </c>
      <c r="O166" s="8">
        <f>'MKT DATA'!S224</f>
        <v>-84535</v>
      </c>
      <c r="P166" s="8">
        <f>'MKT DATA'!T224</f>
        <v>0</v>
      </c>
      <c r="Q166" s="43" t="str">
        <f t="shared" si="9"/>
        <v>syn BTCF7/BTCH7/BTCX6/BTCZ6/BTCV6</v>
      </c>
      <c r="R166" s="13">
        <f>'MKT DATA'!AB224</f>
        <v>0</v>
      </c>
    </row>
    <row r="167" spans="5:18" x14ac:dyDescent="0.25">
      <c r="E167" s="43" t="str">
        <f>'MKT DATA'!B225</f>
        <v>syn BTCF7/BTCH7/BTCX6/BTCG7/BTCV6</v>
      </c>
      <c r="F167" s="13">
        <f>'MKT DATA'!J225</f>
        <v>1</v>
      </c>
      <c r="G167" s="8">
        <f>'MKT DATA'!K225</f>
        <v>82225</v>
      </c>
      <c r="H167" s="8">
        <f>'MKT DATA'!L225</f>
        <v>84875</v>
      </c>
      <c r="I167" s="13">
        <f>'MKT DATA'!M225</f>
        <v>1</v>
      </c>
      <c r="J167" s="43" t="str">
        <f t="shared" si="8"/>
        <v>syn BTCF7/BTCH7/BTCX6/BTCG7/BTCV6</v>
      </c>
      <c r="K167" s="8">
        <f>'MKT DATA'!O225</f>
        <v>0</v>
      </c>
      <c r="L167" s="8">
        <f>'MKT DATA'!P225</f>
        <v>82225</v>
      </c>
      <c r="M167" s="8">
        <f>'MKT DATA'!Q225</f>
        <v>0</v>
      </c>
      <c r="N167" s="8">
        <f>'MKT DATA'!R225</f>
        <v>0</v>
      </c>
      <c r="O167" s="8">
        <f>'MKT DATA'!S225</f>
        <v>-84875</v>
      </c>
      <c r="P167" s="8">
        <f>'MKT DATA'!T225</f>
        <v>0</v>
      </c>
      <c r="Q167" s="43" t="str">
        <f t="shared" si="9"/>
        <v>syn BTCF7/BTCH7/BTCX6/BTCG7/BTCV6</v>
      </c>
      <c r="R167" s="13">
        <f>'MKT DATA'!AB225</f>
        <v>0</v>
      </c>
    </row>
    <row r="168" spans="5:18" x14ac:dyDescent="0.25">
      <c r="E168" s="43" t="str">
        <f>'MKT DATA'!B226</f>
        <v>syn BTCF7/BTCH7/BTCZ6/BTCX6/BTCV6</v>
      </c>
      <c r="F168" s="13">
        <f>'MKT DATA'!J226</f>
        <v>1</v>
      </c>
      <c r="G168" s="8">
        <f>'MKT DATA'!K226</f>
        <v>82588</v>
      </c>
      <c r="H168" s="8">
        <f>'MKT DATA'!L226</f>
        <v>84324</v>
      </c>
      <c r="I168" s="13">
        <f>'MKT DATA'!M226</f>
        <v>1</v>
      </c>
      <c r="J168" s="43" t="str">
        <f t="shared" si="8"/>
        <v>syn BTCF7/BTCH7/BTCZ6/BTCX6/BTCV6</v>
      </c>
      <c r="K168" s="8">
        <f>'MKT DATA'!O226</f>
        <v>0</v>
      </c>
      <c r="L168" s="8">
        <f>'MKT DATA'!P226</f>
        <v>82588</v>
      </c>
      <c r="M168" s="8">
        <f>'MKT DATA'!Q226</f>
        <v>0</v>
      </c>
      <c r="N168" s="8">
        <f>'MKT DATA'!R226</f>
        <v>0</v>
      </c>
      <c r="O168" s="8">
        <f>'MKT DATA'!S226</f>
        <v>-84324</v>
      </c>
      <c r="P168" s="8">
        <f>'MKT DATA'!T226</f>
        <v>0</v>
      </c>
      <c r="Q168" s="43" t="str">
        <f t="shared" si="9"/>
        <v>syn BTCF7/BTCH7/BTCZ6/BTCX6/BTCV6</v>
      </c>
      <c r="R168" s="13">
        <f>'MKT DATA'!AB226</f>
        <v>0</v>
      </c>
    </row>
    <row r="169" spans="5:18" x14ac:dyDescent="0.25">
      <c r="E169" s="43" t="str">
        <f>'MKT DATA'!B227</f>
        <v>syn BTCF7/BTCH7/BTCZ6/BTCG7/BTCV6</v>
      </c>
      <c r="F169" s="13">
        <f>'MKT DATA'!J227</f>
        <v>1</v>
      </c>
      <c r="G169" s="8">
        <f>'MKT DATA'!K227</f>
        <v>82210</v>
      </c>
      <c r="H169" s="8">
        <f>'MKT DATA'!L227</f>
        <v>84710</v>
      </c>
      <c r="I169" s="13">
        <f>'MKT DATA'!M227</f>
        <v>1</v>
      </c>
      <c r="J169" s="43" t="str">
        <f t="shared" si="8"/>
        <v>syn BTCF7/BTCH7/BTCZ6/BTCG7/BTCV6</v>
      </c>
      <c r="K169" s="8">
        <f>'MKT DATA'!O227</f>
        <v>0</v>
      </c>
      <c r="L169" s="8">
        <f>'MKT DATA'!P227</f>
        <v>82210</v>
      </c>
      <c r="M169" s="8">
        <f>'MKT DATA'!Q227</f>
        <v>0</v>
      </c>
      <c r="N169" s="8">
        <f>'MKT DATA'!R227</f>
        <v>0</v>
      </c>
      <c r="O169" s="8">
        <f>'MKT DATA'!S227</f>
        <v>-84710</v>
      </c>
      <c r="P169" s="8">
        <f>'MKT DATA'!T227</f>
        <v>0</v>
      </c>
      <c r="Q169" s="43" t="str">
        <f t="shared" si="9"/>
        <v>syn BTCF7/BTCH7/BTCZ6/BTCG7/BTCV6</v>
      </c>
      <c r="R169" s="13">
        <f>'MKT DATA'!AB227</f>
        <v>0</v>
      </c>
    </row>
    <row r="170" spans="5:18" x14ac:dyDescent="0.25">
      <c r="E170" s="43" t="str">
        <f>'MKT DATA'!B228</f>
        <v>syn BTCF7/BTCH7/BTCG7/BTCX6/BTCV6</v>
      </c>
      <c r="F170" s="13">
        <f>'MKT DATA'!J228</f>
        <v>1</v>
      </c>
      <c r="G170" s="8">
        <f>'MKT DATA'!K228</f>
        <v>82604</v>
      </c>
      <c r="H170" s="8">
        <f>'MKT DATA'!L228</f>
        <v>84448</v>
      </c>
      <c r="I170" s="13">
        <f>'MKT DATA'!M228</f>
        <v>1</v>
      </c>
      <c r="J170" s="43" t="str">
        <f t="shared" si="8"/>
        <v>syn BTCF7/BTCH7/BTCG7/BTCX6/BTCV6</v>
      </c>
      <c r="K170" s="8">
        <f>'MKT DATA'!O228</f>
        <v>0</v>
      </c>
      <c r="L170" s="8">
        <f>'MKT DATA'!P228</f>
        <v>82604</v>
      </c>
      <c r="M170" s="8">
        <f>'MKT DATA'!Q228</f>
        <v>0</v>
      </c>
      <c r="N170" s="8">
        <f>'MKT DATA'!R228</f>
        <v>0</v>
      </c>
      <c r="O170" s="8">
        <f>'MKT DATA'!S228</f>
        <v>-84448</v>
      </c>
      <c r="P170" s="8">
        <f>'MKT DATA'!T228</f>
        <v>0</v>
      </c>
      <c r="Q170" s="43" t="str">
        <f t="shared" si="9"/>
        <v>syn BTCF7/BTCH7/BTCG7/BTCX6/BTCV6</v>
      </c>
      <c r="R170" s="13">
        <f>'MKT DATA'!AB228</f>
        <v>0</v>
      </c>
    </row>
    <row r="171" spans="5:18" x14ac:dyDescent="0.25">
      <c r="E171" s="43" t="str">
        <f>'MKT DATA'!B229</f>
        <v>syn BTCF7/BTCH7/BTCG7/BTCZ6/BTCV6</v>
      </c>
      <c r="F171" s="13">
        <f>'MKT DATA'!J229</f>
        <v>1</v>
      </c>
      <c r="G171" s="8">
        <f>'MKT DATA'!K229</f>
        <v>82558</v>
      </c>
      <c r="H171" s="8">
        <f>'MKT DATA'!L229</f>
        <v>84479</v>
      </c>
      <c r="I171" s="13">
        <f>'MKT DATA'!M229</f>
        <v>1</v>
      </c>
      <c r="J171" s="43" t="str">
        <f t="shared" si="8"/>
        <v>syn BTCF7/BTCH7/BTCG7/BTCZ6/BTCV6</v>
      </c>
      <c r="K171" s="8">
        <f>'MKT DATA'!O229</f>
        <v>0</v>
      </c>
      <c r="L171" s="8">
        <f>'MKT DATA'!P229</f>
        <v>82558</v>
      </c>
      <c r="M171" s="8">
        <f>'MKT DATA'!Q229</f>
        <v>0</v>
      </c>
      <c r="N171" s="8">
        <f>'MKT DATA'!R229</f>
        <v>0</v>
      </c>
      <c r="O171" s="8">
        <f>'MKT DATA'!S229</f>
        <v>-84479</v>
      </c>
      <c r="P171" s="8">
        <f>'MKT DATA'!T229</f>
        <v>0</v>
      </c>
      <c r="Q171" s="43" t="str">
        <f t="shared" si="9"/>
        <v>syn BTCF7/BTCH7/BTCG7/BTCZ6/BTCV6</v>
      </c>
      <c r="R171" s="13">
        <f>'MKT DATA'!AB229</f>
        <v>0</v>
      </c>
    </row>
    <row r="172" spans="5:18" x14ac:dyDescent="0.25">
      <c r="E172" s="43" t="str">
        <f>'MKT DATA'!B230</f>
        <v>syn BTCG7/BTCX6/BTCZ6/BTCF7/BTCV6</v>
      </c>
      <c r="F172" s="13">
        <f>'MKT DATA'!J230</f>
        <v>1</v>
      </c>
      <c r="G172" s="8">
        <f>'MKT DATA'!K230</f>
        <v>83107</v>
      </c>
      <c r="H172" s="8">
        <f>'MKT DATA'!L230</f>
        <v>84034</v>
      </c>
      <c r="I172" s="13">
        <f>'MKT DATA'!M230</f>
        <v>1</v>
      </c>
      <c r="J172" s="43" t="str">
        <f t="shared" si="8"/>
        <v>syn BTCG7/BTCX6/BTCZ6/BTCF7/BTCV6</v>
      </c>
      <c r="K172" s="8">
        <f>'MKT DATA'!O230</f>
        <v>0</v>
      </c>
      <c r="L172" s="8">
        <f>'MKT DATA'!P230</f>
        <v>83107</v>
      </c>
      <c r="M172" s="8">
        <f>'MKT DATA'!Q230</f>
        <v>0</v>
      </c>
      <c r="N172" s="8">
        <f>'MKT DATA'!R230</f>
        <v>0</v>
      </c>
      <c r="O172" s="8">
        <f>'MKT DATA'!S230</f>
        <v>-84034</v>
      </c>
      <c r="P172" s="8">
        <f>'MKT DATA'!T230</f>
        <v>0</v>
      </c>
      <c r="Q172" s="43" t="str">
        <f t="shared" si="9"/>
        <v>syn BTCG7/BTCX6/BTCZ6/BTCF7/BTCV6</v>
      </c>
      <c r="R172" s="13">
        <f>'MKT DATA'!AB230</f>
        <v>0</v>
      </c>
    </row>
    <row r="173" spans="5:18" x14ac:dyDescent="0.25">
      <c r="E173" s="43" t="str">
        <f>'MKT DATA'!B231</f>
        <v>syn BTCG7/BTCX6/BTCZ6/BTCH7/BTCV6</v>
      </c>
      <c r="F173" s="13">
        <f>'MKT DATA'!J231</f>
        <v>1</v>
      </c>
      <c r="G173" s="8">
        <f>'MKT DATA'!K231</f>
        <v>82594</v>
      </c>
      <c r="H173" s="8">
        <f>'MKT DATA'!L231</f>
        <v>84701</v>
      </c>
      <c r="I173" s="13">
        <f>'MKT DATA'!M231</f>
        <v>1</v>
      </c>
      <c r="J173" s="43" t="str">
        <f t="shared" si="8"/>
        <v>syn BTCG7/BTCX6/BTCZ6/BTCH7/BTCV6</v>
      </c>
      <c r="K173" s="8">
        <f>'MKT DATA'!O231</f>
        <v>0</v>
      </c>
      <c r="L173" s="8">
        <f>'MKT DATA'!P231</f>
        <v>82594</v>
      </c>
      <c r="M173" s="8">
        <f>'MKT DATA'!Q231</f>
        <v>0</v>
      </c>
      <c r="N173" s="8">
        <f>'MKT DATA'!R231</f>
        <v>0</v>
      </c>
      <c r="O173" s="8">
        <f>'MKT DATA'!S231</f>
        <v>-84701</v>
      </c>
      <c r="P173" s="8">
        <f>'MKT DATA'!T231</f>
        <v>0</v>
      </c>
      <c r="Q173" s="43" t="str">
        <f t="shared" si="9"/>
        <v>syn BTCG7/BTCX6/BTCZ6/BTCH7/BTCV6</v>
      </c>
      <c r="R173" s="13">
        <f>'MKT DATA'!AB231</f>
        <v>0</v>
      </c>
    </row>
    <row r="174" spans="5:18" x14ac:dyDescent="0.25">
      <c r="E174" s="43" t="str">
        <f>'MKT DATA'!B232</f>
        <v>syn BTCG7/BTCX6/BTCF7/BTCZ6/BTCV6</v>
      </c>
      <c r="F174" s="13">
        <f>'MKT DATA'!J232</f>
        <v>1</v>
      </c>
      <c r="G174" s="8">
        <f>'MKT DATA'!K232</f>
        <v>83090</v>
      </c>
      <c r="H174" s="8">
        <f>'MKT DATA'!L232</f>
        <v>83986</v>
      </c>
      <c r="I174" s="13">
        <f>'MKT DATA'!M232</f>
        <v>1</v>
      </c>
      <c r="J174" s="43" t="str">
        <f t="shared" si="8"/>
        <v>syn BTCG7/BTCX6/BTCF7/BTCZ6/BTCV6</v>
      </c>
      <c r="K174" s="8">
        <f>'MKT DATA'!O232</f>
        <v>0</v>
      </c>
      <c r="L174" s="8">
        <f>'MKT DATA'!P232</f>
        <v>83090</v>
      </c>
      <c r="M174" s="8">
        <f>'MKT DATA'!Q232</f>
        <v>0</v>
      </c>
      <c r="N174" s="8">
        <f>'MKT DATA'!R232</f>
        <v>0</v>
      </c>
      <c r="O174" s="8">
        <f>'MKT DATA'!S232</f>
        <v>-83986</v>
      </c>
      <c r="P174" s="8">
        <f>'MKT DATA'!T232</f>
        <v>0</v>
      </c>
      <c r="Q174" s="43" t="str">
        <f t="shared" si="9"/>
        <v>syn BTCG7/BTCX6/BTCF7/BTCZ6/BTCV6</v>
      </c>
      <c r="R174" s="13">
        <f>'MKT DATA'!AB232</f>
        <v>0</v>
      </c>
    </row>
    <row r="175" spans="5:18" x14ac:dyDescent="0.25">
      <c r="E175" s="43" t="str">
        <f>'MKT DATA'!B233</f>
        <v>syn BTCG7/BTCX6/BTCF7/BTCH7/BTCV6</v>
      </c>
      <c r="F175" s="13">
        <f>'MKT DATA'!J233</f>
        <v>1</v>
      </c>
      <c r="G175" s="8">
        <f>'MKT DATA'!K233</f>
        <v>82281</v>
      </c>
      <c r="H175" s="8">
        <f>'MKT DATA'!L233</f>
        <v>84799</v>
      </c>
      <c r="I175" s="13">
        <f>'MKT DATA'!M233</f>
        <v>1</v>
      </c>
      <c r="J175" s="43" t="str">
        <f t="shared" si="8"/>
        <v>syn BTCG7/BTCX6/BTCF7/BTCH7/BTCV6</v>
      </c>
      <c r="K175" s="8">
        <f>'MKT DATA'!O233</f>
        <v>0</v>
      </c>
      <c r="L175" s="8">
        <f>'MKT DATA'!P233</f>
        <v>82281</v>
      </c>
      <c r="M175" s="8">
        <f>'MKT DATA'!Q233</f>
        <v>0</v>
      </c>
      <c r="N175" s="8">
        <f>'MKT DATA'!R233</f>
        <v>0</v>
      </c>
      <c r="O175" s="8">
        <f>'MKT DATA'!S233</f>
        <v>-84799</v>
      </c>
      <c r="P175" s="8">
        <f>'MKT DATA'!T233</f>
        <v>0</v>
      </c>
      <c r="Q175" s="43" t="str">
        <f t="shared" si="9"/>
        <v>syn BTCG7/BTCX6/BTCF7/BTCH7/BTCV6</v>
      </c>
      <c r="R175" s="13">
        <f>'MKT DATA'!AB233</f>
        <v>0</v>
      </c>
    </row>
    <row r="176" spans="5:18" x14ac:dyDescent="0.25">
      <c r="E176" s="43" t="str">
        <f>'MKT DATA'!B234</f>
        <v>syn BTCG7/BTCX6/BTCH7/BTCZ6/BTCV6</v>
      </c>
      <c r="F176" s="13">
        <f>'MKT DATA'!J234</f>
        <v>1</v>
      </c>
      <c r="G176" s="8">
        <f>'MKT DATA'!K234</f>
        <v>82383</v>
      </c>
      <c r="H176" s="8">
        <f>'MKT DATA'!L234</f>
        <v>84529</v>
      </c>
      <c r="I176" s="13">
        <f>'MKT DATA'!M234</f>
        <v>1</v>
      </c>
      <c r="J176" s="43" t="str">
        <f t="shared" si="8"/>
        <v>syn BTCG7/BTCX6/BTCH7/BTCZ6/BTCV6</v>
      </c>
      <c r="K176" s="8">
        <f>'MKT DATA'!O234</f>
        <v>0</v>
      </c>
      <c r="L176" s="8">
        <f>'MKT DATA'!P234</f>
        <v>82383</v>
      </c>
      <c r="M176" s="8">
        <f>'MKT DATA'!Q234</f>
        <v>0</v>
      </c>
      <c r="N176" s="8">
        <f>'MKT DATA'!R234</f>
        <v>0</v>
      </c>
      <c r="O176" s="8">
        <f>'MKT DATA'!S234</f>
        <v>-84529</v>
      </c>
      <c r="P176" s="8">
        <f>'MKT DATA'!T234</f>
        <v>0</v>
      </c>
      <c r="Q176" s="43" t="str">
        <f t="shared" si="9"/>
        <v>syn BTCG7/BTCX6/BTCH7/BTCZ6/BTCV6</v>
      </c>
      <c r="R176" s="13">
        <f>'MKT DATA'!AB234</f>
        <v>0</v>
      </c>
    </row>
    <row r="177" spans="5:18" x14ac:dyDescent="0.25">
      <c r="E177" s="43" t="str">
        <f>'MKT DATA'!B235</f>
        <v>syn BTCG7/BTCX6/BTCH7/BTCF7/BTCV6</v>
      </c>
      <c r="F177" s="13">
        <f>'MKT DATA'!J235</f>
        <v>1</v>
      </c>
      <c r="G177" s="8">
        <f>'MKT DATA'!K235</f>
        <v>82271</v>
      </c>
      <c r="H177" s="8">
        <f>'MKT DATA'!L235</f>
        <v>84859</v>
      </c>
      <c r="I177" s="13">
        <f>'MKT DATA'!M235</f>
        <v>1</v>
      </c>
      <c r="J177" s="43" t="str">
        <f t="shared" si="8"/>
        <v>syn BTCG7/BTCX6/BTCH7/BTCF7/BTCV6</v>
      </c>
      <c r="K177" s="8">
        <f>'MKT DATA'!O235</f>
        <v>0</v>
      </c>
      <c r="L177" s="8">
        <f>'MKT DATA'!P235</f>
        <v>82271</v>
      </c>
      <c r="M177" s="8">
        <f>'MKT DATA'!Q235</f>
        <v>0</v>
      </c>
      <c r="N177" s="8">
        <f>'MKT DATA'!R235</f>
        <v>0</v>
      </c>
      <c r="O177" s="8">
        <f>'MKT DATA'!S235</f>
        <v>-84859</v>
      </c>
      <c r="P177" s="8">
        <f>'MKT DATA'!T235</f>
        <v>0</v>
      </c>
      <c r="Q177" s="43" t="str">
        <f t="shared" si="9"/>
        <v>syn BTCG7/BTCX6/BTCH7/BTCF7/BTCV6</v>
      </c>
      <c r="R177" s="13">
        <f>'MKT DATA'!AB235</f>
        <v>0</v>
      </c>
    </row>
    <row r="178" spans="5:18" x14ac:dyDescent="0.25">
      <c r="E178" s="43" t="str">
        <f>'MKT DATA'!B236</f>
        <v>syn BTCG7/BTCZ6/BTCX6/BTCF7/BTCV6</v>
      </c>
      <c r="F178" s="13">
        <f>'MKT DATA'!J236</f>
        <v>1</v>
      </c>
      <c r="G178" s="8">
        <f>'MKT DATA'!K236</f>
        <v>83026</v>
      </c>
      <c r="H178" s="8">
        <f>'MKT DATA'!L236</f>
        <v>84069</v>
      </c>
      <c r="I178" s="13">
        <f>'MKT DATA'!M236</f>
        <v>1</v>
      </c>
      <c r="J178" s="43" t="str">
        <f t="shared" si="8"/>
        <v>syn BTCG7/BTCZ6/BTCX6/BTCF7/BTCV6</v>
      </c>
      <c r="K178" s="8">
        <f>'MKT DATA'!O236</f>
        <v>0</v>
      </c>
      <c r="L178" s="8">
        <f>'MKT DATA'!P236</f>
        <v>83026</v>
      </c>
      <c r="M178" s="8">
        <f>'MKT DATA'!Q236</f>
        <v>0</v>
      </c>
      <c r="N178" s="8">
        <f>'MKT DATA'!R236</f>
        <v>0</v>
      </c>
      <c r="O178" s="8">
        <f>'MKT DATA'!S236</f>
        <v>-84069</v>
      </c>
      <c r="P178" s="8">
        <f>'MKT DATA'!T236</f>
        <v>0</v>
      </c>
      <c r="Q178" s="43" t="str">
        <f t="shared" si="9"/>
        <v>syn BTCG7/BTCZ6/BTCX6/BTCF7/BTCV6</v>
      </c>
      <c r="R178" s="13">
        <f>'MKT DATA'!AB236</f>
        <v>0</v>
      </c>
    </row>
    <row r="179" spans="5:18" x14ac:dyDescent="0.25">
      <c r="E179" s="43" t="str">
        <f>'MKT DATA'!B237</f>
        <v>syn BTCG7/BTCZ6/BTCX6/BTCH7/BTCV6</v>
      </c>
      <c r="F179" s="13">
        <f>'MKT DATA'!J237</f>
        <v>1</v>
      </c>
      <c r="G179" s="8">
        <f>'MKT DATA'!K237</f>
        <v>82369</v>
      </c>
      <c r="H179" s="8">
        <f>'MKT DATA'!L237</f>
        <v>84716</v>
      </c>
      <c r="I179" s="13">
        <f>'MKT DATA'!M237</f>
        <v>1</v>
      </c>
      <c r="J179" s="43" t="str">
        <f t="shared" si="8"/>
        <v>syn BTCG7/BTCZ6/BTCX6/BTCH7/BTCV6</v>
      </c>
      <c r="K179" s="8">
        <f>'MKT DATA'!O237</f>
        <v>0</v>
      </c>
      <c r="L179" s="8">
        <f>'MKT DATA'!P237</f>
        <v>82369</v>
      </c>
      <c r="M179" s="8">
        <f>'MKT DATA'!Q237</f>
        <v>0</v>
      </c>
      <c r="N179" s="8">
        <f>'MKT DATA'!R237</f>
        <v>0</v>
      </c>
      <c r="O179" s="8">
        <f>'MKT DATA'!S237</f>
        <v>-84716</v>
      </c>
      <c r="P179" s="8">
        <f>'MKT DATA'!T237</f>
        <v>0</v>
      </c>
      <c r="Q179" s="43" t="str">
        <f t="shared" si="9"/>
        <v>syn BTCG7/BTCZ6/BTCX6/BTCH7/BTCV6</v>
      </c>
      <c r="R179" s="13">
        <f>'MKT DATA'!AB237</f>
        <v>0</v>
      </c>
    </row>
    <row r="180" spans="5:18" x14ac:dyDescent="0.25">
      <c r="E180" s="43" t="str">
        <f>'MKT DATA'!B238</f>
        <v>syn BTCG7/BTCZ6/BTCF7/BTCX6/BTCV6</v>
      </c>
      <c r="F180" s="13">
        <f>'MKT DATA'!J238</f>
        <v>1</v>
      </c>
      <c r="G180" s="8">
        <f>'MKT DATA'!K238</f>
        <v>83107</v>
      </c>
      <c r="H180" s="8">
        <f>'MKT DATA'!L238</f>
        <v>84016</v>
      </c>
      <c r="I180" s="13">
        <f>'MKT DATA'!M238</f>
        <v>1</v>
      </c>
      <c r="J180" s="43" t="str">
        <f t="shared" si="8"/>
        <v>syn BTCG7/BTCZ6/BTCF7/BTCX6/BTCV6</v>
      </c>
      <c r="K180" s="8">
        <f>'MKT DATA'!O238</f>
        <v>0</v>
      </c>
      <c r="L180" s="8">
        <f>'MKT DATA'!P238</f>
        <v>83107</v>
      </c>
      <c r="M180" s="8">
        <f>'MKT DATA'!Q238</f>
        <v>0</v>
      </c>
      <c r="N180" s="8">
        <f>'MKT DATA'!R238</f>
        <v>0</v>
      </c>
      <c r="O180" s="8">
        <f>'MKT DATA'!S238</f>
        <v>-84016</v>
      </c>
      <c r="P180" s="8">
        <f>'MKT DATA'!T238</f>
        <v>0</v>
      </c>
      <c r="Q180" s="43" t="str">
        <f t="shared" si="9"/>
        <v>syn BTCG7/BTCZ6/BTCF7/BTCX6/BTCV6</v>
      </c>
      <c r="R180" s="13">
        <f>'MKT DATA'!AB238</f>
        <v>0</v>
      </c>
    </row>
    <row r="181" spans="5:18" x14ac:dyDescent="0.25">
      <c r="E181" s="43" t="str">
        <f>'MKT DATA'!B239</f>
        <v>syn BTCG7/BTCZ6/BTCF7/BTCH7/BTCV6</v>
      </c>
      <c r="F181" s="13">
        <f>'MKT DATA'!J239</f>
        <v>1</v>
      </c>
      <c r="G181" s="8">
        <f>'MKT DATA'!K239</f>
        <v>82302</v>
      </c>
      <c r="H181" s="8">
        <f>'MKT DATA'!L239</f>
        <v>84794</v>
      </c>
      <c r="I181" s="13">
        <f>'MKT DATA'!M239</f>
        <v>1</v>
      </c>
      <c r="J181" s="43" t="str">
        <f t="shared" si="8"/>
        <v>syn BTCG7/BTCZ6/BTCF7/BTCH7/BTCV6</v>
      </c>
      <c r="K181" s="8">
        <f>'MKT DATA'!O239</f>
        <v>0</v>
      </c>
      <c r="L181" s="8">
        <f>'MKT DATA'!P239</f>
        <v>82302</v>
      </c>
      <c r="M181" s="8">
        <f>'MKT DATA'!Q239</f>
        <v>0</v>
      </c>
      <c r="N181" s="8">
        <f>'MKT DATA'!R239</f>
        <v>0</v>
      </c>
      <c r="O181" s="8">
        <f>'MKT DATA'!S239</f>
        <v>-84794</v>
      </c>
      <c r="P181" s="8">
        <f>'MKT DATA'!T239</f>
        <v>0</v>
      </c>
      <c r="Q181" s="43" t="str">
        <f t="shared" si="9"/>
        <v>syn BTCG7/BTCZ6/BTCF7/BTCH7/BTCV6</v>
      </c>
      <c r="R181" s="13">
        <f>'MKT DATA'!AB239</f>
        <v>0</v>
      </c>
    </row>
    <row r="182" spans="5:18" x14ac:dyDescent="0.25">
      <c r="E182" s="43" t="str">
        <f>'MKT DATA'!B240</f>
        <v>syn BTCG7/BTCZ6/BTCH7/BTCX6/BTCV6</v>
      </c>
      <c r="F182" s="13">
        <f>'MKT DATA'!J240</f>
        <v>1</v>
      </c>
      <c r="G182" s="8">
        <f>'MKT DATA'!K240</f>
        <v>82564</v>
      </c>
      <c r="H182" s="8">
        <f>'MKT DATA'!L240</f>
        <v>84723</v>
      </c>
      <c r="I182" s="13">
        <f>'MKT DATA'!M240</f>
        <v>1</v>
      </c>
      <c r="J182" s="43" t="str">
        <f t="shared" si="8"/>
        <v>syn BTCG7/BTCZ6/BTCH7/BTCX6/BTCV6</v>
      </c>
      <c r="K182" s="8">
        <f>'MKT DATA'!O240</f>
        <v>0</v>
      </c>
      <c r="L182" s="8">
        <f>'MKT DATA'!P240</f>
        <v>82564</v>
      </c>
      <c r="M182" s="8">
        <f>'MKT DATA'!Q240</f>
        <v>0</v>
      </c>
      <c r="N182" s="8">
        <f>'MKT DATA'!R240</f>
        <v>0</v>
      </c>
      <c r="O182" s="8">
        <f>'MKT DATA'!S240</f>
        <v>-84723</v>
      </c>
      <c r="P182" s="8">
        <f>'MKT DATA'!T240</f>
        <v>0</v>
      </c>
      <c r="Q182" s="43" t="str">
        <f t="shared" si="9"/>
        <v>syn BTCG7/BTCZ6/BTCH7/BTCX6/BTCV6</v>
      </c>
      <c r="R182" s="13">
        <f>'MKT DATA'!AB240</f>
        <v>0</v>
      </c>
    </row>
    <row r="183" spans="5:18" x14ac:dyDescent="0.25">
      <c r="E183" s="43" t="str">
        <f>'MKT DATA'!B241</f>
        <v>syn BTCG7/BTCZ6/BTCH7/BTCF7/BTCV6</v>
      </c>
      <c r="F183" s="13">
        <f>'MKT DATA'!J241</f>
        <v>1</v>
      </c>
      <c r="G183" s="8">
        <f>'MKT DATA'!K241</f>
        <v>82436</v>
      </c>
      <c r="H183" s="8">
        <f>'MKT DATA'!L241</f>
        <v>84874</v>
      </c>
      <c r="I183" s="13">
        <f>'MKT DATA'!M241</f>
        <v>1</v>
      </c>
      <c r="J183" s="43" t="str">
        <f t="shared" si="8"/>
        <v>syn BTCG7/BTCZ6/BTCH7/BTCF7/BTCV6</v>
      </c>
      <c r="K183" s="8">
        <f>'MKT DATA'!O241</f>
        <v>0</v>
      </c>
      <c r="L183" s="8">
        <f>'MKT DATA'!P241</f>
        <v>82436</v>
      </c>
      <c r="M183" s="8">
        <f>'MKT DATA'!Q241</f>
        <v>0</v>
      </c>
      <c r="N183" s="8">
        <f>'MKT DATA'!R241</f>
        <v>0</v>
      </c>
      <c r="O183" s="8">
        <f>'MKT DATA'!S241</f>
        <v>-84874</v>
      </c>
      <c r="P183" s="8">
        <f>'MKT DATA'!T241</f>
        <v>0</v>
      </c>
      <c r="Q183" s="43" t="str">
        <f t="shared" si="9"/>
        <v>syn BTCG7/BTCZ6/BTCH7/BTCF7/BTCV6</v>
      </c>
      <c r="R183" s="13">
        <f>'MKT DATA'!AB241</f>
        <v>0</v>
      </c>
    </row>
    <row r="184" spans="5:18" x14ac:dyDescent="0.25">
      <c r="E184" s="43" t="str">
        <f>'MKT DATA'!B242</f>
        <v>syn BTCG7/BTCF7/BTCX6/BTCZ6/BTCV6</v>
      </c>
      <c r="F184" s="13">
        <f>'MKT DATA'!J242</f>
        <v>1</v>
      </c>
      <c r="G184" s="8">
        <f>'MKT DATA'!K242</f>
        <v>83243</v>
      </c>
      <c r="H184" s="8">
        <f>'MKT DATA'!L242</f>
        <v>83900</v>
      </c>
      <c r="I184" s="13">
        <f>'MKT DATA'!M242</f>
        <v>1</v>
      </c>
      <c r="J184" s="43" t="str">
        <f t="shared" si="8"/>
        <v>syn BTCG7/BTCF7/BTCX6/BTCZ6/BTCV6</v>
      </c>
      <c r="K184" s="8">
        <f>'MKT DATA'!O242</f>
        <v>0</v>
      </c>
      <c r="L184" s="8">
        <f>'MKT DATA'!P242</f>
        <v>83243</v>
      </c>
      <c r="M184" s="8">
        <f>'MKT DATA'!Q242</f>
        <v>0</v>
      </c>
      <c r="N184" s="8">
        <f>'MKT DATA'!R242</f>
        <v>0</v>
      </c>
      <c r="O184" s="8">
        <f>'MKT DATA'!S242</f>
        <v>-83900</v>
      </c>
      <c r="P184" s="8">
        <f>'MKT DATA'!T242</f>
        <v>0</v>
      </c>
      <c r="Q184" s="43" t="str">
        <f t="shared" si="9"/>
        <v>syn BTCG7/BTCF7/BTCX6/BTCZ6/BTCV6</v>
      </c>
      <c r="R184" s="13">
        <f>'MKT DATA'!AB242</f>
        <v>0</v>
      </c>
    </row>
    <row r="185" spans="5:18" x14ac:dyDescent="0.25">
      <c r="E185" s="43" t="str">
        <f>'MKT DATA'!B243</f>
        <v>syn BTCG7/BTCF7/BTCX6/BTCH7/BTCV6</v>
      </c>
      <c r="F185" s="13">
        <f>'MKT DATA'!J243</f>
        <v>1</v>
      </c>
      <c r="G185" s="8">
        <f>'MKT DATA'!K243</f>
        <v>82486</v>
      </c>
      <c r="H185" s="8">
        <f>'MKT DATA'!L243</f>
        <v>84650</v>
      </c>
      <c r="I185" s="13">
        <f>'MKT DATA'!M243</f>
        <v>1</v>
      </c>
      <c r="J185" s="43" t="str">
        <f t="shared" si="8"/>
        <v>syn BTCG7/BTCF7/BTCX6/BTCH7/BTCV6</v>
      </c>
      <c r="K185" s="8">
        <f>'MKT DATA'!O243</f>
        <v>0</v>
      </c>
      <c r="L185" s="8">
        <f>'MKT DATA'!P243</f>
        <v>82486</v>
      </c>
      <c r="M185" s="8">
        <f>'MKT DATA'!Q243</f>
        <v>0</v>
      </c>
      <c r="N185" s="8">
        <f>'MKT DATA'!R243</f>
        <v>0</v>
      </c>
      <c r="O185" s="8">
        <f>'MKT DATA'!S243</f>
        <v>-84650</v>
      </c>
      <c r="P185" s="8">
        <f>'MKT DATA'!T243</f>
        <v>0</v>
      </c>
      <c r="Q185" s="43" t="str">
        <f t="shared" si="9"/>
        <v>syn BTCG7/BTCF7/BTCX6/BTCH7/BTCV6</v>
      </c>
      <c r="R185" s="13">
        <f>'MKT DATA'!AB243</f>
        <v>0</v>
      </c>
    </row>
    <row r="186" spans="5:18" x14ac:dyDescent="0.25">
      <c r="E186" s="43" t="str">
        <f>'MKT DATA'!B244</f>
        <v>syn BTCG7/BTCF7/BTCZ6/BTCX6/BTCV6</v>
      </c>
      <c r="F186" s="13">
        <f>'MKT DATA'!J244</f>
        <v>1</v>
      </c>
      <c r="G186" s="8">
        <f>'MKT DATA'!K244</f>
        <v>83279</v>
      </c>
      <c r="H186" s="8">
        <f>'MKT DATA'!L244</f>
        <v>83833</v>
      </c>
      <c r="I186" s="13">
        <f>'MKT DATA'!M244</f>
        <v>1</v>
      </c>
      <c r="J186" s="43" t="str">
        <f t="shared" si="8"/>
        <v>syn BTCG7/BTCF7/BTCZ6/BTCX6/BTCV6</v>
      </c>
      <c r="K186" s="8">
        <f>'MKT DATA'!O244</f>
        <v>0</v>
      </c>
      <c r="L186" s="8">
        <f>'MKT DATA'!P244</f>
        <v>83279</v>
      </c>
      <c r="M186" s="8">
        <f>'MKT DATA'!Q244</f>
        <v>0</v>
      </c>
      <c r="N186" s="8">
        <f>'MKT DATA'!R244</f>
        <v>0</v>
      </c>
      <c r="O186" s="8">
        <f>'MKT DATA'!S244</f>
        <v>-83833</v>
      </c>
      <c r="P186" s="8">
        <f>'MKT DATA'!T244</f>
        <v>0</v>
      </c>
      <c r="Q186" s="43" t="str">
        <f t="shared" si="9"/>
        <v>syn BTCG7/BTCF7/BTCZ6/BTCX6/BTCV6</v>
      </c>
      <c r="R186" s="13">
        <f>'MKT DATA'!AB244</f>
        <v>0</v>
      </c>
    </row>
    <row r="187" spans="5:18" x14ac:dyDescent="0.25">
      <c r="E187" s="43" t="str">
        <f>'MKT DATA'!B245</f>
        <v>syn BTCG7/BTCF7/BTCZ6/BTCH7/BTCV6</v>
      </c>
      <c r="F187" s="13">
        <f>'MKT DATA'!J245</f>
        <v>1</v>
      </c>
      <c r="G187" s="8">
        <f>'MKT DATA'!K245</f>
        <v>82701</v>
      </c>
      <c r="H187" s="8">
        <f>'MKT DATA'!L245</f>
        <v>84599</v>
      </c>
      <c r="I187" s="13">
        <f>'MKT DATA'!M245</f>
        <v>1</v>
      </c>
      <c r="J187" s="43" t="str">
        <f t="shared" si="8"/>
        <v>syn BTCG7/BTCF7/BTCZ6/BTCH7/BTCV6</v>
      </c>
      <c r="K187" s="8">
        <f>'MKT DATA'!O245</f>
        <v>0</v>
      </c>
      <c r="L187" s="8">
        <f>'MKT DATA'!P245</f>
        <v>82701</v>
      </c>
      <c r="M187" s="8">
        <f>'MKT DATA'!Q245</f>
        <v>0</v>
      </c>
      <c r="N187" s="8">
        <f>'MKT DATA'!R245</f>
        <v>0</v>
      </c>
      <c r="O187" s="8">
        <f>'MKT DATA'!S245</f>
        <v>-84599</v>
      </c>
      <c r="P187" s="8">
        <f>'MKT DATA'!T245</f>
        <v>0</v>
      </c>
      <c r="Q187" s="43" t="str">
        <f t="shared" si="9"/>
        <v>syn BTCG7/BTCF7/BTCZ6/BTCH7/BTCV6</v>
      </c>
      <c r="R187" s="13">
        <f>'MKT DATA'!AB245</f>
        <v>0</v>
      </c>
    </row>
    <row r="188" spans="5:18" x14ac:dyDescent="0.25">
      <c r="E188" s="43" t="str">
        <f>'MKT DATA'!B246</f>
        <v>syn BTCG7/BTCF7/BTCH7/BTCX6/BTCV6</v>
      </c>
      <c r="F188" s="13">
        <f>'MKT DATA'!J246</f>
        <v>1</v>
      </c>
      <c r="G188" s="8">
        <f>'MKT DATA'!K246</f>
        <v>82454</v>
      </c>
      <c r="H188" s="8">
        <f>'MKT DATA'!L246</f>
        <v>84669</v>
      </c>
      <c r="I188" s="13">
        <f>'MKT DATA'!M246</f>
        <v>1</v>
      </c>
      <c r="J188" s="43" t="str">
        <f t="shared" si="8"/>
        <v>syn BTCG7/BTCF7/BTCH7/BTCX6/BTCV6</v>
      </c>
      <c r="K188" s="8">
        <f>'MKT DATA'!O246</f>
        <v>0</v>
      </c>
      <c r="L188" s="8">
        <f>'MKT DATA'!P246</f>
        <v>82454</v>
      </c>
      <c r="M188" s="8">
        <f>'MKT DATA'!Q246</f>
        <v>0</v>
      </c>
      <c r="N188" s="8">
        <f>'MKT DATA'!R246</f>
        <v>0</v>
      </c>
      <c r="O188" s="8">
        <f>'MKT DATA'!S246</f>
        <v>-84669</v>
      </c>
      <c r="P188" s="8">
        <f>'MKT DATA'!T246</f>
        <v>0</v>
      </c>
      <c r="Q188" s="43" t="str">
        <f t="shared" si="9"/>
        <v>syn BTCG7/BTCF7/BTCH7/BTCX6/BTCV6</v>
      </c>
      <c r="R188" s="13">
        <f>'MKT DATA'!AB246</f>
        <v>0</v>
      </c>
    </row>
    <row r="189" spans="5:18" x14ac:dyDescent="0.25">
      <c r="E189" s="43" t="str">
        <f>'MKT DATA'!B247</f>
        <v>syn BTCG7/BTCF7/BTCH7/BTCZ6/BTCV6</v>
      </c>
      <c r="F189" s="13">
        <f>'MKT DATA'!J247</f>
        <v>1</v>
      </c>
      <c r="G189" s="8">
        <f>'MKT DATA'!K247</f>
        <v>82438</v>
      </c>
      <c r="H189" s="8">
        <f>'MKT DATA'!L247</f>
        <v>84490</v>
      </c>
      <c r="I189" s="13">
        <f>'MKT DATA'!M247</f>
        <v>1</v>
      </c>
      <c r="J189" s="43" t="str">
        <f t="shared" si="8"/>
        <v>syn BTCG7/BTCF7/BTCH7/BTCZ6/BTCV6</v>
      </c>
      <c r="K189" s="8">
        <f>'MKT DATA'!O247</f>
        <v>0</v>
      </c>
      <c r="L189" s="8">
        <f>'MKT DATA'!P247</f>
        <v>82438</v>
      </c>
      <c r="M189" s="8">
        <f>'MKT DATA'!Q247</f>
        <v>0</v>
      </c>
      <c r="N189" s="8">
        <f>'MKT DATA'!R247</f>
        <v>0</v>
      </c>
      <c r="O189" s="8">
        <f>'MKT DATA'!S247</f>
        <v>-84490</v>
      </c>
      <c r="P189" s="8">
        <f>'MKT DATA'!T247</f>
        <v>0</v>
      </c>
      <c r="Q189" s="43" t="str">
        <f t="shared" si="9"/>
        <v>syn BTCG7/BTCF7/BTCH7/BTCZ6/BTCV6</v>
      </c>
      <c r="R189" s="13">
        <f>'MKT DATA'!AB247</f>
        <v>0</v>
      </c>
    </row>
    <row r="190" spans="5:18" x14ac:dyDescent="0.25">
      <c r="E190" s="43" t="str">
        <f>'MKT DATA'!B248</f>
        <v>syn BTCG7/BTCH7/BTCX6/BTCZ6/BTCV6</v>
      </c>
      <c r="F190" s="13">
        <f>'MKT DATA'!J248</f>
        <v>1</v>
      </c>
      <c r="G190" s="8">
        <f>'MKT DATA'!K248</f>
        <v>82817</v>
      </c>
      <c r="H190" s="8">
        <f>'MKT DATA'!L248</f>
        <v>84345</v>
      </c>
      <c r="I190" s="13">
        <f>'MKT DATA'!M248</f>
        <v>1</v>
      </c>
      <c r="J190" s="43" t="str">
        <f t="shared" si="8"/>
        <v>syn BTCG7/BTCH7/BTCX6/BTCZ6/BTCV6</v>
      </c>
      <c r="K190" s="8">
        <f>'MKT DATA'!O248</f>
        <v>0</v>
      </c>
      <c r="L190" s="8">
        <f>'MKT DATA'!P248</f>
        <v>82817</v>
      </c>
      <c r="M190" s="8">
        <f>'MKT DATA'!Q248</f>
        <v>0</v>
      </c>
      <c r="N190" s="8">
        <f>'MKT DATA'!R248</f>
        <v>0</v>
      </c>
      <c r="O190" s="8">
        <f>'MKT DATA'!S248</f>
        <v>-84345</v>
      </c>
      <c r="P190" s="8">
        <f>'MKT DATA'!T248</f>
        <v>0</v>
      </c>
      <c r="Q190" s="43" t="str">
        <f t="shared" si="9"/>
        <v>syn BTCG7/BTCH7/BTCX6/BTCZ6/BTCV6</v>
      </c>
      <c r="R190" s="13">
        <f>'MKT DATA'!AB248</f>
        <v>0</v>
      </c>
    </row>
    <row r="191" spans="5:18" x14ac:dyDescent="0.25">
      <c r="E191" s="43" t="str">
        <f>'MKT DATA'!B249</f>
        <v>syn BTCG7/BTCH7/BTCX6/BTCF7/BTCV6</v>
      </c>
      <c r="F191" s="13">
        <f>'MKT DATA'!J249</f>
        <v>1</v>
      </c>
      <c r="G191" s="8">
        <f>'MKT DATA'!K249</f>
        <v>82717</v>
      </c>
      <c r="H191" s="8">
        <f>'MKT DATA'!L249</f>
        <v>84448</v>
      </c>
      <c r="I191" s="13">
        <f>'MKT DATA'!M249</f>
        <v>1</v>
      </c>
      <c r="J191" s="43" t="str">
        <f t="shared" si="8"/>
        <v>syn BTCG7/BTCH7/BTCX6/BTCF7/BTCV6</v>
      </c>
      <c r="K191" s="8">
        <f>'MKT DATA'!O249</f>
        <v>0</v>
      </c>
      <c r="L191" s="8">
        <f>'MKT DATA'!P249</f>
        <v>82717</v>
      </c>
      <c r="M191" s="8">
        <f>'MKT DATA'!Q249</f>
        <v>0</v>
      </c>
      <c r="N191" s="8">
        <f>'MKT DATA'!R249</f>
        <v>0</v>
      </c>
      <c r="O191" s="8">
        <f>'MKT DATA'!S249</f>
        <v>-84448</v>
      </c>
      <c r="P191" s="8">
        <f>'MKT DATA'!T249</f>
        <v>0</v>
      </c>
      <c r="Q191" s="43" t="str">
        <f t="shared" si="9"/>
        <v>syn BTCG7/BTCH7/BTCX6/BTCF7/BTCV6</v>
      </c>
      <c r="R191" s="13">
        <f>'MKT DATA'!AB249</f>
        <v>0</v>
      </c>
    </row>
    <row r="192" spans="5:18" x14ac:dyDescent="0.25">
      <c r="E192" s="43" t="str">
        <f>'MKT DATA'!B250</f>
        <v>syn BTCG7/BTCH7/BTCZ6/BTCX6/BTCV6</v>
      </c>
      <c r="F192" s="13">
        <f>'MKT DATA'!J250</f>
        <v>1</v>
      </c>
      <c r="G192" s="8">
        <f>'MKT DATA'!K250</f>
        <v>82833</v>
      </c>
      <c r="H192" s="8">
        <f>'MKT DATA'!L250</f>
        <v>84134</v>
      </c>
      <c r="I192" s="13">
        <f>'MKT DATA'!M250</f>
        <v>1</v>
      </c>
      <c r="J192" s="43" t="str">
        <f t="shared" si="8"/>
        <v>syn BTCG7/BTCH7/BTCZ6/BTCX6/BTCV6</v>
      </c>
      <c r="K192" s="8">
        <f>'MKT DATA'!O250</f>
        <v>0</v>
      </c>
      <c r="L192" s="8">
        <f>'MKT DATA'!P250</f>
        <v>82833</v>
      </c>
      <c r="M192" s="8">
        <f>'MKT DATA'!Q250</f>
        <v>0</v>
      </c>
      <c r="N192" s="8">
        <f>'MKT DATA'!R250</f>
        <v>0</v>
      </c>
      <c r="O192" s="8">
        <f>'MKT DATA'!S250</f>
        <v>-84134</v>
      </c>
      <c r="P192" s="8">
        <f>'MKT DATA'!T250</f>
        <v>0</v>
      </c>
      <c r="Q192" s="43" t="str">
        <f t="shared" si="9"/>
        <v>syn BTCG7/BTCH7/BTCZ6/BTCX6/BTCV6</v>
      </c>
      <c r="R192" s="13">
        <f>'MKT DATA'!AB250</f>
        <v>0</v>
      </c>
    </row>
    <row r="193" spans="5:18" x14ac:dyDescent="0.25">
      <c r="E193" s="43" t="str">
        <f>'MKT DATA'!B251</f>
        <v>syn BTCG7/BTCH7/BTCZ6/BTCF7/BTCV6</v>
      </c>
      <c r="F193" s="13">
        <f>'MKT DATA'!J251</f>
        <v>1</v>
      </c>
      <c r="G193" s="8">
        <f>'MKT DATA'!K251</f>
        <v>82768</v>
      </c>
      <c r="H193" s="8">
        <f>'MKT DATA'!L251</f>
        <v>84233</v>
      </c>
      <c r="I193" s="13">
        <f>'MKT DATA'!M251</f>
        <v>1</v>
      </c>
      <c r="J193" s="43" t="str">
        <f t="shared" si="8"/>
        <v>syn BTCG7/BTCH7/BTCZ6/BTCF7/BTCV6</v>
      </c>
      <c r="K193" s="8">
        <f>'MKT DATA'!O251</f>
        <v>0</v>
      </c>
      <c r="L193" s="8">
        <f>'MKT DATA'!P251</f>
        <v>82768</v>
      </c>
      <c r="M193" s="8">
        <f>'MKT DATA'!Q251</f>
        <v>0</v>
      </c>
      <c r="N193" s="8">
        <f>'MKT DATA'!R251</f>
        <v>0</v>
      </c>
      <c r="O193" s="8">
        <f>'MKT DATA'!S251</f>
        <v>-84233</v>
      </c>
      <c r="P193" s="8">
        <f>'MKT DATA'!T251</f>
        <v>0</v>
      </c>
      <c r="Q193" s="43" t="str">
        <f t="shared" si="9"/>
        <v>syn BTCG7/BTCH7/BTCZ6/BTCF7/BTCV6</v>
      </c>
      <c r="R193" s="13">
        <f>'MKT DATA'!AB251</f>
        <v>0</v>
      </c>
    </row>
    <row r="194" spans="5:18" x14ac:dyDescent="0.25">
      <c r="E194" s="43" t="str">
        <f>'MKT DATA'!B252</f>
        <v>syn BTCG7/BTCH7/BTCF7/BTCX6/BTCV6</v>
      </c>
      <c r="F194" s="13">
        <f>'MKT DATA'!J252</f>
        <v>1</v>
      </c>
      <c r="G194" s="8">
        <f>'MKT DATA'!K252</f>
        <v>82735</v>
      </c>
      <c r="H194" s="8">
        <f>'MKT DATA'!L252</f>
        <v>84447</v>
      </c>
      <c r="I194" s="13">
        <f>'MKT DATA'!M252</f>
        <v>1</v>
      </c>
      <c r="J194" s="43" t="str">
        <f t="shared" si="8"/>
        <v>syn BTCG7/BTCH7/BTCF7/BTCX6/BTCV6</v>
      </c>
      <c r="K194" s="8">
        <f>'MKT DATA'!O252</f>
        <v>0</v>
      </c>
      <c r="L194" s="8">
        <f>'MKT DATA'!P252</f>
        <v>82735</v>
      </c>
      <c r="M194" s="8">
        <f>'MKT DATA'!Q252</f>
        <v>0</v>
      </c>
      <c r="N194" s="8">
        <f>'MKT DATA'!R252</f>
        <v>0</v>
      </c>
      <c r="O194" s="8">
        <f>'MKT DATA'!S252</f>
        <v>-84447</v>
      </c>
      <c r="P194" s="8">
        <f>'MKT DATA'!T252</f>
        <v>0</v>
      </c>
      <c r="Q194" s="43" t="str">
        <f t="shared" si="9"/>
        <v>syn BTCG7/BTCH7/BTCF7/BTCX6/BTCV6</v>
      </c>
      <c r="R194" s="13">
        <f>'MKT DATA'!AB252</f>
        <v>0</v>
      </c>
    </row>
    <row r="195" spans="5:18" x14ac:dyDescent="0.25">
      <c r="E195" s="43" t="str">
        <f>'MKT DATA'!B253</f>
        <v>syn BTCG7/BTCH7/BTCF7/BTCZ6/BTCV6</v>
      </c>
      <c r="F195" s="13">
        <f>'MKT DATA'!J253</f>
        <v>1</v>
      </c>
      <c r="G195" s="8">
        <f>'MKT DATA'!K253</f>
        <v>82739</v>
      </c>
      <c r="H195" s="8">
        <f>'MKT DATA'!L253</f>
        <v>84412</v>
      </c>
      <c r="I195" s="13">
        <f>'MKT DATA'!M253</f>
        <v>1</v>
      </c>
      <c r="J195" s="43" t="str">
        <f t="shared" si="8"/>
        <v>syn BTCG7/BTCH7/BTCF7/BTCZ6/BTCV6</v>
      </c>
      <c r="K195" s="8">
        <f>'MKT DATA'!O253</f>
        <v>0</v>
      </c>
      <c r="L195" s="8">
        <f>'MKT DATA'!P253</f>
        <v>82739</v>
      </c>
      <c r="M195" s="8">
        <f>'MKT DATA'!Q253</f>
        <v>0</v>
      </c>
      <c r="N195" s="8">
        <f>'MKT DATA'!R253</f>
        <v>0</v>
      </c>
      <c r="O195" s="8">
        <f>'MKT DATA'!S253</f>
        <v>-84412</v>
      </c>
      <c r="P195" s="8">
        <f>'MKT DATA'!T253</f>
        <v>0</v>
      </c>
      <c r="Q195" s="43" t="str">
        <f t="shared" si="9"/>
        <v>syn BTCG7/BTCH7/BTCF7/BTCZ6/BTCV6</v>
      </c>
      <c r="R195" s="13">
        <f>'MKT DATA'!AB253</f>
        <v>0</v>
      </c>
    </row>
    <row r="196" spans="5:18" x14ac:dyDescent="0.25">
      <c r="E196" s="43" t="str">
        <f>'MKT DATA'!B254</f>
        <v>syn BTCH7/BTCX6/BTCZ6/BTCF7/BTCV6</v>
      </c>
      <c r="F196" s="13">
        <f>'MKT DATA'!J254</f>
        <v>1</v>
      </c>
      <c r="G196" s="8">
        <f>'MKT DATA'!K254</f>
        <v>82697</v>
      </c>
      <c r="H196" s="8">
        <f>'MKT DATA'!L254</f>
        <v>84444</v>
      </c>
      <c r="I196" s="13">
        <f>'MKT DATA'!M254</f>
        <v>1</v>
      </c>
      <c r="J196" s="43" t="str">
        <f t="shared" si="8"/>
        <v>syn BTCH7/BTCX6/BTCZ6/BTCF7/BTCV6</v>
      </c>
      <c r="K196" s="8">
        <f>'MKT DATA'!O254</f>
        <v>0</v>
      </c>
      <c r="L196" s="8">
        <f>'MKT DATA'!P254</f>
        <v>82697</v>
      </c>
      <c r="M196" s="8">
        <f>'MKT DATA'!Q254</f>
        <v>0</v>
      </c>
      <c r="N196" s="8">
        <f>'MKT DATA'!R254</f>
        <v>0</v>
      </c>
      <c r="O196" s="8">
        <f>'MKT DATA'!S254</f>
        <v>-84444</v>
      </c>
      <c r="P196" s="8">
        <f>'MKT DATA'!T254</f>
        <v>0</v>
      </c>
      <c r="Q196" s="43" t="str">
        <f t="shared" si="9"/>
        <v>syn BTCH7/BTCX6/BTCZ6/BTCF7/BTCV6</v>
      </c>
      <c r="R196" s="13">
        <f>'MKT DATA'!AB254</f>
        <v>0</v>
      </c>
    </row>
    <row r="197" spans="5:18" x14ac:dyDescent="0.25">
      <c r="E197" s="43" t="str">
        <f>'MKT DATA'!B255</f>
        <v>syn BTCH7/BTCX6/BTCZ6/BTCG7/BTCV6</v>
      </c>
      <c r="F197" s="13">
        <f>'MKT DATA'!J255</f>
        <v>1</v>
      </c>
      <c r="G197" s="8">
        <f>'MKT DATA'!K255</f>
        <v>82384</v>
      </c>
      <c r="H197" s="8">
        <f>'MKT DATA'!L255</f>
        <v>84731</v>
      </c>
      <c r="I197" s="13">
        <f>'MKT DATA'!M255</f>
        <v>1</v>
      </c>
      <c r="J197" s="43" t="str">
        <f t="shared" si="8"/>
        <v>syn BTCH7/BTCX6/BTCZ6/BTCG7/BTCV6</v>
      </c>
      <c r="K197" s="8">
        <f>'MKT DATA'!O255</f>
        <v>0</v>
      </c>
      <c r="L197" s="8">
        <f>'MKT DATA'!P255</f>
        <v>82384</v>
      </c>
      <c r="M197" s="8">
        <f>'MKT DATA'!Q255</f>
        <v>0</v>
      </c>
      <c r="N197" s="8">
        <f>'MKT DATA'!R255</f>
        <v>0</v>
      </c>
      <c r="O197" s="8">
        <f>'MKT DATA'!S255</f>
        <v>-84731</v>
      </c>
      <c r="P197" s="8">
        <f>'MKT DATA'!T255</f>
        <v>0</v>
      </c>
      <c r="Q197" s="43" t="str">
        <f t="shared" si="9"/>
        <v>syn BTCH7/BTCX6/BTCZ6/BTCG7/BTCV6</v>
      </c>
      <c r="R197" s="13">
        <f>'MKT DATA'!AB255</f>
        <v>0</v>
      </c>
    </row>
    <row r="198" spans="5:18" x14ac:dyDescent="0.25">
      <c r="E198" s="43" t="str">
        <f>'MKT DATA'!B256</f>
        <v>syn BTCH7/BTCX6/BTCF7/BTCZ6/BTCV6</v>
      </c>
      <c r="F198" s="13">
        <f>'MKT DATA'!J256</f>
        <v>1</v>
      </c>
      <c r="G198" s="8">
        <f>'MKT DATA'!K256</f>
        <v>82680</v>
      </c>
      <c r="H198" s="8">
        <f>'MKT DATA'!L256</f>
        <v>84396</v>
      </c>
      <c r="I198" s="13">
        <f>'MKT DATA'!M256</f>
        <v>1</v>
      </c>
      <c r="J198" s="43" t="str">
        <f t="shared" si="8"/>
        <v>syn BTCH7/BTCX6/BTCF7/BTCZ6/BTCV6</v>
      </c>
      <c r="K198" s="8">
        <f>'MKT DATA'!O256</f>
        <v>0</v>
      </c>
      <c r="L198" s="8">
        <f>'MKT DATA'!P256</f>
        <v>82680</v>
      </c>
      <c r="M198" s="8">
        <f>'MKT DATA'!Q256</f>
        <v>0</v>
      </c>
      <c r="N198" s="8">
        <f>'MKT DATA'!R256</f>
        <v>0</v>
      </c>
      <c r="O198" s="8">
        <f>'MKT DATA'!S256</f>
        <v>-84396</v>
      </c>
      <c r="P198" s="8">
        <f>'MKT DATA'!T256</f>
        <v>0</v>
      </c>
      <c r="Q198" s="43" t="str">
        <f t="shared" si="9"/>
        <v>syn BTCH7/BTCX6/BTCF7/BTCZ6/BTCV6</v>
      </c>
      <c r="R198" s="13">
        <f>'MKT DATA'!AB256</f>
        <v>0</v>
      </c>
    </row>
    <row r="199" spans="5:18" x14ac:dyDescent="0.25">
      <c r="E199" s="43" t="str">
        <f>'MKT DATA'!B257</f>
        <v>syn BTCH7/BTCX6/BTCF7/BTCG7/BTCV6</v>
      </c>
      <c r="F199" s="13">
        <f>'MKT DATA'!J257</f>
        <v>1</v>
      </c>
      <c r="G199" s="8">
        <f>'MKT DATA'!K257</f>
        <v>82450</v>
      </c>
      <c r="H199" s="8">
        <f>'MKT DATA'!L257</f>
        <v>84614</v>
      </c>
      <c r="I199" s="13">
        <f>'MKT DATA'!M257</f>
        <v>1</v>
      </c>
      <c r="J199" s="43" t="str">
        <f t="shared" si="8"/>
        <v>syn BTCH7/BTCX6/BTCF7/BTCG7/BTCV6</v>
      </c>
      <c r="K199" s="8">
        <f>'MKT DATA'!O257</f>
        <v>0</v>
      </c>
      <c r="L199" s="8">
        <f>'MKT DATA'!P257</f>
        <v>82450</v>
      </c>
      <c r="M199" s="8">
        <f>'MKT DATA'!Q257</f>
        <v>0</v>
      </c>
      <c r="N199" s="8">
        <f>'MKT DATA'!R257</f>
        <v>0</v>
      </c>
      <c r="O199" s="8">
        <f>'MKT DATA'!S257</f>
        <v>-84614</v>
      </c>
      <c r="P199" s="8">
        <f>'MKT DATA'!T257</f>
        <v>0</v>
      </c>
      <c r="Q199" s="43" t="str">
        <f t="shared" si="9"/>
        <v>syn BTCH7/BTCX6/BTCF7/BTCG7/BTCV6</v>
      </c>
      <c r="R199" s="13">
        <f>'MKT DATA'!AB257</f>
        <v>0</v>
      </c>
    </row>
    <row r="200" spans="5:18" x14ac:dyDescent="0.25">
      <c r="E200" s="43" t="str">
        <f>'MKT DATA'!B258</f>
        <v>syn BTCH7/BTCX6/BTCG7/BTCZ6/BTCV6</v>
      </c>
      <c r="F200" s="13">
        <f>'MKT DATA'!J258</f>
        <v>1</v>
      </c>
      <c r="G200" s="8">
        <f>'MKT DATA'!K258</f>
        <v>82353</v>
      </c>
      <c r="H200" s="8">
        <f>'MKT DATA'!L258</f>
        <v>84739</v>
      </c>
      <c r="I200" s="13">
        <f>'MKT DATA'!M258</f>
        <v>1</v>
      </c>
      <c r="J200" s="43" t="str">
        <f t="shared" si="8"/>
        <v>syn BTCH7/BTCX6/BTCG7/BTCZ6/BTCV6</v>
      </c>
      <c r="K200" s="8">
        <f>'MKT DATA'!O258</f>
        <v>0</v>
      </c>
      <c r="L200" s="8">
        <f>'MKT DATA'!P258</f>
        <v>82353</v>
      </c>
      <c r="M200" s="8">
        <f>'MKT DATA'!Q258</f>
        <v>0</v>
      </c>
      <c r="N200" s="8">
        <f>'MKT DATA'!R258</f>
        <v>0</v>
      </c>
      <c r="O200" s="8">
        <f>'MKT DATA'!S258</f>
        <v>-84739</v>
      </c>
      <c r="P200" s="8">
        <f>'MKT DATA'!T258</f>
        <v>0</v>
      </c>
      <c r="Q200" s="43" t="str">
        <f t="shared" si="9"/>
        <v>syn BTCH7/BTCX6/BTCG7/BTCZ6/BTCV6</v>
      </c>
      <c r="R200" s="13">
        <f>'MKT DATA'!AB258</f>
        <v>0</v>
      </c>
    </row>
    <row r="201" spans="5:18" x14ac:dyDescent="0.25">
      <c r="E201" s="43" t="str">
        <f>'MKT DATA'!B259</f>
        <v>syn BTCH7/BTCX6/BTCG7/BTCF7/BTCV6</v>
      </c>
      <c r="F201" s="13">
        <f>'MKT DATA'!J259</f>
        <v>1</v>
      </c>
      <c r="G201" s="8">
        <f>'MKT DATA'!K259</f>
        <v>82456</v>
      </c>
      <c r="H201" s="8">
        <f>'MKT DATA'!L259</f>
        <v>84690</v>
      </c>
      <c r="I201" s="13">
        <f>'MKT DATA'!M259</f>
        <v>1</v>
      </c>
      <c r="J201" s="43" t="str">
        <f t="shared" si="8"/>
        <v>syn BTCH7/BTCX6/BTCG7/BTCF7/BTCV6</v>
      </c>
      <c r="K201" s="8">
        <f>'MKT DATA'!O259</f>
        <v>0</v>
      </c>
      <c r="L201" s="8">
        <f>'MKT DATA'!P259</f>
        <v>82456</v>
      </c>
      <c r="M201" s="8">
        <f>'MKT DATA'!Q259</f>
        <v>0</v>
      </c>
      <c r="N201" s="8">
        <f>'MKT DATA'!R259</f>
        <v>0</v>
      </c>
      <c r="O201" s="8">
        <f>'MKT DATA'!S259</f>
        <v>-84690</v>
      </c>
      <c r="P201" s="8">
        <f>'MKT DATA'!T259</f>
        <v>0</v>
      </c>
      <c r="Q201" s="43" t="str">
        <f t="shared" si="9"/>
        <v>syn BTCH7/BTCX6/BTCG7/BTCF7/BTCV6</v>
      </c>
      <c r="R201" s="13">
        <f>'MKT DATA'!AB259</f>
        <v>0</v>
      </c>
    </row>
    <row r="202" spans="5:18" x14ac:dyDescent="0.25">
      <c r="E202" s="43" t="str">
        <f>'MKT DATA'!B260</f>
        <v>syn BTCH7/BTCZ6/BTCX6/BTCF7/BTCV6</v>
      </c>
      <c r="F202" s="13">
        <f>'MKT DATA'!J260</f>
        <v>1</v>
      </c>
      <c r="G202" s="8">
        <f>'MKT DATA'!K260</f>
        <v>82646</v>
      </c>
      <c r="H202" s="8">
        <f>'MKT DATA'!L260</f>
        <v>84269</v>
      </c>
      <c r="I202" s="13">
        <f>'MKT DATA'!M260</f>
        <v>1</v>
      </c>
      <c r="J202" s="43" t="str">
        <f t="shared" si="8"/>
        <v>syn BTCH7/BTCZ6/BTCX6/BTCF7/BTCV6</v>
      </c>
      <c r="K202" s="8">
        <f>'MKT DATA'!O260</f>
        <v>0</v>
      </c>
      <c r="L202" s="8">
        <f>'MKT DATA'!P260</f>
        <v>82646</v>
      </c>
      <c r="M202" s="8">
        <f>'MKT DATA'!Q260</f>
        <v>0</v>
      </c>
      <c r="N202" s="8">
        <f>'MKT DATA'!R260</f>
        <v>0</v>
      </c>
      <c r="O202" s="8">
        <f>'MKT DATA'!S260</f>
        <v>-84269</v>
      </c>
      <c r="P202" s="8">
        <f>'MKT DATA'!T260</f>
        <v>0</v>
      </c>
      <c r="Q202" s="43" t="str">
        <f t="shared" si="9"/>
        <v>syn BTCH7/BTCZ6/BTCX6/BTCF7/BTCV6</v>
      </c>
      <c r="R202" s="13">
        <f>'MKT DATA'!AB260</f>
        <v>0</v>
      </c>
    </row>
    <row r="203" spans="5:18" x14ac:dyDescent="0.25">
      <c r="E203" s="43" t="str">
        <f>'MKT DATA'!B261</f>
        <v>syn BTCH7/BTCZ6/BTCX6/BTCG7/BTCV6</v>
      </c>
      <c r="F203" s="13">
        <f>'MKT DATA'!J261</f>
        <v>1</v>
      </c>
      <c r="G203" s="8">
        <f>'MKT DATA'!K261</f>
        <v>82399</v>
      </c>
      <c r="H203" s="8">
        <f>'MKT DATA'!L261</f>
        <v>84506</v>
      </c>
      <c r="I203" s="13">
        <f>'MKT DATA'!M261</f>
        <v>1</v>
      </c>
      <c r="J203" s="43" t="str">
        <f t="shared" si="8"/>
        <v>syn BTCH7/BTCZ6/BTCX6/BTCG7/BTCV6</v>
      </c>
      <c r="K203" s="8">
        <f>'MKT DATA'!O261</f>
        <v>0</v>
      </c>
      <c r="L203" s="8">
        <f>'MKT DATA'!P261</f>
        <v>82399</v>
      </c>
      <c r="M203" s="8">
        <f>'MKT DATA'!Q261</f>
        <v>0</v>
      </c>
      <c r="N203" s="8">
        <f>'MKT DATA'!R261</f>
        <v>0</v>
      </c>
      <c r="O203" s="8">
        <f>'MKT DATA'!S261</f>
        <v>-84506</v>
      </c>
      <c r="P203" s="8">
        <f>'MKT DATA'!T261</f>
        <v>0</v>
      </c>
      <c r="Q203" s="43" t="str">
        <f t="shared" si="9"/>
        <v>syn BTCH7/BTCZ6/BTCX6/BTCG7/BTCV6</v>
      </c>
      <c r="R203" s="13">
        <f>'MKT DATA'!AB261</f>
        <v>0</v>
      </c>
    </row>
    <row r="204" spans="5:18" x14ac:dyDescent="0.25">
      <c r="E204" s="43" t="str">
        <f>'MKT DATA'!B262</f>
        <v>syn BTCH7/BTCZ6/BTCF7/BTCX6/BTCV6</v>
      </c>
      <c r="F204" s="13">
        <f>'MKT DATA'!J262</f>
        <v>1</v>
      </c>
      <c r="G204" s="8">
        <f>'MKT DATA'!K262</f>
        <v>82727</v>
      </c>
      <c r="H204" s="8">
        <f>'MKT DATA'!L262</f>
        <v>84216</v>
      </c>
      <c r="I204" s="13">
        <f>'MKT DATA'!M262</f>
        <v>1</v>
      </c>
      <c r="J204" s="43" t="str">
        <f t="shared" si="8"/>
        <v>syn BTCH7/BTCZ6/BTCF7/BTCX6/BTCV6</v>
      </c>
      <c r="K204" s="8">
        <f>'MKT DATA'!O262</f>
        <v>0</v>
      </c>
      <c r="L204" s="8">
        <f>'MKT DATA'!P262</f>
        <v>82727</v>
      </c>
      <c r="M204" s="8">
        <f>'MKT DATA'!Q262</f>
        <v>0</v>
      </c>
      <c r="N204" s="8">
        <f>'MKT DATA'!R262</f>
        <v>0</v>
      </c>
      <c r="O204" s="8">
        <f>'MKT DATA'!S262</f>
        <v>-84216</v>
      </c>
      <c r="P204" s="8">
        <f>'MKT DATA'!T262</f>
        <v>0</v>
      </c>
      <c r="Q204" s="43" t="str">
        <f t="shared" si="9"/>
        <v>syn BTCH7/BTCZ6/BTCF7/BTCX6/BTCV6</v>
      </c>
      <c r="R204" s="13">
        <f>'MKT DATA'!AB262</f>
        <v>0</v>
      </c>
    </row>
    <row r="205" spans="5:18" x14ac:dyDescent="0.25">
      <c r="E205" s="43" t="str">
        <f>'MKT DATA'!B263</f>
        <v>syn BTCH7/BTCZ6/BTCF7/BTCG7/BTCV6</v>
      </c>
      <c r="F205" s="13">
        <f>'MKT DATA'!J263</f>
        <v>1</v>
      </c>
      <c r="G205" s="8">
        <f>'MKT DATA'!K263</f>
        <v>82501</v>
      </c>
      <c r="H205" s="8">
        <f>'MKT DATA'!L263</f>
        <v>84399</v>
      </c>
      <c r="I205" s="13">
        <f>'MKT DATA'!M263</f>
        <v>1</v>
      </c>
      <c r="J205" s="43" t="str">
        <f t="shared" si="8"/>
        <v>syn BTCH7/BTCZ6/BTCF7/BTCG7/BTCV6</v>
      </c>
      <c r="K205" s="8">
        <f>'MKT DATA'!O263</f>
        <v>0</v>
      </c>
      <c r="L205" s="8">
        <f>'MKT DATA'!P263</f>
        <v>82501</v>
      </c>
      <c r="M205" s="8">
        <f>'MKT DATA'!Q263</f>
        <v>0</v>
      </c>
      <c r="N205" s="8">
        <f>'MKT DATA'!R263</f>
        <v>0</v>
      </c>
      <c r="O205" s="8">
        <f>'MKT DATA'!S263</f>
        <v>-84399</v>
      </c>
      <c r="P205" s="8">
        <f>'MKT DATA'!T263</f>
        <v>0</v>
      </c>
      <c r="Q205" s="43" t="str">
        <f t="shared" si="9"/>
        <v>syn BTCH7/BTCZ6/BTCF7/BTCG7/BTCV6</v>
      </c>
      <c r="R205" s="13">
        <f>'MKT DATA'!AB263</f>
        <v>0</v>
      </c>
    </row>
    <row r="206" spans="5:18" x14ac:dyDescent="0.25">
      <c r="E206" s="43" t="str">
        <f>'MKT DATA'!B264</f>
        <v>syn BTCH7/BTCZ6/BTCG7/BTCX6/BTCV6</v>
      </c>
      <c r="F206" s="13">
        <f>'MKT DATA'!J264</f>
        <v>1</v>
      </c>
      <c r="G206" s="8">
        <f>'MKT DATA'!K264</f>
        <v>82384</v>
      </c>
      <c r="H206" s="8">
        <f>'MKT DATA'!L264</f>
        <v>84543</v>
      </c>
      <c r="I206" s="13">
        <f>'MKT DATA'!M264</f>
        <v>1</v>
      </c>
      <c r="J206" s="43" t="str">
        <f t="shared" si="8"/>
        <v>syn BTCH7/BTCZ6/BTCG7/BTCX6/BTCV6</v>
      </c>
      <c r="K206" s="8">
        <f>'MKT DATA'!O264</f>
        <v>0</v>
      </c>
      <c r="L206" s="8">
        <f>'MKT DATA'!P264</f>
        <v>82384</v>
      </c>
      <c r="M206" s="8">
        <f>'MKT DATA'!Q264</f>
        <v>0</v>
      </c>
      <c r="N206" s="8">
        <f>'MKT DATA'!R264</f>
        <v>0</v>
      </c>
      <c r="O206" s="8">
        <f>'MKT DATA'!S264</f>
        <v>-84543</v>
      </c>
      <c r="P206" s="8">
        <f>'MKT DATA'!T264</f>
        <v>0</v>
      </c>
      <c r="Q206" s="43" t="str">
        <f t="shared" si="9"/>
        <v>syn BTCH7/BTCZ6/BTCG7/BTCX6/BTCV6</v>
      </c>
      <c r="R206" s="13">
        <f>'MKT DATA'!AB264</f>
        <v>0</v>
      </c>
    </row>
    <row r="207" spans="5:18" x14ac:dyDescent="0.25">
      <c r="E207" s="43" t="str">
        <f>'MKT DATA'!B265</f>
        <v>syn BTCH7/BTCZ6/BTCG7/BTCF7/BTCV6</v>
      </c>
      <c r="F207" s="13">
        <f>'MKT DATA'!J265</f>
        <v>1</v>
      </c>
      <c r="G207" s="8">
        <f>'MKT DATA'!K265</f>
        <v>82441</v>
      </c>
      <c r="H207" s="8">
        <f>'MKT DATA'!L265</f>
        <v>84525</v>
      </c>
      <c r="I207" s="13">
        <f>'MKT DATA'!M265</f>
        <v>1</v>
      </c>
      <c r="J207" s="43" t="str">
        <f t="shared" si="8"/>
        <v>syn BTCH7/BTCZ6/BTCG7/BTCF7/BTCV6</v>
      </c>
      <c r="K207" s="8">
        <f>'MKT DATA'!O265</f>
        <v>0</v>
      </c>
      <c r="L207" s="8">
        <f>'MKT DATA'!P265</f>
        <v>82441</v>
      </c>
      <c r="M207" s="8">
        <f>'MKT DATA'!Q265</f>
        <v>0</v>
      </c>
      <c r="N207" s="8">
        <f>'MKT DATA'!R265</f>
        <v>0</v>
      </c>
      <c r="O207" s="8">
        <f>'MKT DATA'!S265</f>
        <v>-84525</v>
      </c>
      <c r="P207" s="8">
        <f>'MKT DATA'!T265</f>
        <v>0</v>
      </c>
      <c r="Q207" s="43" t="str">
        <f t="shared" si="9"/>
        <v>syn BTCH7/BTCZ6/BTCG7/BTCF7/BTCV6</v>
      </c>
      <c r="R207" s="13">
        <f>'MKT DATA'!AB265</f>
        <v>0</v>
      </c>
    </row>
    <row r="208" spans="5:18" x14ac:dyDescent="0.25">
      <c r="E208" s="43" t="str">
        <f>'MKT DATA'!B266</f>
        <v>syn BTCH7/BTCF7/BTCX6/BTCZ6/BTCV6</v>
      </c>
      <c r="F208" s="13">
        <f>'MKT DATA'!J266</f>
        <v>1</v>
      </c>
      <c r="G208" s="8">
        <f>'MKT DATA'!K266</f>
        <v>82648</v>
      </c>
      <c r="H208" s="8">
        <f>'MKT DATA'!L266</f>
        <v>84479</v>
      </c>
      <c r="I208" s="13">
        <f>'MKT DATA'!M266</f>
        <v>1</v>
      </c>
      <c r="J208" s="43" t="str">
        <f t="shared" si="8"/>
        <v>syn BTCH7/BTCF7/BTCX6/BTCZ6/BTCV6</v>
      </c>
      <c r="K208" s="8">
        <f>'MKT DATA'!O266</f>
        <v>0</v>
      </c>
      <c r="L208" s="8">
        <f>'MKT DATA'!P266</f>
        <v>82648</v>
      </c>
      <c r="M208" s="8">
        <f>'MKT DATA'!Q266</f>
        <v>0</v>
      </c>
      <c r="N208" s="8">
        <f>'MKT DATA'!R266</f>
        <v>0</v>
      </c>
      <c r="O208" s="8">
        <f>'MKT DATA'!S266</f>
        <v>-84479</v>
      </c>
      <c r="P208" s="8">
        <f>'MKT DATA'!T266</f>
        <v>0</v>
      </c>
      <c r="Q208" s="43" t="str">
        <f t="shared" si="9"/>
        <v>syn BTCH7/BTCF7/BTCX6/BTCZ6/BTCV6</v>
      </c>
      <c r="R208" s="13">
        <f>'MKT DATA'!AB266</f>
        <v>0</v>
      </c>
    </row>
    <row r="209" spans="5:18" x14ac:dyDescent="0.25">
      <c r="E209" s="43" t="str">
        <f>'MKT DATA'!B267</f>
        <v>syn BTCH7/BTCF7/BTCX6/BTCG7/BTCV6</v>
      </c>
      <c r="F209" s="13">
        <f>'MKT DATA'!J267</f>
        <v>1</v>
      </c>
      <c r="G209" s="8">
        <f>'MKT DATA'!K267</f>
        <v>82301</v>
      </c>
      <c r="H209" s="8">
        <f>'MKT DATA'!L267</f>
        <v>84819</v>
      </c>
      <c r="I209" s="13">
        <f>'MKT DATA'!M267</f>
        <v>1</v>
      </c>
      <c r="J209" s="43" t="str">
        <f t="shared" ref="J209:J272" si="10">E209</f>
        <v>syn BTCH7/BTCF7/BTCX6/BTCG7/BTCV6</v>
      </c>
      <c r="K209" s="8">
        <f>'MKT DATA'!O267</f>
        <v>0</v>
      </c>
      <c r="L209" s="8">
        <f>'MKT DATA'!P267</f>
        <v>82301</v>
      </c>
      <c r="M209" s="8">
        <f>'MKT DATA'!Q267</f>
        <v>0</v>
      </c>
      <c r="N209" s="8">
        <f>'MKT DATA'!R267</f>
        <v>0</v>
      </c>
      <c r="O209" s="8">
        <f>'MKT DATA'!S267</f>
        <v>-84819</v>
      </c>
      <c r="P209" s="8">
        <f>'MKT DATA'!T267</f>
        <v>0</v>
      </c>
      <c r="Q209" s="43" t="str">
        <f t="shared" ref="Q209:Q272" si="11">J209</f>
        <v>syn BTCH7/BTCF7/BTCX6/BTCG7/BTCV6</v>
      </c>
      <c r="R209" s="13">
        <f>'MKT DATA'!AB267</f>
        <v>0</v>
      </c>
    </row>
    <row r="210" spans="5:18" x14ac:dyDescent="0.25">
      <c r="E210" s="43" t="str">
        <f>'MKT DATA'!B268</f>
        <v>syn BTCH7/BTCF7/BTCZ6/BTCX6/BTCV6</v>
      </c>
      <c r="F210" s="13">
        <f>'MKT DATA'!J268</f>
        <v>1</v>
      </c>
      <c r="G210" s="8">
        <f>'MKT DATA'!K268</f>
        <v>82684</v>
      </c>
      <c r="H210" s="8">
        <f>'MKT DATA'!L268</f>
        <v>84412</v>
      </c>
      <c r="I210" s="13">
        <f>'MKT DATA'!M268</f>
        <v>1</v>
      </c>
      <c r="J210" s="43" t="str">
        <f t="shared" si="10"/>
        <v>syn BTCH7/BTCF7/BTCZ6/BTCX6/BTCV6</v>
      </c>
      <c r="K210" s="8">
        <f>'MKT DATA'!O268</f>
        <v>0</v>
      </c>
      <c r="L210" s="8">
        <f>'MKT DATA'!P268</f>
        <v>82684</v>
      </c>
      <c r="M210" s="8">
        <f>'MKT DATA'!Q268</f>
        <v>0</v>
      </c>
      <c r="N210" s="8">
        <f>'MKT DATA'!R268</f>
        <v>0</v>
      </c>
      <c r="O210" s="8">
        <f>'MKT DATA'!S268</f>
        <v>-84412</v>
      </c>
      <c r="P210" s="8">
        <f>'MKT DATA'!T268</f>
        <v>0</v>
      </c>
      <c r="Q210" s="43" t="str">
        <f t="shared" si="11"/>
        <v>syn BTCH7/BTCF7/BTCZ6/BTCX6/BTCV6</v>
      </c>
      <c r="R210" s="13">
        <f>'MKT DATA'!AB268</f>
        <v>0</v>
      </c>
    </row>
    <row r="211" spans="5:18" x14ac:dyDescent="0.25">
      <c r="E211" s="43" t="str">
        <f>'MKT DATA'!B269</f>
        <v>syn BTCH7/BTCF7/BTCZ6/BTCG7/BTCV6</v>
      </c>
      <c r="F211" s="13">
        <f>'MKT DATA'!J269</f>
        <v>1</v>
      </c>
      <c r="G211" s="8">
        <f>'MKT DATA'!K269</f>
        <v>82306</v>
      </c>
      <c r="H211" s="8">
        <f>'MKT DATA'!L269</f>
        <v>84798</v>
      </c>
      <c r="I211" s="13">
        <f>'MKT DATA'!M269</f>
        <v>1</v>
      </c>
      <c r="J211" s="43" t="str">
        <f t="shared" si="10"/>
        <v>syn BTCH7/BTCF7/BTCZ6/BTCG7/BTCV6</v>
      </c>
      <c r="K211" s="8">
        <f>'MKT DATA'!O269</f>
        <v>0</v>
      </c>
      <c r="L211" s="8">
        <f>'MKT DATA'!P269</f>
        <v>82306</v>
      </c>
      <c r="M211" s="8">
        <f>'MKT DATA'!Q269</f>
        <v>0</v>
      </c>
      <c r="N211" s="8">
        <f>'MKT DATA'!R269</f>
        <v>0</v>
      </c>
      <c r="O211" s="8">
        <f>'MKT DATA'!S269</f>
        <v>-84798</v>
      </c>
      <c r="P211" s="8">
        <f>'MKT DATA'!T269</f>
        <v>0</v>
      </c>
      <c r="Q211" s="43" t="str">
        <f t="shared" si="11"/>
        <v>syn BTCH7/BTCF7/BTCZ6/BTCG7/BTCV6</v>
      </c>
      <c r="R211" s="13">
        <f>'MKT DATA'!AB269</f>
        <v>0</v>
      </c>
    </row>
    <row r="212" spans="5:18" x14ac:dyDescent="0.25">
      <c r="E212" s="43" t="str">
        <f>'MKT DATA'!B270</f>
        <v>syn BTCH7/BTCF7/BTCG7/BTCX6/BTCV6</v>
      </c>
      <c r="F212" s="13">
        <f>'MKT DATA'!J270</f>
        <v>1</v>
      </c>
      <c r="G212" s="8">
        <f>'MKT DATA'!K270</f>
        <v>82438</v>
      </c>
      <c r="H212" s="8">
        <f>'MKT DATA'!L270</f>
        <v>84653</v>
      </c>
      <c r="I212" s="13">
        <f>'MKT DATA'!M270</f>
        <v>1</v>
      </c>
      <c r="J212" s="43" t="str">
        <f t="shared" si="10"/>
        <v>syn BTCH7/BTCF7/BTCG7/BTCX6/BTCV6</v>
      </c>
      <c r="K212" s="8">
        <f>'MKT DATA'!O270</f>
        <v>0</v>
      </c>
      <c r="L212" s="8">
        <f>'MKT DATA'!P270</f>
        <v>82438</v>
      </c>
      <c r="M212" s="8">
        <f>'MKT DATA'!Q270</f>
        <v>0</v>
      </c>
      <c r="N212" s="8">
        <f>'MKT DATA'!R270</f>
        <v>0</v>
      </c>
      <c r="O212" s="8">
        <f>'MKT DATA'!S270</f>
        <v>-84653</v>
      </c>
      <c r="P212" s="8">
        <f>'MKT DATA'!T270</f>
        <v>0</v>
      </c>
      <c r="Q212" s="43" t="str">
        <f t="shared" si="11"/>
        <v>syn BTCH7/BTCF7/BTCG7/BTCX6/BTCV6</v>
      </c>
      <c r="R212" s="13">
        <f>'MKT DATA'!AB270</f>
        <v>0</v>
      </c>
    </row>
    <row r="213" spans="5:18" x14ac:dyDescent="0.25">
      <c r="E213" s="43" t="str">
        <f>'MKT DATA'!B271</f>
        <v>syn BTCH7/BTCF7/BTCG7/BTCZ6/BTCV6</v>
      </c>
      <c r="F213" s="13">
        <f>'MKT DATA'!J271</f>
        <v>1</v>
      </c>
      <c r="G213" s="8">
        <f>'MKT DATA'!K271</f>
        <v>82392</v>
      </c>
      <c r="H213" s="8">
        <f>'MKT DATA'!L271</f>
        <v>84684</v>
      </c>
      <c r="I213" s="13">
        <f>'MKT DATA'!M271</f>
        <v>1</v>
      </c>
      <c r="J213" s="43" t="str">
        <f t="shared" si="10"/>
        <v>syn BTCH7/BTCF7/BTCG7/BTCZ6/BTCV6</v>
      </c>
      <c r="K213" s="8">
        <f>'MKT DATA'!O271</f>
        <v>0</v>
      </c>
      <c r="L213" s="8">
        <f>'MKT DATA'!P271</f>
        <v>82392</v>
      </c>
      <c r="M213" s="8">
        <f>'MKT DATA'!Q271</f>
        <v>0</v>
      </c>
      <c r="N213" s="8">
        <f>'MKT DATA'!R271</f>
        <v>0</v>
      </c>
      <c r="O213" s="8">
        <f>'MKT DATA'!S271</f>
        <v>-84684</v>
      </c>
      <c r="P213" s="8">
        <f>'MKT DATA'!T271</f>
        <v>0</v>
      </c>
      <c r="Q213" s="43" t="str">
        <f t="shared" si="11"/>
        <v>syn BTCH7/BTCF7/BTCG7/BTCZ6/BTCV6</v>
      </c>
      <c r="R213" s="13">
        <f>'MKT DATA'!AB271</f>
        <v>0</v>
      </c>
    </row>
    <row r="214" spans="5:18" x14ac:dyDescent="0.25">
      <c r="E214" s="43" t="str">
        <f>'MKT DATA'!B272</f>
        <v>syn BTCH7/BTCG7/BTCX6/BTCZ6/BTCV6</v>
      </c>
      <c r="F214" s="13">
        <f>'MKT DATA'!J272</f>
        <v>1</v>
      </c>
      <c r="G214" s="8">
        <f>'MKT DATA'!K272</f>
        <v>82762</v>
      </c>
      <c r="H214" s="8">
        <f>'MKT DATA'!L272</f>
        <v>84290</v>
      </c>
      <c r="I214" s="13">
        <f>'MKT DATA'!M272</f>
        <v>1</v>
      </c>
      <c r="J214" s="43" t="str">
        <f t="shared" si="10"/>
        <v>syn BTCH7/BTCG7/BTCX6/BTCZ6/BTCV6</v>
      </c>
      <c r="K214" s="8">
        <f>'MKT DATA'!O272</f>
        <v>0</v>
      </c>
      <c r="L214" s="8">
        <f>'MKT DATA'!P272</f>
        <v>82762</v>
      </c>
      <c r="M214" s="8">
        <f>'MKT DATA'!Q272</f>
        <v>0</v>
      </c>
      <c r="N214" s="8">
        <f>'MKT DATA'!R272</f>
        <v>0</v>
      </c>
      <c r="O214" s="8">
        <f>'MKT DATA'!S272</f>
        <v>-84290</v>
      </c>
      <c r="P214" s="8">
        <f>'MKT DATA'!T272</f>
        <v>0</v>
      </c>
      <c r="Q214" s="43" t="str">
        <f t="shared" si="11"/>
        <v>syn BTCH7/BTCG7/BTCX6/BTCZ6/BTCV6</v>
      </c>
      <c r="R214" s="13">
        <f>'MKT DATA'!AB272</f>
        <v>0</v>
      </c>
    </row>
    <row r="215" spans="5:18" x14ac:dyDescent="0.25">
      <c r="E215" s="43" t="str">
        <f>'MKT DATA'!B273</f>
        <v>syn BTCH7/BTCG7/BTCX6/BTCF7/BTCV6</v>
      </c>
      <c r="F215" s="13">
        <f>'MKT DATA'!J273</f>
        <v>1</v>
      </c>
      <c r="G215" s="8">
        <f>'MKT DATA'!K273</f>
        <v>82662</v>
      </c>
      <c r="H215" s="8">
        <f>'MKT DATA'!L273</f>
        <v>84393</v>
      </c>
      <c r="I215" s="13">
        <f>'MKT DATA'!M273</f>
        <v>1</v>
      </c>
      <c r="J215" s="43" t="str">
        <f t="shared" si="10"/>
        <v>syn BTCH7/BTCG7/BTCX6/BTCF7/BTCV6</v>
      </c>
      <c r="K215" s="8">
        <f>'MKT DATA'!O273</f>
        <v>0</v>
      </c>
      <c r="L215" s="8">
        <f>'MKT DATA'!P273</f>
        <v>82662</v>
      </c>
      <c r="M215" s="8">
        <f>'MKT DATA'!Q273</f>
        <v>0</v>
      </c>
      <c r="N215" s="8">
        <f>'MKT DATA'!R273</f>
        <v>0</v>
      </c>
      <c r="O215" s="8">
        <f>'MKT DATA'!S273</f>
        <v>-84393</v>
      </c>
      <c r="P215" s="8">
        <f>'MKT DATA'!T273</f>
        <v>0</v>
      </c>
      <c r="Q215" s="43" t="str">
        <f t="shared" si="11"/>
        <v>syn BTCH7/BTCG7/BTCX6/BTCF7/BTCV6</v>
      </c>
      <c r="R215" s="13">
        <f>'MKT DATA'!AB273</f>
        <v>0</v>
      </c>
    </row>
    <row r="216" spans="5:18" x14ac:dyDescent="0.25">
      <c r="E216" s="43" t="str">
        <f>'MKT DATA'!B274</f>
        <v>syn BTCH7/BTCG7/BTCZ6/BTCX6/BTCV6</v>
      </c>
      <c r="F216" s="13">
        <f>'MKT DATA'!J274</f>
        <v>1</v>
      </c>
      <c r="G216" s="8">
        <f>'MKT DATA'!K274</f>
        <v>82748</v>
      </c>
      <c r="H216" s="8">
        <f>'MKT DATA'!L274</f>
        <v>84289</v>
      </c>
      <c r="I216" s="13">
        <f>'MKT DATA'!M274</f>
        <v>1</v>
      </c>
      <c r="J216" s="43" t="str">
        <f t="shared" si="10"/>
        <v>syn BTCH7/BTCG7/BTCZ6/BTCX6/BTCV6</v>
      </c>
      <c r="K216" s="8">
        <f>'MKT DATA'!O274</f>
        <v>0</v>
      </c>
      <c r="L216" s="8">
        <f>'MKT DATA'!P274</f>
        <v>82748</v>
      </c>
      <c r="M216" s="8">
        <f>'MKT DATA'!Q274</f>
        <v>0</v>
      </c>
      <c r="N216" s="8">
        <f>'MKT DATA'!R274</f>
        <v>0</v>
      </c>
      <c r="O216" s="8">
        <f>'MKT DATA'!S274</f>
        <v>-84289</v>
      </c>
      <c r="P216" s="8">
        <f>'MKT DATA'!T274</f>
        <v>0</v>
      </c>
      <c r="Q216" s="43" t="str">
        <f t="shared" si="11"/>
        <v>syn BTCH7/BTCG7/BTCZ6/BTCX6/BTCV6</v>
      </c>
      <c r="R216" s="13">
        <f>'MKT DATA'!AB274</f>
        <v>0</v>
      </c>
    </row>
    <row r="217" spans="5:18" x14ac:dyDescent="0.25">
      <c r="E217" s="43" t="str">
        <f>'MKT DATA'!B275</f>
        <v>syn BTCH7/BTCG7/BTCZ6/BTCF7/BTCV6</v>
      </c>
      <c r="F217" s="13">
        <f>'MKT DATA'!J275</f>
        <v>1</v>
      </c>
      <c r="G217" s="8">
        <f>'MKT DATA'!K275</f>
        <v>82683</v>
      </c>
      <c r="H217" s="8">
        <f>'MKT DATA'!L275</f>
        <v>84388</v>
      </c>
      <c r="I217" s="13">
        <f>'MKT DATA'!M275</f>
        <v>1</v>
      </c>
      <c r="J217" s="43" t="str">
        <f t="shared" si="10"/>
        <v>syn BTCH7/BTCG7/BTCZ6/BTCF7/BTCV6</v>
      </c>
      <c r="K217" s="8">
        <f>'MKT DATA'!O275</f>
        <v>0</v>
      </c>
      <c r="L217" s="8">
        <f>'MKT DATA'!P275</f>
        <v>82683</v>
      </c>
      <c r="M217" s="8">
        <f>'MKT DATA'!Q275</f>
        <v>0</v>
      </c>
      <c r="N217" s="8">
        <f>'MKT DATA'!R275</f>
        <v>0</v>
      </c>
      <c r="O217" s="8">
        <f>'MKT DATA'!S275</f>
        <v>-84388</v>
      </c>
      <c r="P217" s="8">
        <f>'MKT DATA'!T275</f>
        <v>0</v>
      </c>
      <c r="Q217" s="43" t="str">
        <f t="shared" si="11"/>
        <v>syn BTCH7/BTCG7/BTCZ6/BTCF7/BTCV6</v>
      </c>
      <c r="R217" s="13">
        <f>'MKT DATA'!AB275</f>
        <v>0</v>
      </c>
    </row>
    <row r="218" spans="5:18" x14ac:dyDescent="0.25">
      <c r="E218" s="43" t="str">
        <f>'MKT DATA'!B276</f>
        <v>syn BTCH7/BTCG7/BTCF7/BTCX6/BTCV6</v>
      </c>
      <c r="F218" s="13">
        <f>'MKT DATA'!J276</f>
        <v>1</v>
      </c>
      <c r="G218" s="8">
        <f>'MKT DATA'!K276</f>
        <v>82865</v>
      </c>
      <c r="H218" s="8">
        <f>'MKT DATA'!L276</f>
        <v>84223</v>
      </c>
      <c r="I218" s="13">
        <f>'MKT DATA'!M276</f>
        <v>1</v>
      </c>
      <c r="J218" s="43" t="str">
        <f t="shared" si="10"/>
        <v>syn BTCH7/BTCG7/BTCF7/BTCX6/BTCV6</v>
      </c>
      <c r="K218" s="8">
        <f>'MKT DATA'!O276</f>
        <v>0</v>
      </c>
      <c r="L218" s="8">
        <f>'MKT DATA'!P276</f>
        <v>82865</v>
      </c>
      <c r="M218" s="8">
        <f>'MKT DATA'!Q276</f>
        <v>0</v>
      </c>
      <c r="N218" s="8">
        <f>'MKT DATA'!R276</f>
        <v>0</v>
      </c>
      <c r="O218" s="8">
        <f>'MKT DATA'!S276</f>
        <v>-84223</v>
      </c>
      <c r="P218" s="8">
        <f>'MKT DATA'!T276</f>
        <v>0</v>
      </c>
      <c r="Q218" s="43" t="str">
        <f t="shared" si="11"/>
        <v>syn BTCH7/BTCG7/BTCF7/BTCX6/BTCV6</v>
      </c>
      <c r="R218" s="13">
        <f>'MKT DATA'!AB276</f>
        <v>0</v>
      </c>
    </row>
    <row r="219" spans="5:18" x14ac:dyDescent="0.25">
      <c r="E219" s="43" t="str">
        <f>'MKT DATA'!B277</f>
        <v>syn BTCH7/BTCG7/BTCF7/BTCZ6/BTCV6</v>
      </c>
      <c r="F219" s="13">
        <f>'MKT DATA'!J277</f>
        <v>1</v>
      </c>
      <c r="G219" s="8">
        <f>'MKT DATA'!K277</f>
        <v>82869</v>
      </c>
      <c r="H219" s="8">
        <f>'MKT DATA'!L277</f>
        <v>84188</v>
      </c>
      <c r="I219" s="13">
        <f>'MKT DATA'!M277</f>
        <v>1</v>
      </c>
      <c r="J219" s="43" t="str">
        <f t="shared" si="10"/>
        <v>syn BTCH7/BTCG7/BTCF7/BTCZ6/BTCV6</v>
      </c>
      <c r="K219" s="8">
        <f>'MKT DATA'!O277</f>
        <v>0</v>
      </c>
      <c r="L219" s="8">
        <f>'MKT DATA'!P277</f>
        <v>82869</v>
      </c>
      <c r="M219" s="8">
        <f>'MKT DATA'!Q277</f>
        <v>0</v>
      </c>
      <c r="N219" s="8">
        <f>'MKT DATA'!R277</f>
        <v>0</v>
      </c>
      <c r="O219" s="8">
        <f>'MKT DATA'!S277</f>
        <v>-84188</v>
      </c>
      <c r="P219" s="8">
        <f>'MKT DATA'!T277</f>
        <v>0</v>
      </c>
      <c r="Q219" s="43" t="str">
        <f t="shared" si="11"/>
        <v>syn BTCH7/BTCG7/BTCF7/BTCZ6/BTCV6</v>
      </c>
      <c r="R219" s="13">
        <f>'MKT DATA'!AB277</f>
        <v>0</v>
      </c>
    </row>
    <row r="220" spans="5:18" x14ac:dyDescent="0.25">
      <c r="E220" s="43" t="str">
        <f>'MKT DATA'!B278</f>
        <v>syn BTCX6/BTCZ6/BTCF7/BTCG7/BTCH7/BTCV6</v>
      </c>
      <c r="F220" s="13">
        <f>'MKT DATA'!J278</f>
        <v>1</v>
      </c>
      <c r="G220" s="8">
        <f>'MKT DATA'!K278</f>
        <v>82880</v>
      </c>
      <c r="H220" s="8">
        <f>'MKT DATA'!L278</f>
        <v>84270</v>
      </c>
      <c r="I220" s="13">
        <f>'MKT DATA'!M278</f>
        <v>1</v>
      </c>
      <c r="J220" s="43" t="str">
        <f t="shared" si="10"/>
        <v>syn BTCX6/BTCZ6/BTCF7/BTCG7/BTCH7/BTCV6</v>
      </c>
      <c r="K220" s="8">
        <f>'MKT DATA'!O278</f>
        <v>0</v>
      </c>
      <c r="L220" s="8">
        <f>'MKT DATA'!P278</f>
        <v>82880</v>
      </c>
      <c r="M220" s="8">
        <f>'MKT DATA'!Q278</f>
        <v>0</v>
      </c>
      <c r="N220" s="8">
        <f>'MKT DATA'!R278</f>
        <v>0</v>
      </c>
      <c r="O220" s="8">
        <f>'MKT DATA'!S278</f>
        <v>-84270</v>
      </c>
      <c r="P220" s="8">
        <f>'MKT DATA'!T278</f>
        <v>0</v>
      </c>
      <c r="Q220" s="43" t="str">
        <f t="shared" si="11"/>
        <v>syn BTCX6/BTCZ6/BTCF7/BTCG7/BTCH7/BTCV6</v>
      </c>
      <c r="R220" s="13">
        <f>'MKT DATA'!AB278</f>
        <v>0</v>
      </c>
    </row>
    <row r="221" spans="5:18" x14ac:dyDescent="0.25">
      <c r="E221" s="43" t="str">
        <f>'MKT DATA'!B279</f>
        <v>syn BTCX6/BTCZ6/BTCF7/BTCH7/BTCG7/BTCV6</v>
      </c>
      <c r="F221" s="13">
        <f>'MKT DATA'!J279</f>
        <v>1</v>
      </c>
      <c r="G221" s="8">
        <f>'MKT DATA'!K279</f>
        <v>82656</v>
      </c>
      <c r="H221" s="8">
        <f>'MKT DATA'!L279</f>
        <v>84400</v>
      </c>
      <c r="I221" s="13">
        <f>'MKT DATA'!M279</f>
        <v>1</v>
      </c>
      <c r="J221" s="43" t="str">
        <f t="shared" si="10"/>
        <v>syn BTCX6/BTCZ6/BTCF7/BTCH7/BTCG7/BTCV6</v>
      </c>
      <c r="K221" s="8">
        <f>'MKT DATA'!O279</f>
        <v>0</v>
      </c>
      <c r="L221" s="8">
        <f>'MKT DATA'!P279</f>
        <v>82656</v>
      </c>
      <c r="M221" s="8">
        <f>'MKT DATA'!Q279</f>
        <v>0</v>
      </c>
      <c r="N221" s="8">
        <f>'MKT DATA'!R279</f>
        <v>0</v>
      </c>
      <c r="O221" s="8">
        <f>'MKT DATA'!S279</f>
        <v>-84400</v>
      </c>
      <c r="P221" s="8">
        <f>'MKT DATA'!T279</f>
        <v>0</v>
      </c>
      <c r="Q221" s="43" t="str">
        <f t="shared" si="11"/>
        <v>syn BTCX6/BTCZ6/BTCF7/BTCH7/BTCG7/BTCV6</v>
      </c>
      <c r="R221" s="13">
        <f>'MKT DATA'!AB279</f>
        <v>0</v>
      </c>
    </row>
    <row r="222" spans="5:18" x14ac:dyDescent="0.25">
      <c r="E222" s="43" t="str">
        <f>'MKT DATA'!B280</f>
        <v>syn BTCX6/BTCZ6/BTCG7/BTCF7/BTCH7/BTCV6</v>
      </c>
      <c r="F222" s="13">
        <f>'MKT DATA'!J280</f>
        <v>1</v>
      </c>
      <c r="G222" s="8">
        <f>'MKT DATA'!K280</f>
        <v>82384</v>
      </c>
      <c r="H222" s="8">
        <f>'MKT DATA'!L280</f>
        <v>84747</v>
      </c>
      <c r="I222" s="13">
        <f>'MKT DATA'!M280</f>
        <v>1</v>
      </c>
      <c r="J222" s="43" t="str">
        <f t="shared" si="10"/>
        <v>syn BTCX6/BTCZ6/BTCG7/BTCF7/BTCH7/BTCV6</v>
      </c>
      <c r="K222" s="8">
        <f>'MKT DATA'!O280</f>
        <v>0</v>
      </c>
      <c r="L222" s="8">
        <f>'MKT DATA'!P280</f>
        <v>82384</v>
      </c>
      <c r="M222" s="8">
        <f>'MKT DATA'!Q280</f>
        <v>0</v>
      </c>
      <c r="N222" s="8">
        <f>'MKT DATA'!R280</f>
        <v>0</v>
      </c>
      <c r="O222" s="8">
        <f>'MKT DATA'!S280</f>
        <v>-84747</v>
      </c>
      <c r="P222" s="8">
        <f>'MKT DATA'!T280</f>
        <v>0</v>
      </c>
      <c r="Q222" s="43" t="str">
        <f t="shared" si="11"/>
        <v>syn BTCX6/BTCZ6/BTCG7/BTCF7/BTCH7/BTCV6</v>
      </c>
      <c r="R222" s="13">
        <f>'MKT DATA'!AB280</f>
        <v>0</v>
      </c>
    </row>
    <row r="223" spans="5:18" x14ac:dyDescent="0.25">
      <c r="E223" s="43" t="str">
        <f>'MKT DATA'!B281</f>
        <v>syn BTCX6/BTCZ6/BTCG7/BTCH7/BTCF7/BTCV6</v>
      </c>
      <c r="F223" s="13">
        <f>'MKT DATA'!J281</f>
        <v>1</v>
      </c>
      <c r="G223" s="8">
        <f>'MKT DATA'!K281</f>
        <v>82635</v>
      </c>
      <c r="H223" s="8">
        <f>'MKT DATA'!L281</f>
        <v>84565</v>
      </c>
      <c r="I223" s="13">
        <f>'MKT DATA'!M281</f>
        <v>1</v>
      </c>
      <c r="J223" s="43" t="str">
        <f t="shared" si="10"/>
        <v>syn BTCX6/BTCZ6/BTCG7/BTCH7/BTCF7/BTCV6</v>
      </c>
      <c r="K223" s="8">
        <f>'MKT DATA'!O281</f>
        <v>0</v>
      </c>
      <c r="L223" s="8">
        <f>'MKT DATA'!P281</f>
        <v>82635</v>
      </c>
      <c r="M223" s="8">
        <f>'MKT DATA'!Q281</f>
        <v>0</v>
      </c>
      <c r="N223" s="8">
        <f>'MKT DATA'!R281</f>
        <v>0</v>
      </c>
      <c r="O223" s="8">
        <f>'MKT DATA'!S281</f>
        <v>-84565</v>
      </c>
      <c r="P223" s="8">
        <f>'MKT DATA'!T281</f>
        <v>0</v>
      </c>
      <c r="Q223" s="43" t="str">
        <f t="shared" si="11"/>
        <v>syn BTCX6/BTCZ6/BTCG7/BTCH7/BTCF7/BTCV6</v>
      </c>
      <c r="R223" s="13">
        <f>'MKT DATA'!AB281</f>
        <v>0</v>
      </c>
    </row>
    <row r="224" spans="5:18" x14ac:dyDescent="0.25">
      <c r="E224" s="43" t="str">
        <f>'MKT DATA'!B282</f>
        <v>syn BTCX6/BTCZ6/BTCH7/BTCF7/BTCG7/BTCV6</v>
      </c>
      <c r="F224" s="13">
        <f>'MKT DATA'!J282</f>
        <v>1</v>
      </c>
      <c r="G224" s="8">
        <f>'MKT DATA'!K282</f>
        <v>82578</v>
      </c>
      <c r="H224" s="8">
        <f>'MKT DATA'!L282</f>
        <v>84701</v>
      </c>
      <c r="I224" s="13">
        <f>'MKT DATA'!M282</f>
        <v>1</v>
      </c>
      <c r="J224" s="43" t="str">
        <f t="shared" si="10"/>
        <v>syn BTCX6/BTCZ6/BTCH7/BTCF7/BTCG7/BTCV6</v>
      </c>
      <c r="K224" s="8">
        <f>'MKT DATA'!O282</f>
        <v>0</v>
      </c>
      <c r="L224" s="8">
        <f>'MKT DATA'!P282</f>
        <v>82578</v>
      </c>
      <c r="M224" s="8">
        <f>'MKT DATA'!Q282</f>
        <v>0</v>
      </c>
      <c r="N224" s="8">
        <f>'MKT DATA'!R282</f>
        <v>0</v>
      </c>
      <c r="O224" s="8">
        <f>'MKT DATA'!S282</f>
        <v>-84701</v>
      </c>
      <c r="P224" s="8">
        <f>'MKT DATA'!T282</f>
        <v>0</v>
      </c>
      <c r="Q224" s="43" t="str">
        <f t="shared" si="11"/>
        <v>syn BTCX6/BTCZ6/BTCH7/BTCF7/BTCG7/BTCV6</v>
      </c>
      <c r="R224" s="13">
        <f>'MKT DATA'!AB282</f>
        <v>0</v>
      </c>
    </row>
    <row r="225" spans="5:18" x14ac:dyDescent="0.25">
      <c r="E225" s="43" t="str">
        <f>'MKT DATA'!B283</f>
        <v>syn BTCX6/BTCZ6/BTCH7/BTCG7/BTCF7/BTCV6</v>
      </c>
      <c r="F225" s="13">
        <f>'MKT DATA'!J283</f>
        <v>1</v>
      </c>
      <c r="G225" s="8">
        <f>'MKT DATA'!K283</f>
        <v>82975</v>
      </c>
      <c r="H225" s="8">
        <f>'MKT DATA'!L283</f>
        <v>84311</v>
      </c>
      <c r="I225" s="13">
        <f>'MKT DATA'!M283</f>
        <v>1</v>
      </c>
      <c r="J225" s="43" t="str">
        <f t="shared" si="10"/>
        <v>syn BTCX6/BTCZ6/BTCH7/BTCG7/BTCF7/BTCV6</v>
      </c>
      <c r="K225" s="8">
        <f>'MKT DATA'!O283</f>
        <v>0</v>
      </c>
      <c r="L225" s="8">
        <f>'MKT DATA'!P283</f>
        <v>82975</v>
      </c>
      <c r="M225" s="8">
        <f>'MKT DATA'!Q283</f>
        <v>0</v>
      </c>
      <c r="N225" s="8">
        <f>'MKT DATA'!R283</f>
        <v>0</v>
      </c>
      <c r="O225" s="8">
        <f>'MKT DATA'!S283</f>
        <v>-84311</v>
      </c>
      <c r="P225" s="8">
        <f>'MKT DATA'!T283</f>
        <v>0</v>
      </c>
      <c r="Q225" s="43" t="str">
        <f t="shared" si="11"/>
        <v>syn BTCX6/BTCZ6/BTCH7/BTCG7/BTCF7/BTCV6</v>
      </c>
      <c r="R225" s="13">
        <f>'MKT DATA'!AB283</f>
        <v>0</v>
      </c>
    </row>
    <row r="226" spans="5:18" x14ac:dyDescent="0.25">
      <c r="E226" s="43" t="str">
        <f>'MKT DATA'!B284</f>
        <v>syn BTCX6/BTCF7/BTCZ6/BTCG7/BTCH7/BTCV6</v>
      </c>
      <c r="F226" s="13">
        <f>'MKT DATA'!J284</f>
        <v>1</v>
      </c>
      <c r="G226" s="8">
        <f>'MKT DATA'!K284</f>
        <v>82697</v>
      </c>
      <c r="H226" s="8">
        <f>'MKT DATA'!L284</f>
        <v>84442</v>
      </c>
      <c r="I226" s="13">
        <f>'MKT DATA'!M284</f>
        <v>1</v>
      </c>
      <c r="J226" s="43" t="str">
        <f t="shared" si="10"/>
        <v>syn BTCX6/BTCF7/BTCZ6/BTCG7/BTCH7/BTCV6</v>
      </c>
      <c r="K226" s="8">
        <f>'MKT DATA'!O284</f>
        <v>0</v>
      </c>
      <c r="L226" s="8">
        <f>'MKT DATA'!P284</f>
        <v>82697</v>
      </c>
      <c r="M226" s="8">
        <f>'MKT DATA'!Q284</f>
        <v>0</v>
      </c>
      <c r="N226" s="8">
        <f>'MKT DATA'!R284</f>
        <v>0</v>
      </c>
      <c r="O226" s="8">
        <f>'MKT DATA'!S284</f>
        <v>-84442</v>
      </c>
      <c r="P226" s="8">
        <f>'MKT DATA'!T284</f>
        <v>0</v>
      </c>
      <c r="Q226" s="43" t="str">
        <f t="shared" si="11"/>
        <v>syn BTCX6/BTCF7/BTCZ6/BTCG7/BTCH7/BTCV6</v>
      </c>
      <c r="R226" s="13">
        <f>'MKT DATA'!AB284</f>
        <v>0</v>
      </c>
    </row>
    <row r="227" spans="5:18" x14ac:dyDescent="0.25">
      <c r="E227" s="43" t="str">
        <f>'MKT DATA'!B285</f>
        <v>syn BTCX6/BTCF7/BTCZ6/BTCH7/BTCG7/BTCV6</v>
      </c>
      <c r="F227" s="13">
        <f>'MKT DATA'!J285</f>
        <v>1</v>
      </c>
      <c r="G227" s="8">
        <f>'MKT DATA'!K285</f>
        <v>82852</v>
      </c>
      <c r="H227" s="8">
        <f>'MKT DATA'!L285</f>
        <v>84357</v>
      </c>
      <c r="I227" s="13">
        <f>'MKT DATA'!M285</f>
        <v>1</v>
      </c>
      <c r="J227" s="43" t="str">
        <f t="shared" si="10"/>
        <v>syn BTCX6/BTCF7/BTCZ6/BTCH7/BTCG7/BTCV6</v>
      </c>
      <c r="K227" s="8">
        <f>'MKT DATA'!O285</f>
        <v>0</v>
      </c>
      <c r="L227" s="8">
        <f>'MKT DATA'!P285</f>
        <v>82852</v>
      </c>
      <c r="M227" s="8">
        <f>'MKT DATA'!Q285</f>
        <v>0</v>
      </c>
      <c r="N227" s="8">
        <f>'MKT DATA'!R285</f>
        <v>0</v>
      </c>
      <c r="O227" s="8">
        <f>'MKT DATA'!S285</f>
        <v>-84357</v>
      </c>
      <c r="P227" s="8">
        <f>'MKT DATA'!T285</f>
        <v>0</v>
      </c>
      <c r="Q227" s="43" t="str">
        <f t="shared" si="11"/>
        <v>syn BTCX6/BTCF7/BTCZ6/BTCH7/BTCG7/BTCV6</v>
      </c>
      <c r="R227" s="13">
        <f>'MKT DATA'!AB285</f>
        <v>0</v>
      </c>
    </row>
    <row r="228" spans="5:18" x14ac:dyDescent="0.25">
      <c r="E228" s="43" t="str">
        <f>'MKT DATA'!B286</f>
        <v>syn BTCX6/BTCF7/BTCG7/BTCZ6/BTCH7/BTCV6</v>
      </c>
      <c r="F228" s="13">
        <f>'MKT DATA'!J286</f>
        <v>1</v>
      </c>
      <c r="G228" s="8">
        <f>'MKT DATA'!K286</f>
        <v>82560</v>
      </c>
      <c r="H228" s="8">
        <f>'MKT DATA'!L286</f>
        <v>84684</v>
      </c>
      <c r="I228" s="13">
        <f>'MKT DATA'!M286</f>
        <v>1</v>
      </c>
      <c r="J228" s="43" t="str">
        <f t="shared" si="10"/>
        <v>syn BTCX6/BTCF7/BTCG7/BTCZ6/BTCH7/BTCV6</v>
      </c>
      <c r="K228" s="8">
        <f>'MKT DATA'!O286</f>
        <v>0</v>
      </c>
      <c r="L228" s="8">
        <f>'MKT DATA'!P286</f>
        <v>82560</v>
      </c>
      <c r="M228" s="8">
        <f>'MKT DATA'!Q286</f>
        <v>0</v>
      </c>
      <c r="N228" s="8">
        <f>'MKT DATA'!R286</f>
        <v>0</v>
      </c>
      <c r="O228" s="8">
        <f>'MKT DATA'!S286</f>
        <v>-84684</v>
      </c>
      <c r="P228" s="8">
        <f>'MKT DATA'!T286</f>
        <v>0</v>
      </c>
      <c r="Q228" s="43" t="str">
        <f t="shared" si="11"/>
        <v>syn BTCX6/BTCF7/BTCG7/BTCZ6/BTCH7/BTCV6</v>
      </c>
      <c r="R228" s="13">
        <f>'MKT DATA'!AB286</f>
        <v>0</v>
      </c>
    </row>
    <row r="229" spans="5:18" x14ac:dyDescent="0.25">
      <c r="E229" s="43" t="str">
        <f>'MKT DATA'!B287</f>
        <v>syn BTCX6/BTCF7/BTCG7/BTCH7/BTCZ6/BTCV6</v>
      </c>
      <c r="F229" s="13">
        <f>'MKT DATA'!J287</f>
        <v>1</v>
      </c>
      <c r="G229" s="8">
        <f>'MKT DATA'!K287</f>
        <v>82813</v>
      </c>
      <c r="H229" s="8">
        <f>'MKT DATA'!L287</f>
        <v>84118</v>
      </c>
      <c r="I229" s="13">
        <f>'MKT DATA'!M287</f>
        <v>1</v>
      </c>
      <c r="J229" s="43" t="str">
        <f t="shared" si="10"/>
        <v>syn BTCX6/BTCF7/BTCG7/BTCH7/BTCZ6/BTCV6</v>
      </c>
      <c r="K229" s="8">
        <f>'MKT DATA'!O287</f>
        <v>0</v>
      </c>
      <c r="L229" s="8">
        <f>'MKT DATA'!P287</f>
        <v>82813</v>
      </c>
      <c r="M229" s="8">
        <f>'MKT DATA'!Q287</f>
        <v>0</v>
      </c>
      <c r="N229" s="8">
        <f>'MKT DATA'!R287</f>
        <v>0</v>
      </c>
      <c r="O229" s="8">
        <f>'MKT DATA'!S287</f>
        <v>-84118</v>
      </c>
      <c r="P229" s="8">
        <f>'MKT DATA'!T287</f>
        <v>0</v>
      </c>
      <c r="Q229" s="43" t="str">
        <f t="shared" si="11"/>
        <v>syn BTCX6/BTCF7/BTCG7/BTCH7/BTCZ6/BTCV6</v>
      </c>
      <c r="R229" s="13">
        <f>'MKT DATA'!AB287</f>
        <v>0</v>
      </c>
    </row>
    <row r="230" spans="5:18" x14ac:dyDescent="0.25">
      <c r="E230" s="43" t="str">
        <f>'MKT DATA'!B288</f>
        <v>syn BTCX6/BTCF7/BTCH7/BTCZ6/BTCG7/BTCV6</v>
      </c>
      <c r="F230" s="13">
        <f>'MKT DATA'!J288</f>
        <v>1</v>
      </c>
      <c r="G230" s="8">
        <f>'MKT DATA'!K288</f>
        <v>82211</v>
      </c>
      <c r="H230" s="8">
        <f>'MKT DATA'!L288</f>
        <v>84689</v>
      </c>
      <c r="I230" s="13">
        <f>'MKT DATA'!M288</f>
        <v>1</v>
      </c>
      <c r="J230" s="43" t="str">
        <f t="shared" si="10"/>
        <v>syn BTCX6/BTCF7/BTCH7/BTCZ6/BTCG7/BTCV6</v>
      </c>
      <c r="K230" s="8">
        <f>'MKT DATA'!O288</f>
        <v>0</v>
      </c>
      <c r="L230" s="8">
        <f>'MKT DATA'!P288</f>
        <v>82211</v>
      </c>
      <c r="M230" s="8">
        <f>'MKT DATA'!Q288</f>
        <v>0</v>
      </c>
      <c r="N230" s="8">
        <f>'MKT DATA'!R288</f>
        <v>0</v>
      </c>
      <c r="O230" s="8">
        <f>'MKT DATA'!S288</f>
        <v>-84689</v>
      </c>
      <c r="P230" s="8">
        <f>'MKT DATA'!T288</f>
        <v>0</v>
      </c>
      <c r="Q230" s="43" t="str">
        <f t="shared" si="11"/>
        <v>syn BTCX6/BTCF7/BTCH7/BTCZ6/BTCG7/BTCV6</v>
      </c>
      <c r="R230" s="13">
        <f>'MKT DATA'!AB288</f>
        <v>0</v>
      </c>
    </row>
    <row r="231" spans="5:18" x14ac:dyDescent="0.25">
      <c r="E231" s="43" t="str">
        <f>'MKT DATA'!B289</f>
        <v>syn BTCX6/BTCF7/BTCH7/BTCG7/BTCZ6/BTCV6</v>
      </c>
      <c r="F231" s="13">
        <f>'MKT DATA'!J289</f>
        <v>1</v>
      </c>
      <c r="G231" s="8">
        <f>'MKT DATA'!K289</f>
        <v>82559</v>
      </c>
      <c r="H231" s="8">
        <f>'MKT DATA'!L289</f>
        <v>84458</v>
      </c>
      <c r="I231" s="13">
        <f>'MKT DATA'!M289</f>
        <v>1</v>
      </c>
      <c r="J231" s="43" t="str">
        <f t="shared" si="10"/>
        <v>syn BTCX6/BTCF7/BTCH7/BTCG7/BTCZ6/BTCV6</v>
      </c>
      <c r="K231" s="8">
        <f>'MKT DATA'!O289</f>
        <v>0</v>
      </c>
      <c r="L231" s="8">
        <f>'MKT DATA'!P289</f>
        <v>82559</v>
      </c>
      <c r="M231" s="8">
        <f>'MKT DATA'!Q289</f>
        <v>0</v>
      </c>
      <c r="N231" s="8">
        <f>'MKT DATA'!R289</f>
        <v>0</v>
      </c>
      <c r="O231" s="8">
        <f>'MKT DATA'!S289</f>
        <v>-84458</v>
      </c>
      <c r="P231" s="8">
        <f>'MKT DATA'!T289</f>
        <v>0</v>
      </c>
      <c r="Q231" s="43" t="str">
        <f t="shared" si="11"/>
        <v>syn BTCX6/BTCF7/BTCH7/BTCG7/BTCZ6/BTCV6</v>
      </c>
      <c r="R231" s="13">
        <f>'MKT DATA'!AB289</f>
        <v>0</v>
      </c>
    </row>
    <row r="232" spans="5:18" x14ac:dyDescent="0.25">
      <c r="E232" s="43" t="str">
        <f>'MKT DATA'!B290</f>
        <v>syn BTCX6/BTCG7/BTCZ6/BTCF7/BTCH7/BTCV6</v>
      </c>
      <c r="F232" s="13">
        <f>'MKT DATA'!J290</f>
        <v>1</v>
      </c>
      <c r="G232" s="8">
        <f>'MKT DATA'!K290</f>
        <v>82247</v>
      </c>
      <c r="H232" s="8">
        <f>'MKT DATA'!L290</f>
        <v>84849</v>
      </c>
      <c r="I232" s="13">
        <f>'MKT DATA'!M290</f>
        <v>1</v>
      </c>
      <c r="J232" s="43" t="str">
        <f t="shared" si="10"/>
        <v>syn BTCX6/BTCG7/BTCZ6/BTCF7/BTCH7/BTCV6</v>
      </c>
      <c r="K232" s="8">
        <f>'MKT DATA'!O290</f>
        <v>0</v>
      </c>
      <c r="L232" s="8">
        <f>'MKT DATA'!P290</f>
        <v>82247</v>
      </c>
      <c r="M232" s="8">
        <f>'MKT DATA'!Q290</f>
        <v>0</v>
      </c>
      <c r="N232" s="8">
        <f>'MKT DATA'!R290</f>
        <v>0</v>
      </c>
      <c r="O232" s="8">
        <f>'MKT DATA'!S290</f>
        <v>-84849</v>
      </c>
      <c r="P232" s="8">
        <f>'MKT DATA'!T290</f>
        <v>0</v>
      </c>
      <c r="Q232" s="43" t="str">
        <f t="shared" si="11"/>
        <v>syn BTCX6/BTCG7/BTCZ6/BTCF7/BTCH7/BTCV6</v>
      </c>
      <c r="R232" s="13">
        <f>'MKT DATA'!AB290</f>
        <v>0</v>
      </c>
    </row>
    <row r="233" spans="5:18" x14ac:dyDescent="0.25">
      <c r="E233" s="43" t="str">
        <f>'MKT DATA'!B291</f>
        <v>syn BTCX6/BTCG7/BTCZ6/BTCH7/BTCF7/BTCV6</v>
      </c>
      <c r="F233" s="13">
        <f>'MKT DATA'!J291</f>
        <v>1</v>
      </c>
      <c r="G233" s="8">
        <f>'MKT DATA'!K291</f>
        <v>82381</v>
      </c>
      <c r="H233" s="8">
        <f>'MKT DATA'!L291</f>
        <v>84929</v>
      </c>
      <c r="I233" s="13">
        <f>'MKT DATA'!M291</f>
        <v>1</v>
      </c>
      <c r="J233" s="43" t="str">
        <f t="shared" si="10"/>
        <v>syn BTCX6/BTCG7/BTCZ6/BTCH7/BTCF7/BTCV6</v>
      </c>
      <c r="K233" s="8">
        <f>'MKT DATA'!O291</f>
        <v>0</v>
      </c>
      <c r="L233" s="8">
        <f>'MKT DATA'!P291</f>
        <v>82381</v>
      </c>
      <c r="M233" s="8">
        <f>'MKT DATA'!Q291</f>
        <v>0</v>
      </c>
      <c r="N233" s="8">
        <f>'MKT DATA'!R291</f>
        <v>0</v>
      </c>
      <c r="O233" s="8">
        <f>'MKT DATA'!S291</f>
        <v>-84929</v>
      </c>
      <c r="P233" s="8">
        <f>'MKT DATA'!T291</f>
        <v>0</v>
      </c>
      <c r="Q233" s="43" t="str">
        <f t="shared" si="11"/>
        <v>syn BTCX6/BTCG7/BTCZ6/BTCH7/BTCF7/BTCV6</v>
      </c>
      <c r="R233" s="13">
        <f>'MKT DATA'!AB291</f>
        <v>0</v>
      </c>
    </row>
    <row r="234" spans="5:18" x14ac:dyDescent="0.25">
      <c r="E234" s="43" t="str">
        <f>'MKT DATA'!B292</f>
        <v>syn BTCX6/BTCG7/BTCF7/BTCZ6/BTCH7/BTCV6</v>
      </c>
      <c r="F234" s="13">
        <f>'MKT DATA'!J292</f>
        <v>1</v>
      </c>
      <c r="G234" s="8">
        <f>'MKT DATA'!K292</f>
        <v>82646</v>
      </c>
      <c r="H234" s="8">
        <f>'MKT DATA'!L292</f>
        <v>84654</v>
      </c>
      <c r="I234" s="13">
        <f>'MKT DATA'!M292</f>
        <v>1</v>
      </c>
      <c r="J234" s="43" t="str">
        <f t="shared" si="10"/>
        <v>syn BTCX6/BTCG7/BTCF7/BTCZ6/BTCH7/BTCV6</v>
      </c>
      <c r="K234" s="8">
        <f>'MKT DATA'!O292</f>
        <v>0</v>
      </c>
      <c r="L234" s="8">
        <f>'MKT DATA'!P292</f>
        <v>82646</v>
      </c>
      <c r="M234" s="8">
        <f>'MKT DATA'!Q292</f>
        <v>0</v>
      </c>
      <c r="N234" s="8">
        <f>'MKT DATA'!R292</f>
        <v>0</v>
      </c>
      <c r="O234" s="8">
        <f>'MKT DATA'!S292</f>
        <v>-84654</v>
      </c>
      <c r="P234" s="8">
        <f>'MKT DATA'!T292</f>
        <v>0</v>
      </c>
      <c r="Q234" s="43" t="str">
        <f t="shared" si="11"/>
        <v>syn BTCX6/BTCG7/BTCF7/BTCZ6/BTCH7/BTCV6</v>
      </c>
      <c r="R234" s="13">
        <f>'MKT DATA'!AB292</f>
        <v>0</v>
      </c>
    </row>
    <row r="235" spans="5:18" x14ac:dyDescent="0.25">
      <c r="E235" s="43" t="str">
        <f>'MKT DATA'!B293</f>
        <v>syn BTCX6/BTCG7/BTCF7/BTCH7/BTCZ6/BTCV6</v>
      </c>
      <c r="F235" s="13">
        <f>'MKT DATA'!J293</f>
        <v>1</v>
      </c>
      <c r="G235" s="8">
        <f>'MKT DATA'!K293</f>
        <v>82383</v>
      </c>
      <c r="H235" s="8">
        <f>'MKT DATA'!L293</f>
        <v>84545</v>
      </c>
      <c r="I235" s="13">
        <f>'MKT DATA'!M293</f>
        <v>1</v>
      </c>
      <c r="J235" s="43" t="str">
        <f t="shared" si="10"/>
        <v>syn BTCX6/BTCG7/BTCF7/BTCH7/BTCZ6/BTCV6</v>
      </c>
      <c r="K235" s="8">
        <f>'MKT DATA'!O293</f>
        <v>0</v>
      </c>
      <c r="L235" s="8">
        <f>'MKT DATA'!P293</f>
        <v>82383</v>
      </c>
      <c r="M235" s="8">
        <f>'MKT DATA'!Q293</f>
        <v>0</v>
      </c>
      <c r="N235" s="8">
        <f>'MKT DATA'!R293</f>
        <v>0</v>
      </c>
      <c r="O235" s="8">
        <f>'MKT DATA'!S293</f>
        <v>-84545</v>
      </c>
      <c r="P235" s="8">
        <f>'MKT DATA'!T293</f>
        <v>0</v>
      </c>
      <c r="Q235" s="43" t="str">
        <f t="shared" si="11"/>
        <v>syn BTCX6/BTCG7/BTCF7/BTCH7/BTCZ6/BTCV6</v>
      </c>
      <c r="R235" s="13">
        <f>'MKT DATA'!AB293</f>
        <v>0</v>
      </c>
    </row>
    <row r="236" spans="5:18" x14ac:dyDescent="0.25">
      <c r="E236" s="43" t="str">
        <f>'MKT DATA'!B294</f>
        <v>syn BTCX6/BTCG7/BTCH7/BTCZ6/BTCF7/BTCV6</v>
      </c>
      <c r="F236" s="13">
        <f>'MKT DATA'!J294</f>
        <v>1</v>
      </c>
      <c r="G236" s="8">
        <f>'MKT DATA'!K294</f>
        <v>82713</v>
      </c>
      <c r="H236" s="8">
        <f>'MKT DATA'!L294</f>
        <v>84288</v>
      </c>
      <c r="I236" s="13">
        <f>'MKT DATA'!M294</f>
        <v>1</v>
      </c>
      <c r="J236" s="43" t="str">
        <f t="shared" si="10"/>
        <v>syn BTCX6/BTCG7/BTCH7/BTCZ6/BTCF7/BTCV6</v>
      </c>
      <c r="K236" s="8">
        <f>'MKT DATA'!O294</f>
        <v>0</v>
      </c>
      <c r="L236" s="8">
        <f>'MKT DATA'!P294</f>
        <v>82713</v>
      </c>
      <c r="M236" s="8">
        <f>'MKT DATA'!Q294</f>
        <v>0</v>
      </c>
      <c r="N236" s="8">
        <f>'MKT DATA'!R294</f>
        <v>0</v>
      </c>
      <c r="O236" s="8">
        <f>'MKT DATA'!S294</f>
        <v>-84288</v>
      </c>
      <c r="P236" s="8">
        <f>'MKT DATA'!T294</f>
        <v>0</v>
      </c>
      <c r="Q236" s="43" t="str">
        <f t="shared" si="11"/>
        <v>syn BTCX6/BTCG7/BTCH7/BTCZ6/BTCF7/BTCV6</v>
      </c>
      <c r="R236" s="13">
        <f>'MKT DATA'!AB294</f>
        <v>0</v>
      </c>
    </row>
    <row r="237" spans="5:18" x14ac:dyDescent="0.25">
      <c r="E237" s="43" t="str">
        <f>'MKT DATA'!B295</f>
        <v>syn BTCX6/BTCG7/BTCH7/BTCF7/BTCZ6/BTCV6</v>
      </c>
      <c r="F237" s="13">
        <f>'MKT DATA'!J295</f>
        <v>1</v>
      </c>
      <c r="G237" s="8">
        <f>'MKT DATA'!K295</f>
        <v>82684</v>
      </c>
      <c r="H237" s="8">
        <f>'MKT DATA'!L295</f>
        <v>84467</v>
      </c>
      <c r="I237" s="13">
        <f>'MKT DATA'!M295</f>
        <v>1</v>
      </c>
      <c r="J237" s="43" t="str">
        <f t="shared" si="10"/>
        <v>syn BTCX6/BTCG7/BTCH7/BTCF7/BTCZ6/BTCV6</v>
      </c>
      <c r="K237" s="8">
        <f>'MKT DATA'!O295</f>
        <v>0</v>
      </c>
      <c r="L237" s="8">
        <f>'MKT DATA'!P295</f>
        <v>82684</v>
      </c>
      <c r="M237" s="8">
        <f>'MKT DATA'!Q295</f>
        <v>0</v>
      </c>
      <c r="N237" s="8">
        <f>'MKT DATA'!R295</f>
        <v>0</v>
      </c>
      <c r="O237" s="8">
        <f>'MKT DATA'!S295</f>
        <v>-84467</v>
      </c>
      <c r="P237" s="8">
        <f>'MKT DATA'!T295</f>
        <v>0</v>
      </c>
      <c r="Q237" s="43" t="str">
        <f t="shared" si="11"/>
        <v>syn BTCX6/BTCG7/BTCH7/BTCF7/BTCZ6/BTCV6</v>
      </c>
      <c r="R237" s="13">
        <f>'MKT DATA'!AB295</f>
        <v>0</v>
      </c>
    </row>
    <row r="238" spans="5:18" x14ac:dyDescent="0.25">
      <c r="E238" s="43" t="str">
        <f>'MKT DATA'!B296</f>
        <v>syn BTCX6/BTCH7/BTCZ6/BTCF7/BTCG7/BTCV6</v>
      </c>
      <c r="F238" s="13">
        <f>'MKT DATA'!J296</f>
        <v>1</v>
      </c>
      <c r="G238" s="8">
        <f>'MKT DATA'!K296</f>
        <v>82446</v>
      </c>
      <c r="H238" s="8">
        <f>'MKT DATA'!L296</f>
        <v>84454</v>
      </c>
      <c r="I238" s="13">
        <f>'MKT DATA'!M296</f>
        <v>1</v>
      </c>
      <c r="J238" s="43" t="str">
        <f t="shared" si="10"/>
        <v>syn BTCX6/BTCH7/BTCZ6/BTCF7/BTCG7/BTCV6</v>
      </c>
      <c r="K238" s="8">
        <f>'MKT DATA'!O296</f>
        <v>0</v>
      </c>
      <c r="L238" s="8">
        <f>'MKT DATA'!P296</f>
        <v>82446</v>
      </c>
      <c r="M238" s="8">
        <f>'MKT DATA'!Q296</f>
        <v>0</v>
      </c>
      <c r="N238" s="8">
        <f>'MKT DATA'!R296</f>
        <v>0</v>
      </c>
      <c r="O238" s="8">
        <f>'MKT DATA'!S296</f>
        <v>-84454</v>
      </c>
      <c r="P238" s="8">
        <f>'MKT DATA'!T296</f>
        <v>0</v>
      </c>
      <c r="Q238" s="43" t="str">
        <f t="shared" si="11"/>
        <v>syn BTCX6/BTCH7/BTCZ6/BTCF7/BTCG7/BTCV6</v>
      </c>
      <c r="R238" s="13">
        <f>'MKT DATA'!AB296</f>
        <v>0</v>
      </c>
    </row>
    <row r="239" spans="5:18" x14ac:dyDescent="0.25">
      <c r="E239" s="43" t="str">
        <f>'MKT DATA'!B297</f>
        <v>syn BTCX6/BTCH7/BTCZ6/BTCG7/BTCF7/BTCV6</v>
      </c>
      <c r="F239" s="13">
        <f>'MKT DATA'!J297</f>
        <v>1</v>
      </c>
      <c r="G239" s="8">
        <f>'MKT DATA'!K297</f>
        <v>82386</v>
      </c>
      <c r="H239" s="8">
        <f>'MKT DATA'!L297</f>
        <v>84580</v>
      </c>
      <c r="I239" s="13">
        <f>'MKT DATA'!M297</f>
        <v>1</v>
      </c>
      <c r="J239" s="43" t="str">
        <f t="shared" si="10"/>
        <v>syn BTCX6/BTCH7/BTCZ6/BTCG7/BTCF7/BTCV6</v>
      </c>
      <c r="K239" s="8">
        <f>'MKT DATA'!O297</f>
        <v>0</v>
      </c>
      <c r="L239" s="8">
        <f>'MKT DATA'!P297</f>
        <v>82386</v>
      </c>
      <c r="M239" s="8">
        <f>'MKT DATA'!Q297</f>
        <v>0</v>
      </c>
      <c r="N239" s="8">
        <f>'MKT DATA'!R297</f>
        <v>0</v>
      </c>
      <c r="O239" s="8">
        <f>'MKT DATA'!S297</f>
        <v>-84580</v>
      </c>
      <c r="P239" s="8">
        <f>'MKT DATA'!T297</f>
        <v>0</v>
      </c>
      <c r="Q239" s="43" t="str">
        <f t="shared" si="11"/>
        <v>syn BTCX6/BTCH7/BTCZ6/BTCG7/BTCF7/BTCV6</v>
      </c>
      <c r="R239" s="13">
        <f>'MKT DATA'!AB297</f>
        <v>0</v>
      </c>
    </row>
    <row r="240" spans="5:18" x14ac:dyDescent="0.25">
      <c r="E240" s="43" t="str">
        <f>'MKT DATA'!B298</f>
        <v>syn BTCX6/BTCH7/BTCF7/BTCZ6/BTCG7/BTCV6</v>
      </c>
      <c r="F240" s="13">
        <f>'MKT DATA'!J298</f>
        <v>1</v>
      </c>
      <c r="G240" s="8">
        <f>'MKT DATA'!K298</f>
        <v>82251</v>
      </c>
      <c r="H240" s="8">
        <f>'MKT DATA'!L298</f>
        <v>84853</v>
      </c>
      <c r="I240" s="13">
        <f>'MKT DATA'!M298</f>
        <v>1</v>
      </c>
      <c r="J240" s="43" t="str">
        <f t="shared" si="10"/>
        <v>syn BTCX6/BTCH7/BTCF7/BTCZ6/BTCG7/BTCV6</v>
      </c>
      <c r="K240" s="8">
        <f>'MKT DATA'!O298</f>
        <v>0</v>
      </c>
      <c r="L240" s="8">
        <f>'MKT DATA'!P298</f>
        <v>82251</v>
      </c>
      <c r="M240" s="8">
        <f>'MKT DATA'!Q298</f>
        <v>0</v>
      </c>
      <c r="N240" s="8">
        <f>'MKT DATA'!R298</f>
        <v>0</v>
      </c>
      <c r="O240" s="8">
        <f>'MKT DATA'!S298</f>
        <v>-84853</v>
      </c>
      <c r="P240" s="8">
        <f>'MKT DATA'!T298</f>
        <v>0</v>
      </c>
      <c r="Q240" s="43" t="str">
        <f t="shared" si="11"/>
        <v>syn BTCX6/BTCH7/BTCF7/BTCZ6/BTCG7/BTCV6</v>
      </c>
      <c r="R240" s="13">
        <f>'MKT DATA'!AB298</f>
        <v>0</v>
      </c>
    </row>
    <row r="241" spans="5:18" x14ac:dyDescent="0.25">
      <c r="E241" s="43" t="str">
        <f>'MKT DATA'!B299</f>
        <v>syn BTCX6/BTCH7/BTCF7/BTCG7/BTCZ6/BTCV6</v>
      </c>
      <c r="F241" s="13">
        <f>'MKT DATA'!J299</f>
        <v>1</v>
      </c>
      <c r="G241" s="8">
        <f>'MKT DATA'!K299</f>
        <v>82337</v>
      </c>
      <c r="H241" s="8">
        <f>'MKT DATA'!L299</f>
        <v>84739</v>
      </c>
      <c r="I241" s="13">
        <f>'MKT DATA'!M299</f>
        <v>1</v>
      </c>
      <c r="J241" s="43" t="str">
        <f t="shared" si="10"/>
        <v>syn BTCX6/BTCH7/BTCF7/BTCG7/BTCZ6/BTCV6</v>
      </c>
      <c r="K241" s="8">
        <f>'MKT DATA'!O299</f>
        <v>0</v>
      </c>
      <c r="L241" s="8">
        <f>'MKT DATA'!P299</f>
        <v>82337</v>
      </c>
      <c r="M241" s="8">
        <f>'MKT DATA'!Q299</f>
        <v>0</v>
      </c>
      <c r="N241" s="8">
        <f>'MKT DATA'!R299</f>
        <v>0</v>
      </c>
      <c r="O241" s="8">
        <f>'MKT DATA'!S299</f>
        <v>-84739</v>
      </c>
      <c r="P241" s="8">
        <f>'MKT DATA'!T299</f>
        <v>0</v>
      </c>
      <c r="Q241" s="43" t="str">
        <f t="shared" si="11"/>
        <v>syn BTCX6/BTCH7/BTCF7/BTCG7/BTCZ6/BTCV6</v>
      </c>
      <c r="R241" s="13">
        <f>'MKT DATA'!AB299</f>
        <v>0</v>
      </c>
    </row>
    <row r="242" spans="5:18" x14ac:dyDescent="0.25">
      <c r="E242" s="43" t="str">
        <f>'MKT DATA'!B300</f>
        <v>syn BTCX6/BTCH7/BTCG7/BTCZ6/BTCF7/BTCV6</v>
      </c>
      <c r="F242" s="13">
        <f>'MKT DATA'!J300</f>
        <v>1</v>
      </c>
      <c r="G242" s="8">
        <f>'MKT DATA'!K300</f>
        <v>82628</v>
      </c>
      <c r="H242" s="8">
        <f>'MKT DATA'!L300</f>
        <v>84443</v>
      </c>
      <c r="I242" s="13">
        <f>'MKT DATA'!M300</f>
        <v>1</v>
      </c>
      <c r="J242" s="43" t="str">
        <f t="shared" si="10"/>
        <v>syn BTCX6/BTCH7/BTCG7/BTCZ6/BTCF7/BTCV6</v>
      </c>
      <c r="K242" s="8">
        <f>'MKT DATA'!O300</f>
        <v>0</v>
      </c>
      <c r="L242" s="8">
        <f>'MKT DATA'!P300</f>
        <v>82628</v>
      </c>
      <c r="M242" s="8">
        <f>'MKT DATA'!Q300</f>
        <v>0</v>
      </c>
      <c r="N242" s="8">
        <f>'MKT DATA'!R300</f>
        <v>0</v>
      </c>
      <c r="O242" s="8">
        <f>'MKT DATA'!S300</f>
        <v>-84443</v>
      </c>
      <c r="P242" s="8">
        <f>'MKT DATA'!T300</f>
        <v>0</v>
      </c>
      <c r="Q242" s="43" t="str">
        <f t="shared" si="11"/>
        <v>syn BTCX6/BTCH7/BTCG7/BTCZ6/BTCF7/BTCV6</v>
      </c>
      <c r="R242" s="13">
        <f>'MKT DATA'!AB300</f>
        <v>0</v>
      </c>
    </row>
    <row r="243" spans="5:18" x14ac:dyDescent="0.25">
      <c r="E243" s="43" t="str">
        <f>'MKT DATA'!B301</f>
        <v>syn BTCX6/BTCH7/BTCG7/BTCF7/BTCZ6/BTCV6</v>
      </c>
      <c r="F243" s="13">
        <f>'MKT DATA'!J301</f>
        <v>1</v>
      </c>
      <c r="G243" s="8">
        <f>'MKT DATA'!K301</f>
        <v>82814</v>
      </c>
      <c r="H243" s="8">
        <f>'MKT DATA'!L301</f>
        <v>84243</v>
      </c>
      <c r="I243" s="13">
        <f>'MKT DATA'!M301</f>
        <v>1</v>
      </c>
      <c r="J243" s="43" t="str">
        <f t="shared" si="10"/>
        <v>syn BTCX6/BTCH7/BTCG7/BTCF7/BTCZ6/BTCV6</v>
      </c>
      <c r="K243" s="8">
        <f>'MKT DATA'!O301</f>
        <v>0</v>
      </c>
      <c r="L243" s="8">
        <f>'MKT DATA'!P301</f>
        <v>82814</v>
      </c>
      <c r="M243" s="8">
        <f>'MKT DATA'!Q301</f>
        <v>0</v>
      </c>
      <c r="N243" s="8">
        <f>'MKT DATA'!R301</f>
        <v>0</v>
      </c>
      <c r="O243" s="8">
        <f>'MKT DATA'!S301</f>
        <v>-84243</v>
      </c>
      <c r="P243" s="8">
        <f>'MKT DATA'!T301</f>
        <v>0</v>
      </c>
      <c r="Q243" s="43" t="str">
        <f t="shared" si="11"/>
        <v>syn BTCX6/BTCH7/BTCG7/BTCF7/BTCZ6/BTCV6</v>
      </c>
      <c r="R243" s="13">
        <f>'MKT DATA'!AB301</f>
        <v>0</v>
      </c>
    </row>
    <row r="244" spans="5:18" x14ac:dyDescent="0.25">
      <c r="E244" s="43" t="str">
        <f>'MKT DATA'!B302</f>
        <v>syn BTCZ6/BTCX6/BTCF7/BTCG7/BTCH7/BTCV6</v>
      </c>
      <c r="F244" s="13">
        <f>'MKT DATA'!J302</f>
        <v>1</v>
      </c>
      <c r="G244" s="8">
        <f>'MKT DATA'!K302</f>
        <v>82799</v>
      </c>
      <c r="H244" s="8">
        <f>'MKT DATA'!L302</f>
        <v>84305</v>
      </c>
      <c r="I244" s="13">
        <f>'MKT DATA'!M302</f>
        <v>1</v>
      </c>
      <c r="J244" s="43" t="str">
        <f t="shared" si="10"/>
        <v>syn BTCZ6/BTCX6/BTCF7/BTCG7/BTCH7/BTCV6</v>
      </c>
      <c r="K244" s="8">
        <f>'MKT DATA'!O302</f>
        <v>0</v>
      </c>
      <c r="L244" s="8">
        <f>'MKT DATA'!P302</f>
        <v>82799</v>
      </c>
      <c r="M244" s="8">
        <f>'MKT DATA'!Q302</f>
        <v>0</v>
      </c>
      <c r="N244" s="8">
        <f>'MKT DATA'!R302</f>
        <v>0</v>
      </c>
      <c r="O244" s="8">
        <f>'MKT DATA'!S302</f>
        <v>-84305</v>
      </c>
      <c r="P244" s="8">
        <f>'MKT DATA'!T302</f>
        <v>0</v>
      </c>
      <c r="Q244" s="43" t="str">
        <f t="shared" si="11"/>
        <v>syn BTCZ6/BTCX6/BTCF7/BTCG7/BTCH7/BTCV6</v>
      </c>
      <c r="R244" s="13">
        <f>'MKT DATA'!AB302</f>
        <v>0</v>
      </c>
    </row>
    <row r="245" spans="5:18" x14ac:dyDescent="0.25">
      <c r="E245" s="43" t="str">
        <f>'MKT DATA'!B303</f>
        <v>syn BTCZ6/BTCX6/BTCF7/BTCH7/BTCG7/BTCV6</v>
      </c>
      <c r="F245" s="13">
        <f>'MKT DATA'!J303</f>
        <v>1</v>
      </c>
      <c r="G245" s="8">
        <f>'MKT DATA'!K303</f>
        <v>82575</v>
      </c>
      <c r="H245" s="8">
        <f>'MKT DATA'!L303</f>
        <v>84435</v>
      </c>
      <c r="I245" s="13">
        <f>'MKT DATA'!M303</f>
        <v>1</v>
      </c>
      <c r="J245" s="43" t="str">
        <f t="shared" si="10"/>
        <v>syn BTCZ6/BTCX6/BTCF7/BTCH7/BTCG7/BTCV6</v>
      </c>
      <c r="K245" s="8">
        <f>'MKT DATA'!O303</f>
        <v>0</v>
      </c>
      <c r="L245" s="8">
        <f>'MKT DATA'!P303</f>
        <v>82575</v>
      </c>
      <c r="M245" s="8">
        <f>'MKT DATA'!Q303</f>
        <v>0</v>
      </c>
      <c r="N245" s="8">
        <f>'MKT DATA'!R303</f>
        <v>0</v>
      </c>
      <c r="O245" s="8">
        <f>'MKT DATA'!S303</f>
        <v>-84435</v>
      </c>
      <c r="P245" s="8">
        <f>'MKT DATA'!T303</f>
        <v>0</v>
      </c>
      <c r="Q245" s="43" t="str">
        <f t="shared" si="11"/>
        <v>syn BTCZ6/BTCX6/BTCF7/BTCH7/BTCG7/BTCV6</v>
      </c>
      <c r="R245" s="13">
        <f>'MKT DATA'!AB303</f>
        <v>0</v>
      </c>
    </row>
    <row r="246" spans="5:18" x14ac:dyDescent="0.25">
      <c r="E246" s="43" t="str">
        <f>'MKT DATA'!B304</f>
        <v>syn BTCZ6/BTCX6/BTCG7/BTCF7/BTCH7/BTCV6</v>
      </c>
      <c r="F246" s="13">
        <f>'MKT DATA'!J304</f>
        <v>1</v>
      </c>
      <c r="G246" s="8">
        <f>'MKT DATA'!K304</f>
        <v>82369</v>
      </c>
      <c r="H246" s="8">
        <f>'MKT DATA'!L304</f>
        <v>84732</v>
      </c>
      <c r="I246" s="13">
        <f>'MKT DATA'!M304</f>
        <v>1</v>
      </c>
      <c r="J246" s="43" t="str">
        <f t="shared" si="10"/>
        <v>syn BTCZ6/BTCX6/BTCG7/BTCF7/BTCH7/BTCV6</v>
      </c>
      <c r="K246" s="8">
        <f>'MKT DATA'!O304</f>
        <v>0</v>
      </c>
      <c r="L246" s="8">
        <f>'MKT DATA'!P304</f>
        <v>82369</v>
      </c>
      <c r="M246" s="8">
        <f>'MKT DATA'!Q304</f>
        <v>0</v>
      </c>
      <c r="N246" s="8">
        <f>'MKT DATA'!R304</f>
        <v>0</v>
      </c>
      <c r="O246" s="8">
        <f>'MKT DATA'!S304</f>
        <v>-84732</v>
      </c>
      <c r="P246" s="8">
        <f>'MKT DATA'!T304</f>
        <v>0</v>
      </c>
      <c r="Q246" s="43" t="str">
        <f t="shared" si="11"/>
        <v>syn BTCZ6/BTCX6/BTCG7/BTCF7/BTCH7/BTCV6</v>
      </c>
      <c r="R246" s="13">
        <f>'MKT DATA'!AB304</f>
        <v>0</v>
      </c>
    </row>
    <row r="247" spans="5:18" x14ac:dyDescent="0.25">
      <c r="E247" s="43" t="str">
        <f>'MKT DATA'!B305</f>
        <v>syn BTCZ6/BTCX6/BTCG7/BTCH7/BTCF7/BTCV6</v>
      </c>
      <c r="F247" s="13">
        <f>'MKT DATA'!J305</f>
        <v>1</v>
      </c>
      <c r="G247" s="8">
        <f>'MKT DATA'!K305</f>
        <v>82620</v>
      </c>
      <c r="H247" s="8">
        <f>'MKT DATA'!L305</f>
        <v>84550</v>
      </c>
      <c r="I247" s="13">
        <f>'MKT DATA'!M305</f>
        <v>1</v>
      </c>
      <c r="J247" s="43" t="str">
        <f t="shared" si="10"/>
        <v>syn BTCZ6/BTCX6/BTCG7/BTCH7/BTCF7/BTCV6</v>
      </c>
      <c r="K247" s="8">
        <f>'MKT DATA'!O305</f>
        <v>0</v>
      </c>
      <c r="L247" s="8">
        <f>'MKT DATA'!P305</f>
        <v>82620</v>
      </c>
      <c r="M247" s="8">
        <f>'MKT DATA'!Q305</f>
        <v>0</v>
      </c>
      <c r="N247" s="8">
        <f>'MKT DATA'!R305</f>
        <v>0</v>
      </c>
      <c r="O247" s="8">
        <f>'MKT DATA'!S305</f>
        <v>-84550</v>
      </c>
      <c r="P247" s="8">
        <f>'MKT DATA'!T305</f>
        <v>0</v>
      </c>
      <c r="Q247" s="43" t="str">
        <f t="shared" si="11"/>
        <v>syn BTCZ6/BTCX6/BTCG7/BTCH7/BTCF7/BTCV6</v>
      </c>
      <c r="R247" s="13">
        <f>'MKT DATA'!AB305</f>
        <v>0</v>
      </c>
    </row>
    <row r="248" spans="5:18" x14ac:dyDescent="0.25">
      <c r="E248" s="43" t="str">
        <f>'MKT DATA'!B306</f>
        <v>syn BTCZ6/BTCX6/BTCH7/BTCF7/BTCG7/BTCV6</v>
      </c>
      <c r="F248" s="13">
        <f>'MKT DATA'!J306</f>
        <v>1</v>
      </c>
      <c r="G248" s="8">
        <f>'MKT DATA'!K306</f>
        <v>82353</v>
      </c>
      <c r="H248" s="8">
        <f>'MKT DATA'!L306</f>
        <v>84716</v>
      </c>
      <c r="I248" s="13">
        <f>'MKT DATA'!M306</f>
        <v>1</v>
      </c>
      <c r="J248" s="43" t="str">
        <f t="shared" si="10"/>
        <v>syn BTCZ6/BTCX6/BTCH7/BTCF7/BTCG7/BTCV6</v>
      </c>
      <c r="K248" s="8">
        <f>'MKT DATA'!O306</f>
        <v>0</v>
      </c>
      <c r="L248" s="8">
        <f>'MKT DATA'!P306</f>
        <v>82353</v>
      </c>
      <c r="M248" s="8">
        <f>'MKT DATA'!Q306</f>
        <v>0</v>
      </c>
      <c r="N248" s="8">
        <f>'MKT DATA'!R306</f>
        <v>0</v>
      </c>
      <c r="O248" s="8">
        <f>'MKT DATA'!S306</f>
        <v>-84716</v>
      </c>
      <c r="P248" s="8">
        <f>'MKT DATA'!T306</f>
        <v>0</v>
      </c>
      <c r="Q248" s="43" t="str">
        <f t="shared" si="11"/>
        <v>syn BTCZ6/BTCX6/BTCH7/BTCF7/BTCG7/BTCV6</v>
      </c>
      <c r="R248" s="13">
        <f>'MKT DATA'!AB306</f>
        <v>0</v>
      </c>
    </row>
    <row r="249" spans="5:18" x14ac:dyDescent="0.25">
      <c r="E249" s="43" t="str">
        <f>'MKT DATA'!B307</f>
        <v>syn BTCZ6/BTCX6/BTCH7/BTCG7/BTCF7/BTCV6</v>
      </c>
      <c r="F249" s="13">
        <f>'MKT DATA'!J307</f>
        <v>1</v>
      </c>
      <c r="G249" s="8">
        <f>'MKT DATA'!K307</f>
        <v>82750</v>
      </c>
      <c r="H249" s="8">
        <f>'MKT DATA'!L307</f>
        <v>84326</v>
      </c>
      <c r="I249" s="13">
        <f>'MKT DATA'!M307</f>
        <v>1</v>
      </c>
      <c r="J249" s="43" t="str">
        <f t="shared" si="10"/>
        <v>syn BTCZ6/BTCX6/BTCH7/BTCG7/BTCF7/BTCV6</v>
      </c>
      <c r="K249" s="8">
        <f>'MKT DATA'!O307</f>
        <v>0</v>
      </c>
      <c r="L249" s="8">
        <f>'MKT DATA'!P307</f>
        <v>82750</v>
      </c>
      <c r="M249" s="8">
        <f>'MKT DATA'!Q307</f>
        <v>0</v>
      </c>
      <c r="N249" s="8">
        <f>'MKT DATA'!R307</f>
        <v>0</v>
      </c>
      <c r="O249" s="8">
        <f>'MKT DATA'!S307</f>
        <v>-84326</v>
      </c>
      <c r="P249" s="8">
        <f>'MKT DATA'!T307</f>
        <v>0</v>
      </c>
      <c r="Q249" s="43" t="str">
        <f t="shared" si="11"/>
        <v>syn BTCZ6/BTCX6/BTCH7/BTCG7/BTCF7/BTCV6</v>
      </c>
      <c r="R249" s="13">
        <f>'MKT DATA'!AB307</f>
        <v>0</v>
      </c>
    </row>
    <row r="250" spans="5:18" x14ac:dyDescent="0.25">
      <c r="E250" s="43" t="str">
        <f>'MKT DATA'!B308</f>
        <v>syn BTCZ6/BTCF7/BTCX6/BTCG7/BTCH7/BTCV6</v>
      </c>
      <c r="F250" s="13">
        <f>'MKT DATA'!J308</f>
        <v>1</v>
      </c>
      <c r="G250" s="8">
        <f>'MKT DATA'!K308</f>
        <v>82713</v>
      </c>
      <c r="H250" s="8">
        <f>'MKT DATA'!L308</f>
        <v>84458</v>
      </c>
      <c r="I250" s="13">
        <f>'MKT DATA'!M308</f>
        <v>1</v>
      </c>
      <c r="J250" s="43" t="str">
        <f t="shared" si="10"/>
        <v>syn BTCZ6/BTCF7/BTCX6/BTCG7/BTCH7/BTCV6</v>
      </c>
      <c r="K250" s="8">
        <f>'MKT DATA'!O308</f>
        <v>0</v>
      </c>
      <c r="L250" s="8">
        <f>'MKT DATA'!P308</f>
        <v>82713</v>
      </c>
      <c r="M250" s="8">
        <f>'MKT DATA'!Q308</f>
        <v>0</v>
      </c>
      <c r="N250" s="8">
        <f>'MKT DATA'!R308</f>
        <v>0</v>
      </c>
      <c r="O250" s="8">
        <f>'MKT DATA'!S308</f>
        <v>-84458</v>
      </c>
      <c r="P250" s="8">
        <f>'MKT DATA'!T308</f>
        <v>0</v>
      </c>
      <c r="Q250" s="43" t="str">
        <f t="shared" si="11"/>
        <v>syn BTCZ6/BTCF7/BTCX6/BTCG7/BTCH7/BTCV6</v>
      </c>
      <c r="R250" s="13">
        <f>'MKT DATA'!AB308</f>
        <v>0</v>
      </c>
    </row>
    <row r="251" spans="5:18" x14ac:dyDescent="0.25">
      <c r="E251" s="43" t="str">
        <f>'MKT DATA'!B309</f>
        <v>syn BTCZ6/BTCF7/BTCX6/BTCH7/BTCG7/BTCV6</v>
      </c>
      <c r="F251" s="13">
        <f>'MKT DATA'!J309</f>
        <v>1</v>
      </c>
      <c r="G251" s="8">
        <f>'MKT DATA'!K309</f>
        <v>82658</v>
      </c>
      <c r="H251" s="8">
        <f>'MKT DATA'!L309</f>
        <v>84403</v>
      </c>
      <c r="I251" s="13">
        <f>'MKT DATA'!M309</f>
        <v>1</v>
      </c>
      <c r="J251" s="43" t="str">
        <f t="shared" si="10"/>
        <v>syn BTCZ6/BTCF7/BTCX6/BTCH7/BTCG7/BTCV6</v>
      </c>
      <c r="K251" s="8">
        <f>'MKT DATA'!O309</f>
        <v>0</v>
      </c>
      <c r="L251" s="8">
        <f>'MKT DATA'!P309</f>
        <v>82658</v>
      </c>
      <c r="M251" s="8">
        <f>'MKT DATA'!Q309</f>
        <v>0</v>
      </c>
      <c r="N251" s="8">
        <f>'MKT DATA'!R309</f>
        <v>0</v>
      </c>
      <c r="O251" s="8">
        <f>'MKT DATA'!S309</f>
        <v>-84403</v>
      </c>
      <c r="P251" s="8">
        <f>'MKT DATA'!T309</f>
        <v>0</v>
      </c>
      <c r="Q251" s="43" t="str">
        <f t="shared" si="11"/>
        <v>syn BTCZ6/BTCF7/BTCX6/BTCH7/BTCG7/BTCV6</v>
      </c>
      <c r="R251" s="13">
        <f>'MKT DATA'!AB309</f>
        <v>0</v>
      </c>
    </row>
    <row r="252" spans="5:18" x14ac:dyDescent="0.25">
      <c r="E252" s="43" t="str">
        <f>'MKT DATA'!B310</f>
        <v>syn BTCZ6/BTCF7/BTCG7/BTCX6/BTCH7/BTCV6</v>
      </c>
      <c r="F252" s="13">
        <f>'MKT DATA'!J310</f>
        <v>1</v>
      </c>
      <c r="G252" s="8">
        <f>'MKT DATA'!K310</f>
        <v>82416</v>
      </c>
      <c r="H252" s="8">
        <f>'MKT DATA'!L310</f>
        <v>84664</v>
      </c>
      <c r="I252" s="13">
        <f>'MKT DATA'!M310</f>
        <v>1</v>
      </c>
      <c r="J252" s="43" t="str">
        <f t="shared" si="10"/>
        <v>syn BTCZ6/BTCF7/BTCG7/BTCX6/BTCH7/BTCV6</v>
      </c>
      <c r="K252" s="8">
        <f>'MKT DATA'!O310</f>
        <v>0</v>
      </c>
      <c r="L252" s="8">
        <f>'MKT DATA'!P310</f>
        <v>82416</v>
      </c>
      <c r="M252" s="8">
        <f>'MKT DATA'!Q310</f>
        <v>0</v>
      </c>
      <c r="N252" s="8">
        <f>'MKT DATA'!R310</f>
        <v>0</v>
      </c>
      <c r="O252" s="8">
        <f>'MKT DATA'!S310</f>
        <v>-84664</v>
      </c>
      <c r="P252" s="8">
        <f>'MKT DATA'!T310</f>
        <v>0</v>
      </c>
      <c r="Q252" s="43" t="str">
        <f t="shared" si="11"/>
        <v>syn BTCZ6/BTCF7/BTCG7/BTCX6/BTCH7/BTCV6</v>
      </c>
      <c r="R252" s="13">
        <f>'MKT DATA'!AB310</f>
        <v>0</v>
      </c>
    </row>
    <row r="253" spans="5:18" x14ac:dyDescent="0.25">
      <c r="E253" s="43" t="str">
        <f>'MKT DATA'!B311</f>
        <v>syn BTCZ6/BTCF7/BTCG7/BTCH7/BTCX6/BTCV6</v>
      </c>
      <c r="F253" s="13">
        <f>'MKT DATA'!J311</f>
        <v>1</v>
      </c>
      <c r="G253" s="8">
        <f>'MKT DATA'!K311</f>
        <v>82850</v>
      </c>
      <c r="H253" s="8">
        <f>'MKT DATA'!L311</f>
        <v>84292</v>
      </c>
      <c r="I253" s="13">
        <f>'MKT DATA'!M311</f>
        <v>1</v>
      </c>
      <c r="J253" s="43" t="str">
        <f t="shared" si="10"/>
        <v>syn BTCZ6/BTCF7/BTCG7/BTCH7/BTCX6/BTCV6</v>
      </c>
      <c r="K253" s="8">
        <f>'MKT DATA'!O311</f>
        <v>0</v>
      </c>
      <c r="L253" s="8">
        <f>'MKT DATA'!P311</f>
        <v>82850</v>
      </c>
      <c r="M253" s="8">
        <f>'MKT DATA'!Q311</f>
        <v>0</v>
      </c>
      <c r="N253" s="8">
        <f>'MKT DATA'!R311</f>
        <v>0</v>
      </c>
      <c r="O253" s="8">
        <f>'MKT DATA'!S311</f>
        <v>-84292</v>
      </c>
      <c r="P253" s="8">
        <f>'MKT DATA'!T311</f>
        <v>0</v>
      </c>
      <c r="Q253" s="43" t="str">
        <f t="shared" si="11"/>
        <v>syn BTCZ6/BTCF7/BTCG7/BTCH7/BTCX6/BTCV6</v>
      </c>
      <c r="R253" s="13">
        <f>'MKT DATA'!AB311</f>
        <v>0</v>
      </c>
    </row>
    <row r="254" spans="5:18" x14ac:dyDescent="0.25">
      <c r="E254" s="43" t="str">
        <f>'MKT DATA'!B312</f>
        <v>syn BTCZ6/BTCF7/BTCH7/BTCX6/BTCG7/BTCV6</v>
      </c>
      <c r="F254" s="13">
        <f>'MKT DATA'!J312</f>
        <v>1</v>
      </c>
      <c r="G254" s="8">
        <f>'MKT DATA'!K312</f>
        <v>82247</v>
      </c>
      <c r="H254" s="8">
        <f>'MKT DATA'!L312</f>
        <v>84849</v>
      </c>
      <c r="I254" s="13">
        <f>'MKT DATA'!M312</f>
        <v>1</v>
      </c>
      <c r="J254" s="43" t="str">
        <f t="shared" si="10"/>
        <v>syn BTCZ6/BTCF7/BTCH7/BTCX6/BTCG7/BTCV6</v>
      </c>
      <c r="K254" s="8">
        <f>'MKT DATA'!O312</f>
        <v>0</v>
      </c>
      <c r="L254" s="8">
        <f>'MKT DATA'!P312</f>
        <v>82247</v>
      </c>
      <c r="M254" s="8">
        <f>'MKT DATA'!Q312</f>
        <v>0</v>
      </c>
      <c r="N254" s="8">
        <f>'MKT DATA'!R312</f>
        <v>0</v>
      </c>
      <c r="O254" s="8">
        <f>'MKT DATA'!S312</f>
        <v>-84849</v>
      </c>
      <c r="P254" s="8">
        <f>'MKT DATA'!T312</f>
        <v>0</v>
      </c>
      <c r="Q254" s="43" t="str">
        <f t="shared" si="11"/>
        <v>syn BTCZ6/BTCF7/BTCH7/BTCX6/BTCG7/BTCV6</v>
      </c>
      <c r="R254" s="13">
        <f>'MKT DATA'!AB312</f>
        <v>0</v>
      </c>
    </row>
    <row r="255" spans="5:18" x14ac:dyDescent="0.25">
      <c r="E255" s="43" t="str">
        <f>'MKT DATA'!B313</f>
        <v>syn BTCZ6/BTCF7/BTCH7/BTCG7/BTCX6/BTCV6</v>
      </c>
      <c r="F255" s="13">
        <f>'MKT DATA'!J313</f>
        <v>1</v>
      </c>
      <c r="G255" s="8">
        <f>'MKT DATA'!K313</f>
        <v>82626</v>
      </c>
      <c r="H255" s="8">
        <f>'MKT DATA'!L313</f>
        <v>84422</v>
      </c>
      <c r="I255" s="13">
        <f>'MKT DATA'!M313</f>
        <v>1</v>
      </c>
      <c r="J255" s="43" t="str">
        <f t="shared" si="10"/>
        <v>syn BTCZ6/BTCF7/BTCH7/BTCG7/BTCX6/BTCV6</v>
      </c>
      <c r="K255" s="8">
        <f>'MKT DATA'!O313</f>
        <v>0</v>
      </c>
      <c r="L255" s="8">
        <f>'MKT DATA'!P313</f>
        <v>82626</v>
      </c>
      <c r="M255" s="8">
        <f>'MKT DATA'!Q313</f>
        <v>0</v>
      </c>
      <c r="N255" s="8">
        <f>'MKT DATA'!R313</f>
        <v>0</v>
      </c>
      <c r="O255" s="8">
        <f>'MKT DATA'!S313</f>
        <v>-84422</v>
      </c>
      <c r="P255" s="8">
        <f>'MKT DATA'!T313</f>
        <v>0</v>
      </c>
      <c r="Q255" s="43" t="str">
        <f t="shared" si="11"/>
        <v>syn BTCZ6/BTCF7/BTCH7/BTCG7/BTCX6/BTCV6</v>
      </c>
      <c r="R255" s="13">
        <f>'MKT DATA'!AB313</f>
        <v>0</v>
      </c>
    </row>
    <row r="256" spans="5:18" x14ac:dyDescent="0.25">
      <c r="E256" s="43" t="str">
        <f>'MKT DATA'!B314</f>
        <v>syn BTCZ6/BTCG7/BTCX6/BTCF7/BTCH7/BTCV6</v>
      </c>
      <c r="F256" s="13">
        <f>'MKT DATA'!J314</f>
        <v>1</v>
      </c>
      <c r="G256" s="8">
        <f>'MKT DATA'!K314</f>
        <v>82181</v>
      </c>
      <c r="H256" s="8">
        <f>'MKT DATA'!L314</f>
        <v>84899</v>
      </c>
      <c r="I256" s="13">
        <f>'MKT DATA'!M314</f>
        <v>1</v>
      </c>
      <c r="J256" s="43" t="str">
        <f t="shared" si="10"/>
        <v>syn BTCZ6/BTCG7/BTCX6/BTCF7/BTCH7/BTCV6</v>
      </c>
      <c r="K256" s="8">
        <f>'MKT DATA'!O314</f>
        <v>0</v>
      </c>
      <c r="L256" s="8">
        <f>'MKT DATA'!P314</f>
        <v>82181</v>
      </c>
      <c r="M256" s="8">
        <f>'MKT DATA'!Q314</f>
        <v>0</v>
      </c>
      <c r="N256" s="8">
        <f>'MKT DATA'!R314</f>
        <v>0</v>
      </c>
      <c r="O256" s="8">
        <f>'MKT DATA'!S314</f>
        <v>-84899</v>
      </c>
      <c r="P256" s="8">
        <f>'MKT DATA'!T314</f>
        <v>0</v>
      </c>
      <c r="Q256" s="43" t="str">
        <f t="shared" si="11"/>
        <v>syn BTCZ6/BTCG7/BTCX6/BTCF7/BTCH7/BTCV6</v>
      </c>
      <c r="R256" s="13">
        <f>'MKT DATA'!AB314</f>
        <v>0</v>
      </c>
    </row>
    <row r="257" spans="5:18" x14ac:dyDescent="0.25">
      <c r="E257" s="43" t="str">
        <f>'MKT DATA'!B315</f>
        <v>syn BTCZ6/BTCG7/BTCX6/BTCH7/BTCF7/BTCV6</v>
      </c>
      <c r="F257" s="13">
        <f>'MKT DATA'!J315</f>
        <v>1</v>
      </c>
      <c r="G257" s="8">
        <f>'MKT DATA'!K315</f>
        <v>82171</v>
      </c>
      <c r="H257" s="8">
        <f>'MKT DATA'!L315</f>
        <v>84959</v>
      </c>
      <c r="I257" s="13">
        <f>'MKT DATA'!M315</f>
        <v>1</v>
      </c>
      <c r="J257" s="43" t="str">
        <f t="shared" si="10"/>
        <v>syn BTCZ6/BTCG7/BTCX6/BTCH7/BTCF7/BTCV6</v>
      </c>
      <c r="K257" s="8">
        <f>'MKT DATA'!O315</f>
        <v>0</v>
      </c>
      <c r="L257" s="8">
        <f>'MKT DATA'!P315</f>
        <v>82171</v>
      </c>
      <c r="M257" s="8">
        <f>'MKT DATA'!Q315</f>
        <v>0</v>
      </c>
      <c r="N257" s="8">
        <f>'MKT DATA'!R315</f>
        <v>0</v>
      </c>
      <c r="O257" s="8">
        <f>'MKT DATA'!S315</f>
        <v>-84959</v>
      </c>
      <c r="P257" s="8">
        <f>'MKT DATA'!T315</f>
        <v>0</v>
      </c>
      <c r="Q257" s="43" t="str">
        <f t="shared" si="11"/>
        <v>syn BTCZ6/BTCG7/BTCX6/BTCH7/BTCF7/BTCV6</v>
      </c>
      <c r="R257" s="13">
        <f>'MKT DATA'!AB315</f>
        <v>0</v>
      </c>
    </row>
    <row r="258" spans="5:18" x14ac:dyDescent="0.25">
      <c r="E258" s="43" t="str">
        <f>'MKT DATA'!B316</f>
        <v>syn BTCZ6/BTCG7/BTCF7/BTCX6/BTCH7/BTCV6</v>
      </c>
      <c r="F258" s="13">
        <f>'MKT DATA'!J316</f>
        <v>1</v>
      </c>
      <c r="G258" s="8">
        <f>'MKT DATA'!K316</f>
        <v>82386</v>
      </c>
      <c r="H258" s="8">
        <f>'MKT DATA'!L316</f>
        <v>84750</v>
      </c>
      <c r="I258" s="13">
        <f>'MKT DATA'!M316</f>
        <v>1</v>
      </c>
      <c r="J258" s="43" t="str">
        <f t="shared" si="10"/>
        <v>syn BTCZ6/BTCG7/BTCF7/BTCX6/BTCH7/BTCV6</v>
      </c>
      <c r="K258" s="8">
        <f>'MKT DATA'!O316</f>
        <v>0</v>
      </c>
      <c r="L258" s="8">
        <f>'MKT DATA'!P316</f>
        <v>82386</v>
      </c>
      <c r="M258" s="8">
        <f>'MKT DATA'!Q316</f>
        <v>0</v>
      </c>
      <c r="N258" s="8">
        <f>'MKT DATA'!R316</f>
        <v>0</v>
      </c>
      <c r="O258" s="8">
        <f>'MKT DATA'!S316</f>
        <v>-84750</v>
      </c>
      <c r="P258" s="8">
        <f>'MKT DATA'!T316</f>
        <v>0</v>
      </c>
      <c r="Q258" s="43" t="str">
        <f t="shared" si="11"/>
        <v>syn BTCZ6/BTCG7/BTCF7/BTCX6/BTCH7/BTCV6</v>
      </c>
      <c r="R258" s="13">
        <f>'MKT DATA'!AB316</f>
        <v>0</v>
      </c>
    </row>
    <row r="259" spans="5:18" x14ac:dyDescent="0.25">
      <c r="E259" s="43" t="str">
        <f>'MKT DATA'!B317</f>
        <v>syn BTCZ6/BTCG7/BTCF7/BTCH7/BTCX6/BTCV6</v>
      </c>
      <c r="F259" s="13">
        <f>'MKT DATA'!J317</f>
        <v>1</v>
      </c>
      <c r="G259" s="8">
        <f>'MKT DATA'!K317</f>
        <v>82354</v>
      </c>
      <c r="H259" s="8">
        <f>'MKT DATA'!L317</f>
        <v>84769</v>
      </c>
      <c r="I259" s="13">
        <f>'MKT DATA'!M317</f>
        <v>1</v>
      </c>
      <c r="J259" s="43" t="str">
        <f t="shared" si="10"/>
        <v>syn BTCZ6/BTCG7/BTCF7/BTCH7/BTCX6/BTCV6</v>
      </c>
      <c r="K259" s="8">
        <f>'MKT DATA'!O317</f>
        <v>0</v>
      </c>
      <c r="L259" s="8">
        <f>'MKT DATA'!P317</f>
        <v>82354</v>
      </c>
      <c r="M259" s="8">
        <f>'MKT DATA'!Q317</f>
        <v>0</v>
      </c>
      <c r="N259" s="8">
        <f>'MKT DATA'!R317</f>
        <v>0</v>
      </c>
      <c r="O259" s="8">
        <f>'MKT DATA'!S317</f>
        <v>-84769</v>
      </c>
      <c r="P259" s="8">
        <f>'MKT DATA'!T317</f>
        <v>0</v>
      </c>
      <c r="Q259" s="43" t="str">
        <f t="shared" si="11"/>
        <v>syn BTCZ6/BTCG7/BTCF7/BTCH7/BTCX6/BTCV6</v>
      </c>
      <c r="R259" s="13">
        <f>'MKT DATA'!AB317</f>
        <v>0</v>
      </c>
    </row>
    <row r="260" spans="5:18" x14ac:dyDescent="0.25">
      <c r="E260" s="43" t="str">
        <f>'MKT DATA'!B318</f>
        <v>syn BTCZ6/BTCG7/BTCH7/BTCX6/BTCF7/BTCV6</v>
      </c>
      <c r="F260" s="13">
        <f>'MKT DATA'!J318</f>
        <v>1</v>
      </c>
      <c r="G260" s="8">
        <f>'MKT DATA'!K318</f>
        <v>82617</v>
      </c>
      <c r="H260" s="8">
        <f>'MKT DATA'!L318</f>
        <v>84548</v>
      </c>
      <c r="I260" s="13">
        <f>'MKT DATA'!M318</f>
        <v>1</v>
      </c>
      <c r="J260" s="43" t="str">
        <f t="shared" si="10"/>
        <v>syn BTCZ6/BTCG7/BTCH7/BTCX6/BTCF7/BTCV6</v>
      </c>
      <c r="K260" s="8">
        <f>'MKT DATA'!O318</f>
        <v>0</v>
      </c>
      <c r="L260" s="8">
        <f>'MKT DATA'!P318</f>
        <v>82617</v>
      </c>
      <c r="M260" s="8">
        <f>'MKT DATA'!Q318</f>
        <v>0</v>
      </c>
      <c r="N260" s="8">
        <f>'MKT DATA'!R318</f>
        <v>0</v>
      </c>
      <c r="O260" s="8">
        <f>'MKT DATA'!S318</f>
        <v>-84548</v>
      </c>
      <c r="P260" s="8">
        <f>'MKT DATA'!T318</f>
        <v>0</v>
      </c>
      <c r="Q260" s="43" t="str">
        <f t="shared" si="11"/>
        <v>syn BTCZ6/BTCG7/BTCH7/BTCX6/BTCF7/BTCV6</v>
      </c>
      <c r="R260" s="13">
        <f>'MKT DATA'!AB318</f>
        <v>0</v>
      </c>
    </row>
    <row r="261" spans="5:18" x14ac:dyDescent="0.25">
      <c r="E261" s="43" t="str">
        <f>'MKT DATA'!B319</f>
        <v>syn BTCZ6/BTCG7/BTCH7/BTCF7/BTCX6/BTCV6</v>
      </c>
      <c r="F261" s="13">
        <f>'MKT DATA'!J319</f>
        <v>1</v>
      </c>
      <c r="G261" s="8">
        <f>'MKT DATA'!K319</f>
        <v>82635</v>
      </c>
      <c r="H261" s="8">
        <f>'MKT DATA'!L319</f>
        <v>84547</v>
      </c>
      <c r="I261" s="13">
        <f>'MKT DATA'!M319</f>
        <v>1</v>
      </c>
      <c r="J261" s="43" t="str">
        <f t="shared" si="10"/>
        <v>syn BTCZ6/BTCG7/BTCH7/BTCF7/BTCX6/BTCV6</v>
      </c>
      <c r="K261" s="8">
        <f>'MKT DATA'!O319</f>
        <v>0</v>
      </c>
      <c r="L261" s="8">
        <f>'MKT DATA'!P319</f>
        <v>82635</v>
      </c>
      <c r="M261" s="8">
        <f>'MKT DATA'!Q319</f>
        <v>0</v>
      </c>
      <c r="N261" s="8">
        <f>'MKT DATA'!R319</f>
        <v>0</v>
      </c>
      <c r="O261" s="8">
        <f>'MKT DATA'!S319</f>
        <v>-84547</v>
      </c>
      <c r="P261" s="8">
        <f>'MKT DATA'!T319</f>
        <v>0</v>
      </c>
      <c r="Q261" s="43" t="str">
        <f t="shared" si="11"/>
        <v>syn BTCZ6/BTCG7/BTCH7/BTCF7/BTCX6/BTCV6</v>
      </c>
      <c r="R261" s="13">
        <f>'MKT DATA'!AB319</f>
        <v>0</v>
      </c>
    </row>
    <row r="262" spans="5:18" x14ac:dyDescent="0.25">
      <c r="E262" s="43" t="str">
        <f>'MKT DATA'!B320</f>
        <v>syn BTCZ6/BTCH7/BTCX6/BTCF7/BTCG7/BTCV6</v>
      </c>
      <c r="F262" s="13">
        <f>'MKT DATA'!J320</f>
        <v>1</v>
      </c>
      <c r="G262" s="8">
        <f>'MKT DATA'!K320</f>
        <v>82560</v>
      </c>
      <c r="H262" s="8">
        <f>'MKT DATA'!L320</f>
        <v>84684</v>
      </c>
      <c r="I262" s="13">
        <f>'MKT DATA'!M320</f>
        <v>1</v>
      </c>
      <c r="J262" s="43" t="str">
        <f t="shared" si="10"/>
        <v>syn BTCZ6/BTCH7/BTCX6/BTCF7/BTCG7/BTCV6</v>
      </c>
      <c r="K262" s="8">
        <f>'MKT DATA'!O320</f>
        <v>0</v>
      </c>
      <c r="L262" s="8">
        <f>'MKT DATA'!P320</f>
        <v>82560</v>
      </c>
      <c r="M262" s="8">
        <f>'MKT DATA'!Q320</f>
        <v>0</v>
      </c>
      <c r="N262" s="8">
        <f>'MKT DATA'!R320</f>
        <v>0</v>
      </c>
      <c r="O262" s="8">
        <f>'MKT DATA'!S320</f>
        <v>-84684</v>
      </c>
      <c r="P262" s="8">
        <f>'MKT DATA'!T320</f>
        <v>0</v>
      </c>
      <c r="Q262" s="43" t="str">
        <f t="shared" si="11"/>
        <v>syn BTCZ6/BTCH7/BTCX6/BTCF7/BTCG7/BTCV6</v>
      </c>
      <c r="R262" s="13">
        <f>'MKT DATA'!AB320</f>
        <v>0</v>
      </c>
    </row>
    <row r="263" spans="5:18" x14ac:dyDescent="0.25">
      <c r="E263" s="43" t="str">
        <f>'MKT DATA'!B321</f>
        <v>syn BTCZ6/BTCH7/BTCX6/BTCG7/BTCF7/BTCV6</v>
      </c>
      <c r="F263" s="13">
        <f>'MKT DATA'!J321</f>
        <v>1</v>
      </c>
      <c r="G263" s="8">
        <f>'MKT DATA'!K321</f>
        <v>82566</v>
      </c>
      <c r="H263" s="8">
        <f>'MKT DATA'!L321</f>
        <v>84760</v>
      </c>
      <c r="I263" s="13">
        <f>'MKT DATA'!M321</f>
        <v>1</v>
      </c>
      <c r="J263" s="43" t="str">
        <f t="shared" si="10"/>
        <v>syn BTCZ6/BTCH7/BTCX6/BTCG7/BTCF7/BTCV6</v>
      </c>
      <c r="K263" s="8">
        <f>'MKT DATA'!O321</f>
        <v>0</v>
      </c>
      <c r="L263" s="8">
        <f>'MKT DATA'!P321</f>
        <v>82566</v>
      </c>
      <c r="M263" s="8">
        <f>'MKT DATA'!Q321</f>
        <v>0</v>
      </c>
      <c r="N263" s="8">
        <f>'MKT DATA'!R321</f>
        <v>0</v>
      </c>
      <c r="O263" s="8">
        <f>'MKT DATA'!S321</f>
        <v>-84760</v>
      </c>
      <c r="P263" s="8">
        <f>'MKT DATA'!T321</f>
        <v>0</v>
      </c>
      <c r="Q263" s="43" t="str">
        <f t="shared" si="11"/>
        <v>syn BTCZ6/BTCH7/BTCX6/BTCG7/BTCF7/BTCV6</v>
      </c>
      <c r="R263" s="13">
        <f>'MKT DATA'!AB321</f>
        <v>0</v>
      </c>
    </row>
    <row r="264" spans="5:18" x14ac:dyDescent="0.25">
      <c r="E264" s="43" t="str">
        <f>'MKT DATA'!B322</f>
        <v>syn BTCZ6/BTCH7/BTCF7/BTCX6/BTCG7/BTCV6</v>
      </c>
      <c r="F264" s="13">
        <f>'MKT DATA'!J322</f>
        <v>1</v>
      </c>
      <c r="G264" s="8">
        <f>'MKT DATA'!K322</f>
        <v>82411</v>
      </c>
      <c r="H264" s="8">
        <f>'MKT DATA'!L322</f>
        <v>84889</v>
      </c>
      <c r="I264" s="13">
        <f>'MKT DATA'!M322</f>
        <v>1</v>
      </c>
      <c r="J264" s="43" t="str">
        <f t="shared" si="10"/>
        <v>syn BTCZ6/BTCH7/BTCF7/BTCX6/BTCG7/BTCV6</v>
      </c>
      <c r="K264" s="8">
        <f>'MKT DATA'!O322</f>
        <v>0</v>
      </c>
      <c r="L264" s="8">
        <f>'MKT DATA'!P322</f>
        <v>82411</v>
      </c>
      <c r="M264" s="8">
        <f>'MKT DATA'!Q322</f>
        <v>0</v>
      </c>
      <c r="N264" s="8">
        <f>'MKT DATA'!R322</f>
        <v>0</v>
      </c>
      <c r="O264" s="8">
        <f>'MKT DATA'!S322</f>
        <v>-84889</v>
      </c>
      <c r="P264" s="8">
        <f>'MKT DATA'!T322</f>
        <v>0</v>
      </c>
      <c r="Q264" s="43" t="str">
        <f t="shared" si="11"/>
        <v>syn BTCZ6/BTCH7/BTCF7/BTCX6/BTCG7/BTCV6</v>
      </c>
      <c r="R264" s="13">
        <f>'MKT DATA'!AB322</f>
        <v>0</v>
      </c>
    </row>
    <row r="265" spans="5:18" x14ac:dyDescent="0.25">
      <c r="E265" s="43" t="str">
        <f>'MKT DATA'!B323</f>
        <v>syn BTCZ6/BTCH7/BTCF7/BTCG7/BTCX6/BTCV6</v>
      </c>
      <c r="F265" s="13">
        <f>'MKT DATA'!J323</f>
        <v>1</v>
      </c>
      <c r="G265" s="8">
        <f>'MKT DATA'!K323</f>
        <v>82548</v>
      </c>
      <c r="H265" s="8">
        <f>'MKT DATA'!L323</f>
        <v>84723</v>
      </c>
      <c r="I265" s="13">
        <f>'MKT DATA'!M323</f>
        <v>1</v>
      </c>
      <c r="J265" s="43" t="str">
        <f t="shared" si="10"/>
        <v>syn BTCZ6/BTCH7/BTCF7/BTCG7/BTCX6/BTCV6</v>
      </c>
      <c r="K265" s="8">
        <f>'MKT DATA'!O323</f>
        <v>0</v>
      </c>
      <c r="L265" s="8">
        <f>'MKT DATA'!P323</f>
        <v>82548</v>
      </c>
      <c r="M265" s="8">
        <f>'MKT DATA'!Q323</f>
        <v>0</v>
      </c>
      <c r="N265" s="8">
        <f>'MKT DATA'!R323</f>
        <v>0</v>
      </c>
      <c r="O265" s="8">
        <f>'MKT DATA'!S323</f>
        <v>-84723</v>
      </c>
      <c r="P265" s="8">
        <f>'MKT DATA'!T323</f>
        <v>0</v>
      </c>
      <c r="Q265" s="43" t="str">
        <f t="shared" si="11"/>
        <v>syn BTCZ6/BTCH7/BTCF7/BTCG7/BTCX6/BTCV6</v>
      </c>
      <c r="R265" s="13">
        <f>'MKT DATA'!AB323</f>
        <v>0</v>
      </c>
    </row>
    <row r="266" spans="5:18" x14ac:dyDescent="0.25">
      <c r="E266" s="43" t="str">
        <f>'MKT DATA'!B324</f>
        <v>syn BTCZ6/BTCH7/BTCG7/BTCX6/BTCF7/BTCV6</v>
      </c>
      <c r="F266" s="13">
        <f>'MKT DATA'!J324</f>
        <v>1</v>
      </c>
      <c r="G266" s="8">
        <f>'MKT DATA'!K324</f>
        <v>82772</v>
      </c>
      <c r="H266" s="8">
        <f>'MKT DATA'!L324</f>
        <v>84463</v>
      </c>
      <c r="I266" s="13">
        <f>'MKT DATA'!M324</f>
        <v>1</v>
      </c>
      <c r="J266" s="43" t="str">
        <f t="shared" si="10"/>
        <v>syn BTCZ6/BTCH7/BTCG7/BTCX6/BTCF7/BTCV6</v>
      </c>
      <c r="K266" s="8">
        <f>'MKT DATA'!O324</f>
        <v>0</v>
      </c>
      <c r="L266" s="8">
        <f>'MKT DATA'!P324</f>
        <v>82772</v>
      </c>
      <c r="M266" s="8">
        <f>'MKT DATA'!Q324</f>
        <v>0</v>
      </c>
      <c r="N266" s="8">
        <f>'MKT DATA'!R324</f>
        <v>0</v>
      </c>
      <c r="O266" s="8">
        <f>'MKT DATA'!S324</f>
        <v>-84463</v>
      </c>
      <c r="P266" s="8">
        <f>'MKT DATA'!T324</f>
        <v>0</v>
      </c>
      <c r="Q266" s="43" t="str">
        <f t="shared" si="11"/>
        <v>syn BTCZ6/BTCH7/BTCG7/BTCX6/BTCF7/BTCV6</v>
      </c>
      <c r="R266" s="13">
        <f>'MKT DATA'!AB324</f>
        <v>0</v>
      </c>
    </row>
    <row r="267" spans="5:18" x14ac:dyDescent="0.25">
      <c r="E267" s="43" t="str">
        <f>'MKT DATA'!B325</f>
        <v>syn BTCZ6/BTCH7/BTCG7/BTCF7/BTCX6/BTCV6</v>
      </c>
      <c r="F267" s="13">
        <f>'MKT DATA'!J325</f>
        <v>1</v>
      </c>
      <c r="G267" s="8">
        <f>'MKT DATA'!K325</f>
        <v>82975</v>
      </c>
      <c r="H267" s="8">
        <f>'MKT DATA'!L325</f>
        <v>84293</v>
      </c>
      <c r="I267" s="13">
        <f>'MKT DATA'!M325</f>
        <v>1</v>
      </c>
      <c r="J267" s="43" t="str">
        <f t="shared" si="10"/>
        <v>syn BTCZ6/BTCH7/BTCG7/BTCF7/BTCX6/BTCV6</v>
      </c>
      <c r="K267" s="8">
        <f>'MKT DATA'!O325</f>
        <v>0</v>
      </c>
      <c r="L267" s="8">
        <f>'MKT DATA'!P325</f>
        <v>82975</v>
      </c>
      <c r="M267" s="8">
        <f>'MKT DATA'!Q325</f>
        <v>0</v>
      </c>
      <c r="N267" s="8">
        <f>'MKT DATA'!R325</f>
        <v>0</v>
      </c>
      <c r="O267" s="8">
        <f>'MKT DATA'!S325</f>
        <v>-84293</v>
      </c>
      <c r="P267" s="8">
        <f>'MKT DATA'!T325</f>
        <v>0</v>
      </c>
      <c r="Q267" s="43" t="str">
        <f t="shared" si="11"/>
        <v>syn BTCZ6/BTCH7/BTCG7/BTCF7/BTCX6/BTCV6</v>
      </c>
      <c r="R267" s="13">
        <f>'MKT DATA'!AB325</f>
        <v>0</v>
      </c>
    </row>
    <row r="268" spans="5:18" x14ac:dyDescent="0.25">
      <c r="E268" s="43" t="str">
        <f>'MKT DATA'!B326</f>
        <v>syn BTCF7/BTCX6/BTCZ6/BTCG7/BTCH7/BTCV6</v>
      </c>
      <c r="F268" s="13">
        <f>'MKT DATA'!J326</f>
        <v>1</v>
      </c>
      <c r="G268" s="8">
        <f>'MKT DATA'!K326</f>
        <v>82665</v>
      </c>
      <c r="H268" s="8">
        <f>'MKT DATA'!L326</f>
        <v>84525</v>
      </c>
      <c r="I268" s="13">
        <f>'MKT DATA'!M326</f>
        <v>1</v>
      </c>
      <c r="J268" s="43" t="str">
        <f t="shared" si="10"/>
        <v>syn BTCF7/BTCX6/BTCZ6/BTCG7/BTCH7/BTCV6</v>
      </c>
      <c r="K268" s="8">
        <f>'MKT DATA'!O326</f>
        <v>0</v>
      </c>
      <c r="L268" s="8">
        <f>'MKT DATA'!P326</f>
        <v>82665</v>
      </c>
      <c r="M268" s="8">
        <f>'MKT DATA'!Q326</f>
        <v>0</v>
      </c>
      <c r="N268" s="8">
        <f>'MKT DATA'!R326</f>
        <v>0</v>
      </c>
      <c r="O268" s="8">
        <f>'MKT DATA'!S326</f>
        <v>-84525</v>
      </c>
      <c r="P268" s="8">
        <f>'MKT DATA'!T326</f>
        <v>0</v>
      </c>
      <c r="Q268" s="43" t="str">
        <f t="shared" si="11"/>
        <v>syn BTCF7/BTCX6/BTCZ6/BTCG7/BTCH7/BTCV6</v>
      </c>
      <c r="R268" s="13">
        <f>'MKT DATA'!AB326</f>
        <v>0</v>
      </c>
    </row>
    <row r="269" spans="5:18" x14ac:dyDescent="0.25">
      <c r="E269" s="43" t="str">
        <f>'MKT DATA'!B327</f>
        <v>syn BTCF7/BTCX6/BTCZ6/BTCH7/BTCG7/BTCV6</v>
      </c>
      <c r="F269" s="13">
        <f>'MKT DATA'!J327</f>
        <v>1</v>
      </c>
      <c r="G269" s="8">
        <f>'MKT DATA'!K327</f>
        <v>82820</v>
      </c>
      <c r="H269" s="8">
        <f>'MKT DATA'!L327</f>
        <v>84440</v>
      </c>
      <c r="I269" s="13">
        <f>'MKT DATA'!M327</f>
        <v>1</v>
      </c>
      <c r="J269" s="43" t="str">
        <f t="shared" si="10"/>
        <v>syn BTCF7/BTCX6/BTCZ6/BTCH7/BTCG7/BTCV6</v>
      </c>
      <c r="K269" s="8">
        <f>'MKT DATA'!O327</f>
        <v>0</v>
      </c>
      <c r="L269" s="8">
        <f>'MKT DATA'!P327</f>
        <v>82820</v>
      </c>
      <c r="M269" s="8">
        <f>'MKT DATA'!Q327</f>
        <v>0</v>
      </c>
      <c r="N269" s="8">
        <f>'MKT DATA'!R327</f>
        <v>0</v>
      </c>
      <c r="O269" s="8">
        <f>'MKT DATA'!S327</f>
        <v>-84440</v>
      </c>
      <c r="P269" s="8">
        <f>'MKT DATA'!T327</f>
        <v>0</v>
      </c>
      <c r="Q269" s="43" t="str">
        <f t="shared" si="11"/>
        <v>syn BTCF7/BTCX6/BTCZ6/BTCH7/BTCG7/BTCV6</v>
      </c>
      <c r="R269" s="13">
        <f>'MKT DATA'!AB327</f>
        <v>0</v>
      </c>
    </row>
    <row r="270" spans="5:18" x14ac:dyDescent="0.25">
      <c r="E270" s="43" t="str">
        <f>'MKT DATA'!B328</f>
        <v>syn BTCF7/BTCX6/BTCG7/BTCZ6/BTCH7/BTCV6</v>
      </c>
      <c r="F270" s="13">
        <f>'MKT DATA'!J328</f>
        <v>1</v>
      </c>
      <c r="G270" s="8">
        <f>'MKT DATA'!K328</f>
        <v>82411</v>
      </c>
      <c r="H270" s="8">
        <f>'MKT DATA'!L328</f>
        <v>84889</v>
      </c>
      <c r="I270" s="13">
        <f>'MKT DATA'!M328</f>
        <v>1</v>
      </c>
      <c r="J270" s="43" t="str">
        <f t="shared" si="10"/>
        <v>syn BTCF7/BTCX6/BTCG7/BTCZ6/BTCH7/BTCV6</v>
      </c>
      <c r="K270" s="8">
        <f>'MKT DATA'!O328</f>
        <v>0</v>
      </c>
      <c r="L270" s="8">
        <f>'MKT DATA'!P328</f>
        <v>82411</v>
      </c>
      <c r="M270" s="8">
        <f>'MKT DATA'!Q328</f>
        <v>0</v>
      </c>
      <c r="N270" s="8">
        <f>'MKT DATA'!R328</f>
        <v>0</v>
      </c>
      <c r="O270" s="8">
        <f>'MKT DATA'!S328</f>
        <v>-84889</v>
      </c>
      <c r="P270" s="8">
        <f>'MKT DATA'!T328</f>
        <v>0</v>
      </c>
      <c r="Q270" s="43" t="str">
        <f t="shared" si="11"/>
        <v>syn BTCF7/BTCX6/BTCG7/BTCZ6/BTCH7/BTCV6</v>
      </c>
      <c r="R270" s="13">
        <f>'MKT DATA'!AB328</f>
        <v>0</v>
      </c>
    </row>
    <row r="271" spans="5:18" x14ac:dyDescent="0.25">
      <c r="E271" s="43" t="str">
        <f>'MKT DATA'!B329</f>
        <v>syn BTCF7/BTCX6/BTCG7/BTCH7/BTCZ6/BTCV6</v>
      </c>
      <c r="F271" s="13">
        <f>'MKT DATA'!J329</f>
        <v>1</v>
      </c>
      <c r="G271" s="8">
        <f>'MKT DATA'!K329</f>
        <v>82664</v>
      </c>
      <c r="H271" s="8">
        <f>'MKT DATA'!L329</f>
        <v>84323</v>
      </c>
      <c r="I271" s="13">
        <f>'MKT DATA'!M329</f>
        <v>1</v>
      </c>
      <c r="J271" s="43" t="str">
        <f t="shared" si="10"/>
        <v>syn BTCF7/BTCX6/BTCG7/BTCH7/BTCZ6/BTCV6</v>
      </c>
      <c r="K271" s="8">
        <f>'MKT DATA'!O329</f>
        <v>0</v>
      </c>
      <c r="L271" s="8">
        <f>'MKT DATA'!P329</f>
        <v>82664</v>
      </c>
      <c r="M271" s="8">
        <f>'MKT DATA'!Q329</f>
        <v>0</v>
      </c>
      <c r="N271" s="8">
        <f>'MKT DATA'!R329</f>
        <v>0</v>
      </c>
      <c r="O271" s="8">
        <f>'MKT DATA'!S329</f>
        <v>-84323</v>
      </c>
      <c r="P271" s="8">
        <f>'MKT DATA'!T329</f>
        <v>0</v>
      </c>
      <c r="Q271" s="43" t="str">
        <f t="shared" si="11"/>
        <v>syn BTCF7/BTCX6/BTCG7/BTCH7/BTCZ6/BTCV6</v>
      </c>
      <c r="R271" s="13">
        <f>'MKT DATA'!AB329</f>
        <v>0</v>
      </c>
    </row>
    <row r="272" spans="5:18" x14ac:dyDescent="0.25">
      <c r="E272" s="43" t="str">
        <f>'MKT DATA'!B330</f>
        <v>syn BTCF7/BTCX6/BTCH7/BTCZ6/BTCG7/BTCV6</v>
      </c>
      <c r="F272" s="13">
        <f>'MKT DATA'!J330</f>
        <v>1</v>
      </c>
      <c r="G272" s="8">
        <f>'MKT DATA'!K330</f>
        <v>82231</v>
      </c>
      <c r="H272" s="8">
        <f>'MKT DATA'!L330</f>
        <v>84709</v>
      </c>
      <c r="I272" s="13">
        <f>'MKT DATA'!M330</f>
        <v>1</v>
      </c>
      <c r="J272" s="43" t="str">
        <f t="shared" si="10"/>
        <v>syn BTCF7/BTCX6/BTCH7/BTCZ6/BTCG7/BTCV6</v>
      </c>
      <c r="K272" s="8">
        <f>'MKT DATA'!O330</f>
        <v>0</v>
      </c>
      <c r="L272" s="8">
        <f>'MKT DATA'!P330</f>
        <v>82231</v>
      </c>
      <c r="M272" s="8">
        <f>'MKT DATA'!Q330</f>
        <v>0</v>
      </c>
      <c r="N272" s="8">
        <f>'MKT DATA'!R330</f>
        <v>0</v>
      </c>
      <c r="O272" s="8">
        <f>'MKT DATA'!S330</f>
        <v>-84709</v>
      </c>
      <c r="P272" s="8">
        <f>'MKT DATA'!T330</f>
        <v>0</v>
      </c>
      <c r="Q272" s="43" t="str">
        <f t="shared" si="11"/>
        <v>syn BTCF7/BTCX6/BTCH7/BTCZ6/BTCG7/BTCV6</v>
      </c>
      <c r="R272" s="13">
        <f>'MKT DATA'!AB330</f>
        <v>0</v>
      </c>
    </row>
    <row r="273" spans="5:18" x14ac:dyDescent="0.25">
      <c r="E273" s="43" t="str">
        <f>'MKT DATA'!B331</f>
        <v>syn BTCF7/BTCX6/BTCH7/BTCG7/BTCZ6/BTCV6</v>
      </c>
      <c r="F273" s="13">
        <f>'MKT DATA'!J331</f>
        <v>1</v>
      </c>
      <c r="G273" s="8">
        <f>'MKT DATA'!K331</f>
        <v>82579</v>
      </c>
      <c r="H273" s="8">
        <f>'MKT DATA'!L331</f>
        <v>84478</v>
      </c>
      <c r="I273" s="13">
        <f>'MKT DATA'!M331</f>
        <v>1</v>
      </c>
      <c r="J273" s="43" t="str">
        <f t="shared" ref="J273:J333" si="12">E273</f>
        <v>syn BTCF7/BTCX6/BTCH7/BTCG7/BTCZ6/BTCV6</v>
      </c>
      <c r="K273" s="8">
        <f>'MKT DATA'!O331</f>
        <v>0</v>
      </c>
      <c r="L273" s="8">
        <f>'MKT DATA'!P331</f>
        <v>82579</v>
      </c>
      <c r="M273" s="8">
        <f>'MKT DATA'!Q331</f>
        <v>0</v>
      </c>
      <c r="N273" s="8">
        <f>'MKT DATA'!R331</f>
        <v>0</v>
      </c>
      <c r="O273" s="8">
        <f>'MKT DATA'!S331</f>
        <v>-84478</v>
      </c>
      <c r="P273" s="8">
        <f>'MKT DATA'!T331</f>
        <v>0</v>
      </c>
      <c r="Q273" s="43" t="str">
        <f t="shared" ref="Q273:Q333" si="13">J273</f>
        <v>syn BTCF7/BTCX6/BTCH7/BTCG7/BTCZ6/BTCV6</v>
      </c>
      <c r="R273" s="13">
        <f>'MKT DATA'!AB331</f>
        <v>0</v>
      </c>
    </row>
    <row r="274" spans="5:18" x14ac:dyDescent="0.25">
      <c r="E274" s="43" t="str">
        <f>'MKT DATA'!B332</f>
        <v>syn BTCF7/BTCZ6/BTCX6/BTCG7/BTCH7/BTCV6</v>
      </c>
      <c r="F274" s="13">
        <f>'MKT DATA'!J332</f>
        <v>1</v>
      </c>
      <c r="G274" s="8">
        <f>'MKT DATA'!K332</f>
        <v>82700</v>
      </c>
      <c r="H274" s="8">
        <f>'MKT DATA'!L332</f>
        <v>84444</v>
      </c>
      <c r="I274" s="13">
        <f>'MKT DATA'!M332</f>
        <v>1</v>
      </c>
      <c r="J274" s="43" t="str">
        <f t="shared" si="12"/>
        <v>syn BTCF7/BTCZ6/BTCX6/BTCG7/BTCH7/BTCV6</v>
      </c>
      <c r="K274" s="8">
        <f>'MKT DATA'!O332</f>
        <v>0</v>
      </c>
      <c r="L274" s="8">
        <f>'MKT DATA'!P332</f>
        <v>82700</v>
      </c>
      <c r="M274" s="8">
        <f>'MKT DATA'!Q332</f>
        <v>0</v>
      </c>
      <c r="N274" s="8">
        <f>'MKT DATA'!R332</f>
        <v>0</v>
      </c>
      <c r="O274" s="8">
        <f>'MKT DATA'!S332</f>
        <v>-84444</v>
      </c>
      <c r="P274" s="8">
        <f>'MKT DATA'!T332</f>
        <v>0</v>
      </c>
      <c r="Q274" s="43" t="str">
        <f t="shared" si="13"/>
        <v>syn BTCF7/BTCZ6/BTCX6/BTCG7/BTCH7/BTCV6</v>
      </c>
      <c r="R274" s="13">
        <f>'MKT DATA'!AB332</f>
        <v>0</v>
      </c>
    </row>
    <row r="275" spans="5:18" x14ac:dyDescent="0.25">
      <c r="E275" s="43" t="str">
        <f>'MKT DATA'!B333</f>
        <v>syn BTCF7/BTCZ6/BTCX6/BTCH7/BTCG7/BTCV6</v>
      </c>
      <c r="F275" s="13">
        <f>'MKT DATA'!J333</f>
        <v>1</v>
      </c>
      <c r="G275" s="8">
        <f>'MKT DATA'!K333</f>
        <v>82645</v>
      </c>
      <c r="H275" s="8">
        <f>'MKT DATA'!L333</f>
        <v>84389</v>
      </c>
      <c r="I275" s="13">
        <f>'MKT DATA'!M333</f>
        <v>1</v>
      </c>
      <c r="J275" s="43" t="str">
        <f t="shared" si="12"/>
        <v>syn BTCF7/BTCZ6/BTCX6/BTCH7/BTCG7/BTCV6</v>
      </c>
      <c r="K275" s="8">
        <f>'MKT DATA'!O333</f>
        <v>0</v>
      </c>
      <c r="L275" s="8">
        <f>'MKT DATA'!P333</f>
        <v>82645</v>
      </c>
      <c r="M275" s="8">
        <f>'MKT DATA'!Q333</f>
        <v>0</v>
      </c>
      <c r="N275" s="8">
        <f>'MKT DATA'!R333</f>
        <v>0</v>
      </c>
      <c r="O275" s="8">
        <f>'MKT DATA'!S333</f>
        <v>-84389</v>
      </c>
      <c r="P275" s="8">
        <f>'MKT DATA'!T333</f>
        <v>0</v>
      </c>
      <c r="Q275" s="43" t="str">
        <f t="shared" si="13"/>
        <v>syn BTCF7/BTCZ6/BTCX6/BTCH7/BTCG7/BTCV6</v>
      </c>
      <c r="R275" s="13">
        <f>'MKT DATA'!AB333</f>
        <v>0</v>
      </c>
    </row>
    <row r="276" spans="5:18" x14ac:dyDescent="0.25">
      <c r="E276" s="43" t="str">
        <f>'MKT DATA'!B334</f>
        <v>syn BTCF7/BTCZ6/BTCG7/BTCX6/BTCH7/BTCV6</v>
      </c>
      <c r="F276" s="13">
        <f>'MKT DATA'!J334</f>
        <v>1</v>
      </c>
      <c r="G276" s="8">
        <f>'MKT DATA'!K334</f>
        <v>82251</v>
      </c>
      <c r="H276" s="8">
        <f>'MKT DATA'!L334</f>
        <v>84853</v>
      </c>
      <c r="I276" s="13">
        <f>'MKT DATA'!M334</f>
        <v>1</v>
      </c>
      <c r="J276" s="43" t="str">
        <f t="shared" si="12"/>
        <v>syn BTCF7/BTCZ6/BTCG7/BTCX6/BTCH7/BTCV6</v>
      </c>
      <c r="K276" s="8">
        <f>'MKT DATA'!O334</f>
        <v>0</v>
      </c>
      <c r="L276" s="8">
        <f>'MKT DATA'!P334</f>
        <v>82251</v>
      </c>
      <c r="M276" s="8">
        <f>'MKT DATA'!Q334</f>
        <v>0</v>
      </c>
      <c r="N276" s="8">
        <f>'MKT DATA'!R334</f>
        <v>0</v>
      </c>
      <c r="O276" s="8">
        <f>'MKT DATA'!S334</f>
        <v>-84853</v>
      </c>
      <c r="P276" s="8">
        <f>'MKT DATA'!T334</f>
        <v>0</v>
      </c>
      <c r="Q276" s="43" t="str">
        <f t="shared" si="13"/>
        <v>syn BTCF7/BTCZ6/BTCG7/BTCX6/BTCH7/BTCV6</v>
      </c>
      <c r="R276" s="13">
        <f>'MKT DATA'!AB334</f>
        <v>0</v>
      </c>
    </row>
    <row r="277" spans="5:18" x14ac:dyDescent="0.25">
      <c r="E277" s="43" t="str">
        <f>'MKT DATA'!B335</f>
        <v>syn BTCF7/BTCZ6/BTCG7/BTCH7/BTCX6/BTCV6</v>
      </c>
      <c r="F277" s="13">
        <f>'MKT DATA'!J335</f>
        <v>1</v>
      </c>
      <c r="G277" s="8">
        <f>'MKT DATA'!K335</f>
        <v>82685</v>
      </c>
      <c r="H277" s="8">
        <f>'MKT DATA'!L335</f>
        <v>84481</v>
      </c>
      <c r="I277" s="13">
        <f>'MKT DATA'!M335</f>
        <v>1</v>
      </c>
      <c r="J277" s="43" t="str">
        <f t="shared" si="12"/>
        <v>syn BTCF7/BTCZ6/BTCG7/BTCH7/BTCX6/BTCV6</v>
      </c>
      <c r="K277" s="8">
        <f>'MKT DATA'!O335</f>
        <v>0</v>
      </c>
      <c r="L277" s="8">
        <f>'MKT DATA'!P335</f>
        <v>82685</v>
      </c>
      <c r="M277" s="8">
        <f>'MKT DATA'!Q335</f>
        <v>0</v>
      </c>
      <c r="N277" s="8">
        <f>'MKT DATA'!R335</f>
        <v>0</v>
      </c>
      <c r="O277" s="8">
        <f>'MKT DATA'!S335</f>
        <v>-84481</v>
      </c>
      <c r="P277" s="8">
        <f>'MKT DATA'!T335</f>
        <v>0</v>
      </c>
      <c r="Q277" s="43" t="str">
        <f t="shared" si="13"/>
        <v>syn BTCF7/BTCZ6/BTCG7/BTCH7/BTCX6/BTCV6</v>
      </c>
      <c r="R277" s="13">
        <f>'MKT DATA'!AB335</f>
        <v>0</v>
      </c>
    </row>
    <row r="278" spans="5:18" x14ac:dyDescent="0.25">
      <c r="E278" s="43" t="str">
        <f>'MKT DATA'!B336</f>
        <v>syn BTCF7/BTCZ6/BTCH7/BTCX6/BTCG7/BTCV6</v>
      </c>
      <c r="F278" s="13">
        <f>'MKT DATA'!J336</f>
        <v>1</v>
      </c>
      <c r="G278" s="8">
        <f>'MKT DATA'!K336</f>
        <v>82461</v>
      </c>
      <c r="H278" s="8">
        <f>'MKT DATA'!L336</f>
        <v>84823</v>
      </c>
      <c r="I278" s="13">
        <f>'MKT DATA'!M336</f>
        <v>1</v>
      </c>
      <c r="J278" s="43" t="str">
        <f t="shared" si="12"/>
        <v>syn BTCF7/BTCZ6/BTCH7/BTCX6/BTCG7/BTCV6</v>
      </c>
      <c r="K278" s="8">
        <f>'MKT DATA'!O336</f>
        <v>0</v>
      </c>
      <c r="L278" s="8">
        <f>'MKT DATA'!P336</f>
        <v>82461</v>
      </c>
      <c r="M278" s="8">
        <f>'MKT DATA'!Q336</f>
        <v>0</v>
      </c>
      <c r="N278" s="8">
        <f>'MKT DATA'!R336</f>
        <v>0</v>
      </c>
      <c r="O278" s="8">
        <f>'MKT DATA'!S336</f>
        <v>-84823</v>
      </c>
      <c r="P278" s="8">
        <f>'MKT DATA'!T336</f>
        <v>0</v>
      </c>
      <c r="Q278" s="43" t="str">
        <f t="shared" si="13"/>
        <v>syn BTCF7/BTCZ6/BTCH7/BTCX6/BTCG7/BTCV6</v>
      </c>
      <c r="R278" s="13">
        <f>'MKT DATA'!AB336</f>
        <v>0</v>
      </c>
    </row>
    <row r="279" spans="5:18" x14ac:dyDescent="0.25">
      <c r="E279" s="43" t="str">
        <f>'MKT DATA'!B337</f>
        <v>syn BTCF7/BTCZ6/BTCH7/BTCG7/BTCX6/BTCV6</v>
      </c>
      <c r="F279" s="13">
        <f>'MKT DATA'!J337</f>
        <v>1</v>
      </c>
      <c r="G279" s="8">
        <f>'MKT DATA'!K337</f>
        <v>82840</v>
      </c>
      <c r="H279" s="8">
        <f>'MKT DATA'!L337</f>
        <v>84396</v>
      </c>
      <c r="I279" s="13">
        <f>'MKT DATA'!M337</f>
        <v>1</v>
      </c>
      <c r="J279" s="43" t="str">
        <f t="shared" si="12"/>
        <v>syn BTCF7/BTCZ6/BTCH7/BTCG7/BTCX6/BTCV6</v>
      </c>
      <c r="K279" s="8">
        <f>'MKT DATA'!O337</f>
        <v>0</v>
      </c>
      <c r="L279" s="8">
        <f>'MKT DATA'!P337</f>
        <v>82840</v>
      </c>
      <c r="M279" s="8">
        <f>'MKT DATA'!Q337</f>
        <v>0</v>
      </c>
      <c r="N279" s="8">
        <f>'MKT DATA'!R337</f>
        <v>0</v>
      </c>
      <c r="O279" s="8">
        <f>'MKT DATA'!S337</f>
        <v>-84396</v>
      </c>
      <c r="P279" s="8">
        <f>'MKT DATA'!T337</f>
        <v>0</v>
      </c>
      <c r="Q279" s="43" t="str">
        <f t="shared" si="13"/>
        <v>syn BTCF7/BTCZ6/BTCH7/BTCG7/BTCX6/BTCV6</v>
      </c>
      <c r="R279" s="13">
        <f>'MKT DATA'!AB337</f>
        <v>0</v>
      </c>
    </row>
    <row r="280" spans="5:18" x14ac:dyDescent="0.25">
      <c r="E280" s="43" t="str">
        <f>'MKT DATA'!B338</f>
        <v>syn BTCF7/BTCG7/BTCX6/BTCZ6/BTCH7/BTCV6</v>
      </c>
      <c r="F280" s="13">
        <f>'MKT DATA'!J338</f>
        <v>1</v>
      </c>
      <c r="G280" s="8">
        <f>'MKT DATA'!K338</f>
        <v>82578</v>
      </c>
      <c r="H280" s="8">
        <f>'MKT DATA'!L338</f>
        <v>84701</v>
      </c>
      <c r="I280" s="13">
        <f>'MKT DATA'!M338</f>
        <v>1</v>
      </c>
      <c r="J280" s="43" t="str">
        <f t="shared" si="12"/>
        <v>syn BTCF7/BTCG7/BTCX6/BTCZ6/BTCH7/BTCV6</v>
      </c>
      <c r="K280" s="8">
        <f>'MKT DATA'!O338</f>
        <v>0</v>
      </c>
      <c r="L280" s="8">
        <f>'MKT DATA'!P338</f>
        <v>82578</v>
      </c>
      <c r="M280" s="8">
        <f>'MKT DATA'!Q338</f>
        <v>0</v>
      </c>
      <c r="N280" s="8">
        <f>'MKT DATA'!R338</f>
        <v>0</v>
      </c>
      <c r="O280" s="8">
        <f>'MKT DATA'!S338</f>
        <v>-84701</v>
      </c>
      <c r="P280" s="8">
        <f>'MKT DATA'!T338</f>
        <v>0</v>
      </c>
      <c r="Q280" s="43" t="str">
        <f t="shared" si="13"/>
        <v>syn BTCF7/BTCG7/BTCX6/BTCZ6/BTCH7/BTCV6</v>
      </c>
      <c r="R280" s="13">
        <f>'MKT DATA'!AB338</f>
        <v>0</v>
      </c>
    </row>
    <row r="281" spans="5:18" x14ac:dyDescent="0.25">
      <c r="E281" s="43" t="str">
        <f>'MKT DATA'!B339</f>
        <v>syn BTCF7/BTCG7/BTCX6/BTCH7/BTCZ6/BTCV6</v>
      </c>
      <c r="F281" s="13">
        <f>'MKT DATA'!J339</f>
        <v>1</v>
      </c>
      <c r="G281" s="8">
        <f>'MKT DATA'!K339</f>
        <v>82367</v>
      </c>
      <c r="H281" s="8">
        <f>'MKT DATA'!L339</f>
        <v>84529</v>
      </c>
      <c r="I281" s="13">
        <f>'MKT DATA'!M339</f>
        <v>1</v>
      </c>
      <c r="J281" s="43" t="str">
        <f t="shared" si="12"/>
        <v>syn BTCF7/BTCG7/BTCX6/BTCH7/BTCZ6/BTCV6</v>
      </c>
      <c r="K281" s="8">
        <f>'MKT DATA'!O339</f>
        <v>0</v>
      </c>
      <c r="L281" s="8">
        <f>'MKT DATA'!P339</f>
        <v>82367</v>
      </c>
      <c r="M281" s="8">
        <f>'MKT DATA'!Q339</f>
        <v>0</v>
      </c>
      <c r="N281" s="8">
        <f>'MKT DATA'!R339</f>
        <v>0</v>
      </c>
      <c r="O281" s="8">
        <f>'MKT DATA'!S339</f>
        <v>-84529</v>
      </c>
      <c r="P281" s="8">
        <f>'MKT DATA'!T339</f>
        <v>0</v>
      </c>
      <c r="Q281" s="43" t="str">
        <f t="shared" si="13"/>
        <v>syn BTCF7/BTCG7/BTCX6/BTCH7/BTCZ6/BTCV6</v>
      </c>
      <c r="R281" s="13">
        <f>'MKT DATA'!AB339</f>
        <v>0</v>
      </c>
    </row>
    <row r="282" spans="5:18" x14ac:dyDescent="0.25">
      <c r="E282" s="43" t="str">
        <f>'MKT DATA'!B340</f>
        <v>syn BTCF7/BTCG7/BTCZ6/BTCX6/BTCH7/BTCV6</v>
      </c>
      <c r="F282" s="13">
        <f>'MKT DATA'!J340</f>
        <v>1</v>
      </c>
      <c r="G282" s="8">
        <f>'MKT DATA'!K340</f>
        <v>82353</v>
      </c>
      <c r="H282" s="8">
        <f>'MKT DATA'!L340</f>
        <v>84716</v>
      </c>
      <c r="I282" s="13">
        <f>'MKT DATA'!M340</f>
        <v>1</v>
      </c>
      <c r="J282" s="43" t="str">
        <f t="shared" si="12"/>
        <v>syn BTCF7/BTCG7/BTCZ6/BTCX6/BTCH7/BTCV6</v>
      </c>
      <c r="K282" s="8">
        <f>'MKT DATA'!O340</f>
        <v>0</v>
      </c>
      <c r="L282" s="8">
        <f>'MKT DATA'!P340</f>
        <v>82353</v>
      </c>
      <c r="M282" s="8">
        <f>'MKT DATA'!Q340</f>
        <v>0</v>
      </c>
      <c r="N282" s="8">
        <f>'MKT DATA'!R340</f>
        <v>0</v>
      </c>
      <c r="O282" s="8">
        <f>'MKT DATA'!S340</f>
        <v>-84716</v>
      </c>
      <c r="P282" s="8">
        <f>'MKT DATA'!T340</f>
        <v>0</v>
      </c>
      <c r="Q282" s="43" t="str">
        <f t="shared" si="13"/>
        <v>syn BTCF7/BTCG7/BTCZ6/BTCX6/BTCH7/BTCV6</v>
      </c>
      <c r="R282" s="13">
        <f>'MKT DATA'!AB340</f>
        <v>0</v>
      </c>
    </row>
    <row r="283" spans="5:18" x14ac:dyDescent="0.25">
      <c r="E283" s="43" t="str">
        <f>'MKT DATA'!B341</f>
        <v>syn BTCF7/BTCG7/BTCZ6/BTCH7/BTCX6/BTCV6</v>
      </c>
      <c r="F283" s="13">
        <f>'MKT DATA'!J341</f>
        <v>1</v>
      </c>
      <c r="G283" s="8">
        <f>'MKT DATA'!K341</f>
        <v>82548</v>
      </c>
      <c r="H283" s="8">
        <f>'MKT DATA'!L341</f>
        <v>84723</v>
      </c>
      <c r="I283" s="13">
        <f>'MKT DATA'!M341</f>
        <v>1</v>
      </c>
      <c r="J283" s="43" t="str">
        <f t="shared" si="12"/>
        <v>syn BTCF7/BTCG7/BTCZ6/BTCH7/BTCX6/BTCV6</v>
      </c>
      <c r="K283" s="8">
        <f>'MKT DATA'!O341</f>
        <v>0</v>
      </c>
      <c r="L283" s="8">
        <f>'MKT DATA'!P341</f>
        <v>82548</v>
      </c>
      <c r="M283" s="8">
        <f>'MKT DATA'!Q341</f>
        <v>0</v>
      </c>
      <c r="N283" s="8">
        <f>'MKT DATA'!R341</f>
        <v>0</v>
      </c>
      <c r="O283" s="8">
        <f>'MKT DATA'!S341</f>
        <v>-84723</v>
      </c>
      <c r="P283" s="8">
        <f>'MKT DATA'!T341</f>
        <v>0</v>
      </c>
      <c r="Q283" s="43" t="str">
        <f t="shared" si="13"/>
        <v>syn BTCF7/BTCG7/BTCZ6/BTCH7/BTCX6/BTCV6</v>
      </c>
      <c r="R283" s="13">
        <f>'MKT DATA'!AB341</f>
        <v>0</v>
      </c>
    </row>
    <row r="284" spans="5:18" x14ac:dyDescent="0.25">
      <c r="E284" s="43" t="str">
        <f>'MKT DATA'!B342</f>
        <v>syn BTCF7/BTCG7/BTCH7/BTCX6/BTCZ6/BTCV6</v>
      </c>
      <c r="F284" s="13">
        <f>'MKT DATA'!J342</f>
        <v>1</v>
      </c>
      <c r="G284" s="8">
        <f>'MKT DATA'!K342</f>
        <v>82801</v>
      </c>
      <c r="H284" s="8">
        <f>'MKT DATA'!L342</f>
        <v>84345</v>
      </c>
      <c r="I284" s="13">
        <f>'MKT DATA'!M342</f>
        <v>1</v>
      </c>
      <c r="J284" s="43" t="str">
        <f t="shared" si="12"/>
        <v>syn BTCF7/BTCG7/BTCH7/BTCX6/BTCZ6/BTCV6</v>
      </c>
      <c r="K284" s="8">
        <f>'MKT DATA'!O342</f>
        <v>0</v>
      </c>
      <c r="L284" s="8">
        <f>'MKT DATA'!P342</f>
        <v>82801</v>
      </c>
      <c r="M284" s="8">
        <f>'MKT DATA'!Q342</f>
        <v>0</v>
      </c>
      <c r="N284" s="8">
        <f>'MKT DATA'!R342</f>
        <v>0</v>
      </c>
      <c r="O284" s="8">
        <f>'MKT DATA'!S342</f>
        <v>-84345</v>
      </c>
      <c r="P284" s="8">
        <f>'MKT DATA'!T342</f>
        <v>0</v>
      </c>
      <c r="Q284" s="43" t="str">
        <f t="shared" si="13"/>
        <v>syn BTCF7/BTCG7/BTCH7/BTCX6/BTCZ6/BTCV6</v>
      </c>
      <c r="R284" s="13">
        <f>'MKT DATA'!AB342</f>
        <v>0</v>
      </c>
    </row>
    <row r="285" spans="5:18" x14ac:dyDescent="0.25">
      <c r="E285" s="43" t="str">
        <f>'MKT DATA'!B343</f>
        <v>syn BTCF7/BTCG7/BTCH7/BTCZ6/BTCX6/BTCV6</v>
      </c>
      <c r="F285" s="13">
        <f>'MKT DATA'!J343</f>
        <v>1</v>
      </c>
      <c r="G285" s="8">
        <f>'MKT DATA'!K343</f>
        <v>82817</v>
      </c>
      <c r="H285" s="8">
        <f>'MKT DATA'!L343</f>
        <v>84134</v>
      </c>
      <c r="I285" s="13">
        <f>'MKT DATA'!M343</f>
        <v>1</v>
      </c>
      <c r="J285" s="43" t="str">
        <f t="shared" si="12"/>
        <v>syn BTCF7/BTCG7/BTCH7/BTCZ6/BTCX6/BTCV6</v>
      </c>
      <c r="K285" s="8">
        <f>'MKT DATA'!O343</f>
        <v>0</v>
      </c>
      <c r="L285" s="8">
        <f>'MKT DATA'!P343</f>
        <v>82817</v>
      </c>
      <c r="M285" s="8">
        <f>'MKT DATA'!Q343</f>
        <v>0</v>
      </c>
      <c r="N285" s="8">
        <f>'MKT DATA'!R343</f>
        <v>0</v>
      </c>
      <c r="O285" s="8">
        <f>'MKT DATA'!S343</f>
        <v>-84134</v>
      </c>
      <c r="P285" s="8">
        <f>'MKT DATA'!T343</f>
        <v>0</v>
      </c>
      <c r="Q285" s="43" t="str">
        <f t="shared" si="13"/>
        <v>syn BTCF7/BTCG7/BTCH7/BTCZ6/BTCX6/BTCV6</v>
      </c>
      <c r="R285" s="13">
        <f>'MKT DATA'!AB343</f>
        <v>0</v>
      </c>
    </row>
    <row r="286" spans="5:18" x14ac:dyDescent="0.25">
      <c r="E286" s="43" t="str">
        <f>'MKT DATA'!B344</f>
        <v>syn BTCF7/BTCH7/BTCX6/BTCZ6/BTCG7/BTCV6</v>
      </c>
      <c r="F286" s="13">
        <f>'MKT DATA'!J344</f>
        <v>1</v>
      </c>
      <c r="G286" s="8">
        <f>'MKT DATA'!K344</f>
        <v>82199</v>
      </c>
      <c r="H286" s="8">
        <f>'MKT DATA'!L344</f>
        <v>84916</v>
      </c>
      <c r="I286" s="13">
        <f>'MKT DATA'!M344</f>
        <v>1</v>
      </c>
      <c r="J286" s="43" t="str">
        <f t="shared" si="12"/>
        <v>syn BTCF7/BTCH7/BTCX6/BTCZ6/BTCG7/BTCV6</v>
      </c>
      <c r="K286" s="8">
        <f>'MKT DATA'!O344</f>
        <v>0</v>
      </c>
      <c r="L286" s="8">
        <f>'MKT DATA'!P344</f>
        <v>82199</v>
      </c>
      <c r="M286" s="8">
        <f>'MKT DATA'!Q344</f>
        <v>0</v>
      </c>
      <c r="N286" s="8">
        <f>'MKT DATA'!R344</f>
        <v>0</v>
      </c>
      <c r="O286" s="8">
        <f>'MKT DATA'!S344</f>
        <v>-84916</v>
      </c>
      <c r="P286" s="8">
        <f>'MKT DATA'!T344</f>
        <v>0</v>
      </c>
      <c r="Q286" s="43" t="str">
        <f t="shared" si="13"/>
        <v>syn BTCF7/BTCH7/BTCX6/BTCZ6/BTCG7/BTCV6</v>
      </c>
      <c r="R286" s="13">
        <f>'MKT DATA'!AB344</f>
        <v>0</v>
      </c>
    </row>
    <row r="287" spans="5:18" x14ac:dyDescent="0.25">
      <c r="E287" s="43" t="str">
        <f>'MKT DATA'!B345</f>
        <v>syn BTCF7/BTCH7/BTCX6/BTCG7/BTCZ6/BTCV6</v>
      </c>
      <c r="F287" s="13">
        <f>'MKT DATA'!J345</f>
        <v>1</v>
      </c>
      <c r="G287" s="8">
        <f>'MKT DATA'!K345</f>
        <v>82168</v>
      </c>
      <c r="H287" s="8">
        <f>'MKT DATA'!L345</f>
        <v>84924</v>
      </c>
      <c r="I287" s="13">
        <f>'MKT DATA'!M345</f>
        <v>1</v>
      </c>
      <c r="J287" s="43" t="str">
        <f t="shared" si="12"/>
        <v>syn BTCF7/BTCH7/BTCX6/BTCG7/BTCZ6/BTCV6</v>
      </c>
      <c r="K287" s="8">
        <f>'MKT DATA'!O345</f>
        <v>0</v>
      </c>
      <c r="L287" s="8">
        <f>'MKT DATA'!P345</f>
        <v>82168</v>
      </c>
      <c r="M287" s="8">
        <f>'MKT DATA'!Q345</f>
        <v>0</v>
      </c>
      <c r="N287" s="8">
        <f>'MKT DATA'!R345</f>
        <v>0</v>
      </c>
      <c r="O287" s="8">
        <f>'MKT DATA'!S345</f>
        <v>-84924</v>
      </c>
      <c r="P287" s="8">
        <f>'MKT DATA'!T345</f>
        <v>0</v>
      </c>
      <c r="Q287" s="43" t="str">
        <f t="shared" si="13"/>
        <v>syn BTCF7/BTCH7/BTCX6/BTCG7/BTCZ6/BTCV6</v>
      </c>
      <c r="R287" s="13">
        <f>'MKT DATA'!AB345</f>
        <v>0</v>
      </c>
    </row>
    <row r="288" spans="5:18" x14ac:dyDescent="0.25">
      <c r="E288" s="43" t="str">
        <f>'MKT DATA'!B346</f>
        <v>syn BTCF7/BTCH7/BTCZ6/BTCX6/BTCG7/BTCV6</v>
      </c>
      <c r="F288" s="13">
        <f>'MKT DATA'!J346</f>
        <v>1</v>
      </c>
      <c r="G288" s="8">
        <f>'MKT DATA'!K346</f>
        <v>82214</v>
      </c>
      <c r="H288" s="8">
        <f>'MKT DATA'!L346</f>
        <v>84691</v>
      </c>
      <c r="I288" s="13">
        <f>'MKT DATA'!M346</f>
        <v>1</v>
      </c>
      <c r="J288" s="43" t="str">
        <f t="shared" si="12"/>
        <v>syn BTCF7/BTCH7/BTCZ6/BTCX6/BTCG7/BTCV6</v>
      </c>
      <c r="K288" s="8">
        <f>'MKT DATA'!O346</f>
        <v>0</v>
      </c>
      <c r="L288" s="8">
        <f>'MKT DATA'!P346</f>
        <v>82214</v>
      </c>
      <c r="M288" s="8">
        <f>'MKT DATA'!Q346</f>
        <v>0</v>
      </c>
      <c r="N288" s="8">
        <f>'MKT DATA'!R346</f>
        <v>0</v>
      </c>
      <c r="O288" s="8">
        <f>'MKT DATA'!S346</f>
        <v>-84691</v>
      </c>
      <c r="P288" s="8">
        <f>'MKT DATA'!T346</f>
        <v>0</v>
      </c>
      <c r="Q288" s="43" t="str">
        <f t="shared" si="13"/>
        <v>syn BTCF7/BTCH7/BTCZ6/BTCX6/BTCG7/BTCV6</v>
      </c>
      <c r="R288" s="13">
        <f>'MKT DATA'!AB346</f>
        <v>0</v>
      </c>
    </row>
    <row r="289" spans="5:18" x14ac:dyDescent="0.25">
      <c r="E289" s="43" t="str">
        <f>'MKT DATA'!B347</f>
        <v>syn BTCF7/BTCH7/BTCZ6/BTCG7/BTCX6/BTCV6</v>
      </c>
      <c r="F289" s="13">
        <f>'MKT DATA'!J347</f>
        <v>1</v>
      </c>
      <c r="G289" s="8">
        <f>'MKT DATA'!K347</f>
        <v>82199</v>
      </c>
      <c r="H289" s="8">
        <f>'MKT DATA'!L347</f>
        <v>84728</v>
      </c>
      <c r="I289" s="13">
        <f>'MKT DATA'!M347</f>
        <v>1</v>
      </c>
      <c r="J289" s="43" t="str">
        <f t="shared" si="12"/>
        <v>syn BTCF7/BTCH7/BTCZ6/BTCG7/BTCX6/BTCV6</v>
      </c>
      <c r="K289" s="8">
        <f>'MKT DATA'!O347</f>
        <v>0</v>
      </c>
      <c r="L289" s="8">
        <f>'MKT DATA'!P347</f>
        <v>82199</v>
      </c>
      <c r="M289" s="8">
        <f>'MKT DATA'!Q347</f>
        <v>0</v>
      </c>
      <c r="N289" s="8">
        <f>'MKT DATA'!R347</f>
        <v>0</v>
      </c>
      <c r="O289" s="8">
        <f>'MKT DATA'!S347</f>
        <v>-84728</v>
      </c>
      <c r="P289" s="8">
        <f>'MKT DATA'!T347</f>
        <v>0</v>
      </c>
      <c r="Q289" s="43" t="str">
        <f t="shared" si="13"/>
        <v>syn BTCF7/BTCH7/BTCZ6/BTCG7/BTCX6/BTCV6</v>
      </c>
      <c r="R289" s="13">
        <f>'MKT DATA'!AB347</f>
        <v>0</v>
      </c>
    </row>
    <row r="290" spans="5:18" x14ac:dyDescent="0.25">
      <c r="E290" s="43" t="str">
        <f>'MKT DATA'!B348</f>
        <v>syn BTCF7/BTCH7/BTCG7/BTCX6/BTCZ6/BTCV6</v>
      </c>
      <c r="F290" s="13">
        <f>'MKT DATA'!J348</f>
        <v>1</v>
      </c>
      <c r="G290" s="8">
        <f>'MKT DATA'!K348</f>
        <v>82577</v>
      </c>
      <c r="H290" s="8">
        <f>'MKT DATA'!L348</f>
        <v>84475</v>
      </c>
      <c r="I290" s="13">
        <f>'MKT DATA'!M348</f>
        <v>1</v>
      </c>
      <c r="J290" s="43" t="str">
        <f t="shared" si="12"/>
        <v>syn BTCF7/BTCH7/BTCG7/BTCX6/BTCZ6/BTCV6</v>
      </c>
      <c r="K290" s="8">
        <f>'MKT DATA'!O348</f>
        <v>0</v>
      </c>
      <c r="L290" s="8">
        <f>'MKT DATA'!P348</f>
        <v>82577</v>
      </c>
      <c r="M290" s="8">
        <f>'MKT DATA'!Q348</f>
        <v>0</v>
      </c>
      <c r="N290" s="8">
        <f>'MKT DATA'!R348</f>
        <v>0</v>
      </c>
      <c r="O290" s="8">
        <f>'MKT DATA'!S348</f>
        <v>-84475</v>
      </c>
      <c r="P290" s="8">
        <f>'MKT DATA'!T348</f>
        <v>0</v>
      </c>
      <c r="Q290" s="43" t="str">
        <f t="shared" si="13"/>
        <v>syn BTCF7/BTCH7/BTCG7/BTCX6/BTCZ6/BTCV6</v>
      </c>
      <c r="R290" s="13">
        <f>'MKT DATA'!AB348</f>
        <v>0</v>
      </c>
    </row>
    <row r="291" spans="5:18" x14ac:dyDescent="0.25">
      <c r="E291" s="43" t="str">
        <f>'MKT DATA'!B349</f>
        <v>syn BTCF7/BTCH7/BTCG7/BTCZ6/BTCX6/BTCV6</v>
      </c>
      <c r="F291" s="13">
        <f>'MKT DATA'!J349</f>
        <v>1</v>
      </c>
      <c r="G291" s="8">
        <f>'MKT DATA'!K349</f>
        <v>82563</v>
      </c>
      <c r="H291" s="8">
        <f>'MKT DATA'!L349</f>
        <v>84474</v>
      </c>
      <c r="I291" s="13">
        <f>'MKT DATA'!M349</f>
        <v>1</v>
      </c>
      <c r="J291" s="43" t="str">
        <f t="shared" si="12"/>
        <v>syn BTCF7/BTCH7/BTCG7/BTCZ6/BTCX6/BTCV6</v>
      </c>
      <c r="K291" s="8">
        <f>'MKT DATA'!O349</f>
        <v>0</v>
      </c>
      <c r="L291" s="8">
        <f>'MKT DATA'!P349</f>
        <v>82563</v>
      </c>
      <c r="M291" s="8">
        <f>'MKT DATA'!Q349</f>
        <v>0</v>
      </c>
      <c r="N291" s="8">
        <f>'MKT DATA'!R349</f>
        <v>0</v>
      </c>
      <c r="O291" s="8">
        <f>'MKT DATA'!S349</f>
        <v>-84474</v>
      </c>
      <c r="P291" s="8">
        <f>'MKT DATA'!T349</f>
        <v>0</v>
      </c>
      <c r="Q291" s="43" t="str">
        <f t="shared" si="13"/>
        <v>syn BTCF7/BTCH7/BTCG7/BTCZ6/BTCX6/BTCV6</v>
      </c>
      <c r="R291" s="13">
        <f>'MKT DATA'!AB349</f>
        <v>0</v>
      </c>
    </row>
    <row r="292" spans="5:18" x14ac:dyDescent="0.25">
      <c r="E292" s="43" t="str">
        <f>'MKT DATA'!B350</f>
        <v>syn BTCG7/BTCX6/BTCZ6/BTCF7/BTCH7/BTCV6</v>
      </c>
      <c r="F292" s="13">
        <f>'MKT DATA'!J350</f>
        <v>1</v>
      </c>
      <c r="G292" s="8">
        <f>'MKT DATA'!K350</f>
        <v>82321</v>
      </c>
      <c r="H292" s="8">
        <f>'MKT DATA'!L350</f>
        <v>84790</v>
      </c>
      <c r="I292" s="13">
        <f>'MKT DATA'!M350</f>
        <v>1</v>
      </c>
      <c r="J292" s="43" t="str">
        <f t="shared" si="12"/>
        <v>syn BTCG7/BTCX6/BTCZ6/BTCF7/BTCH7/BTCV6</v>
      </c>
      <c r="K292" s="8">
        <f>'MKT DATA'!O350</f>
        <v>0</v>
      </c>
      <c r="L292" s="8">
        <f>'MKT DATA'!P350</f>
        <v>82321</v>
      </c>
      <c r="M292" s="8">
        <f>'MKT DATA'!Q350</f>
        <v>0</v>
      </c>
      <c r="N292" s="8">
        <f>'MKT DATA'!R350</f>
        <v>0</v>
      </c>
      <c r="O292" s="8">
        <f>'MKT DATA'!S350</f>
        <v>-84790</v>
      </c>
      <c r="P292" s="8">
        <f>'MKT DATA'!T350</f>
        <v>0</v>
      </c>
      <c r="Q292" s="43" t="str">
        <f t="shared" si="13"/>
        <v>syn BTCG7/BTCX6/BTCZ6/BTCF7/BTCH7/BTCV6</v>
      </c>
      <c r="R292" s="13">
        <f>'MKT DATA'!AB350</f>
        <v>0</v>
      </c>
    </row>
    <row r="293" spans="5:18" x14ac:dyDescent="0.25">
      <c r="E293" s="43" t="str">
        <f>'MKT DATA'!B351</f>
        <v>syn BTCG7/BTCX6/BTCZ6/BTCH7/BTCF7/BTCV6</v>
      </c>
      <c r="F293" s="13">
        <f>'MKT DATA'!J351</f>
        <v>1</v>
      </c>
      <c r="G293" s="8">
        <f>'MKT DATA'!K351</f>
        <v>82455</v>
      </c>
      <c r="H293" s="8">
        <f>'MKT DATA'!L351</f>
        <v>84870</v>
      </c>
      <c r="I293" s="13">
        <f>'MKT DATA'!M351</f>
        <v>1</v>
      </c>
      <c r="J293" s="43" t="str">
        <f t="shared" si="12"/>
        <v>syn BTCG7/BTCX6/BTCZ6/BTCH7/BTCF7/BTCV6</v>
      </c>
      <c r="K293" s="8">
        <f>'MKT DATA'!O351</f>
        <v>0</v>
      </c>
      <c r="L293" s="8">
        <f>'MKT DATA'!P351</f>
        <v>82455</v>
      </c>
      <c r="M293" s="8">
        <f>'MKT DATA'!Q351</f>
        <v>0</v>
      </c>
      <c r="N293" s="8">
        <f>'MKT DATA'!R351</f>
        <v>0</v>
      </c>
      <c r="O293" s="8">
        <f>'MKT DATA'!S351</f>
        <v>-84870</v>
      </c>
      <c r="P293" s="8">
        <f>'MKT DATA'!T351</f>
        <v>0</v>
      </c>
      <c r="Q293" s="43" t="str">
        <f t="shared" si="13"/>
        <v>syn BTCG7/BTCX6/BTCZ6/BTCH7/BTCF7/BTCV6</v>
      </c>
      <c r="R293" s="13">
        <f>'MKT DATA'!AB351</f>
        <v>0</v>
      </c>
    </row>
    <row r="294" spans="5:18" x14ac:dyDescent="0.25">
      <c r="E294" s="43" t="str">
        <f>'MKT DATA'!B352</f>
        <v>syn BTCG7/BTCX6/BTCF7/BTCZ6/BTCH7/BTCV6</v>
      </c>
      <c r="F294" s="13">
        <f>'MKT DATA'!J352</f>
        <v>1</v>
      </c>
      <c r="G294" s="8">
        <f>'MKT DATA'!K352</f>
        <v>82517</v>
      </c>
      <c r="H294" s="8">
        <f>'MKT DATA'!L352</f>
        <v>84747</v>
      </c>
      <c r="I294" s="13">
        <f>'MKT DATA'!M352</f>
        <v>1</v>
      </c>
      <c r="J294" s="43" t="str">
        <f t="shared" si="12"/>
        <v>syn BTCG7/BTCX6/BTCF7/BTCZ6/BTCH7/BTCV6</v>
      </c>
      <c r="K294" s="8">
        <f>'MKT DATA'!O352</f>
        <v>0</v>
      </c>
      <c r="L294" s="8">
        <f>'MKT DATA'!P352</f>
        <v>82517</v>
      </c>
      <c r="M294" s="8">
        <f>'MKT DATA'!Q352</f>
        <v>0</v>
      </c>
      <c r="N294" s="8">
        <f>'MKT DATA'!R352</f>
        <v>0</v>
      </c>
      <c r="O294" s="8">
        <f>'MKT DATA'!S352</f>
        <v>-84747</v>
      </c>
      <c r="P294" s="8">
        <f>'MKT DATA'!T352</f>
        <v>0</v>
      </c>
      <c r="Q294" s="43" t="str">
        <f t="shared" si="13"/>
        <v>syn BTCG7/BTCX6/BTCF7/BTCZ6/BTCH7/BTCV6</v>
      </c>
      <c r="R294" s="13">
        <f>'MKT DATA'!AB352</f>
        <v>0</v>
      </c>
    </row>
    <row r="295" spans="5:18" x14ac:dyDescent="0.25">
      <c r="E295" s="43" t="str">
        <f>'MKT DATA'!B353</f>
        <v>syn BTCG7/BTCX6/BTCF7/BTCH7/BTCZ6/BTCV6</v>
      </c>
      <c r="F295" s="13">
        <f>'MKT DATA'!J353</f>
        <v>1</v>
      </c>
      <c r="G295" s="8">
        <f>'MKT DATA'!K353</f>
        <v>82254</v>
      </c>
      <c r="H295" s="8">
        <f>'MKT DATA'!L353</f>
        <v>84638</v>
      </c>
      <c r="I295" s="13">
        <f>'MKT DATA'!M353</f>
        <v>1</v>
      </c>
      <c r="J295" s="43" t="str">
        <f t="shared" si="12"/>
        <v>syn BTCG7/BTCX6/BTCF7/BTCH7/BTCZ6/BTCV6</v>
      </c>
      <c r="K295" s="8">
        <f>'MKT DATA'!O353</f>
        <v>0</v>
      </c>
      <c r="L295" s="8">
        <f>'MKT DATA'!P353</f>
        <v>82254</v>
      </c>
      <c r="M295" s="8">
        <f>'MKT DATA'!Q353</f>
        <v>0</v>
      </c>
      <c r="N295" s="8">
        <f>'MKT DATA'!R353</f>
        <v>0</v>
      </c>
      <c r="O295" s="8">
        <f>'MKT DATA'!S353</f>
        <v>-84638</v>
      </c>
      <c r="P295" s="8">
        <f>'MKT DATA'!T353</f>
        <v>0</v>
      </c>
      <c r="Q295" s="43" t="str">
        <f t="shared" si="13"/>
        <v>syn BTCG7/BTCX6/BTCF7/BTCH7/BTCZ6/BTCV6</v>
      </c>
      <c r="R295" s="13">
        <f>'MKT DATA'!AB353</f>
        <v>0</v>
      </c>
    </row>
    <row r="296" spans="5:18" x14ac:dyDescent="0.25">
      <c r="E296" s="43" t="str">
        <f>'MKT DATA'!B354</f>
        <v>syn BTCG7/BTCX6/BTCH7/BTCZ6/BTCF7/BTCV6</v>
      </c>
      <c r="F296" s="13">
        <f>'MKT DATA'!J354</f>
        <v>1</v>
      </c>
      <c r="G296" s="8">
        <f>'MKT DATA'!K354</f>
        <v>82323</v>
      </c>
      <c r="H296" s="8">
        <f>'MKT DATA'!L354</f>
        <v>84623</v>
      </c>
      <c r="I296" s="13">
        <f>'MKT DATA'!M354</f>
        <v>1</v>
      </c>
      <c r="J296" s="43" t="str">
        <f t="shared" si="12"/>
        <v>syn BTCG7/BTCX6/BTCH7/BTCZ6/BTCF7/BTCV6</v>
      </c>
      <c r="K296" s="8">
        <f>'MKT DATA'!O354</f>
        <v>0</v>
      </c>
      <c r="L296" s="8">
        <f>'MKT DATA'!P354</f>
        <v>82323</v>
      </c>
      <c r="M296" s="8">
        <f>'MKT DATA'!Q354</f>
        <v>0</v>
      </c>
      <c r="N296" s="8">
        <f>'MKT DATA'!R354</f>
        <v>0</v>
      </c>
      <c r="O296" s="8">
        <f>'MKT DATA'!S354</f>
        <v>-84623</v>
      </c>
      <c r="P296" s="8">
        <f>'MKT DATA'!T354</f>
        <v>0</v>
      </c>
      <c r="Q296" s="43" t="str">
        <f t="shared" si="13"/>
        <v>syn BTCG7/BTCX6/BTCH7/BTCZ6/BTCF7/BTCV6</v>
      </c>
      <c r="R296" s="13">
        <f>'MKT DATA'!AB354</f>
        <v>0</v>
      </c>
    </row>
    <row r="297" spans="5:18" x14ac:dyDescent="0.25">
      <c r="E297" s="43" t="str">
        <f>'MKT DATA'!B355</f>
        <v>syn BTCG7/BTCX6/BTCH7/BTCF7/BTCZ6/BTCV6</v>
      </c>
      <c r="F297" s="13">
        <f>'MKT DATA'!J355</f>
        <v>1</v>
      </c>
      <c r="G297" s="8">
        <f>'MKT DATA'!K355</f>
        <v>82294</v>
      </c>
      <c r="H297" s="8">
        <f>'MKT DATA'!L355</f>
        <v>84802</v>
      </c>
      <c r="I297" s="13">
        <f>'MKT DATA'!M355</f>
        <v>1</v>
      </c>
      <c r="J297" s="43" t="str">
        <f t="shared" si="12"/>
        <v>syn BTCG7/BTCX6/BTCH7/BTCF7/BTCZ6/BTCV6</v>
      </c>
      <c r="K297" s="8">
        <f>'MKT DATA'!O355</f>
        <v>0</v>
      </c>
      <c r="L297" s="8">
        <f>'MKT DATA'!P355</f>
        <v>82294</v>
      </c>
      <c r="M297" s="8">
        <f>'MKT DATA'!Q355</f>
        <v>0</v>
      </c>
      <c r="N297" s="8">
        <f>'MKT DATA'!R355</f>
        <v>0</v>
      </c>
      <c r="O297" s="8">
        <f>'MKT DATA'!S355</f>
        <v>-84802</v>
      </c>
      <c r="P297" s="8">
        <f>'MKT DATA'!T355</f>
        <v>0</v>
      </c>
      <c r="Q297" s="43" t="str">
        <f t="shared" si="13"/>
        <v>syn BTCG7/BTCX6/BTCH7/BTCF7/BTCZ6/BTCV6</v>
      </c>
      <c r="R297" s="13">
        <f>'MKT DATA'!AB355</f>
        <v>0</v>
      </c>
    </row>
    <row r="298" spans="5:18" x14ac:dyDescent="0.25">
      <c r="E298" s="43" t="str">
        <f>'MKT DATA'!B356</f>
        <v>syn BTCG7/BTCZ6/BTCX6/BTCF7/BTCH7/BTCV6</v>
      </c>
      <c r="F298" s="13">
        <f>'MKT DATA'!J356</f>
        <v>1</v>
      </c>
      <c r="G298" s="8">
        <f>'MKT DATA'!K356</f>
        <v>82240</v>
      </c>
      <c r="H298" s="8">
        <f>'MKT DATA'!L356</f>
        <v>84825</v>
      </c>
      <c r="I298" s="13">
        <f>'MKT DATA'!M356</f>
        <v>1</v>
      </c>
      <c r="J298" s="43" t="str">
        <f t="shared" si="12"/>
        <v>syn BTCG7/BTCZ6/BTCX6/BTCF7/BTCH7/BTCV6</v>
      </c>
      <c r="K298" s="8">
        <f>'MKT DATA'!O356</f>
        <v>0</v>
      </c>
      <c r="L298" s="8">
        <f>'MKT DATA'!P356</f>
        <v>82240</v>
      </c>
      <c r="M298" s="8">
        <f>'MKT DATA'!Q356</f>
        <v>0</v>
      </c>
      <c r="N298" s="8">
        <f>'MKT DATA'!R356</f>
        <v>0</v>
      </c>
      <c r="O298" s="8">
        <f>'MKT DATA'!S356</f>
        <v>-84825</v>
      </c>
      <c r="P298" s="8">
        <f>'MKT DATA'!T356</f>
        <v>0</v>
      </c>
      <c r="Q298" s="43" t="str">
        <f t="shared" si="13"/>
        <v>syn BTCG7/BTCZ6/BTCX6/BTCF7/BTCH7/BTCV6</v>
      </c>
      <c r="R298" s="13">
        <f>'MKT DATA'!AB356</f>
        <v>0</v>
      </c>
    </row>
    <row r="299" spans="5:18" x14ac:dyDescent="0.25">
      <c r="E299" s="43" t="str">
        <f>'MKT DATA'!B357</f>
        <v>syn BTCG7/BTCZ6/BTCX6/BTCH7/BTCF7/BTCV6</v>
      </c>
      <c r="F299" s="13">
        <f>'MKT DATA'!J357</f>
        <v>1</v>
      </c>
      <c r="G299" s="8">
        <f>'MKT DATA'!K357</f>
        <v>82230</v>
      </c>
      <c r="H299" s="8">
        <f>'MKT DATA'!L357</f>
        <v>84885</v>
      </c>
      <c r="I299" s="13">
        <f>'MKT DATA'!M357</f>
        <v>1</v>
      </c>
      <c r="J299" s="43" t="str">
        <f t="shared" si="12"/>
        <v>syn BTCG7/BTCZ6/BTCX6/BTCH7/BTCF7/BTCV6</v>
      </c>
      <c r="K299" s="8">
        <f>'MKT DATA'!O357</f>
        <v>0</v>
      </c>
      <c r="L299" s="8">
        <f>'MKT DATA'!P357</f>
        <v>82230</v>
      </c>
      <c r="M299" s="8">
        <f>'MKT DATA'!Q357</f>
        <v>0</v>
      </c>
      <c r="N299" s="8">
        <f>'MKT DATA'!R357</f>
        <v>0</v>
      </c>
      <c r="O299" s="8">
        <f>'MKT DATA'!S357</f>
        <v>-84885</v>
      </c>
      <c r="P299" s="8">
        <f>'MKT DATA'!T357</f>
        <v>0</v>
      </c>
      <c r="Q299" s="43" t="str">
        <f t="shared" si="13"/>
        <v>syn BTCG7/BTCZ6/BTCX6/BTCH7/BTCF7/BTCV6</v>
      </c>
      <c r="R299" s="13">
        <f>'MKT DATA'!AB357</f>
        <v>0</v>
      </c>
    </row>
    <row r="300" spans="5:18" x14ac:dyDescent="0.25">
      <c r="E300" s="43" t="str">
        <f>'MKT DATA'!B358</f>
        <v>syn BTCG7/BTCZ6/BTCF7/BTCX6/BTCH7/BTCV6</v>
      </c>
      <c r="F300" s="13">
        <f>'MKT DATA'!J358</f>
        <v>1</v>
      </c>
      <c r="G300" s="8">
        <f>'MKT DATA'!K358</f>
        <v>82323</v>
      </c>
      <c r="H300" s="8">
        <f>'MKT DATA'!L358</f>
        <v>84793</v>
      </c>
      <c r="I300" s="13">
        <f>'MKT DATA'!M358</f>
        <v>1</v>
      </c>
      <c r="J300" s="43" t="str">
        <f t="shared" si="12"/>
        <v>syn BTCG7/BTCZ6/BTCF7/BTCX6/BTCH7/BTCV6</v>
      </c>
      <c r="K300" s="8">
        <f>'MKT DATA'!O358</f>
        <v>0</v>
      </c>
      <c r="L300" s="8">
        <f>'MKT DATA'!P358</f>
        <v>82323</v>
      </c>
      <c r="M300" s="8">
        <f>'MKT DATA'!Q358</f>
        <v>0</v>
      </c>
      <c r="N300" s="8">
        <f>'MKT DATA'!R358</f>
        <v>0</v>
      </c>
      <c r="O300" s="8">
        <f>'MKT DATA'!S358</f>
        <v>-84793</v>
      </c>
      <c r="P300" s="8">
        <f>'MKT DATA'!T358</f>
        <v>0</v>
      </c>
      <c r="Q300" s="43" t="str">
        <f t="shared" si="13"/>
        <v>syn BTCG7/BTCZ6/BTCF7/BTCX6/BTCH7/BTCV6</v>
      </c>
      <c r="R300" s="13">
        <f>'MKT DATA'!AB358</f>
        <v>0</v>
      </c>
    </row>
    <row r="301" spans="5:18" x14ac:dyDescent="0.25">
      <c r="E301" s="43" t="str">
        <f>'MKT DATA'!B359</f>
        <v>syn BTCG7/BTCZ6/BTCF7/BTCH7/BTCX6/BTCV6</v>
      </c>
      <c r="F301" s="13">
        <f>'MKT DATA'!J359</f>
        <v>1</v>
      </c>
      <c r="G301" s="8">
        <f>'MKT DATA'!K359</f>
        <v>82291</v>
      </c>
      <c r="H301" s="8">
        <f>'MKT DATA'!L359</f>
        <v>84812</v>
      </c>
      <c r="I301" s="13">
        <f>'MKT DATA'!M359</f>
        <v>1</v>
      </c>
      <c r="J301" s="43" t="str">
        <f t="shared" si="12"/>
        <v>syn BTCG7/BTCZ6/BTCF7/BTCH7/BTCX6/BTCV6</v>
      </c>
      <c r="K301" s="8">
        <f>'MKT DATA'!O359</f>
        <v>0</v>
      </c>
      <c r="L301" s="8">
        <f>'MKT DATA'!P359</f>
        <v>82291</v>
      </c>
      <c r="M301" s="8">
        <f>'MKT DATA'!Q359</f>
        <v>0</v>
      </c>
      <c r="N301" s="8">
        <f>'MKT DATA'!R359</f>
        <v>0</v>
      </c>
      <c r="O301" s="8">
        <f>'MKT DATA'!S359</f>
        <v>-84812</v>
      </c>
      <c r="P301" s="8">
        <f>'MKT DATA'!T359</f>
        <v>0</v>
      </c>
      <c r="Q301" s="43" t="str">
        <f t="shared" si="13"/>
        <v>syn BTCG7/BTCZ6/BTCF7/BTCH7/BTCX6/BTCV6</v>
      </c>
      <c r="R301" s="13">
        <f>'MKT DATA'!AB359</f>
        <v>0</v>
      </c>
    </row>
    <row r="302" spans="5:18" x14ac:dyDescent="0.25">
      <c r="E302" s="43" t="str">
        <f>'MKT DATA'!B360</f>
        <v>syn BTCG7/BTCZ6/BTCH7/BTCX6/BTCF7/BTCV6</v>
      </c>
      <c r="F302" s="13">
        <f>'MKT DATA'!J360</f>
        <v>1</v>
      </c>
      <c r="G302" s="8">
        <f>'MKT DATA'!K360</f>
        <v>82437</v>
      </c>
      <c r="H302" s="8">
        <f>'MKT DATA'!L360</f>
        <v>84853</v>
      </c>
      <c r="I302" s="13">
        <f>'MKT DATA'!M360</f>
        <v>1</v>
      </c>
      <c r="J302" s="43" t="str">
        <f t="shared" si="12"/>
        <v>syn BTCG7/BTCZ6/BTCH7/BTCX6/BTCF7/BTCV6</v>
      </c>
      <c r="K302" s="8">
        <f>'MKT DATA'!O360</f>
        <v>0</v>
      </c>
      <c r="L302" s="8">
        <f>'MKT DATA'!P360</f>
        <v>82437</v>
      </c>
      <c r="M302" s="8">
        <f>'MKT DATA'!Q360</f>
        <v>0</v>
      </c>
      <c r="N302" s="8">
        <f>'MKT DATA'!R360</f>
        <v>0</v>
      </c>
      <c r="O302" s="8">
        <f>'MKT DATA'!S360</f>
        <v>-84853</v>
      </c>
      <c r="P302" s="8">
        <f>'MKT DATA'!T360</f>
        <v>0</v>
      </c>
      <c r="Q302" s="43" t="str">
        <f t="shared" si="13"/>
        <v>syn BTCG7/BTCZ6/BTCH7/BTCX6/BTCF7/BTCV6</v>
      </c>
      <c r="R302" s="13">
        <f>'MKT DATA'!AB360</f>
        <v>0</v>
      </c>
    </row>
    <row r="303" spans="5:18" x14ac:dyDescent="0.25">
      <c r="E303" s="43" t="str">
        <f>'MKT DATA'!B361</f>
        <v>syn BTCG7/BTCZ6/BTCH7/BTCF7/BTCX6/BTCV6</v>
      </c>
      <c r="F303" s="13">
        <f>'MKT DATA'!J361</f>
        <v>1</v>
      </c>
      <c r="G303" s="8">
        <f>'MKT DATA'!K361</f>
        <v>82455</v>
      </c>
      <c r="H303" s="8">
        <f>'MKT DATA'!L361</f>
        <v>84852</v>
      </c>
      <c r="I303" s="13">
        <f>'MKT DATA'!M361</f>
        <v>1</v>
      </c>
      <c r="J303" s="43" t="str">
        <f t="shared" si="12"/>
        <v>syn BTCG7/BTCZ6/BTCH7/BTCF7/BTCX6/BTCV6</v>
      </c>
      <c r="K303" s="8">
        <f>'MKT DATA'!O361</f>
        <v>0</v>
      </c>
      <c r="L303" s="8">
        <f>'MKT DATA'!P361</f>
        <v>82455</v>
      </c>
      <c r="M303" s="8">
        <f>'MKT DATA'!Q361</f>
        <v>0</v>
      </c>
      <c r="N303" s="8">
        <f>'MKT DATA'!R361</f>
        <v>0</v>
      </c>
      <c r="O303" s="8">
        <f>'MKT DATA'!S361</f>
        <v>-84852</v>
      </c>
      <c r="P303" s="8">
        <f>'MKT DATA'!T361</f>
        <v>0</v>
      </c>
      <c r="Q303" s="43" t="str">
        <f t="shared" si="13"/>
        <v>syn BTCG7/BTCZ6/BTCH7/BTCF7/BTCX6/BTCV6</v>
      </c>
      <c r="R303" s="13">
        <f>'MKT DATA'!AB361</f>
        <v>0</v>
      </c>
    </row>
    <row r="304" spans="5:18" x14ac:dyDescent="0.25">
      <c r="E304" s="43" t="str">
        <f>'MKT DATA'!B362</f>
        <v>syn BTCG7/BTCF7/BTCX6/BTCZ6/BTCH7/BTCV6</v>
      </c>
      <c r="F304" s="13">
        <f>'MKT DATA'!J362</f>
        <v>1</v>
      </c>
      <c r="G304" s="8">
        <f>'MKT DATA'!K362</f>
        <v>82670</v>
      </c>
      <c r="H304" s="8">
        <f>'MKT DATA'!L362</f>
        <v>84661</v>
      </c>
      <c r="I304" s="13">
        <f>'MKT DATA'!M362</f>
        <v>1</v>
      </c>
      <c r="J304" s="43" t="str">
        <f t="shared" si="12"/>
        <v>syn BTCG7/BTCF7/BTCX6/BTCZ6/BTCH7/BTCV6</v>
      </c>
      <c r="K304" s="8">
        <f>'MKT DATA'!O362</f>
        <v>0</v>
      </c>
      <c r="L304" s="8">
        <f>'MKT DATA'!P362</f>
        <v>82670</v>
      </c>
      <c r="M304" s="8">
        <f>'MKT DATA'!Q362</f>
        <v>0</v>
      </c>
      <c r="N304" s="8">
        <f>'MKT DATA'!R362</f>
        <v>0</v>
      </c>
      <c r="O304" s="8">
        <f>'MKT DATA'!S362</f>
        <v>-84661</v>
      </c>
      <c r="P304" s="8">
        <f>'MKT DATA'!T362</f>
        <v>0</v>
      </c>
      <c r="Q304" s="43" t="str">
        <f t="shared" si="13"/>
        <v>syn BTCG7/BTCF7/BTCX6/BTCZ6/BTCH7/BTCV6</v>
      </c>
      <c r="R304" s="13">
        <f>'MKT DATA'!AB362</f>
        <v>0</v>
      </c>
    </row>
    <row r="305" spans="5:18" x14ac:dyDescent="0.25">
      <c r="E305" s="43" t="str">
        <f>'MKT DATA'!B363</f>
        <v>syn BTCG7/BTCF7/BTCX6/BTCH7/BTCZ6/BTCV6</v>
      </c>
      <c r="F305" s="13">
        <f>'MKT DATA'!J363</f>
        <v>1</v>
      </c>
      <c r="G305" s="8">
        <f>'MKT DATA'!K363</f>
        <v>82459</v>
      </c>
      <c r="H305" s="8">
        <f>'MKT DATA'!L363</f>
        <v>84489</v>
      </c>
      <c r="I305" s="13">
        <f>'MKT DATA'!M363</f>
        <v>1</v>
      </c>
      <c r="J305" s="43" t="str">
        <f t="shared" si="12"/>
        <v>syn BTCG7/BTCF7/BTCX6/BTCH7/BTCZ6/BTCV6</v>
      </c>
      <c r="K305" s="8">
        <f>'MKT DATA'!O363</f>
        <v>0</v>
      </c>
      <c r="L305" s="8">
        <f>'MKT DATA'!P363</f>
        <v>82459</v>
      </c>
      <c r="M305" s="8">
        <f>'MKT DATA'!Q363</f>
        <v>0</v>
      </c>
      <c r="N305" s="8">
        <f>'MKT DATA'!R363</f>
        <v>0</v>
      </c>
      <c r="O305" s="8">
        <f>'MKT DATA'!S363</f>
        <v>-84489</v>
      </c>
      <c r="P305" s="8">
        <f>'MKT DATA'!T363</f>
        <v>0</v>
      </c>
      <c r="Q305" s="43" t="str">
        <f t="shared" si="13"/>
        <v>syn BTCG7/BTCF7/BTCX6/BTCH7/BTCZ6/BTCV6</v>
      </c>
      <c r="R305" s="13">
        <f>'MKT DATA'!AB363</f>
        <v>0</v>
      </c>
    </row>
    <row r="306" spans="5:18" x14ac:dyDescent="0.25">
      <c r="E306" s="43" t="str">
        <f>'MKT DATA'!B364</f>
        <v>syn BTCG7/BTCF7/BTCZ6/BTCX6/BTCH7/BTCV6</v>
      </c>
      <c r="F306" s="13">
        <f>'MKT DATA'!J364</f>
        <v>1</v>
      </c>
      <c r="G306" s="8">
        <f>'MKT DATA'!K364</f>
        <v>82495</v>
      </c>
      <c r="H306" s="8">
        <f>'MKT DATA'!L364</f>
        <v>84610</v>
      </c>
      <c r="I306" s="13">
        <f>'MKT DATA'!M364</f>
        <v>1</v>
      </c>
      <c r="J306" s="43" t="str">
        <f t="shared" si="12"/>
        <v>syn BTCG7/BTCF7/BTCZ6/BTCX6/BTCH7/BTCV6</v>
      </c>
      <c r="K306" s="8">
        <f>'MKT DATA'!O364</f>
        <v>0</v>
      </c>
      <c r="L306" s="8">
        <f>'MKT DATA'!P364</f>
        <v>82495</v>
      </c>
      <c r="M306" s="8">
        <f>'MKT DATA'!Q364</f>
        <v>0</v>
      </c>
      <c r="N306" s="8">
        <f>'MKT DATA'!R364</f>
        <v>0</v>
      </c>
      <c r="O306" s="8">
        <f>'MKT DATA'!S364</f>
        <v>-84610</v>
      </c>
      <c r="P306" s="8">
        <f>'MKT DATA'!T364</f>
        <v>0</v>
      </c>
      <c r="Q306" s="43" t="str">
        <f t="shared" si="13"/>
        <v>syn BTCG7/BTCF7/BTCZ6/BTCX6/BTCH7/BTCV6</v>
      </c>
      <c r="R306" s="13">
        <f>'MKT DATA'!AB364</f>
        <v>0</v>
      </c>
    </row>
    <row r="307" spans="5:18" x14ac:dyDescent="0.25">
      <c r="E307" s="43" t="str">
        <f>'MKT DATA'!B365</f>
        <v>syn BTCG7/BTCF7/BTCZ6/BTCH7/BTCX6/BTCV6</v>
      </c>
      <c r="F307" s="13">
        <f>'MKT DATA'!J365</f>
        <v>1</v>
      </c>
      <c r="G307" s="8">
        <f>'MKT DATA'!K365</f>
        <v>82690</v>
      </c>
      <c r="H307" s="8">
        <f>'MKT DATA'!L365</f>
        <v>84617</v>
      </c>
      <c r="I307" s="13">
        <f>'MKT DATA'!M365</f>
        <v>1</v>
      </c>
      <c r="J307" s="43" t="str">
        <f t="shared" si="12"/>
        <v>syn BTCG7/BTCF7/BTCZ6/BTCH7/BTCX6/BTCV6</v>
      </c>
      <c r="K307" s="8">
        <f>'MKT DATA'!O365</f>
        <v>0</v>
      </c>
      <c r="L307" s="8">
        <f>'MKT DATA'!P365</f>
        <v>82690</v>
      </c>
      <c r="M307" s="8">
        <f>'MKT DATA'!Q365</f>
        <v>0</v>
      </c>
      <c r="N307" s="8">
        <f>'MKT DATA'!R365</f>
        <v>0</v>
      </c>
      <c r="O307" s="8">
        <f>'MKT DATA'!S365</f>
        <v>-84617</v>
      </c>
      <c r="P307" s="8">
        <f>'MKT DATA'!T365</f>
        <v>0</v>
      </c>
      <c r="Q307" s="43" t="str">
        <f t="shared" si="13"/>
        <v>syn BTCG7/BTCF7/BTCZ6/BTCH7/BTCX6/BTCV6</v>
      </c>
      <c r="R307" s="13">
        <f>'MKT DATA'!AB365</f>
        <v>0</v>
      </c>
    </row>
    <row r="308" spans="5:18" x14ac:dyDescent="0.25">
      <c r="E308" s="43" t="str">
        <f>'MKT DATA'!B366</f>
        <v>syn BTCG7/BTCF7/BTCH7/BTCX6/BTCZ6/BTCV6</v>
      </c>
      <c r="F308" s="13">
        <f>'MKT DATA'!J366</f>
        <v>1</v>
      </c>
      <c r="G308" s="8">
        <f>'MKT DATA'!K366</f>
        <v>82427</v>
      </c>
      <c r="H308" s="8">
        <f>'MKT DATA'!L366</f>
        <v>84696</v>
      </c>
      <c r="I308" s="13">
        <f>'MKT DATA'!M366</f>
        <v>1</v>
      </c>
      <c r="J308" s="43" t="str">
        <f t="shared" si="12"/>
        <v>syn BTCG7/BTCF7/BTCH7/BTCX6/BTCZ6/BTCV6</v>
      </c>
      <c r="K308" s="8">
        <f>'MKT DATA'!O366</f>
        <v>0</v>
      </c>
      <c r="L308" s="8">
        <f>'MKT DATA'!P366</f>
        <v>82427</v>
      </c>
      <c r="M308" s="8">
        <f>'MKT DATA'!Q366</f>
        <v>0</v>
      </c>
      <c r="N308" s="8">
        <f>'MKT DATA'!R366</f>
        <v>0</v>
      </c>
      <c r="O308" s="8">
        <f>'MKT DATA'!S366</f>
        <v>-84696</v>
      </c>
      <c r="P308" s="8">
        <f>'MKT DATA'!T366</f>
        <v>0</v>
      </c>
      <c r="Q308" s="43" t="str">
        <f t="shared" si="13"/>
        <v>syn BTCG7/BTCF7/BTCH7/BTCX6/BTCZ6/BTCV6</v>
      </c>
      <c r="R308" s="13">
        <f>'MKT DATA'!AB366</f>
        <v>0</v>
      </c>
    </row>
    <row r="309" spans="5:18" x14ac:dyDescent="0.25">
      <c r="E309" s="43" t="str">
        <f>'MKT DATA'!B367</f>
        <v>syn BTCG7/BTCF7/BTCH7/BTCZ6/BTCX6/BTCV6</v>
      </c>
      <c r="F309" s="13">
        <f>'MKT DATA'!J367</f>
        <v>1</v>
      </c>
      <c r="G309" s="8">
        <f>'MKT DATA'!K367</f>
        <v>82443</v>
      </c>
      <c r="H309" s="8">
        <f>'MKT DATA'!L367</f>
        <v>84485</v>
      </c>
      <c r="I309" s="13">
        <f>'MKT DATA'!M367</f>
        <v>1</v>
      </c>
      <c r="J309" s="43" t="str">
        <f t="shared" si="12"/>
        <v>syn BTCG7/BTCF7/BTCH7/BTCZ6/BTCX6/BTCV6</v>
      </c>
      <c r="K309" s="8">
        <f>'MKT DATA'!O367</f>
        <v>0</v>
      </c>
      <c r="L309" s="8">
        <f>'MKT DATA'!P367</f>
        <v>82443</v>
      </c>
      <c r="M309" s="8">
        <f>'MKT DATA'!Q367</f>
        <v>0</v>
      </c>
      <c r="N309" s="8">
        <f>'MKT DATA'!R367</f>
        <v>0</v>
      </c>
      <c r="O309" s="8">
        <f>'MKT DATA'!S367</f>
        <v>-84485</v>
      </c>
      <c r="P309" s="8">
        <f>'MKT DATA'!T367</f>
        <v>0</v>
      </c>
      <c r="Q309" s="43" t="str">
        <f t="shared" si="13"/>
        <v>syn BTCG7/BTCF7/BTCH7/BTCZ6/BTCX6/BTCV6</v>
      </c>
      <c r="R309" s="13">
        <f>'MKT DATA'!AB367</f>
        <v>0</v>
      </c>
    </row>
    <row r="310" spans="5:18" x14ac:dyDescent="0.25">
      <c r="E310" s="43" t="str">
        <f>'MKT DATA'!B368</f>
        <v>syn BTCG7/BTCH7/BTCX6/BTCZ6/BTCF7/BTCV6</v>
      </c>
      <c r="F310" s="13">
        <f>'MKT DATA'!J368</f>
        <v>1</v>
      </c>
      <c r="G310" s="8">
        <f>'MKT DATA'!K368</f>
        <v>82757</v>
      </c>
      <c r="H310" s="8">
        <f>'MKT DATA'!L368</f>
        <v>84439</v>
      </c>
      <c r="I310" s="13">
        <f>'MKT DATA'!M368</f>
        <v>1</v>
      </c>
      <c r="J310" s="43" t="str">
        <f t="shared" si="12"/>
        <v>syn BTCG7/BTCH7/BTCX6/BTCZ6/BTCF7/BTCV6</v>
      </c>
      <c r="K310" s="8">
        <f>'MKT DATA'!O368</f>
        <v>0</v>
      </c>
      <c r="L310" s="8">
        <f>'MKT DATA'!P368</f>
        <v>82757</v>
      </c>
      <c r="M310" s="8">
        <f>'MKT DATA'!Q368</f>
        <v>0</v>
      </c>
      <c r="N310" s="8">
        <f>'MKT DATA'!R368</f>
        <v>0</v>
      </c>
      <c r="O310" s="8">
        <f>'MKT DATA'!S368</f>
        <v>-84439</v>
      </c>
      <c r="P310" s="8">
        <f>'MKT DATA'!T368</f>
        <v>0</v>
      </c>
      <c r="Q310" s="43" t="str">
        <f t="shared" si="13"/>
        <v>syn BTCG7/BTCH7/BTCX6/BTCZ6/BTCF7/BTCV6</v>
      </c>
      <c r="R310" s="13">
        <f>'MKT DATA'!AB368</f>
        <v>0</v>
      </c>
    </row>
    <row r="311" spans="5:18" x14ac:dyDescent="0.25">
      <c r="E311" s="43" t="str">
        <f>'MKT DATA'!B369</f>
        <v>syn BTCG7/BTCH7/BTCX6/BTCF7/BTCZ6/BTCV6</v>
      </c>
      <c r="F311" s="13">
        <f>'MKT DATA'!J369</f>
        <v>1</v>
      </c>
      <c r="G311" s="8">
        <f>'MKT DATA'!K369</f>
        <v>82740</v>
      </c>
      <c r="H311" s="8">
        <f>'MKT DATA'!L369</f>
        <v>84391</v>
      </c>
      <c r="I311" s="13">
        <f>'MKT DATA'!M369</f>
        <v>1</v>
      </c>
      <c r="J311" s="43" t="str">
        <f t="shared" si="12"/>
        <v>syn BTCG7/BTCH7/BTCX6/BTCF7/BTCZ6/BTCV6</v>
      </c>
      <c r="K311" s="8">
        <f>'MKT DATA'!O369</f>
        <v>0</v>
      </c>
      <c r="L311" s="8">
        <f>'MKT DATA'!P369</f>
        <v>82740</v>
      </c>
      <c r="M311" s="8">
        <f>'MKT DATA'!Q369</f>
        <v>0</v>
      </c>
      <c r="N311" s="8">
        <f>'MKT DATA'!R369</f>
        <v>0</v>
      </c>
      <c r="O311" s="8">
        <f>'MKT DATA'!S369</f>
        <v>-84391</v>
      </c>
      <c r="P311" s="8">
        <f>'MKT DATA'!T369</f>
        <v>0</v>
      </c>
      <c r="Q311" s="43" t="str">
        <f t="shared" si="13"/>
        <v>syn BTCG7/BTCH7/BTCX6/BTCF7/BTCZ6/BTCV6</v>
      </c>
      <c r="R311" s="13">
        <f>'MKT DATA'!AB369</f>
        <v>0</v>
      </c>
    </row>
    <row r="312" spans="5:18" x14ac:dyDescent="0.25">
      <c r="E312" s="43" t="str">
        <f>'MKT DATA'!B370</f>
        <v>syn BTCG7/BTCH7/BTCZ6/BTCX6/BTCF7/BTCV6</v>
      </c>
      <c r="F312" s="13">
        <f>'MKT DATA'!J370</f>
        <v>1</v>
      </c>
      <c r="G312" s="8">
        <f>'MKT DATA'!K370</f>
        <v>82706</v>
      </c>
      <c r="H312" s="8">
        <f>'MKT DATA'!L370</f>
        <v>84264</v>
      </c>
      <c r="I312" s="13">
        <f>'MKT DATA'!M370</f>
        <v>1</v>
      </c>
      <c r="J312" s="43" t="str">
        <f t="shared" si="12"/>
        <v>syn BTCG7/BTCH7/BTCZ6/BTCX6/BTCF7/BTCV6</v>
      </c>
      <c r="K312" s="8">
        <f>'MKT DATA'!O370</f>
        <v>0</v>
      </c>
      <c r="L312" s="8">
        <f>'MKT DATA'!P370</f>
        <v>82706</v>
      </c>
      <c r="M312" s="8">
        <f>'MKT DATA'!Q370</f>
        <v>0</v>
      </c>
      <c r="N312" s="8">
        <f>'MKT DATA'!R370</f>
        <v>0</v>
      </c>
      <c r="O312" s="8">
        <f>'MKT DATA'!S370</f>
        <v>-84264</v>
      </c>
      <c r="P312" s="8">
        <f>'MKT DATA'!T370</f>
        <v>0</v>
      </c>
      <c r="Q312" s="43" t="str">
        <f t="shared" si="13"/>
        <v>syn BTCG7/BTCH7/BTCZ6/BTCX6/BTCF7/BTCV6</v>
      </c>
      <c r="R312" s="13">
        <f>'MKT DATA'!AB370</f>
        <v>0</v>
      </c>
    </row>
    <row r="313" spans="5:18" x14ac:dyDescent="0.25">
      <c r="E313" s="43" t="str">
        <f>'MKT DATA'!B371</f>
        <v>syn BTCG7/BTCH7/BTCZ6/BTCF7/BTCX6/BTCV6</v>
      </c>
      <c r="F313" s="13">
        <f>'MKT DATA'!J371</f>
        <v>1</v>
      </c>
      <c r="G313" s="8">
        <f>'MKT DATA'!K371</f>
        <v>82787</v>
      </c>
      <c r="H313" s="8">
        <f>'MKT DATA'!L371</f>
        <v>84211</v>
      </c>
      <c r="I313" s="13">
        <f>'MKT DATA'!M371</f>
        <v>1</v>
      </c>
      <c r="J313" s="43" t="str">
        <f t="shared" si="12"/>
        <v>syn BTCG7/BTCH7/BTCZ6/BTCF7/BTCX6/BTCV6</v>
      </c>
      <c r="K313" s="8">
        <f>'MKT DATA'!O371</f>
        <v>0</v>
      </c>
      <c r="L313" s="8">
        <f>'MKT DATA'!P371</f>
        <v>82787</v>
      </c>
      <c r="M313" s="8">
        <f>'MKT DATA'!Q371</f>
        <v>0</v>
      </c>
      <c r="N313" s="8">
        <f>'MKT DATA'!R371</f>
        <v>0</v>
      </c>
      <c r="O313" s="8">
        <f>'MKT DATA'!S371</f>
        <v>-84211</v>
      </c>
      <c r="P313" s="8">
        <f>'MKT DATA'!T371</f>
        <v>0</v>
      </c>
      <c r="Q313" s="43" t="str">
        <f t="shared" si="13"/>
        <v>syn BTCG7/BTCH7/BTCZ6/BTCF7/BTCX6/BTCV6</v>
      </c>
      <c r="R313" s="13">
        <f>'MKT DATA'!AB371</f>
        <v>0</v>
      </c>
    </row>
    <row r="314" spans="5:18" x14ac:dyDescent="0.25">
      <c r="E314" s="43" t="str">
        <f>'MKT DATA'!B372</f>
        <v>syn BTCG7/BTCH7/BTCF7/BTCX6/BTCZ6/BTCV6</v>
      </c>
      <c r="F314" s="13">
        <f>'MKT DATA'!J372</f>
        <v>1</v>
      </c>
      <c r="G314" s="8">
        <f>'MKT DATA'!K372</f>
        <v>82708</v>
      </c>
      <c r="H314" s="8">
        <f>'MKT DATA'!L372</f>
        <v>84474</v>
      </c>
      <c r="I314" s="13">
        <f>'MKT DATA'!M372</f>
        <v>1</v>
      </c>
      <c r="J314" s="43" t="str">
        <f t="shared" si="12"/>
        <v>syn BTCG7/BTCH7/BTCF7/BTCX6/BTCZ6/BTCV6</v>
      </c>
      <c r="K314" s="8">
        <f>'MKT DATA'!O372</f>
        <v>0</v>
      </c>
      <c r="L314" s="8">
        <f>'MKT DATA'!P372</f>
        <v>82708</v>
      </c>
      <c r="M314" s="8">
        <f>'MKT DATA'!Q372</f>
        <v>0</v>
      </c>
      <c r="N314" s="8">
        <f>'MKT DATA'!R372</f>
        <v>0</v>
      </c>
      <c r="O314" s="8">
        <f>'MKT DATA'!S372</f>
        <v>-84474</v>
      </c>
      <c r="P314" s="8">
        <f>'MKT DATA'!T372</f>
        <v>0</v>
      </c>
      <c r="Q314" s="43" t="str">
        <f t="shared" si="13"/>
        <v>syn BTCG7/BTCH7/BTCF7/BTCX6/BTCZ6/BTCV6</v>
      </c>
      <c r="R314" s="13">
        <f>'MKT DATA'!AB372</f>
        <v>0</v>
      </c>
    </row>
    <row r="315" spans="5:18" x14ac:dyDescent="0.25">
      <c r="E315" s="43" t="str">
        <f>'MKT DATA'!B373</f>
        <v>syn BTCG7/BTCH7/BTCF7/BTCZ6/BTCX6/BTCV6</v>
      </c>
      <c r="F315" s="13">
        <f>'MKT DATA'!J373</f>
        <v>1</v>
      </c>
      <c r="G315" s="8">
        <f>'MKT DATA'!K373</f>
        <v>82744</v>
      </c>
      <c r="H315" s="8">
        <f>'MKT DATA'!L373</f>
        <v>84407</v>
      </c>
      <c r="I315" s="13">
        <f>'MKT DATA'!M373</f>
        <v>1</v>
      </c>
      <c r="J315" s="43" t="str">
        <f t="shared" si="12"/>
        <v>syn BTCG7/BTCH7/BTCF7/BTCZ6/BTCX6/BTCV6</v>
      </c>
      <c r="K315" s="8">
        <f>'MKT DATA'!O373</f>
        <v>0</v>
      </c>
      <c r="L315" s="8">
        <f>'MKT DATA'!P373</f>
        <v>82744</v>
      </c>
      <c r="M315" s="8">
        <f>'MKT DATA'!Q373</f>
        <v>0</v>
      </c>
      <c r="N315" s="8">
        <f>'MKT DATA'!R373</f>
        <v>0</v>
      </c>
      <c r="O315" s="8">
        <f>'MKT DATA'!S373</f>
        <v>-84407</v>
      </c>
      <c r="P315" s="8">
        <f>'MKT DATA'!T373</f>
        <v>0</v>
      </c>
      <c r="Q315" s="43" t="str">
        <f t="shared" si="13"/>
        <v>syn BTCG7/BTCH7/BTCF7/BTCZ6/BTCX6/BTCV6</v>
      </c>
      <c r="R315" s="13">
        <f>'MKT DATA'!AB373</f>
        <v>0</v>
      </c>
    </row>
    <row r="316" spans="5:18" x14ac:dyDescent="0.25">
      <c r="E316" s="43" t="str">
        <f>'MKT DATA'!B374</f>
        <v>syn BTCH7/BTCX6/BTCZ6/BTCF7/BTCG7/BTCV6</v>
      </c>
      <c r="F316" s="13">
        <f>'MKT DATA'!J374</f>
        <v>1</v>
      </c>
      <c r="G316" s="8">
        <f>'MKT DATA'!K374</f>
        <v>82490</v>
      </c>
      <c r="H316" s="8">
        <f>'MKT DATA'!L374</f>
        <v>84605</v>
      </c>
      <c r="I316" s="13">
        <f>'MKT DATA'!M374</f>
        <v>1</v>
      </c>
      <c r="J316" s="43" t="str">
        <f t="shared" si="12"/>
        <v>syn BTCH7/BTCX6/BTCZ6/BTCF7/BTCG7/BTCV6</v>
      </c>
      <c r="K316" s="8">
        <f>'MKT DATA'!O374</f>
        <v>0</v>
      </c>
      <c r="L316" s="8">
        <f>'MKT DATA'!P374</f>
        <v>82490</v>
      </c>
      <c r="M316" s="8">
        <f>'MKT DATA'!Q374</f>
        <v>0</v>
      </c>
      <c r="N316" s="8">
        <f>'MKT DATA'!R374</f>
        <v>0</v>
      </c>
      <c r="O316" s="8">
        <f>'MKT DATA'!S374</f>
        <v>-84605</v>
      </c>
      <c r="P316" s="8">
        <f>'MKT DATA'!T374</f>
        <v>0</v>
      </c>
      <c r="Q316" s="43" t="str">
        <f t="shared" si="13"/>
        <v>syn BTCH7/BTCX6/BTCZ6/BTCF7/BTCG7/BTCV6</v>
      </c>
      <c r="R316" s="13">
        <f>'MKT DATA'!AB374</f>
        <v>0</v>
      </c>
    </row>
    <row r="317" spans="5:18" x14ac:dyDescent="0.25">
      <c r="E317" s="43" t="str">
        <f>'MKT DATA'!B375</f>
        <v>syn BTCH7/BTCX6/BTCZ6/BTCG7/BTCF7/BTCV6</v>
      </c>
      <c r="F317" s="13">
        <f>'MKT DATA'!J375</f>
        <v>1</v>
      </c>
      <c r="G317" s="8">
        <f>'MKT DATA'!K375</f>
        <v>82430</v>
      </c>
      <c r="H317" s="8">
        <f>'MKT DATA'!L375</f>
        <v>84731</v>
      </c>
      <c r="I317" s="13">
        <f>'MKT DATA'!M375</f>
        <v>1</v>
      </c>
      <c r="J317" s="43" t="str">
        <f t="shared" si="12"/>
        <v>syn BTCH7/BTCX6/BTCZ6/BTCG7/BTCF7/BTCV6</v>
      </c>
      <c r="K317" s="8">
        <f>'MKT DATA'!O375</f>
        <v>0</v>
      </c>
      <c r="L317" s="8">
        <f>'MKT DATA'!P375</f>
        <v>82430</v>
      </c>
      <c r="M317" s="8">
        <f>'MKT DATA'!Q375</f>
        <v>0</v>
      </c>
      <c r="N317" s="8">
        <f>'MKT DATA'!R375</f>
        <v>0</v>
      </c>
      <c r="O317" s="8">
        <f>'MKT DATA'!S375</f>
        <v>-84731</v>
      </c>
      <c r="P317" s="8">
        <f>'MKT DATA'!T375</f>
        <v>0</v>
      </c>
      <c r="Q317" s="43" t="str">
        <f t="shared" si="13"/>
        <v>syn BTCH7/BTCX6/BTCZ6/BTCG7/BTCF7/BTCV6</v>
      </c>
      <c r="R317" s="13">
        <f>'MKT DATA'!AB375</f>
        <v>0</v>
      </c>
    </row>
    <row r="318" spans="5:18" x14ac:dyDescent="0.25">
      <c r="E318" s="43" t="str">
        <f>'MKT DATA'!B376</f>
        <v>syn BTCH7/BTCX6/BTCF7/BTCZ6/BTCG7/BTCV6</v>
      </c>
      <c r="F318" s="13">
        <f>'MKT DATA'!J376</f>
        <v>1</v>
      </c>
      <c r="G318" s="8">
        <f>'MKT DATA'!K376</f>
        <v>82307</v>
      </c>
      <c r="H318" s="8">
        <f>'MKT DATA'!L376</f>
        <v>84777</v>
      </c>
      <c r="I318" s="13">
        <f>'MKT DATA'!M376</f>
        <v>1</v>
      </c>
      <c r="J318" s="43" t="str">
        <f t="shared" si="12"/>
        <v>syn BTCH7/BTCX6/BTCF7/BTCZ6/BTCG7/BTCV6</v>
      </c>
      <c r="K318" s="8">
        <f>'MKT DATA'!O376</f>
        <v>0</v>
      </c>
      <c r="L318" s="8">
        <f>'MKT DATA'!P376</f>
        <v>82307</v>
      </c>
      <c r="M318" s="8">
        <f>'MKT DATA'!Q376</f>
        <v>0</v>
      </c>
      <c r="N318" s="8">
        <f>'MKT DATA'!R376</f>
        <v>0</v>
      </c>
      <c r="O318" s="8">
        <f>'MKT DATA'!S376</f>
        <v>-84777</v>
      </c>
      <c r="P318" s="8">
        <f>'MKT DATA'!T376</f>
        <v>0</v>
      </c>
      <c r="Q318" s="43" t="str">
        <f t="shared" si="13"/>
        <v>syn BTCH7/BTCX6/BTCF7/BTCZ6/BTCG7/BTCV6</v>
      </c>
      <c r="R318" s="13">
        <f>'MKT DATA'!AB376</f>
        <v>0</v>
      </c>
    </row>
    <row r="319" spans="5:18" x14ac:dyDescent="0.25">
      <c r="E319" s="43" t="str">
        <f>'MKT DATA'!B377</f>
        <v>syn BTCH7/BTCX6/BTCF7/BTCG7/BTCZ6/BTCV6</v>
      </c>
      <c r="F319" s="13">
        <f>'MKT DATA'!J377</f>
        <v>1</v>
      </c>
      <c r="G319" s="8">
        <f>'MKT DATA'!K377</f>
        <v>82393</v>
      </c>
      <c r="H319" s="8">
        <f>'MKT DATA'!L377</f>
        <v>84663</v>
      </c>
      <c r="I319" s="13">
        <f>'MKT DATA'!M377</f>
        <v>1</v>
      </c>
      <c r="J319" s="43" t="str">
        <f t="shared" si="12"/>
        <v>syn BTCH7/BTCX6/BTCF7/BTCG7/BTCZ6/BTCV6</v>
      </c>
      <c r="K319" s="8">
        <f>'MKT DATA'!O377</f>
        <v>0</v>
      </c>
      <c r="L319" s="8">
        <f>'MKT DATA'!P377</f>
        <v>82393</v>
      </c>
      <c r="M319" s="8">
        <f>'MKT DATA'!Q377</f>
        <v>0</v>
      </c>
      <c r="N319" s="8">
        <f>'MKT DATA'!R377</f>
        <v>0</v>
      </c>
      <c r="O319" s="8">
        <f>'MKT DATA'!S377</f>
        <v>-84663</v>
      </c>
      <c r="P319" s="8">
        <f>'MKT DATA'!T377</f>
        <v>0</v>
      </c>
      <c r="Q319" s="43" t="str">
        <f t="shared" si="13"/>
        <v>syn BTCH7/BTCX6/BTCF7/BTCG7/BTCZ6/BTCV6</v>
      </c>
      <c r="R319" s="13">
        <f>'MKT DATA'!AB377</f>
        <v>0</v>
      </c>
    </row>
    <row r="320" spans="5:18" x14ac:dyDescent="0.25">
      <c r="E320" s="43" t="str">
        <f>'MKT DATA'!B378</f>
        <v>syn BTCH7/BTCX6/BTCG7/BTCZ6/BTCF7/BTCV6</v>
      </c>
      <c r="F320" s="13">
        <f>'MKT DATA'!J378</f>
        <v>1</v>
      </c>
      <c r="G320" s="8">
        <f>'MKT DATA'!K378</f>
        <v>82293</v>
      </c>
      <c r="H320" s="8">
        <f>'MKT DATA'!L378</f>
        <v>84833</v>
      </c>
      <c r="I320" s="13">
        <f>'MKT DATA'!M378</f>
        <v>1</v>
      </c>
      <c r="J320" s="43" t="str">
        <f t="shared" si="12"/>
        <v>syn BTCH7/BTCX6/BTCG7/BTCZ6/BTCF7/BTCV6</v>
      </c>
      <c r="K320" s="8">
        <f>'MKT DATA'!O378</f>
        <v>0</v>
      </c>
      <c r="L320" s="8">
        <f>'MKT DATA'!P378</f>
        <v>82293</v>
      </c>
      <c r="M320" s="8">
        <f>'MKT DATA'!Q378</f>
        <v>0</v>
      </c>
      <c r="N320" s="8">
        <f>'MKT DATA'!R378</f>
        <v>0</v>
      </c>
      <c r="O320" s="8">
        <f>'MKT DATA'!S378</f>
        <v>-84833</v>
      </c>
      <c r="P320" s="8">
        <f>'MKT DATA'!T378</f>
        <v>0</v>
      </c>
      <c r="Q320" s="43" t="str">
        <f t="shared" si="13"/>
        <v>syn BTCH7/BTCX6/BTCG7/BTCZ6/BTCF7/BTCV6</v>
      </c>
      <c r="R320" s="13">
        <f>'MKT DATA'!AB378</f>
        <v>0</v>
      </c>
    </row>
    <row r="321" spans="5:18" x14ac:dyDescent="0.25">
      <c r="E321" s="43" t="str">
        <f>'MKT DATA'!B379</f>
        <v>syn BTCH7/BTCX6/BTCG7/BTCF7/BTCZ6/BTCV6</v>
      </c>
      <c r="F321" s="13">
        <f>'MKT DATA'!J379</f>
        <v>1</v>
      </c>
      <c r="G321" s="8">
        <f>'MKT DATA'!K379</f>
        <v>82479</v>
      </c>
      <c r="H321" s="8">
        <f>'MKT DATA'!L379</f>
        <v>84633</v>
      </c>
      <c r="I321" s="13">
        <f>'MKT DATA'!M379</f>
        <v>1</v>
      </c>
      <c r="J321" s="43" t="str">
        <f t="shared" si="12"/>
        <v>syn BTCH7/BTCX6/BTCG7/BTCF7/BTCZ6/BTCV6</v>
      </c>
      <c r="K321" s="8">
        <f>'MKT DATA'!O379</f>
        <v>0</v>
      </c>
      <c r="L321" s="8">
        <f>'MKT DATA'!P379</f>
        <v>82479</v>
      </c>
      <c r="M321" s="8">
        <f>'MKT DATA'!Q379</f>
        <v>0</v>
      </c>
      <c r="N321" s="8">
        <f>'MKT DATA'!R379</f>
        <v>0</v>
      </c>
      <c r="O321" s="8">
        <f>'MKT DATA'!S379</f>
        <v>-84633</v>
      </c>
      <c r="P321" s="8">
        <f>'MKT DATA'!T379</f>
        <v>0</v>
      </c>
      <c r="Q321" s="43" t="str">
        <f t="shared" si="13"/>
        <v>syn BTCH7/BTCX6/BTCG7/BTCF7/BTCZ6/BTCV6</v>
      </c>
      <c r="R321" s="13">
        <f>'MKT DATA'!AB379</f>
        <v>0</v>
      </c>
    </row>
    <row r="322" spans="5:18" x14ac:dyDescent="0.25">
      <c r="E322" s="43" t="str">
        <f>'MKT DATA'!B380</f>
        <v>syn BTCH7/BTCZ6/BTCX6/BTCF7/BTCG7/BTCV6</v>
      </c>
      <c r="F322" s="13">
        <f>'MKT DATA'!J380</f>
        <v>1</v>
      </c>
      <c r="G322" s="8">
        <f>'MKT DATA'!K380</f>
        <v>82439</v>
      </c>
      <c r="H322" s="8">
        <f>'MKT DATA'!L380</f>
        <v>84430</v>
      </c>
      <c r="I322" s="13">
        <f>'MKT DATA'!M380</f>
        <v>1</v>
      </c>
      <c r="J322" s="43" t="str">
        <f t="shared" si="12"/>
        <v>syn BTCH7/BTCZ6/BTCX6/BTCF7/BTCG7/BTCV6</v>
      </c>
      <c r="K322" s="8">
        <f>'MKT DATA'!O380</f>
        <v>0</v>
      </c>
      <c r="L322" s="8">
        <f>'MKT DATA'!P380</f>
        <v>82439</v>
      </c>
      <c r="M322" s="8">
        <f>'MKT DATA'!Q380</f>
        <v>0</v>
      </c>
      <c r="N322" s="8">
        <f>'MKT DATA'!R380</f>
        <v>0</v>
      </c>
      <c r="O322" s="8">
        <f>'MKT DATA'!S380</f>
        <v>-84430</v>
      </c>
      <c r="P322" s="8">
        <f>'MKT DATA'!T380</f>
        <v>0</v>
      </c>
      <c r="Q322" s="43" t="str">
        <f t="shared" si="13"/>
        <v>syn BTCH7/BTCZ6/BTCX6/BTCF7/BTCG7/BTCV6</v>
      </c>
      <c r="R322" s="13">
        <f>'MKT DATA'!AB380</f>
        <v>0</v>
      </c>
    </row>
    <row r="323" spans="5:18" x14ac:dyDescent="0.25">
      <c r="E323" s="43" t="str">
        <f>'MKT DATA'!B381</f>
        <v>syn BTCH7/BTCZ6/BTCX6/BTCG7/BTCF7/BTCV6</v>
      </c>
      <c r="F323" s="13">
        <f>'MKT DATA'!J381</f>
        <v>1</v>
      </c>
      <c r="G323" s="8">
        <f>'MKT DATA'!K381</f>
        <v>82445</v>
      </c>
      <c r="H323" s="8">
        <f>'MKT DATA'!L381</f>
        <v>84506</v>
      </c>
      <c r="I323" s="13">
        <f>'MKT DATA'!M381</f>
        <v>1</v>
      </c>
      <c r="J323" s="43" t="str">
        <f t="shared" si="12"/>
        <v>syn BTCH7/BTCZ6/BTCX6/BTCG7/BTCF7/BTCV6</v>
      </c>
      <c r="K323" s="8">
        <f>'MKT DATA'!O381</f>
        <v>0</v>
      </c>
      <c r="L323" s="8">
        <f>'MKT DATA'!P381</f>
        <v>82445</v>
      </c>
      <c r="M323" s="8">
        <f>'MKT DATA'!Q381</f>
        <v>0</v>
      </c>
      <c r="N323" s="8">
        <f>'MKT DATA'!R381</f>
        <v>0</v>
      </c>
      <c r="O323" s="8">
        <f>'MKT DATA'!S381</f>
        <v>-84506</v>
      </c>
      <c r="P323" s="8">
        <f>'MKT DATA'!T381</f>
        <v>0</v>
      </c>
      <c r="Q323" s="43" t="str">
        <f t="shared" si="13"/>
        <v>syn BTCH7/BTCZ6/BTCX6/BTCG7/BTCF7/BTCV6</v>
      </c>
      <c r="R323" s="13">
        <f>'MKT DATA'!AB381</f>
        <v>0</v>
      </c>
    </row>
    <row r="324" spans="5:18" x14ac:dyDescent="0.25">
      <c r="E324" s="43" t="str">
        <f>'MKT DATA'!B382</f>
        <v>syn BTCH7/BTCZ6/BTCF7/BTCX6/BTCG7/BTCV6</v>
      </c>
      <c r="F324" s="13">
        <f>'MKT DATA'!J382</f>
        <v>1</v>
      </c>
      <c r="G324" s="8">
        <f>'MKT DATA'!K382</f>
        <v>82353</v>
      </c>
      <c r="H324" s="8">
        <f>'MKT DATA'!L382</f>
        <v>84583</v>
      </c>
      <c r="I324" s="13">
        <f>'MKT DATA'!M382</f>
        <v>1</v>
      </c>
      <c r="J324" s="43" t="str">
        <f t="shared" si="12"/>
        <v>syn BTCH7/BTCZ6/BTCF7/BTCX6/BTCG7/BTCV6</v>
      </c>
      <c r="K324" s="8">
        <f>'MKT DATA'!O382</f>
        <v>0</v>
      </c>
      <c r="L324" s="8">
        <f>'MKT DATA'!P382</f>
        <v>82353</v>
      </c>
      <c r="M324" s="8">
        <f>'MKT DATA'!Q382</f>
        <v>0</v>
      </c>
      <c r="N324" s="8">
        <f>'MKT DATA'!R382</f>
        <v>0</v>
      </c>
      <c r="O324" s="8">
        <f>'MKT DATA'!S382</f>
        <v>-84583</v>
      </c>
      <c r="P324" s="8">
        <f>'MKT DATA'!T382</f>
        <v>0</v>
      </c>
      <c r="Q324" s="43" t="str">
        <f t="shared" si="13"/>
        <v>syn BTCH7/BTCZ6/BTCF7/BTCX6/BTCG7/BTCV6</v>
      </c>
      <c r="R324" s="13">
        <f>'MKT DATA'!AB382</f>
        <v>0</v>
      </c>
    </row>
    <row r="325" spans="5:18" x14ac:dyDescent="0.25">
      <c r="E325" s="43" t="str">
        <f>'MKT DATA'!B383</f>
        <v>syn BTCH7/BTCZ6/BTCF7/BTCG7/BTCX6/BTCV6</v>
      </c>
      <c r="F325" s="13">
        <f>'MKT DATA'!J383</f>
        <v>1</v>
      </c>
      <c r="G325" s="8">
        <f>'MKT DATA'!K383</f>
        <v>82490</v>
      </c>
      <c r="H325" s="8">
        <f>'MKT DATA'!L383</f>
        <v>84417</v>
      </c>
      <c r="I325" s="13">
        <f>'MKT DATA'!M383</f>
        <v>1</v>
      </c>
      <c r="J325" s="43" t="str">
        <f t="shared" si="12"/>
        <v>syn BTCH7/BTCZ6/BTCF7/BTCG7/BTCX6/BTCV6</v>
      </c>
      <c r="K325" s="8">
        <f>'MKT DATA'!O383</f>
        <v>0</v>
      </c>
      <c r="L325" s="8">
        <f>'MKT DATA'!P383</f>
        <v>82490</v>
      </c>
      <c r="M325" s="8">
        <f>'MKT DATA'!Q383</f>
        <v>0</v>
      </c>
      <c r="N325" s="8">
        <f>'MKT DATA'!R383</f>
        <v>0</v>
      </c>
      <c r="O325" s="8">
        <f>'MKT DATA'!S383</f>
        <v>-84417</v>
      </c>
      <c r="P325" s="8">
        <f>'MKT DATA'!T383</f>
        <v>0</v>
      </c>
      <c r="Q325" s="43" t="str">
        <f t="shared" si="13"/>
        <v>syn BTCH7/BTCZ6/BTCF7/BTCG7/BTCX6/BTCV6</v>
      </c>
      <c r="R325" s="13">
        <f>'MKT DATA'!AB383</f>
        <v>0</v>
      </c>
    </row>
    <row r="326" spans="5:18" x14ac:dyDescent="0.25">
      <c r="E326" s="43" t="str">
        <f>'MKT DATA'!B384</f>
        <v>syn BTCH7/BTCZ6/BTCG7/BTCX6/BTCF7/BTCV6</v>
      </c>
      <c r="F326" s="13">
        <f>'MKT DATA'!J384</f>
        <v>1</v>
      </c>
      <c r="G326" s="8">
        <f>'MKT DATA'!K384</f>
        <v>82257</v>
      </c>
      <c r="H326" s="8">
        <f>'MKT DATA'!L384</f>
        <v>84673</v>
      </c>
      <c r="I326" s="13">
        <f>'MKT DATA'!M384</f>
        <v>1</v>
      </c>
      <c r="J326" s="43" t="str">
        <f t="shared" si="12"/>
        <v>syn BTCH7/BTCZ6/BTCG7/BTCX6/BTCF7/BTCV6</v>
      </c>
      <c r="K326" s="8">
        <f>'MKT DATA'!O384</f>
        <v>0</v>
      </c>
      <c r="L326" s="8">
        <f>'MKT DATA'!P384</f>
        <v>82257</v>
      </c>
      <c r="M326" s="8">
        <f>'MKT DATA'!Q384</f>
        <v>0</v>
      </c>
      <c r="N326" s="8">
        <f>'MKT DATA'!R384</f>
        <v>0</v>
      </c>
      <c r="O326" s="8">
        <f>'MKT DATA'!S384</f>
        <v>-84673</v>
      </c>
      <c r="P326" s="8">
        <f>'MKT DATA'!T384</f>
        <v>0</v>
      </c>
      <c r="Q326" s="43" t="str">
        <f t="shared" si="13"/>
        <v>syn BTCH7/BTCZ6/BTCG7/BTCX6/BTCF7/BTCV6</v>
      </c>
      <c r="R326" s="13">
        <f>'MKT DATA'!AB384</f>
        <v>0</v>
      </c>
    </row>
    <row r="327" spans="5:18" x14ac:dyDescent="0.25">
      <c r="E327" s="43" t="str">
        <f>'MKT DATA'!B385</f>
        <v>syn BTCH7/BTCZ6/BTCG7/BTCF7/BTCX6/BTCV6</v>
      </c>
      <c r="F327" s="13">
        <f>'MKT DATA'!J385</f>
        <v>1</v>
      </c>
      <c r="G327" s="8">
        <f>'MKT DATA'!K385</f>
        <v>82460</v>
      </c>
      <c r="H327" s="8">
        <f>'MKT DATA'!L385</f>
        <v>84503</v>
      </c>
      <c r="I327" s="13">
        <f>'MKT DATA'!M385</f>
        <v>1</v>
      </c>
      <c r="J327" s="43" t="str">
        <f t="shared" si="12"/>
        <v>syn BTCH7/BTCZ6/BTCG7/BTCF7/BTCX6/BTCV6</v>
      </c>
      <c r="K327" s="8">
        <f>'MKT DATA'!O385</f>
        <v>0</v>
      </c>
      <c r="L327" s="8">
        <f>'MKT DATA'!P385</f>
        <v>82460</v>
      </c>
      <c r="M327" s="8">
        <f>'MKT DATA'!Q385</f>
        <v>0</v>
      </c>
      <c r="N327" s="8">
        <f>'MKT DATA'!R385</f>
        <v>0</v>
      </c>
      <c r="O327" s="8">
        <f>'MKT DATA'!S385</f>
        <v>-84503</v>
      </c>
      <c r="P327" s="8">
        <f>'MKT DATA'!T385</f>
        <v>0</v>
      </c>
      <c r="Q327" s="43" t="str">
        <f t="shared" si="13"/>
        <v>syn BTCH7/BTCZ6/BTCG7/BTCF7/BTCX6/BTCV6</v>
      </c>
      <c r="R327" s="13">
        <f>'MKT DATA'!AB385</f>
        <v>0</v>
      </c>
    </row>
    <row r="328" spans="5:18" x14ac:dyDescent="0.25">
      <c r="E328" s="43" t="str">
        <f>'MKT DATA'!B386</f>
        <v>syn BTCH7/BTCF7/BTCX6/BTCZ6/BTCG7/BTCV6</v>
      </c>
      <c r="F328" s="13">
        <f>'MKT DATA'!J386</f>
        <v>1</v>
      </c>
      <c r="G328" s="8">
        <f>'MKT DATA'!K386</f>
        <v>82275</v>
      </c>
      <c r="H328" s="8">
        <f>'MKT DATA'!L386</f>
        <v>84860</v>
      </c>
      <c r="I328" s="13">
        <f>'MKT DATA'!M386</f>
        <v>1</v>
      </c>
      <c r="J328" s="43" t="str">
        <f t="shared" si="12"/>
        <v>syn BTCH7/BTCF7/BTCX6/BTCZ6/BTCG7/BTCV6</v>
      </c>
      <c r="K328" s="8">
        <f>'MKT DATA'!O386</f>
        <v>0</v>
      </c>
      <c r="L328" s="8">
        <f>'MKT DATA'!P386</f>
        <v>82275</v>
      </c>
      <c r="M328" s="8">
        <f>'MKT DATA'!Q386</f>
        <v>0</v>
      </c>
      <c r="N328" s="8">
        <f>'MKT DATA'!R386</f>
        <v>0</v>
      </c>
      <c r="O328" s="8">
        <f>'MKT DATA'!S386</f>
        <v>-84860</v>
      </c>
      <c r="P328" s="8">
        <f>'MKT DATA'!T386</f>
        <v>0</v>
      </c>
      <c r="Q328" s="43" t="str">
        <f t="shared" si="13"/>
        <v>syn BTCH7/BTCF7/BTCX6/BTCZ6/BTCG7/BTCV6</v>
      </c>
      <c r="R328" s="13">
        <f>'MKT DATA'!AB386</f>
        <v>0</v>
      </c>
    </row>
    <row r="329" spans="5:18" x14ac:dyDescent="0.25">
      <c r="E329" s="43" t="str">
        <f>'MKT DATA'!B387</f>
        <v>syn BTCH7/BTCF7/BTCX6/BTCG7/BTCZ6/BTCV6</v>
      </c>
      <c r="F329" s="13">
        <f>'MKT DATA'!J387</f>
        <v>1</v>
      </c>
      <c r="G329" s="8">
        <f>'MKT DATA'!K387</f>
        <v>82244</v>
      </c>
      <c r="H329" s="8">
        <f>'MKT DATA'!L387</f>
        <v>84868</v>
      </c>
      <c r="I329" s="13">
        <f>'MKT DATA'!M387</f>
        <v>1</v>
      </c>
      <c r="J329" s="43" t="str">
        <f t="shared" si="12"/>
        <v>syn BTCH7/BTCF7/BTCX6/BTCG7/BTCZ6/BTCV6</v>
      </c>
      <c r="K329" s="8">
        <f>'MKT DATA'!O387</f>
        <v>0</v>
      </c>
      <c r="L329" s="8">
        <f>'MKT DATA'!P387</f>
        <v>82244</v>
      </c>
      <c r="M329" s="8">
        <f>'MKT DATA'!Q387</f>
        <v>0</v>
      </c>
      <c r="N329" s="8">
        <f>'MKT DATA'!R387</f>
        <v>0</v>
      </c>
      <c r="O329" s="8">
        <f>'MKT DATA'!S387</f>
        <v>-84868</v>
      </c>
      <c r="P329" s="8">
        <f>'MKT DATA'!T387</f>
        <v>0</v>
      </c>
      <c r="Q329" s="43" t="str">
        <f t="shared" si="13"/>
        <v>syn BTCH7/BTCF7/BTCX6/BTCG7/BTCZ6/BTCV6</v>
      </c>
      <c r="R329" s="13">
        <f>'MKT DATA'!AB387</f>
        <v>0</v>
      </c>
    </row>
    <row r="330" spans="5:18" x14ac:dyDescent="0.25">
      <c r="E330" s="43" t="str">
        <f>'MKT DATA'!B388</f>
        <v>syn BTCH7/BTCF7/BTCZ6/BTCX6/BTCG7/BTCV6</v>
      </c>
      <c r="F330" s="13">
        <f>'MKT DATA'!J388</f>
        <v>1</v>
      </c>
      <c r="G330" s="8">
        <f>'MKT DATA'!K388</f>
        <v>82310</v>
      </c>
      <c r="H330" s="8">
        <f>'MKT DATA'!L388</f>
        <v>84779</v>
      </c>
      <c r="I330" s="13">
        <f>'MKT DATA'!M388</f>
        <v>1</v>
      </c>
      <c r="J330" s="43" t="str">
        <f t="shared" si="12"/>
        <v>syn BTCH7/BTCF7/BTCZ6/BTCX6/BTCG7/BTCV6</v>
      </c>
      <c r="K330" s="8">
        <f>'MKT DATA'!O388</f>
        <v>0</v>
      </c>
      <c r="L330" s="8">
        <f>'MKT DATA'!P388</f>
        <v>82310</v>
      </c>
      <c r="M330" s="8">
        <f>'MKT DATA'!Q388</f>
        <v>0</v>
      </c>
      <c r="N330" s="8">
        <f>'MKT DATA'!R388</f>
        <v>0</v>
      </c>
      <c r="O330" s="8">
        <f>'MKT DATA'!S388</f>
        <v>-84779</v>
      </c>
      <c r="P330" s="8">
        <f>'MKT DATA'!T388</f>
        <v>0</v>
      </c>
      <c r="Q330" s="43" t="str">
        <f t="shared" si="13"/>
        <v>syn BTCH7/BTCF7/BTCZ6/BTCX6/BTCG7/BTCV6</v>
      </c>
      <c r="R330" s="13">
        <f>'MKT DATA'!AB388</f>
        <v>0</v>
      </c>
    </row>
    <row r="331" spans="5:18" x14ac:dyDescent="0.25">
      <c r="E331" s="43" t="str">
        <f>'MKT DATA'!B389</f>
        <v>syn BTCH7/BTCF7/BTCZ6/BTCG7/BTCX6/BTCV6</v>
      </c>
      <c r="F331" s="13">
        <f>'MKT DATA'!J389</f>
        <v>1</v>
      </c>
      <c r="G331" s="8">
        <f>'MKT DATA'!K389</f>
        <v>82295</v>
      </c>
      <c r="H331" s="8">
        <f>'MKT DATA'!L389</f>
        <v>84816</v>
      </c>
      <c r="I331" s="13">
        <f>'MKT DATA'!M389</f>
        <v>1</v>
      </c>
      <c r="J331" s="43" t="str">
        <f t="shared" si="12"/>
        <v>syn BTCH7/BTCF7/BTCZ6/BTCG7/BTCX6/BTCV6</v>
      </c>
      <c r="K331" s="8">
        <f>'MKT DATA'!O389</f>
        <v>0</v>
      </c>
      <c r="L331" s="8">
        <f>'MKT DATA'!P389</f>
        <v>82295</v>
      </c>
      <c r="M331" s="8">
        <f>'MKT DATA'!Q389</f>
        <v>0</v>
      </c>
      <c r="N331" s="8">
        <f>'MKT DATA'!R389</f>
        <v>0</v>
      </c>
      <c r="O331" s="8">
        <f>'MKT DATA'!S389</f>
        <v>-84816</v>
      </c>
      <c r="P331" s="8">
        <f>'MKT DATA'!T389</f>
        <v>0</v>
      </c>
      <c r="Q331" s="43" t="str">
        <f t="shared" si="13"/>
        <v>syn BTCH7/BTCF7/BTCZ6/BTCG7/BTCX6/BTCV6</v>
      </c>
      <c r="R331" s="13">
        <f>'MKT DATA'!AB389</f>
        <v>0</v>
      </c>
    </row>
    <row r="332" spans="5:18" x14ac:dyDescent="0.25">
      <c r="E332" s="43" t="str">
        <f>'MKT DATA'!B390</f>
        <v>syn BTCH7/BTCF7/BTCG7/BTCX6/BTCZ6/BTCV6</v>
      </c>
      <c r="F332" s="13">
        <f>'MKT DATA'!J390</f>
        <v>1</v>
      </c>
      <c r="G332" s="8">
        <f>'MKT DATA'!K390</f>
        <v>82411</v>
      </c>
      <c r="H332" s="8">
        <f>'MKT DATA'!L390</f>
        <v>84680</v>
      </c>
      <c r="I332" s="13">
        <f>'MKT DATA'!M390</f>
        <v>1</v>
      </c>
      <c r="J332" s="43" t="str">
        <f t="shared" si="12"/>
        <v>syn BTCH7/BTCF7/BTCG7/BTCX6/BTCZ6/BTCV6</v>
      </c>
      <c r="K332" s="8">
        <f>'MKT DATA'!O390</f>
        <v>0</v>
      </c>
      <c r="L332" s="8">
        <f>'MKT DATA'!P390</f>
        <v>82411</v>
      </c>
      <c r="M332" s="8">
        <f>'MKT DATA'!Q390</f>
        <v>0</v>
      </c>
      <c r="N332" s="8">
        <f>'MKT DATA'!R390</f>
        <v>0</v>
      </c>
      <c r="O332" s="8">
        <f>'MKT DATA'!S390</f>
        <v>-84680</v>
      </c>
      <c r="P332" s="8">
        <f>'MKT DATA'!T390</f>
        <v>0</v>
      </c>
      <c r="Q332" s="43" t="str">
        <f t="shared" si="13"/>
        <v>syn BTCH7/BTCF7/BTCG7/BTCX6/BTCZ6/BTCV6</v>
      </c>
      <c r="R332" s="13">
        <f>'MKT DATA'!AB390</f>
        <v>0</v>
      </c>
    </row>
    <row r="333" spans="5:18" x14ac:dyDescent="0.25">
      <c r="E333" s="43" t="str">
        <f>'MKT DATA'!B391</f>
        <v>syn BTCH7/BTCF7/BTCG7/BTCZ6/BTCX6/BTCV6</v>
      </c>
      <c r="F333" s="13">
        <f>'MKT DATA'!J391</f>
        <v>1</v>
      </c>
      <c r="G333" s="8">
        <f>'MKT DATA'!K391</f>
        <v>82397</v>
      </c>
      <c r="H333" s="8">
        <f>'MKT DATA'!L391</f>
        <v>84679</v>
      </c>
      <c r="I333" s="13">
        <f>'MKT DATA'!M391</f>
        <v>1</v>
      </c>
      <c r="J333" s="43" t="str">
        <f t="shared" si="12"/>
        <v>syn BTCH7/BTCF7/BTCG7/BTCZ6/BTCX6/BTCV6</v>
      </c>
      <c r="K333" s="8">
        <f>'MKT DATA'!O391</f>
        <v>0</v>
      </c>
      <c r="L333" s="8">
        <f>'MKT DATA'!P391</f>
        <v>82397</v>
      </c>
      <c r="M333" s="8">
        <f>'MKT DATA'!Q391</f>
        <v>0</v>
      </c>
      <c r="N333" s="8">
        <f>'MKT DATA'!R391</f>
        <v>0</v>
      </c>
      <c r="O333" s="8">
        <f>'MKT DATA'!S391</f>
        <v>-84679</v>
      </c>
      <c r="P333" s="8">
        <f>'MKT DATA'!T391</f>
        <v>0</v>
      </c>
      <c r="Q333" s="43" t="str">
        <f t="shared" si="13"/>
        <v>syn BTCH7/BTCF7/BTCG7/BTCZ6/BTCX6/BTCV6</v>
      </c>
      <c r="R333" s="13">
        <f>'MKT DATA'!AB391</f>
        <v>0</v>
      </c>
    </row>
    <row r="334" spans="5:18" x14ac:dyDescent="0.25">
      <c r="E334" s="43" t="str">
        <f>'MKT DATA'!B392</f>
        <v>syn BTCH7/BTCG7/BTCX6/BTCZ6/BTCF7/BTCV6</v>
      </c>
      <c r="F334" s="13">
        <f>'MKT DATA'!J392</f>
        <v>1</v>
      </c>
      <c r="G334" s="8">
        <f>'MKT DATA'!K392</f>
        <v>82702</v>
      </c>
      <c r="H334" s="8">
        <f>'MKT DATA'!L392</f>
        <v>84384</v>
      </c>
      <c r="I334" s="13">
        <f>'MKT DATA'!M392</f>
        <v>1</v>
      </c>
      <c r="J334" s="43" t="str">
        <f t="shared" ref="J334:J339" si="14">E334</f>
        <v>syn BTCH7/BTCG7/BTCX6/BTCZ6/BTCF7/BTCV6</v>
      </c>
      <c r="K334" s="8">
        <f>'MKT DATA'!O392</f>
        <v>0</v>
      </c>
      <c r="L334" s="8">
        <f>'MKT DATA'!P392</f>
        <v>82702</v>
      </c>
      <c r="M334" s="8">
        <f>'MKT DATA'!Q392</f>
        <v>0</v>
      </c>
      <c r="N334" s="8">
        <f>'MKT DATA'!R392</f>
        <v>0</v>
      </c>
      <c r="O334" s="8">
        <f>'MKT DATA'!S392</f>
        <v>-84384</v>
      </c>
      <c r="P334" s="8">
        <f>'MKT DATA'!T392</f>
        <v>0</v>
      </c>
      <c r="Q334" s="43" t="str">
        <f t="shared" ref="Q334:Q339" si="15">J334</f>
        <v>syn BTCH7/BTCG7/BTCX6/BTCZ6/BTCF7/BTCV6</v>
      </c>
      <c r="R334" s="13">
        <f>'MKT DATA'!AB392</f>
        <v>0</v>
      </c>
    </row>
    <row r="335" spans="5:18" x14ac:dyDescent="0.25">
      <c r="E335" s="43" t="str">
        <f>'MKT DATA'!B393</f>
        <v>syn BTCH7/BTCG7/BTCX6/BTCF7/BTCZ6/BTCV6</v>
      </c>
      <c r="F335" s="13">
        <f>'MKT DATA'!J393</f>
        <v>1</v>
      </c>
      <c r="G335" s="8">
        <f>'MKT DATA'!K393</f>
        <v>82685</v>
      </c>
      <c r="H335" s="8">
        <f>'MKT DATA'!L393</f>
        <v>84336</v>
      </c>
      <c r="I335" s="13">
        <f>'MKT DATA'!M393</f>
        <v>1</v>
      </c>
      <c r="J335" s="43" t="str">
        <f t="shared" si="14"/>
        <v>syn BTCH7/BTCG7/BTCX6/BTCF7/BTCZ6/BTCV6</v>
      </c>
      <c r="K335" s="8">
        <f>'MKT DATA'!O393</f>
        <v>0</v>
      </c>
      <c r="L335" s="8">
        <f>'MKT DATA'!P393</f>
        <v>82685</v>
      </c>
      <c r="M335" s="8">
        <f>'MKT DATA'!Q393</f>
        <v>0</v>
      </c>
      <c r="N335" s="8">
        <f>'MKT DATA'!R393</f>
        <v>0</v>
      </c>
      <c r="O335" s="8">
        <f>'MKT DATA'!S393</f>
        <v>-84336</v>
      </c>
      <c r="P335" s="8">
        <f>'MKT DATA'!T393</f>
        <v>0</v>
      </c>
      <c r="Q335" s="43" t="str">
        <f t="shared" si="15"/>
        <v>syn BTCH7/BTCG7/BTCX6/BTCF7/BTCZ6/BTCV6</v>
      </c>
      <c r="R335" s="13">
        <f>'MKT DATA'!AB393</f>
        <v>0</v>
      </c>
    </row>
    <row r="336" spans="5:18" x14ac:dyDescent="0.25">
      <c r="E336" s="43" t="str">
        <f>'MKT DATA'!B394</f>
        <v>syn BTCH7/BTCG7/BTCZ6/BTCX6/BTCF7/BTCV6</v>
      </c>
      <c r="F336" s="13">
        <f>'MKT DATA'!J394</f>
        <v>1</v>
      </c>
      <c r="G336" s="8">
        <f>'MKT DATA'!K394</f>
        <v>82621</v>
      </c>
      <c r="H336" s="8">
        <f>'MKT DATA'!L394</f>
        <v>84419</v>
      </c>
      <c r="I336" s="13">
        <f>'MKT DATA'!M394</f>
        <v>1</v>
      </c>
      <c r="J336" s="43" t="str">
        <f t="shared" si="14"/>
        <v>syn BTCH7/BTCG7/BTCZ6/BTCX6/BTCF7/BTCV6</v>
      </c>
      <c r="K336" s="8">
        <f>'MKT DATA'!O394</f>
        <v>0</v>
      </c>
      <c r="L336" s="8">
        <f>'MKT DATA'!P394</f>
        <v>82621</v>
      </c>
      <c r="M336" s="8">
        <f>'MKT DATA'!Q394</f>
        <v>0</v>
      </c>
      <c r="N336" s="8">
        <f>'MKT DATA'!R394</f>
        <v>0</v>
      </c>
      <c r="O336" s="8">
        <f>'MKT DATA'!S394</f>
        <v>-84419</v>
      </c>
      <c r="P336" s="8">
        <f>'MKT DATA'!T394</f>
        <v>0</v>
      </c>
      <c r="Q336" s="43" t="str">
        <f t="shared" si="15"/>
        <v>syn BTCH7/BTCG7/BTCZ6/BTCX6/BTCF7/BTCV6</v>
      </c>
      <c r="R336" s="13">
        <f>'MKT DATA'!AB394</f>
        <v>0</v>
      </c>
    </row>
    <row r="337" spans="5:18" x14ac:dyDescent="0.25">
      <c r="E337" s="43" t="str">
        <f>'MKT DATA'!B395</f>
        <v>syn BTCH7/BTCG7/BTCZ6/BTCF7/BTCX6/BTCV6</v>
      </c>
      <c r="F337" s="13">
        <f>'MKT DATA'!J395</f>
        <v>1</v>
      </c>
      <c r="G337" s="8">
        <f>'MKT DATA'!K395</f>
        <v>82702</v>
      </c>
      <c r="H337" s="8">
        <f>'MKT DATA'!L395</f>
        <v>84366</v>
      </c>
      <c r="I337" s="13">
        <f>'MKT DATA'!M395</f>
        <v>1</v>
      </c>
      <c r="J337" s="43" t="str">
        <f t="shared" si="14"/>
        <v>syn BTCH7/BTCG7/BTCZ6/BTCF7/BTCX6/BTCV6</v>
      </c>
      <c r="K337" s="8">
        <f>'MKT DATA'!O395</f>
        <v>0</v>
      </c>
      <c r="L337" s="8">
        <f>'MKT DATA'!P395</f>
        <v>82702</v>
      </c>
      <c r="M337" s="8">
        <f>'MKT DATA'!Q395</f>
        <v>0</v>
      </c>
      <c r="N337" s="8">
        <f>'MKT DATA'!R395</f>
        <v>0</v>
      </c>
      <c r="O337" s="8">
        <f>'MKT DATA'!S395</f>
        <v>-84366</v>
      </c>
      <c r="P337" s="8">
        <f>'MKT DATA'!T395</f>
        <v>0</v>
      </c>
      <c r="Q337" s="43" t="str">
        <f t="shared" si="15"/>
        <v>syn BTCH7/BTCG7/BTCZ6/BTCF7/BTCX6/BTCV6</v>
      </c>
      <c r="R337" s="13">
        <f>'MKT DATA'!AB395</f>
        <v>0</v>
      </c>
    </row>
    <row r="338" spans="5:18" x14ac:dyDescent="0.25">
      <c r="E338" s="43" t="str">
        <f>'MKT DATA'!B396</f>
        <v>syn BTCH7/BTCG7/BTCF7/BTCX6/BTCZ6/BTCV6</v>
      </c>
      <c r="F338" s="13">
        <f>'MKT DATA'!J396</f>
        <v>1</v>
      </c>
      <c r="G338" s="8">
        <f>'MKT DATA'!K396</f>
        <v>82838</v>
      </c>
      <c r="H338" s="8">
        <f>'MKT DATA'!L396</f>
        <v>84250</v>
      </c>
      <c r="I338" s="13">
        <f>'MKT DATA'!M396</f>
        <v>1</v>
      </c>
      <c r="J338" s="43" t="str">
        <f t="shared" si="14"/>
        <v>syn BTCH7/BTCG7/BTCF7/BTCX6/BTCZ6/BTCV6</v>
      </c>
      <c r="K338" s="8">
        <f>'MKT DATA'!O396</f>
        <v>0</v>
      </c>
      <c r="L338" s="8">
        <f>'MKT DATA'!P396</f>
        <v>82838</v>
      </c>
      <c r="M338" s="8">
        <f>'MKT DATA'!Q396</f>
        <v>0</v>
      </c>
      <c r="N338" s="8">
        <f>'MKT DATA'!R396</f>
        <v>0</v>
      </c>
      <c r="O338" s="8">
        <f>'MKT DATA'!S396</f>
        <v>-84250</v>
      </c>
      <c r="P338" s="8">
        <f>'MKT DATA'!T396</f>
        <v>0</v>
      </c>
      <c r="Q338" s="43" t="str">
        <f t="shared" si="15"/>
        <v>syn BTCH7/BTCG7/BTCF7/BTCX6/BTCZ6/BTCV6</v>
      </c>
      <c r="R338" s="13">
        <f>'MKT DATA'!AB396</f>
        <v>0</v>
      </c>
    </row>
    <row r="339" spans="5:18" x14ac:dyDescent="0.25">
      <c r="E339" s="43" t="str">
        <f>'MKT DATA'!B397</f>
        <v>syn BTCH7/BTCG7/BTCF7/BTCZ6/BTCX6/BTCV6</v>
      </c>
      <c r="F339" s="13">
        <f>'MKT DATA'!J397</f>
        <v>1</v>
      </c>
      <c r="G339" s="8">
        <f>'MKT DATA'!K397</f>
        <v>82874</v>
      </c>
      <c r="H339" s="8">
        <f>'MKT DATA'!L397</f>
        <v>84183</v>
      </c>
      <c r="I339" s="13">
        <f>'MKT DATA'!M397</f>
        <v>1</v>
      </c>
      <c r="J339" s="43" t="str">
        <f t="shared" si="14"/>
        <v>syn BTCH7/BTCG7/BTCF7/BTCZ6/BTCX6/BTCV6</v>
      </c>
      <c r="K339" s="8">
        <f>'MKT DATA'!O397</f>
        <v>0</v>
      </c>
      <c r="L339" s="8">
        <f>'MKT DATA'!P397</f>
        <v>82874</v>
      </c>
      <c r="M339" s="8">
        <f>'MKT DATA'!Q397</f>
        <v>0</v>
      </c>
      <c r="N339" s="8">
        <f>'MKT DATA'!R397</f>
        <v>0</v>
      </c>
      <c r="O339" s="8">
        <f>'MKT DATA'!S397</f>
        <v>-84183</v>
      </c>
      <c r="P339" s="8">
        <f>'MKT DATA'!T397</f>
        <v>0</v>
      </c>
      <c r="Q339" s="43" t="str">
        <f t="shared" si="15"/>
        <v>syn BTCH7/BTCG7/BTCF7/BTCZ6/BTCX6/BTCV6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83907</v>
      </c>
      <c r="H1" s="48">
        <f>H11</f>
        <v>83941</v>
      </c>
      <c r="I1" s="45"/>
      <c r="J1" s="44" t="str">
        <f>E1</f>
        <v>best</v>
      </c>
      <c r="K1" s="46"/>
      <c r="L1" s="46"/>
      <c r="M1" s="48">
        <f>M9</f>
        <v>83897.495999999999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0</v>
      </c>
      <c r="I2" s="56"/>
      <c r="J2" s="58"/>
      <c r="K2" s="57"/>
      <c r="L2" s="57"/>
      <c r="M2" s="57">
        <f>'MKT DATA'!Q5-M1</f>
        <v>0</v>
      </c>
      <c r="N2" s="57">
        <f>'MKT DATA'!R5-N1</f>
        <v>-83957.504000000001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-34</v>
      </c>
      <c r="I4" s="57">
        <f>H4-(G14-H14)</f>
        <v>21</v>
      </c>
      <c r="J4" s="43" t="s">
        <v>5</v>
      </c>
      <c r="L4" s="13"/>
      <c r="M4" s="50"/>
      <c r="N4" s="48">
        <f>N1+M1</f>
        <v>83897.495999999999</v>
      </c>
      <c r="O4" s="57">
        <f>(N14+M14)-N4</f>
        <v>-83957.504000000001</v>
      </c>
    </row>
    <row r="5" spans="1:24" x14ac:dyDescent="0.25">
      <c r="E5" s="43" t="s">
        <v>6</v>
      </c>
      <c r="G5" s="8">
        <f>G9-G11</f>
        <v>1376</v>
      </c>
      <c r="H5" s="8">
        <f>H9-H11</f>
        <v>1356</v>
      </c>
      <c r="J5" s="43" t="s">
        <v>6</v>
      </c>
      <c r="M5" s="8">
        <f>M9-M11</f>
        <v>83897.495999999999</v>
      </c>
      <c r="N5" s="8">
        <f>N9-N11</f>
        <v>83957.504000000001</v>
      </c>
    </row>
    <row r="6" spans="1:24" x14ac:dyDescent="0.25">
      <c r="E6" s="43" t="s">
        <v>7</v>
      </c>
      <c r="G6" s="8">
        <f>G9-G10</f>
        <v>822.57668711656879</v>
      </c>
      <c r="H6" s="8">
        <f>H9-H10</f>
        <v>526.82208588956564</v>
      </c>
      <c r="J6" s="43" t="s">
        <v>7</v>
      </c>
      <c r="M6" s="8">
        <f>M9-M10</f>
        <v>83640.141717791412</v>
      </c>
      <c r="N6" s="8">
        <f>N9-N10</f>
        <v>257.53835582822086</v>
      </c>
    </row>
    <row r="7" spans="1:24" x14ac:dyDescent="0.25">
      <c r="E7" s="43" t="s">
        <v>8</v>
      </c>
      <c r="G7" s="8">
        <f>G10-G11</f>
        <v>553.42331288343121</v>
      </c>
      <c r="H7" s="8">
        <f>H10-H11</f>
        <v>829.17791411043436</v>
      </c>
      <c r="J7" s="43" t="s">
        <v>8</v>
      </c>
      <c r="M7" s="8">
        <f>M10-M11</f>
        <v>257.35428220858893</v>
      </c>
      <c r="N7" s="8">
        <f>N10-N11</f>
        <v>83699.965644171782</v>
      </c>
    </row>
    <row r="9" spans="1:24" x14ac:dyDescent="0.25">
      <c r="E9" s="43" t="s">
        <v>1</v>
      </c>
      <c r="G9" s="8">
        <f>MAX(G$14:G$339)</f>
        <v>83907</v>
      </c>
      <c r="H9" s="8">
        <f>MAX(H$14:H$339)</f>
        <v>85297</v>
      </c>
      <c r="J9" s="43" t="str">
        <f>E9</f>
        <v>max</v>
      </c>
      <c r="L9" s="8">
        <f>MAX(L$14:L$339)</f>
        <v>83907</v>
      </c>
      <c r="M9" s="8">
        <f>MAX(M$14:M$339)</f>
        <v>83897.495999999999</v>
      </c>
      <c r="N9" s="8">
        <f>MAX(N$14:N$339)</f>
        <v>0</v>
      </c>
      <c r="O9" s="8">
        <f>MAX(O$14:O$339)</f>
        <v>-83941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83084.423312883431</v>
      </c>
      <c r="H10" s="8">
        <f>AVERAGE(H$14:H$339)</f>
        <v>84770.177914110434</v>
      </c>
      <c r="J10" s="43" t="str">
        <f t="shared" ref="J10" si="0">E10</f>
        <v>avg</v>
      </c>
      <c r="L10" s="8">
        <f>AVERAGE(L$14:L$339)</f>
        <v>83084.423312883431</v>
      </c>
      <c r="M10" s="8">
        <f>AVERAGE(M$14:M$339)</f>
        <v>257.35428220858893</v>
      </c>
      <c r="N10" s="8">
        <f>AVERAGE(N$14:N$339)</f>
        <v>-257.53835582822086</v>
      </c>
      <c r="O10" s="8">
        <f>AVERAGE(O$14:O$339)</f>
        <v>-84770.177914110434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82531</v>
      </c>
      <c r="H11" s="8">
        <f>MIN(H$14:H$339)</f>
        <v>83941</v>
      </c>
      <c r="J11" s="43" t="str">
        <f>E11</f>
        <v>min</v>
      </c>
      <c r="L11" s="8">
        <f>MIN(L$14:L$339)</f>
        <v>82531</v>
      </c>
      <c r="M11" s="8">
        <f>MIN(M$14:M$339)</f>
        <v>0</v>
      </c>
      <c r="N11" s="8">
        <f>MIN(N$14:N$339)</f>
        <v>-83957.504000000001</v>
      </c>
      <c r="O11" s="8">
        <f>MIN(O$14:O$339)</f>
        <v>-85297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BTCX6</v>
      </c>
      <c r="F14" s="13">
        <f>'MKT DATA'!J32</f>
        <v>5</v>
      </c>
      <c r="G14" s="8">
        <f>'MKT DATA'!K32</f>
        <v>83900</v>
      </c>
      <c r="H14" s="8">
        <f>'MKT DATA'!L32</f>
        <v>83955</v>
      </c>
      <c r="I14" s="13">
        <f>'MKT DATA'!M32</f>
        <v>5</v>
      </c>
      <c r="J14" s="43" t="str">
        <f>E14</f>
        <v>BTCX6</v>
      </c>
      <c r="K14" s="8">
        <f>'MKT DATA'!O32</f>
        <v>-2.504</v>
      </c>
      <c r="L14" s="8">
        <f>'MKT DATA'!P32</f>
        <v>83900</v>
      </c>
      <c r="M14" s="8">
        <f>'MKT DATA'!Q32</f>
        <v>83897.495999999999</v>
      </c>
      <c r="N14" s="8">
        <f>'MKT DATA'!R32</f>
        <v>-83957.504000000001</v>
      </c>
      <c r="O14" s="8">
        <f>'MKT DATA'!S32</f>
        <v>-83955</v>
      </c>
      <c r="P14" s="8">
        <f>'MKT DATA'!T32</f>
        <v>-2.504</v>
      </c>
      <c r="Q14" s="43" t="str">
        <f>J14</f>
        <v>BTCX6</v>
      </c>
      <c r="R14" s="13">
        <f>'MKT DATA'!AB32</f>
        <v>0</v>
      </c>
    </row>
    <row r="15" spans="1:24" x14ac:dyDescent="0.25">
      <c r="E15" s="43" t="str">
        <f>'MKT DATA'!B398</f>
        <v>syn BTCV6/BTCX6</v>
      </c>
      <c r="F15" s="13">
        <f>'MKT DATA'!J398</f>
        <v>4</v>
      </c>
      <c r="G15" s="8">
        <f>'MKT DATA'!K398</f>
        <v>83907</v>
      </c>
      <c r="H15" s="8">
        <f>'MKT DATA'!L398</f>
        <v>83941</v>
      </c>
      <c r="I15" s="13">
        <f>'MKT DATA'!M398</f>
        <v>2</v>
      </c>
      <c r="J15" s="43" t="str">
        <f t="shared" ref="J15:J73" si="2">E15</f>
        <v>syn BTCV6/BTCX6</v>
      </c>
      <c r="K15" s="8">
        <f>'MKT DATA'!O398</f>
        <v>0</v>
      </c>
      <c r="L15" s="8">
        <f>'MKT DATA'!P398</f>
        <v>83907</v>
      </c>
      <c r="M15" s="8">
        <f>'MKT DATA'!Q398</f>
        <v>0</v>
      </c>
      <c r="N15" s="8">
        <f>'MKT DATA'!R398</f>
        <v>0</v>
      </c>
      <c r="O15" s="8">
        <f>'MKT DATA'!S398</f>
        <v>-83941</v>
      </c>
      <c r="P15" s="8">
        <f>'MKT DATA'!T398</f>
        <v>0</v>
      </c>
      <c r="Q15" s="43" t="str">
        <f t="shared" ref="Q15:Q73" si="3">J15</f>
        <v>syn BTCV6/BTCX6</v>
      </c>
      <c r="R15" s="13">
        <f>'MKT DATA'!AB398</f>
        <v>0</v>
      </c>
    </row>
    <row r="16" spans="1:24" x14ac:dyDescent="0.25">
      <c r="E16" s="43" t="str">
        <f>'MKT DATA'!B399</f>
        <v>syn BTCZ6/BTCX6</v>
      </c>
      <c r="F16" s="13">
        <f>'MKT DATA'!J399</f>
        <v>1</v>
      </c>
      <c r="G16" s="8">
        <f>'MKT DATA'!K399</f>
        <v>83859</v>
      </c>
      <c r="H16" s="8">
        <f>'MKT DATA'!L399</f>
        <v>83981</v>
      </c>
      <c r="I16" s="13">
        <f>'MKT DATA'!M399</f>
        <v>4</v>
      </c>
      <c r="J16" s="43" t="str">
        <f t="shared" si="2"/>
        <v>syn BTCZ6/BTCX6</v>
      </c>
      <c r="K16" s="8">
        <f>'MKT DATA'!O399</f>
        <v>0</v>
      </c>
      <c r="L16" s="8">
        <f>'MKT DATA'!P399</f>
        <v>83859</v>
      </c>
      <c r="M16" s="8">
        <f>'MKT DATA'!Q399</f>
        <v>0</v>
      </c>
      <c r="N16" s="8">
        <f>'MKT DATA'!R399</f>
        <v>0</v>
      </c>
      <c r="O16" s="8">
        <f>'MKT DATA'!S399</f>
        <v>-83981</v>
      </c>
      <c r="P16" s="8">
        <f>'MKT DATA'!T399</f>
        <v>0</v>
      </c>
      <c r="Q16" s="43" t="str">
        <f t="shared" si="3"/>
        <v>syn BTCZ6/BTCX6</v>
      </c>
      <c r="R16" s="13">
        <f>'MKT DATA'!AB399</f>
        <v>0</v>
      </c>
    </row>
    <row r="17" spans="5:18" x14ac:dyDescent="0.25">
      <c r="E17" s="43" t="str">
        <f>'MKT DATA'!B400</f>
        <v>syn BTCF7/BTCX6</v>
      </c>
      <c r="F17" s="13">
        <f>'MKT DATA'!J400</f>
        <v>1</v>
      </c>
      <c r="G17" s="8">
        <f>'MKT DATA'!K400</f>
        <v>83791</v>
      </c>
      <c r="H17" s="8">
        <f>'MKT DATA'!L400</f>
        <v>84084</v>
      </c>
      <c r="I17" s="13">
        <f>'MKT DATA'!M400</f>
        <v>1</v>
      </c>
      <c r="J17" s="43" t="str">
        <f t="shared" si="2"/>
        <v>syn BTCF7/BTCX6</v>
      </c>
      <c r="K17" s="8">
        <f>'MKT DATA'!O400</f>
        <v>0</v>
      </c>
      <c r="L17" s="8">
        <f>'MKT DATA'!P400</f>
        <v>83791</v>
      </c>
      <c r="M17" s="8">
        <f>'MKT DATA'!Q400</f>
        <v>0</v>
      </c>
      <c r="N17" s="8">
        <f>'MKT DATA'!R400</f>
        <v>0</v>
      </c>
      <c r="O17" s="8">
        <f>'MKT DATA'!S400</f>
        <v>-84084</v>
      </c>
      <c r="P17" s="8">
        <f>'MKT DATA'!T400</f>
        <v>0</v>
      </c>
      <c r="Q17" s="43" t="str">
        <f t="shared" si="3"/>
        <v>syn BTCF7/BTCX6</v>
      </c>
      <c r="R17" s="13">
        <f>'MKT DATA'!AB400</f>
        <v>0</v>
      </c>
    </row>
    <row r="18" spans="5:18" x14ac:dyDescent="0.25">
      <c r="E18" s="43" t="str">
        <f>'MKT DATA'!B401</f>
        <v>syn BTCG7/BTCX6</v>
      </c>
      <c r="F18" s="13">
        <f>'MKT DATA'!J401</f>
        <v>1</v>
      </c>
      <c r="G18" s="8">
        <f>'MKT DATA'!K401</f>
        <v>83570</v>
      </c>
      <c r="H18" s="8">
        <f>'MKT DATA'!L401</f>
        <v>84285</v>
      </c>
      <c r="I18" s="13">
        <f>'MKT DATA'!M401</f>
        <v>1</v>
      </c>
      <c r="J18" s="43" t="str">
        <f t="shared" si="2"/>
        <v>syn BTCG7/BTCX6</v>
      </c>
      <c r="K18" s="8">
        <f>'MKT DATA'!O401</f>
        <v>0</v>
      </c>
      <c r="L18" s="8">
        <f>'MKT DATA'!P401</f>
        <v>83570</v>
      </c>
      <c r="M18" s="8">
        <f>'MKT DATA'!Q401</f>
        <v>0</v>
      </c>
      <c r="N18" s="8">
        <f>'MKT DATA'!R401</f>
        <v>0</v>
      </c>
      <c r="O18" s="8">
        <f>'MKT DATA'!S401</f>
        <v>-84285</v>
      </c>
      <c r="P18" s="8">
        <f>'MKT DATA'!T401</f>
        <v>0</v>
      </c>
      <c r="Q18" s="43" t="str">
        <f t="shared" si="3"/>
        <v>syn BTCG7/BTCX6</v>
      </c>
      <c r="R18" s="13">
        <f>'MKT DATA'!AB401</f>
        <v>0</v>
      </c>
    </row>
    <row r="19" spans="5:18" x14ac:dyDescent="0.25">
      <c r="E19" s="43" t="str">
        <f>'MKT DATA'!B402</f>
        <v>syn BTCH7/BTCX6</v>
      </c>
      <c r="F19" s="13">
        <f>'MKT DATA'!J402</f>
        <v>1</v>
      </c>
      <c r="G19" s="8">
        <f>'MKT DATA'!K402</f>
        <v>83160</v>
      </c>
      <c r="H19" s="8">
        <f>'MKT DATA'!L402</f>
        <v>84695</v>
      </c>
      <c r="I19" s="13">
        <f>'MKT DATA'!M402</f>
        <v>1</v>
      </c>
      <c r="J19" s="43" t="str">
        <f t="shared" si="2"/>
        <v>syn BTCH7/BTCX6</v>
      </c>
      <c r="K19" s="8">
        <f>'MKT DATA'!O402</f>
        <v>0</v>
      </c>
      <c r="L19" s="8">
        <f>'MKT DATA'!P402</f>
        <v>83160</v>
      </c>
      <c r="M19" s="8">
        <f>'MKT DATA'!Q402</f>
        <v>0</v>
      </c>
      <c r="N19" s="8">
        <f>'MKT DATA'!R402</f>
        <v>0</v>
      </c>
      <c r="O19" s="8">
        <f>'MKT DATA'!S402</f>
        <v>-84695</v>
      </c>
      <c r="P19" s="8">
        <f>'MKT DATA'!T402</f>
        <v>0</v>
      </c>
      <c r="Q19" s="43" t="str">
        <f t="shared" si="3"/>
        <v>syn BTCH7/BTCX6</v>
      </c>
      <c r="R19" s="13">
        <f>'MKT DATA'!AB402</f>
        <v>0</v>
      </c>
    </row>
    <row r="20" spans="5:18" x14ac:dyDescent="0.25">
      <c r="E20" s="43" t="str">
        <f>'MKT DATA'!B403</f>
        <v>syn BTCV6/BTCZ6/BTCX6</v>
      </c>
      <c r="F20" s="13">
        <f>'MKT DATA'!J403</f>
        <v>1</v>
      </c>
      <c r="G20" s="8">
        <f>'MKT DATA'!K403</f>
        <v>83880</v>
      </c>
      <c r="H20" s="8">
        <f>'MKT DATA'!L403</f>
        <v>83968</v>
      </c>
      <c r="I20" s="13">
        <f>'MKT DATA'!M403</f>
        <v>1</v>
      </c>
      <c r="J20" s="43" t="str">
        <f t="shared" si="2"/>
        <v>syn BTCV6/BTCZ6/BTCX6</v>
      </c>
      <c r="K20" s="8">
        <f>'MKT DATA'!O403</f>
        <v>0</v>
      </c>
      <c r="L20" s="8">
        <f>'MKT DATA'!P403</f>
        <v>83880</v>
      </c>
      <c r="M20" s="8">
        <f>'MKT DATA'!Q403</f>
        <v>0</v>
      </c>
      <c r="N20" s="8">
        <f>'MKT DATA'!R403</f>
        <v>0</v>
      </c>
      <c r="O20" s="8">
        <f>'MKT DATA'!S403</f>
        <v>-83968</v>
      </c>
      <c r="P20" s="8">
        <f>'MKT DATA'!T403</f>
        <v>0</v>
      </c>
      <c r="Q20" s="43" t="str">
        <f t="shared" si="3"/>
        <v>syn BTCV6/BTCZ6/BTCX6</v>
      </c>
      <c r="R20" s="13">
        <f>'MKT DATA'!AB403</f>
        <v>0</v>
      </c>
    </row>
    <row r="21" spans="5:18" x14ac:dyDescent="0.25">
      <c r="E21" s="43" t="str">
        <f>'MKT DATA'!B404</f>
        <v>syn BTCV6/BTCF7/BTCX6</v>
      </c>
      <c r="F21" s="13">
        <f>'MKT DATA'!J404</f>
        <v>1</v>
      </c>
      <c r="G21" s="8">
        <f>'MKT DATA'!K404</f>
        <v>83777</v>
      </c>
      <c r="H21" s="8">
        <f>'MKT DATA'!L404</f>
        <v>84068</v>
      </c>
      <c r="I21" s="13">
        <f>'MKT DATA'!M404</f>
        <v>1</v>
      </c>
      <c r="J21" s="43" t="str">
        <f t="shared" si="2"/>
        <v>syn BTCV6/BTCF7/BTCX6</v>
      </c>
      <c r="K21" s="8">
        <f>'MKT DATA'!O404</f>
        <v>0</v>
      </c>
      <c r="L21" s="8">
        <f>'MKT DATA'!P404</f>
        <v>83777</v>
      </c>
      <c r="M21" s="8">
        <f>'MKT DATA'!Q404</f>
        <v>0</v>
      </c>
      <c r="N21" s="8">
        <f>'MKT DATA'!R404</f>
        <v>0</v>
      </c>
      <c r="O21" s="8">
        <f>'MKT DATA'!S404</f>
        <v>-84068</v>
      </c>
      <c r="P21" s="8">
        <f>'MKT DATA'!T404</f>
        <v>0</v>
      </c>
      <c r="Q21" s="43" t="str">
        <f t="shared" si="3"/>
        <v>syn BTCV6/BTCF7/BTCX6</v>
      </c>
      <c r="R21" s="13">
        <f>'MKT DATA'!AB404</f>
        <v>0</v>
      </c>
    </row>
    <row r="22" spans="5:18" x14ac:dyDescent="0.25">
      <c r="E22" s="43" t="str">
        <f>'MKT DATA'!B405</f>
        <v>syn BTCV6/BTCG7/BTCX6</v>
      </c>
      <c r="F22" s="13">
        <f>'MKT DATA'!J405</f>
        <v>1</v>
      </c>
      <c r="G22" s="8">
        <f>'MKT DATA'!K405</f>
        <v>83540</v>
      </c>
      <c r="H22" s="8">
        <f>'MKT DATA'!L405</f>
        <v>84315</v>
      </c>
      <c r="I22" s="13">
        <f>'MKT DATA'!M405</f>
        <v>1</v>
      </c>
      <c r="J22" s="43" t="str">
        <f t="shared" si="2"/>
        <v>syn BTCV6/BTCG7/BTCX6</v>
      </c>
      <c r="K22" s="8">
        <f>'MKT DATA'!O405</f>
        <v>0</v>
      </c>
      <c r="L22" s="8">
        <f>'MKT DATA'!P405</f>
        <v>83540</v>
      </c>
      <c r="M22" s="8">
        <f>'MKT DATA'!Q405</f>
        <v>0</v>
      </c>
      <c r="N22" s="8">
        <f>'MKT DATA'!R405</f>
        <v>0</v>
      </c>
      <c r="O22" s="8">
        <f>'MKT DATA'!S405</f>
        <v>-84315</v>
      </c>
      <c r="P22" s="8">
        <f>'MKT DATA'!T405</f>
        <v>0</v>
      </c>
      <c r="Q22" s="43" t="str">
        <f t="shared" si="3"/>
        <v>syn BTCV6/BTCG7/BTCX6</v>
      </c>
      <c r="R22" s="13">
        <f>'MKT DATA'!AB405</f>
        <v>0</v>
      </c>
    </row>
    <row r="23" spans="5:18" x14ac:dyDescent="0.25">
      <c r="E23" s="43" t="str">
        <f>'MKT DATA'!B406</f>
        <v>syn BTCV6/BTCH7/BTCX6</v>
      </c>
      <c r="F23" s="13">
        <f>'MKT DATA'!J406</f>
        <v>1</v>
      </c>
      <c r="G23" s="8">
        <f>'MKT DATA'!K406</f>
        <v>83130</v>
      </c>
      <c r="H23" s="8">
        <f>'MKT DATA'!L406</f>
        <v>84725</v>
      </c>
      <c r="I23" s="13">
        <f>'MKT DATA'!M406</f>
        <v>1</v>
      </c>
      <c r="J23" s="43" t="str">
        <f t="shared" si="2"/>
        <v>syn BTCV6/BTCH7/BTCX6</v>
      </c>
      <c r="K23" s="8">
        <f>'MKT DATA'!O406</f>
        <v>0</v>
      </c>
      <c r="L23" s="8">
        <f>'MKT DATA'!P406</f>
        <v>83130</v>
      </c>
      <c r="M23" s="8">
        <f>'MKT DATA'!Q406</f>
        <v>0</v>
      </c>
      <c r="N23" s="8">
        <f>'MKT DATA'!R406</f>
        <v>0</v>
      </c>
      <c r="O23" s="8">
        <f>'MKT DATA'!S406</f>
        <v>-84725</v>
      </c>
      <c r="P23" s="8">
        <f>'MKT DATA'!T406</f>
        <v>0</v>
      </c>
      <c r="Q23" s="43" t="str">
        <f t="shared" si="3"/>
        <v>syn BTCV6/BTCH7/BTCX6</v>
      </c>
      <c r="R23" s="13">
        <f>'MKT DATA'!AB406</f>
        <v>0</v>
      </c>
    </row>
    <row r="24" spans="5:18" x14ac:dyDescent="0.25">
      <c r="E24" s="43" t="str">
        <f>'MKT DATA'!B407</f>
        <v>syn BTCZ6/BTCV6/BTCX6</v>
      </c>
      <c r="F24" s="13">
        <f>'MKT DATA'!J407</f>
        <v>1</v>
      </c>
      <c r="G24" s="8">
        <f>'MKT DATA'!K407</f>
        <v>83850</v>
      </c>
      <c r="H24" s="8">
        <f>'MKT DATA'!L407</f>
        <v>83990</v>
      </c>
      <c r="I24" s="13">
        <f>'MKT DATA'!M407</f>
        <v>1</v>
      </c>
      <c r="J24" s="43" t="str">
        <f t="shared" si="2"/>
        <v>syn BTCZ6/BTCV6/BTCX6</v>
      </c>
      <c r="K24" s="8">
        <f>'MKT DATA'!O407</f>
        <v>0</v>
      </c>
      <c r="L24" s="8">
        <f>'MKT DATA'!P407</f>
        <v>83850</v>
      </c>
      <c r="M24" s="8">
        <f>'MKT DATA'!Q407</f>
        <v>0</v>
      </c>
      <c r="N24" s="8">
        <f>'MKT DATA'!R407</f>
        <v>0</v>
      </c>
      <c r="O24" s="8">
        <f>'MKT DATA'!S407</f>
        <v>-83990</v>
      </c>
      <c r="P24" s="8">
        <f>'MKT DATA'!T407</f>
        <v>0</v>
      </c>
      <c r="Q24" s="43" t="str">
        <f t="shared" si="3"/>
        <v>syn BTCZ6/BTCV6/BTCX6</v>
      </c>
      <c r="R24" s="13">
        <f>'MKT DATA'!AB407</f>
        <v>0</v>
      </c>
    </row>
    <row r="25" spans="5:18" x14ac:dyDescent="0.25">
      <c r="E25" s="43" t="str">
        <f>'MKT DATA'!B408</f>
        <v>syn BTCZ6/BTCF7/BTCX6</v>
      </c>
      <c r="F25" s="13">
        <f>'MKT DATA'!J408</f>
        <v>1</v>
      </c>
      <c r="G25" s="8">
        <f>'MKT DATA'!K408</f>
        <v>83813</v>
      </c>
      <c r="H25" s="8">
        <f>'MKT DATA'!L408</f>
        <v>84058</v>
      </c>
      <c r="I25" s="13">
        <f>'MKT DATA'!M408</f>
        <v>1</v>
      </c>
      <c r="J25" s="43" t="str">
        <f t="shared" si="2"/>
        <v>syn BTCZ6/BTCF7/BTCX6</v>
      </c>
      <c r="K25" s="8">
        <f>'MKT DATA'!O408</f>
        <v>0</v>
      </c>
      <c r="L25" s="8">
        <f>'MKT DATA'!P408</f>
        <v>83813</v>
      </c>
      <c r="M25" s="8">
        <f>'MKT DATA'!Q408</f>
        <v>0</v>
      </c>
      <c r="N25" s="8">
        <f>'MKT DATA'!R408</f>
        <v>0</v>
      </c>
      <c r="O25" s="8">
        <f>'MKT DATA'!S408</f>
        <v>-84058</v>
      </c>
      <c r="P25" s="8">
        <f>'MKT DATA'!T408</f>
        <v>0</v>
      </c>
      <c r="Q25" s="43" t="str">
        <f t="shared" si="3"/>
        <v>syn BTCZ6/BTCF7/BTCX6</v>
      </c>
      <c r="R25" s="13">
        <f>'MKT DATA'!AB408</f>
        <v>0</v>
      </c>
    </row>
    <row r="26" spans="5:18" x14ac:dyDescent="0.25">
      <c r="E26" s="43" t="str">
        <f>'MKT DATA'!B409</f>
        <v>syn BTCZ6/BTCG7/BTCX6</v>
      </c>
      <c r="F26" s="13">
        <f>'MKT DATA'!J409</f>
        <v>1</v>
      </c>
      <c r="G26" s="8">
        <f>'MKT DATA'!K409</f>
        <v>83470</v>
      </c>
      <c r="H26" s="8">
        <f>'MKT DATA'!L409</f>
        <v>84385</v>
      </c>
      <c r="I26" s="13">
        <f>'MKT DATA'!M409</f>
        <v>1</v>
      </c>
      <c r="J26" s="43" t="str">
        <f t="shared" si="2"/>
        <v>syn BTCZ6/BTCG7/BTCX6</v>
      </c>
      <c r="K26" s="8">
        <f>'MKT DATA'!O409</f>
        <v>0</v>
      </c>
      <c r="L26" s="8">
        <f>'MKT DATA'!P409</f>
        <v>83470</v>
      </c>
      <c r="M26" s="8">
        <f>'MKT DATA'!Q409</f>
        <v>0</v>
      </c>
      <c r="N26" s="8">
        <f>'MKT DATA'!R409</f>
        <v>0</v>
      </c>
      <c r="O26" s="8">
        <f>'MKT DATA'!S409</f>
        <v>-84385</v>
      </c>
      <c r="P26" s="8">
        <f>'MKT DATA'!T409</f>
        <v>0</v>
      </c>
      <c r="Q26" s="43" t="str">
        <f t="shared" si="3"/>
        <v>syn BTCZ6/BTCG7/BTCX6</v>
      </c>
      <c r="R26" s="13">
        <f>'MKT DATA'!AB409</f>
        <v>0</v>
      </c>
    </row>
    <row r="27" spans="5:18" x14ac:dyDescent="0.25">
      <c r="E27" s="43" t="str">
        <f>'MKT DATA'!B410</f>
        <v>syn BTCZ6/BTCH7/BTCX6</v>
      </c>
      <c r="F27" s="13">
        <f>'MKT DATA'!J410</f>
        <v>1</v>
      </c>
      <c r="G27" s="8">
        <f>'MKT DATA'!K410</f>
        <v>83270</v>
      </c>
      <c r="H27" s="8">
        <f>'MKT DATA'!L410</f>
        <v>84765</v>
      </c>
      <c r="I27" s="13">
        <f>'MKT DATA'!M410</f>
        <v>1</v>
      </c>
      <c r="J27" s="43" t="str">
        <f t="shared" si="2"/>
        <v>syn BTCZ6/BTCH7/BTCX6</v>
      </c>
      <c r="K27" s="8">
        <f>'MKT DATA'!O410</f>
        <v>0</v>
      </c>
      <c r="L27" s="8">
        <f>'MKT DATA'!P410</f>
        <v>83270</v>
      </c>
      <c r="M27" s="8">
        <f>'MKT DATA'!Q410</f>
        <v>0</v>
      </c>
      <c r="N27" s="8">
        <f>'MKT DATA'!R410</f>
        <v>0</v>
      </c>
      <c r="O27" s="8">
        <f>'MKT DATA'!S410</f>
        <v>-84765</v>
      </c>
      <c r="P27" s="8">
        <f>'MKT DATA'!T410</f>
        <v>0</v>
      </c>
      <c r="Q27" s="43" t="str">
        <f t="shared" si="3"/>
        <v>syn BTCZ6/BTCH7/BTCX6</v>
      </c>
      <c r="R27" s="13">
        <f>'MKT DATA'!AB410</f>
        <v>0</v>
      </c>
    </row>
    <row r="28" spans="5:18" x14ac:dyDescent="0.25">
      <c r="E28" s="43" t="str">
        <f>'MKT DATA'!B411</f>
        <v>syn BTCF7/BTCV6/BTCX6</v>
      </c>
      <c r="F28" s="13">
        <f>'MKT DATA'!J411</f>
        <v>1</v>
      </c>
      <c r="G28" s="8">
        <f>'MKT DATA'!K411</f>
        <v>83768</v>
      </c>
      <c r="H28" s="8">
        <f>'MKT DATA'!L411</f>
        <v>84110</v>
      </c>
      <c r="I28" s="13">
        <f>'MKT DATA'!M411</f>
        <v>1</v>
      </c>
      <c r="J28" s="43" t="str">
        <f t="shared" si="2"/>
        <v>syn BTCF7/BTCV6/BTCX6</v>
      </c>
      <c r="K28" s="8">
        <f>'MKT DATA'!O411</f>
        <v>0</v>
      </c>
      <c r="L28" s="8">
        <f>'MKT DATA'!P411</f>
        <v>83768</v>
      </c>
      <c r="M28" s="8">
        <f>'MKT DATA'!Q411</f>
        <v>0</v>
      </c>
      <c r="N28" s="8">
        <f>'MKT DATA'!R411</f>
        <v>0</v>
      </c>
      <c r="O28" s="8">
        <f>'MKT DATA'!S411</f>
        <v>-84110</v>
      </c>
      <c r="P28" s="8">
        <f>'MKT DATA'!T411</f>
        <v>0</v>
      </c>
      <c r="Q28" s="43" t="str">
        <f t="shared" si="3"/>
        <v>syn BTCF7/BTCV6/BTCX6</v>
      </c>
      <c r="R28" s="13">
        <f>'MKT DATA'!AB411</f>
        <v>0</v>
      </c>
    </row>
    <row r="29" spans="5:18" x14ac:dyDescent="0.25">
      <c r="E29" s="43" t="str">
        <f>'MKT DATA'!B412</f>
        <v>syn BTCF7/BTCZ6/BTCX6</v>
      </c>
      <c r="F29" s="13">
        <f>'MKT DATA'!J412</f>
        <v>1</v>
      </c>
      <c r="G29" s="8">
        <f>'MKT DATA'!K412</f>
        <v>83800</v>
      </c>
      <c r="H29" s="8">
        <f>'MKT DATA'!L412</f>
        <v>84044</v>
      </c>
      <c r="I29" s="13">
        <f>'MKT DATA'!M412</f>
        <v>1</v>
      </c>
      <c r="J29" s="43" t="str">
        <f t="shared" si="2"/>
        <v>syn BTCF7/BTCZ6/BTCX6</v>
      </c>
      <c r="K29" s="8">
        <f>'MKT DATA'!O412</f>
        <v>0</v>
      </c>
      <c r="L29" s="8">
        <f>'MKT DATA'!P412</f>
        <v>83800</v>
      </c>
      <c r="M29" s="8">
        <f>'MKT DATA'!Q412</f>
        <v>0</v>
      </c>
      <c r="N29" s="8">
        <f>'MKT DATA'!R412</f>
        <v>0</v>
      </c>
      <c r="O29" s="8">
        <f>'MKT DATA'!S412</f>
        <v>-84044</v>
      </c>
      <c r="P29" s="8">
        <f>'MKT DATA'!T412</f>
        <v>0</v>
      </c>
      <c r="Q29" s="43" t="str">
        <f t="shared" si="3"/>
        <v>syn BTCF7/BTCZ6/BTCX6</v>
      </c>
      <c r="R29" s="13">
        <f>'MKT DATA'!AB412</f>
        <v>0</v>
      </c>
    </row>
    <row r="30" spans="5:18" x14ac:dyDescent="0.25">
      <c r="E30" s="43" t="str">
        <f>'MKT DATA'!B413</f>
        <v>syn BTCF7/BTCG7/BTCX6</v>
      </c>
      <c r="F30" s="13">
        <f>'MKT DATA'!J413</f>
        <v>1</v>
      </c>
      <c r="G30" s="8">
        <f>'MKT DATA'!K413</f>
        <v>83554</v>
      </c>
      <c r="H30" s="8">
        <f>'MKT DATA'!L413</f>
        <v>84285</v>
      </c>
      <c r="I30" s="13">
        <f>'MKT DATA'!M413</f>
        <v>1</v>
      </c>
      <c r="J30" s="43" t="str">
        <f t="shared" si="2"/>
        <v>syn BTCF7/BTCG7/BTCX6</v>
      </c>
      <c r="K30" s="8">
        <f>'MKT DATA'!O413</f>
        <v>0</v>
      </c>
      <c r="L30" s="8">
        <f>'MKT DATA'!P413</f>
        <v>83554</v>
      </c>
      <c r="M30" s="8">
        <f>'MKT DATA'!Q413</f>
        <v>0</v>
      </c>
      <c r="N30" s="8">
        <f>'MKT DATA'!R413</f>
        <v>0</v>
      </c>
      <c r="O30" s="8">
        <f>'MKT DATA'!S413</f>
        <v>-84285</v>
      </c>
      <c r="P30" s="8">
        <f>'MKT DATA'!T413</f>
        <v>0</v>
      </c>
      <c r="Q30" s="43" t="str">
        <f t="shared" si="3"/>
        <v>syn BTCF7/BTCG7/BTCX6</v>
      </c>
      <c r="R30" s="13">
        <f>'MKT DATA'!AB413</f>
        <v>0</v>
      </c>
    </row>
    <row r="31" spans="5:18" x14ac:dyDescent="0.25">
      <c r="E31" s="43" t="str">
        <f>'MKT DATA'!B414</f>
        <v>syn BTCF7/BTCH7/BTCX6</v>
      </c>
      <c r="F31" s="13">
        <f>'MKT DATA'!J414</f>
        <v>1</v>
      </c>
      <c r="G31" s="8">
        <f>'MKT DATA'!K414</f>
        <v>82975</v>
      </c>
      <c r="H31" s="8">
        <f>'MKT DATA'!L414</f>
        <v>84880</v>
      </c>
      <c r="I31" s="13">
        <f>'MKT DATA'!M414</f>
        <v>1</v>
      </c>
      <c r="J31" s="43" t="str">
        <f t="shared" si="2"/>
        <v>syn BTCF7/BTCH7/BTCX6</v>
      </c>
      <c r="K31" s="8">
        <f>'MKT DATA'!O414</f>
        <v>0</v>
      </c>
      <c r="L31" s="8">
        <f>'MKT DATA'!P414</f>
        <v>82975</v>
      </c>
      <c r="M31" s="8">
        <f>'MKT DATA'!Q414</f>
        <v>0</v>
      </c>
      <c r="N31" s="8">
        <f>'MKT DATA'!R414</f>
        <v>0</v>
      </c>
      <c r="O31" s="8">
        <f>'MKT DATA'!S414</f>
        <v>-84880</v>
      </c>
      <c r="P31" s="8">
        <f>'MKT DATA'!T414</f>
        <v>0</v>
      </c>
      <c r="Q31" s="43" t="str">
        <f t="shared" si="3"/>
        <v>syn BTCF7/BTCH7/BTCX6</v>
      </c>
      <c r="R31" s="13">
        <f>'MKT DATA'!AB414</f>
        <v>0</v>
      </c>
    </row>
    <row r="32" spans="5:18" x14ac:dyDescent="0.25">
      <c r="E32" s="43" t="str">
        <f>'MKT DATA'!B415</f>
        <v>syn BTCG7/BTCV6/BTCX6</v>
      </c>
      <c r="F32" s="13">
        <f>'MKT DATA'!J415</f>
        <v>1</v>
      </c>
      <c r="G32" s="8">
        <f>'MKT DATA'!K415</f>
        <v>83577</v>
      </c>
      <c r="H32" s="8">
        <f>'MKT DATA'!L415</f>
        <v>84271</v>
      </c>
      <c r="I32" s="13">
        <f>'MKT DATA'!M415</f>
        <v>1</v>
      </c>
      <c r="J32" s="43" t="str">
        <f t="shared" si="2"/>
        <v>syn BTCG7/BTCV6/BTCX6</v>
      </c>
      <c r="K32" s="8">
        <f>'MKT DATA'!O415</f>
        <v>0</v>
      </c>
      <c r="L32" s="8">
        <f>'MKT DATA'!P415</f>
        <v>83577</v>
      </c>
      <c r="M32" s="8">
        <f>'MKT DATA'!Q415</f>
        <v>0</v>
      </c>
      <c r="N32" s="8">
        <f>'MKT DATA'!R415</f>
        <v>0</v>
      </c>
      <c r="O32" s="8">
        <f>'MKT DATA'!S415</f>
        <v>-84271</v>
      </c>
      <c r="P32" s="8">
        <f>'MKT DATA'!T415</f>
        <v>0</v>
      </c>
      <c r="Q32" s="43" t="str">
        <f t="shared" si="3"/>
        <v>syn BTCG7/BTCV6/BTCX6</v>
      </c>
      <c r="R32" s="13">
        <f>'MKT DATA'!AB415</f>
        <v>0</v>
      </c>
    </row>
    <row r="33" spans="5:18" x14ac:dyDescent="0.25">
      <c r="E33" s="43" t="str">
        <f>'MKT DATA'!B416</f>
        <v>syn BTCG7/BTCZ6/BTCX6</v>
      </c>
      <c r="F33" s="13">
        <f>'MKT DATA'!J416</f>
        <v>1</v>
      </c>
      <c r="G33" s="8">
        <f>'MKT DATA'!K416</f>
        <v>83529</v>
      </c>
      <c r="H33" s="8">
        <f>'MKT DATA'!L416</f>
        <v>84311</v>
      </c>
      <c r="I33" s="13">
        <f>'MKT DATA'!M416</f>
        <v>1</v>
      </c>
      <c r="J33" s="43" t="str">
        <f t="shared" si="2"/>
        <v>syn BTCG7/BTCZ6/BTCX6</v>
      </c>
      <c r="K33" s="8">
        <f>'MKT DATA'!O416</f>
        <v>0</v>
      </c>
      <c r="L33" s="8">
        <f>'MKT DATA'!P416</f>
        <v>83529</v>
      </c>
      <c r="M33" s="8">
        <f>'MKT DATA'!Q416</f>
        <v>0</v>
      </c>
      <c r="N33" s="8">
        <f>'MKT DATA'!R416</f>
        <v>0</v>
      </c>
      <c r="O33" s="8">
        <f>'MKT DATA'!S416</f>
        <v>-84311</v>
      </c>
      <c r="P33" s="8">
        <f>'MKT DATA'!T416</f>
        <v>0</v>
      </c>
      <c r="Q33" s="43" t="str">
        <f t="shared" si="3"/>
        <v>syn BTCG7/BTCZ6/BTCX6</v>
      </c>
      <c r="R33" s="13">
        <f>'MKT DATA'!AB416</f>
        <v>0</v>
      </c>
    </row>
    <row r="34" spans="5:18" x14ac:dyDescent="0.25">
      <c r="E34" s="43" t="str">
        <f>'MKT DATA'!B417</f>
        <v>syn BTCG7/BTCF7/BTCX6</v>
      </c>
      <c r="F34" s="13">
        <f>'MKT DATA'!J417</f>
        <v>1</v>
      </c>
      <c r="G34" s="8">
        <f>'MKT DATA'!K417</f>
        <v>83646</v>
      </c>
      <c r="H34" s="8">
        <f>'MKT DATA'!L417</f>
        <v>84245</v>
      </c>
      <c r="I34" s="13">
        <f>'MKT DATA'!M417</f>
        <v>1</v>
      </c>
      <c r="J34" s="43" t="str">
        <f t="shared" si="2"/>
        <v>syn BTCG7/BTCF7/BTCX6</v>
      </c>
      <c r="K34" s="8">
        <f>'MKT DATA'!O417</f>
        <v>0</v>
      </c>
      <c r="L34" s="8">
        <f>'MKT DATA'!P417</f>
        <v>83646</v>
      </c>
      <c r="M34" s="8">
        <f>'MKT DATA'!Q417</f>
        <v>0</v>
      </c>
      <c r="N34" s="8">
        <f>'MKT DATA'!R417</f>
        <v>0</v>
      </c>
      <c r="O34" s="8">
        <f>'MKT DATA'!S417</f>
        <v>-84245</v>
      </c>
      <c r="P34" s="8">
        <f>'MKT DATA'!T417</f>
        <v>0</v>
      </c>
      <c r="Q34" s="43" t="str">
        <f t="shared" si="3"/>
        <v>syn BTCG7/BTCF7/BTCX6</v>
      </c>
      <c r="R34" s="13">
        <f>'MKT DATA'!AB417</f>
        <v>0</v>
      </c>
    </row>
    <row r="35" spans="5:18" x14ac:dyDescent="0.25">
      <c r="E35" s="43" t="str">
        <f>'MKT DATA'!B418</f>
        <v>syn BTCG7/BTCH7/BTCX6</v>
      </c>
      <c r="F35" s="13">
        <f>'MKT DATA'!J418</f>
        <v>1</v>
      </c>
      <c r="G35" s="8">
        <f>'MKT DATA'!K418</f>
        <v>83220</v>
      </c>
      <c r="H35" s="8">
        <f>'MKT DATA'!L418</f>
        <v>84690</v>
      </c>
      <c r="I35" s="13">
        <f>'MKT DATA'!M418</f>
        <v>1</v>
      </c>
      <c r="J35" s="43" t="str">
        <f t="shared" si="2"/>
        <v>syn BTCG7/BTCH7/BTCX6</v>
      </c>
      <c r="K35" s="8">
        <f>'MKT DATA'!O418</f>
        <v>0</v>
      </c>
      <c r="L35" s="8">
        <f>'MKT DATA'!P418</f>
        <v>83220</v>
      </c>
      <c r="M35" s="8">
        <f>'MKT DATA'!Q418</f>
        <v>0</v>
      </c>
      <c r="N35" s="8">
        <f>'MKT DATA'!R418</f>
        <v>0</v>
      </c>
      <c r="O35" s="8">
        <f>'MKT DATA'!S418</f>
        <v>-84690</v>
      </c>
      <c r="P35" s="8">
        <f>'MKT DATA'!T418</f>
        <v>0</v>
      </c>
      <c r="Q35" s="43" t="str">
        <f t="shared" si="3"/>
        <v>syn BTCG7/BTCH7/BTCX6</v>
      </c>
      <c r="R35" s="13">
        <f>'MKT DATA'!AB418</f>
        <v>0</v>
      </c>
    </row>
    <row r="36" spans="5:18" x14ac:dyDescent="0.25">
      <c r="E36" s="43" t="str">
        <f>'MKT DATA'!B419</f>
        <v>syn BTCH7/BTCV6/BTCX6</v>
      </c>
      <c r="F36" s="13">
        <f>'MKT DATA'!J419</f>
        <v>1</v>
      </c>
      <c r="G36" s="8">
        <f>'MKT DATA'!K419</f>
        <v>83167</v>
      </c>
      <c r="H36" s="8">
        <f>'MKT DATA'!L419</f>
        <v>84681</v>
      </c>
      <c r="I36" s="13">
        <f>'MKT DATA'!M419</f>
        <v>1</v>
      </c>
      <c r="J36" s="43" t="str">
        <f t="shared" si="2"/>
        <v>syn BTCH7/BTCV6/BTCX6</v>
      </c>
      <c r="K36" s="8">
        <f>'MKT DATA'!O419</f>
        <v>0</v>
      </c>
      <c r="L36" s="8">
        <f>'MKT DATA'!P419</f>
        <v>83167</v>
      </c>
      <c r="M36" s="8">
        <f>'MKT DATA'!Q419</f>
        <v>0</v>
      </c>
      <c r="N36" s="8">
        <f>'MKT DATA'!R419</f>
        <v>0</v>
      </c>
      <c r="O36" s="8">
        <f>'MKT DATA'!S419</f>
        <v>-84681</v>
      </c>
      <c r="P36" s="8">
        <f>'MKT DATA'!T419</f>
        <v>0</v>
      </c>
      <c r="Q36" s="43" t="str">
        <f t="shared" si="3"/>
        <v>syn BTCH7/BTCV6/BTCX6</v>
      </c>
      <c r="R36" s="13">
        <f>'MKT DATA'!AB419</f>
        <v>0</v>
      </c>
    </row>
    <row r="37" spans="5:18" x14ac:dyDescent="0.25">
      <c r="E37" s="43" t="str">
        <f>'MKT DATA'!B420</f>
        <v>syn BTCH7/BTCZ6/BTCX6</v>
      </c>
      <c r="F37" s="13">
        <f>'MKT DATA'!J420</f>
        <v>1</v>
      </c>
      <c r="G37" s="8">
        <f>'MKT DATA'!K420</f>
        <v>83149</v>
      </c>
      <c r="H37" s="8">
        <f>'MKT DATA'!L420</f>
        <v>84511</v>
      </c>
      <c r="I37" s="13">
        <f>'MKT DATA'!M420</f>
        <v>1</v>
      </c>
      <c r="J37" s="43" t="str">
        <f t="shared" si="2"/>
        <v>syn BTCH7/BTCZ6/BTCX6</v>
      </c>
      <c r="K37" s="8">
        <f>'MKT DATA'!O420</f>
        <v>0</v>
      </c>
      <c r="L37" s="8">
        <f>'MKT DATA'!P420</f>
        <v>83149</v>
      </c>
      <c r="M37" s="8">
        <f>'MKT DATA'!Q420</f>
        <v>0</v>
      </c>
      <c r="N37" s="8">
        <f>'MKT DATA'!R420</f>
        <v>0</v>
      </c>
      <c r="O37" s="8">
        <f>'MKT DATA'!S420</f>
        <v>-84511</v>
      </c>
      <c r="P37" s="8">
        <f>'MKT DATA'!T420</f>
        <v>0</v>
      </c>
      <c r="Q37" s="43" t="str">
        <f t="shared" si="3"/>
        <v>syn BTCH7/BTCZ6/BTCX6</v>
      </c>
      <c r="R37" s="13">
        <f>'MKT DATA'!AB420</f>
        <v>0</v>
      </c>
    </row>
    <row r="38" spans="5:18" x14ac:dyDescent="0.25">
      <c r="E38" s="43" t="str">
        <f>'MKT DATA'!B421</f>
        <v>syn BTCH7/BTCF7/BTCX6</v>
      </c>
      <c r="F38" s="13">
        <f>'MKT DATA'!J421</f>
        <v>1</v>
      </c>
      <c r="G38" s="8">
        <f>'MKT DATA'!K421</f>
        <v>83051</v>
      </c>
      <c r="H38" s="8">
        <f>'MKT DATA'!L421</f>
        <v>84824</v>
      </c>
      <c r="I38" s="13">
        <f>'MKT DATA'!M421</f>
        <v>1</v>
      </c>
      <c r="J38" s="43" t="str">
        <f t="shared" si="2"/>
        <v>syn BTCH7/BTCF7/BTCX6</v>
      </c>
      <c r="K38" s="8">
        <f>'MKT DATA'!O421</f>
        <v>0</v>
      </c>
      <c r="L38" s="8">
        <f>'MKT DATA'!P421</f>
        <v>83051</v>
      </c>
      <c r="M38" s="8">
        <f>'MKT DATA'!Q421</f>
        <v>0</v>
      </c>
      <c r="N38" s="8">
        <f>'MKT DATA'!R421</f>
        <v>0</v>
      </c>
      <c r="O38" s="8">
        <f>'MKT DATA'!S421</f>
        <v>-84824</v>
      </c>
      <c r="P38" s="8">
        <f>'MKT DATA'!T421</f>
        <v>0</v>
      </c>
      <c r="Q38" s="43" t="str">
        <f t="shared" si="3"/>
        <v>syn BTCH7/BTCF7/BTCX6</v>
      </c>
      <c r="R38" s="13">
        <f>'MKT DATA'!AB421</f>
        <v>0</v>
      </c>
    </row>
    <row r="39" spans="5:18" x14ac:dyDescent="0.25">
      <c r="E39" s="43" t="str">
        <f>'MKT DATA'!B422</f>
        <v>syn BTCH7/BTCG7/BTCX6</v>
      </c>
      <c r="F39" s="13">
        <f>'MKT DATA'!J422</f>
        <v>1</v>
      </c>
      <c r="G39" s="8">
        <f>'MKT DATA'!K422</f>
        <v>83165</v>
      </c>
      <c r="H39" s="8">
        <f>'MKT DATA'!L422</f>
        <v>84635</v>
      </c>
      <c r="I39" s="13">
        <f>'MKT DATA'!M422</f>
        <v>1</v>
      </c>
      <c r="J39" s="43" t="str">
        <f t="shared" si="2"/>
        <v>syn BTCH7/BTCG7/BTCX6</v>
      </c>
      <c r="K39" s="8">
        <f>'MKT DATA'!O422</f>
        <v>0</v>
      </c>
      <c r="L39" s="8">
        <f>'MKT DATA'!P422</f>
        <v>83165</v>
      </c>
      <c r="M39" s="8">
        <f>'MKT DATA'!Q422</f>
        <v>0</v>
      </c>
      <c r="N39" s="8">
        <f>'MKT DATA'!R422</f>
        <v>0</v>
      </c>
      <c r="O39" s="8">
        <f>'MKT DATA'!S422</f>
        <v>-84635</v>
      </c>
      <c r="P39" s="8">
        <f>'MKT DATA'!T422</f>
        <v>0</v>
      </c>
      <c r="Q39" s="43" t="str">
        <f t="shared" si="3"/>
        <v>syn BTCH7/BTCG7/BTCX6</v>
      </c>
      <c r="R39" s="13">
        <f>'MKT DATA'!AB422</f>
        <v>0</v>
      </c>
    </row>
    <row r="40" spans="5:18" x14ac:dyDescent="0.25">
      <c r="E40" s="43" t="str">
        <f>'MKT DATA'!B423</f>
        <v>syn BTCV6/BTCZ6/BTCF7/BTCX6</v>
      </c>
      <c r="F40" s="13">
        <f>'MKT DATA'!J423</f>
        <v>1</v>
      </c>
      <c r="G40" s="8">
        <f>'MKT DATA'!K423</f>
        <v>83834</v>
      </c>
      <c r="H40" s="8">
        <f>'MKT DATA'!L423</f>
        <v>84045</v>
      </c>
      <c r="I40" s="13">
        <f>'MKT DATA'!M423</f>
        <v>1</v>
      </c>
      <c r="J40" s="43" t="str">
        <f t="shared" si="2"/>
        <v>syn BTCV6/BTCZ6/BTCF7/BTCX6</v>
      </c>
      <c r="K40" s="8">
        <f>'MKT DATA'!O423</f>
        <v>0</v>
      </c>
      <c r="L40" s="8">
        <f>'MKT DATA'!P423</f>
        <v>83834</v>
      </c>
      <c r="M40" s="8">
        <f>'MKT DATA'!Q423</f>
        <v>0</v>
      </c>
      <c r="N40" s="8">
        <f>'MKT DATA'!R423</f>
        <v>0</v>
      </c>
      <c r="O40" s="8">
        <f>'MKT DATA'!S423</f>
        <v>-84045</v>
      </c>
      <c r="P40" s="8">
        <f>'MKT DATA'!T423</f>
        <v>0</v>
      </c>
      <c r="Q40" s="43" t="str">
        <f t="shared" si="3"/>
        <v>syn BTCV6/BTCZ6/BTCF7/BTCX6</v>
      </c>
      <c r="R40" s="13">
        <f>'MKT DATA'!AB423</f>
        <v>0</v>
      </c>
    </row>
    <row r="41" spans="5:18" x14ac:dyDescent="0.25">
      <c r="E41" s="43" t="str">
        <f>'MKT DATA'!B424</f>
        <v>syn BTCV6/BTCZ6/BTCG7/BTCX6</v>
      </c>
      <c r="F41" s="13">
        <f>'MKT DATA'!J424</f>
        <v>1</v>
      </c>
      <c r="G41" s="8">
        <f>'MKT DATA'!K424</f>
        <v>83491</v>
      </c>
      <c r="H41" s="8">
        <f>'MKT DATA'!L424</f>
        <v>84372</v>
      </c>
      <c r="I41" s="13">
        <f>'MKT DATA'!M424</f>
        <v>1</v>
      </c>
      <c r="J41" s="43" t="str">
        <f t="shared" si="2"/>
        <v>syn BTCV6/BTCZ6/BTCG7/BTCX6</v>
      </c>
      <c r="K41" s="8">
        <f>'MKT DATA'!O424</f>
        <v>0</v>
      </c>
      <c r="L41" s="8">
        <f>'MKT DATA'!P424</f>
        <v>83491</v>
      </c>
      <c r="M41" s="8">
        <f>'MKT DATA'!Q424</f>
        <v>0</v>
      </c>
      <c r="N41" s="8">
        <f>'MKT DATA'!R424</f>
        <v>0</v>
      </c>
      <c r="O41" s="8">
        <f>'MKT DATA'!S424</f>
        <v>-84372</v>
      </c>
      <c r="P41" s="8">
        <f>'MKT DATA'!T424</f>
        <v>0</v>
      </c>
      <c r="Q41" s="43" t="str">
        <f t="shared" si="3"/>
        <v>syn BTCV6/BTCZ6/BTCG7/BTCX6</v>
      </c>
      <c r="R41" s="13">
        <f>'MKT DATA'!AB424</f>
        <v>0</v>
      </c>
    </row>
    <row r="42" spans="5:18" x14ac:dyDescent="0.25">
      <c r="E42" s="43" t="str">
        <f>'MKT DATA'!B425</f>
        <v>syn BTCV6/BTCZ6/BTCH7/BTCX6</v>
      </c>
      <c r="F42" s="13">
        <f>'MKT DATA'!J425</f>
        <v>1</v>
      </c>
      <c r="G42" s="8">
        <f>'MKT DATA'!K425</f>
        <v>83291</v>
      </c>
      <c r="H42" s="8">
        <f>'MKT DATA'!L425</f>
        <v>84752</v>
      </c>
      <c r="I42" s="13">
        <f>'MKT DATA'!M425</f>
        <v>1</v>
      </c>
      <c r="J42" s="43" t="str">
        <f t="shared" si="2"/>
        <v>syn BTCV6/BTCZ6/BTCH7/BTCX6</v>
      </c>
      <c r="K42" s="8">
        <f>'MKT DATA'!O425</f>
        <v>0</v>
      </c>
      <c r="L42" s="8">
        <f>'MKT DATA'!P425</f>
        <v>83291</v>
      </c>
      <c r="M42" s="8">
        <f>'MKT DATA'!Q425</f>
        <v>0</v>
      </c>
      <c r="N42" s="8">
        <f>'MKT DATA'!R425</f>
        <v>0</v>
      </c>
      <c r="O42" s="8">
        <f>'MKT DATA'!S425</f>
        <v>-84752</v>
      </c>
      <c r="P42" s="8">
        <f>'MKT DATA'!T425</f>
        <v>0</v>
      </c>
      <c r="Q42" s="43" t="str">
        <f t="shared" si="3"/>
        <v>syn BTCV6/BTCZ6/BTCH7/BTCX6</v>
      </c>
      <c r="R42" s="13">
        <f>'MKT DATA'!AB425</f>
        <v>0</v>
      </c>
    </row>
    <row r="43" spans="5:18" x14ac:dyDescent="0.25">
      <c r="E43" s="43" t="str">
        <f>'MKT DATA'!B426</f>
        <v>syn BTCV6/BTCF7/BTCZ6/BTCX6</v>
      </c>
      <c r="F43" s="13">
        <f>'MKT DATA'!J426</f>
        <v>1</v>
      </c>
      <c r="G43" s="8">
        <f>'MKT DATA'!K426</f>
        <v>83786</v>
      </c>
      <c r="H43" s="8">
        <f>'MKT DATA'!L426</f>
        <v>84028</v>
      </c>
      <c r="I43" s="13">
        <f>'MKT DATA'!M426</f>
        <v>1</v>
      </c>
      <c r="J43" s="43" t="str">
        <f t="shared" si="2"/>
        <v>syn BTCV6/BTCF7/BTCZ6/BTCX6</v>
      </c>
      <c r="K43" s="8">
        <f>'MKT DATA'!O426</f>
        <v>0</v>
      </c>
      <c r="L43" s="8">
        <f>'MKT DATA'!P426</f>
        <v>83786</v>
      </c>
      <c r="M43" s="8">
        <f>'MKT DATA'!Q426</f>
        <v>0</v>
      </c>
      <c r="N43" s="8">
        <f>'MKT DATA'!R426</f>
        <v>0</v>
      </c>
      <c r="O43" s="8">
        <f>'MKT DATA'!S426</f>
        <v>-84028</v>
      </c>
      <c r="P43" s="8">
        <f>'MKT DATA'!T426</f>
        <v>0</v>
      </c>
      <c r="Q43" s="43" t="str">
        <f t="shared" si="3"/>
        <v>syn BTCV6/BTCF7/BTCZ6/BTCX6</v>
      </c>
      <c r="R43" s="13">
        <f>'MKT DATA'!AB426</f>
        <v>0</v>
      </c>
    </row>
    <row r="44" spans="5:18" x14ac:dyDescent="0.25">
      <c r="E44" s="43" t="str">
        <f>'MKT DATA'!B427</f>
        <v>syn BTCV6/BTCF7/BTCG7/BTCX6</v>
      </c>
      <c r="F44" s="13">
        <f>'MKT DATA'!J427</f>
        <v>1</v>
      </c>
      <c r="G44" s="8">
        <f>'MKT DATA'!K427</f>
        <v>83540</v>
      </c>
      <c r="H44" s="8">
        <f>'MKT DATA'!L427</f>
        <v>84269</v>
      </c>
      <c r="I44" s="13">
        <f>'MKT DATA'!M427</f>
        <v>1</v>
      </c>
      <c r="J44" s="43" t="str">
        <f t="shared" si="2"/>
        <v>syn BTCV6/BTCF7/BTCG7/BTCX6</v>
      </c>
      <c r="K44" s="8">
        <f>'MKT DATA'!O427</f>
        <v>0</v>
      </c>
      <c r="L44" s="8">
        <f>'MKT DATA'!P427</f>
        <v>83540</v>
      </c>
      <c r="M44" s="8">
        <f>'MKT DATA'!Q427</f>
        <v>0</v>
      </c>
      <c r="N44" s="8">
        <f>'MKT DATA'!R427</f>
        <v>0</v>
      </c>
      <c r="O44" s="8">
        <f>'MKT DATA'!S427</f>
        <v>-84269</v>
      </c>
      <c r="P44" s="8">
        <f>'MKT DATA'!T427</f>
        <v>0</v>
      </c>
      <c r="Q44" s="43" t="str">
        <f t="shared" si="3"/>
        <v>syn BTCV6/BTCF7/BTCG7/BTCX6</v>
      </c>
      <c r="R44" s="13">
        <f>'MKT DATA'!AB427</f>
        <v>0</v>
      </c>
    </row>
    <row r="45" spans="5:18" x14ac:dyDescent="0.25">
      <c r="E45" s="43" t="str">
        <f>'MKT DATA'!B428</f>
        <v>syn BTCV6/BTCF7/BTCH7/BTCX6</v>
      </c>
      <c r="F45" s="13">
        <f>'MKT DATA'!J428</f>
        <v>1</v>
      </c>
      <c r="G45" s="8">
        <f>'MKT DATA'!K428</f>
        <v>82961</v>
      </c>
      <c r="H45" s="8">
        <f>'MKT DATA'!L428</f>
        <v>84864</v>
      </c>
      <c r="I45" s="13">
        <f>'MKT DATA'!M428</f>
        <v>1</v>
      </c>
      <c r="J45" s="43" t="str">
        <f t="shared" si="2"/>
        <v>syn BTCV6/BTCF7/BTCH7/BTCX6</v>
      </c>
      <c r="K45" s="8">
        <f>'MKT DATA'!O428</f>
        <v>0</v>
      </c>
      <c r="L45" s="8">
        <f>'MKT DATA'!P428</f>
        <v>82961</v>
      </c>
      <c r="M45" s="8">
        <f>'MKT DATA'!Q428</f>
        <v>0</v>
      </c>
      <c r="N45" s="8">
        <f>'MKT DATA'!R428</f>
        <v>0</v>
      </c>
      <c r="O45" s="8">
        <f>'MKT DATA'!S428</f>
        <v>-84864</v>
      </c>
      <c r="P45" s="8">
        <f>'MKT DATA'!T428</f>
        <v>0</v>
      </c>
      <c r="Q45" s="43" t="str">
        <f t="shared" si="3"/>
        <v>syn BTCV6/BTCF7/BTCH7/BTCX6</v>
      </c>
      <c r="R45" s="13">
        <f>'MKT DATA'!AB428</f>
        <v>0</v>
      </c>
    </row>
    <row r="46" spans="5:18" x14ac:dyDescent="0.25">
      <c r="E46" s="43" t="str">
        <f>'MKT DATA'!B429</f>
        <v>syn BTCV6/BTCG7/BTCZ6/BTCX6</v>
      </c>
      <c r="F46" s="13">
        <f>'MKT DATA'!J429</f>
        <v>1</v>
      </c>
      <c r="G46" s="8">
        <f>'MKT DATA'!K429</f>
        <v>83499</v>
      </c>
      <c r="H46" s="8">
        <f>'MKT DATA'!L429</f>
        <v>84341</v>
      </c>
      <c r="I46" s="13">
        <f>'MKT DATA'!M429</f>
        <v>1</v>
      </c>
      <c r="J46" s="43" t="str">
        <f t="shared" si="2"/>
        <v>syn BTCV6/BTCG7/BTCZ6/BTCX6</v>
      </c>
      <c r="K46" s="8">
        <f>'MKT DATA'!O429</f>
        <v>0</v>
      </c>
      <c r="L46" s="8">
        <f>'MKT DATA'!P429</f>
        <v>83499</v>
      </c>
      <c r="M46" s="8">
        <f>'MKT DATA'!Q429</f>
        <v>0</v>
      </c>
      <c r="N46" s="8">
        <f>'MKT DATA'!R429</f>
        <v>0</v>
      </c>
      <c r="O46" s="8">
        <f>'MKT DATA'!S429</f>
        <v>-84341</v>
      </c>
      <c r="P46" s="8">
        <f>'MKT DATA'!T429</f>
        <v>0</v>
      </c>
      <c r="Q46" s="43" t="str">
        <f t="shared" si="3"/>
        <v>syn BTCV6/BTCG7/BTCZ6/BTCX6</v>
      </c>
      <c r="R46" s="13">
        <f>'MKT DATA'!AB429</f>
        <v>0</v>
      </c>
    </row>
    <row r="47" spans="5:18" x14ac:dyDescent="0.25">
      <c r="E47" s="43" t="str">
        <f>'MKT DATA'!B430</f>
        <v>syn BTCV6/BTCG7/BTCF7/BTCX6</v>
      </c>
      <c r="F47" s="13">
        <f>'MKT DATA'!J430</f>
        <v>1</v>
      </c>
      <c r="G47" s="8">
        <f>'MKT DATA'!K430</f>
        <v>83616</v>
      </c>
      <c r="H47" s="8">
        <f>'MKT DATA'!L430</f>
        <v>84275</v>
      </c>
      <c r="I47" s="13">
        <f>'MKT DATA'!M430</f>
        <v>1</v>
      </c>
      <c r="J47" s="43" t="str">
        <f t="shared" si="2"/>
        <v>syn BTCV6/BTCG7/BTCF7/BTCX6</v>
      </c>
      <c r="K47" s="8">
        <f>'MKT DATA'!O430</f>
        <v>0</v>
      </c>
      <c r="L47" s="8">
        <f>'MKT DATA'!P430</f>
        <v>83616</v>
      </c>
      <c r="M47" s="8">
        <f>'MKT DATA'!Q430</f>
        <v>0</v>
      </c>
      <c r="N47" s="8">
        <f>'MKT DATA'!R430</f>
        <v>0</v>
      </c>
      <c r="O47" s="8">
        <f>'MKT DATA'!S430</f>
        <v>-84275</v>
      </c>
      <c r="P47" s="8">
        <f>'MKT DATA'!T430</f>
        <v>0</v>
      </c>
      <c r="Q47" s="43" t="str">
        <f t="shared" si="3"/>
        <v>syn BTCV6/BTCG7/BTCF7/BTCX6</v>
      </c>
      <c r="R47" s="13">
        <f>'MKT DATA'!AB430</f>
        <v>0</v>
      </c>
    </row>
    <row r="48" spans="5:18" x14ac:dyDescent="0.25">
      <c r="E48" s="43" t="str">
        <f>'MKT DATA'!B431</f>
        <v>syn BTCV6/BTCG7/BTCH7/BTCX6</v>
      </c>
      <c r="F48" s="13">
        <f>'MKT DATA'!J431</f>
        <v>1</v>
      </c>
      <c r="G48" s="8">
        <f>'MKT DATA'!K431</f>
        <v>83190</v>
      </c>
      <c r="H48" s="8">
        <f>'MKT DATA'!L431</f>
        <v>84720</v>
      </c>
      <c r="I48" s="13">
        <f>'MKT DATA'!M431</f>
        <v>1</v>
      </c>
      <c r="J48" s="43" t="str">
        <f t="shared" si="2"/>
        <v>syn BTCV6/BTCG7/BTCH7/BTCX6</v>
      </c>
      <c r="K48" s="8">
        <f>'MKT DATA'!O431</f>
        <v>0</v>
      </c>
      <c r="L48" s="8">
        <f>'MKT DATA'!P431</f>
        <v>83190</v>
      </c>
      <c r="M48" s="8">
        <f>'MKT DATA'!Q431</f>
        <v>0</v>
      </c>
      <c r="N48" s="8">
        <f>'MKT DATA'!R431</f>
        <v>0</v>
      </c>
      <c r="O48" s="8">
        <f>'MKT DATA'!S431</f>
        <v>-84720</v>
      </c>
      <c r="P48" s="8">
        <f>'MKT DATA'!T431</f>
        <v>0</v>
      </c>
      <c r="Q48" s="43" t="str">
        <f t="shared" si="3"/>
        <v>syn BTCV6/BTCG7/BTCH7/BTCX6</v>
      </c>
      <c r="R48" s="13">
        <f>'MKT DATA'!AB431</f>
        <v>0</v>
      </c>
    </row>
    <row r="49" spans="5:18" x14ac:dyDescent="0.25">
      <c r="E49" s="43" t="str">
        <f>'MKT DATA'!B432</f>
        <v>syn BTCV6/BTCH7/BTCZ6/BTCX6</v>
      </c>
      <c r="F49" s="13">
        <f>'MKT DATA'!J432</f>
        <v>1</v>
      </c>
      <c r="G49" s="8">
        <f>'MKT DATA'!K432</f>
        <v>83119</v>
      </c>
      <c r="H49" s="8">
        <f>'MKT DATA'!L432</f>
        <v>84541</v>
      </c>
      <c r="I49" s="13">
        <f>'MKT DATA'!M432</f>
        <v>1</v>
      </c>
      <c r="J49" s="43" t="str">
        <f t="shared" si="2"/>
        <v>syn BTCV6/BTCH7/BTCZ6/BTCX6</v>
      </c>
      <c r="K49" s="8">
        <f>'MKT DATA'!O432</f>
        <v>0</v>
      </c>
      <c r="L49" s="8">
        <f>'MKT DATA'!P432</f>
        <v>83119</v>
      </c>
      <c r="M49" s="8">
        <f>'MKT DATA'!Q432</f>
        <v>0</v>
      </c>
      <c r="N49" s="8">
        <f>'MKT DATA'!R432</f>
        <v>0</v>
      </c>
      <c r="O49" s="8">
        <f>'MKT DATA'!S432</f>
        <v>-84541</v>
      </c>
      <c r="P49" s="8">
        <f>'MKT DATA'!T432</f>
        <v>0</v>
      </c>
      <c r="Q49" s="43" t="str">
        <f t="shared" si="3"/>
        <v>syn BTCV6/BTCH7/BTCZ6/BTCX6</v>
      </c>
      <c r="R49" s="13">
        <f>'MKT DATA'!AB432</f>
        <v>0</v>
      </c>
    </row>
    <row r="50" spans="5:18" x14ac:dyDescent="0.25">
      <c r="E50" s="43" t="str">
        <f>'MKT DATA'!B433</f>
        <v>syn BTCV6/BTCH7/BTCF7/BTCX6</v>
      </c>
      <c r="F50" s="13">
        <f>'MKT DATA'!J433</f>
        <v>1</v>
      </c>
      <c r="G50" s="8">
        <f>'MKT DATA'!K433</f>
        <v>83021</v>
      </c>
      <c r="H50" s="8">
        <f>'MKT DATA'!L433</f>
        <v>84854</v>
      </c>
      <c r="I50" s="13">
        <f>'MKT DATA'!M433</f>
        <v>1</v>
      </c>
      <c r="J50" s="43" t="str">
        <f t="shared" si="2"/>
        <v>syn BTCV6/BTCH7/BTCF7/BTCX6</v>
      </c>
      <c r="K50" s="8">
        <f>'MKT DATA'!O433</f>
        <v>0</v>
      </c>
      <c r="L50" s="8">
        <f>'MKT DATA'!P433</f>
        <v>83021</v>
      </c>
      <c r="M50" s="8">
        <f>'MKT DATA'!Q433</f>
        <v>0</v>
      </c>
      <c r="N50" s="8">
        <f>'MKT DATA'!R433</f>
        <v>0</v>
      </c>
      <c r="O50" s="8">
        <f>'MKT DATA'!S433</f>
        <v>-84854</v>
      </c>
      <c r="P50" s="8">
        <f>'MKT DATA'!T433</f>
        <v>0</v>
      </c>
      <c r="Q50" s="43" t="str">
        <f t="shared" si="3"/>
        <v>syn BTCV6/BTCH7/BTCF7/BTCX6</v>
      </c>
      <c r="R50" s="13">
        <f>'MKT DATA'!AB433</f>
        <v>0</v>
      </c>
    </row>
    <row r="51" spans="5:18" x14ac:dyDescent="0.25">
      <c r="E51" s="43" t="str">
        <f>'MKT DATA'!B434</f>
        <v>syn BTCV6/BTCH7/BTCG7/BTCX6</v>
      </c>
      <c r="F51" s="13">
        <f>'MKT DATA'!J434</f>
        <v>1</v>
      </c>
      <c r="G51" s="8">
        <f>'MKT DATA'!K434</f>
        <v>83135</v>
      </c>
      <c r="H51" s="8">
        <f>'MKT DATA'!L434</f>
        <v>84665</v>
      </c>
      <c r="I51" s="13">
        <f>'MKT DATA'!M434</f>
        <v>1</v>
      </c>
      <c r="J51" s="43" t="str">
        <f t="shared" si="2"/>
        <v>syn BTCV6/BTCH7/BTCG7/BTCX6</v>
      </c>
      <c r="K51" s="8">
        <f>'MKT DATA'!O434</f>
        <v>0</v>
      </c>
      <c r="L51" s="8">
        <f>'MKT DATA'!P434</f>
        <v>83135</v>
      </c>
      <c r="M51" s="8">
        <f>'MKT DATA'!Q434</f>
        <v>0</v>
      </c>
      <c r="N51" s="8">
        <f>'MKT DATA'!R434</f>
        <v>0</v>
      </c>
      <c r="O51" s="8">
        <f>'MKT DATA'!S434</f>
        <v>-84665</v>
      </c>
      <c r="P51" s="8">
        <f>'MKT DATA'!T434</f>
        <v>0</v>
      </c>
      <c r="Q51" s="43" t="str">
        <f t="shared" si="3"/>
        <v>syn BTCV6/BTCH7/BTCG7/BTCX6</v>
      </c>
      <c r="R51" s="13">
        <f>'MKT DATA'!AB434</f>
        <v>0</v>
      </c>
    </row>
    <row r="52" spans="5:18" x14ac:dyDescent="0.25">
      <c r="E52" s="43" t="str">
        <f>'MKT DATA'!B435</f>
        <v>syn BTCZ6/BTCV6/BTCF7/BTCX6</v>
      </c>
      <c r="F52" s="13">
        <f>'MKT DATA'!J435</f>
        <v>1</v>
      </c>
      <c r="G52" s="8">
        <f>'MKT DATA'!K435</f>
        <v>83720</v>
      </c>
      <c r="H52" s="8">
        <f>'MKT DATA'!L435</f>
        <v>84117</v>
      </c>
      <c r="I52" s="13">
        <f>'MKT DATA'!M435</f>
        <v>1</v>
      </c>
      <c r="J52" s="43" t="str">
        <f t="shared" si="2"/>
        <v>syn BTCZ6/BTCV6/BTCF7/BTCX6</v>
      </c>
      <c r="K52" s="8">
        <f>'MKT DATA'!O435</f>
        <v>0</v>
      </c>
      <c r="L52" s="8">
        <f>'MKT DATA'!P435</f>
        <v>83720</v>
      </c>
      <c r="M52" s="8">
        <f>'MKT DATA'!Q435</f>
        <v>0</v>
      </c>
      <c r="N52" s="8">
        <f>'MKT DATA'!R435</f>
        <v>0</v>
      </c>
      <c r="O52" s="8">
        <f>'MKT DATA'!S435</f>
        <v>-84117</v>
      </c>
      <c r="P52" s="8">
        <f>'MKT DATA'!T435</f>
        <v>0</v>
      </c>
      <c r="Q52" s="43" t="str">
        <f t="shared" si="3"/>
        <v>syn BTCZ6/BTCV6/BTCF7/BTCX6</v>
      </c>
      <c r="R52" s="13">
        <f>'MKT DATA'!AB435</f>
        <v>0</v>
      </c>
    </row>
    <row r="53" spans="5:18" x14ac:dyDescent="0.25">
      <c r="E53" s="43" t="str">
        <f>'MKT DATA'!B436</f>
        <v>syn BTCZ6/BTCV6/BTCG7/BTCX6</v>
      </c>
      <c r="F53" s="13">
        <f>'MKT DATA'!J436</f>
        <v>1</v>
      </c>
      <c r="G53" s="8">
        <f>'MKT DATA'!K436</f>
        <v>83483</v>
      </c>
      <c r="H53" s="8">
        <f>'MKT DATA'!L436</f>
        <v>84364</v>
      </c>
      <c r="I53" s="13">
        <f>'MKT DATA'!M436</f>
        <v>1</v>
      </c>
      <c r="J53" s="43" t="str">
        <f t="shared" si="2"/>
        <v>syn BTCZ6/BTCV6/BTCG7/BTCX6</v>
      </c>
      <c r="K53" s="8">
        <f>'MKT DATA'!O436</f>
        <v>0</v>
      </c>
      <c r="L53" s="8">
        <f>'MKT DATA'!P436</f>
        <v>83483</v>
      </c>
      <c r="M53" s="8">
        <f>'MKT DATA'!Q436</f>
        <v>0</v>
      </c>
      <c r="N53" s="8">
        <f>'MKT DATA'!R436</f>
        <v>0</v>
      </c>
      <c r="O53" s="8">
        <f>'MKT DATA'!S436</f>
        <v>-84364</v>
      </c>
      <c r="P53" s="8">
        <f>'MKT DATA'!T436</f>
        <v>0</v>
      </c>
      <c r="Q53" s="43" t="str">
        <f t="shared" si="3"/>
        <v>syn BTCZ6/BTCV6/BTCG7/BTCX6</v>
      </c>
      <c r="R53" s="13">
        <f>'MKT DATA'!AB436</f>
        <v>0</v>
      </c>
    </row>
    <row r="54" spans="5:18" x14ac:dyDescent="0.25">
      <c r="E54" s="43" t="str">
        <f>'MKT DATA'!B437</f>
        <v>syn BTCZ6/BTCV6/BTCH7/BTCX6</v>
      </c>
      <c r="F54" s="13">
        <f>'MKT DATA'!J437</f>
        <v>1</v>
      </c>
      <c r="G54" s="8">
        <f>'MKT DATA'!K437</f>
        <v>83073</v>
      </c>
      <c r="H54" s="8">
        <f>'MKT DATA'!L437</f>
        <v>84774</v>
      </c>
      <c r="I54" s="13">
        <f>'MKT DATA'!M437</f>
        <v>1</v>
      </c>
      <c r="J54" s="43" t="str">
        <f t="shared" si="2"/>
        <v>syn BTCZ6/BTCV6/BTCH7/BTCX6</v>
      </c>
      <c r="K54" s="8">
        <f>'MKT DATA'!O437</f>
        <v>0</v>
      </c>
      <c r="L54" s="8">
        <f>'MKT DATA'!P437</f>
        <v>83073</v>
      </c>
      <c r="M54" s="8">
        <f>'MKT DATA'!Q437</f>
        <v>0</v>
      </c>
      <c r="N54" s="8">
        <f>'MKT DATA'!R437</f>
        <v>0</v>
      </c>
      <c r="O54" s="8">
        <f>'MKT DATA'!S437</f>
        <v>-84774</v>
      </c>
      <c r="P54" s="8">
        <f>'MKT DATA'!T437</f>
        <v>0</v>
      </c>
      <c r="Q54" s="43" t="str">
        <f t="shared" si="3"/>
        <v>syn BTCZ6/BTCV6/BTCH7/BTCX6</v>
      </c>
      <c r="R54" s="13">
        <f>'MKT DATA'!AB437</f>
        <v>0</v>
      </c>
    </row>
    <row r="55" spans="5:18" x14ac:dyDescent="0.25">
      <c r="E55" s="43" t="str">
        <f>'MKT DATA'!B438</f>
        <v>syn BTCZ6/BTCF7/BTCV6/BTCX6</v>
      </c>
      <c r="F55" s="13">
        <f>'MKT DATA'!J438</f>
        <v>1</v>
      </c>
      <c r="G55" s="8">
        <f>'MKT DATA'!K438</f>
        <v>83790</v>
      </c>
      <c r="H55" s="8">
        <f>'MKT DATA'!L438</f>
        <v>84084</v>
      </c>
      <c r="I55" s="13">
        <f>'MKT DATA'!M438</f>
        <v>1</v>
      </c>
      <c r="J55" s="43" t="str">
        <f t="shared" si="2"/>
        <v>syn BTCZ6/BTCF7/BTCV6/BTCX6</v>
      </c>
      <c r="K55" s="8">
        <f>'MKT DATA'!O438</f>
        <v>0</v>
      </c>
      <c r="L55" s="8">
        <f>'MKT DATA'!P438</f>
        <v>83790</v>
      </c>
      <c r="M55" s="8">
        <f>'MKT DATA'!Q438</f>
        <v>0</v>
      </c>
      <c r="N55" s="8">
        <f>'MKT DATA'!R438</f>
        <v>0</v>
      </c>
      <c r="O55" s="8">
        <f>'MKT DATA'!S438</f>
        <v>-84084</v>
      </c>
      <c r="P55" s="8">
        <f>'MKT DATA'!T438</f>
        <v>0</v>
      </c>
      <c r="Q55" s="43" t="str">
        <f t="shared" si="3"/>
        <v>syn BTCZ6/BTCF7/BTCV6/BTCX6</v>
      </c>
      <c r="R55" s="13">
        <f>'MKT DATA'!AB438</f>
        <v>0</v>
      </c>
    </row>
    <row r="56" spans="5:18" x14ac:dyDescent="0.25">
      <c r="E56" s="43" t="str">
        <f>'MKT DATA'!B439</f>
        <v>syn BTCZ6/BTCF7/BTCG7/BTCX6</v>
      </c>
      <c r="F56" s="13">
        <f>'MKT DATA'!J439</f>
        <v>1</v>
      </c>
      <c r="G56" s="8">
        <f>'MKT DATA'!K439</f>
        <v>83576</v>
      </c>
      <c r="H56" s="8">
        <f>'MKT DATA'!L439</f>
        <v>84259</v>
      </c>
      <c r="I56" s="13">
        <f>'MKT DATA'!M439</f>
        <v>1</v>
      </c>
      <c r="J56" s="43" t="str">
        <f t="shared" si="2"/>
        <v>syn BTCZ6/BTCF7/BTCG7/BTCX6</v>
      </c>
      <c r="K56" s="8">
        <f>'MKT DATA'!O439</f>
        <v>0</v>
      </c>
      <c r="L56" s="8">
        <f>'MKT DATA'!P439</f>
        <v>83576</v>
      </c>
      <c r="M56" s="8">
        <f>'MKT DATA'!Q439</f>
        <v>0</v>
      </c>
      <c r="N56" s="8">
        <f>'MKT DATA'!R439</f>
        <v>0</v>
      </c>
      <c r="O56" s="8">
        <f>'MKT DATA'!S439</f>
        <v>-84259</v>
      </c>
      <c r="P56" s="8">
        <f>'MKT DATA'!T439</f>
        <v>0</v>
      </c>
      <c r="Q56" s="43" t="str">
        <f t="shared" si="3"/>
        <v>syn BTCZ6/BTCF7/BTCG7/BTCX6</v>
      </c>
      <c r="R56" s="13">
        <f>'MKT DATA'!AB439</f>
        <v>0</v>
      </c>
    </row>
    <row r="57" spans="5:18" x14ac:dyDescent="0.25">
      <c r="E57" s="43" t="str">
        <f>'MKT DATA'!B440</f>
        <v>syn BTCZ6/BTCF7/BTCH7/BTCX6</v>
      </c>
      <c r="F57" s="13">
        <f>'MKT DATA'!J440</f>
        <v>1</v>
      </c>
      <c r="G57" s="8">
        <f>'MKT DATA'!K440</f>
        <v>82997</v>
      </c>
      <c r="H57" s="8">
        <f>'MKT DATA'!L440</f>
        <v>84854</v>
      </c>
      <c r="I57" s="13">
        <f>'MKT DATA'!M440</f>
        <v>1</v>
      </c>
      <c r="J57" s="43" t="str">
        <f t="shared" si="2"/>
        <v>syn BTCZ6/BTCF7/BTCH7/BTCX6</v>
      </c>
      <c r="K57" s="8">
        <f>'MKT DATA'!O440</f>
        <v>0</v>
      </c>
      <c r="L57" s="8">
        <f>'MKT DATA'!P440</f>
        <v>82997</v>
      </c>
      <c r="M57" s="8">
        <f>'MKT DATA'!Q440</f>
        <v>0</v>
      </c>
      <c r="N57" s="8">
        <f>'MKT DATA'!R440</f>
        <v>0</v>
      </c>
      <c r="O57" s="8">
        <f>'MKT DATA'!S440</f>
        <v>-84854</v>
      </c>
      <c r="P57" s="8">
        <f>'MKT DATA'!T440</f>
        <v>0</v>
      </c>
      <c r="Q57" s="43" t="str">
        <f t="shared" si="3"/>
        <v>syn BTCZ6/BTCF7/BTCH7/BTCX6</v>
      </c>
      <c r="R57" s="13">
        <f>'MKT DATA'!AB440</f>
        <v>0</v>
      </c>
    </row>
    <row r="58" spans="5:18" x14ac:dyDescent="0.25">
      <c r="E58" s="43" t="str">
        <f>'MKT DATA'!B441</f>
        <v>syn BTCZ6/BTCG7/BTCV6/BTCX6</v>
      </c>
      <c r="F58" s="13">
        <f>'MKT DATA'!J441</f>
        <v>1</v>
      </c>
      <c r="G58" s="8">
        <f>'MKT DATA'!K441</f>
        <v>83477</v>
      </c>
      <c r="H58" s="8">
        <f>'MKT DATA'!L441</f>
        <v>84371</v>
      </c>
      <c r="I58" s="13">
        <f>'MKT DATA'!M441</f>
        <v>1</v>
      </c>
      <c r="J58" s="43" t="str">
        <f t="shared" si="2"/>
        <v>syn BTCZ6/BTCG7/BTCV6/BTCX6</v>
      </c>
      <c r="K58" s="8">
        <f>'MKT DATA'!O441</f>
        <v>0</v>
      </c>
      <c r="L58" s="8">
        <f>'MKT DATA'!P441</f>
        <v>83477</v>
      </c>
      <c r="M58" s="8">
        <f>'MKT DATA'!Q441</f>
        <v>0</v>
      </c>
      <c r="N58" s="8">
        <f>'MKT DATA'!R441</f>
        <v>0</v>
      </c>
      <c r="O58" s="8">
        <f>'MKT DATA'!S441</f>
        <v>-84371</v>
      </c>
      <c r="P58" s="8">
        <f>'MKT DATA'!T441</f>
        <v>0</v>
      </c>
      <c r="Q58" s="43" t="str">
        <f t="shared" si="3"/>
        <v>syn BTCZ6/BTCG7/BTCV6/BTCX6</v>
      </c>
      <c r="R58" s="13">
        <f>'MKT DATA'!AB441</f>
        <v>0</v>
      </c>
    </row>
    <row r="59" spans="5:18" x14ac:dyDescent="0.25">
      <c r="E59" s="43" t="str">
        <f>'MKT DATA'!B442</f>
        <v>syn BTCZ6/BTCG7/BTCF7/BTCX6</v>
      </c>
      <c r="F59" s="13">
        <f>'MKT DATA'!J442</f>
        <v>1</v>
      </c>
      <c r="G59" s="8">
        <f>'MKT DATA'!K442</f>
        <v>83546</v>
      </c>
      <c r="H59" s="8">
        <f>'MKT DATA'!L442</f>
        <v>84345</v>
      </c>
      <c r="I59" s="13">
        <f>'MKT DATA'!M442</f>
        <v>1</v>
      </c>
      <c r="J59" s="43" t="str">
        <f t="shared" si="2"/>
        <v>syn BTCZ6/BTCG7/BTCF7/BTCX6</v>
      </c>
      <c r="K59" s="8">
        <f>'MKT DATA'!O442</f>
        <v>0</v>
      </c>
      <c r="L59" s="8">
        <f>'MKT DATA'!P442</f>
        <v>83546</v>
      </c>
      <c r="M59" s="8">
        <f>'MKT DATA'!Q442</f>
        <v>0</v>
      </c>
      <c r="N59" s="8">
        <f>'MKT DATA'!R442</f>
        <v>0</v>
      </c>
      <c r="O59" s="8">
        <f>'MKT DATA'!S442</f>
        <v>-84345</v>
      </c>
      <c r="P59" s="8">
        <f>'MKT DATA'!T442</f>
        <v>0</v>
      </c>
      <c r="Q59" s="43" t="str">
        <f t="shared" si="3"/>
        <v>syn BTCZ6/BTCG7/BTCF7/BTCX6</v>
      </c>
      <c r="R59" s="13">
        <f>'MKT DATA'!AB442</f>
        <v>0</v>
      </c>
    </row>
    <row r="60" spans="5:18" x14ac:dyDescent="0.25">
      <c r="E60" s="43" t="str">
        <f>'MKT DATA'!B443</f>
        <v>syn BTCZ6/BTCG7/BTCH7/BTCX6</v>
      </c>
      <c r="F60" s="13">
        <f>'MKT DATA'!J443</f>
        <v>1</v>
      </c>
      <c r="G60" s="8">
        <f>'MKT DATA'!K443</f>
        <v>83120</v>
      </c>
      <c r="H60" s="8">
        <f>'MKT DATA'!L443</f>
        <v>84790</v>
      </c>
      <c r="I60" s="13">
        <f>'MKT DATA'!M443</f>
        <v>1</v>
      </c>
      <c r="J60" s="43" t="str">
        <f t="shared" si="2"/>
        <v>syn BTCZ6/BTCG7/BTCH7/BTCX6</v>
      </c>
      <c r="K60" s="8">
        <f>'MKT DATA'!O443</f>
        <v>0</v>
      </c>
      <c r="L60" s="8">
        <f>'MKT DATA'!P443</f>
        <v>83120</v>
      </c>
      <c r="M60" s="8">
        <f>'MKT DATA'!Q443</f>
        <v>0</v>
      </c>
      <c r="N60" s="8">
        <f>'MKT DATA'!R443</f>
        <v>0</v>
      </c>
      <c r="O60" s="8">
        <f>'MKT DATA'!S443</f>
        <v>-84790</v>
      </c>
      <c r="P60" s="8">
        <f>'MKT DATA'!T443</f>
        <v>0</v>
      </c>
      <c r="Q60" s="43" t="str">
        <f t="shared" si="3"/>
        <v>syn BTCZ6/BTCG7/BTCH7/BTCX6</v>
      </c>
      <c r="R60" s="13">
        <f>'MKT DATA'!AB443</f>
        <v>0</v>
      </c>
    </row>
    <row r="61" spans="5:18" x14ac:dyDescent="0.25">
      <c r="E61" s="43" t="str">
        <f>'MKT DATA'!B444</f>
        <v>syn BTCZ6/BTCH7/BTCV6/BTCX6</v>
      </c>
      <c r="F61" s="13">
        <f>'MKT DATA'!J444</f>
        <v>1</v>
      </c>
      <c r="G61" s="8">
        <f>'MKT DATA'!K444</f>
        <v>83277</v>
      </c>
      <c r="H61" s="8">
        <f>'MKT DATA'!L444</f>
        <v>84751</v>
      </c>
      <c r="I61" s="13">
        <f>'MKT DATA'!M444</f>
        <v>1</v>
      </c>
      <c r="J61" s="43" t="str">
        <f t="shared" si="2"/>
        <v>syn BTCZ6/BTCH7/BTCV6/BTCX6</v>
      </c>
      <c r="K61" s="8">
        <f>'MKT DATA'!O444</f>
        <v>0</v>
      </c>
      <c r="L61" s="8">
        <f>'MKT DATA'!P444</f>
        <v>83277</v>
      </c>
      <c r="M61" s="8">
        <f>'MKT DATA'!Q444</f>
        <v>0</v>
      </c>
      <c r="N61" s="8">
        <f>'MKT DATA'!R444</f>
        <v>0</v>
      </c>
      <c r="O61" s="8">
        <f>'MKT DATA'!S444</f>
        <v>-84751</v>
      </c>
      <c r="P61" s="8">
        <f>'MKT DATA'!T444</f>
        <v>0</v>
      </c>
      <c r="Q61" s="43" t="str">
        <f t="shared" si="3"/>
        <v>syn BTCZ6/BTCH7/BTCV6/BTCX6</v>
      </c>
      <c r="R61" s="13">
        <f>'MKT DATA'!AB444</f>
        <v>0</v>
      </c>
    </row>
    <row r="62" spans="5:18" x14ac:dyDescent="0.25">
      <c r="E62" s="43" t="str">
        <f>'MKT DATA'!B445</f>
        <v>syn BTCZ6/BTCH7/BTCF7/BTCX6</v>
      </c>
      <c r="F62" s="13">
        <f>'MKT DATA'!J445</f>
        <v>1</v>
      </c>
      <c r="G62" s="8">
        <f>'MKT DATA'!K445</f>
        <v>83161</v>
      </c>
      <c r="H62" s="8">
        <f>'MKT DATA'!L445</f>
        <v>84894</v>
      </c>
      <c r="I62" s="13">
        <f>'MKT DATA'!M445</f>
        <v>1</v>
      </c>
      <c r="J62" s="43" t="str">
        <f t="shared" si="2"/>
        <v>syn BTCZ6/BTCH7/BTCF7/BTCX6</v>
      </c>
      <c r="K62" s="8">
        <f>'MKT DATA'!O445</f>
        <v>0</v>
      </c>
      <c r="L62" s="8">
        <f>'MKT DATA'!P445</f>
        <v>83161</v>
      </c>
      <c r="M62" s="8">
        <f>'MKT DATA'!Q445</f>
        <v>0</v>
      </c>
      <c r="N62" s="8">
        <f>'MKT DATA'!R445</f>
        <v>0</v>
      </c>
      <c r="O62" s="8">
        <f>'MKT DATA'!S445</f>
        <v>-84894</v>
      </c>
      <c r="P62" s="8">
        <f>'MKT DATA'!T445</f>
        <v>0</v>
      </c>
      <c r="Q62" s="43" t="str">
        <f t="shared" si="3"/>
        <v>syn BTCZ6/BTCH7/BTCF7/BTCX6</v>
      </c>
      <c r="R62" s="13">
        <f>'MKT DATA'!AB445</f>
        <v>0</v>
      </c>
    </row>
    <row r="63" spans="5:18" x14ac:dyDescent="0.25">
      <c r="E63" s="43" t="str">
        <f>'MKT DATA'!B446</f>
        <v>syn BTCZ6/BTCH7/BTCG7/BTCX6</v>
      </c>
      <c r="F63" s="13">
        <f>'MKT DATA'!J446</f>
        <v>1</v>
      </c>
      <c r="G63" s="8">
        <f>'MKT DATA'!K446</f>
        <v>83275</v>
      </c>
      <c r="H63" s="8">
        <f>'MKT DATA'!L446</f>
        <v>84705</v>
      </c>
      <c r="I63" s="13">
        <f>'MKT DATA'!M446</f>
        <v>1</v>
      </c>
      <c r="J63" s="43" t="str">
        <f t="shared" si="2"/>
        <v>syn BTCZ6/BTCH7/BTCG7/BTCX6</v>
      </c>
      <c r="K63" s="8">
        <f>'MKT DATA'!O446</f>
        <v>0</v>
      </c>
      <c r="L63" s="8">
        <f>'MKT DATA'!P446</f>
        <v>83275</v>
      </c>
      <c r="M63" s="8">
        <f>'MKT DATA'!Q446</f>
        <v>0</v>
      </c>
      <c r="N63" s="8">
        <f>'MKT DATA'!R446</f>
        <v>0</v>
      </c>
      <c r="O63" s="8">
        <f>'MKT DATA'!S446</f>
        <v>-84705</v>
      </c>
      <c r="P63" s="8">
        <f>'MKT DATA'!T446</f>
        <v>0</v>
      </c>
      <c r="Q63" s="43" t="str">
        <f t="shared" si="3"/>
        <v>syn BTCZ6/BTCH7/BTCG7/BTCX6</v>
      </c>
      <c r="R63" s="13">
        <f>'MKT DATA'!AB446</f>
        <v>0</v>
      </c>
    </row>
    <row r="64" spans="5:18" x14ac:dyDescent="0.25">
      <c r="E64" s="43" t="str">
        <f>'MKT DATA'!B447</f>
        <v>syn BTCF7/BTCV6/BTCZ6/BTCX6</v>
      </c>
      <c r="F64" s="13">
        <f>'MKT DATA'!J447</f>
        <v>1</v>
      </c>
      <c r="G64" s="8">
        <f>'MKT DATA'!K447</f>
        <v>83741</v>
      </c>
      <c r="H64" s="8">
        <f>'MKT DATA'!L447</f>
        <v>84137</v>
      </c>
      <c r="I64" s="13">
        <f>'MKT DATA'!M447</f>
        <v>1</v>
      </c>
      <c r="J64" s="43" t="str">
        <f t="shared" si="2"/>
        <v>syn BTCF7/BTCV6/BTCZ6/BTCX6</v>
      </c>
      <c r="K64" s="8">
        <f>'MKT DATA'!O447</f>
        <v>0</v>
      </c>
      <c r="L64" s="8">
        <f>'MKT DATA'!P447</f>
        <v>83741</v>
      </c>
      <c r="M64" s="8">
        <f>'MKT DATA'!Q447</f>
        <v>0</v>
      </c>
      <c r="N64" s="8">
        <f>'MKT DATA'!R447</f>
        <v>0</v>
      </c>
      <c r="O64" s="8">
        <f>'MKT DATA'!S447</f>
        <v>-84137</v>
      </c>
      <c r="P64" s="8">
        <f>'MKT DATA'!T447</f>
        <v>0</v>
      </c>
      <c r="Q64" s="43" t="str">
        <f t="shared" si="3"/>
        <v>syn BTCF7/BTCV6/BTCZ6/BTCX6</v>
      </c>
      <c r="R64" s="13">
        <f>'MKT DATA'!AB447</f>
        <v>0</v>
      </c>
    </row>
    <row r="65" spans="5:18" x14ac:dyDescent="0.25">
      <c r="E65" s="43" t="str">
        <f>'MKT DATA'!B448</f>
        <v>syn BTCF7/BTCV6/BTCG7/BTCX6</v>
      </c>
      <c r="F65" s="13">
        <f>'MKT DATA'!J448</f>
        <v>1</v>
      </c>
      <c r="G65" s="8">
        <f>'MKT DATA'!K448</f>
        <v>83401</v>
      </c>
      <c r="H65" s="8">
        <f>'MKT DATA'!L448</f>
        <v>84484</v>
      </c>
      <c r="I65" s="13">
        <f>'MKT DATA'!M448</f>
        <v>1</v>
      </c>
      <c r="J65" s="43" t="str">
        <f t="shared" si="2"/>
        <v>syn BTCF7/BTCV6/BTCG7/BTCX6</v>
      </c>
      <c r="K65" s="8">
        <f>'MKT DATA'!O448</f>
        <v>0</v>
      </c>
      <c r="L65" s="8">
        <f>'MKT DATA'!P448</f>
        <v>83401</v>
      </c>
      <c r="M65" s="8">
        <f>'MKT DATA'!Q448</f>
        <v>0</v>
      </c>
      <c r="N65" s="8">
        <f>'MKT DATA'!R448</f>
        <v>0</v>
      </c>
      <c r="O65" s="8">
        <f>'MKT DATA'!S448</f>
        <v>-84484</v>
      </c>
      <c r="P65" s="8">
        <f>'MKT DATA'!T448</f>
        <v>0</v>
      </c>
      <c r="Q65" s="43" t="str">
        <f t="shared" si="3"/>
        <v>syn BTCF7/BTCV6/BTCG7/BTCX6</v>
      </c>
      <c r="R65" s="13">
        <f>'MKT DATA'!AB448</f>
        <v>0</v>
      </c>
    </row>
    <row r="66" spans="5:18" x14ac:dyDescent="0.25">
      <c r="E66" s="43" t="str">
        <f>'MKT DATA'!B449</f>
        <v>syn BTCF7/BTCV6/BTCH7/BTCX6</v>
      </c>
      <c r="F66" s="13">
        <f>'MKT DATA'!J449</f>
        <v>1</v>
      </c>
      <c r="G66" s="8">
        <f>'MKT DATA'!K449</f>
        <v>82991</v>
      </c>
      <c r="H66" s="8">
        <f>'MKT DATA'!L449</f>
        <v>84894</v>
      </c>
      <c r="I66" s="13">
        <f>'MKT DATA'!M449</f>
        <v>1</v>
      </c>
      <c r="J66" s="43" t="str">
        <f t="shared" si="2"/>
        <v>syn BTCF7/BTCV6/BTCH7/BTCX6</v>
      </c>
      <c r="K66" s="8">
        <f>'MKT DATA'!O449</f>
        <v>0</v>
      </c>
      <c r="L66" s="8">
        <f>'MKT DATA'!P449</f>
        <v>82991</v>
      </c>
      <c r="M66" s="8">
        <f>'MKT DATA'!Q449</f>
        <v>0</v>
      </c>
      <c r="N66" s="8">
        <f>'MKT DATA'!R449</f>
        <v>0</v>
      </c>
      <c r="O66" s="8">
        <f>'MKT DATA'!S449</f>
        <v>-84894</v>
      </c>
      <c r="P66" s="8">
        <f>'MKT DATA'!T449</f>
        <v>0</v>
      </c>
      <c r="Q66" s="43" t="str">
        <f t="shared" si="3"/>
        <v>syn BTCF7/BTCV6/BTCH7/BTCX6</v>
      </c>
      <c r="R66" s="13">
        <f>'MKT DATA'!AB449</f>
        <v>0</v>
      </c>
    </row>
    <row r="67" spans="5:18" x14ac:dyDescent="0.25">
      <c r="E67" s="43" t="str">
        <f>'MKT DATA'!B450</f>
        <v>syn BTCF7/BTCZ6/BTCV6/BTCX6</v>
      </c>
      <c r="F67" s="13">
        <f>'MKT DATA'!J450</f>
        <v>1</v>
      </c>
      <c r="G67" s="8">
        <f>'MKT DATA'!K450</f>
        <v>83791</v>
      </c>
      <c r="H67" s="8">
        <f>'MKT DATA'!L450</f>
        <v>84053</v>
      </c>
      <c r="I67" s="13">
        <f>'MKT DATA'!M450</f>
        <v>1</v>
      </c>
      <c r="J67" s="43" t="str">
        <f t="shared" si="2"/>
        <v>syn BTCF7/BTCZ6/BTCV6/BTCX6</v>
      </c>
      <c r="K67" s="8">
        <f>'MKT DATA'!O450</f>
        <v>0</v>
      </c>
      <c r="L67" s="8">
        <f>'MKT DATA'!P450</f>
        <v>83791</v>
      </c>
      <c r="M67" s="8">
        <f>'MKT DATA'!Q450</f>
        <v>0</v>
      </c>
      <c r="N67" s="8">
        <f>'MKT DATA'!R450</f>
        <v>0</v>
      </c>
      <c r="O67" s="8">
        <f>'MKT DATA'!S450</f>
        <v>-84053</v>
      </c>
      <c r="P67" s="8">
        <f>'MKT DATA'!T450</f>
        <v>0</v>
      </c>
      <c r="Q67" s="43" t="str">
        <f t="shared" si="3"/>
        <v>syn BTCF7/BTCZ6/BTCV6/BTCX6</v>
      </c>
      <c r="R67" s="13">
        <f>'MKT DATA'!AB450</f>
        <v>0</v>
      </c>
    </row>
    <row r="68" spans="5:18" x14ac:dyDescent="0.25">
      <c r="E68" s="43" t="str">
        <f>'MKT DATA'!B451</f>
        <v>syn BTCF7/BTCZ6/BTCG7/BTCX6</v>
      </c>
      <c r="F68" s="13">
        <f>'MKT DATA'!J451</f>
        <v>1</v>
      </c>
      <c r="G68" s="8">
        <f>'MKT DATA'!K451</f>
        <v>83411</v>
      </c>
      <c r="H68" s="8">
        <f>'MKT DATA'!L451</f>
        <v>84448</v>
      </c>
      <c r="I68" s="13">
        <f>'MKT DATA'!M451</f>
        <v>1</v>
      </c>
      <c r="J68" s="43" t="str">
        <f t="shared" si="2"/>
        <v>syn BTCF7/BTCZ6/BTCG7/BTCX6</v>
      </c>
      <c r="K68" s="8">
        <f>'MKT DATA'!O451</f>
        <v>0</v>
      </c>
      <c r="L68" s="8">
        <f>'MKT DATA'!P451</f>
        <v>83411</v>
      </c>
      <c r="M68" s="8">
        <f>'MKT DATA'!Q451</f>
        <v>0</v>
      </c>
      <c r="N68" s="8">
        <f>'MKT DATA'!R451</f>
        <v>0</v>
      </c>
      <c r="O68" s="8">
        <f>'MKT DATA'!S451</f>
        <v>-84448</v>
      </c>
      <c r="P68" s="8">
        <f>'MKT DATA'!T451</f>
        <v>0</v>
      </c>
      <c r="Q68" s="43" t="str">
        <f t="shared" si="3"/>
        <v>syn BTCF7/BTCZ6/BTCG7/BTCX6</v>
      </c>
      <c r="R68" s="13">
        <f>'MKT DATA'!AB451</f>
        <v>0</v>
      </c>
    </row>
    <row r="69" spans="5:18" x14ac:dyDescent="0.25">
      <c r="E69" s="43" t="str">
        <f>'MKT DATA'!B452</f>
        <v>syn BTCF7/BTCZ6/BTCH7/BTCX6</v>
      </c>
      <c r="F69" s="13">
        <f>'MKT DATA'!J452</f>
        <v>1</v>
      </c>
      <c r="G69" s="8">
        <f>'MKT DATA'!K452</f>
        <v>83211</v>
      </c>
      <c r="H69" s="8">
        <f>'MKT DATA'!L452</f>
        <v>84828</v>
      </c>
      <c r="I69" s="13">
        <f>'MKT DATA'!M452</f>
        <v>1</v>
      </c>
      <c r="J69" s="43" t="str">
        <f t="shared" si="2"/>
        <v>syn BTCF7/BTCZ6/BTCH7/BTCX6</v>
      </c>
      <c r="K69" s="8">
        <f>'MKT DATA'!O452</f>
        <v>0</v>
      </c>
      <c r="L69" s="8">
        <f>'MKT DATA'!P452</f>
        <v>83211</v>
      </c>
      <c r="M69" s="8">
        <f>'MKT DATA'!Q452</f>
        <v>0</v>
      </c>
      <c r="N69" s="8">
        <f>'MKT DATA'!R452</f>
        <v>0</v>
      </c>
      <c r="O69" s="8">
        <f>'MKT DATA'!S452</f>
        <v>-84828</v>
      </c>
      <c r="P69" s="8">
        <f>'MKT DATA'!T452</f>
        <v>0</v>
      </c>
      <c r="Q69" s="43" t="str">
        <f t="shared" si="3"/>
        <v>syn BTCF7/BTCZ6/BTCH7/BTCX6</v>
      </c>
      <c r="R69" s="13">
        <f>'MKT DATA'!AB452</f>
        <v>0</v>
      </c>
    </row>
    <row r="70" spans="5:18" x14ac:dyDescent="0.25">
      <c r="E70" s="43" t="str">
        <f>'MKT DATA'!B453</f>
        <v>syn BTCF7/BTCG7/BTCV6/BTCX6</v>
      </c>
      <c r="F70" s="13">
        <f>'MKT DATA'!J453</f>
        <v>1</v>
      </c>
      <c r="G70" s="8">
        <f>'MKT DATA'!K453</f>
        <v>83561</v>
      </c>
      <c r="H70" s="8">
        <f>'MKT DATA'!L453</f>
        <v>84271</v>
      </c>
      <c r="I70" s="13">
        <f>'MKT DATA'!M453</f>
        <v>1</v>
      </c>
      <c r="J70" s="43" t="str">
        <f t="shared" si="2"/>
        <v>syn BTCF7/BTCG7/BTCV6/BTCX6</v>
      </c>
      <c r="K70" s="8">
        <f>'MKT DATA'!O453</f>
        <v>0</v>
      </c>
      <c r="L70" s="8">
        <f>'MKT DATA'!P453</f>
        <v>83561</v>
      </c>
      <c r="M70" s="8">
        <f>'MKT DATA'!Q453</f>
        <v>0</v>
      </c>
      <c r="N70" s="8">
        <f>'MKT DATA'!R453</f>
        <v>0</v>
      </c>
      <c r="O70" s="8">
        <f>'MKT DATA'!S453</f>
        <v>-84271</v>
      </c>
      <c r="P70" s="8">
        <f>'MKT DATA'!T453</f>
        <v>0</v>
      </c>
      <c r="Q70" s="43" t="str">
        <f t="shared" si="3"/>
        <v>syn BTCF7/BTCG7/BTCV6/BTCX6</v>
      </c>
      <c r="R70" s="13">
        <f>'MKT DATA'!AB453</f>
        <v>0</v>
      </c>
    </row>
    <row r="71" spans="5:18" x14ac:dyDescent="0.25">
      <c r="E71" s="43" t="str">
        <f>'MKT DATA'!B454</f>
        <v>syn BTCF7/BTCG7/BTCZ6/BTCX6</v>
      </c>
      <c r="F71" s="13">
        <f>'MKT DATA'!J454</f>
        <v>1</v>
      </c>
      <c r="G71" s="8">
        <f>'MKT DATA'!K454</f>
        <v>83513</v>
      </c>
      <c r="H71" s="8">
        <f>'MKT DATA'!L454</f>
        <v>84311</v>
      </c>
      <c r="I71" s="13">
        <f>'MKT DATA'!M454</f>
        <v>1</v>
      </c>
      <c r="J71" s="43" t="str">
        <f t="shared" si="2"/>
        <v>syn BTCF7/BTCG7/BTCZ6/BTCX6</v>
      </c>
      <c r="K71" s="8">
        <f>'MKT DATA'!O454</f>
        <v>0</v>
      </c>
      <c r="L71" s="8">
        <f>'MKT DATA'!P454</f>
        <v>83513</v>
      </c>
      <c r="M71" s="8">
        <f>'MKT DATA'!Q454</f>
        <v>0</v>
      </c>
      <c r="N71" s="8">
        <f>'MKT DATA'!R454</f>
        <v>0</v>
      </c>
      <c r="O71" s="8">
        <f>'MKT DATA'!S454</f>
        <v>-84311</v>
      </c>
      <c r="P71" s="8">
        <f>'MKT DATA'!T454</f>
        <v>0</v>
      </c>
      <c r="Q71" s="43" t="str">
        <f t="shared" si="3"/>
        <v>syn BTCF7/BTCG7/BTCZ6/BTCX6</v>
      </c>
      <c r="R71" s="13">
        <f>'MKT DATA'!AB454</f>
        <v>0</v>
      </c>
    </row>
    <row r="72" spans="5:18" x14ac:dyDescent="0.25">
      <c r="E72" s="43" t="str">
        <f>'MKT DATA'!B455</f>
        <v>syn BTCF7/BTCG7/BTCH7/BTCX6</v>
      </c>
      <c r="F72" s="13">
        <f>'MKT DATA'!J455</f>
        <v>1</v>
      </c>
      <c r="G72" s="8">
        <f>'MKT DATA'!K455</f>
        <v>83204</v>
      </c>
      <c r="H72" s="8">
        <f>'MKT DATA'!L455</f>
        <v>84690</v>
      </c>
      <c r="I72" s="13">
        <f>'MKT DATA'!M455</f>
        <v>1</v>
      </c>
      <c r="J72" s="43" t="str">
        <f t="shared" si="2"/>
        <v>syn BTCF7/BTCG7/BTCH7/BTCX6</v>
      </c>
      <c r="K72" s="8">
        <f>'MKT DATA'!O455</f>
        <v>0</v>
      </c>
      <c r="L72" s="8">
        <f>'MKT DATA'!P455</f>
        <v>83204</v>
      </c>
      <c r="M72" s="8">
        <f>'MKT DATA'!Q455</f>
        <v>0</v>
      </c>
      <c r="N72" s="8">
        <f>'MKT DATA'!R455</f>
        <v>0</v>
      </c>
      <c r="O72" s="8">
        <f>'MKT DATA'!S455</f>
        <v>-84690</v>
      </c>
      <c r="P72" s="8">
        <f>'MKT DATA'!T455</f>
        <v>0</v>
      </c>
      <c r="Q72" s="43" t="str">
        <f t="shared" si="3"/>
        <v>syn BTCF7/BTCG7/BTCH7/BTCX6</v>
      </c>
      <c r="R72" s="13">
        <f>'MKT DATA'!AB455</f>
        <v>0</v>
      </c>
    </row>
    <row r="73" spans="5:18" x14ac:dyDescent="0.25">
      <c r="E73" s="43" t="str">
        <f>'MKT DATA'!B456</f>
        <v>syn BTCF7/BTCH7/BTCV6/BTCX6</v>
      </c>
      <c r="F73" s="13">
        <f>'MKT DATA'!J456</f>
        <v>1</v>
      </c>
      <c r="G73" s="8">
        <f>'MKT DATA'!K456</f>
        <v>82982</v>
      </c>
      <c r="H73" s="8">
        <f>'MKT DATA'!L456</f>
        <v>84866</v>
      </c>
      <c r="I73" s="13">
        <f>'MKT DATA'!M456</f>
        <v>1</v>
      </c>
      <c r="J73" s="43" t="str">
        <f t="shared" si="2"/>
        <v>syn BTCF7/BTCH7/BTCV6/BTCX6</v>
      </c>
      <c r="K73" s="8">
        <f>'MKT DATA'!O456</f>
        <v>0</v>
      </c>
      <c r="L73" s="8">
        <f>'MKT DATA'!P456</f>
        <v>82982</v>
      </c>
      <c r="M73" s="8">
        <f>'MKT DATA'!Q456</f>
        <v>0</v>
      </c>
      <c r="N73" s="8">
        <f>'MKT DATA'!R456</f>
        <v>0</v>
      </c>
      <c r="O73" s="8">
        <f>'MKT DATA'!S456</f>
        <v>-84866</v>
      </c>
      <c r="P73" s="8">
        <f>'MKT DATA'!T456</f>
        <v>0</v>
      </c>
      <c r="Q73" s="43" t="str">
        <f t="shared" si="3"/>
        <v>syn BTCF7/BTCH7/BTCV6/BTCX6</v>
      </c>
      <c r="R73" s="13">
        <f>'MKT DATA'!AB456</f>
        <v>0</v>
      </c>
    </row>
    <row r="74" spans="5:18" x14ac:dyDescent="0.25">
      <c r="E74" s="43" t="str">
        <f>'MKT DATA'!B457</f>
        <v>syn BTCF7/BTCH7/BTCZ6/BTCX6</v>
      </c>
      <c r="F74" s="13">
        <f>'MKT DATA'!J457</f>
        <v>1</v>
      </c>
      <c r="G74" s="8">
        <f>'MKT DATA'!K457</f>
        <v>82964</v>
      </c>
      <c r="H74" s="8">
        <f>'MKT DATA'!L457</f>
        <v>84696</v>
      </c>
      <c r="I74" s="13">
        <f>'MKT DATA'!M457</f>
        <v>1</v>
      </c>
      <c r="J74" s="43" t="str">
        <f t="shared" ref="J74:J137" si="4">E74</f>
        <v>syn BTCF7/BTCH7/BTCZ6/BTCX6</v>
      </c>
      <c r="K74" s="8">
        <f>'MKT DATA'!O457</f>
        <v>0</v>
      </c>
      <c r="L74" s="8">
        <f>'MKT DATA'!P457</f>
        <v>82964</v>
      </c>
      <c r="M74" s="8">
        <f>'MKT DATA'!Q457</f>
        <v>0</v>
      </c>
      <c r="N74" s="8">
        <f>'MKT DATA'!R457</f>
        <v>0</v>
      </c>
      <c r="O74" s="8">
        <f>'MKT DATA'!S457</f>
        <v>-84696</v>
      </c>
      <c r="P74" s="8">
        <f>'MKT DATA'!T457</f>
        <v>0</v>
      </c>
      <c r="Q74" s="43" t="str">
        <f t="shared" ref="Q74:Q137" si="5">J74</f>
        <v>syn BTCF7/BTCH7/BTCZ6/BTCX6</v>
      </c>
      <c r="R74" s="13">
        <f>'MKT DATA'!AB457</f>
        <v>0</v>
      </c>
    </row>
    <row r="75" spans="5:18" x14ac:dyDescent="0.25">
      <c r="E75" s="43" t="str">
        <f>'MKT DATA'!B458</f>
        <v>syn BTCF7/BTCH7/BTCG7/BTCX6</v>
      </c>
      <c r="F75" s="13">
        <f>'MKT DATA'!J458</f>
        <v>1</v>
      </c>
      <c r="G75" s="8">
        <f>'MKT DATA'!K458</f>
        <v>82980</v>
      </c>
      <c r="H75" s="8">
        <f>'MKT DATA'!L458</f>
        <v>84820</v>
      </c>
      <c r="I75" s="13">
        <f>'MKT DATA'!M458</f>
        <v>1</v>
      </c>
      <c r="J75" s="43" t="str">
        <f t="shared" si="4"/>
        <v>syn BTCF7/BTCH7/BTCG7/BTCX6</v>
      </c>
      <c r="K75" s="8">
        <f>'MKT DATA'!O458</f>
        <v>0</v>
      </c>
      <c r="L75" s="8">
        <f>'MKT DATA'!P458</f>
        <v>82980</v>
      </c>
      <c r="M75" s="8">
        <f>'MKT DATA'!Q458</f>
        <v>0</v>
      </c>
      <c r="N75" s="8">
        <f>'MKT DATA'!R458</f>
        <v>0</v>
      </c>
      <c r="O75" s="8">
        <f>'MKT DATA'!S458</f>
        <v>-84820</v>
      </c>
      <c r="P75" s="8">
        <f>'MKT DATA'!T458</f>
        <v>0</v>
      </c>
      <c r="Q75" s="43" t="str">
        <f t="shared" si="5"/>
        <v>syn BTCF7/BTCH7/BTCG7/BTCX6</v>
      </c>
      <c r="R75" s="13">
        <f>'MKT DATA'!AB458</f>
        <v>0</v>
      </c>
    </row>
    <row r="76" spans="5:18" x14ac:dyDescent="0.25">
      <c r="E76" s="43" t="str">
        <f>'MKT DATA'!B459</f>
        <v>syn BTCG7/BTCV6/BTCZ6/BTCX6</v>
      </c>
      <c r="F76" s="13">
        <f>'MKT DATA'!J459</f>
        <v>1</v>
      </c>
      <c r="G76" s="8">
        <f>'MKT DATA'!K459</f>
        <v>83550</v>
      </c>
      <c r="H76" s="8">
        <f>'MKT DATA'!L459</f>
        <v>84298</v>
      </c>
      <c r="I76" s="13">
        <f>'MKT DATA'!M459</f>
        <v>1</v>
      </c>
      <c r="J76" s="43" t="str">
        <f t="shared" si="4"/>
        <v>syn BTCG7/BTCV6/BTCZ6/BTCX6</v>
      </c>
      <c r="K76" s="8">
        <f>'MKT DATA'!O459</f>
        <v>0</v>
      </c>
      <c r="L76" s="8">
        <f>'MKT DATA'!P459</f>
        <v>83550</v>
      </c>
      <c r="M76" s="8">
        <f>'MKT DATA'!Q459</f>
        <v>0</v>
      </c>
      <c r="N76" s="8">
        <f>'MKT DATA'!R459</f>
        <v>0</v>
      </c>
      <c r="O76" s="8">
        <f>'MKT DATA'!S459</f>
        <v>-84298</v>
      </c>
      <c r="P76" s="8">
        <f>'MKT DATA'!T459</f>
        <v>0</v>
      </c>
      <c r="Q76" s="43" t="str">
        <f t="shared" si="5"/>
        <v>syn BTCG7/BTCV6/BTCZ6/BTCX6</v>
      </c>
      <c r="R76" s="13">
        <f>'MKT DATA'!AB459</f>
        <v>0</v>
      </c>
    </row>
    <row r="77" spans="5:18" x14ac:dyDescent="0.25">
      <c r="E77" s="43" t="str">
        <f>'MKT DATA'!B460</f>
        <v>syn BTCG7/BTCV6/BTCF7/BTCX6</v>
      </c>
      <c r="F77" s="13">
        <f>'MKT DATA'!J460</f>
        <v>1</v>
      </c>
      <c r="G77" s="8">
        <f>'MKT DATA'!K460</f>
        <v>83447</v>
      </c>
      <c r="H77" s="8">
        <f>'MKT DATA'!L460</f>
        <v>84398</v>
      </c>
      <c r="I77" s="13">
        <f>'MKT DATA'!M460</f>
        <v>1</v>
      </c>
      <c r="J77" s="43" t="str">
        <f t="shared" si="4"/>
        <v>syn BTCG7/BTCV6/BTCF7/BTCX6</v>
      </c>
      <c r="K77" s="8">
        <f>'MKT DATA'!O460</f>
        <v>0</v>
      </c>
      <c r="L77" s="8">
        <f>'MKT DATA'!P460</f>
        <v>83447</v>
      </c>
      <c r="M77" s="8">
        <f>'MKT DATA'!Q460</f>
        <v>0</v>
      </c>
      <c r="N77" s="8">
        <f>'MKT DATA'!R460</f>
        <v>0</v>
      </c>
      <c r="O77" s="8">
        <f>'MKT DATA'!S460</f>
        <v>-84398</v>
      </c>
      <c r="P77" s="8">
        <f>'MKT DATA'!T460</f>
        <v>0</v>
      </c>
      <c r="Q77" s="43" t="str">
        <f t="shared" si="5"/>
        <v>syn BTCG7/BTCV6/BTCF7/BTCX6</v>
      </c>
      <c r="R77" s="13">
        <f>'MKT DATA'!AB460</f>
        <v>0</v>
      </c>
    </row>
    <row r="78" spans="5:18" x14ac:dyDescent="0.25">
      <c r="E78" s="43" t="str">
        <f>'MKT DATA'!B461</f>
        <v>syn BTCG7/BTCV6/BTCH7/BTCX6</v>
      </c>
      <c r="F78" s="13">
        <f>'MKT DATA'!J461</f>
        <v>1</v>
      </c>
      <c r="G78" s="8">
        <f>'MKT DATA'!K461</f>
        <v>82800</v>
      </c>
      <c r="H78" s="8">
        <f>'MKT DATA'!L461</f>
        <v>85055</v>
      </c>
      <c r="I78" s="13">
        <f>'MKT DATA'!M461</f>
        <v>1</v>
      </c>
      <c r="J78" s="43" t="str">
        <f t="shared" si="4"/>
        <v>syn BTCG7/BTCV6/BTCH7/BTCX6</v>
      </c>
      <c r="K78" s="8">
        <f>'MKT DATA'!O461</f>
        <v>0</v>
      </c>
      <c r="L78" s="8">
        <f>'MKT DATA'!P461</f>
        <v>82800</v>
      </c>
      <c r="M78" s="8">
        <f>'MKT DATA'!Q461</f>
        <v>0</v>
      </c>
      <c r="N78" s="8">
        <f>'MKT DATA'!R461</f>
        <v>0</v>
      </c>
      <c r="O78" s="8">
        <f>'MKT DATA'!S461</f>
        <v>-85055</v>
      </c>
      <c r="P78" s="8">
        <f>'MKT DATA'!T461</f>
        <v>0</v>
      </c>
      <c r="Q78" s="43" t="str">
        <f t="shared" si="5"/>
        <v>syn BTCG7/BTCV6/BTCH7/BTCX6</v>
      </c>
      <c r="R78" s="13">
        <f>'MKT DATA'!AB461</f>
        <v>0</v>
      </c>
    </row>
    <row r="79" spans="5:18" x14ac:dyDescent="0.25">
      <c r="E79" s="43" t="str">
        <f>'MKT DATA'!B462</f>
        <v>syn BTCG7/BTCZ6/BTCV6/BTCX6</v>
      </c>
      <c r="F79" s="13">
        <f>'MKT DATA'!J462</f>
        <v>1</v>
      </c>
      <c r="G79" s="8">
        <f>'MKT DATA'!K462</f>
        <v>83520</v>
      </c>
      <c r="H79" s="8">
        <f>'MKT DATA'!L462</f>
        <v>84320</v>
      </c>
      <c r="I79" s="13">
        <f>'MKT DATA'!M462</f>
        <v>1</v>
      </c>
      <c r="J79" s="43" t="str">
        <f t="shared" si="4"/>
        <v>syn BTCG7/BTCZ6/BTCV6/BTCX6</v>
      </c>
      <c r="K79" s="8">
        <f>'MKT DATA'!O462</f>
        <v>0</v>
      </c>
      <c r="L79" s="8">
        <f>'MKT DATA'!P462</f>
        <v>83520</v>
      </c>
      <c r="M79" s="8">
        <f>'MKT DATA'!Q462</f>
        <v>0</v>
      </c>
      <c r="N79" s="8">
        <f>'MKT DATA'!R462</f>
        <v>0</v>
      </c>
      <c r="O79" s="8">
        <f>'MKT DATA'!S462</f>
        <v>-84320</v>
      </c>
      <c r="P79" s="8">
        <f>'MKT DATA'!T462</f>
        <v>0</v>
      </c>
      <c r="Q79" s="43" t="str">
        <f t="shared" si="5"/>
        <v>syn BTCG7/BTCZ6/BTCV6/BTCX6</v>
      </c>
      <c r="R79" s="13">
        <f>'MKT DATA'!AB462</f>
        <v>0</v>
      </c>
    </row>
    <row r="80" spans="5:18" x14ac:dyDescent="0.25">
      <c r="E80" s="43" t="str">
        <f>'MKT DATA'!B463</f>
        <v>syn BTCG7/BTCZ6/BTCF7/BTCX6</v>
      </c>
      <c r="F80" s="13">
        <f>'MKT DATA'!J463</f>
        <v>1</v>
      </c>
      <c r="G80" s="8">
        <f>'MKT DATA'!K463</f>
        <v>83483</v>
      </c>
      <c r="H80" s="8">
        <f>'MKT DATA'!L463</f>
        <v>84388</v>
      </c>
      <c r="I80" s="13">
        <f>'MKT DATA'!M463</f>
        <v>1</v>
      </c>
      <c r="J80" s="43" t="str">
        <f t="shared" si="4"/>
        <v>syn BTCG7/BTCZ6/BTCF7/BTCX6</v>
      </c>
      <c r="K80" s="8">
        <f>'MKT DATA'!O463</f>
        <v>0</v>
      </c>
      <c r="L80" s="8">
        <f>'MKT DATA'!P463</f>
        <v>83483</v>
      </c>
      <c r="M80" s="8">
        <f>'MKT DATA'!Q463</f>
        <v>0</v>
      </c>
      <c r="N80" s="8">
        <f>'MKT DATA'!R463</f>
        <v>0</v>
      </c>
      <c r="O80" s="8">
        <f>'MKT DATA'!S463</f>
        <v>-84388</v>
      </c>
      <c r="P80" s="8">
        <f>'MKT DATA'!T463</f>
        <v>0</v>
      </c>
      <c r="Q80" s="43" t="str">
        <f t="shared" si="5"/>
        <v>syn BTCG7/BTCZ6/BTCF7/BTCX6</v>
      </c>
      <c r="R80" s="13">
        <f>'MKT DATA'!AB463</f>
        <v>0</v>
      </c>
    </row>
    <row r="81" spans="5:18" x14ac:dyDescent="0.25">
      <c r="E81" s="43" t="str">
        <f>'MKT DATA'!B464</f>
        <v>syn BTCG7/BTCZ6/BTCH7/BTCX6</v>
      </c>
      <c r="F81" s="13">
        <f>'MKT DATA'!J464</f>
        <v>1</v>
      </c>
      <c r="G81" s="8">
        <f>'MKT DATA'!K464</f>
        <v>82940</v>
      </c>
      <c r="H81" s="8">
        <f>'MKT DATA'!L464</f>
        <v>85095</v>
      </c>
      <c r="I81" s="13">
        <f>'MKT DATA'!M464</f>
        <v>1</v>
      </c>
      <c r="J81" s="43" t="str">
        <f t="shared" si="4"/>
        <v>syn BTCG7/BTCZ6/BTCH7/BTCX6</v>
      </c>
      <c r="K81" s="8">
        <f>'MKT DATA'!O464</f>
        <v>0</v>
      </c>
      <c r="L81" s="8">
        <f>'MKT DATA'!P464</f>
        <v>82940</v>
      </c>
      <c r="M81" s="8">
        <f>'MKT DATA'!Q464</f>
        <v>0</v>
      </c>
      <c r="N81" s="8">
        <f>'MKT DATA'!R464</f>
        <v>0</v>
      </c>
      <c r="O81" s="8">
        <f>'MKT DATA'!S464</f>
        <v>-85095</v>
      </c>
      <c r="P81" s="8">
        <f>'MKT DATA'!T464</f>
        <v>0</v>
      </c>
      <c r="Q81" s="43" t="str">
        <f t="shared" si="5"/>
        <v>syn BTCG7/BTCZ6/BTCH7/BTCX6</v>
      </c>
      <c r="R81" s="13">
        <f>'MKT DATA'!AB464</f>
        <v>0</v>
      </c>
    </row>
    <row r="82" spans="5:18" x14ac:dyDescent="0.25">
      <c r="E82" s="43" t="str">
        <f>'MKT DATA'!B465</f>
        <v>syn BTCG7/BTCF7/BTCV6/BTCX6</v>
      </c>
      <c r="F82" s="13">
        <f>'MKT DATA'!J465</f>
        <v>1</v>
      </c>
      <c r="G82" s="8">
        <f>'MKT DATA'!K465</f>
        <v>83623</v>
      </c>
      <c r="H82" s="8">
        <f>'MKT DATA'!L465</f>
        <v>84271</v>
      </c>
      <c r="I82" s="13">
        <f>'MKT DATA'!M465</f>
        <v>1</v>
      </c>
      <c r="J82" s="43" t="str">
        <f t="shared" si="4"/>
        <v>syn BTCG7/BTCF7/BTCV6/BTCX6</v>
      </c>
      <c r="K82" s="8">
        <f>'MKT DATA'!O465</f>
        <v>0</v>
      </c>
      <c r="L82" s="8">
        <f>'MKT DATA'!P465</f>
        <v>83623</v>
      </c>
      <c r="M82" s="8">
        <f>'MKT DATA'!Q465</f>
        <v>0</v>
      </c>
      <c r="N82" s="8">
        <f>'MKT DATA'!R465</f>
        <v>0</v>
      </c>
      <c r="O82" s="8">
        <f>'MKT DATA'!S465</f>
        <v>-84271</v>
      </c>
      <c r="P82" s="8">
        <f>'MKT DATA'!T465</f>
        <v>0</v>
      </c>
      <c r="Q82" s="43" t="str">
        <f t="shared" si="5"/>
        <v>syn BTCG7/BTCF7/BTCV6/BTCX6</v>
      </c>
      <c r="R82" s="13">
        <f>'MKT DATA'!AB465</f>
        <v>0</v>
      </c>
    </row>
    <row r="83" spans="5:18" x14ac:dyDescent="0.25">
      <c r="E83" s="43" t="str">
        <f>'MKT DATA'!B466</f>
        <v>syn BTCG7/BTCF7/BTCZ6/BTCX6</v>
      </c>
      <c r="F83" s="13">
        <f>'MKT DATA'!J466</f>
        <v>1</v>
      </c>
      <c r="G83" s="8">
        <f>'MKT DATA'!K466</f>
        <v>83655</v>
      </c>
      <c r="H83" s="8">
        <f>'MKT DATA'!L466</f>
        <v>84205</v>
      </c>
      <c r="I83" s="13">
        <f>'MKT DATA'!M466</f>
        <v>1</v>
      </c>
      <c r="J83" s="43" t="str">
        <f t="shared" si="4"/>
        <v>syn BTCG7/BTCF7/BTCZ6/BTCX6</v>
      </c>
      <c r="K83" s="8">
        <f>'MKT DATA'!O466</f>
        <v>0</v>
      </c>
      <c r="L83" s="8">
        <f>'MKT DATA'!P466</f>
        <v>83655</v>
      </c>
      <c r="M83" s="8">
        <f>'MKT DATA'!Q466</f>
        <v>0</v>
      </c>
      <c r="N83" s="8">
        <f>'MKT DATA'!R466</f>
        <v>0</v>
      </c>
      <c r="O83" s="8">
        <f>'MKT DATA'!S466</f>
        <v>-84205</v>
      </c>
      <c r="P83" s="8">
        <f>'MKT DATA'!T466</f>
        <v>0</v>
      </c>
      <c r="Q83" s="43" t="str">
        <f t="shared" si="5"/>
        <v>syn BTCG7/BTCF7/BTCZ6/BTCX6</v>
      </c>
      <c r="R83" s="13">
        <f>'MKT DATA'!AB466</f>
        <v>0</v>
      </c>
    </row>
    <row r="84" spans="5:18" x14ac:dyDescent="0.25">
      <c r="E84" s="43" t="str">
        <f>'MKT DATA'!B467</f>
        <v>syn BTCG7/BTCF7/BTCH7/BTCX6</v>
      </c>
      <c r="F84" s="13">
        <f>'MKT DATA'!J467</f>
        <v>1</v>
      </c>
      <c r="G84" s="8">
        <f>'MKT DATA'!K467</f>
        <v>82830</v>
      </c>
      <c r="H84" s="8">
        <f>'MKT DATA'!L467</f>
        <v>85041</v>
      </c>
      <c r="I84" s="13">
        <f>'MKT DATA'!M467</f>
        <v>1</v>
      </c>
      <c r="J84" s="43" t="str">
        <f t="shared" si="4"/>
        <v>syn BTCG7/BTCF7/BTCH7/BTCX6</v>
      </c>
      <c r="K84" s="8">
        <f>'MKT DATA'!O467</f>
        <v>0</v>
      </c>
      <c r="L84" s="8">
        <f>'MKT DATA'!P467</f>
        <v>82830</v>
      </c>
      <c r="M84" s="8">
        <f>'MKT DATA'!Q467</f>
        <v>0</v>
      </c>
      <c r="N84" s="8">
        <f>'MKT DATA'!R467</f>
        <v>0</v>
      </c>
      <c r="O84" s="8">
        <f>'MKT DATA'!S467</f>
        <v>-85041</v>
      </c>
      <c r="P84" s="8">
        <f>'MKT DATA'!T467</f>
        <v>0</v>
      </c>
      <c r="Q84" s="43" t="str">
        <f t="shared" si="5"/>
        <v>syn BTCG7/BTCF7/BTCH7/BTCX6</v>
      </c>
      <c r="R84" s="13">
        <f>'MKT DATA'!AB467</f>
        <v>0</v>
      </c>
    </row>
    <row r="85" spans="5:18" x14ac:dyDescent="0.25">
      <c r="E85" s="43" t="str">
        <f>'MKT DATA'!B468</f>
        <v>syn BTCG7/BTCH7/BTCV6/BTCX6</v>
      </c>
      <c r="F85" s="13">
        <f>'MKT DATA'!J468</f>
        <v>1</v>
      </c>
      <c r="G85" s="8">
        <f>'MKT DATA'!K468</f>
        <v>83227</v>
      </c>
      <c r="H85" s="8">
        <f>'MKT DATA'!L468</f>
        <v>84676</v>
      </c>
      <c r="I85" s="13">
        <f>'MKT DATA'!M468</f>
        <v>1</v>
      </c>
      <c r="J85" s="43" t="str">
        <f t="shared" si="4"/>
        <v>syn BTCG7/BTCH7/BTCV6/BTCX6</v>
      </c>
      <c r="K85" s="8">
        <f>'MKT DATA'!O468</f>
        <v>0</v>
      </c>
      <c r="L85" s="8">
        <f>'MKT DATA'!P468</f>
        <v>83227</v>
      </c>
      <c r="M85" s="8">
        <f>'MKT DATA'!Q468</f>
        <v>0</v>
      </c>
      <c r="N85" s="8">
        <f>'MKT DATA'!R468</f>
        <v>0</v>
      </c>
      <c r="O85" s="8">
        <f>'MKT DATA'!S468</f>
        <v>-84676</v>
      </c>
      <c r="P85" s="8">
        <f>'MKT DATA'!T468</f>
        <v>0</v>
      </c>
      <c r="Q85" s="43" t="str">
        <f t="shared" si="5"/>
        <v>syn BTCG7/BTCH7/BTCV6/BTCX6</v>
      </c>
      <c r="R85" s="13">
        <f>'MKT DATA'!AB468</f>
        <v>0</v>
      </c>
    </row>
    <row r="86" spans="5:18" x14ac:dyDescent="0.25">
      <c r="E86" s="43" t="str">
        <f>'MKT DATA'!B469</f>
        <v>syn BTCG7/BTCH7/BTCZ6/BTCX6</v>
      </c>
      <c r="F86" s="13">
        <f>'MKT DATA'!J469</f>
        <v>1</v>
      </c>
      <c r="G86" s="8">
        <f>'MKT DATA'!K469</f>
        <v>83209</v>
      </c>
      <c r="H86" s="8">
        <f>'MKT DATA'!L469</f>
        <v>84506</v>
      </c>
      <c r="I86" s="13">
        <f>'MKT DATA'!M469</f>
        <v>1</v>
      </c>
      <c r="J86" s="43" t="str">
        <f t="shared" si="4"/>
        <v>syn BTCG7/BTCH7/BTCZ6/BTCX6</v>
      </c>
      <c r="K86" s="8">
        <f>'MKT DATA'!O469</f>
        <v>0</v>
      </c>
      <c r="L86" s="8">
        <f>'MKT DATA'!P469</f>
        <v>83209</v>
      </c>
      <c r="M86" s="8">
        <f>'MKT DATA'!Q469</f>
        <v>0</v>
      </c>
      <c r="N86" s="8">
        <f>'MKT DATA'!R469</f>
        <v>0</v>
      </c>
      <c r="O86" s="8">
        <f>'MKT DATA'!S469</f>
        <v>-84506</v>
      </c>
      <c r="P86" s="8">
        <f>'MKT DATA'!T469</f>
        <v>0</v>
      </c>
      <c r="Q86" s="43" t="str">
        <f t="shared" si="5"/>
        <v>syn BTCG7/BTCH7/BTCZ6/BTCX6</v>
      </c>
      <c r="R86" s="13">
        <f>'MKT DATA'!AB469</f>
        <v>0</v>
      </c>
    </row>
    <row r="87" spans="5:18" x14ac:dyDescent="0.25">
      <c r="E87" s="43" t="str">
        <f>'MKT DATA'!B470</f>
        <v>syn BTCG7/BTCH7/BTCF7/BTCX6</v>
      </c>
      <c r="F87" s="13">
        <f>'MKT DATA'!J470</f>
        <v>1</v>
      </c>
      <c r="G87" s="8">
        <f>'MKT DATA'!K470</f>
        <v>83111</v>
      </c>
      <c r="H87" s="8">
        <f>'MKT DATA'!L470</f>
        <v>84819</v>
      </c>
      <c r="I87" s="13">
        <f>'MKT DATA'!M470</f>
        <v>1</v>
      </c>
      <c r="J87" s="43" t="str">
        <f t="shared" si="4"/>
        <v>syn BTCG7/BTCH7/BTCF7/BTCX6</v>
      </c>
      <c r="K87" s="8">
        <f>'MKT DATA'!O470</f>
        <v>0</v>
      </c>
      <c r="L87" s="8">
        <f>'MKT DATA'!P470</f>
        <v>83111</v>
      </c>
      <c r="M87" s="8">
        <f>'MKT DATA'!Q470</f>
        <v>0</v>
      </c>
      <c r="N87" s="8">
        <f>'MKT DATA'!R470</f>
        <v>0</v>
      </c>
      <c r="O87" s="8">
        <f>'MKT DATA'!S470</f>
        <v>-84819</v>
      </c>
      <c r="P87" s="8">
        <f>'MKT DATA'!T470</f>
        <v>0</v>
      </c>
      <c r="Q87" s="43" t="str">
        <f t="shared" si="5"/>
        <v>syn BTCG7/BTCH7/BTCF7/BTCX6</v>
      </c>
      <c r="R87" s="13">
        <f>'MKT DATA'!AB470</f>
        <v>0</v>
      </c>
    </row>
    <row r="88" spans="5:18" x14ac:dyDescent="0.25">
      <c r="E88" s="43" t="str">
        <f>'MKT DATA'!B471</f>
        <v>syn BTCH7/BTCV6/BTCZ6/BTCX6</v>
      </c>
      <c r="F88" s="13">
        <f>'MKT DATA'!J471</f>
        <v>1</v>
      </c>
      <c r="G88" s="8">
        <f>'MKT DATA'!K471</f>
        <v>83140</v>
      </c>
      <c r="H88" s="8">
        <f>'MKT DATA'!L471</f>
        <v>84708</v>
      </c>
      <c r="I88" s="13">
        <f>'MKT DATA'!M471</f>
        <v>1</v>
      </c>
      <c r="J88" s="43" t="str">
        <f t="shared" si="4"/>
        <v>syn BTCH7/BTCV6/BTCZ6/BTCX6</v>
      </c>
      <c r="K88" s="8">
        <f>'MKT DATA'!O471</f>
        <v>0</v>
      </c>
      <c r="L88" s="8">
        <f>'MKT DATA'!P471</f>
        <v>83140</v>
      </c>
      <c r="M88" s="8">
        <f>'MKT DATA'!Q471</f>
        <v>0</v>
      </c>
      <c r="N88" s="8">
        <f>'MKT DATA'!R471</f>
        <v>0</v>
      </c>
      <c r="O88" s="8">
        <f>'MKT DATA'!S471</f>
        <v>-84708</v>
      </c>
      <c r="P88" s="8">
        <f>'MKT DATA'!T471</f>
        <v>0</v>
      </c>
      <c r="Q88" s="43" t="str">
        <f t="shared" si="5"/>
        <v>syn BTCH7/BTCV6/BTCZ6/BTCX6</v>
      </c>
      <c r="R88" s="13">
        <f>'MKT DATA'!AB471</f>
        <v>0</v>
      </c>
    </row>
    <row r="89" spans="5:18" x14ac:dyDescent="0.25">
      <c r="E89" s="43" t="str">
        <f>'MKT DATA'!B472</f>
        <v>syn BTCH7/BTCV6/BTCF7/BTCX6</v>
      </c>
      <c r="F89" s="13">
        <f>'MKT DATA'!J472</f>
        <v>1</v>
      </c>
      <c r="G89" s="8">
        <f>'MKT DATA'!K472</f>
        <v>83037</v>
      </c>
      <c r="H89" s="8">
        <f>'MKT DATA'!L472</f>
        <v>84808</v>
      </c>
      <c r="I89" s="13">
        <f>'MKT DATA'!M472</f>
        <v>1</v>
      </c>
      <c r="J89" s="43" t="str">
        <f t="shared" si="4"/>
        <v>syn BTCH7/BTCV6/BTCF7/BTCX6</v>
      </c>
      <c r="K89" s="8">
        <f>'MKT DATA'!O472</f>
        <v>0</v>
      </c>
      <c r="L89" s="8">
        <f>'MKT DATA'!P472</f>
        <v>83037</v>
      </c>
      <c r="M89" s="8">
        <f>'MKT DATA'!Q472</f>
        <v>0</v>
      </c>
      <c r="N89" s="8">
        <f>'MKT DATA'!R472</f>
        <v>0</v>
      </c>
      <c r="O89" s="8">
        <f>'MKT DATA'!S472</f>
        <v>-84808</v>
      </c>
      <c r="P89" s="8">
        <f>'MKT DATA'!T472</f>
        <v>0</v>
      </c>
      <c r="Q89" s="43" t="str">
        <f t="shared" si="5"/>
        <v>syn BTCH7/BTCV6/BTCF7/BTCX6</v>
      </c>
      <c r="R89" s="13">
        <f>'MKT DATA'!AB472</f>
        <v>0</v>
      </c>
    </row>
    <row r="90" spans="5:18" x14ac:dyDescent="0.25">
      <c r="E90" s="43" t="str">
        <f>'MKT DATA'!B473</f>
        <v>syn BTCH7/BTCV6/BTCG7/BTCX6</v>
      </c>
      <c r="F90" s="13">
        <f>'MKT DATA'!J473</f>
        <v>1</v>
      </c>
      <c r="G90" s="8">
        <f>'MKT DATA'!K473</f>
        <v>82800</v>
      </c>
      <c r="H90" s="8">
        <f>'MKT DATA'!L473</f>
        <v>85055</v>
      </c>
      <c r="I90" s="13">
        <f>'MKT DATA'!M473</f>
        <v>1</v>
      </c>
      <c r="J90" s="43" t="str">
        <f t="shared" si="4"/>
        <v>syn BTCH7/BTCV6/BTCG7/BTCX6</v>
      </c>
      <c r="K90" s="8">
        <f>'MKT DATA'!O473</f>
        <v>0</v>
      </c>
      <c r="L90" s="8">
        <f>'MKT DATA'!P473</f>
        <v>82800</v>
      </c>
      <c r="M90" s="8">
        <f>'MKT DATA'!Q473</f>
        <v>0</v>
      </c>
      <c r="N90" s="8">
        <f>'MKT DATA'!R473</f>
        <v>0</v>
      </c>
      <c r="O90" s="8">
        <f>'MKT DATA'!S473</f>
        <v>-85055</v>
      </c>
      <c r="P90" s="8">
        <f>'MKT DATA'!T473</f>
        <v>0</v>
      </c>
      <c r="Q90" s="43" t="str">
        <f t="shared" si="5"/>
        <v>syn BTCH7/BTCV6/BTCG7/BTCX6</v>
      </c>
      <c r="R90" s="13">
        <f>'MKT DATA'!AB473</f>
        <v>0</v>
      </c>
    </row>
    <row r="91" spans="5:18" x14ac:dyDescent="0.25">
      <c r="E91" s="43" t="str">
        <f>'MKT DATA'!B474</f>
        <v>syn BTCH7/BTCZ6/BTCV6/BTCX6</v>
      </c>
      <c r="F91" s="13">
        <f>'MKT DATA'!J474</f>
        <v>1</v>
      </c>
      <c r="G91" s="8">
        <f>'MKT DATA'!K474</f>
        <v>83140</v>
      </c>
      <c r="H91" s="8">
        <f>'MKT DATA'!L474</f>
        <v>84520</v>
      </c>
      <c r="I91" s="13">
        <f>'MKT DATA'!M474</f>
        <v>1</v>
      </c>
      <c r="J91" s="43" t="str">
        <f t="shared" si="4"/>
        <v>syn BTCH7/BTCZ6/BTCV6/BTCX6</v>
      </c>
      <c r="K91" s="8">
        <f>'MKT DATA'!O474</f>
        <v>0</v>
      </c>
      <c r="L91" s="8">
        <f>'MKT DATA'!P474</f>
        <v>83140</v>
      </c>
      <c r="M91" s="8">
        <f>'MKT DATA'!Q474</f>
        <v>0</v>
      </c>
      <c r="N91" s="8">
        <f>'MKT DATA'!R474</f>
        <v>0</v>
      </c>
      <c r="O91" s="8">
        <f>'MKT DATA'!S474</f>
        <v>-84520</v>
      </c>
      <c r="P91" s="8">
        <f>'MKT DATA'!T474</f>
        <v>0</v>
      </c>
      <c r="Q91" s="43" t="str">
        <f t="shared" si="5"/>
        <v>syn BTCH7/BTCZ6/BTCV6/BTCX6</v>
      </c>
      <c r="R91" s="13">
        <f>'MKT DATA'!AB474</f>
        <v>0</v>
      </c>
    </row>
    <row r="92" spans="5:18" x14ac:dyDescent="0.25">
      <c r="E92" s="43" t="str">
        <f>'MKT DATA'!B475</f>
        <v>syn BTCH7/BTCZ6/BTCF7/BTCX6</v>
      </c>
      <c r="F92" s="13">
        <f>'MKT DATA'!J475</f>
        <v>1</v>
      </c>
      <c r="G92" s="8">
        <f>'MKT DATA'!K475</f>
        <v>83103</v>
      </c>
      <c r="H92" s="8">
        <f>'MKT DATA'!L475</f>
        <v>84588</v>
      </c>
      <c r="I92" s="13">
        <f>'MKT DATA'!M475</f>
        <v>1</v>
      </c>
      <c r="J92" s="43" t="str">
        <f t="shared" si="4"/>
        <v>syn BTCH7/BTCZ6/BTCF7/BTCX6</v>
      </c>
      <c r="K92" s="8">
        <f>'MKT DATA'!O475</f>
        <v>0</v>
      </c>
      <c r="L92" s="8">
        <f>'MKT DATA'!P475</f>
        <v>83103</v>
      </c>
      <c r="M92" s="8">
        <f>'MKT DATA'!Q475</f>
        <v>0</v>
      </c>
      <c r="N92" s="8">
        <f>'MKT DATA'!R475</f>
        <v>0</v>
      </c>
      <c r="O92" s="8">
        <f>'MKT DATA'!S475</f>
        <v>-84588</v>
      </c>
      <c r="P92" s="8">
        <f>'MKT DATA'!T475</f>
        <v>0</v>
      </c>
      <c r="Q92" s="43" t="str">
        <f t="shared" si="5"/>
        <v>syn BTCH7/BTCZ6/BTCF7/BTCX6</v>
      </c>
      <c r="R92" s="13">
        <f>'MKT DATA'!AB475</f>
        <v>0</v>
      </c>
    </row>
    <row r="93" spans="5:18" x14ac:dyDescent="0.25">
      <c r="E93" s="43" t="str">
        <f>'MKT DATA'!B476</f>
        <v>syn BTCH7/BTCZ6/BTCG7/BTCX6</v>
      </c>
      <c r="F93" s="13">
        <f>'MKT DATA'!J476</f>
        <v>1</v>
      </c>
      <c r="G93" s="8">
        <f>'MKT DATA'!K476</f>
        <v>82760</v>
      </c>
      <c r="H93" s="8">
        <f>'MKT DATA'!L476</f>
        <v>84915</v>
      </c>
      <c r="I93" s="13">
        <f>'MKT DATA'!M476</f>
        <v>1</v>
      </c>
      <c r="J93" s="43" t="str">
        <f t="shared" si="4"/>
        <v>syn BTCH7/BTCZ6/BTCG7/BTCX6</v>
      </c>
      <c r="K93" s="8">
        <f>'MKT DATA'!O476</f>
        <v>0</v>
      </c>
      <c r="L93" s="8">
        <f>'MKT DATA'!P476</f>
        <v>82760</v>
      </c>
      <c r="M93" s="8">
        <f>'MKT DATA'!Q476</f>
        <v>0</v>
      </c>
      <c r="N93" s="8">
        <f>'MKT DATA'!R476</f>
        <v>0</v>
      </c>
      <c r="O93" s="8">
        <f>'MKT DATA'!S476</f>
        <v>-84915</v>
      </c>
      <c r="P93" s="8">
        <f>'MKT DATA'!T476</f>
        <v>0</v>
      </c>
      <c r="Q93" s="43" t="str">
        <f t="shared" si="5"/>
        <v>syn BTCH7/BTCZ6/BTCG7/BTCX6</v>
      </c>
      <c r="R93" s="13">
        <f>'MKT DATA'!AB476</f>
        <v>0</v>
      </c>
    </row>
    <row r="94" spans="5:18" x14ac:dyDescent="0.25">
      <c r="E94" s="43" t="str">
        <f>'MKT DATA'!B477</f>
        <v>syn BTCH7/BTCF7/BTCV6/BTCX6</v>
      </c>
      <c r="F94" s="13">
        <f>'MKT DATA'!J477</f>
        <v>1</v>
      </c>
      <c r="G94" s="8">
        <f>'MKT DATA'!K477</f>
        <v>83028</v>
      </c>
      <c r="H94" s="8">
        <f>'MKT DATA'!L477</f>
        <v>84850</v>
      </c>
      <c r="I94" s="13">
        <f>'MKT DATA'!M477</f>
        <v>1</v>
      </c>
      <c r="J94" s="43" t="str">
        <f t="shared" si="4"/>
        <v>syn BTCH7/BTCF7/BTCV6/BTCX6</v>
      </c>
      <c r="K94" s="8">
        <f>'MKT DATA'!O477</f>
        <v>0</v>
      </c>
      <c r="L94" s="8">
        <f>'MKT DATA'!P477</f>
        <v>83028</v>
      </c>
      <c r="M94" s="8">
        <f>'MKT DATA'!Q477</f>
        <v>0</v>
      </c>
      <c r="N94" s="8">
        <f>'MKT DATA'!R477</f>
        <v>0</v>
      </c>
      <c r="O94" s="8">
        <f>'MKT DATA'!S477</f>
        <v>-84850</v>
      </c>
      <c r="P94" s="8">
        <f>'MKT DATA'!T477</f>
        <v>0</v>
      </c>
      <c r="Q94" s="43" t="str">
        <f t="shared" si="5"/>
        <v>syn BTCH7/BTCF7/BTCV6/BTCX6</v>
      </c>
      <c r="R94" s="13">
        <f>'MKT DATA'!AB477</f>
        <v>0</v>
      </c>
    </row>
    <row r="95" spans="5:18" x14ac:dyDescent="0.25">
      <c r="E95" s="43" t="str">
        <f>'MKT DATA'!B478</f>
        <v>syn BTCH7/BTCF7/BTCZ6/BTCX6</v>
      </c>
      <c r="F95" s="13">
        <f>'MKT DATA'!J478</f>
        <v>1</v>
      </c>
      <c r="G95" s="8">
        <f>'MKT DATA'!K478</f>
        <v>83060</v>
      </c>
      <c r="H95" s="8">
        <f>'MKT DATA'!L478</f>
        <v>84784</v>
      </c>
      <c r="I95" s="13">
        <f>'MKT DATA'!M478</f>
        <v>1</v>
      </c>
      <c r="J95" s="43" t="str">
        <f t="shared" si="4"/>
        <v>syn BTCH7/BTCF7/BTCZ6/BTCX6</v>
      </c>
      <c r="K95" s="8">
        <f>'MKT DATA'!O478</f>
        <v>0</v>
      </c>
      <c r="L95" s="8">
        <f>'MKT DATA'!P478</f>
        <v>83060</v>
      </c>
      <c r="M95" s="8">
        <f>'MKT DATA'!Q478</f>
        <v>0</v>
      </c>
      <c r="N95" s="8">
        <f>'MKT DATA'!R478</f>
        <v>0</v>
      </c>
      <c r="O95" s="8">
        <f>'MKT DATA'!S478</f>
        <v>-84784</v>
      </c>
      <c r="P95" s="8">
        <f>'MKT DATA'!T478</f>
        <v>0</v>
      </c>
      <c r="Q95" s="43" t="str">
        <f t="shared" si="5"/>
        <v>syn BTCH7/BTCF7/BTCZ6/BTCX6</v>
      </c>
      <c r="R95" s="13">
        <f>'MKT DATA'!AB478</f>
        <v>0</v>
      </c>
    </row>
    <row r="96" spans="5:18" x14ac:dyDescent="0.25">
      <c r="E96" s="43" t="str">
        <f>'MKT DATA'!B479</f>
        <v>syn BTCH7/BTCF7/BTCG7/BTCX6</v>
      </c>
      <c r="F96" s="13">
        <f>'MKT DATA'!J479</f>
        <v>1</v>
      </c>
      <c r="G96" s="8">
        <f>'MKT DATA'!K479</f>
        <v>82814</v>
      </c>
      <c r="H96" s="8">
        <f>'MKT DATA'!L479</f>
        <v>85025</v>
      </c>
      <c r="I96" s="13">
        <f>'MKT DATA'!M479</f>
        <v>1</v>
      </c>
      <c r="J96" s="43" t="str">
        <f t="shared" si="4"/>
        <v>syn BTCH7/BTCF7/BTCG7/BTCX6</v>
      </c>
      <c r="K96" s="8">
        <f>'MKT DATA'!O479</f>
        <v>0</v>
      </c>
      <c r="L96" s="8">
        <f>'MKT DATA'!P479</f>
        <v>82814</v>
      </c>
      <c r="M96" s="8">
        <f>'MKT DATA'!Q479</f>
        <v>0</v>
      </c>
      <c r="N96" s="8">
        <f>'MKT DATA'!R479</f>
        <v>0</v>
      </c>
      <c r="O96" s="8">
        <f>'MKT DATA'!S479</f>
        <v>-85025</v>
      </c>
      <c r="P96" s="8">
        <f>'MKT DATA'!T479</f>
        <v>0</v>
      </c>
      <c r="Q96" s="43" t="str">
        <f t="shared" si="5"/>
        <v>syn BTCH7/BTCF7/BTCG7/BTCX6</v>
      </c>
      <c r="R96" s="13">
        <f>'MKT DATA'!AB479</f>
        <v>0</v>
      </c>
    </row>
    <row r="97" spans="5:18" x14ac:dyDescent="0.25">
      <c r="E97" s="43" t="str">
        <f>'MKT DATA'!B480</f>
        <v>syn BTCH7/BTCG7/BTCV6/BTCX6</v>
      </c>
      <c r="F97" s="13">
        <f>'MKT DATA'!J480</f>
        <v>1</v>
      </c>
      <c r="G97" s="8">
        <f>'MKT DATA'!K480</f>
        <v>83172</v>
      </c>
      <c r="H97" s="8">
        <f>'MKT DATA'!L480</f>
        <v>84621</v>
      </c>
      <c r="I97" s="13">
        <f>'MKT DATA'!M480</f>
        <v>1</v>
      </c>
      <c r="J97" s="43" t="str">
        <f t="shared" si="4"/>
        <v>syn BTCH7/BTCG7/BTCV6/BTCX6</v>
      </c>
      <c r="K97" s="8">
        <f>'MKT DATA'!O480</f>
        <v>0</v>
      </c>
      <c r="L97" s="8">
        <f>'MKT DATA'!P480</f>
        <v>83172</v>
      </c>
      <c r="M97" s="8">
        <f>'MKT DATA'!Q480</f>
        <v>0</v>
      </c>
      <c r="N97" s="8">
        <f>'MKT DATA'!R480</f>
        <v>0</v>
      </c>
      <c r="O97" s="8">
        <f>'MKT DATA'!S480</f>
        <v>-84621</v>
      </c>
      <c r="P97" s="8">
        <f>'MKT DATA'!T480</f>
        <v>0</v>
      </c>
      <c r="Q97" s="43" t="str">
        <f t="shared" si="5"/>
        <v>syn BTCH7/BTCG7/BTCV6/BTCX6</v>
      </c>
      <c r="R97" s="13">
        <f>'MKT DATA'!AB480</f>
        <v>0</v>
      </c>
    </row>
    <row r="98" spans="5:18" x14ac:dyDescent="0.25">
      <c r="E98" s="43" t="str">
        <f>'MKT DATA'!B481</f>
        <v>syn BTCH7/BTCG7/BTCZ6/BTCX6</v>
      </c>
      <c r="F98" s="13">
        <f>'MKT DATA'!J481</f>
        <v>1</v>
      </c>
      <c r="G98" s="8">
        <f>'MKT DATA'!K481</f>
        <v>83124</v>
      </c>
      <c r="H98" s="8">
        <f>'MKT DATA'!L481</f>
        <v>84661</v>
      </c>
      <c r="I98" s="13">
        <f>'MKT DATA'!M481</f>
        <v>1</v>
      </c>
      <c r="J98" s="43" t="str">
        <f t="shared" si="4"/>
        <v>syn BTCH7/BTCG7/BTCZ6/BTCX6</v>
      </c>
      <c r="K98" s="8">
        <f>'MKT DATA'!O481</f>
        <v>0</v>
      </c>
      <c r="L98" s="8">
        <f>'MKT DATA'!P481</f>
        <v>83124</v>
      </c>
      <c r="M98" s="8">
        <f>'MKT DATA'!Q481</f>
        <v>0</v>
      </c>
      <c r="N98" s="8">
        <f>'MKT DATA'!R481</f>
        <v>0</v>
      </c>
      <c r="O98" s="8">
        <f>'MKT DATA'!S481</f>
        <v>-84661</v>
      </c>
      <c r="P98" s="8">
        <f>'MKT DATA'!T481</f>
        <v>0</v>
      </c>
      <c r="Q98" s="43" t="str">
        <f t="shared" si="5"/>
        <v>syn BTCH7/BTCG7/BTCZ6/BTCX6</v>
      </c>
      <c r="R98" s="13">
        <f>'MKT DATA'!AB481</f>
        <v>0</v>
      </c>
    </row>
    <row r="99" spans="5:18" x14ac:dyDescent="0.25">
      <c r="E99" s="43" t="str">
        <f>'MKT DATA'!B482</f>
        <v>syn BTCH7/BTCG7/BTCF7/BTCX6</v>
      </c>
      <c r="F99" s="13">
        <f>'MKT DATA'!J482</f>
        <v>1</v>
      </c>
      <c r="G99" s="8">
        <f>'MKT DATA'!K482</f>
        <v>83241</v>
      </c>
      <c r="H99" s="8">
        <f>'MKT DATA'!L482</f>
        <v>84595</v>
      </c>
      <c r="I99" s="13">
        <f>'MKT DATA'!M482</f>
        <v>1</v>
      </c>
      <c r="J99" s="43" t="str">
        <f t="shared" si="4"/>
        <v>syn BTCH7/BTCG7/BTCF7/BTCX6</v>
      </c>
      <c r="K99" s="8">
        <f>'MKT DATA'!O482</f>
        <v>0</v>
      </c>
      <c r="L99" s="8">
        <f>'MKT DATA'!P482</f>
        <v>83241</v>
      </c>
      <c r="M99" s="8">
        <f>'MKT DATA'!Q482</f>
        <v>0</v>
      </c>
      <c r="N99" s="8">
        <f>'MKT DATA'!R482</f>
        <v>0</v>
      </c>
      <c r="O99" s="8">
        <f>'MKT DATA'!S482</f>
        <v>-84595</v>
      </c>
      <c r="P99" s="8">
        <f>'MKT DATA'!T482</f>
        <v>0</v>
      </c>
      <c r="Q99" s="43" t="str">
        <f t="shared" si="5"/>
        <v>syn BTCH7/BTCG7/BTCF7/BTCX6</v>
      </c>
      <c r="R99" s="13">
        <f>'MKT DATA'!AB482</f>
        <v>0</v>
      </c>
    </row>
    <row r="100" spans="5:18" x14ac:dyDescent="0.25">
      <c r="E100" s="43" t="str">
        <f>'MKT DATA'!B483</f>
        <v>syn BTCV6/BTCZ6/BTCF7/BTCG7/BTCX6</v>
      </c>
      <c r="F100" s="13">
        <f>'MKT DATA'!J483</f>
        <v>1</v>
      </c>
      <c r="G100" s="8">
        <f>'MKT DATA'!K483</f>
        <v>83597</v>
      </c>
      <c r="H100" s="8">
        <f>'MKT DATA'!L483</f>
        <v>84246</v>
      </c>
      <c r="I100" s="13">
        <f>'MKT DATA'!M483</f>
        <v>1</v>
      </c>
      <c r="J100" s="43" t="str">
        <f t="shared" si="4"/>
        <v>syn BTCV6/BTCZ6/BTCF7/BTCG7/BTCX6</v>
      </c>
      <c r="K100" s="8">
        <f>'MKT DATA'!O483</f>
        <v>0</v>
      </c>
      <c r="L100" s="8">
        <f>'MKT DATA'!P483</f>
        <v>83597</v>
      </c>
      <c r="M100" s="8">
        <f>'MKT DATA'!Q483</f>
        <v>0</v>
      </c>
      <c r="N100" s="8">
        <f>'MKT DATA'!R483</f>
        <v>0</v>
      </c>
      <c r="O100" s="8">
        <f>'MKT DATA'!S483</f>
        <v>-84246</v>
      </c>
      <c r="P100" s="8">
        <f>'MKT DATA'!T483</f>
        <v>0</v>
      </c>
      <c r="Q100" s="43" t="str">
        <f t="shared" si="5"/>
        <v>syn BTCV6/BTCZ6/BTCF7/BTCG7/BTCX6</v>
      </c>
      <c r="R100" s="13">
        <f>'MKT DATA'!AB483</f>
        <v>0</v>
      </c>
    </row>
    <row r="101" spans="5:18" x14ac:dyDescent="0.25">
      <c r="E101" s="43" t="str">
        <f>'MKT DATA'!B484</f>
        <v>syn BTCV6/BTCZ6/BTCF7/BTCH7/BTCX6</v>
      </c>
      <c r="F101" s="13">
        <f>'MKT DATA'!J484</f>
        <v>1</v>
      </c>
      <c r="G101" s="8">
        <f>'MKT DATA'!K484</f>
        <v>83018</v>
      </c>
      <c r="H101" s="8">
        <f>'MKT DATA'!L484</f>
        <v>84841</v>
      </c>
      <c r="I101" s="13">
        <f>'MKT DATA'!M484</f>
        <v>1</v>
      </c>
      <c r="J101" s="43" t="str">
        <f t="shared" si="4"/>
        <v>syn BTCV6/BTCZ6/BTCF7/BTCH7/BTCX6</v>
      </c>
      <c r="K101" s="8">
        <f>'MKT DATA'!O484</f>
        <v>0</v>
      </c>
      <c r="L101" s="8">
        <f>'MKT DATA'!P484</f>
        <v>83018</v>
      </c>
      <c r="M101" s="8">
        <f>'MKT DATA'!Q484</f>
        <v>0</v>
      </c>
      <c r="N101" s="8">
        <f>'MKT DATA'!R484</f>
        <v>0</v>
      </c>
      <c r="O101" s="8">
        <f>'MKT DATA'!S484</f>
        <v>-84841</v>
      </c>
      <c r="P101" s="8">
        <f>'MKT DATA'!T484</f>
        <v>0</v>
      </c>
      <c r="Q101" s="43" t="str">
        <f t="shared" si="5"/>
        <v>syn BTCV6/BTCZ6/BTCF7/BTCH7/BTCX6</v>
      </c>
      <c r="R101" s="13">
        <f>'MKT DATA'!AB484</f>
        <v>0</v>
      </c>
    </row>
    <row r="102" spans="5:18" x14ac:dyDescent="0.25">
      <c r="E102" s="43" t="str">
        <f>'MKT DATA'!B485</f>
        <v>syn BTCV6/BTCZ6/BTCG7/BTCF7/BTCX6</v>
      </c>
      <c r="F102" s="13">
        <f>'MKT DATA'!J485</f>
        <v>1</v>
      </c>
      <c r="G102" s="8">
        <f>'MKT DATA'!K485</f>
        <v>83567</v>
      </c>
      <c r="H102" s="8">
        <f>'MKT DATA'!L485</f>
        <v>84332</v>
      </c>
      <c r="I102" s="13">
        <f>'MKT DATA'!M485</f>
        <v>1</v>
      </c>
      <c r="J102" s="43" t="str">
        <f t="shared" si="4"/>
        <v>syn BTCV6/BTCZ6/BTCG7/BTCF7/BTCX6</v>
      </c>
      <c r="K102" s="8">
        <f>'MKT DATA'!O485</f>
        <v>0</v>
      </c>
      <c r="L102" s="8">
        <f>'MKT DATA'!P485</f>
        <v>83567</v>
      </c>
      <c r="M102" s="8">
        <f>'MKT DATA'!Q485</f>
        <v>0</v>
      </c>
      <c r="N102" s="8">
        <f>'MKT DATA'!R485</f>
        <v>0</v>
      </c>
      <c r="O102" s="8">
        <f>'MKT DATA'!S485</f>
        <v>-84332</v>
      </c>
      <c r="P102" s="8">
        <f>'MKT DATA'!T485</f>
        <v>0</v>
      </c>
      <c r="Q102" s="43" t="str">
        <f t="shared" si="5"/>
        <v>syn BTCV6/BTCZ6/BTCG7/BTCF7/BTCX6</v>
      </c>
      <c r="R102" s="13">
        <f>'MKT DATA'!AB485</f>
        <v>0</v>
      </c>
    </row>
    <row r="103" spans="5:18" x14ac:dyDescent="0.25">
      <c r="E103" s="43" t="str">
        <f>'MKT DATA'!B486</f>
        <v>syn BTCV6/BTCZ6/BTCG7/BTCH7/BTCX6</v>
      </c>
      <c r="F103" s="13">
        <f>'MKT DATA'!J486</f>
        <v>1</v>
      </c>
      <c r="G103" s="8">
        <f>'MKT DATA'!K486</f>
        <v>83141</v>
      </c>
      <c r="H103" s="8">
        <f>'MKT DATA'!L486</f>
        <v>84777</v>
      </c>
      <c r="I103" s="13">
        <f>'MKT DATA'!M486</f>
        <v>1</v>
      </c>
      <c r="J103" s="43" t="str">
        <f t="shared" si="4"/>
        <v>syn BTCV6/BTCZ6/BTCG7/BTCH7/BTCX6</v>
      </c>
      <c r="K103" s="8">
        <f>'MKT DATA'!O486</f>
        <v>0</v>
      </c>
      <c r="L103" s="8">
        <f>'MKT DATA'!P486</f>
        <v>83141</v>
      </c>
      <c r="M103" s="8">
        <f>'MKT DATA'!Q486</f>
        <v>0</v>
      </c>
      <c r="N103" s="8">
        <f>'MKT DATA'!R486</f>
        <v>0</v>
      </c>
      <c r="O103" s="8">
        <f>'MKT DATA'!S486</f>
        <v>-84777</v>
      </c>
      <c r="P103" s="8">
        <f>'MKT DATA'!T486</f>
        <v>0</v>
      </c>
      <c r="Q103" s="43" t="str">
        <f t="shared" si="5"/>
        <v>syn BTCV6/BTCZ6/BTCG7/BTCH7/BTCX6</v>
      </c>
      <c r="R103" s="13">
        <f>'MKT DATA'!AB486</f>
        <v>0</v>
      </c>
    </row>
    <row r="104" spans="5:18" x14ac:dyDescent="0.25">
      <c r="E104" s="43" t="str">
        <f>'MKT DATA'!B487</f>
        <v>syn BTCV6/BTCZ6/BTCH7/BTCF7/BTCX6</v>
      </c>
      <c r="F104" s="13">
        <f>'MKT DATA'!J487</f>
        <v>1</v>
      </c>
      <c r="G104" s="8">
        <f>'MKT DATA'!K487</f>
        <v>83182</v>
      </c>
      <c r="H104" s="8">
        <f>'MKT DATA'!L487</f>
        <v>84881</v>
      </c>
      <c r="I104" s="13">
        <f>'MKT DATA'!M487</f>
        <v>1</v>
      </c>
      <c r="J104" s="43" t="str">
        <f t="shared" si="4"/>
        <v>syn BTCV6/BTCZ6/BTCH7/BTCF7/BTCX6</v>
      </c>
      <c r="K104" s="8">
        <f>'MKT DATA'!O487</f>
        <v>0</v>
      </c>
      <c r="L104" s="8">
        <f>'MKT DATA'!P487</f>
        <v>83182</v>
      </c>
      <c r="M104" s="8">
        <f>'MKT DATA'!Q487</f>
        <v>0</v>
      </c>
      <c r="N104" s="8">
        <f>'MKT DATA'!R487</f>
        <v>0</v>
      </c>
      <c r="O104" s="8">
        <f>'MKT DATA'!S487</f>
        <v>-84881</v>
      </c>
      <c r="P104" s="8">
        <f>'MKT DATA'!T487</f>
        <v>0</v>
      </c>
      <c r="Q104" s="43" t="str">
        <f t="shared" si="5"/>
        <v>syn BTCV6/BTCZ6/BTCH7/BTCF7/BTCX6</v>
      </c>
      <c r="R104" s="13">
        <f>'MKT DATA'!AB487</f>
        <v>0</v>
      </c>
    </row>
    <row r="105" spans="5:18" x14ac:dyDescent="0.25">
      <c r="E105" s="43" t="str">
        <f>'MKT DATA'!B488</f>
        <v>syn BTCV6/BTCZ6/BTCH7/BTCG7/BTCX6</v>
      </c>
      <c r="F105" s="13">
        <f>'MKT DATA'!J488</f>
        <v>1</v>
      </c>
      <c r="G105" s="8">
        <f>'MKT DATA'!K488</f>
        <v>83296</v>
      </c>
      <c r="H105" s="8">
        <f>'MKT DATA'!L488</f>
        <v>84692</v>
      </c>
      <c r="I105" s="13">
        <f>'MKT DATA'!M488</f>
        <v>1</v>
      </c>
      <c r="J105" s="43" t="str">
        <f t="shared" si="4"/>
        <v>syn BTCV6/BTCZ6/BTCH7/BTCG7/BTCX6</v>
      </c>
      <c r="K105" s="8">
        <f>'MKT DATA'!O488</f>
        <v>0</v>
      </c>
      <c r="L105" s="8">
        <f>'MKT DATA'!P488</f>
        <v>83296</v>
      </c>
      <c r="M105" s="8">
        <f>'MKT DATA'!Q488</f>
        <v>0</v>
      </c>
      <c r="N105" s="8">
        <f>'MKT DATA'!R488</f>
        <v>0</v>
      </c>
      <c r="O105" s="8">
        <f>'MKT DATA'!S488</f>
        <v>-84692</v>
      </c>
      <c r="P105" s="8">
        <f>'MKT DATA'!T488</f>
        <v>0</v>
      </c>
      <c r="Q105" s="43" t="str">
        <f t="shared" si="5"/>
        <v>syn BTCV6/BTCZ6/BTCH7/BTCG7/BTCX6</v>
      </c>
      <c r="R105" s="13">
        <f>'MKT DATA'!AB488</f>
        <v>0</v>
      </c>
    </row>
    <row r="106" spans="5:18" x14ac:dyDescent="0.25">
      <c r="E106" s="43" t="str">
        <f>'MKT DATA'!B489</f>
        <v>syn BTCV6/BTCF7/BTCZ6/BTCG7/BTCX6</v>
      </c>
      <c r="F106" s="13">
        <f>'MKT DATA'!J489</f>
        <v>1</v>
      </c>
      <c r="G106" s="8">
        <f>'MKT DATA'!K489</f>
        <v>83397</v>
      </c>
      <c r="H106" s="8">
        <f>'MKT DATA'!L489</f>
        <v>84432</v>
      </c>
      <c r="I106" s="13">
        <f>'MKT DATA'!M489</f>
        <v>1</v>
      </c>
      <c r="J106" s="43" t="str">
        <f t="shared" si="4"/>
        <v>syn BTCV6/BTCF7/BTCZ6/BTCG7/BTCX6</v>
      </c>
      <c r="K106" s="8">
        <f>'MKT DATA'!O489</f>
        <v>0</v>
      </c>
      <c r="L106" s="8">
        <f>'MKT DATA'!P489</f>
        <v>83397</v>
      </c>
      <c r="M106" s="8">
        <f>'MKT DATA'!Q489</f>
        <v>0</v>
      </c>
      <c r="N106" s="8">
        <f>'MKT DATA'!R489</f>
        <v>0</v>
      </c>
      <c r="O106" s="8">
        <f>'MKT DATA'!S489</f>
        <v>-84432</v>
      </c>
      <c r="P106" s="8">
        <f>'MKT DATA'!T489</f>
        <v>0</v>
      </c>
      <c r="Q106" s="43" t="str">
        <f t="shared" si="5"/>
        <v>syn BTCV6/BTCF7/BTCZ6/BTCG7/BTCX6</v>
      </c>
      <c r="R106" s="13">
        <f>'MKT DATA'!AB489</f>
        <v>0</v>
      </c>
    </row>
    <row r="107" spans="5:18" x14ac:dyDescent="0.25">
      <c r="E107" s="43" t="str">
        <f>'MKT DATA'!B490</f>
        <v>syn BTCV6/BTCF7/BTCZ6/BTCH7/BTCX6</v>
      </c>
      <c r="F107" s="13">
        <f>'MKT DATA'!J490</f>
        <v>1</v>
      </c>
      <c r="G107" s="8">
        <f>'MKT DATA'!K490</f>
        <v>83197</v>
      </c>
      <c r="H107" s="8">
        <f>'MKT DATA'!L490</f>
        <v>84812</v>
      </c>
      <c r="I107" s="13">
        <f>'MKT DATA'!M490</f>
        <v>1</v>
      </c>
      <c r="J107" s="43" t="str">
        <f t="shared" si="4"/>
        <v>syn BTCV6/BTCF7/BTCZ6/BTCH7/BTCX6</v>
      </c>
      <c r="K107" s="8">
        <f>'MKT DATA'!O490</f>
        <v>0</v>
      </c>
      <c r="L107" s="8">
        <f>'MKT DATA'!P490</f>
        <v>83197</v>
      </c>
      <c r="M107" s="8">
        <f>'MKT DATA'!Q490</f>
        <v>0</v>
      </c>
      <c r="N107" s="8">
        <f>'MKT DATA'!R490</f>
        <v>0</v>
      </c>
      <c r="O107" s="8">
        <f>'MKT DATA'!S490</f>
        <v>-84812</v>
      </c>
      <c r="P107" s="8">
        <f>'MKT DATA'!T490</f>
        <v>0</v>
      </c>
      <c r="Q107" s="43" t="str">
        <f t="shared" si="5"/>
        <v>syn BTCV6/BTCF7/BTCZ6/BTCH7/BTCX6</v>
      </c>
      <c r="R107" s="13">
        <f>'MKT DATA'!AB490</f>
        <v>0</v>
      </c>
    </row>
    <row r="108" spans="5:18" x14ac:dyDescent="0.25">
      <c r="E108" s="43" t="str">
        <f>'MKT DATA'!B491</f>
        <v>syn BTCV6/BTCF7/BTCG7/BTCZ6/BTCX6</v>
      </c>
      <c r="F108" s="13">
        <f>'MKT DATA'!J491</f>
        <v>1</v>
      </c>
      <c r="G108" s="8">
        <f>'MKT DATA'!K491</f>
        <v>83499</v>
      </c>
      <c r="H108" s="8">
        <f>'MKT DATA'!L491</f>
        <v>84295</v>
      </c>
      <c r="I108" s="13">
        <f>'MKT DATA'!M491</f>
        <v>1</v>
      </c>
      <c r="J108" s="43" t="str">
        <f t="shared" si="4"/>
        <v>syn BTCV6/BTCF7/BTCG7/BTCZ6/BTCX6</v>
      </c>
      <c r="K108" s="8">
        <f>'MKT DATA'!O491</f>
        <v>0</v>
      </c>
      <c r="L108" s="8">
        <f>'MKT DATA'!P491</f>
        <v>83499</v>
      </c>
      <c r="M108" s="8">
        <f>'MKT DATA'!Q491</f>
        <v>0</v>
      </c>
      <c r="N108" s="8">
        <f>'MKT DATA'!R491</f>
        <v>0</v>
      </c>
      <c r="O108" s="8">
        <f>'MKT DATA'!S491</f>
        <v>-84295</v>
      </c>
      <c r="P108" s="8">
        <f>'MKT DATA'!T491</f>
        <v>0</v>
      </c>
      <c r="Q108" s="43" t="str">
        <f t="shared" si="5"/>
        <v>syn BTCV6/BTCF7/BTCG7/BTCZ6/BTCX6</v>
      </c>
      <c r="R108" s="13">
        <f>'MKT DATA'!AB491</f>
        <v>0</v>
      </c>
    </row>
    <row r="109" spans="5:18" x14ac:dyDescent="0.25">
      <c r="E109" s="43" t="str">
        <f>'MKT DATA'!B492</f>
        <v>syn BTCV6/BTCF7/BTCG7/BTCH7/BTCX6</v>
      </c>
      <c r="F109" s="13">
        <f>'MKT DATA'!J492</f>
        <v>1</v>
      </c>
      <c r="G109" s="8">
        <f>'MKT DATA'!K492</f>
        <v>83190</v>
      </c>
      <c r="H109" s="8">
        <f>'MKT DATA'!L492</f>
        <v>84674</v>
      </c>
      <c r="I109" s="13">
        <f>'MKT DATA'!M492</f>
        <v>1</v>
      </c>
      <c r="J109" s="43" t="str">
        <f t="shared" si="4"/>
        <v>syn BTCV6/BTCF7/BTCG7/BTCH7/BTCX6</v>
      </c>
      <c r="K109" s="8">
        <f>'MKT DATA'!O492</f>
        <v>0</v>
      </c>
      <c r="L109" s="8">
        <f>'MKT DATA'!P492</f>
        <v>83190</v>
      </c>
      <c r="M109" s="8">
        <f>'MKT DATA'!Q492</f>
        <v>0</v>
      </c>
      <c r="N109" s="8">
        <f>'MKT DATA'!R492</f>
        <v>0</v>
      </c>
      <c r="O109" s="8">
        <f>'MKT DATA'!S492</f>
        <v>-84674</v>
      </c>
      <c r="P109" s="8">
        <f>'MKT DATA'!T492</f>
        <v>0</v>
      </c>
      <c r="Q109" s="43" t="str">
        <f t="shared" si="5"/>
        <v>syn BTCV6/BTCF7/BTCG7/BTCH7/BTCX6</v>
      </c>
      <c r="R109" s="13">
        <f>'MKT DATA'!AB492</f>
        <v>0</v>
      </c>
    </row>
    <row r="110" spans="5:18" x14ac:dyDescent="0.25">
      <c r="E110" s="43" t="str">
        <f>'MKT DATA'!B493</f>
        <v>syn BTCV6/BTCF7/BTCH7/BTCZ6/BTCX6</v>
      </c>
      <c r="F110" s="13">
        <f>'MKT DATA'!J493</f>
        <v>1</v>
      </c>
      <c r="G110" s="8">
        <f>'MKT DATA'!K493</f>
        <v>82950</v>
      </c>
      <c r="H110" s="8">
        <f>'MKT DATA'!L493</f>
        <v>84680</v>
      </c>
      <c r="I110" s="13">
        <f>'MKT DATA'!M493</f>
        <v>1</v>
      </c>
      <c r="J110" s="43" t="str">
        <f t="shared" si="4"/>
        <v>syn BTCV6/BTCF7/BTCH7/BTCZ6/BTCX6</v>
      </c>
      <c r="K110" s="8">
        <f>'MKT DATA'!O493</f>
        <v>0</v>
      </c>
      <c r="L110" s="8">
        <f>'MKT DATA'!P493</f>
        <v>82950</v>
      </c>
      <c r="M110" s="8">
        <f>'MKT DATA'!Q493</f>
        <v>0</v>
      </c>
      <c r="N110" s="8">
        <f>'MKT DATA'!R493</f>
        <v>0</v>
      </c>
      <c r="O110" s="8">
        <f>'MKT DATA'!S493</f>
        <v>-84680</v>
      </c>
      <c r="P110" s="8">
        <f>'MKT DATA'!T493</f>
        <v>0</v>
      </c>
      <c r="Q110" s="43" t="str">
        <f t="shared" si="5"/>
        <v>syn BTCV6/BTCF7/BTCH7/BTCZ6/BTCX6</v>
      </c>
      <c r="R110" s="13">
        <f>'MKT DATA'!AB493</f>
        <v>0</v>
      </c>
    </row>
    <row r="111" spans="5:18" x14ac:dyDescent="0.25">
      <c r="E111" s="43" t="str">
        <f>'MKT DATA'!B494</f>
        <v>syn BTCV6/BTCF7/BTCH7/BTCG7/BTCX6</v>
      </c>
      <c r="F111" s="13">
        <f>'MKT DATA'!J494</f>
        <v>1</v>
      </c>
      <c r="G111" s="8">
        <f>'MKT DATA'!K494</f>
        <v>82966</v>
      </c>
      <c r="H111" s="8">
        <f>'MKT DATA'!L494</f>
        <v>84804</v>
      </c>
      <c r="I111" s="13">
        <f>'MKT DATA'!M494</f>
        <v>1</v>
      </c>
      <c r="J111" s="43" t="str">
        <f t="shared" si="4"/>
        <v>syn BTCV6/BTCF7/BTCH7/BTCG7/BTCX6</v>
      </c>
      <c r="K111" s="8">
        <f>'MKT DATA'!O494</f>
        <v>0</v>
      </c>
      <c r="L111" s="8">
        <f>'MKT DATA'!P494</f>
        <v>82966</v>
      </c>
      <c r="M111" s="8">
        <f>'MKT DATA'!Q494</f>
        <v>0</v>
      </c>
      <c r="N111" s="8">
        <f>'MKT DATA'!R494</f>
        <v>0</v>
      </c>
      <c r="O111" s="8">
        <f>'MKT DATA'!S494</f>
        <v>-84804</v>
      </c>
      <c r="P111" s="8">
        <f>'MKT DATA'!T494</f>
        <v>0</v>
      </c>
      <c r="Q111" s="43" t="str">
        <f t="shared" si="5"/>
        <v>syn BTCV6/BTCF7/BTCH7/BTCG7/BTCX6</v>
      </c>
      <c r="R111" s="13">
        <f>'MKT DATA'!AB494</f>
        <v>0</v>
      </c>
    </row>
    <row r="112" spans="5:18" x14ac:dyDescent="0.25">
      <c r="E112" s="43" t="str">
        <f>'MKT DATA'!B495</f>
        <v>syn BTCV6/BTCG7/BTCZ6/BTCF7/BTCX6</v>
      </c>
      <c r="F112" s="13">
        <f>'MKT DATA'!J495</f>
        <v>1</v>
      </c>
      <c r="G112" s="8">
        <f>'MKT DATA'!K495</f>
        <v>83453</v>
      </c>
      <c r="H112" s="8">
        <f>'MKT DATA'!L495</f>
        <v>84418</v>
      </c>
      <c r="I112" s="13">
        <f>'MKT DATA'!M495</f>
        <v>1</v>
      </c>
      <c r="J112" s="43" t="str">
        <f t="shared" si="4"/>
        <v>syn BTCV6/BTCG7/BTCZ6/BTCF7/BTCX6</v>
      </c>
      <c r="K112" s="8">
        <f>'MKT DATA'!O495</f>
        <v>0</v>
      </c>
      <c r="L112" s="8">
        <f>'MKT DATA'!P495</f>
        <v>83453</v>
      </c>
      <c r="M112" s="8">
        <f>'MKT DATA'!Q495</f>
        <v>0</v>
      </c>
      <c r="N112" s="8">
        <f>'MKT DATA'!R495</f>
        <v>0</v>
      </c>
      <c r="O112" s="8">
        <f>'MKT DATA'!S495</f>
        <v>-84418</v>
      </c>
      <c r="P112" s="8">
        <f>'MKT DATA'!T495</f>
        <v>0</v>
      </c>
      <c r="Q112" s="43" t="str">
        <f t="shared" si="5"/>
        <v>syn BTCV6/BTCG7/BTCZ6/BTCF7/BTCX6</v>
      </c>
      <c r="R112" s="13">
        <f>'MKT DATA'!AB495</f>
        <v>0</v>
      </c>
    </row>
    <row r="113" spans="5:18" x14ac:dyDescent="0.25">
      <c r="E113" s="43" t="str">
        <f>'MKT DATA'!B496</f>
        <v>syn BTCV6/BTCG7/BTCZ6/BTCH7/BTCX6</v>
      </c>
      <c r="F113" s="13">
        <f>'MKT DATA'!J496</f>
        <v>1</v>
      </c>
      <c r="G113" s="8">
        <f>'MKT DATA'!K496</f>
        <v>82910</v>
      </c>
      <c r="H113" s="8">
        <f>'MKT DATA'!L496</f>
        <v>85125</v>
      </c>
      <c r="I113" s="13">
        <f>'MKT DATA'!M496</f>
        <v>1</v>
      </c>
      <c r="J113" s="43" t="str">
        <f t="shared" si="4"/>
        <v>syn BTCV6/BTCG7/BTCZ6/BTCH7/BTCX6</v>
      </c>
      <c r="K113" s="8">
        <f>'MKT DATA'!O496</f>
        <v>0</v>
      </c>
      <c r="L113" s="8">
        <f>'MKT DATA'!P496</f>
        <v>82910</v>
      </c>
      <c r="M113" s="8">
        <f>'MKT DATA'!Q496</f>
        <v>0</v>
      </c>
      <c r="N113" s="8">
        <f>'MKT DATA'!R496</f>
        <v>0</v>
      </c>
      <c r="O113" s="8">
        <f>'MKT DATA'!S496</f>
        <v>-85125</v>
      </c>
      <c r="P113" s="8">
        <f>'MKT DATA'!T496</f>
        <v>0</v>
      </c>
      <c r="Q113" s="43" t="str">
        <f t="shared" si="5"/>
        <v>syn BTCV6/BTCG7/BTCZ6/BTCH7/BTCX6</v>
      </c>
      <c r="R113" s="13">
        <f>'MKT DATA'!AB496</f>
        <v>0</v>
      </c>
    </row>
    <row r="114" spans="5:18" x14ac:dyDescent="0.25">
      <c r="E114" s="43" t="str">
        <f>'MKT DATA'!B497</f>
        <v>syn BTCV6/BTCG7/BTCF7/BTCZ6/BTCX6</v>
      </c>
      <c r="F114" s="13">
        <f>'MKT DATA'!J497</f>
        <v>1</v>
      </c>
      <c r="G114" s="8">
        <f>'MKT DATA'!K497</f>
        <v>83625</v>
      </c>
      <c r="H114" s="8">
        <f>'MKT DATA'!L497</f>
        <v>84235</v>
      </c>
      <c r="I114" s="13">
        <f>'MKT DATA'!M497</f>
        <v>1</v>
      </c>
      <c r="J114" s="43" t="str">
        <f t="shared" si="4"/>
        <v>syn BTCV6/BTCG7/BTCF7/BTCZ6/BTCX6</v>
      </c>
      <c r="K114" s="8">
        <f>'MKT DATA'!O497</f>
        <v>0</v>
      </c>
      <c r="L114" s="8">
        <f>'MKT DATA'!P497</f>
        <v>83625</v>
      </c>
      <c r="M114" s="8">
        <f>'MKT DATA'!Q497</f>
        <v>0</v>
      </c>
      <c r="N114" s="8">
        <f>'MKT DATA'!R497</f>
        <v>0</v>
      </c>
      <c r="O114" s="8">
        <f>'MKT DATA'!S497</f>
        <v>-84235</v>
      </c>
      <c r="P114" s="8">
        <f>'MKT DATA'!T497</f>
        <v>0</v>
      </c>
      <c r="Q114" s="43" t="str">
        <f t="shared" si="5"/>
        <v>syn BTCV6/BTCG7/BTCF7/BTCZ6/BTCX6</v>
      </c>
      <c r="R114" s="13">
        <f>'MKT DATA'!AB497</f>
        <v>0</v>
      </c>
    </row>
    <row r="115" spans="5:18" x14ac:dyDescent="0.25">
      <c r="E115" s="43" t="str">
        <f>'MKT DATA'!B498</f>
        <v>syn BTCV6/BTCG7/BTCF7/BTCH7/BTCX6</v>
      </c>
      <c r="F115" s="13">
        <f>'MKT DATA'!J498</f>
        <v>1</v>
      </c>
      <c r="G115" s="8">
        <f>'MKT DATA'!K498</f>
        <v>82800</v>
      </c>
      <c r="H115" s="8">
        <f>'MKT DATA'!L498</f>
        <v>85071</v>
      </c>
      <c r="I115" s="13">
        <f>'MKT DATA'!M498</f>
        <v>1</v>
      </c>
      <c r="J115" s="43" t="str">
        <f t="shared" si="4"/>
        <v>syn BTCV6/BTCG7/BTCF7/BTCH7/BTCX6</v>
      </c>
      <c r="K115" s="8">
        <f>'MKT DATA'!O498</f>
        <v>0</v>
      </c>
      <c r="L115" s="8">
        <f>'MKT DATA'!P498</f>
        <v>82800</v>
      </c>
      <c r="M115" s="8">
        <f>'MKT DATA'!Q498</f>
        <v>0</v>
      </c>
      <c r="N115" s="8">
        <f>'MKT DATA'!R498</f>
        <v>0</v>
      </c>
      <c r="O115" s="8">
        <f>'MKT DATA'!S498</f>
        <v>-85071</v>
      </c>
      <c r="P115" s="8">
        <f>'MKT DATA'!T498</f>
        <v>0</v>
      </c>
      <c r="Q115" s="43" t="str">
        <f t="shared" si="5"/>
        <v>syn BTCV6/BTCG7/BTCF7/BTCH7/BTCX6</v>
      </c>
      <c r="R115" s="13">
        <f>'MKT DATA'!AB498</f>
        <v>0</v>
      </c>
    </row>
    <row r="116" spans="5:18" x14ac:dyDescent="0.25">
      <c r="E116" s="43" t="str">
        <f>'MKT DATA'!B499</f>
        <v>syn BTCV6/BTCG7/BTCH7/BTCZ6/BTCX6</v>
      </c>
      <c r="F116" s="13">
        <f>'MKT DATA'!J499</f>
        <v>1</v>
      </c>
      <c r="G116" s="8">
        <f>'MKT DATA'!K499</f>
        <v>83179</v>
      </c>
      <c r="H116" s="8">
        <f>'MKT DATA'!L499</f>
        <v>84536</v>
      </c>
      <c r="I116" s="13">
        <f>'MKT DATA'!M499</f>
        <v>1</v>
      </c>
      <c r="J116" s="43" t="str">
        <f t="shared" si="4"/>
        <v>syn BTCV6/BTCG7/BTCH7/BTCZ6/BTCX6</v>
      </c>
      <c r="K116" s="8">
        <f>'MKT DATA'!O499</f>
        <v>0</v>
      </c>
      <c r="L116" s="8">
        <f>'MKT DATA'!P499</f>
        <v>83179</v>
      </c>
      <c r="M116" s="8">
        <f>'MKT DATA'!Q499</f>
        <v>0</v>
      </c>
      <c r="N116" s="8">
        <f>'MKT DATA'!R499</f>
        <v>0</v>
      </c>
      <c r="O116" s="8">
        <f>'MKT DATA'!S499</f>
        <v>-84536</v>
      </c>
      <c r="P116" s="8">
        <f>'MKT DATA'!T499</f>
        <v>0</v>
      </c>
      <c r="Q116" s="43" t="str">
        <f t="shared" si="5"/>
        <v>syn BTCV6/BTCG7/BTCH7/BTCZ6/BTCX6</v>
      </c>
      <c r="R116" s="13">
        <f>'MKT DATA'!AB499</f>
        <v>0</v>
      </c>
    </row>
    <row r="117" spans="5:18" x14ac:dyDescent="0.25">
      <c r="E117" s="43" t="str">
        <f>'MKT DATA'!B500</f>
        <v>syn BTCV6/BTCG7/BTCH7/BTCF7/BTCX6</v>
      </c>
      <c r="F117" s="13">
        <f>'MKT DATA'!J500</f>
        <v>1</v>
      </c>
      <c r="G117" s="8">
        <f>'MKT DATA'!K500</f>
        <v>83081</v>
      </c>
      <c r="H117" s="8">
        <f>'MKT DATA'!L500</f>
        <v>84849</v>
      </c>
      <c r="I117" s="13">
        <f>'MKT DATA'!M500</f>
        <v>1</v>
      </c>
      <c r="J117" s="43" t="str">
        <f t="shared" si="4"/>
        <v>syn BTCV6/BTCG7/BTCH7/BTCF7/BTCX6</v>
      </c>
      <c r="K117" s="8">
        <f>'MKT DATA'!O500</f>
        <v>0</v>
      </c>
      <c r="L117" s="8">
        <f>'MKT DATA'!P500</f>
        <v>83081</v>
      </c>
      <c r="M117" s="8">
        <f>'MKT DATA'!Q500</f>
        <v>0</v>
      </c>
      <c r="N117" s="8">
        <f>'MKT DATA'!R500</f>
        <v>0</v>
      </c>
      <c r="O117" s="8">
        <f>'MKT DATA'!S500</f>
        <v>-84849</v>
      </c>
      <c r="P117" s="8">
        <f>'MKT DATA'!T500</f>
        <v>0</v>
      </c>
      <c r="Q117" s="43" t="str">
        <f t="shared" si="5"/>
        <v>syn BTCV6/BTCG7/BTCH7/BTCF7/BTCX6</v>
      </c>
      <c r="R117" s="13">
        <f>'MKT DATA'!AB500</f>
        <v>0</v>
      </c>
    </row>
    <row r="118" spans="5:18" x14ac:dyDescent="0.25">
      <c r="E118" s="43" t="str">
        <f>'MKT DATA'!B501</f>
        <v>syn BTCV6/BTCH7/BTCZ6/BTCF7/BTCX6</v>
      </c>
      <c r="F118" s="13">
        <f>'MKT DATA'!J501</f>
        <v>1</v>
      </c>
      <c r="G118" s="8">
        <f>'MKT DATA'!K501</f>
        <v>83073</v>
      </c>
      <c r="H118" s="8">
        <f>'MKT DATA'!L501</f>
        <v>84618</v>
      </c>
      <c r="I118" s="13">
        <f>'MKT DATA'!M501</f>
        <v>1</v>
      </c>
      <c r="J118" s="43" t="str">
        <f t="shared" si="4"/>
        <v>syn BTCV6/BTCH7/BTCZ6/BTCF7/BTCX6</v>
      </c>
      <c r="K118" s="8">
        <f>'MKT DATA'!O501</f>
        <v>0</v>
      </c>
      <c r="L118" s="8">
        <f>'MKT DATA'!P501</f>
        <v>83073</v>
      </c>
      <c r="M118" s="8">
        <f>'MKT DATA'!Q501</f>
        <v>0</v>
      </c>
      <c r="N118" s="8">
        <f>'MKT DATA'!R501</f>
        <v>0</v>
      </c>
      <c r="O118" s="8">
        <f>'MKT DATA'!S501</f>
        <v>-84618</v>
      </c>
      <c r="P118" s="8">
        <f>'MKT DATA'!T501</f>
        <v>0</v>
      </c>
      <c r="Q118" s="43" t="str">
        <f t="shared" si="5"/>
        <v>syn BTCV6/BTCH7/BTCZ6/BTCF7/BTCX6</v>
      </c>
      <c r="R118" s="13">
        <f>'MKT DATA'!AB501</f>
        <v>0</v>
      </c>
    </row>
    <row r="119" spans="5:18" x14ac:dyDescent="0.25">
      <c r="E119" s="43" t="str">
        <f>'MKT DATA'!B502</f>
        <v>syn BTCV6/BTCH7/BTCZ6/BTCG7/BTCX6</v>
      </c>
      <c r="F119" s="13">
        <f>'MKT DATA'!J502</f>
        <v>1</v>
      </c>
      <c r="G119" s="8">
        <f>'MKT DATA'!K502</f>
        <v>82730</v>
      </c>
      <c r="H119" s="8">
        <f>'MKT DATA'!L502</f>
        <v>84945</v>
      </c>
      <c r="I119" s="13">
        <f>'MKT DATA'!M502</f>
        <v>1</v>
      </c>
      <c r="J119" s="43" t="str">
        <f t="shared" si="4"/>
        <v>syn BTCV6/BTCH7/BTCZ6/BTCG7/BTCX6</v>
      </c>
      <c r="K119" s="8">
        <f>'MKT DATA'!O502</f>
        <v>0</v>
      </c>
      <c r="L119" s="8">
        <f>'MKT DATA'!P502</f>
        <v>82730</v>
      </c>
      <c r="M119" s="8">
        <f>'MKT DATA'!Q502</f>
        <v>0</v>
      </c>
      <c r="N119" s="8">
        <f>'MKT DATA'!R502</f>
        <v>0</v>
      </c>
      <c r="O119" s="8">
        <f>'MKT DATA'!S502</f>
        <v>-84945</v>
      </c>
      <c r="P119" s="8">
        <f>'MKT DATA'!T502</f>
        <v>0</v>
      </c>
      <c r="Q119" s="43" t="str">
        <f t="shared" si="5"/>
        <v>syn BTCV6/BTCH7/BTCZ6/BTCG7/BTCX6</v>
      </c>
      <c r="R119" s="13">
        <f>'MKT DATA'!AB502</f>
        <v>0</v>
      </c>
    </row>
    <row r="120" spans="5:18" x14ac:dyDescent="0.25">
      <c r="E120" s="43" t="str">
        <f>'MKT DATA'!B503</f>
        <v>syn BTCV6/BTCH7/BTCF7/BTCZ6/BTCX6</v>
      </c>
      <c r="F120" s="13">
        <f>'MKT DATA'!J503</f>
        <v>1</v>
      </c>
      <c r="G120" s="8">
        <f>'MKT DATA'!K503</f>
        <v>83030</v>
      </c>
      <c r="H120" s="8">
        <f>'MKT DATA'!L503</f>
        <v>84814</v>
      </c>
      <c r="I120" s="13">
        <f>'MKT DATA'!M503</f>
        <v>1</v>
      </c>
      <c r="J120" s="43" t="str">
        <f t="shared" si="4"/>
        <v>syn BTCV6/BTCH7/BTCF7/BTCZ6/BTCX6</v>
      </c>
      <c r="K120" s="8">
        <f>'MKT DATA'!O503</f>
        <v>0</v>
      </c>
      <c r="L120" s="8">
        <f>'MKT DATA'!P503</f>
        <v>83030</v>
      </c>
      <c r="M120" s="8">
        <f>'MKT DATA'!Q503</f>
        <v>0</v>
      </c>
      <c r="N120" s="8">
        <f>'MKT DATA'!R503</f>
        <v>0</v>
      </c>
      <c r="O120" s="8">
        <f>'MKT DATA'!S503</f>
        <v>-84814</v>
      </c>
      <c r="P120" s="8">
        <f>'MKT DATA'!T503</f>
        <v>0</v>
      </c>
      <c r="Q120" s="43" t="str">
        <f t="shared" si="5"/>
        <v>syn BTCV6/BTCH7/BTCF7/BTCZ6/BTCX6</v>
      </c>
      <c r="R120" s="13">
        <f>'MKT DATA'!AB503</f>
        <v>0</v>
      </c>
    </row>
    <row r="121" spans="5:18" x14ac:dyDescent="0.25">
      <c r="E121" s="43" t="str">
        <f>'MKT DATA'!B504</f>
        <v>syn BTCV6/BTCH7/BTCF7/BTCG7/BTCX6</v>
      </c>
      <c r="F121" s="13">
        <f>'MKT DATA'!J504</f>
        <v>1</v>
      </c>
      <c r="G121" s="8">
        <f>'MKT DATA'!K504</f>
        <v>82784</v>
      </c>
      <c r="H121" s="8">
        <f>'MKT DATA'!L504</f>
        <v>85055</v>
      </c>
      <c r="I121" s="13">
        <f>'MKT DATA'!M504</f>
        <v>1</v>
      </c>
      <c r="J121" s="43" t="str">
        <f t="shared" si="4"/>
        <v>syn BTCV6/BTCH7/BTCF7/BTCG7/BTCX6</v>
      </c>
      <c r="K121" s="8">
        <f>'MKT DATA'!O504</f>
        <v>0</v>
      </c>
      <c r="L121" s="8">
        <f>'MKT DATA'!P504</f>
        <v>82784</v>
      </c>
      <c r="M121" s="8">
        <f>'MKT DATA'!Q504</f>
        <v>0</v>
      </c>
      <c r="N121" s="8">
        <f>'MKT DATA'!R504</f>
        <v>0</v>
      </c>
      <c r="O121" s="8">
        <f>'MKT DATA'!S504</f>
        <v>-85055</v>
      </c>
      <c r="P121" s="8">
        <f>'MKT DATA'!T504</f>
        <v>0</v>
      </c>
      <c r="Q121" s="43" t="str">
        <f t="shared" si="5"/>
        <v>syn BTCV6/BTCH7/BTCF7/BTCG7/BTCX6</v>
      </c>
      <c r="R121" s="13">
        <f>'MKT DATA'!AB504</f>
        <v>0</v>
      </c>
    </row>
    <row r="122" spans="5:18" x14ac:dyDescent="0.25">
      <c r="E122" s="43" t="str">
        <f>'MKT DATA'!B505</f>
        <v>syn BTCV6/BTCH7/BTCG7/BTCZ6/BTCX6</v>
      </c>
      <c r="F122" s="13">
        <f>'MKT DATA'!J505</f>
        <v>1</v>
      </c>
      <c r="G122" s="8">
        <f>'MKT DATA'!K505</f>
        <v>83094</v>
      </c>
      <c r="H122" s="8">
        <f>'MKT DATA'!L505</f>
        <v>84691</v>
      </c>
      <c r="I122" s="13">
        <f>'MKT DATA'!M505</f>
        <v>1</v>
      </c>
      <c r="J122" s="43" t="str">
        <f t="shared" si="4"/>
        <v>syn BTCV6/BTCH7/BTCG7/BTCZ6/BTCX6</v>
      </c>
      <c r="K122" s="8">
        <f>'MKT DATA'!O505</f>
        <v>0</v>
      </c>
      <c r="L122" s="8">
        <f>'MKT DATA'!P505</f>
        <v>83094</v>
      </c>
      <c r="M122" s="8">
        <f>'MKT DATA'!Q505</f>
        <v>0</v>
      </c>
      <c r="N122" s="8">
        <f>'MKT DATA'!R505</f>
        <v>0</v>
      </c>
      <c r="O122" s="8">
        <f>'MKT DATA'!S505</f>
        <v>-84691</v>
      </c>
      <c r="P122" s="8">
        <f>'MKT DATA'!T505</f>
        <v>0</v>
      </c>
      <c r="Q122" s="43" t="str">
        <f t="shared" si="5"/>
        <v>syn BTCV6/BTCH7/BTCG7/BTCZ6/BTCX6</v>
      </c>
      <c r="R122" s="13">
        <f>'MKT DATA'!AB505</f>
        <v>0</v>
      </c>
    </row>
    <row r="123" spans="5:18" x14ac:dyDescent="0.25">
      <c r="E123" s="43" t="str">
        <f>'MKT DATA'!B506</f>
        <v>syn BTCV6/BTCH7/BTCG7/BTCF7/BTCX6</v>
      </c>
      <c r="F123" s="13">
        <f>'MKT DATA'!J506</f>
        <v>1</v>
      </c>
      <c r="G123" s="8">
        <f>'MKT DATA'!K506</f>
        <v>83211</v>
      </c>
      <c r="H123" s="8">
        <f>'MKT DATA'!L506</f>
        <v>84625</v>
      </c>
      <c r="I123" s="13">
        <f>'MKT DATA'!M506</f>
        <v>1</v>
      </c>
      <c r="J123" s="43" t="str">
        <f t="shared" si="4"/>
        <v>syn BTCV6/BTCH7/BTCG7/BTCF7/BTCX6</v>
      </c>
      <c r="K123" s="8">
        <f>'MKT DATA'!O506</f>
        <v>0</v>
      </c>
      <c r="L123" s="8">
        <f>'MKT DATA'!P506</f>
        <v>83211</v>
      </c>
      <c r="M123" s="8">
        <f>'MKT DATA'!Q506</f>
        <v>0</v>
      </c>
      <c r="N123" s="8">
        <f>'MKT DATA'!R506</f>
        <v>0</v>
      </c>
      <c r="O123" s="8">
        <f>'MKT DATA'!S506</f>
        <v>-84625</v>
      </c>
      <c r="P123" s="8">
        <f>'MKT DATA'!T506</f>
        <v>0</v>
      </c>
      <c r="Q123" s="43" t="str">
        <f t="shared" si="5"/>
        <v>syn BTCV6/BTCH7/BTCG7/BTCF7/BTCX6</v>
      </c>
      <c r="R123" s="13">
        <f>'MKT DATA'!AB506</f>
        <v>0</v>
      </c>
    </row>
    <row r="124" spans="5:18" x14ac:dyDescent="0.25">
      <c r="E124" s="43" t="str">
        <f>'MKT DATA'!B507</f>
        <v>syn BTCZ6/BTCV6/BTCF7/BTCG7/BTCX6</v>
      </c>
      <c r="F124" s="13">
        <f>'MKT DATA'!J507</f>
        <v>1</v>
      </c>
      <c r="G124" s="8">
        <f>'MKT DATA'!K507</f>
        <v>83483</v>
      </c>
      <c r="H124" s="8">
        <f>'MKT DATA'!L507</f>
        <v>84318</v>
      </c>
      <c r="I124" s="13">
        <f>'MKT DATA'!M507</f>
        <v>1</v>
      </c>
      <c r="J124" s="43" t="str">
        <f t="shared" si="4"/>
        <v>syn BTCZ6/BTCV6/BTCF7/BTCG7/BTCX6</v>
      </c>
      <c r="K124" s="8">
        <f>'MKT DATA'!O507</f>
        <v>0</v>
      </c>
      <c r="L124" s="8">
        <f>'MKT DATA'!P507</f>
        <v>83483</v>
      </c>
      <c r="M124" s="8">
        <f>'MKT DATA'!Q507</f>
        <v>0</v>
      </c>
      <c r="N124" s="8">
        <f>'MKT DATA'!R507</f>
        <v>0</v>
      </c>
      <c r="O124" s="8">
        <f>'MKT DATA'!S507</f>
        <v>-84318</v>
      </c>
      <c r="P124" s="8">
        <f>'MKT DATA'!T507</f>
        <v>0</v>
      </c>
      <c r="Q124" s="43" t="str">
        <f t="shared" si="5"/>
        <v>syn BTCZ6/BTCV6/BTCF7/BTCG7/BTCX6</v>
      </c>
      <c r="R124" s="13">
        <f>'MKT DATA'!AB507</f>
        <v>0</v>
      </c>
    </row>
    <row r="125" spans="5:18" x14ac:dyDescent="0.25">
      <c r="E125" s="43" t="str">
        <f>'MKT DATA'!B508</f>
        <v>syn BTCZ6/BTCV6/BTCF7/BTCH7/BTCX6</v>
      </c>
      <c r="F125" s="13">
        <f>'MKT DATA'!J508</f>
        <v>1</v>
      </c>
      <c r="G125" s="8">
        <f>'MKT DATA'!K508</f>
        <v>82904</v>
      </c>
      <c r="H125" s="8">
        <f>'MKT DATA'!L508</f>
        <v>84913</v>
      </c>
      <c r="I125" s="13">
        <f>'MKT DATA'!M508</f>
        <v>1</v>
      </c>
      <c r="J125" s="43" t="str">
        <f t="shared" si="4"/>
        <v>syn BTCZ6/BTCV6/BTCF7/BTCH7/BTCX6</v>
      </c>
      <c r="K125" s="8">
        <f>'MKT DATA'!O508</f>
        <v>0</v>
      </c>
      <c r="L125" s="8">
        <f>'MKT DATA'!P508</f>
        <v>82904</v>
      </c>
      <c r="M125" s="8">
        <f>'MKT DATA'!Q508</f>
        <v>0</v>
      </c>
      <c r="N125" s="8">
        <f>'MKT DATA'!R508</f>
        <v>0</v>
      </c>
      <c r="O125" s="8">
        <f>'MKT DATA'!S508</f>
        <v>-84913</v>
      </c>
      <c r="P125" s="8">
        <f>'MKT DATA'!T508</f>
        <v>0</v>
      </c>
      <c r="Q125" s="43" t="str">
        <f t="shared" si="5"/>
        <v>syn BTCZ6/BTCV6/BTCF7/BTCH7/BTCX6</v>
      </c>
      <c r="R125" s="13">
        <f>'MKT DATA'!AB508</f>
        <v>0</v>
      </c>
    </row>
    <row r="126" spans="5:18" x14ac:dyDescent="0.25">
      <c r="E126" s="43" t="str">
        <f>'MKT DATA'!B509</f>
        <v>syn BTCZ6/BTCV6/BTCG7/BTCF7/BTCX6</v>
      </c>
      <c r="F126" s="13">
        <f>'MKT DATA'!J509</f>
        <v>1</v>
      </c>
      <c r="G126" s="8">
        <f>'MKT DATA'!K509</f>
        <v>83559</v>
      </c>
      <c r="H126" s="8">
        <f>'MKT DATA'!L509</f>
        <v>84324</v>
      </c>
      <c r="I126" s="13">
        <f>'MKT DATA'!M509</f>
        <v>1</v>
      </c>
      <c r="J126" s="43" t="str">
        <f t="shared" si="4"/>
        <v>syn BTCZ6/BTCV6/BTCG7/BTCF7/BTCX6</v>
      </c>
      <c r="K126" s="8">
        <f>'MKT DATA'!O509</f>
        <v>0</v>
      </c>
      <c r="L126" s="8">
        <f>'MKT DATA'!P509</f>
        <v>83559</v>
      </c>
      <c r="M126" s="8">
        <f>'MKT DATA'!Q509</f>
        <v>0</v>
      </c>
      <c r="N126" s="8">
        <f>'MKT DATA'!R509</f>
        <v>0</v>
      </c>
      <c r="O126" s="8">
        <f>'MKT DATA'!S509</f>
        <v>-84324</v>
      </c>
      <c r="P126" s="8">
        <f>'MKT DATA'!T509</f>
        <v>0</v>
      </c>
      <c r="Q126" s="43" t="str">
        <f t="shared" si="5"/>
        <v>syn BTCZ6/BTCV6/BTCG7/BTCF7/BTCX6</v>
      </c>
      <c r="R126" s="13">
        <f>'MKT DATA'!AB509</f>
        <v>0</v>
      </c>
    </row>
    <row r="127" spans="5:18" x14ac:dyDescent="0.25">
      <c r="E127" s="43" t="str">
        <f>'MKT DATA'!B510</f>
        <v>syn BTCZ6/BTCV6/BTCG7/BTCH7/BTCX6</v>
      </c>
      <c r="F127" s="13">
        <f>'MKT DATA'!J510</f>
        <v>1</v>
      </c>
      <c r="G127" s="8">
        <f>'MKT DATA'!K510</f>
        <v>83133</v>
      </c>
      <c r="H127" s="8">
        <f>'MKT DATA'!L510</f>
        <v>84769</v>
      </c>
      <c r="I127" s="13">
        <f>'MKT DATA'!M510</f>
        <v>1</v>
      </c>
      <c r="J127" s="43" t="str">
        <f t="shared" si="4"/>
        <v>syn BTCZ6/BTCV6/BTCG7/BTCH7/BTCX6</v>
      </c>
      <c r="K127" s="8">
        <f>'MKT DATA'!O510</f>
        <v>0</v>
      </c>
      <c r="L127" s="8">
        <f>'MKT DATA'!P510</f>
        <v>83133</v>
      </c>
      <c r="M127" s="8">
        <f>'MKT DATA'!Q510</f>
        <v>0</v>
      </c>
      <c r="N127" s="8">
        <f>'MKT DATA'!R510</f>
        <v>0</v>
      </c>
      <c r="O127" s="8">
        <f>'MKT DATA'!S510</f>
        <v>-84769</v>
      </c>
      <c r="P127" s="8">
        <f>'MKT DATA'!T510</f>
        <v>0</v>
      </c>
      <c r="Q127" s="43" t="str">
        <f t="shared" si="5"/>
        <v>syn BTCZ6/BTCV6/BTCG7/BTCH7/BTCX6</v>
      </c>
      <c r="R127" s="13">
        <f>'MKT DATA'!AB510</f>
        <v>0</v>
      </c>
    </row>
    <row r="128" spans="5:18" x14ac:dyDescent="0.25">
      <c r="E128" s="43" t="str">
        <f>'MKT DATA'!B511</f>
        <v>syn BTCZ6/BTCV6/BTCH7/BTCF7/BTCX6</v>
      </c>
      <c r="F128" s="13">
        <f>'MKT DATA'!J511</f>
        <v>1</v>
      </c>
      <c r="G128" s="8">
        <f>'MKT DATA'!K511</f>
        <v>82964</v>
      </c>
      <c r="H128" s="8">
        <f>'MKT DATA'!L511</f>
        <v>84903</v>
      </c>
      <c r="I128" s="13">
        <f>'MKT DATA'!M511</f>
        <v>1</v>
      </c>
      <c r="J128" s="43" t="str">
        <f t="shared" si="4"/>
        <v>syn BTCZ6/BTCV6/BTCH7/BTCF7/BTCX6</v>
      </c>
      <c r="K128" s="8">
        <f>'MKT DATA'!O511</f>
        <v>0</v>
      </c>
      <c r="L128" s="8">
        <f>'MKT DATA'!P511</f>
        <v>82964</v>
      </c>
      <c r="M128" s="8">
        <f>'MKT DATA'!Q511</f>
        <v>0</v>
      </c>
      <c r="N128" s="8">
        <f>'MKT DATA'!R511</f>
        <v>0</v>
      </c>
      <c r="O128" s="8">
        <f>'MKT DATA'!S511</f>
        <v>-84903</v>
      </c>
      <c r="P128" s="8">
        <f>'MKT DATA'!T511</f>
        <v>0</v>
      </c>
      <c r="Q128" s="43" t="str">
        <f t="shared" si="5"/>
        <v>syn BTCZ6/BTCV6/BTCH7/BTCF7/BTCX6</v>
      </c>
      <c r="R128" s="13">
        <f>'MKT DATA'!AB511</f>
        <v>0</v>
      </c>
    </row>
    <row r="129" spans="5:18" x14ac:dyDescent="0.25">
      <c r="E129" s="43" t="str">
        <f>'MKT DATA'!B512</f>
        <v>syn BTCZ6/BTCV6/BTCH7/BTCG7/BTCX6</v>
      </c>
      <c r="F129" s="13">
        <f>'MKT DATA'!J512</f>
        <v>1</v>
      </c>
      <c r="G129" s="8">
        <f>'MKT DATA'!K512</f>
        <v>83078</v>
      </c>
      <c r="H129" s="8">
        <f>'MKT DATA'!L512</f>
        <v>84714</v>
      </c>
      <c r="I129" s="13">
        <f>'MKT DATA'!M512</f>
        <v>1</v>
      </c>
      <c r="J129" s="43" t="str">
        <f t="shared" si="4"/>
        <v>syn BTCZ6/BTCV6/BTCH7/BTCG7/BTCX6</v>
      </c>
      <c r="K129" s="8">
        <f>'MKT DATA'!O512</f>
        <v>0</v>
      </c>
      <c r="L129" s="8">
        <f>'MKT DATA'!P512</f>
        <v>83078</v>
      </c>
      <c r="M129" s="8">
        <f>'MKT DATA'!Q512</f>
        <v>0</v>
      </c>
      <c r="N129" s="8">
        <f>'MKT DATA'!R512</f>
        <v>0</v>
      </c>
      <c r="O129" s="8">
        <f>'MKT DATA'!S512</f>
        <v>-84714</v>
      </c>
      <c r="P129" s="8">
        <f>'MKT DATA'!T512</f>
        <v>0</v>
      </c>
      <c r="Q129" s="43" t="str">
        <f t="shared" si="5"/>
        <v>syn BTCZ6/BTCV6/BTCH7/BTCG7/BTCX6</v>
      </c>
      <c r="R129" s="13">
        <f>'MKT DATA'!AB512</f>
        <v>0</v>
      </c>
    </row>
    <row r="130" spans="5:18" x14ac:dyDescent="0.25">
      <c r="E130" s="43" t="str">
        <f>'MKT DATA'!B513</f>
        <v>syn BTCZ6/BTCF7/BTCV6/BTCG7/BTCX6</v>
      </c>
      <c r="F130" s="13">
        <f>'MKT DATA'!J513</f>
        <v>1</v>
      </c>
      <c r="G130" s="8">
        <f>'MKT DATA'!K513</f>
        <v>83423</v>
      </c>
      <c r="H130" s="8">
        <f>'MKT DATA'!L513</f>
        <v>84458</v>
      </c>
      <c r="I130" s="13">
        <f>'MKT DATA'!M513</f>
        <v>1</v>
      </c>
      <c r="J130" s="43" t="str">
        <f t="shared" si="4"/>
        <v>syn BTCZ6/BTCF7/BTCV6/BTCG7/BTCX6</v>
      </c>
      <c r="K130" s="8">
        <f>'MKT DATA'!O513</f>
        <v>0</v>
      </c>
      <c r="L130" s="8">
        <f>'MKT DATA'!P513</f>
        <v>83423</v>
      </c>
      <c r="M130" s="8">
        <f>'MKT DATA'!Q513</f>
        <v>0</v>
      </c>
      <c r="N130" s="8">
        <f>'MKT DATA'!R513</f>
        <v>0</v>
      </c>
      <c r="O130" s="8">
        <f>'MKT DATA'!S513</f>
        <v>-84458</v>
      </c>
      <c r="P130" s="8">
        <f>'MKT DATA'!T513</f>
        <v>0</v>
      </c>
      <c r="Q130" s="43" t="str">
        <f t="shared" si="5"/>
        <v>syn BTCZ6/BTCF7/BTCV6/BTCG7/BTCX6</v>
      </c>
      <c r="R130" s="13">
        <f>'MKT DATA'!AB513</f>
        <v>0</v>
      </c>
    </row>
    <row r="131" spans="5:18" x14ac:dyDescent="0.25">
      <c r="E131" s="43" t="str">
        <f>'MKT DATA'!B514</f>
        <v>syn BTCZ6/BTCF7/BTCV6/BTCH7/BTCX6</v>
      </c>
      <c r="F131" s="13">
        <f>'MKT DATA'!J514</f>
        <v>1</v>
      </c>
      <c r="G131" s="8">
        <f>'MKT DATA'!K514</f>
        <v>83013</v>
      </c>
      <c r="H131" s="8">
        <f>'MKT DATA'!L514</f>
        <v>84868</v>
      </c>
      <c r="I131" s="13">
        <f>'MKT DATA'!M514</f>
        <v>1</v>
      </c>
      <c r="J131" s="43" t="str">
        <f t="shared" si="4"/>
        <v>syn BTCZ6/BTCF7/BTCV6/BTCH7/BTCX6</v>
      </c>
      <c r="K131" s="8">
        <f>'MKT DATA'!O514</f>
        <v>0</v>
      </c>
      <c r="L131" s="8">
        <f>'MKT DATA'!P514</f>
        <v>83013</v>
      </c>
      <c r="M131" s="8">
        <f>'MKT DATA'!Q514</f>
        <v>0</v>
      </c>
      <c r="N131" s="8">
        <f>'MKT DATA'!R514</f>
        <v>0</v>
      </c>
      <c r="O131" s="8">
        <f>'MKT DATA'!S514</f>
        <v>-84868</v>
      </c>
      <c r="P131" s="8">
        <f>'MKT DATA'!T514</f>
        <v>0</v>
      </c>
      <c r="Q131" s="43" t="str">
        <f t="shared" si="5"/>
        <v>syn BTCZ6/BTCF7/BTCV6/BTCH7/BTCX6</v>
      </c>
      <c r="R131" s="13">
        <f>'MKT DATA'!AB514</f>
        <v>0</v>
      </c>
    </row>
    <row r="132" spans="5:18" x14ac:dyDescent="0.25">
      <c r="E132" s="43" t="str">
        <f>'MKT DATA'!B515</f>
        <v>syn BTCZ6/BTCF7/BTCG7/BTCV6/BTCX6</v>
      </c>
      <c r="F132" s="13">
        <f>'MKT DATA'!J515</f>
        <v>1</v>
      </c>
      <c r="G132" s="8">
        <f>'MKT DATA'!K515</f>
        <v>83583</v>
      </c>
      <c r="H132" s="8">
        <f>'MKT DATA'!L515</f>
        <v>84245</v>
      </c>
      <c r="I132" s="13">
        <f>'MKT DATA'!M515</f>
        <v>1</v>
      </c>
      <c r="J132" s="43" t="str">
        <f t="shared" si="4"/>
        <v>syn BTCZ6/BTCF7/BTCG7/BTCV6/BTCX6</v>
      </c>
      <c r="K132" s="8">
        <f>'MKT DATA'!O515</f>
        <v>0</v>
      </c>
      <c r="L132" s="8">
        <f>'MKT DATA'!P515</f>
        <v>83583</v>
      </c>
      <c r="M132" s="8">
        <f>'MKT DATA'!Q515</f>
        <v>0</v>
      </c>
      <c r="N132" s="8">
        <f>'MKT DATA'!R515</f>
        <v>0</v>
      </c>
      <c r="O132" s="8">
        <f>'MKT DATA'!S515</f>
        <v>-84245</v>
      </c>
      <c r="P132" s="8">
        <f>'MKT DATA'!T515</f>
        <v>0</v>
      </c>
      <c r="Q132" s="43" t="str">
        <f t="shared" si="5"/>
        <v>syn BTCZ6/BTCF7/BTCG7/BTCV6/BTCX6</v>
      </c>
      <c r="R132" s="13">
        <f>'MKT DATA'!AB515</f>
        <v>0</v>
      </c>
    </row>
    <row r="133" spans="5:18" x14ac:dyDescent="0.25">
      <c r="E133" s="43" t="str">
        <f>'MKT DATA'!B516</f>
        <v>syn BTCZ6/BTCF7/BTCG7/BTCH7/BTCX6</v>
      </c>
      <c r="F133" s="13">
        <f>'MKT DATA'!J516</f>
        <v>1</v>
      </c>
      <c r="G133" s="8">
        <f>'MKT DATA'!K516</f>
        <v>83226</v>
      </c>
      <c r="H133" s="8">
        <f>'MKT DATA'!L516</f>
        <v>84664</v>
      </c>
      <c r="I133" s="13">
        <f>'MKT DATA'!M516</f>
        <v>1</v>
      </c>
      <c r="J133" s="43" t="str">
        <f t="shared" si="4"/>
        <v>syn BTCZ6/BTCF7/BTCG7/BTCH7/BTCX6</v>
      </c>
      <c r="K133" s="8">
        <f>'MKT DATA'!O516</f>
        <v>0</v>
      </c>
      <c r="L133" s="8">
        <f>'MKT DATA'!P516</f>
        <v>83226</v>
      </c>
      <c r="M133" s="8">
        <f>'MKT DATA'!Q516</f>
        <v>0</v>
      </c>
      <c r="N133" s="8">
        <f>'MKT DATA'!R516</f>
        <v>0</v>
      </c>
      <c r="O133" s="8">
        <f>'MKT DATA'!S516</f>
        <v>-84664</v>
      </c>
      <c r="P133" s="8">
        <f>'MKT DATA'!T516</f>
        <v>0</v>
      </c>
      <c r="Q133" s="43" t="str">
        <f t="shared" si="5"/>
        <v>syn BTCZ6/BTCF7/BTCG7/BTCH7/BTCX6</v>
      </c>
      <c r="R133" s="13">
        <f>'MKT DATA'!AB516</f>
        <v>0</v>
      </c>
    </row>
    <row r="134" spans="5:18" x14ac:dyDescent="0.25">
      <c r="E134" s="43" t="str">
        <f>'MKT DATA'!B517</f>
        <v>syn BTCZ6/BTCF7/BTCH7/BTCV6/BTCX6</v>
      </c>
      <c r="F134" s="13">
        <f>'MKT DATA'!J517</f>
        <v>1</v>
      </c>
      <c r="G134" s="8">
        <f>'MKT DATA'!K517</f>
        <v>83004</v>
      </c>
      <c r="H134" s="8">
        <f>'MKT DATA'!L517</f>
        <v>84840</v>
      </c>
      <c r="I134" s="13">
        <f>'MKT DATA'!M517</f>
        <v>1</v>
      </c>
      <c r="J134" s="43" t="str">
        <f t="shared" si="4"/>
        <v>syn BTCZ6/BTCF7/BTCH7/BTCV6/BTCX6</v>
      </c>
      <c r="K134" s="8">
        <f>'MKT DATA'!O517</f>
        <v>0</v>
      </c>
      <c r="L134" s="8">
        <f>'MKT DATA'!P517</f>
        <v>83004</v>
      </c>
      <c r="M134" s="8">
        <f>'MKT DATA'!Q517</f>
        <v>0</v>
      </c>
      <c r="N134" s="8">
        <f>'MKT DATA'!R517</f>
        <v>0</v>
      </c>
      <c r="O134" s="8">
        <f>'MKT DATA'!S517</f>
        <v>-84840</v>
      </c>
      <c r="P134" s="8">
        <f>'MKT DATA'!T517</f>
        <v>0</v>
      </c>
      <c r="Q134" s="43" t="str">
        <f t="shared" si="5"/>
        <v>syn BTCZ6/BTCF7/BTCH7/BTCV6/BTCX6</v>
      </c>
      <c r="R134" s="13">
        <f>'MKT DATA'!AB517</f>
        <v>0</v>
      </c>
    </row>
    <row r="135" spans="5:18" x14ac:dyDescent="0.25">
      <c r="E135" s="43" t="str">
        <f>'MKT DATA'!B518</f>
        <v>syn BTCZ6/BTCF7/BTCH7/BTCG7/BTCX6</v>
      </c>
      <c r="F135" s="13">
        <f>'MKT DATA'!J518</f>
        <v>1</v>
      </c>
      <c r="G135" s="8">
        <f>'MKT DATA'!K518</f>
        <v>83002</v>
      </c>
      <c r="H135" s="8">
        <f>'MKT DATA'!L518</f>
        <v>84794</v>
      </c>
      <c r="I135" s="13">
        <f>'MKT DATA'!M518</f>
        <v>1</v>
      </c>
      <c r="J135" s="43" t="str">
        <f t="shared" si="4"/>
        <v>syn BTCZ6/BTCF7/BTCH7/BTCG7/BTCX6</v>
      </c>
      <c r="K135" s="8">
        <f>'MKT DATA'!O518</f>
        <v>0</v>
      </c>
      <c r="L135" s="8">
        <f>'MKT DATA'!P518</f>
        <v>83002</v>
      </c>
      <c r="M135" s="8">
        <f>'MKT DATA'!Q518</f>
        <v>0</v>
      </c>
      <c r="N135" s="8">
        <f>'MKT DATA'!R518</f>
        <v>0</v>
      </c>
      <c r="O135" s="8">
        <f>'MKT DATA'!S518</f>
        <v>-84794</v>
      </c>
      <c r="P135" s="8">
        <f>'MKT DATA'!T518</f>
        <v>0</v>
      </c>
      <c r="Q135" s="43" t="str">
        <f t="shared" si="5"/>
        <v>syn BTCZ6/BTCF7/BTCH7/BTCG7/BTCX6</v>
      </c>
      <c r="R135" s="13">
        <f>'MKT DATA'!AB518</f>
        <v>0</v>
      </c>
    </row>
    <row r="136" spans="5:18" x14ac:dyDescent="0.25">
      <c r="E136" s="43" t="str">
        <f>'MKT DATA'!B519</f>
        <v>syn BTCZ6/BTCG7/BTCV6/BTCF7/BTCX6</v>
      </c>
      <c r="F136" s="13">
        <f>'MKT DATA'!J519</f>
        <v>1</v>
      </c>
      <c r="G136" s="8">
        <f>'MKT DATA'!K519</f>
        <v>83347</v>
      </c>
      <c r="H136" s="8">
        <f>'MKT DATA'!L519</f>
        <v>84498</v>
      </c>
      <c r="I136" s="13">
        <f>'MKT DATA'!M519</f>
        <v>1</v>
      </c>
      <c r="J136" s="43" t="str">
        <f t="shared" si="4"/>
        <v>syn BTCZ6/BTCG7/BTCV6/BTCF7/BTCX6</v>
      </c>
      <c r="K136" s="8">
        <f>'MKT DATA'!O519</f>
        <v>0</v>
      </c>
      <c r="L136" s="8">
        <f>'MKT DATA'!P519</f>
        <v>83347</v>
      </c>
      <c r="M136" s="8">
        <f>'MKT DATA'!Q519</f>
        <v>0</v>
      </c>
      <c r="N136" s="8">
        <f>'MKT DATA'!R519</f>
        <v>0</v>
      </c>
      <c r="O136" s="8">
        <f>'MKT DATA'!S519</f>
        <v>-84498</v>
      </c>
      <c r="P136" s="8">
        <f>'MKT DATA'!T519</f>
        <v>0</v>
      </c>
      <c r="Q136" s="43" t="str">
        <f t="shared" si="5"/>
        <v>syn BTCZ6/BTCG7/BTCV6/BTCF7/BTCX6</v>
      </c>
      <c r="R136" s="13">
        <f>'MKT DATA'!AB519</f>
        <v>0</v>
      </c>
    </row>
    <row r="137" spans="5:18" x14ac:dyDescent="0.25">
      <c r="E137" s="43" t="str">
        <f>'MKT DATA'!B520</f>
        <v>syn BTCZ6/BTCG7/BTCV6/BTCH7/BTCX6</v>
      </c>
      <c r="F137" s="13">
        <f>'MKT DATA'!J520</f>
        <v>1</v>
      </c>
      <c r="G137" s="8">
        <f>'MKT DATA'!K520</f>
        <v>82700</v>
      </c>
      <c r="H137" s="8">
        <f>'MKT DATA'!L520</f>
        <v>85155</v>
      </c>
      <c r="I137" s="13">
        <f>'MKT DATA'!M520</f>
        <v>1</v>
      </c>
      <c r="J137" s="43" t="str">
        <f t="shared" si="4"/>
        <v>syn BTCZ6/BTCG7/BTCV6/BTCH7/BTCX6</v>
      </c>
      <c r="K137" s="8">
        <f>'MKT DATA'!O520</f>
        <v>0</v>
      </c>
      <c r="L137" s="8">
        <f>'MKT DATA'!P520</f>
        <v>82700</v>
      </c>
      <c r="M137" s="8">
        <f>'MKT DATA'!Q520</f>
        <v>0</v>
      </c>
      <c r="N137" s="8">
        <f>'MKT DATA'!R520</f>
        <v>0</v>
      </c>
      <c r="O137" s="8">
        <f>'MKT DATA'!S520</f>
        <v>-85155</v>
      </c>
      <c r="P137" s="8">
        <f>'MKT DATA'!T520</f>
        <v>0</v>
      </c>
      <c r="Q137" s="43" t="str">
        <f t="shared" si="5"/>
        <v>syn BTCZ6/BTCG7/BTCV6/BTCH7/BTCX6</v>
      </c>
      <c r="R137" s="13">
        <f>'MKT DATA'!AB520</f>
        <v>0</v>
      </c>
    </row>
    <row r="138" spans="5:18" x14ac:dyDescent="0.25">
      <c r="E138" s="43" t="str">
        <f>'MKT DATA'!B521</f>
        <v>syn BTCZ6/BTCG7/BTCF7/BTCV6/BTCX6</v>
      </c>
      <c r="F138" s="13">
        <f>'MKT DATA'!J521</f>
        <v>1</v>
      </c>
      <c r="G138" s="8">
        <f>'MKT DATA'!K521</f>
        <v>83523</v>
      </c>
      <c r="H138" s="8">
        <f>'MKT DATA'!L521</f>
        <v>84371</v>
      </c>
      <c r="I138" s="13">
        <f>'MKT DATA'!M521</f>
        <v>1</v>
      </c>
      <c r="J138" s="43" t="str">
        <f t="shared" ref="J138:J201" si="6">E138</f>
        <v>syn BTCZ6/BTCG7/BTCF7/BTCV6/BTCX6</v>
      </c>
      <c r="K138" s="8">
        <f>'MKT DATA'!O521</f>
        <v>0</v>
      </c>
      <c r="L138" s="8">
        <f>'MKT DATA'!P521</f>
        <v>83523</v>
      </c>
      <c r="M138" s="8">
        <f>'MKT DATA'!Q521</f>
        <v>0</v>
      </c>
      <c r="N138" s="8">
        <f>'MKT DATA'!R521</f>
        <v>0</v>
      </c>
      <c r="O138" s="8">
        <f>'MKT DATA'!S521</f>
        <v>-84371</v>
      </c>
      <c r="P138" s="8">
        <f>'MKT DATA'!T521</f>
        <v>0</v>
      </c>
      <c r="Q138" s="43" t="str">
        <f t="shared" ref="Q138:Q201" si="7">J138</f>
        <v>syn BTCZ6/BTCG7/BTCF7/BTCV6/BTCX6</v>
      </c>
      <c r="R138" s="13">
        <f>'MKT DATA'!AB521</f>
        <v>0</v>
      </c>
    </row>
    <row r="139" spans="5:18" x14ac:dyDescent="0.25">
      <c r="E139" s="43" t="str">
        <f>'MKT DATA'!B522</f>
        <v>syn BTCZ6/BTCG7/BTCF7/BTCH7/BTCX6</v>
      </c>
      <c r="F139" s="13">
        <f>'MKT DATA'!J522</f>
        <v>1</v>
      </c>
      <c r="G139" s="8">
        <f>'MKT DATA'!K522</f>
        <v>82730</v>
      </c>
      <c r="H139" s="8">
        <f>'MKT DATA'!L522</f>
        <v>85141</v>
      </c>
      <c r="I139" s="13">
        <f>'MKT DATA'!M522</f>
        <v>1</v>
      </c>
      <c r="J139" s="43" t="str">
        <f t="shared" si="6"/>
        <v>syn BTCZ6/BTCG7/BTCF7/BTCH7/BTCX6</v>
      </c>
      <c r="K139" s="8">
        <f>'MKT DATA'!O522</f>
        <v>0</v>
      </c>
      <c r="L139" s="8">
        <f>'MKT DATA'!P522</f>
        <v>82730</v>
      </c>
      <c r="M139" s="8">
        <f>'MKT DATA'!Q522</f>
        <v>0</v>
      </c>
      <c r="N139" s="8">
        <f>'MKT DATA'!R522</f>
        <v>0</v>
      </c>
      <c r="O139" s="8">
        <f>'MKT DATA'!S522</f>
        <v>-85141</v>
      </c>
      <c r="P139" s="8">
        <f>'MKT DATA'!T522</f>
        <v>0</v>
      </c>
      <c r="Q139" s="43" t="str">
        <f t="shared" si="7"/>
        <v>syn BTCZ6/BTCG7/BTCF7/BTCH7/BTCX6</v>
      </c>
      <c r="R139" s="13">
        <f>'MKT DATA'!AB522</f>
        <v>0</v>
      </c>
    </row>
    <row r="140" spans="5:18" x14ac:dyDescent="0.25">
      <c r="E140" s="43" t="str">
        <f>'MKT DATA'!B523</f>
        <v>syn BTCZ6/BTCG7/BTCH7/BTCV6/BTCX6</v>
      </c>
      <c r="F140" s="13">
        <f>'MKT DATA'!J523</f>
        <v>1</v>
      </c>
      <c r="G140" s="8">
        <f>'MKT DATA'!K523</f>
        <v>83127</v>
      </c>
      <c r="H140" s="8">
        <f>'MKT DATA'!L523</f>
        <v>84776</v>
      </c>
      <c r="I140" s="13">
        <f>'MKT DATA'!M523</f>
        <v>1</v>
      </c>
      <c r="J140" s="43" t="str">
        <f t="shared" si="6"/>
        <v>syn BTCZ6/BTCG7/BTCH7/BTCV6/BTCX6</v>
      </c>
      <c r="K140" s="8">
        <f>'MKT DATA'!O523</f>
        <v>0</v>
      </c>
      <c r="L140" s="8">
        <f>'MKT DATA'!P523</f>
        <v>83127</v>
      </c>
      <c r="M140" s="8">
        <f>'MKT DATA'!Q523</f>
        <v>0</v>
      </c>
      <c r="N140" s="8">
        <f>'MKT DATA'!R523</f>
        <v>0</v>
      </c>
      <c r="O140" s="8">
        <f>'MKT DATA'!S523</f>
        <v>-84776</v>
      </c>
      <c r="P140" s="8">
        <f>'MKT DATA'!T523</f>
        <v>0</v>
      </c>
      <c r="Q140" s="43" t="str">
        <f t="shared" si="7"/>
        <v>syn BTCZ6/BTCG7/BTCH7/BTCV6/BTCX6</v>
      </c>
      <c r="R140" s="13">
        <f>'MKT DATA'!AB523</f>
        <v>0</v>
      </c>
    </row>
    <row r="141" spans="5:18" x14ac:dyDescent="0.25">
      <c r="E141" s="43" t="str">
        <f>'MKT DATA'!B524</f>
        <v>syn BTCZ6/BTCG7/BTCH7/BTCF7/BTCX6</v>
      </c>
      <c r="F141" s="13">
        <f>'MKT DATA'!J524</f>
        <v>1</v>
      </c>
      <c r="G141" s="8">
        <f>'MKT DATA'!K524</f>
        <v>83011</v>
      </c>
      <c r="H141" s="8">
        <f>'MKT DATA'!L524</f>
        <v>84919</v>
      </c>
      <c r="I141" s="13">
        <f>'MKT DATA'!M524</f>
        <v>1</v>
      </c>
      <c r="J141" s="43" t="str">
        <f t="shared" si="6"/>
        <v>syn BTCZ6/BTCG7/BTCH7/BTCF7/BTCX6</v>
      </c>
      <c r="K141" s="8">
        <f>'MKT DATA'!O524</f>
        <v>0</v>
      </c>
      <c r="L141" s="8">
        <f>'MKT DATA'!P524</f>
        <v>83011</v>
      </c>
      <c r="M141" s="8">
        <f>'MKT DATA'!Q524</f>
        <v>0</v>
      </c>
      <c r="N141" s="8">
        <f>'MKT DATA'!R524</f>
        <v>0</v>
      </c>
      <c r="O141" s="8">
        <f>'MKT DATA'!S524</f>
        <v>-84919</v>
      </c>
      <c r="P141" s="8">
        <f>'MKT DATA'!T524</f>
        <v>0</v>
      </c>
      <c r="Q141" s="43" t="str">
        <f t="shared" si="7"/>
        <v>syn BTCZ6/BTCG7/BTCH7/BTCF7/BTCX6</v>
      </c>
      <c r="R141" s="13">
        <f>'MKT DATA'!AB524</f>
        <v>0</v>
      </c>
    </row>
    <row r="142" spans="5:18" x14ac:dyDescent="0.25">
      <c r="E142" s="43" t="str">
        <f>'MKT DATA'!B525</f>
        <v>syn BTCZ6/BTCH7/BTCV6/BTCF7/BTCX6</v>
      </c>
      <c r="F142" s="13">
        <f>'MKT DATA'!J525</f>
        <v>1</v>
      </c>
      <c r="G142" s="8">
        <f>'MKT DATA'!K525</f>
        <v>83147</v>
      </c>
      <c r="H142" s="8">
        <f>'MKT DATA'!L525</f>
        <v>84878</v>
      </c>
      <c r="I142" s="13">
        <f>'MKT DATA'!M525</f>
        <v>1</v>
      </c>
      <c r="J142" s="43" t="str">
        <f t="shared" si="6"/>
        <v>syn BTCZ6/BTCH7/BTCV6/BTCF7/BTCX6</v>
      </c>
      <c r="K142" s="8">
        <f>'MKT DATA'!O525</f>
        <v>0</v>
      </c>
      <c r="L142" s="8">
        <f>'MKT DATA'!P525</f>
        <v>83147</v>
      </c>
      <c r="M142" s="8">
        <f>'MKT DATA'!Q525</f>
        <v>0</v>
      </c>
      <c r="N142" s="8">
        <f>'MKT DATA'!R525</f>
        <v>0</v>
      </c>
      <c r="O142" s="8">
        <f>'MKT DATA'!S525</f>
        <v>-84878</v>
      </c>
      <c r="P142" s="8">
        <f>'MKT DATA'!T525</f>
        <v>0</v>
      </c>
      <c r="Q142" s="43" t="str">
        <f t="shared" si="7"/>
        <v>syn BTCZ6/BTCH7/BTCV6/BTCF7/BTCX6</v>
      </c>
      <c r="R142" s="13">
        <f>'MKT DATA'!AB525</f>
        <v>0</v>
      </c>
    </row>
    <row r="143" spans="5:18" x14ac:dyDescent="0.25">
      <c r="E143" s="43" t="str">
        <f>'MKT DATA'!B526</f>
        <v>syn BTCZ6/BTCH7/BTCV6/BTCG7/BTCX6</v>
      </c>
      <c r="F143" s="13">
        <f>'MKT DATA'!J526</f>
        <v>1</v>
      </c>
      <c r="G143" s="8">
        <f>'MKT DATA'!K526</f>
        <v>82910</v>
      </c>
      <c r="H143" s="8">
        <f>'MKT DATA'!L526</f>
        <v>85125</v>
      </c>
      <c r="I143" s="13">
        <f>'MKT DATA'!M526</f>
        <v>1</v>
      </c>
      <c r="J143" s="43" t="str">
        <f t="shared" si="6"/>
        <v>syn BTCZ6/BTCH7/BTCV6/BTCG7/BTCX6</v>
      </c>
      <c r="K143" s="8">
        <f>'MKT DATA'!O526</f>
        <v>0</v>
      </c>
      <c r="L143" s="8">
        <f>'MKT DATA'!P526</f>
        <v>82910</v>
      </c>
      <c r="M143" s="8">
        <f>'MKT DATA'!Q526</f>
        <v>0</v>
      </c>
      <c r="N143" s="8">
        <f>'MKT DATA'!R526</f>
        <v>0</v>
      </c>
      <c r="O143" s="8">
        <f>'MKT DATA'!S526</f>
        <v>-85125</v>
      </c>
      <c r="P143" s="8">
        <f>'MKT DATA'!T526</f>
        <v>0</v>
      </c>
      <c r="Q143" s="43" t="str">
        <f t="shared" si="7"/>
        <v>syn BTCZ6/BTCH7/BTCV6/BTCG7/BTCX6</v>
      </c>
      <c r="R143" s="13">
        <f>'MKT DATA'!AB526</f>
        <v>0</v>
      </c>
    </row>
    <row r="144" spans="5:18" x14ac:dyDescent="0.25">
      <c r="E144" s="43" t="str">
        <f>'MKT DATA'!B527</f>
        <v>syn BTCZ6/BTCH7/BTCF7/BTCV6/BTCX6</v>
      </c>
      <c r="F144" s="13">
        <f>'MKT DATA'!J527</f>
        <v>1</v>
      </c>
      <c r="G144" s="8">
        <f>'MKT DATA'!K527</f>
        <v>83138</v>
      </c>
      <c r="H144" s="8">
        <f>'MKT DATA'!L527</f>
        <v>84920</v>
      </c>
      <c r="I144" s="13">
        <f>'MKT DATA'!M527</f>
        <v>1</v>
      </c>
      <c r="J144" s="43" t="str">
        <f t="shared" si="6"/>
        <v>syn BTCZ6/BTCH7/BTCF7/BTCV6/BTCX6</v>
      </c>
      <c r="K144" s="8">
        <f>'MKT DATA'!O527</f>
        <v>0</v>
      </c>
      <c r="L144" s="8">
        <f>'MKT DATA'!P527</f>
        <v>83138</v>
      </c>
      <c r="M144" s="8">
        <f>'MKT DATA'!Q527</f>
        <v>0</v>
      </c>
      <c r="N144" s="8">
        <f>'MKT DATA'!R527</f>
        <v>0</v>
      </c>
      <c r="O144" s="8">
        <f>'MKT DATA'!S527</f>
        <v>-84920</v>
      </c>
      <c r="P144" s="8">
        <f>'MKT DATA'!T527</f>
        <v>0</v>
      </c>
      <c r="Q144" s="43" t="str">
        <f t="shared" si="7"/>
        <v>syn BTCZ6/BTCH7/BTCF7/BTCV6/BTCX6</v>
      </c>
      <c r="R144" s="13">
        <f>'MKT DATA'!AB527</f>
        <v>0</v>
      </c>
    </row>
    <row r="145" spans="5:18" x14ac:dyDescent="0.25">
      <c r="E145" s="43" t="str">
        <f>'MKT DATA'!B528</f>
        <v>syn BTCZ6/BTCH7/BTCF7/BTCG7/BTCX6</v>
      </c>
      <c r="F145" s="13">
        <f>'MKT DATA'!J528</f>
        <v>1</v>
      </c>
      <c r="G145" s="8">
        <f>'MKT DATA'!K528</f>
        <v>82924</v>
      </c>
      <c r="H145" s="8">
        <f>'MKT DATA'!L528</f>
        <v>85095</v>
      </c>
      <c r="I145" s="13">
        <f>'MKT DATA'!M528</f>
        <v>1</v>
      </c>
      <c r="J145" s="43" t="str">
        <f t="shared" si="6"/>
        <v>syn BTCZ6/BTCH7/BTCF7/BTCG7/BTCX6</v>
      </c>
      <c r="K145" s="8">
        <f>'MKT DATA'!O528</f>
        <v>0</v>
      </c>
      <c r="L145" s="8">
        <f>'MKT DATA'!P528</f>
        <v>82924</v>
      </c>
      <c r="M145" s="8">
        <f>'MKT DATA'!Q528</f>
        <v>0</v>
      </c>
      <c r="N145" s="8">
        <f>'MKT DATA'!R528</f>
        <v>0</v>
      </c>
      <c r="O145" s="8">
        <f>'MKT DATA'!S528</f>
        <v>-85095</v>
      </c>
      <c r="P145" s="8">
        <f>'MKT DATA'!T528</f>
        <v>0</v>
      </c>
      <c r="Q145" s="43" t="str">
        <f t="shared" si="7"/>
        <v>syn BTCZ6/BTCH7/BTCF7/BTCG7/BTCX6</v>
      </c>
      <c r="R145" s="13">
        <f>'MKT DATA'!AB528</f>
        <v>0</v>
      </c>
    </row>
    <row r="146" spans="5:18" x14ac:dyDescent="0.25">
      <c r="E146" s="43" t="str">
        <f>'MKT DATA'!B529</f>
        <v>syn BTCZ6/BTCH7/BTCG7/BTCV6/BTCX6</v>
      </c>
      <c r="F146" s="13">
        <f>'MKT DATA'!J529</f>
        <v>1</v>
      </c>
      <c r="G146" s="8">
        <f>'MKT DATA'!K529</f>
        <v>83282</v>
      </c>
      <c r="H146" s="8">
        <f>'MKT DATA'!L529</f>
        <v>84691</v>
      </c>
      <c r="I146" s="13">
        <f>'MKT DATA'!M529</f>
        <v>1</v>
      </c>
      <c r="J146" s="43" t="str">
        <f t="shared" si="6"/>
        <v>syn BTCZ6/BTCH7/BTCG7/BTCV6/BTCX6</v>
      </c>
      <c r="K146" s="8">
        <f>'MKT DATA'!O529</f>
        <v>0</v>
      </c>
      <c r="L146" s="8">
        <f>'MKT DATA'!P529</f>
        <v>83282</v>
      </c>
      <c r="M146" s="8">
        <f>'MKT DATA'!Q529</f>
        <v>0</v>
      </c>
      <c r="N146" s="8">
        <f>'MKT DATA'!R529</f>
        <v>0</v>
      </c>
      <c r="O146" s="8">
        <f>'MKT DATA'!S529</f>
        <v>-84691</v>
      </c>
      <c r="P146" s="8">
        <f>'MKT DATA'!T529</f>
        <v>0</v>
      </c>
      <c r="Q146" s="43" t="str">
        <f t="shared" si="7"/>
        <v>syn BTCZ6/BTCH7/BTCG7/BTCV6/BTCX6</v>
      </c>
      <c r="R146" s="13">
        <f>'MKT DATA'!AB529</f>
        <v>0</v>
      </c>
    </row>
    <row r="147" spans="5:18" x14ac:dyDescent="0.25">
      <c r="E147" s="43" t="str">
        <f>'MKT DATA'!B530</f>
        <v>syn BTCZ6/BTCH7/BTCG7/BTCF7/BTCX6</v>
      </c>
      <c r="F147" s="13">
        <f>'MKT DATA'!J530</f>
        <v>1</v>
      </c>
      <c r="G147" s="8">
        <f>'MKT DATA'!K530</f>
        <v>83351</v>
      </c>
      <c r="H147" s="8">
        <f>'MKT DATA'!L530</f>
        <v>84665</v>
      </c>
      <c r="I147" s="13">
        <f>'MKT DATA'!M530</f>
        <v>1</v>
      </c>
      <c r="J147" s="43" t="str">
        <f t="shared" si="6"/>
        <v>syn BTCZ6/BTCH7/BTCG7/BTCF7/BTCX6</v>
      </c>
      <c r="K147" s="8">
        <f>'MKT DATA'!O530</f>
        <v>0</v>
      </c>
      <c r="L147" s="8">
        <f>'MKT DATA'!P530</f>
        <v>83351</v>
      </c>
      <c r="M147" s="8">
        <f>'MKT DATA'!Q530</f>
        <v>0</v>
      </c>
      <c r="N147" s="8">
        <f>'MKT DATA'!R530</f>
        <v>0</v>
      </c>
      <c r="O147" s="8">
        <f>'MKT DATA'!S530</f>
        <v>-84665</v>
      </c>
      <c r="P147" s="8">
        <f>'MKT DATA'!T530</f>
        <v>0</v>
      </c>
      <c r="Q147" s="43" t="str">
        <f t="shared" si="7"/>
        <v>syn BTCZ6/BTCH7/BTCG7/BTCF7/BTCX6</v>
      </c>
      <c r="R147" s="13">
        <f>'MKT DATA'!AB530</f>
        <v>0</v>
      </c>
    </row>
    <row r="148" spans="5:18" x14ac:dyDescent="0.25">
      <c r="E148" s="43" t="str">
        <f>'MKT DATA'!B531</f>
        <v>syn BTCF7/BTCV6/BTCZ6/BTCG7/BTCX6</v>
      </c>
      <c r="F148" s="13">
        <f>'MKT DATA'!J531</f>
        <v>1</v>
      </c>
      <c r="G148" s="8">
        <f>'MKT DATA'!K531</f>
        <v>83352</v>
      </c>
      <c r="H148" s="8">
        <f>'MKT DATA'!L531</f>
        <v>84541</v>
      </c>
      <c r="I148" s="13">
        <f>'MKT DATA'!M531</f>
        <v>1</v>
      </c>
      <c r="J148" s="43" t="str">
        <f t="shared" si="6"/>
        <v>syn BTCF7/BTCV6/BTCZ6/BTCG7/BTCX6</v>
      </c>
      <c r="K148" s="8">
        <f>'MKT DATA'!O531</f>
        <v>0</v>
      </c>
      <c r="L148" s="8">
        <f>'MKT DATA'!P531</f>
        <v>83352</v>
      </c>
      <c r="M148" s="8">
        <f>'MKT DATA'!Q531</f>
        <v>0</v>
      </c>
      <c r="N148" s="8">
        <f>'MKT DATA'!R531</f>
        <v>0</v>
      </c>
      <c r="O148" s="8">
        <f>'MKT DATA'!S531</f>
        <v>-84541</v>
      </c>
      <c r="P148" s="8">
        <f>'MKT DATA'!T531</f>
        <v>0</v>
      </c>
      <c r="Q148" s="43" t="str">
        <f t="shared" si="7"/>
        <v>syn BTCF7/BTCV6/BTCZ6/BTCG7/BTCX6</v>
      </c>
      <c r="R148" s="13">
        <f>'MKT DATA'!AB531</f>
        <v>0</v>
      </c>
    </row>
    <row r="149" spans="5:18" x14ac:dyDescent="0.25">
      <c r="E149" s="43" t="str">
        <f>'MKT DATA'!B532</f>
        <v>syn BTCF7/BTCV6/BTCZ6/BTCH7/BTCX6</v>
      </c>
      <c r="F149" s="13">
        <f>'MKT DATA'!J532</f>
        <v>1</v>
      </c>
      <c r="G149" s="8">
        <f>'MKT DATA'!K532</f>
        <v>83152</v>
      </c>
      <c r="H149" s="8">
        <f>'MKT DATA'!L532</f>
        <v>84921</v>
      </c>
      <c r="I149" s="13">
        <f>'MKT DATA'!M532</f>
        <v>1</v>
      </c>
      <c r="J149" s="43" t="str">
        <f t="shared" si="6"/>
        <v>syn BTCF7/BTCV6/BTCZ6/BTCH7/BTCX6</v>
      </c>
      <c r="K149" s="8">
        <f>'MKT DATA'!O532</f>
        <v>0</v>
      </c>
      <c r="L149" s="8">
        <f>'MKT DATA'!P532</f>
        <v>83152</v>
      </c>
      <c r="M149" s="8">
        <f>'MKT DATA'!Q532</f>
        <v>0</v>
      </c>
      <c r="N149" s="8">
        <f>'MKT DATA'!R532</f>
        <v>0</v>
      </c>
      <c r="O149" s="8">
        <f>'MKT DATA'!S532</f>
        <v>-84921</v>
      </c>
      <c r="P149" s="8">
        <f>'MKT DATA'!T532</f>
        <v>0</v>
      </c>
      <c r="Q149" s="43" t="str">
        <f t="shared" si="7"/>
        <v>syn BTCF7/BTCV6/BTCZ6/BTCH7/BTCX6</v>
      </c>
      <c r="R149" s="13">
        <f>'MKT DATA'!AB532</f>
        <v>0</v>
      </c>
    </row>
    <row r="150" spans="5:18" x14ac:dyDescent="0.25">
      <c r="E150" s="43" t="str">
        <f>'MKT DATA'!B533</f>
        <v>syn BTCF7/BTCV6/BTCG7/BTCZ6/BTCX6</v>
      </c>
      <c r="F150" s="13">
        <f>'MKT DATA'!J533</f>
        <v>1</v>
      </c>
      <c r="G150" s="8">
        <f>'MKT DATA'!K533</f>
        <v>83360</v>
      </c>
      <c r="H150" s="8">
        <f>'MKT DATA'!L533</f>
        <v>84510</v>
      </c>
      <c r="I150" s="13">
        <f>'MKT DATA'!M533</f>
        <v>1</v>
      </c>
      <c r="J150" s="43" t="str">
        <f t="shared" si="6"/>
        <v>syn BTCF7/BTCV6/BTCG7/BTCZ6/BTCX6</v>
      </c>
      <c r="K150" s="8">
        <f>'MKT DATA'!O533</f>
        <v>0</v>
      </c>
      <c r="L150" s="8">
        <f>'MKT DATA'!P533</f>
        <v>83360</v>
      </c>
      <c r="M150" s="8">
        <f>'MKT DATA'!Q533</f>
        <v>0</v>
      </c>
      <c r="N150" s="8">
        <f>'MKT DATA'!R533</f>
        <v>0</v>
      </c>
      <c r="O150" s="8">
        <f>'MKT DATA'!S533</f>
        <v>-84510</v>
      </c>
      <c r="P150" s="8">
        <f>'MKT DATA'!T533</f>
        <v>0</v>
      </c>
      <c r="Q150" s="43" t="str">
        <f t="shared" si="7"/>
        <v>syn BTCF7/BTCV6/BTCG7/BTCZ6/BTCX6</v>
      </c>
      <c r="R150" s="13">
        <f>'MKT DATA'!AB533</f>
        <v>0</v>
      </c>
    </row>
    <row r="151" spans="5:18" x14ac:dyDescent="0.25">
      <c r="E151" s="43" t="str">
        <f>'MKT DATA'!B534</f>
        <v>syn BTCF7/BTCV6/BTCG7/BTCH7/BTCX6</v>
      </c>
      <c r="F151" s="13">
        <f>'MKT DATA'!J534</f>
        <v>1</v>
      </c>
      <c r="G151" s="8">
        <f>'MKT DATA'!K534</f>
        <v>83051</v>
      </c>
      <c r="H151" s="8">
        <f>'MKT DATA'!L534</f>
        <v>84889</v>
      </c>
      <c r="I151" s="13">
        <f>'MKT DATA'!M534</f>
        <v>1</v>
      </c>
      <c r="J151" s="43" t="str">
        <f t="shared" si="6"/>
        <v>syn BTCF7/BTCV6/BTCG7/BTCH7/BTCX6</v>
      </c>
      <c r="K151" s="8">
        <f>'MKT DATA'!O534</f>
        <v>0</v>
      </c>
      <c r="L151" s="8">
        <f>'MKT DATA'!P534</f>
        <v>83051</v>
      </c>
      <c r="M151" s="8">
        <f>'MKT DATA'!Q534</f>
        <v>0</v>
      </c>
      <c r="N151" s="8">
        <f>'MKT DATA'!R534</f>
        <v>0</v>
      </c>
      <c r="O151" s="8">
        <f>'MKT DATA'!S534</f>
        <v>-84889</v>
      </c>
      <c r="P151" s="8">
        <f>'MKT DATA'!T534</f>
        <v>0</v>
      </c>
      <c r="Q151" s="43" t="str">
        <f t="shared" si="7"/>
        <v>syn BTCF7/BTCV6/BTCG7/BTCH7/BTCX6</v>
      </c>
      <c r="R151" s="13">
        <f>'MKT DATA'!AB534</f>
        <v>0</v>
      </c>
    </row>
    <row r="152" spans="5:18" x14ac:dyDescent="0.25">
      <c r="E152" s="43" t="str">
        <f>'MKT DATA'!B535</f>
        <v>syn BTCF7/BTCV6/BTCH7/BTCZ6/BTCX6</v>
      </c>
      <c r="F152" s="13">
        <f>'MKT DATA'!J535</f>
        <v>1</v>
      </c>
      <c r="G152" s="8">
        <f>'MKT DATA'!K535</f>
        <v>82980</v>
      </c>
      <c r="H152" s="8">
        <f>'MKT DATA'!L535</f>
        <v>84710</v>
      </c>
      <c r="I152" s="13">
        <f>'MKT DATA'!M535</f>
        <v>1</v>
      </c>
      <c r="J152" s="43" t="str">
        <f t="shared" si="6"/>
        <v>syn BTCF7/BTCV6/BTCH7/BTCZ6/BTCX6</v>
      </c>
      <c r="K152" s="8">
        <f>'MKT DATA'!O535</f>
        <v>0</v>
      </c>
      <c r="L152" s="8">
        <f>'MKT DATA'!P535</f>
        <v>82980</v>
      </c>
      <c r="M152" s="8">
        <f>'MKT DATA'!Q535</f>
        <v>0</v>
      </c>
      <c r="N152" s="8">
        <f>'MKT DATA'!R535</f>
        <v>0</v>
      </c>
      <c r="O152" s="8">
        <f>'MKT DATA'!S535</f>
        <v>-84710</v>
      </c>
      <c r="P152" s="8">
        <f>'MKT DATA'!T535</f>
        <v>0</v>
      </c>
      <c r="Q152" s="43" t="str">
        <f t="shared" si="7"/>
        <v>syn BTCF7/BTCV6/BTCH7/BTCZ6/BTCX6</v>
      </c>
      <c r="R152" s="13">
        <f>'MKT DATA'!AB535</f>
        <v>0</v>
      </c>
    </row>
    <row r="153" spans="5:18" x14ac:dyDescent="0.25">
      <c r="E153" s="43" t="str">
        <f>'MKT DATA'!B536</f>
        <v>syn BTCF7/BTCV6/BTCH7/BTCG7/BTCX6</v>
      </c>
      <c r="F153" s="13">
        <f>'MKT DATA'!J536</f>
        <v>1</v>
      </c>
      <c r="G153" s="8">
        <f>'MKT DATA'!K536</f>
        <v>82996</v>
      </c>
      <c r="H153" s="8">
        <f>'MKT DATA'!L536</f>
        <v>84834</v>
      </c>
      <c r="I153" s="13">
        <f>'MKT DATA'!M536</f>
        <v>1</v>
      </c>
      <c r="J153" s="43" t="str">
        <f t="shared" si="6"/>
        <v>syn BTCF7/BTCV6/BTCH7/BTCG7/BTCX6</v>
      </c>
      <c r="K153" s="8">
        <f>'MKT DATA'!O536</f>
        <v>0</v>
      </c>
      <c r="L153" s="8">
        <f>'MKT DATA'!P536</f>
        <v>82996</v>
      </c>
      <c r="M153" s="8">
        <f>'MKT DATA'!Q536</f>
        <v>0</v>
      </c>
      <c r="N153" s="8">
        <f>'MKT DATA'!R536</f>
        <v>0</v>
      </c>
      <c r="O153" s="8">
        <f>'MKT DATA'!S536</f>
        <v>-84834</v>
      </c>
      <c r="P153" s="8">
        <f>'MKT DATA'!T536</f>
        <v>0</v>
      </c>
      <c r="Q153" s="43" t="str">
        <f t="shared" si="7"/>
        <v>syn BTCF7/BTCV6/BTCH7/BTCG7/BTCX6</v>
      </c>
      <c r="R153" s="13">
        <f>'MKT DATA'!AB536</f>
        <v>0</v>
      </c>
    </row>
    <row r="154" spans="5:18" x14ac:dyDescent="0.25">
      <c r="E154" s="43" t="str">
        <f>'MKT DATA'!B537</f>
        <v>syn BTCF7/BTCZ6/BTCV6/BTCG7/BTCX6</v>
      </c>
      <c r="F154" s="13">
        <f>'MKT DATA'!J537</f>
        <v>1</v>
      </c>
      <c r="G154" s="8">
        <f>'MKT DATA'!K537</f>
        <v>83424</v>
      </c>
      <c r="H154" s="8">
        <f>'MKT DATA'!L537</f>
        <v>84427</v>
      </c>
      <c r="I154" s="13">
        <f>'MKT DATA'!M537</f>
        <v>1</v>
      </c>
      <c r="J154" s="43" t="str">
        <f t="shared" si="6"/>
        <v>syn BTCF7/BTCZ6/BTCV6/BTCG7/BTCX6</v>
      </c>
      <c r="K154" s="8">
        <f>'MKT DATA'!O537</f>
        <v>0</v>
      </c>
      <c r="L154" s="8">
        <f>'MKT DATA'!P537</f>
        <v>83424</v>
      </c>
      <c r="M154" s="8">
        <f>'MKT DATA'!Q537</f>
        <v>0</v>
      </c>
      <c r="N154" s="8">
        <f>'MKT DATA'!R537</f>
        <v>0</v>
      </c>
      <c r="O154" s="8">
        <f>'MKT DATA'!S537</f>
        <v>-84427</v>
      </c>
      <c r="P154" s="8">
        <f>'MKT DATA'!T537</f>
        <v>0</v>
      </c>
      <c r="Q154" s="43" t="str">
        <f t="shared" si="7"/>
        <v>syn BTCF7/BTCZ6/BTCV6/BTCG7/BTCX6</v>
      </c>
      <c r="R154" s="13">
        <f>'MKT DATA'!AB537</f>
        <v>0</v>
      </c>
    </row>
    <row r="155" spans="5:18" x14ac:dyDescent="0.25">
      <c r="E155" s="43" t="str">
        <f>'MKT DATA'!B538</f>
        <v>syn BTCF7/BTCZ6/BTCV6/BTCH7/BTCX6</v>
      </c>
      <c r="F155" s="13">
        <f>'MKT DATA'!J538</f>
        <v>1</v>
      </c>
      <c r="G155" s="8">
        <f>'MKT DATA'!K538</f>
        <v>83014</v>
      </c>
      <c r="H155" s="8">
        <f>'MKT DATA'!L538</f>
        <v>84837</v>
      </c>
      <c r="I155" s="13">
        <f>'MKT DATA'!M538</f>
        <v>1</v>
      </c>
      <c r="J155" s="43" t="str">
        <f t="shared" si="6"/>
        <v>syn BTCF7/BTCZ6/BTCV6/BTCH7/BTCX6</v>
      </c>
      <c r="K155" s="8">
        <f>'MKT DATA'!O538</f>
        <v>0</v>
      </c>
      <c r="L155" s="8">
        <f>'MKT DATA'!P538</f>
        <v>83014</v>
      </c>
      <c r="M155" s="8">
        <f>'MKT DATA'!Q538</f>
        <v>0</v>
      </c>
      <c r="N155" s="8">
        <f>'MKT DATA'!R538</f>
        <v>0</v>
      </c>
      <c r="O155" s="8">
        <f>'MKT DATA'!S538</f>
        <v>-84837</v>
      </c>
      <c r="P155" s="8">
        <f>'MKT DATA'!T538</f>
        <v>0</v>
      </c>
      <c r="Q155" s="43" t="str">
        <f t="shared" si="7"/>
        <v>syn BTCF7/BTCZ6/BTCV6/BTCH7/BTCX6</v>
      </c>
      <c r="R155" s="13">
        <f>'MKT DATA'!AB538</f>
        <v>0</v>
      </c>
    </row>
    <row r="156" spans="5:18" x14ac:dyDescent="0.25">
      <c r="E156" s="43" t="str">
        <f>'MKT DATA'!B539</f>
        <v>syn BTCF7/BTCZ6/BTCG7/BTCV6/BTCX6</v>
      </c>
      <c r="F156" s="13">
        <f>'MKT DATA'!J539</f>
        <v>1</v>
      </c>
      <c r="G156" s="8">
        <f>'MKT DATA'!K539</f>
        <v>83418</v>
      </c>
      <c r="H156" s="8">
        <f>'MKT DATA'!L539</f>
        <v>84434</v>
      </c>
      <c r="I156" s="13">
        <f>'MKT DATA'!M539</f>
        <v>1</v>
      </c>
      <c r="J156" s="43" t="str">
        <f t="shared" si="6"/>
        <v>syn BTCF7/BTCZ6/BTCG7/BTCV6/BTCX6</v>
      </c>
      <c r="K156" s="8">
        <f>'MKT DATA'!O539</f>
        <v>0</v>
      </c>
      <c r="L156" s="8">
        <f>'MKT DATA'!P539</f>
        <v>83418</v>
      </c>
      <c r="M156" s="8">
        <f>'MKT DATA'!Q539</f>
        <v>0</v>
      </c>
      <c r="N156" s="8">
        <f>'MKT DATA'!R539</f>
        <v>0</v>
      </c>
      <c r="O156" s="8">
        <f>'MKT DATA'!S539</f>
        <v>-84434</v>
      </c>
      <c r="P156" s="8">
        <f>'MKT DATA'!T539</f>
        <v>0</v>
      </c>
      <c r="Q156" s="43" t="str">
        <f t="shared" si="7"/>
        <v>syn BTCF7/BTCZ6/BTCG7/BTCV6/BTCX6</v>
      </c>
      <c r="R156" s="13">
        <f>'MKT DATA'!AB539</f>
        <v>0</v>
      </c>
    </row>
    <row r="157" spans="5:18" x14ac:dyDescent="0.25">
      <c r="E157" s="43" t="str">
        <f>'MKT DATA'!B540</f>
        <v>syn BTCF7/BTCZ6/BTCG7/BTCH7/BTCX6</v>
      </c>
      <c r="F157" s="13">
        <f>'MKT DATA'!J540</f>
        <v>1</v>
      </c>
      <c r="G157" s="8">
        <f>'MKT DATA'!K540</f>
        <v>83061</v>
      </c>
      <c r="H157" s="8">
        <f>'MKT DATA'!L540</f>
        <v>84853</v>
      </c>
      <c r="I157" s="13">
        <f>'MKT DATA'!M540</f>
        <v>1</v>
      </c>
      <c r="J157" s="43" t="str">
        <f t="shared" si="6"/>
        <v>syn BTCF7/BTCZ6/BTCG7/BTCH7/BTCX6</v>
      </c>
      <c r="K157" s="8">
        <f>'MKT DATA'!O540</f>
        <v>0</v>
      </c>
      <c r="L157" s="8">
        <f>'MKT DATA'!P540</f>
        <v>83061</v>
      </c>
      <c r="M157" s="8">
        <f>'MKT DATA'!Q540</f>
        <v>0</v>
      </c>
      <c r="N157" s="8">
        <f>'MKT DATA'!R540</f>
        <v>0</v>
      </c>
      <c r="O157" s="8">
        <f>'MKT DATA'!S540</f>
        <v>-84853</v>
      </c>
      <c r="P157" s="8">
        <f>'MKT DATA'!T540</f>
        <v>0</v>
      </c>
      <c r="Q157" s="43" t="str">
        <f t="shared" si="7"/>
        <v>syn BTCF7/BTCZ6/BTCG7/BTCH7/BTCX6</v>
      </c>
      <c r="R157" s="13">
        <f>'MKT DATA'!AB540</f>
        <v>0</v>
      </c>
    </row>
    <row r="158" spans="5:18" x14ac:dyDescent="0.25">
      <c r="E158" s="43" t="str">
        <f>'MKT DATA'!B541</f>
        <v>syn BTCF7/BTCZ6/BTCH7/BTCV6/BTCX6</v>
      </c>
      <c r="F158" s="13">
        <f>'MKT DATA'!J541</f>
        <v>1</v>
      </c>
      <c r="G158" s="8">
        <f>'MKT DATA'!K541</f>
        <v>83218</v>
      </c>
      <c r="H158" s="8">
        <f>'MKT DATA'!L541</f>
        <v>84814</v>
      </c>
      <c r="I158" s="13">
        <f>'MKT DATA'!M541</f>
        <v>1</v>
      </c>
      <c r="J158" s="43" t="str">
        <f t="shared" si="6"/>
        <v>syn BTCF7/BTCZ6/BTCH7/BTCV6/BTCX6</v>
      </c>
      <c r="K158" s="8">
        <f>'MKT DATA'!O541</f>
        <v>0</v>
      </c>
      <c r="L158" s="8">
        <f>'MKT DATA'!P541</f>
        <v>83218</v>
      </c>
      <c r="M158" s="8">
        <f>'MKT DATA'!Q541</f>
        <v>0</v>
      </c>
      <c r="N158" s="8">
        <f>'MKT DATA'!R541</f>
        <v>0</v>
      </c>
      <c r="O158" s="8">
        <f>'MKT DATA'!S541</f>
        <v>-84814</v>
      </c>
      <c r="P158" s="8">
        <f>'MKT DATA'!T541</f>
        <v>0</v>
      </c>
      <c r="Q158" s="43" t="str">
        <f t="shared" si="7"/>
        <v>syn BTCF7/BTCZ6/BTCH7/BTCV6/BTCX6</v>
      </c>
      <c r="R158" s="13">
        <f>'MKT DATA'!AB541</f>
        <v>0</v>
      </c>
    </row>
    <row r="159" spans="5:18" x14ac:dyDescent="0.25">
      <c r="E159" s="43" t="str">
        <f>'MKT DATA'!B542</f>
        <v>syn BTCF7/BTCZ6/BTCH7/BTCG7/BTCX6</v>
      </c>
      <c r="F159" s="13">
        <f>'MKT DATA'!J542</f>
        <v>1</v>
      </c>
      <c r="G159" s="8">
        <f>'MKT DATA'!K542</f>
        <v>83216</v>
      </c>
      <c r="H159" s="8">
        <f>'MKT DATA'!L542</f>
        <v>84768</v>
      </c>
      <c r="I159" s="13">
        <f>'MKT DATA'!M542</f>
        <v>1</v>
      </c>
      <c r="J159" s="43" t="str">
        <f t="shared" si="6"/>
        <v>syn BTCF7/BTCZ6/BTCH7/BTCG7/BTCX6</v>
      </c>
      <c r="K159" s="8">
        <f>'MKT DATA'!O542</f>
        <v>0</v>
      </c>
      <c r="L159" s="8">
        <f>'MKT DATA'!P542</f>
        <v>83216</v>
      </c>
      <c r="M159" s="8">
        <f>'MKT DATA'!Q542</f>
        <v>0</v>
      </c>
      <c r="N159" s="8">
        <f>'MKT DATA'!R542</f>
        <v>0</v>
      </c>
      <c r="O159" s="8">
        <f>'MKT DATA'!S542</f>
        <v>-84768</v>
      </c>
      <c r="P159" s="8">
        <f>'MKT DATA'!T542</f>
        <v>0</v>
      </c>
      <c r="Q159" s="43" t="str">
        <f t="shared" si="7"/>
        <v>syn BTCF7/BTCZ6/BTCH7/BTCG7/BTCX6</v>
      </c>
      <c r="R159" s="13">
        <f>'MKT DATA'!AB542</f>
        <v>0</v>
      </c>
    </row>
    <row r="160" spans="5:18" x14ac:dyDescent="0.25">
      <c r="E160" s="43" t="str">
        <f>'MKT DATA'!B543</f>
        <v>syn BTCF7/BTCG7/BTCV6/BTCZ6/BTCX6</v>
      </c>
      <c r="F160" s="13">
        <f>'MKT DATA'!J543</f>
        <v>1</v>
      </c>
      <c r="G160" s="8">
        <f>'MKT DATA'!K543</f>
        <v>83534</v>
      </c>
      <c r="H160" s="8">
        <f>'MKT DATA'!L543</f>
        <v>84298</v>
      </c>
      <c r="I160" s="13">
        <f>'MKT DATA'!M543</f>
        <v>1</v>
      </c>
      <c r="J160" s="43" t="str">
        <f t="shared" si="6"/>
        <v>syn BTCF7/BTCG7/BTCV6/BTCZ6/BTCX6</v>
      </c>
      <c r="K160" s="8">
        <f>'MKT DATA'!O543</f>
        <v>0</v>
      </c>
      <c r="L160" s="8">
        <f>'MKT DATA'!P543</f>
        <v>83534</v>
      </c>
      <c r="M160" s="8">
        <f>'MKT DATA'!Q543</f>
        <v>0</v>
      </c>
      <c r="N160" s="8">
        <f>'MKT DATA'!R543</f>
        <v>0</v>
      </c>
      <c r="O160" s="8">
        <f>'MKT DATA'!S543</f>
        <v>-84298</v>
      </c>
      <c r="P160" s="8">
        <f>'MKT DATA'!T543</f>
        <v>0</v>
      </c>
      <c r="Q160" s="43" t="str">
        <f t="shared" si="7"/>
        <v>syn BTCF7/BTCG7/BTCV6/BTCZ6/BTCX6</v>
      </c>
      <c r="R160" s="13">
        <f>'MKT DATA'!AB543</f>
        <v>0</v>
      </c>
    </row>
    <row r="161" spans="5:18" x14ac:dyDescent="0.25">
      <c r="E161" s="43" t="str">
        <f>'MKT DATA'!B544</f>
        <v>syn BTCF7/BTCG7/BTCV6/BTCH7/BTCX6</v>
      </c>
      <c r="F161" s="13">
        <f>'MKT DATA'!J544</f>
        <v>1</v>
      </c>
      <c r="G161" s="8">
        <f>'MKT DATA'!K544</f>
        <v>82784</v>
      </c>
      <c r="H161" s="8">
        <f>'MKT DATA'!L544</f>
        <v>85055</v>
      </c>
      <c r="I161" s="13">
        <f>'MKT DATA'!M544</f>
        <v>1</v>
      </c>
      <c r="J161" s="43" t="str">
        <f t="shared" si="6"/>
        <v>syn BTCF7/BTCG7/BTCV6/BTCH7/BTCX6</v>
      </c>
      <c r="K161" s="8">
        <f>'MKT DATA'!O544</f>
        <v>0</v>
      </c>
      <c r="L161" s="8">
        <f>'MKT DATA'!P544</f>
        <v>82784</v>
      </c>
      <c r="M161" s="8">
        <f>'MKT DATA'!Q544</f>
        <v>0</v>
      </c>
      <c r="N161" s="8">
        <f>'MKT DATA'!R544</f>
        <v>0</v>
      </c>
      <c r="O161" s="8">
        <f>'MKT DATA'!S544</f>
        <v>-85055</v>
      </c>
      <c r="P161" s="8">
        <f>'MKT DATA'!T544</f>
        <v>0</v>
      </c>
      <c r="Q161" s="43" t="str">
        <f t="shared" si="7"/>
        <v>syn BTCF7/BTCG7/BTCV6/BTCH7/BTCX6</v>
      </c>
      <c r="R161" s="13">
        <f>'MKT DATA'!AB544</f>
        <v>0</v>
      </c>
    </row>
    <row r="162" spans="5:18" x14ac:dyDescent="0.25">
      <c r="E162" s="43" t="str">
        <f>'MKT DATA'!B545</f>
        <v>syn BTCF7/BTCG7/BTCZ6/BTCV6/BTCX6</v>
      </c>
      <c r="F162" s="13">
        <f>'MKT DATA'!J545</f>
        <v>1</v>
      </c>
      <c r="G162" s="8">
        <f>'MKT DATA'!K545</f>
        <v>83504</v>
      </c>
      <c r="H162" s="8">
        <f>'MKT DATA'!L545</f>
        <v>84320</v>
      </c>
      <c r="I162" s="13">
        <f>'MKT DATA'!M545</f>
        <v>1</v>
      </c>
      <c r="J162" s="43" t="str">
        <f t="shared" si="6"/>
        <v>syn BTCF7/BTCG7/BTCZ6/BTCV6/BTCX6</v>
      </c>
      <c r="K162" s="8">
        <f>'MKT DATA'!O545</f>
        <v>0</v>
      </c>
      <c r="L162" s="8">
        <f>'MKT DATA'!P545</f>
        <v>83504</v>
      </c>
      <c r="M162" s="8">
        <f>'MKT DATA'!Q545</f>
        <v>0</v>
      </c>
      <c r="N162" s="8">
        <f>'MKT DATA'!R545</f>
        <v>0</v>
      </c>
      <c r="O162" s="8">
        <f>'MKT DATA'!S545</f>
        <v>-84320</v>
      </c>
      <c r="P162" s="8">
        <f>'MKT DATA'!T545</f>
        <v>0</v>
      </c>
      <c r="Q162" s="43" t="str">
        <f t="shared" si="7"/>
        <v>syn BTCF7/BTCG7/BTCZ6/BTCV6/BTCX6</v>
      </c>
      <c r="R162" s="13">
        <f>'MKT DATA'!AB545</f>
        <v>0</v>
      </c>
    </row>
    <row r="163" spans="5:18" x14ac:dyDescent="0.25">
      <c r="E163" s="43" t="str">
        <f>'MKT DATA'!B546</f>
        <v>syn BTCF7/BTCG7/BTCZ6/BTCH7/BTCX6</v>
      </c>
      <c r="F163" s="13">
        <f>'MKT DATA'!J546</f>
        <v>1</v>
      </c>
      <c r="G163" s="8">
        <f>'MKT DATA'!K546</f>
        <v>82924</v>
      </c>
      <c r="H163" s="8">
        <f>'MKT DATA'!L546</f>
        <v>85095</v>
      </c>
      <c r="I163" s="13">
        <f>'MKT DATA'!M546</f>
        <v>1</v>
      </c>
      <c r="J163" s="43" t="str">
        <f t="shared" si="6"/>
        <v>syn BTCF7/BTCG7/BTCZ6/BTCH7/BTCX6</v>
      </c>
      <c r="K163" s="8">
        <f>'MKT DATA'!O546</f>
        <v>0</v>
      </c>
      <c r="L163" s="8">
        <f>'MKT DATA'!P546</f>
        <v>82924</v>
      </c>
      <c r="M163" s="8">
        <f>'MKT DATA'!Q546</f>
        <v>0</v>
      </c>
      <c r="N163" s="8">
        <f>'MKT DATA'!R546</f>
        <v>0</v>
      </c>
      <c r="O163" s="8">
        <f>'MKT DATA'!S546</f>
        <v>-85095</v>
      </c>
      <c r="P163" s="8">
        <f>'MKT DATA'!T546</f>
        <v>0</v>
      </c>
      <c r="Q163" s="43" t="str">
        <f t="shared" si="7"/>
        <v>syn BTCF7/BTCG7/BTCZ6/BTCH7/BTCX6</v>
      </c>
      <c r="R163" s="13">
        <f>'MKT DATA'!AB546</f>
        <v>0</v>
      </c>
    </row>
    <row r="164" spans="5:18" x14ac:dyDescent="0.25">
      <c r="E164" s="43" t="str">
        <f>'MKT DATA'!B547</f>
        <v>syn BTCF7/BTCG7/BTCH7/BTCV6/BTCX6</v>
      </c>
      <c r="F164" s="13">
        <f>'MKT DATA'!J547</f>
        <v>1</v>
      </c>
      <c r="G164" s="8">
        <f>'MKT DATA'!K547</f>
        <v>83211</v>
      </c>
      <c r="H164" s="8">
        <f>'MKT DATA'!L547</f>
        <v>84676</v>
      </c>
      <c r="I164" s="13">
        <f>'MKT DATA'!M547</f>
        <v>1</v>
      </c>
      <c r="J164" s="43" t="str">
        <f t="shared" si="6"/>
        <v>syn BTCF7/BTCG7/BTCH7/BTCV6/BTCX6</v>
      </c>
      <c r="K164" s="8">
        <f>'MKT DATA'!O547</f>
        <v>0</v>
      </c>
      <c r="L164" s="8">
        <f>'MKT DATA'!P547</f>
        <v>83211</v>
      </c>
      <c r="M164" s="8">
        <f>'MKT DATA'!Q547</f>
        <v>0</v>
      </c>
      <c r="N164" s="8">
        <f>'MKT DATA'!R547</f>
        <v>0</v>
      </c>
      <c r="O164" s="8">
        <f>'MKT DATA'!S547</f>
        <v>-84676</v>
      </c>
      <c r="P164" s="8">
        <f>'MKT DATA'!T547</f>
        <v>0</v>
      </c>
      <c r="Q164" s="43" t="str">
        <f t="shared" si="7"/>
        <v>syn BTCF7/BTCG7/BTCH7/BTCV6/BTCX6</v>
      </c>
      <c r="R164" s="13">
        <f>'MKT DATA'!AB547</f>
        <v>0</v>
      </c>
    </row>
    <row r="165" spans="5:18" x14ac:dyDescent="0.25">
      <c r="E165" s="43" t="str">
        <f>'MKT DATA'!B548</f>
        <v>syn BTCF7/BTCG7/BTCH7/BTCZ6/BTCX6</v>
      </c>
      <c r="F165" s="13">
        <f>'MKT DATA'!J548</f>
        <v>1</v>
      </c>
      <c r="G165" s="8">
        <f>'MKT DATA'!K548</f>
        <v>83193</v>
      </c>
      <c r="H165" s="8">
        <f>'MKT DATA'!L548</f>
        <v>84506</v>
      </c>
      <c r="I165" s="13">
        <f>'MKT DATA'!M548</f>
        <v>1</v>
      </c>
      <c r="J165" s="43" t="str">
        <f t="shared" si="6"/>
        <v>syn BTCF7/BTCG7/BTCH7/BTCZ6/BTCX6</v>
      </c>
      <c r="K165" s="8">
        <f>'MKT DATA'!O548</f>
        <v>0</v>
      </c>
      <c r="L165" s="8">
        <f>'MKT DATA'!P548</f>
        <v>83193</v>
      </c>
      <c r="M165" s="8">
        <f>'MKT DATA'!Q548</f>
        <v>0</v>
      </c>
      <c r="N165" s="8">
        <f>'MKT DATA'!R548</f>
        <v>0</v>
      </c>
      <c r="O165" s="8">
        <f>'MKT DATA'!S548</f>
        <v>-84506</v>
      </c>
      <c r="P165" s="8">
        <f>'MKT DATA'!T548</f>
        <v>0</v>
      </c>
      <c r="Q165" s="43" t="str">
        <f t="shared" si="7"/>
        <v>syn BTCF7/BTCG7/BTCH7/BTCZ6/BTCX6</v>
      </c>
      <c r="R165" s="13">
        <f>'MKT DATA'!AB548</f>
        <v>0</v>
      </c>
    </row>
    <row r="166" spans="5:18" x14ac:dyDescent="0.25">
      <c r="E166" s="43" t="str">
        <f>'MKT DATA'!B549</f>
        <v>syn BTCF7/BTCH7/BTCV6/BTCZ6/BTCX6</v>
      </c>
      <c r="F166" s="13">
        <f>'MKT DATA'!J549</f>
        <v>1</v>
      </c>
      <c r="G166" s="8">
        <f>'MKT DATA'!K549</f>
        <v>82955</v>
      </c>
      <c r="H166" s="8">
        <f>'MKT DATA'!L549</f>
        <v>84893</v>
      </c>
      <c r="I166" s="13">
        <f>'MKT DATA'!M549</f>
        <v>1</v>
      </c>
      <c r="J166" s="43" t="str">
        <f t="shared" si="6"/>
        <v>syn BTCF7/BTCH7/BTCV6/BTCZ6/BTCX6</v>
      </c>
      <c r="K166" s="8">
        <f>'MKT DATA'!O549</f>
        <v>0</v>
      </c>
      <c r="L166" s="8">
        <f>'MKT DATA'!P549</f>
        <v>82955</v>
      </c>
      <c r="M166" s="8">
        <f>'MKT DATA'!Q549</f>
        <v>0</v>
      </c>
      <c r="N166" s="8">
        <f>'MKT DATA'!R549</f>
        <v>0</v>
      </c>
      <c r="O166" s="8">
        <f>'MKT DATA'!S549</f>
        <v>-84893</v>
      </c>
      <c r="P166" s="8">
        <f>'MKT DATA'!T549</f>
        <v>0</v>
      </c>
      <c r="Q166" s="43" t="str">
        <f t="shared" si="7"/>
        <v>syn BTCF7/BTCH7/BTCV6/BTCZ6/BTCX6</v>
      </c>
      <c r="R166" s="13">
        <f>'MKT DATA'!AB549</f>
        <v>0</v>
      </c>
    </row>
    <row r="167" spans="5:18" x14ac:dyDescent="0.25">
      <c r="E167" s="43" t="str">
        <f>'MKT DATA'!B550</f>
        <v>syn BTCF7/BTCH7/BTCV6/BTCG7/BTCX6</v>
      </c>
      <c r="F167" s="13">
        <f>'MKT DATA'!J550</f>
        <v>1</v>
      </c>
      <c r="G167" s="8">
        <f>'MKT DATA'!K550</f>
        <v>82615</v>
      </c>
      <c r="H167" s="8">
        <f>'MKT DATA'!L550</f>
        <v>85240</v>
      </c>
      <c r="I167" s="13">
        <f>'MKT DATA'!M550</f>
        <v>1</v>
      </c>
      <c r="J167" s="43" t="str">
        <f t="shared" si="6"/>
        <v>syn BTCF7/BTCH7/BTCV6/BTCG7/BTCX6</v>
      </c>
      <c r="K167" s="8">
        <f>'MKT DATA'!O550</f>
        <v>0</v>
      </c>
      <c r="L167" s="8">
        <f>'MKT DATA'!P550</f>
        <v>82615</v>
      </c>
      <c r="M167" s="8">
        <f>'MKT DATA'!Q550</f>
        <v>0</v>
      </c>
      <c r="N167" s="8">
        <f>'MKT DATA'!R550</f>
        <v>0</v>
      </c>
      <c r="O167" s="8">
        <f>'MKT DATA'!S550</f>
        <v>-85240</v>
      </c>
      <c r="P167" s="8">
        <f>'MKT DATA'!T550</f>
        <v>0</v>
      </c>
      <c r="Q167" s="43" t="str">
        <f t="shared" si="7"/>
        <v>syn BTCF7/BTCH7/BTCV6/BTCG7/BTCX6</v>
      </c>
      <c r="R167" s="13">
        <f>'MKT DATA'!AB550</f>
        <v>0</v>
      </c>
    </row>
    <row r="168" spans="5:18" x14ac:dyDescent="0.25">
      <c r="E168" s="43" t="str">
        <f>'MKT DATA'!B551</f>
        <v>syn BTCF7/BTCH7/BTCZ6/BTCV6/BTCX6</v>
      </c>
      <c r="F168" s="13">
        <f>'MKT DATA'!J551</f>
        <v>1</v>
      </c>
      <c r="G168" s="8">
        <f>'MKT DATA'!K551</f>
        <v>82955</v>
      </c>
      <c r="H168" s="8">
        <f>'MKT DATA'!L551</f>
        <v>84705</v>
      </c>
      <c r="I168" s="13">
        <f>'MKT DATA'!M551</f>
        <v>1</v>
      </c>
      <c r="J168" s="43" t="str">
        <f t="shared" si="6"/>
        <v>syn BTCF7/BTCH7/BTCZ6/BTCV6/BTCX6</v>
      </c>
      <c r="K168" s="8">
        <f>'MKT DATA'!O551</f>
        <v>0</v>
      </c>
      <c r="L168" s="8">
        <f>'MKT DATA'!P551</f>
        <v>82955</v>
      </c>
      <c r="M168" s="8">
        <f>'MKT DATA'!Q551</f>
        <v>0</v>
      </c>
      <c r="N168" s="8">
        <f>'MKT DATA'!R551</f>
        <v>0</v>
      </c>
      <c r="O168" s="8">
        <f>'MKT DATA'!S551</f>
        <v>-84705</v>
      </c>
      <c r="P168" s="8">
        <f>'MKT DATA'!T551</f>
        <v>0</v>
      </c>
      <c r="Q168" s="43" t="str">
        <f t="shared" si="7"/>
        <v>syn BTCF7/BTCH7/BTCZ6/BTCV6/BTCX6</v>
      </c>
      <c r="R168" s="13">
        <f>'MKT DATA'!AB551</f>
        <v>0</v>
      </c>
    </row>
    <row r="169" spans="5:18" x14ac:dyDescent="0.25">
      <c r="E169" s="43" t="str">
        <f>'MKT DATA'!B552</f>
        <v>syn BTCF7/BTCH7/BTCZ6/BTCG7/BTCX6</v>
      </c>
      <c r="F169" s="13">
        <f>'MKT DATA'!J552</f>
        <v>1</v>
      </c>
      <c r="G169" s="8">
        <f>'MKT DATA'!K552</f>
        <v>82575</v>
      </c>
      <c r="H169" s="8">
        <f>'MKT DATA'!L552</f>
        <v>85100</v>
      </c>
      <c r="I169" s="13">
        <f>'MKT DATA'!M552</f>
        <v>1</v>
      </c>
      <c r="J169" s="43" t="str">
        <f t="shared" si="6"/>
        <v>syn BTCF7/BTCH7/BTCZ6/BTCG7/BTCX6</v>
      </c>
      <c r="K169" s="8">
        <f>'MKT DATA'!O552</f>
        <v>0</v>
      </c>
      <c r="L169" s="8">
        <f>'MKT DATA'!P552</f>
        <v>82575</v>
      </c>
      <c r="M169" s="8">
        <f>'MKT DATA'!Q552</f>
        <v>0</v>
      </c>
      <c r="N169" s="8">
        <f>'MKT DATA'!R552</f>
        <v>0</v>
      </c>
      <c r="O169" s="8">
        <f>'MKT DATA'!S552</f>
        <v>-85100</v>
      </c>
      <c r="P169" s="8">
        <f>'MKT DATA'!T552</f>
        <v>0</v>
      </c>
      <c r="Q169" s="43" t="str">
        <f t="shared" si="7"/>
        <v>syn BTCF7/BTCH7/BTCZ6/BTCG7/BTCX6</v>
      </c>
      <c r="R169" s="13">
        <f>'MKT DATA'!AB552</f>
        <v>0</v>
      </c>
    </row>
    <row r="170" spans="5:18" x14ac:dyDescent="0.25">
      <c r="E170" s="43" t="str">
        <f>'MKT DATA'!B553</f>
        <v>syn BTCF7/BTCH7/BTCG7/BTCV6/BTCX6</v>
      </c>
      <c r="F170" s="13">
        <f>'MKT DATA'!J553</f>
        <v>1</v>
      </c>
      <c r="G170" s="8">
        <f>'MKT DATA'!K553</f>
        <v>82987</v>
      </c>
      <c r="H170" s="8">
        <f>'MKT DATA'!L553</f>
        <v>84806</v>
      </c>
      <c r="I170" s="13">
        <f>'MKT DATA'!M553</f>
        <v>1</v>
      </c>
      <c r="J170" s="43" t="str">
        <f t="shared" si="6"/>
        <v>syn BTCF7/BTCH7/BTCG7/BTCV6/BTCX6</v>
      </c>
      <c r="K170" s="8">
        <f>'MKT DATA'!O553</f>
        <v>0</v>
      </c>
      <c r="L170" s="8">
        <f>'MKT DATA'!P553</f>
        <v>82987</v>
      </c>
      <c r="M170" s="8">
        <f>'MKT DATA'!Q553</f>
        <v>0</v>
      </c>
      <c r="N170" s="8">
        <f>'MKT DATA'!R553</f>
        <v>0</v>
      </c>
      <c r="O170" s="8">
        <f>'MKT DATA'!S553</f>
        <v>-84806</v>
      </c>
      <c r="P170" s="8">
        <f>'MKT DATA'!T553</f>
        <v>0</v>
      </c>
      <c r="Q170" s="43" t="str">
        <f t="shared" si="7"/>
        <v>syn BTCF7/BTCH7/BTCG7/BTCV6/BTCX6</v>
      </c>
      <c r="R170" s="13">
        <f>'MKT DATA'!AB553</f>
        <v>0</v>
      </c>
    </row>
    <row r="171" spans="5:18" x14ac:dyDescent="0.25">
      <c r="E171" s="43" t="str">
        <f>'MKT DATA'!B554</f>
        <v>syn BTCF7/BTCH7/BTCG7/BTCZ6/BTCX6</v>
      </c>
      <c r="F171" s="13">
        <f>'MKT DATA'!J554</f>
        <v>1</v>
      </c>
      <c r="G171" s="8">
        <f>'MKT DATA'!K554</f>
        <v>82939</v>
      </c>
      <c r="H171" s="8">
        <f>'MKT DATA'!L554</f>
        <v>84846</v>
      </c>
      <c r="I171" s="13">
        <f>'MKT DATA'!M554</f>
        <v>1</v>
      </c>
      <c r="J171" s="43" t="str">
        <f t="shared" si="6"/>
        <v>syn BTCF7/BTCH7/BTCG7/BTCZ6/BTCX6</v>
      </c>
      <c r="K171" s="8">
        <f>'MKT DATA'!O554</f>
        <v>0</v>
      </c>
      <c r="L171" s="8">
        <f>'MKT DATA'!P554</f>
        <v>82939</v>
      </c>
      <c r="M171" s="8">
        <f>'MKT DATA'!Q554</f>
        <v>0</v>
      </c>
      <c r="N171" s="8">
        <f>'MKT DATA'!R554</f>
        <v>0</v>
      </c>
      <c r="O171" s="8">
        <f>'MKT DATA'!S554</f>
        <v>-84846</v>
      </c>
      <c r="P171" s="8">
        <f>'MKT DATA'!T554</f>
        <v>0</v>
      </c>
      <c r="Q171" s="43" t="str">
        <f t="shared" si="7"/>
        <v>syn BTCF7/BTCH7/BTCG7/BTCZ6/BTCX6</v>
      </c>
      <c r="R171" s="13">
        <f>'MKT DATA'!AB554</f>
        <v>0</v>
      </c>
    </row>
    <row r="172" spans="5:18" x14ac:dyDescent="0.25">
      <c r="E172" s="43" t="str">
        <f>'MKT DATA'!B555</f>
        <v>syn BTCG7/BTCV6/BTCZ6/BTCF7/BTCX6</v>
      </c>
      <c r="F172" s="13">
        <f>'MKT DATA'!J555</f>
        <v>1</v>
      </c>
      <c r="G172" s="8">
        <f>'MKT DATA'!K555</f>
        <v>83504</v>
      </c>
      <c r="H172" s="8">
        <f>'MKT DATA'!L555</f>
        <v>84375</v>
      </c>
      <c r="I172" s="13">
        <f>'MKT DATA'!M555</f>
        <v>1</v>
      </c>
      <c r="J172" s="43" t="str">
        <f t="shared" si="6"/>
        <v>syn BTCG7/BTCV6/BTCZ6/BTCF7/BTCX6</v>
      </c>
      <c r="K172" s="8">
        <f>'MKT DATA'!O555</f>
        <v>0</v>
      </c>
      <c r="L172" s="8">
        <f>'MKT DATA'!P555</f>
        <v>83504</v>
      </c>
      <c r="M172" s="8">
        <f>'MKT DATA'!Q555</f>
        <v>0</v>
      </c>
      <c r="N172" s="8">
        <f>'MKT DATA'!R555</f>
        <v>0</v>
      </c>
      <c r="O172" s="8">
        <f>'MKT DATA'!S555</f>
        <v>-84375</v>
      </c>
      <c r="P172" s="8">
        <f>'MKT DATA'!T555</f>
        <v>0</v>
      </c>
      <c r="Q172" s="43" t="str">
        <f t="shared" si="7"/>
        <v>syn BTCG7/BTCV6/BTCZ6/BTCF7/BTCX6</v>
      </c>
      <c r="R172" s="13">
        <f>'MKT DATA'!AB555</f>
        <v>0</v>
      </c>
    </row>
    <row r="173" spans="5:18" x14ac:dyDescent="0.25">
      <c r="E173" s="43" t="str">
        <f>'MKT DATA'!B556</f>
        <v>syn BTCG7/BTCV6/BTCZ6/BTCH7/BTCX6</v>
      </c>
      <c r="F173" s="13">
        <f>'MKT DATA'!J556</f>
        <v>1</v>
      </c>
      <c r="G173" s="8">
        <f>'MKT DATA'!K556</f>
        <v>82961</v>
      </c>
      <c r="H173" s="8">
        <f>'MKT DATA'!L556</f>
        <v>85082</v>
      </c>
      <c r="I173" s="13">
        <f>'MKT DATA'!M556</f>
        <v>1</v>
      </c>
      <c r="J173" s="43" t="str">
        <f t="shared" si="6"/>
        <v>syn BTCG7/BTCV6/BTCZ6/BTCH7/BTCX6</v>
      </c>
      <c r="K173" s="8">
        <f>'MKT DATA'!O556</f>
        <v>0</v>
      </c>
      <c r="L173" s="8">
        <f>'MKT DATA'!P556</f>
        <v>82961</v>
      </c>
      <c r="M173" s="8">
        <f>'MKT DATA'!Q556</f>
        <v>0</v>
      </c>
      <c r="N173" s="8">
        <f>'MKT DATA'!R556</f>
        <v>0</v>
      </c>
      <c r="O173" s="8">
        <f>'MKT DATA'!S556</f>
        <v>-85082</v>
      </c>
      <c r="P173" s="8">
        <f>'MKT DATA'!T556</f>
        <v>0</v>
      </c>
      <c r="Q173" s="43" t="str">
        <f t="shared" si="7"/>
        <v>syn BTCG7/BTCV6/BTCZ6/BTCH7/BTCX6</v>
      </c>
      <c r="R173" s="13">
        <f>'MKT DATA'!AB556</f>
        <v>0</v>
      </c>
    </row>
    <row r="174" spans="5:18" x14ac:dyDescent="0.25">
      <c r="E174" s="43" t="str">
        <f>'MKT DATA'!B557</f>
        <v>syn BTCG7/BTCV6/BTCF7/BTCZ6/BTCX6</v>
      </c>
      <c r="F174" s="13">
        <f>'MKT DATA'!J557</f>
        <v>1</v>
      </c>
      <c r="G174" s="8">
        <f>'MKT DATA'!K557</f>
        <v>83456</v>
      </c>
      <c r="H174" s="8">
        <f>'MKT DATA'!L557</f>
        <v>84358</v>
      </c>
      <c r="I174" s="13">
        <f>'MKT DATA'!M557</f>
        <v>1</v>
      </c>
      <c r="J174" s="43" t="str">
        <f t="shared" si="6"/>
        <v>syn BTCG7/BTCV6/BTCF7/BTCZ6/BTCX6</v>
      </c>
      <c r="K174" s="8">
        <f>'MKT DATA'!O557</f>
        <v>0</v>
      </c>
      <c r="L174" s="8">
        <f>'MKT DATA'!P557</f>
        <v>83456</v>
      </c>
      <c r="M174" s="8">
        <f>'MKT DATA'!Q557</f>
        <v>0</v>
      </c>
      <c r="N174" s="8">
        <f>'MKT DATA'!R557</f>
        <v>0</v>
      </c>
      <c r="O174" s="8">
        <f>'MKT DATA'!S557</f>
        <v>-84358</v>
      </c>
      <c r="P174" s="8">
        <f>'MKT DATA'!T557</f>
        <v>0</v>
      </c>
      <c r="Q174" s="43" t="str">
        <f t="shared" si="7"/>
        <v>syn BTCG7/BTCV6/BTCF7/BTCZ6/BTCX6</v>
      </c>
      <c r="R174" s="13">
        <f>'MKT DATA'!AB557</f>
        <v>0</v>
      </c>
    </row>
    <row r="175" spans="5:18" x14ac:dyDescent="0.25">
      <c r="E175" s="43" t="str">
        <f>'MKT DATA'!B558</f>
        <v>syn BTCG7/BTCV6/BTCF7/BTCH7/BTCX6</v>
      </c>
      <c r="F175" s="13">
        <f>'MKT DATA'!J558</f>
        <v>1</v>
      </c>
      <c r="G175" s="8">
        <f>'MKT DATA'!K558</f>
        <v>82631</v>
      </c>
      <c r="H175" s="8">
        <f>'MKT DATA'!L558</f>
        <v>85194</v>
      </c>
      <c r="I175" s="13">
        <f>'MKT DATA'!M558</f>
        <v>1</v>
      </c>
      <c r="J175" s="43" t="str">
        <f t="shared" si="6"/>
        <v>syn BTCG7/BTCV6/BTCF7/BTCH7/BTCX6</v>
      </c>
      <c r="K175" s="8">
        <f>'MKT DATA'!O558</f>
        <v>0</v>
      </c>
      <c r="L175" s="8">
        <f>'MKT DATA'!P558</f>
        <v>82631</v>
      </c>
      <c r="M175" s="8">
        <f>'MKT DATA'!Q558</f>
        <v>0</v>
      </c>
      <c r="N175" s="8">
        <f>'MKT DATA'!R558</f>
        <v>0</v>
      </c>
      <c r="O175" s="8">
        <f>'MKT DATA'!S558</f>
        <v>-85194</v>
      </c>
      <c r="P175" s="8">
        <f>'MKT DATA'!T558</f>
        <v>0</v>
      </c>
      <c r="Q175" s="43" t="str">
        <f t="shared" si="7"/>
        <v>syn BTCG7/BTCV6/BTCF7/BTCH7/BTCX6</v>
      </c>
      <c r="R175" s="13">
        <f>'MKT DATA'!AB558</f>
        <v>0</v>
      </c>
    </row>
    <row r="176" spans="5:18" x14ac:dyDescent="0.25">
      <c r="E176" s="43" t="str">
        <f>'MKT DATA'!B559</f>
        <v>syn BTCG7/BTCV6/BTCH7/BTCZ6/BTCX6</v>
      </c>
      <c r="F176" s="13">
        <f>'MKT DATA'!J559</f>
        <v>1</v>
      </c>
      <c r="G176" s="8">
        <f>'MKT DATA'!K559</f>
        <v>82789</v>
      </c>
      <c r="H176" s="8">
        <f>'MKT DATA'!L559</f>
        <v>84871</v>
      </c>
      <c r="I176" s="13">
        <f>'MKT DATA'!M559</f>
        <v>1</v>
      </c>
      <c r="J176" s="43" t="str">
        <f t="shared" si="6"/>
        <v>syn BTCG7/BTCV6/BTCH7/BTCZ6/BTCX6</v>
      </c>
      <c r="K176" s="8">
        <f>'MKT DATA'!O559</f>
        <v>0</v>
      </c>
      <c r="L176" s="8">
        <f>'MKT DATA'!P559</f>
        <v>82789</v>
      </c>
      <c r="M176" s="8">
        <f>'MKT DATA'!Q559</f>
        <v>0</v>
      </c>
      <c r="N176" s="8">
        <f>'MKT DATA'!R559</f>
        <v>0</v>
      </c>
      <c r="O176" s="8">
        <f>'MKT DATA'!S559</f>
        <v>-84871</v>
      </c>
      <c r="P176" s="8">
        <f>'MKT DATA'!T559</f>
        <v>0</v>
      </c>
      <c r="Q176" s="43" t="str">
        <f t="shared" si="7"/>
        <v>syn BTCG7/BTCV6/BTCH7/BTCZ6/BTCX6</v>
      </c>
      <c r="R176" s="13">
        <f>'MKT DATA'!AB559</f>
        <v>0</v>
      </c>
    </row>
    <row r="177" spans="5:18" x14ac:dyDescent="0.25">
      <c r="E177" s="43" t="str">
        <f>'MKT DATA'!B560</f>
        <v>syn BTCG7/BTCV6/BTCH7/BTCF7/BTCX6</v>
      </c>
      <c r="F177" s="13">
        <f>'MKT DATA'!J560</f>
        <v>1</v>
      </c>
      <c r="G177" s="8">
        <f>'MKT DATA'!K560</f>
        <v>82691</v>
      </c>
      <c r="H177" s="8">
        <f>'MKT DATA'!L560</f>
        <v>85184</v>
      </c>
      <c r="I177" s="13">
        <f>'MKT DATA'!M560</f>
        <v>1</v>
      </c>
      <c r="J177" s="43" t="str">
        <f t="shared" si="6"/>
        <v>syn BTCG7/BTCV6/BTCH7/BTCF7/BTCX6</v>
      </c>
      <c r="K177" s="8">
        <f>'MKT DATA'!O560</f>
        <v>0</v>
      </c>
      <c r="L177" s="8">
        <f>'MKT DATA'!P560</f>
        <v>82691</v>
      </c>
      <c r="M177" s="8">
        <f>'MKT DATA'!Q560</f>
        <v>0</v>
      </c>
      <c r="N177" s="8">
        <f>'MKT DATA'!R560</f>
        <v>0</v>
      </c>
      <c r="O177" s="8">
        <f>'MKT DATA'!S560</f>
        <v>-85184</v>
      </c>
      <c r="P177" s="8">
        <f>'MKT DATA'!T560</f>
        <v>0</v>
      </c>
      <c r="Q177" s="43" t="str">
        <f t="shared" si="7"/>
        <v>syn BTCG7/BTCV6/BTCH7/BTCF7/BTCX6</v>
      </c>
      <c r="R177" s="13">
        <f>'MKT DATA'!AB560</f>
        <v>0</v>
      </c>
    </row>
    <row r="178" spans="5:18" x14ac:dyDescent="0.25">
      <c r="E178" s="43" t="str">
        <f>'MKT DATA'!B561</f>
        <v>syn BTCG7/BTCZ6/BTCV6/BTCF7/BTCX6</v>
      </c>
      <c r="F178" s="13">
        <f>'MKT DATA'!J561</f>
        <v>1</v>
      </c>
      <c r="G178" s="8">
        <f>'MKT DATA'!K561</f>
        <v>83390</v>
      </c>
      <c r="H178" s="8">
        <f>'MKT DATA'!L561</f>
        <v>84447</v>
      </c>
      <c r="I178" s="13">
        <f>'MKT DATA'!M561</f>
        <v>1</v>
      </c>
      <c r="J178" s="43" t="str">
        <f t="shared" si="6"/>
        <v>syn BTCG7/BTCZ6/BTCV6/BTCF7/BTCX6</v>
      </c>
      <c r="K178" s="8">
        <f>'MKT DATA'!O561</f>
        <v>0</v>
      </c>
      <c r="L178" s="8">
        <f>'MKT DATA'!P561</f>
        <v>83390</v>
      </c>
      <c r="M178" s="8">
        <f>'MKT DATA'!Q561</f>
        <v>0</v>
      </c>
      <c r="N178" s="8">
        <f>'MKT DATA'!R561</f>
        <v>0</v>
      </c>
      <c r="O178" s="8">
        <f>'MKT DATA'!S561</f>
        <v>-84447</v>
      </c>
      <c r="P178" s="8">
        <f>'MKT DATA'!T561</f>
        <v>0</v>
      </c>
      <c r="Q178" s="43" t="str">
        <f t="shared" si="7"/>
        <v>syn BTCG7/BTCZ6/BTCV6/BTCF7/BTCX6</v>
      </c>
      <c r="R178" s="13">
        <f>'MKT DATA'!AB561</f>
        <v>0</v>
      </c>
    </row>
    <row r="179" spans="5:18" x14ac:dyDescent="0.25">
      <c r="E179" s="43" t="str">
        <f>'MKT DATA'!B562</f>
        <v>syn BTCG7/BTCZ6/BTCV6/BTCH7/BTCX6</v>
      </c>
      <c r="F179" s="13">
        <f>'MKT DATA'!J562</f>
        <v>1</v>
      </c>
      <c r="G179" s="8">
        <f>'MKT DATA'!K562</f>
        <v>82743</v>
      </c>
      <c r="H179" s="8">
        <f>'MKT DATA'!L562</f>
        <v>85104</v>
      </c>
      <c r="I179" s="13">
        <f>'MKT DATA'!M562</f>
        <v>1</v>
      </c>
      <c r="J179" s="43" t="str">
        <f t="shared" si="6"/>
        <v>syn BTCG7/BTCZ6/BTCV6/BTCH7/BTCX6</v>
      </c>
      <c r="K179" s="8">
        <f>'MKT DATA'!O562</f>
        <v>0</v>
      </c>
      <c r="L179" s="8">
        <f>'MKT DATA'!P562</f>
        <v>82743</v>
      </c>
      <c r="M179" s="8">
        <f>'MKT DATA'!Q562</f>
        <v>0</v>
      </c>
      <c r="N179" s="8">
        <f>'MKT DATA'!R562</f>
        <v>0</v>
      </c>
      <c r="O179" s="8">
        <f>'MKT DATA'!S562</f>
        <v>-85104</v>
      </c>
      <c r="P179" s="8">
        <f>'MKT DATA'!T562</f>
        <v>0</v>
      </c>
      <c r="Q179" s="43" t="str">
        <f t="shared" si="7"/>
        <v>syn BTCG7/BTCZ6/BTCV6/BTCH7/BTCX6</v>
      </c>
      <c r="R179" s="13">
        <f>'MKT DATA'!AB562</f>
        <v>0</v>
      </c>
    </row>
    <row r="180" spans="5:18" x14ac:dyDescent="0.25">
      <c r="E180" s="43" t="str">
        <f>'MKT DATA'!B563</f>
        <v>syn BTCG7/BTCZ6/BTCF7/BTCV6/BTCX6</v>
      </c>
      <c r="F180" s="13">
        <f>'MKT DATA'!J563</f>
        <v>1</v>
      </c>
      <c r="G180" s="8">
        <f>'MKT DATA'!K563</f>
        <v>83460</v>
      </c>
      <c r="H180" s="8">
        <f>'MKT DATA'!L563</f>
        <v>84414</v>
      </c>
      <c r="I180" s="13">
        <f>'MKT DATA'!M563</f>
        <v>1</v>
      </c>
      <c r="J180" s="43" t="str">
        <f t="shared" si="6"/>
        <v>syn BTCG7/BTCZ6/BTCF7/BTCV6/BTCX6</v>
      </c>
      <c r="K180" s="8">
        <f>'MKT DATA'!O563</f>
        <v>0</v>
      </c>
      <c r="L180" s="8">
        <f>'MKT DATA'!P563</f>
        <v>83460</v>
      </c>
      <c r="M180" s="8">
        <f>'MKT DATA'!Q563</f>
        <v>0</v>
      </c>
      <c r="N180" s="8">
        <f>'MKT DATA'!R563</f>
        <v>0</v>
      </c>
      <c r="O180" s="8">
        <f>'MKT DATA'!S563</f>
        <v>-84414</v>
      </c>
      <c r="P180" s="8">
        <f>'MKT DATA'!T563</f>
        <v>0</v>
      </c>
      <c r="Q180" s="43" t="str">
        <f t="shared" si="7"/>
        <v>syn BTCG7/BTCZ6/BTCF7/BTCV6/BTCX6</v>
      </c>
      <c r="R180" s="13">
        <f>'MKT DATA'!AB563</f>
        <v>0</v>
      </c>
    </row>
    <row r="181" spans="5:18" x14ac:dyDescent="0.25">
      <c r="E181" s="43" t="str">
        <f>'MKT DATA'!B564</f>
        <v>syn BTCG7/BTCZ6/BTCF7/BTCH7/BTCX6</v>
      </c>
      <c r="F181" s="13">
        <f>'MKT DATA'!J564</f>
        <v>1</v>
      </c>
      <c r="G181" s="8">
        <f>'MKT DATA'!K564</f>
        <v>82667</v>
      </c>
      <c r="H181" s="8">
        <f>'MKT DATA'!L564</f>
        <v>85184</v>
      </c>
      <c r="I181" s="13">
        <f>'MKT DATA'!M564</f>
        <v>1</v>
      </c>
      <c r="J181" s="43" t="str">
        <f t="shared" si="6"/>
        <v>syn BTCG7/BTCZ6/BTCF7/BTCH7/BTCX6</v>
      </c>
      <c r="K181" s="8">
        <f>'MKT DATA'!O564</f>
        <v>0</v>
      </c>
      <c r="L181" s="8">
        <f>'MKT DATA'!P564</f>
        <v>82667</v>
      </c>
      <c r="M181" s="8">
        <f>'MKT DATA'!Q564</f>
        <v>0</v>
      </c>
      <c r="N181" s="8">
        <f>'MKT DATA'!R564</f>
        <v>0</v>
      </c>
      <c r="O181" s="8">
        <f>'MKT DATA'!S564</f>
        <v>-85184</v>
      </c>
      <c r="P181" s="8">
        <f>'MKT DATA'!T564</f>
        <v>0</v>
      </c>
      <c r="Q181" s="43" t="str">
        <f t="shared" si="7"/>
        <v>syn BTCG7/BTCZ6/BTCF7/BTCH7/BTCX6</v>
      </c>
      <c r="R181" s="13">
        <f>'MKT DATA'!AB564</f>
        <v>0</v>
      </c>
    </row>
    <row r="182" spans="5:18" x14ac:dyDescent="0.25">
      <c r="E182" s="43" t="str">
        <f>'MKT DATA'!B565</f>
        <v>syn BTCG7/BTCZ6/BTCH7/BTCV6/BTCX6</v>
      </c>
      <c r="F182" s="13">
        <f>'MKT DATA'!J565</f>
        <v>1</v>
      </c>
      <c r="G182" s="8">
        <f>'MKT DATA'!K565</f>
        <v>82947</v>
      </c>
      <c r="H182" s="8">
        <f>'MKT DATA'!L565</f>
        <v>85081</v>
      </c>
      <c r="I182" s="13">
        <f>'MKT DATA'!M565</f>
        <v>1</v>
      </c>
      <c r="J182" s="43" t="str">
        <f t="shared" si="6"/>
        <v>syn BTCG7/BTCZ6/BTCH7/BTCV6/BTCX6</v>
      </c>
      <c r="K182" s="8">
        <f>'MKT DATA'!O565</f>
        <v>0</v>
      </c>
      <c r="L182" s="8">
        <f>'MKT DATA'!P565</f>
        <v>82947</v>
      </c>
      <c r="M182" s="8">
        <f>'MKT DATA'!Q565</f>
        <v>0</v>
      </c>
      <c r="N182" s="8">
        <f>'MKT DATA'!R565</f>
        <v>0</v>
      </c>
      <c r="O182" s="8">
        <f>'MKT DATA'!S565</f>
        <v>-85081</v>
      </c>
      <c r="P182" s="8">
        <f>'MKT DATA'!T565</f>
        <v>0</v>
      </c>
      <c r="Q182" s="43" t="str">
        <f t="shared" si="7"/>
        <v>syn BTCG7/BTCZ6/BTCH7/BTCV6/BTCX6</v>
      </c>
      <c r="R182" s="13">
        <f>'MKT DATA'!AB565</f>
        <v>0</v>
      </c>
    </row>
    <row r="183" spans="5:18" x14ac:dyDescent="0.25">
      <c r="E183" s="43" t="str">
        <f>'MKT DATA'!B566</f>
        <v>syn BTCG7/BTCZ6/BTCH7/BTCF7/BTCX6</v>
      </c>
      <c r="F183" s="13">
        <f>'MKT DATA'!J566</f>
        <v>1</v>
      </c>
      <c r="G183" s="8">
        <f>'MKT DATA'!K566</f>
        <v>82831</v>
      </c>
      <c r="H183" s="8">
        <f>'MKT DATA'!L566</f>
        <v>85224</v>
      </c>
      <c r="I183" s="13">
        <f>'MKT DATA'!M566</f>
        <v>1</v>
      </c>
      <c r="J183" s="43" t="str">
        <f t="shared" si="6"/>
        <v>syn BTCG7/BTCZ6/BTCH7/BTCF7/BTCX6</v>
      </c>
      <c r="K183" s="8">
        <f>'MKT DATA'!O566</f>
        <v>0</v>
      </c>
      <c r="L183" s="8">
        <f>'MKT DATA'!P566</f>
        <v>82831</v>
      </c>
      <c r="M183" s="8">
        <f>'MKT DATA'!Q566</f>
        <v>0</v>
      </c>
      <c r="N183" s="8">
        <f>'MKT DATA'!R566</f>
        <v>0</v>
      </c>
      <c r="O183" s="8">
        <f>'MKT DATA'!S566</f>
        <v>-85224</v>
      </c>
      <c r="P183" s="8">
        <f>'MKT DATA'!T566</f>
        <v>0</v>
      </c>
      <c r="Q183" s="43" t="str">
        <f t="shared" si="7"/>
        <v>syn BTCG7/BTCZ6/BTCH7/BTCF7/BTCX6</v>
      </c>
      <c r="R183" s="13">
        <f>'MKT DATA'!AB566</f>
        <v>0</v>
      </c>
    </row>
    <row r="184" spans="5:18" x14ac:dyDescent="0.25">
      <c r="E184" s="43" t="str">
        <f>'MKT DATA'!B567</f>
        <v>syn BTCG7/BTCF7/BTCV6/BTCZ6/BTCX6</v>
      </c>
      <c r="F184" s="13">
        <f>'MKT DATA'!J567</f>
        <v>1</v>
      </c>
      <c r="G184" s="8">
        <f>'MKT DATA'!K567</f>
        <v>83596</v>
      </c>
      <c r="H184" s="8">
        <f>'MKT DATA'!L567</f>
        <v>84298</v>
      </c>
      <c r="I184" s="13">
        <f>'MKT DATA'!M567</f>
        <v>1</v>
      </c>
      <c r="J184" s="43" t="str">
        <f t="shared" si="6"/>
        <v>syn BTCG7/BTCF7/BTCV6/BTCZ6/BTCX6</v>
      </c>
      <c r="K184" s="8">
        <f>'MKT DATA'!O567</f>
        <v>0</v>
      </c>
      <c r="L184" s="8">
        <f>'MKT DATA'!P567</f>
        <v>83596</v>
      </c>
      <c r="M184" s="8">
        <f>'MKT DATA'!Q567</f>
        <v>0</v>
      </c>
      <c r="N184" s="8">
        <f>'MKT DATA'!R567</f>
        <v>0</v>
      </c>
      <c r="O184" s="8">
        <f>'MKT DATA'!S567</f>
        <v>-84298</v>
      </c>
      <c r="P184" s="8">
        <f>'MKT DATA'!T567</f>
        <v>0</v>
      </c>
      <c r="Q184" s="43" t="str">
        <f t="shared" si="7"/>
        <v>syn BTCG7/BTCF7/BTCV6/BTCZ6/BTCX6</v>
      </c>
      <c r="R184" s="13">
        <f>'MKT DATA'!AB567</f>
        <v>0</v>
      </c>
    </row>
    <row r="185" spans="5:18" x14ac:dyDescent="0.25">
      <c r="E185" s="43" t="str">
        <f>'MKT DATA'!B568</f>
        <v>syn BTCG7/BTCF7/BTCV6/BTCH7/BTCX6</v>
      </c>
      <c r="F185" s="13">
        <f>'MKT DATA'!J568</f>
        <v>1</v>
      </c>
      <c r="G185" s="8">
        <f>'MKT DATA'!K568</f>
        <v>82846</v>
      </c>
      <c r="H185" s="8">
        <f>'MKT DATA'!L568</f>
        <v>85055</v>
      </c>
      <c r="I185" s="13">
        <f>'MKT DATA'!M568</f>
        <v>1</v>
      </c>
      <c r="J185" s="43" t="str">
        <f t="shared" si="6"/>
        <v>syn BTCG7/BTCF7/BTCV6/BTCH7/BTCX6</v>
      </c>
      <c r="K185" s="8">
        <f>'MKT DATA'!O568</f>
        <v>0</v>
      </c>
      <c r="L185" s="8">
        <f>'MKT DATA'!P568</f>
        <v>82846</v>
      </c>
      <c r="M185" s="8">
        <f>'MKT DATA'!Q568</f>
        <v>0</v>
      </c>
      <c r="N185" s="8">
        <f>'MKT DATA'!R568</f>
        <v>0</v>
      </c>
      <c r="O185" s="8">
        <f>'MKT DATA'!S568</f>
        <v>-85055</v>
      </c>
      <c r="P185" s="8">
        <f>'MKT DATA'!T568</f>
        <v>0</v>
      </c>
      <c r="Q185" s="43" t="str">
        <f t="shared" si="7"/>
        <v>syn BTCG7/BTCF7/BTCV6/BTCH7/BTCX6</v>
      </c>
      <c r="R185" s="13">
        <f>'MKT DATA'!AB568</f>
        <v>0</v>
      </c>
    </row>
    <row r="186" spans="5:18" x14ac:dyDescent="0.25">
      <c r="E186" s="43" t="str">
        <f>'MKT DATA'!B569</f>
        <v>syn BTCG7/BTCF7/BTCZ6/BTCV6/BTCX6</v>
      </c>
      <c r="F186" s="13">
        <f>'MKT DATA'!J569</f>
        <v>1</v>
      </c>
      <c r="G186" s="8">
        <f>'MKT DATA'!K569</f>
        <v>83646</v>
      </c>
      <c r="H186" s="8">
        <f>'MKT DATA'!L569</f>
        <v>84214</v>
      </c>
      <c r="I186" s="13">
        <f>'MKT DATA'!M569</f>
        <v>1</v>
      </c>
      <c r="J186" s="43" t="str">
        <f t="shared" si="6"/>
        <v>syn BTCG7/BTCF7/BTCZ6/BTCV6/BTCX6</v>
      </c>
      <c r="K186" s="8">
        <f>'MKT DATA'!O569</f>
        <v>0</v>
      </c>
      <c r="L186" s="8">
        <f>'MKT DATA'!P569</f>
        <v>83646</v>
      </c>
      <c r="M186" s="8">
        <f>'MKT DATA'!Q569</f>
        <v>0</v>
      </c>
      <c r="N186" s="8">
        <f>'MKT DATA'!R569</f>
        <v>0</v>
      </c>
      <c r="O186" s="8">
        <f>'MKT DATA'!S569</f>
        <v>-84214</v>
      </c>
      <c r="P186" s="8">
        <f>'MKT DATA'!T569</f>
        <v>0</v>
      </c>
      <c r="Q186" s="43" t="str">
        <f t="shared" si="7"/>
        <v>syn BTCG7/BTCF7/BTCZ6/BTCV6/BTCX6</v>
      </c>
      <c r="R186" s="13">
        <f>'MKT DATA'!AB569</f>
        <v>0</v>
      </c>
    </row>
    <row r="187" spans="5:18" x14ac:dyDescent="0.25">
      <c r="E187" s="43" t="str">
        <f>'MKT DATA'!B570</f>
        <v>syn BTCG7/BTCF7/BTCZ6/BTCH7/BTCX6</v>
      </c>
      <c r="F187" s="13">
        <f>'MKT DATA'!J570</f>
        <v>1</v>
      </c>
      <c r="G187" s="8">
        <f>'MKT DATA'!K570</f>
        <v>83066</v>
      </c>
      <c r="H187" s="8">
        <f>'MKT DATA'!L570</f>
        <v>84989</v>
      </c>
      <c r="I187" s="13">
        <f>'MKT DATA'!M570</f>
        <v>1</v>
      </c>
      <c r="J187" s="43" t="str">
        <f t="shared" si="6"/>
        <v>syn BTCG7/BTCF7/BTCZ6/BTCH7/BTCX6</v>
      </c>
      <c r="K187" s="8">
        <f>'MKT DATA'!O570</f>
        <v>0</v>
      </c>
      <c r="L187" s="8">
        <f>'MKT DATA'!P570</f>
        <v>83066</v>
      </c>
      <c r="M187" s="8">
        <f>'MKT DATA'!Q570</f>
        <v>0</v>
      </c>
      <c r="N187" s="8">
        <f>'MKT DATA'!R570</f>
        <v>0</v>
      </c>
      <c r="O187" s="8">
        <f>'MKT DATA'!S570</f>
        <v>-84989</v>
      </c>
      <c r="P187" s="8">
        <f>'MKT DATA'!T570</f>
        <v>0</v>
      </c>
      <c r="Q187" s="43" t="str">
        <f t="shared" si="7"/>
        <v>syn BTCG7/BTCF7/BTCZ6/BTCH7/BTCX6</v>
      </c>
      <c r="R187" s="13">
        <f>'MKT DATA'!AB570</f>
        <v>0</v>
      </c>
    </row>
    <row r="188" spans="5:18" x14ac:dyDescent="0.25">
      <c r="E188" s="43" t="str">
        <f>'MKT DATA'!B571</f>
        <v>syn BTCG7/BTCF7/BTCH7/BTCV6/BTCX6</v>
      </c>
      <c r="F188" s="13">
        <f>'MKT DATA'!J571</f>
        <v>1</v>
      </c>
      <c r="G188" s="8">
        <f>'MKT DATA'!K571</f>
        <v>82837</v>
      </c>
      <c r="H188" s="8">
        <f>'MKT DATA'!L571</f>
        <v>85027</v>
      </c>
      <c r="I188" s="13">
        <f>'MKT DATA'!M571</f>
        <v>1</v>
      </c>
      <c r="J188" s="43" t="str">
        <f t="shared" si="6"/>
        <v>syn BTCG7/BTCF7/BTCH7/BTCV6/BTCX6</v>
      </c>
      <c r="K188" s="8">
        <f>'MKT DATA'!O571</f>
        <v>0</v>
      </c>
      <c r="L188" s="8">
        <f>'MKT DATA'!P571</f>
        <v>82837</v>
      </c>
      <c r="M188" s="8">
        <f>'MKT DATA'!Q571</f>
        <v>0</v>
      </c>
      <c r="N188" s="8">
        <f>'MKT DATA'!R571</f>
        <v>0</v>
      </c>
      <c r="O188" s="8">
        <f>'MKT DATA'!S571</f>
        <v>-85027</v>
      </c>
      <c r="P188" s="8">
        <f>'MKT DATA'!T571</f>
        <v>0</v>
      </c>
      <c r="Q188" s="43" t="str">
        <f t="shared" si="7"/>
        <v>syn BTCG7/BTCF7/BTCH7/BTCV6/BTCX6</v>
      </c>
      <c r="R188" s="13">
        <f>'MKT DATA'!AB571</f>
        <v>0</v>
      </c>
    </row>
    <row r="189" spans="5:18" x14ac:dyDescent="0.25">
      <c r="E189" s="43" t="str">
        <f>'MKT DATA'!B572</f>
        <v>syn BTCG7/BTCF7/BTCH7/BTCZ6/BTCX6</v>
      </c>
      <c r="F189" s="13">
        <f>'MKT DATA'!J572</f>
        <v>1</v>
      </c>
      <c r="G189" s="8">
        <f>'MKT DATA'!K572</f>
        <v>82819</v>
      </c>
      <c r="H189" s="8">
        <f>'MKT DATA'!L572</f>
        <v>84857</v>
      </c>
      <c r="I189" s="13">
        <f>'MKT DATA'!M572</f>
        <v>1</v>
      </c>
      <c r="J189" s="43" t="str">
        <f t="shared" si="6"/>
        <v>syn BTCG7/BTCF7/BTCH7/BTCZ6/BTCX6</v>
      </c>
      <c r="K189" s="8">
        <f>'MKT DATA'!O572</f>
        <v>0</v>
      </c>
      <c r="L189" s="8">
        <f>'MKT DATA'!P572</f>
        <v>82819</v>
      </c>
      <c r="M189" s="8">
        <f>'MKT DATA'!Q572</f>
        <v>0</v>
      </c>
      <c r="N189" s="8">
        <f>'MKT DATA'!R572</f>
        <v>0</v>
      </c>
      <c r="O189" s="8">
        <f>'MKT DATA'!S572</f>
        <v>-84857</v>
      </c>
      <c r="P189" s="8">
        <f>'MKT DATA'!T572</f>
        <v>0</v>
      </c>
      <c r="Q189" s="43" t="str">
        <f t="shared" si="7"/>
        <v>syn BTCG7/BTCF7/BTCH7/BTCZ6/BTCX6</v>
      </c>
      <c r="R189" s="13">
        <f>'MKT DATA'!AB572</f>
        <v>0</v>
      </c>
    </row>
    <row r="190" spans="5:18" x14ac:dyDescent="0.25">
      <c r="E190" s="43" t="str">
        <f>'MKT DATA'!B573</f>
        <v>syn BTCG7/BTCH7/BTCV6/BTCZ6/BTCX6</v>
      </c>
      <c r="F190" s="13">
        <f>'MKT DATA'!J573</f>
        <v>1</v>
      </c>
      <c r="G190" s="8">
        <f>'MKT DATA'!K573</f>
        <v>83200</v>
      </c>
      <c r="H190" s="8">
        <f>'MKT DATA'!L573</f>
        <v>84703</v>
      </c>
      <c r="I190" s="13">
        <f>'MKT DATA'!M573</f>
        <v>1</v>
      </c>
      <c r="J190" s="43" t="str">
        <f t="shared" si="6"/>
        <v>syn BTCG7/BTCH7/BTCV6/BTCZ6/BTCX6</v>
      </c>
      <c r="K190" s="8">
        <f>'MKT DATA'!O573</f>
        <v>0</v>
      </c>
      <c r="L190" s="8">
        <f>'MKT DATA'!P573</f>
        <v>83200</v>
      </c>
      <c r="M190" s="8">
        <f>'MKT DATA'!Q573</f>
        <v>0</v>
      </c>
      <c r="N190" s="8">
        <f>'MKT DATA'!R573</f>
        <v>0</v>
      </c>
      <c r="O190" s="8">
        <f>'MKT DATA'!S573</f>
        <v>-84703</v>
      </c>
      <c r="P190" s="8">
        <f>'MKT DATA'!T573</f>
        <v>0</v>
      </c>
      <c r="Q190" s="43" t="str">
        <f t="shared" si="7"/>
        <v>syn BTCG7/BTCH7/BTCV6/BTCZ6/BTCX6</v>
      </c>
      <c r="R190" s="13">
        <f>'MKT DATA'!AB573</f>
        <v>0</v>
      </c>
    </row>
    <row r="191" spans="5:18" x14ac:dyDescent="0.25">
      <c r="E191" s="43" t="str">
        <f>'MKT DATA'!B574</f>
        <v>syn BTCG7/BTCH7/BTCV6/BTCF7/BTCX6</v>
      </c>
      <c r="F191" s="13">
        <f>'MKT DATA'!J574</f>
        <v>1</v>
      </c>
      <c r="G191" s="8">
        <f>'MKT DATA'!K574</f>
        <v>83097</v>
      </c>
      <c r="H191" s="8">
        <f>'MKT DATA'!L574</f>
        <v>84803</v>
      </c>
      <c r="I191" s="13">
        <f>'MKT DATA'!M574</f>
        <v>1</v>
      </c>
      <c r="J191" s="43" t="str">
        <f t="shared" si="6"/>
        <v>syn BTCG7/BTCH7/BTCV6/BTCF7/BTCX6</v>
      </c>
      <c r="K191" s="8">
        <f>'MKT DATA'!O574</f>
        <v>0</v>
      </c>
      <c r="L191" s="8">
        <f>'MKT DATA'!P574</f>
        <v>83097</v>
      </c>
      <c r="M191" s="8">
        <f>'MKT DATA'!Q574</f>
        <v>0</v>
      </c>
      <c r="N191" s="8">
        <f>'MKT DATA'!R574</f>
        <v>0</v>
      </c>
      <c r="O191" s="8">
        <f>'MKT DATA'!S574</f>
        <v>-84803</v>
      </c>
      <c r="P191" s="8">
        <f>'MKT DATA'!T574</f>
        <v>0</v>
      </c>
      <c r="Q191" s="43" t="str">
        <f t="shared" si="7"/>
        <v>syn BTCG7/BTCH7/BTCV6/BTCF7/BTCX6</v>
      </c>
      <c r="R191" s="13">
        <f>'MKT DATA'!AB574</f>
        <v>0</v>
      </c>
    </row>
    <row r="192" spans="5:18" x14ac:dyDescent="0.25">
      <c r="E192" s="43" t="str">
        <f>'MKT DATA'!B575</f>
        <v>syn BTCG7/BTCH7/BTCZ6/BTCV6/BTCX6</v>
      </c>
      <c r="F192" s="13">
        <f>'MKT DATA'!J575</f>
        <v>1</v>
      </c>
      <c r="G192" s="8">
        <f>'MKT DATA'!K575</f>
        <v>83200</v>
      </c>
      <c r="H192" s="8">
        <f>'MKT DATA'!L575</f>
        <v>84515</v>
      </c>
      <c r="I192" s="13">
        <f>'MKT DATA'!M575</f>
        <v>1</v>
      </c>
      <c r="J192" s="43" t="str">
        <f t="shared" si="6"/>
        <v>syn BTCG7/BTCH7/BTCZ6/BTCV6/BTCX6</v>
      </c>
      <c r="K192" s="8">
        <f>'MKT DATA'!O575</f>
        <v>0</v>
      </c>
      <c r="L192" s="8">
        <f>'MKT DATA'!P575</f>
        <v>83200</v>
      </c>
      <c r="M192" s="8">
        <f>'MKT DATA'!Q575</f>
        <v>0</v>
      </c>
      <c r="N192" s="8">
        <f>'MKT DATA'!R575</f>
        <v>0</v>
      </c>
      <c r="O192" s="8">
        <f>'MKT DATA'!S575</f>
        <v>-84515</v>
      </c>
      <c r="P192" s="8">
        <f>'MKT DATA'!T575</f>
        <v>0</v>
      </c>
      <c r="Q192" s="43" t="str">
        <f t="shared" si="7"/>
        <v>syn BTCG7/BTCH7/BTCZ6/BTCV6/BTCX6</v>
      </c>
      <c r="R192" s="13">
        <f>'MKT DATA'!AB575</f>
        <v>0</v>
      </c>
    </row>
    <row r="193" spans="5:18" x14ac:dyDescent="0.25">
      <c r="E193" s="43" t="str">
        <f>'MKT DATA'!B576</f>
        <v>syn BTCG7/BTCH7/BTCZ6/BTCF7/BTCX6</v>
      </c>
      <c r="F193" s="13">
        <f>'MKT DATA'!J576</f>
        <v>1</v>
      </c>
      <c r="G193" s="8">
        <f>'MKT DATA'!K576</f>
        <v>83163</v>
      </c>
      <c r="H193" s="8">
        <f>'MKT DATA'!L576</f>
        <v>84583</v>
      </c>
      <c r="I193" s="13">
        <f>'MKT DATA'!M576</f>
        <v>1</v>
      </c>
      <c r="J193" s="43" t="str">
        <f t="shared" si="6"/>
        <v>syn BTCG7/BTCH7/BTCZ6/BTCF7/BTCX6</v>
      </c>
      <c r="K193" s="8">
        <f>'MKT DATA'!O576</f>
        <v>0</v>
      </c>
      <c r="L193" s="8">
        <f>'MKT DATA'!P576</f>
        <v>83163</v>
      </c>
      <c r="M193" s="8">
        <f>'MKT DATA'!Q576</f>
        <v>0</v>
      </c>
      <c r="N193" s="8">
        <f>'MKT DATA'!R576</f>
        <v>0</v>
      </c>
      <c r="O193" s="8">
        <f>'MKT DATA'!S576</f>
        <v>-84583</v>
      </c>
      <c r="P193" s="8">
        <f>'MKT DATA'!T576</f>
        <v>0</v>
      </c>
      <c r="Q193" s="43" t="str">
        <f t="shared" si="7"/>
        <v>syn BTCG7/BTCH7/BTCZ6/BTCF7/BTCX6</v>
      </c>
      <c r="R193" s="13">
        <f>'MKT DATA'!AB576</f>
        <v>0</v>
      </c>
    </row>
    <row r="194" spans="5:18" x14ac:dyDescent="0.25">
      <c r="E194" s="43" t="str">
        <f>'MKT DATA'!B577</f>
        <v>syn BTCG7/BTCH7/BTCF7/BTCV6/BTCX6</v>
      </c>
      <c r="F194" s="13">
        <f>'MKT DATA'!J577</f>
        <v>1</v>
      </c>
      <c r="G194" s="8">
        <f>'MKT DATA'!K577</f>
        <v>83088</v>
      </c>
      <c r="H194" s="8">
        <f>'MKT DATA'!L577</f>
        <v>84845</v>
      </c>
      <c r="I194" s="13">
        <f>'MKT DATA'!M577</f>
        <v>1</v>
      </c>
      <c r="J194" s="43" t="str">
        <f t="shared" si="6"/>
        <v>syn BTCG7/BTCH7/BTCF7/BTCV6/BTCX6</v>
      </c>
      <c r="K194" s="8">
        <f>'MKT DATA'!O577</f>
        <v>0</v>
      </c>
      <c r="L194" s="8">
        <f>'MKT DATA'!P577</f>
        <v>83088</v>
      </c>
      <c r="M194" s="8">
        <f>'MKT DATA'!Q577</f>
        <v>0</v>
      </c>
      <c r="N194" s="8">
        <f>'MKT DATA'!R577</f>
        <v>0</v>
      </c>
      <c r="O194" s="8">
        <f>'MKT DATA'!S577</f>
        <v>-84845</v>
      </c>
      <c r="P194" s="8">
        <f>'MKT DATA'!T577</f>
        <v>0</v>
      </c>
      <c r="Q194" s="43" t="str">
        <f t="shared" si="7"/>
        <v>syn BTCG7/BTCH7/BTCF7/BTCV6/BTCX6</v>
      </c>
      <c r="R194" s="13">
        <f>'MKT DATA'!AB577</f>
        <v>0</v>
      </c>
    </row>
    <row r="195" spans="5:18" x14ac:dyDescent="0.25">
      <c r="E195" s="43" t="str">
        <f>'MKT DATA'!B578</f>
        <v>syn BTCG7/BTCH7/BTCF7/BTCZ6/BTCX6</v>
      </c>
      <c r="F195" s="13">
        <f>'MKT DATA'!J578</f>
        <v>1</v>
      </c>
      <c r="G195" s="8">
        <f>'MKT DATA'!K578</f>
        <v>83120</v>
      </c>
      <c r="H195" s="8">
        <f>'MKT DATA'!L578</f>
        <v>84779</v>
      </c>
      <c r="I195" s="13">
        <f>'MKT DATA'!M578</f>
        <v>1</v>
      </c>
      <c r="J195" s="43" t="str">
        <f t="shared" si="6"/>
        <v>syn BTCG7/BTCH7/BTCF7/BTCZ6/BTCX6</v>
      </c>
      <c r="K195" s="8">
        <f>'MKT DATA'!O578</f>
        <v>0</v>
      </c>
      <c r="L195" s="8">
        <f>'MKT DATA'!P578</f>
        <v>83120</v>
      </c>
      <c r="M195" s="8">
        <f>'MKT DATA'!Q578</f>
        <v>0</v>
      </c>
      <c r="N195" s="8">
        <f>'MKT DATA'!R578</f>
        <v>0</v>
      </c>
      <c r="O195" s="8">
        <f>'MKT DATA'!S578</f>
        <v>-84779</v>
      </c>
      <c r="P195" s="8">
        <f>'MKT DATA'!T578</f>
        <v>0</v>
      </c>
      <c r="Q195" s="43" t="str">
        <f t="shared" si="7"/>
        <v>syn BTCG7/BTCH7/BTCF7/BTCZ6/BTCX6</v>
      </c>
      <c r="R195" s="13">
        <f>'MKT DATA'!AB578</f>
        <v>0</v>
      </c>
    </row>
    <row r="196" spans="5:18" x14ac:dyDescent="0.25">
      <c r="E196" s="43" t="str">
        <f>'MKT DATA'!B579</f>
        <v>syn BTCH7/BTCV6/BTCZ6/BTCF7/BTCX6</v>
      </c>
      <c r="F196" s="13">
        <f>'MKT DATA'!J579</f>
        <v>1</v>
      </c>
      <c r="G196" s="8">
        <f>'MKT DATA'!K579</f>
        <v>83094</v>
      </c>
      <c r="H196" s="8">
        <f>'MKT DATA'!L579</f>
        <v>84785</v>
      </c>
      <c r="I196" s="13">
        <f>'MKT DATA'!M579</f>
        <v>1</v>
      </c>
      <c r="J196" s="43" t="str">
        <f t="shared" si="6"/>
        <v>syn BTCH7/BTCV6/BTCZ6/BTCF7/BTCX6</v>
      </c>
      <c r="K196" s="8">
        <f>'MKT DATA'!O579</f>
        <v>0</v>
      </c>
      <c r="L196" s="8">
        <f>'MKT DATA'!P579</f>
        <v>83094</v>
      </c>
      <c r="M196" s="8">
        <f>'MKT DATA'!Q579</f>
        <v>0</v>
      </c>
      <c r="N196" s="8">
        <f>'MKT DATA'!R579</f>
        <v>0</v>
      </c>
      <c r="O196" s="8">
        <f>'MKT DATA'!S579</f>
        <v>-84785</v>
      </c>
      <c r="P196" s="8">
        <f>'MKT DATA'!T579</f>
        <v>0</v>
      </c>
      <c r="Q196" s="43" t="str">
        <f t="shared" si="7"/>
        <v>syn BTCH7/BTCV6/BTCZ6/BTCF7/BTCX6</v>
      </c>
      <c r="R196" s="13">
        <f>'MKT DATA'!AB579</f>
        <v>0</v>
      </c>
    </row>
    <row r="197" spans="5:18" x14ac:dyDescent="0.25">
      <c r="E197" s="43" t="str">
        <f>'MKT DATA'!B580</f>
        <v>syn BTCH7/BTCV6/BTCZ6/BTCG7/BTCX6</v>
      </c>
      <c r="F197" s="13">
        <f>'MKT DATA'!J580</f>
        <v>1</v>
      </c>
      <c r="G197" s="8">
        <f>'MKT DATA'!K580</f>
        <v>82751</v>
      </c>
      <c r="H197" s="8">
        <f>'MKT DATA'!L580</f>
        <v>85112</v>
      </c>
      <c r="I197" s="13">
        <f>'MKT DATA'!M580</f>
        <v>1</v>
      </c>
      <c r="J197" s="43" t="str">
        <f t="shared" si="6"/>
        <v>syn BTCH7/BTCV6/BTCZ6/BTCG7/BTCX6</v>
      </c>
      <c r="K197" s="8">
        <f>'MKT DATA'!O580</f>
        <v>0</v>
      </c>
      <c r="L197" s="8">
        <f>'MKT DATA'!P580</f>
        <v>82751</v>
      </c>
      <c r="M197" s="8">
        <f>'MKT DATA'!Q580</f>
        <v>0</v>
      </c>
      <c r="N197" s="8">
        <f>'MKT DATA'!R580</f>
        <v>0</v>
      </c>
      <c r="O197" s="8">
        <f>'MKT DATA'!S580</f>
        <v>-85112</v>
      </c>
      <c r="P197" s="8">
        <f>'MKT DATA'!T580</f>
        <v>0</v>
      </c>
      <c r="Q197" s="43" t="str">
        <f t="shared" si="7"/>
        <v>syn BTCH7/BTCV6/BTCZ6/BTCG7/BTCX6</v>
      </c>
      <c r="R197" s="13">
        <f>'MKT DATA'!AB580</f>
        <v>0</v>
      </c>
    </row>
    <row r="198" spans="5:18" x14ac:dyDescent="0.25">
      <c r="E198" s="43" t="str">
        <f>'MKT DATA'!B581</f>
        <v>syn BTCH7/BTCV6/BTCF7/BTCZ6/BTCX6</v>
      </c>
      <c r="F198" s="13">
        <f>'MKT DATA'!J581</f>
        <v>1</v>
      </c>
      <c r="G198" s="8">
        <f>'MKT DATA'!K581</f>
        <v>83046</v>
      </c>
      <c r="H198" s="8">
        <f>'MKT DATA'!L581</f>
        <v>84768</v>
      </c>
      <c r="I198" s="13">
        <f>'MKT DATA'!M581</f>
        <v>1</v>
      </c>
      <c r="J198" s="43" t="str">
        <f t="shared" si="6"/>
        <v>syn BTCH7/BTCV6/BTCF7/BTCZ6/BTCX6</v>
      </c>
      <c r="K198" s="8">
        <f>'MKT DATA'!O581</f>
        <v>0</v>
      </c>
      <c r="L198" s="8">
        <f>'MKT DATA'!P581</f>
        <v>83046</v>
      </c>
      <c r="M198" s="8">
        <f>'MKT DATA'!Q581</f>
        <v>0</v>
      </c>
      <c r="N198" s="8">
        <f>'MKT DATA'!R581</f>
        <v>0</v>
      </c>
      <c r="O198" s="8">
        <f>'MKT DATA'!S581</f>
        <v>-84768</v>
      </c>
      <c r="P198" s="8">
        <f>'MKT DATA'!T581</f>
        <v>0</v>
      </c>
      <c r="Q198" s="43" t="str">
        <f t="shared" si="7"/>
        <v>syn BTCH7/BTCV6/BTCF7/BTCZ6/BTCX6</v>
      </c>
      <c r="R198" s="13">
        <f>'MKT DATA'!AB581</f>
        <v>0</v>
      </c>
    </row>
    <row r="199" spans="5:18" x14ac:dyDescent="0.25">
      <c r="E199" s="43" t="str">
        <f>'MKT DATA'!B582</f>
        <v>syn BTCH7/BTCV6/BTCF7/BTCG7/BTCX6</v>
      </c>
      <c r="F199" s="13">
        <f>'MKT DATA'!J582</f>
        <v>1</v>
      </c>
      <c r="G199" s="8">
        <f>'MKT DATA'!K582</f>
        <v>82800</v>
      </c>
      <c r="H199" s="8">
        <f>'MKT DATA'!L582</f>
        <v>85009</v>
      </c>
      <c r="I199" s="13">
        <f>'MKT DATA'!M582</f>
        <v>1</v>
      </c>
      <c r="J199" s="43" t="str">
        <f t="shared" si="6"/>
        <v>syn BTCH7/BTCV6/BTCF7/BTCG7/BTCX6</v>
      </c>
      <c r="K199" s="8">
        <f>'MKT DATA'!O582</f>
        <v>0</v>
      </c>
      <c r="L199" s="8">
        <f>'MKT DATA'!P582</f>
        <v>82800</v>
      </c>
      <c r="M199" s="8">
        <f>'MKT DATA'!Q582</f>
        <v>0</v>
      </c>
      <c r="N199" s="8">
        <f>'MKT DATA'!R582</f>
        <v>0</v>
      </c>
      <c r="O199" s="8">
        <f>'MKT DATA'!S582</f>
        <v>-85009</v>
      </c>
      <c r="P199" s="8">
        <f>'MKT DATA'!T582</f>
        <v>0</v>
      </c>
      <c r="Q199" s="43" t="str">
        <f t="shared" si="7"/>
        <v>syn BTCH7/BTCV6/BTCF7/BTCG7/BTCX6</v>
      </c>
      <c r="R199" s="13">
        <f>'MKT DATA'!AB582</f>
        <v>0</v>
      </c>
    </row>
    <row r="200" spans="5:18" x14ac:dyDescent="0.25">
      <c r="E200" s="43" t="str">
        <f>'MKT DATA'!B583</f>
        <v>syn BTCH7/BTCV6/BTCG7/BTCZ6/BTCX6</v>
      </c>
      <c r="F200" s="13">
        <f>'MKT DATA'!J583</f>
        <v>1</v>
      </c>
      <c r="G200" s="8">
        <f>'MKT DATA'!K583</f>
        <v>82759</v>
      </c>
      <c r="H200" s="8">
        <f>'MKT DATA'!L583</f>
        <v>85081</v>
      </c>
      <c r="I200" s="13">
        <f>'MKT DATA'!M583</f>
        <v>1</v>
      </c>
      <c r="J200" s="43" t="str">
        <f t="shared" si="6"/>
        <v>syn BTCH7/BTCV6/BTCG7/BTCZ6/BTCX6</v>
      </c>
      <c r="K200" s="8">
        <f>'MKT DATA'!O583</f>
        <v>0</v>
      </c>
      <c r="L200" s="8">
        <f>'MKT DATA'!P583</f>
        <v>82759</v>
      </c>
      <c r="M200" s="8">
        <f>'MKT DATA'!Q583</f>
        <v>0</v>
      </c>
      <c r="N200" s="8">
        <f>'MKT DATA'!R583</f>
        <v>0</v>
      </c>
      <c r="O200" s="8">
        <f>'MKT DATA'!S583</f>
        <v>-85081</v>
      </c>
      <c r="P200" s="8">
        <f>'MKT DATA'!T583</f>
        <v>0</v>
      </c>
      <c r="Q200" s="43" t="str">
        <f t="shared" si="7"/>
        <v>syn BTCH7/BTCV6/BTCG7/BTCZ6/BTCX6</v>
      </c>
      <c r="R200" s="13">
        <f>'MKT DATA'!AB583</f>
        <v>0</v>
      </c>
    </row>
    <row r="201" spans="5:18" x14ac:dyDescent="0.25">
      <c r="E201" s="43" t="str">
        <f>'MKT DATA'!B584</f>
        <v>syn BTCH7/BTCV6/BTCG7/BTCF7/BTCX6</v>
      </c>
      <c r="F201" s="13">
        <f>'MKT DATA'!J584</f>
        <v>1</v>
      </c>
      <c r="G201" s="8">
        <f>'MKT DATA'!K584</f>
        <v>82876</v>
      </c>
      <c r="H201" s="8">
        <f>'MKT DATA'!L584</f>
        <v>85015</v>
      </c>
      <c r="I201" s="13">
        <f>'MKT DATA'!M584</f>
        <v>1</v>
      </c>
      <c r="J201" s="43" t="str">
        <f t="shared" si="6"/>
        <v>syn BTCH7/BTCV6/BTCG7/BTCF7/BTCX6</v>
      </c>
      <c r="K201" s="8">
        <f>'MKT DATA'!O584</f>
        <v>0</v>
      </c>
      <c r="L201" s="8">
        <f>'MKT DATA'!P584</f>
        <v>82876</v>
      </c>
      <c r="M201" s="8">
        <f>'MKT DATA'!Q584</f>
        <v>0</v>
      </c>
      <c r="N201" s="8">
        <f>'MKT DATA'!R584</f>
        <v>0</v>
      </c>
      <c r="O201" s="8">
        <f>'MKT DATA'!S584</f>
        <v>-85015</v>
      </c>
      <c r="P201" s="8">
        <f>'MKT DATA'!T584</f>
        <v>0</v>
      </c>
      <c r="Q201" s="43" t="str">
        <f t="shared" si="7"/>
        <v>syn BTCH7/BTCV6/BTCG7/BTCF7/BTCX6</v>
      </c>
      <c r="R201" s="13">
        <f>'MKT DATA'!AB584</f>
        <v>0</v>
      </c>
    </row>
    <row r="202" spans="5:18" x14ac:dyDescent="0.25">
      <c r="E202" s="43" t="str">
        <f>'MKT DATA'!B585</f>
        <v>syn BTCH7/BTCZ6/BTCV6/BTCF7/BTCX6</v>
      </c>
      <c r="F202" s="13">
        <f>'MKT DATA'!J585</f>
        <v>1</v>
      </c>
      <c r="G202" s="8">
        <f>'MKT DATA'!K585</f>
        <v>83010</v>
      </c>
      <c r="H202" s="8">
        <f>'MKT DATA'!L585</f>
        <v>84647</v>
      </c>
      <c r="I202" s="13">
        <f>'MKT DATA'!M585</f>
        <v>1</v>
      </c>
      <c r="J202" s="43" t="str">
        <f t="shared" ref="J202:J265" si="8">E202</f>
        <v>syn BTCH7/BTCZ6/BTCV6/BTCF7/BTCX6</v>
      </c>
      <c r="K202" s="8">
        <f>'MKT DATA'!O585</f>
        <v>0</v>
      </c>
      <c r="L202" s="8">
        <f>'MKT DATA'!P585</f>
        <v>83010</v>
      </c>
      <c r="M202" s="8">
        <f>'MKT DATA'!Q585</f>
        <v>0</v>
      </c>
      <c r="N202" s="8">
        <f>'MKT DATA'!R585</f>
        <v>0</v>
      </c>
      <c r="O202" s="8">
        <f>'MKT DATA'!S585</f>
        <v>-84647</v>
      </c>
      <c r="P202" s="8">
        <f>'MKT DATA'!T585</f>
        <v>0</v>
      </c>
      <c r="Q202" s="43" t="str">
        <f t="shared" ref="Q202:Q265" si="9">J202</f>
        <v>syn BTCH7/BTCZ6/BTCV6/BTCF7/BTCX6</v>
      </c>
      <c r="R202" s="13">
        <f>'MKT DATA'!AB585</f>
        <v>0</v>
      </c>
    </row>
    <row r="203" spans="5:18" x14ac:dyDescent="0.25">
      <c r="E203" s="43" t="str">
        <f>'MKT DATA'!B586</f>
        <v>syn BTCH7/BTCZ6/BTCV6/BTCG7/BTCX6</v>
      </c>
      <c r="F203" s="13">
        <f>'MKT DATA'!J586</f>
        <v>1</v>
      </c>
      <c r="G203" s="8">
        <f>'MKT DATA'!K586</f>
        <v>82773</v>
      </c>
      <c r="H203" s="8">
        <f>'MKT DATA'!L586</f>
        <v>84894</v>
      </c>
      <c r="I203" s="13">
        <f>'MKT DATA'!M586</f>
        <v>1</v>
      </c>
      <c r="J203" s="43" t="str">
        <f t="shared" si="8"/>
        <v>syn BTCH7/BTCZ6/BTCV6/BTCG7/BTCX6</v>
      </c>
      <c r="K203" s="8">
        <f>'MKT DATA'!O586</f>
        <v>0</v>
      </c>
      <c r="L203" s="8">
        <f>'MKT DATA'!P586</f>
        <v>82773</v>
      </c>
      <c r="M203" s="8">
        <f>'MKT DATA'!Q586</f>
        <v>0</v>
      </c>
      <c r="N203" s="8">
        <f>'MKT DATA'!R586</f>
        <v>0</v>
      </c>
      <c r="O203" s="8">
        <f>'MKT DATA'!S586</f>
        <v>-84894</v>
      </c>
      <c r="P203" s="8">
        <f>'MKT DATA'!T586</f>
        <v>0</v>
      </c>
      <c r="Q203" s="43" t="str">
        <f t="shared" si="9"/>
        <v>syn BTCH7/BTCZ6/BTCV6/BTCG7/BTCX6</v>
      </c>
      <c r="R203" s="13">
        <f>'MKT DATA'!AB586</f>
        <v>0</v>
      </c>
    </row>
    <row r="204" spans="5:18" x14ac:dyDescent="0.25">
      <c r="E204" s="43" t="str">
        <f>'MKT DATA'!B587</f>
        <v>syn BTCH7/BTCZ6/BTCF7/BTCV6/BTCX6</v>
      </c>
      <c r="F204" s="13">
        <f>'MKT DATA'!J587</f>
        <v>1</v>
      </c>
      <c r="G204" s="8">
        <f>'MKT DATA'!K587</f>
        <v>83080</v>
      </c>
      <c r="H204" s="8">
        <f>'MKT DATA'!L587</f>
        <v>84614</v>
      </c>
      <c r="I204" s="13">
        <f>'MKT DATA'!M587</f>
        <v>1</v>
      </c>
      <c r="J204" s="43" t="str">
        <f t="shared" si="8"/>
        <v>syn BTCH7/BTCZ6/BTCF7/BTCV6/BTCX6</v>
      </c>
      <c r="K204" s="8">
        <f>'MKT DATA'!O587</f>
        <v>0</v>
      </c>
      <c r="L204" s="8">
        <f>'MKT DATA'!P587</f>
        <v>83080</v>
      </c>
      <c r="M204" s="8">
        <f>'MKT DATA'!Q587</f>
        <v>0</v>
      </c>
      <c r="N204" s="8">
        <f>'MKT DATA'!R587</f>
        <v>0</v>
      </c>
      <c r="O204" s="8">
        <f>'MKT DATA'!S587</f>
        <v>-84614</v>
      </c>
      <c r="P204" s="8">
        <f>'MKT DATA'!T587</f>
        <v>0</v>
      </c>
      <c r="Q204" s="43" t="str">
        <f t="shared" si="9"/>
        <v>syn BTCH7/BTCZ6/BTCF7/BTCV6/BTCX6</v>
      </c>
      <c r="R204" s="13">
        <f>'MKT DATA'!AB587</f>
        <v>0</v>
      </c>
    </row>
    <row r="205" spans="5:18" x14ac:dyDescent="0.25">
      <c r="E205" s="43" t="str">
        <f>'MKT DATA'!B588</f>
        <v>syn BTCH7/BTCZ6/BTCF7/BTCG7/BTCX6</v>
      </c>
      <c r="F205" s="13">
        <f>'MKT DATA'!J588</f>
        <v>1</v>
      </c>
      <c r="G205" s="8">
        <f>'MKT DATA'!K588</f>
        <v>82866</v>
      </c>
      <c r="H205" s="8">
        <f>'MKT DATA'!L588</f>
        <v>84789</v>
      </c>
      <c r="I205" s="13">
        <f>'MKT DATA'!M588</f>
        <v>1</v>
      </c>
      <c r="J205" s="43" t="str">
        <f t="shared" si="8"/>
        <v>syn BTCH7/BTCZ6/BTCF7/BTCG7/BTCX6</v>
      </c>
      <c r="K205" s="8">
        <f>'MKT DATA'!O588</f>
        <v>0</v>
      </c>
      <c r="L205" s="8">
        <f>'MKT DATA'!P588</f>
        <v>82866</v>
      </c>
      <c r="M205" s="8">
        <f>'MKT DATA'!Q588</f>
        <v>0</v>
      </c>
      <c r="N205" s="8">
        <f>'MKT DATA'!R588</f>
        <v>0</v>
      </c>
      <c r="O205" s="8">
        <f>'MKT DATA'!S588</f>
        <v>-84789</v>
      </c>
      <c r="P205" s="8">
        <f>'MKT DATA'!T588</f>
        <v>0</v>
      </c>
      <c r="Q205" s="43" t="str">
        <f t="shared" si="9"/>
        <v>syn BTCH7/BTCZ6/BTCF7/BTCG7/BTCX6</v>
      </c>
      <c r="R205" s="13">
        <f>'MKT DATA'!AB588</f>
        <v>0</v>
      </c>
    </row>
    <row r="206" spans="5:18" x14ac:dyDescent="0.25">
      <c r="E206" s="43" t="str">
        <f>'MKT DATA'!B589</f>
        <v>syn BTCH7/BTCZ6/BTCG7/BTCV6/BTCX6</v>
      </c>
      <c r="F206" s="13">
        <f>'MKT DATA'!J589</f>
        <v>1</v>
      </c>
      <c r="G206" s="8">
        <f>'MKT DATA'!K589</f>
        <v>82767</v>
      </c>
      <c r="H206" s="8">
        <f>'MKT DATA'!L589</f>
        <v>84901</v>
      </c>
      <c r="I206" s="13">
        <f>'MKT DATA'!M589</f>
        <v>1</v>
      </c>
      <c r="J206" s="43" t="str">
        <f t="shared" si="8"/>
        <v>syn BTCH7/BTCZ6/BTCG7/BTCV6/BTCX6</v>
      </c>
      <c r="K206" s="8">
        <f>'MKT DATA'!O589</f>
        <v>0</v>
      </c>
      <c r="L206" s="8">
        <f>'MKT DATA'!P589</f>
        <v>82767</v>
      </c>
      <c r="M206" s="8">
        <f>'MKT DATA'!Q589</f>
        <v>0</v>
      </c>
      <c r="N206" s="8">
        <f>'MKT DATA'!R589</f>
        <v>0</v>
      </c>
      <c r="O206" s="8">
        <f>'MKT DATA'!S589</f>
        <v>-84901</v>
      </c>
      <c r="P206" s="8">
        <f>'MKT DATA'!T589</f>
        <v>0</v>
      </c>
      <c r="Q206" s="43" t="str">
        <f t="shared" si="9"/>
        <v>syn BTCH7/BTCZ6/BTCG7/BTCV6/BTCX6</v>
      </c>
      <c r="R206" s="13">
        <f>'MKT DATA'!AB589</f>
        <v>0</v>
      </c>
    </row>
    <row r="207" spans="5:18" x14ac:dyDescent="0.25">
      <c r="E207" s="43" t="str">
        <f>'MKT DATA'!B590</f>
        <v>syn BTCH7/BTCZ6/BTCG7/BTCF7/BTCX6</v>
      </c>
      <c r="F207" s="13">
        <f>'MKT DATA'!J590</f>
        <v>1</v>
      </c>
      <c r="G207" s="8">
        <f>'MKT DATA'!K590</f>
        <v>82836</v>
      </c>
      <c r="H207" s="8">
        <f>'MKT DATA'!L590</f>
        <v>84875</v>
      </c>
      <c r="I207" s="13">
        <f>'MKT DATA'!M590</f>
        <v>1</v>
      </c>
      <c r="J207" s="43" t="str">
        <f t="shared" si="8"/>
        <v>syn BTCH7/BTCZ6/BTCG7/BTCF7/BTCX6</v>
      </c>
      <c r="K207" s="8">
        <f>'MKT DATA'!O590</f>
        <v>0</v>
      </c>
      <c r="L207" s="8">
        <f>'MKT DATA'!P590</f>
        <v>82836</v>
      </c>
      <c r="M207" s="8">
        <f>'MKT DATA'!Q590</f>
        <v>0</v>
      </c>
      <c r="N207" s="8">
        <f>'MKT DATA'!R590</f>
        <v>0</v>
      </c>
      <c r="O207" s="8">
        <f>'MKT DATA'!S590</f>
        <v>-84875</v>
      </c>
      <c r="P207" s="8">
        <f>'MKT DATA'!T590</f>
        <v>0</v>
      </c>
      <c r="Q207" s="43" t="str">
        <f t="shared" si="9"/>
        <v>syn BTCH7/BTCZ6/BTCG7/BTCF7/BTCX6</v>
      </c>
      <c r="R207" s="13">
        <f>'MKT DATA'!AB590</f>
        <v>0</v>
      </c>
    </row>
    <row r="208" spans="5:18" x14ac:dyDescent="0.25">
      <c r="E208" s="43" t="str">
        <f>'MKT DATA'!B591</f>
        <v>syn BTCH7/BTCF7/BTCV6/BTCZ6/BTCX6</v>
      </c>
      <c r="F208" s="13">
        <f>'MKT DATA'!J591</f>
        <v>1</v>
      </c>
      <c r="G208" s="8">
        <f>'MKT DATA'!K591</f>
        <v>83001</v>
      </c>
      <c r="H208" s="8">
        <f>'MKT DATA'!L591</f>
        <v>84877</v>
      </c>
      <c r="I208" s="13">
        <f>'MKT DATA'!M591</f>
        <v>1</v>
      </c>
      <c r="J208" s="43" t="str">
        <f t="shared" si="8"/>
        <v>syn BTCH7/BTCF7/BTCV6/BTCZ6/BTCX6</v>
      </c>
      <c r="K208" s="8">
        <f>'MKT DATA'!O591</f>
        <v>0</v>
      </c>
      <c r="L208" s="8">
        <f>'MKT DATA'!P591</f>
        <v>83001</v>
      </c>
      <c r="M208" s="8">
        <f>'MKT DATA'!Q591</f>
        <v>0</v>
      </c>
      <c r="N208" s="8">
        <f>'MKT DATA'!R591</f>
        <v>0</v>
      </c>
      <c r="O208" s="8">
        <f>'MKT DATA'!S591</f>
        <v>-84877</v>
      </c>
      <c r="P208" s="8">
        <f>'MKT DATA'!T591</f>
        <v>0</v>
      </c>
      <c r="Q208" s="43" t="str">
        <f t="shared" si="9"/>
        <v>syn BTCH7/BTCF7/BTCV6/BTCZ6/BTCX6</v>
      </c>
      <c r="R208" s="13">
        <f>'MKT DATA'!AB591</f>
        <v>0</v>
      </c>
    </row>
    <row r="209" spans="5:18" x14ac:dyDescent="0.25">
      <c r="E209" s="43" t="str">
        <f>'MKT DATA'!B592</f>
        <v>syn BTCH7/BTCF7/BTCV6/BTCG7/BTCX6</v>
      </c>
      <c r="F209" s="13">
        <f>'MKT DATA'!J592</f>
        <v>1</v>
      </c>
      <c r="G209" s="8">
        <f>'MKT DATA'!K592</f>
        <v>82661</v>
      </c>
      <c r="H209" s="8">
        <f>'MKT DATA'!L592</f>
        <v>85224</v>
      </c>
      <c r="I209" s="13">
        <f>'MKT DATA'!M592</f>
        <v>1</v>
      </c>
      <c r="J209" s="43" t="str">
        <f t="shared" si="8"/>
        <v>syn BTCH7/BTCF7/BTCV6/BTCG7/BTCX6</v>
      </c>
      <c r="K209" s="8">
        <f>'MKT DATA'!O592</f>
        <v>0</v>
      </c>
      <c r="L209" s="8">
        <f>'MKT DATA'!P592</f>
        <v>82661</v>
      </c>
      <c r="M209" s="8">
        <f>'MKT DATA'!Q592</f>
        <v>0</v>
      </c>
      <c r="N209" s="8">
        <f>'MKT DATA'!R592</f>
        <v>0</v>
      </c>
      <c r="O209" s="8">
        <f>'MKT DATA'!S592</f>
        <v>-85224</v>
      </c>
      <c r="P209" s="8">
        <f>'MKT DATA'!T592</f>
        <v>0</v>
      </c>
      <c r="Q209" s="43" t="str">
        <f t="shared" si="9"/>
        <v>syn BTCH7/BTCF7/BTCV6/BTCG7/BTCX6</v>
      </c>
      <c r="R209" s="13">
        <f>'MKT DATA'!AB592</f>
        <v>0</v>
      </c>
    </row>
    <row r="210" spans="5:18" x14ac:dyDescent="0.25">
      <c r="E210" s="43" t="str">
        <f>'MKT DATA'!B593</f>
        <v>syn BTCH7/BTCF7/BTCZ6/BTCV6/BTCX6</v>
      </c>
      <c r="F210" s="13">
        <f>'MKT DATA'!J593</f>
        <v>1</v>
      </c>
      <c r="G210" s="8">
        <f>'MKT DATA'!K593</f>
        <v>83051</v>
      </c>
      <c r="H210" s="8">
        <f>'MKT DATA'!L593</f>
        <v>84793</v>
      </c>
      <c r="I210" s="13">
        <f>'MKT DATA'!M593</f>
        <v>1</v>
      </c>
      <c r="J210" s="43" t="str">
        <f t="shared" si="8"/>
        <v>syn BTCH7/BTCF7/BTCZ6/BTCV6/BTCX6</v>
      </c>
      <c r="K210" s="8">
        <f>'MKT DATA'!O593</f>
        <v>0</v>
      </c>
      <c r="L210" s="8">
        <f>'MKT DATA'!P593</f>
        <v>83051</v>
      </c>
      <c r="M210" s="8">
        <f>'MKT DATA'!Q593</f>
        <v>0</v>
      </c>
      <c r="N210" s="8">
        <f>'MKT DATA'!R593</f>
        <v>0</v>
      </c>
      <c r="O210" s="8">
        <f>'MKT DATA'!S593</f>
        <v>-84793</v>
      </c>
      <c r="P210" s="8">
        <f>'MKT DATA'!T593</f>
        <v>0</v>
      </c>
      <c r="Q210" s="43" t="str">
        <f t="shared" si="9"/>
        <v>syn BTCH7/BTCF7/BTCZ6/BTCV6/BTCX6</v>
      </c>
      <c r="R210" s="13">
        <f>'MKT DATA'!AB593</f>
        <v>0</v>
      </c>
    </row>
    <row r="211" spans="5:18" x14ac:dyDescent="0.25">
      <c r="E211" s="43" t="str">
        <f>'MKT DATA'!B594</f>
        <v>syn BTCH7/BTCF7/BTCZ6/BTCG7/BTCX6</v>
      </c>
      <c r="F211" s="13">
        <f>'MKT DATA'!J594</f>
        <v>1</v>
      </c>
      <c r="G211" s="8">
        <f>'MKT DATA'!K594</f>
        <v>82671</v>
      </c>
      <c r="H211" s="8">
        <f>'MKT DATA'!L594</f>
        <v>85188</v>
      </c>
      <c r="I211" s="13">
        <f>'MKT DATA'!M594</f>
        <v>1</v>
      </c>
      <c r="J211" s="43" t="str">
        <f t="shared" si="8"/>
        <v>syn BTCH7/BTCF7/BTCZ6/BTCG7/BTCX6</v>
      </c>
      <c r="K211" s="8">
        <f>'MKT DATA'!O594</f>
        <v>0</v>
      </c>
      <c r="L211" s="8">
        <f>'MKT DATA'!P594</f>
        <v>82671</v>
      </c>
      <c r="M211" s="8">
        <f>'MKT DATA'!Q594</f>
        <v>0</v>
      </c>
      <c r="N211" s="8">
        <f>'MKT DATA'!R594</f>
        <v>0</v>
      </c>
      <c r="O211" s="8">
        <f>'MKT DATA'!S594</f>
        <v>-85188</v>
      </c>
      <c r="P211" s="8">
        <f>'MKT DATA'!T594</f>
        <v>0</v>
      </c>
      <c r="Q211" s="43" t="str">
        <f t="shared" si="9"/>
        <v>syn BTCH7/BTCF7/BTCZ6/BTCG7/BTCX6</v>
      </c>
      <c r="R211" s="13">
        <f>'MKT DATA'!AB594</f>
        <v>0</v>
      </c>
    </row>
    <row r="212" spans="5:18" x14ac:dyDescent="0.25">
      <c r="E212" s="43" t="str">
        <f>'MKT DATA'!B595</f>
        <v>syn BTCH7/BTCF7/BTCG7/BTCV6/BTCX6</v>
      </c>
      <c r="F212" s="13">
        <f>'MKT DATA'!J595</f>
        <v>1</v>
      </c>
      <c r="G212" s="8">
        <f>'MKT DATA'!K595</f>
        <v>82821</v>
      </c>
      <c r="H212" s="8">
        <f>'MKT DATA'!L595</f>
        <v>85011</v>
      </c>
      <c r="I212" s="13">
        <f>'MKT DATA'!M595</f>
        <v>1</v>
      </c>
      <c r="J212" s="43" t="str">
        <f t="shared" si="8"/>
        <v>syn BTCH7/BTCF7/BTCG7/BTCV6/BTCX6</v>
      </c>
      <c r="K212" s="8">
        <f>'MKT DATA'!O595</f>
        <v>0</v>
      </c>
      <c r="L212" s="8">
        <f>'MKT DATA'!P595</f>
        <v>82821</v>
      </c>
      <c r="M212" s="8">
        <f>'MKT DATA'!Q595</f>
        <v>0</v>
      </c>
      <c r="N212" s="8">
        <f>'MKT DATA'!R595</f>
        <v>0</v>
      </c>
      <c r="O212" s="8">
        <f>'MKT DATA'!S595</f>
        <v>-85011</v>
      </c>
      <c r="P212" s="8">
        <f>'MKT DATA'!T595</f>
        <v>0</v>
      </c>
      <c r="Q212" s="43" t="str">
        <f t="shared" si="9"/>
        <v>syn BTCH7/BTCF7/BTCG7/BTCV6/BTCX6</v>
      </c>
      <c r="R212" s="13">
        <f>'MKT DATA'!AB595</f>
        <v>0</v>
      </c>
    </row>
    <row r="213" spans="5:18" x14ac:dyDescent="0.25">
      <c r="E213" s="43" t="str">
        <f>'MKT DATA'!B596</f>
        <v>syn BTCH7/BTCF7/BTCG7/BTCZ6/BTCX6</v>
      </c>
      <c r="F213" s="13">
        <f>'MKT DATA'!J596</f>
        <v>1</v>
      </c>
      <c r="G213" s="8">
        <f>'MKT DATA'!K596</f>
        <v>82773</v>
      </c>
      <c r="H213" s="8">
        <f>'MKT DATA'!L596</f>
        <v>85051</v>
      </c>
      <c r="I213" s="13">
        <f>'MKT DATA'!M596</f>
        <v>1</v>
      </c>
      <c r="J213" s="43" t="str">
        <f t="shared" si="8"/>
        <v>syn BTCH7/BTCF7/BTCG7/BTCZ6/BTCX6</v>
      </c>
      <c r="K213" s="8">
        <f>'MKT DATA'!O596</f>
        <v>0</v>
      </c>
      <c r="L213" s="8">
        <f>'MKT DATA'!P596</f>
        <v>82773</v>
      </c>
      <c r="M213" s="8">
        <f>'MKT DATA'!Q596</f>
        <v>0</v>
      </c>
      <c r="N213" s="8">
        <f>'MKT DATA'!R596</f>
        <v>0</v>
      </c>
      <c r="O213" s="8">
        <f>'MKT DATA'!S596</f>
        <v>-85051</v>
      </c>
      <c r="P213" s="8">
        <f>'MKT DATA'!T596</f>
        <v>0</v>
      </c>
      <c r="Q213" s="43" t="str">
        <f t="shared" si="9"/>
        <v>syn BTCH7/BTCF7/BTCG7/BTCZ6/BTCX6</v>
      </c>
      <c r="R213" s="13">
        <f>'MKT DATA'!AB596</f>
        <v>0</v>
      </c>
    </row>
    <row r="214" spans="5:18" x14ac:dyDescent="0.25">
      <c r="E214" s="43" t="str">
        <f>'MKT DATA'!B597</f>
        <v>syn BTCH7/BTCG7/BTCV6/BTCZ6/BTCX6</v>
      </c>
      <c r="F214" s="13">
        <f>'MKT DATA'!J597</f>
        <v>1</v>
      </c>
      <c r="G214" s="8">
        <f>'MKT DATA'!K597</f>
        <v>83145</v>
      </c>
      <c r="H214" s="8">
        <f>'MKT DATA'!L597</f>
        <v>84648</v>
      </c>
      <c r="I214" s="13">
        <f>'MKT DATA'!M597</f>
        <v>1</v>
      </c>
      <c r="J214" s="43" t="str">
        <f t="shared" si="8"/>
        <v>syn BTCH7/BTCG7/BTCV6/BTCZ6/BTCX6</v>
      </c>
      <c r="K214" s="8">
        <f>'MKT DATA'!O597</f>
        <v>0</v>
      </c>
      <c r="L214" s="8">
        <f>'MKT DATA'!P597</f>
        <v>83145</v>
      </c>
      <c r="M214" s="8">
        <f>'MKT DATA'!Q597</f>
        <v>0</v>
      </c>
      <c r="N214" s="8">
        <f>'MKT DATA'!R597</f>
        <v>0</v>
      </c>
      <c r="O214" s="8">
        <f>'MKT DATA'!S597</f>
        <v>-84648</v>
      </c>
      <c r="P214" s="8">
        <f>'MKT DATA'!T597</f>
        <v>0</v>
      </c>
      <c r="Q214" s="43" t="str">
        <f t="shared" si="9"/>
        <v>syn BTCH7/BTCG7/BTCV6/BTCZ6/BTCX6</v>
      </c>
      <c r="R214" s="13">
        <f>'MKT DATA'!AB597</f>
        <v>0</v>
      </c>
    </row>
    <row r="215" spans="5:18" x14ac:dyDescent="0.25">
      <c r="E215" s="43" t="str">
        <f>'MKT DATA'!B598</f>
        <v>syn BTCH7/BTCG7/BTCV6/BTCF7/BTCX6</v>
      </c>
      <c r="F215" s="13">
        <f>'MKT DATA'!J598</f>
        <v>1</v>
      </c>
      <c r="G215" s="8">
        <f>'MKT DATA'!K598</f>
        <v>83042</v>
      </c>
      <c r="H215" s="8">
        <f>'MKT DATA'!L598</f>
        <v>84748</v>
      </c>
      <c r="I215" s="13">
        <f>'MKT DATA'!M598</f>
        <v>1</v>
      </c>
      <c r="J215" s="43" t="str">
        <f t="shared" si="8"/>
        <v>syn BTCH7/BTCG7/BTCV6/BTCF7/BTCX6</v>
      </c>
      <c r="K215" s="8">
        <f>'MKT DATA'!O598</f>
        <v>0</v>
      </c>
      <c r="L215" s="8">
        <f>'MKT DATA'!P598</f>
        <v>83042</v>
      </c>
      <c r="M215" s="8">
        <f>'MKT DATA'!Q598</f>
        <v>0</v>
      </c>
      <c r="N215" s="8">
        <f>'MKT DATA'!R598</f>
        <v>0</v>
      </c>
      <c r="O215" s="8">
        <f>'MKT DATA'!S598</f>
        <v>-84748</v>
      </c>
      <c r="P215" s="8">
        <f>'MKT DATA'!T598</f>
        <v>0</v>
      </c>
      <c r="Q215" s="43" t="str">
        <f t="shared" si="9"/>
        <v>syn BTCH7/BTCG7/BTCV6/BTCF7/BTCX6</v>
      </c>
      <c r="R215" s="13">
        <f>'MKT DATA'!AB598</f>
        <v>0</v>
      </c>
    </row>
    <row r="216" spans="5:18" x14ac:dyDescent="0.25">
      <c r="E216" s="43" t="str">
        <f>'MKT DATA'!B599</f>
        <v>syn BTCH7/BTCG7/BTCZ6/BTCV6/BTCX6</v>
      </c>
      <c r="F216" s="13">
        <f>'MKT DATA'!J599</f>
        <v>1</v>
      </c>
      <c r="G216" s="8">
        <f>'MKT DATA'!K599</f>
        <v>83115</v>
      </c>
      <c r="H216" s="8">
        <f>'MKT DATA'!L599</f>
        <v>84670</v>
      </c>
      <c r="I216" s="13">
        <f>'MKT DATA'!M599</f>
        <v>1</v>
      </c>
      <c r="J216" s="43" t="str">
        <f t="shared" si="8"/>
        <v>syn BTCH7/BTCG7/BTCZ6/BTCV6/BTCX6</v>
      </c>
      <c r="K216" s="8">
        <f>'MKT DATA'!O599</f>
        <v>0</v>
      </c>
      <c r="L216" s="8">
        <f>'MKT DATA'!P599</f>
        <v>83115</v>
      </c>
      <c r="M216" s="8">
        <f>'MKT DATA'!Q599</f>
        <v>0</v>
      </c>
      <c r="N216" s="8">
        <f>'MKT DATA'!R599</f>
        <v>0</v>
      </c>
      <c r="O216" s="8">
        <f>'MKT DATA'!S599</f>
        <v>-84670</v>
      </c>
      <c r="P216" s="8">
        <f>'MKT DATA'!T599</f>
        <v>0</v>
      </c>
      <c r="Q216" s="43" t="str">
        <f t="shared" si="9"/>
        <v>syn BTCH7/BTCG7/BTCZ6/BTCV6/BTCX6</v>
      </c>
      <c r="R216" s="13">
        <f>'MKT DATA'!AB599</f>
        <v>0</v>
      </c>
    </row>
    <row r="217" spans="5:18" x14ac:dyDescent="0.25">
      <c r="E217" s="43" t="str">
        <f>'MKT DATA'!B600</f>
        <v>syn BTCH7/BTCG7/BTCZ6/BTCF7/BTCX6</v>
      </c>
      <c r="F217" s="13">
        <f>'MKT DATA'!J600</f>
        <v>1</v>
      </c>
      <c r="G217" s="8">
        <f>'MKT DATA'!K600</f>
        <v>83078</v>
      </c>
      <c r="H217" s="8">
        <f>'MKT DATA'!L600</f>
        <v>84738</v>
      </c>
      <c r="I217" s="13">
        <f>'MKT DATA'!M600</f>
        <v>1</v>
      </c>
      <c r="J217" s="43" t="str">
        <f t="shared" si="8"/>
        <v>syn BTCH7/BTCG7/BTCZ6/BTCF7/BTCX6</v>
      </c>
      <c r="K217" s="8">
        <f>'MKT DATA'!O600</f>
        <v>0</v>
      </c>
      <c r="L217" s="8">
        <f>'MKT DATA'!P600</f>
        <v>83078</v>
      </c>
      <c r="M217" s="8">
        <f>'MKT DATA'!Q600</f>
        <v>0</v>
      </c>
      <c r="N217" s="8">
        <f>'MKT DATA'!R600</f>
        <v>0</v>
      </c>
      <c r="O217" s="8">
        <f>'MKT DATA'!S600</f>
        <v>-84738</v>
      </c>
      <c r="P217" s="8">
        <f>'MKT DATA'!T600</f>
        <v>0</v>
      </c>
      <c r="Q217" s="43" t="str">
        <f t="shared" si="9"/>
        <v>syn BTCH7/BTCG7/BTCZ6/BTCF7/BTCX6</v>
      </c>
      <c r="R217" s="13">
        <f>'MKT DATA'!AB600</f>
        <v>0</v>
      </c>
    </row>
    <row r="218" spans="5:18" x14ac:dyDescent="0.25">
      <c r="E218" s="43" t="str">
        <f>'MKT DATA'!B601</f>
        <v>syn BTCH7/BTCG7/BTCF7/BTCV6/BTCX6</v>
      </c>
      <c r="F218" s="13">
        <f>'MKT DATA'!J601</f>
        <v>1</v>
      </c>
      <c r="G218" s="8">
        <f>'MKT DATA'!K601</f>
        <v>83218</v>
      </c>
      <c r="H218" s="8">
        <f>'MKT DATA'!L601</f>
        <v>84621</v>
      </c>
      <c r="I218" s="13">
        <f>'MKT DATA'!M601</f>
        <v>1</v>
      </c>
      <c r="J218" s="43" t="str">
        <f t="shared" si="8"/>
        <v>syn BTCH7/BTCG7/BTCF7/BTCV6/BTCX6</v>
      </c>
      <c r="K218" s="8">
        <f>'MKT DATA'!O601</f>
        <v>0</v>
      </c>
      <c r="L218" s="8">
        <f>'MKT DATA'!P601</f>
        <v>83218</v>
      </c>
      <c r="M218" s="8">
        <f>'MKT DATA'!Q601</f>
        <v>0</v>
      </c>
      <c r="N218" s="8">
        <f>'MKT DATA'!R601</f>
        <v>0</v>
      </c>
      <c r="O218" s="8">
        <f>'MKT DATA'!S601</f>
        <v>-84621</v>
      </c>
      <c r="P218" s="8">
        <f>'MKT DATA'!T601</f>
        <v>0</v>
      </c>
      <c r="Q218" s="43" t="str">
        <f t="shared" si="9"/>
        <v>syn BTCH7/BTCG7/BTCF7/BTCV6/BTCX6</v>
      </c>
      <c r="R218" s="13">
        <f>'MKT DATA'!AB601</f>
        <v>0</v>
      </c>
    </row>
    <row r="219" spans="5:18" x14ac:dyDescent="0.25">
      <c r="E219" s="43" t="str">
        <f>'MKT DATA'!B602</f>
        <v>syn BTCH7/BTCG7/BTCF7/BTCZ6/BTCX6</v>
      </c>
      <c r="F219" s="13">
        <f>'MKT DATA'!J602</f>
        <v>1</v>
      </c>
      <c r="G219" s="8">
        <f>'MKT DATA'!K602</f>
        <v>83250</v>
      </c>
      <c r="H219" s="8">
        <f>'MKT DATA'!L602</f>
        <v>84555</v>
      </c>
      <c r="I219" s="13">
        <f>'MKT DATA'!M602</f>
        <v>1</v>
      </c>
      <c r="J219" s="43" t="str">
        <f t="shared" si="8"/>
        <v>syn BTCH7/BTCG7/BTCF7/BTCZ6/BTCX6</v>
      </c>
      <c r="K219" s="8">
        <f>'MKT DATA'!O602</f>
        <v>0</v>
      </c>
      <c r="L219" s="8">
        <f>'MKT DATA'!P602</f>
        <v>83250</v>
      </c>
      <c r="M219" s="8">
        <f>'MKT DATA'!Q602</f>
        <v>0</v>
      </c>
      <c r="N219" s="8">
        <f>'MKT DATA'!R602</f>
        <v>0</v>
      </c>
      <c r="O219" s="8">
        <f>'MKT DATA'!S602</f>
        <v>-84555</v>
      </c>
      <c r="P219" s="8">
        <f>'MKT DATA'!T602</f>
        <v>0</v>
      </c>
      <c r="Q219" s="43" t="str">
        <f t="shared" si="9"/>
        <v>syn BTCH7/BTCG7/BTCF7/BTCZ6/BTCX6</v>
      </c>
      <c r="R219" s="13">
        <f>'MKT DATA'!AB602</f>
        <v>0</v>
      </c>
    </row>
    <row r="220" spans="5:18" x14ac:dyDescent="0.25">
      <c r="E220" s="43" t="str">
        <f>'MKT DATA'!B603</f>
        <v>syn BTCV6/BTCZ6/BTCF7/BTCG7/BTCH7/BTCX6</v>
      </c>
      <c r="F220" s="13">
        <f>'MKT DATA'!J603</f>
        <v>1</v>
      </c>
      <c r="G220" s="8">
        <f>'MKT DATA'!K603</f>
        <v>83247</v>
      </c>
      <c r="H220" s="8">
        <f>'MKT DATA'!L603</f>
        <v>84651</v>
      </c>
      <c r="I220" s="13">
        <f>'MKT DATA'!M603</f>
        <v>1</v>
      </c>
      <c r="J220" s="43" t="str">
        <f t="shared" si="8"/>
        <v>syn BTCV6/BTCZ6/BTCF7/BTCG7/BTCH7/BTCX6</v>
      </c>
      <c r="K220" s="8">
        <f>'MKT DATA'!O603</f>
        <v>0</v>
      </c>
      <c r="L220" s="8">
        <f>'MKT DATA'!P603</f>
        <v>83247</v>
      </c>
      <c r="M220" s="8">
        <f>'MKT DATA'!Q603</f>
        <v>0</v>
      </c>
      <c r="N220" s="8">
        <f>'MKT DATA'!R603</f>
        <v>0</v>
      </c>
      <c r="O220" s="8">
        <f>'MKT DATA'!S603</f>
        <v>-84651</v>
      </c>
      <c r="P220" s="8">
        <f>'MKT DATA'!T603</f>
        <v>0</v>
      </c>
      <c r="Q220" s="43" t="str">
        <f t="shared" si="9"/>
        <v>syn BTCV6/BTCZ6/BTCF7/BTCG7/BTCH7/BTCX6</v>
      </c>
      <c r="R220" s="13">
        <f>'MKT DATA'!AB603</f>
        <v>0</v>
      </c>
    </row>
    <row r="221" spans="5:18" x14ac:dyDescent="0.25">
      <c r="E221" s="43" t="str">
        <f>'MKT DATA'!B604</f>
        <v>syn BTCV6/BTCZ6/BTCF7/BTCH7/BTCG7/BTCX6</v>
      </c>
      <c r="F221" s="13">
        <f>'MKT DATA'!J604</f>
        <v>1</v>
      </c>
      <c r="G221" s="8">
        <f>'MKT DATA'!K604</f>
        <v>83023</v>
      </c>
      <c r="H221" s="8">
        <f>'MKT DATA'!L604</f>
        <v>84781</v>
      </c>
      <c r="I221" s="13">
        <f>'MKT DATA'!M604</f>
        <v>1</v>
      </c>
      <c r="J221" s="43" t="str">
        <f t="shared" si="8"/>
        <v>syn BTCV6/BTCZ6/BTCF7/BTCH7/BTCG7/BTCX6</v>
      </c>
      <c r="K221" s="8">
        <f>'MKT DATA'!O604</f>
        <v>0</v>
      </c>
      <c r="L221" s="8">
        <f>'MKT DATA'!P604</f>
        <v>83023</v>
      </c>
      <c r="M221" s="8">
        <f>'MKT DATA'!Q604</f>
        <v>0</v>
      </c>
      <c r="N221" s="8">
        <f>'MKT DATA'!R604</f>
        <v>0</v>
      </c>
      <c r="O221" s="8">
        <f>'MKT DATA'!S604</f>
        <v>-84781</v>
      </c>
      <c r="P221" s="8">
        <f>'MKT DATA'!T604</f>
        <v>0</v>
      </c>
      <c r="Q221" s="43" t="str">
        <f t="shared" si="9"/>
        <v>syn BTCV6/BTCZ6/BTCF7/BTCH7/BTCG7/BTCX6</v>
      </c>
      <c r="R221" s="13">
        <f>'MKT DATA'!AB604</f>
        <v>0</v>
      </c>
    </row>
    <row r="222" spans="5:18" x14ac:dyDescent="0.25">
      <c r="E222" s="43" t="str">
        <f>'MKT DATA'!B605</f>
        <v>syn BTCV6/BTCZ6/BTCG7/BTCF7/BTCH7/BTCX6</v>
      </c>
      <c r="F222" s="13">
        <f>'MKT DATA'!J605</f>
        <v>1</v>
      </c>
      <c r="G222" s="8">
        <f>'MKT DATA'!K605</f>
        <v>82751</v>
      </c>
      <c r="H222" s="8">
        <f>'MKT DATA'!L605</f>
        <v>85128</v>
      </c>
      <c r="I222" s="13">
        <f>'MKT DATA'!M605</f>
        <v>1</v>
      </c>
      <c r="J222" s="43" t="str">
        <f t="shared" si="8"/>
        <v>syn BTCV6/BTCZ6/BTCG7/BTCF7/BTCH7/BTCX6</v>
      </c>
      <c r="K222" s="8">
        <f>'MKT DATA'!O605</f>
        <v>0</v>
      </c>
      <c r="L222" s="8">
        <f>'MKT DATA'!P605</f>
        <v>82751</v>
      </c>
      <c r="M222" s="8">
        <f>'MKT DATA'!Q605</f>
        <v>0</v>
      </c>
      <c r="N222" s="8">
        <f>'MKT DATA'!R605</f>
        <v>0</v>
      </c>
      <c r="O222" s="8">
        <f>'MKT DATA'!S605</f>
        <v>-85128</v>
      </c>
      <c r="P222" s="8">
        <f>'MKT DATA'!T605</f>
        <v>0</v>
      </c>
      <c r="Q222" s="43" t="str">
        <f t="shared" si="9"/>
        <v>syn BTCV6/BTCZ6/BTCG7/BTCF7/BTCH7/BTCX6</v>
      </c>
      <c r="R222" s="13">
        <f>'MKT DATA'!AB605</f>
        <v>0</v>
      </c>
    </row>
    <row r="223" spans="5:18" x14ac:dyDescent="0.25">
      <c r="E223" s="43" t="str">
        <f>'MKT DATA'!B606</f>
        <v>syn BTCV6/BTCZ6/BTCG7/BTCH7/BTCF7/BTCX6</v>
      </c>
      <c r="F223" s="13">
        <f>'MKT DATA'!J606</f>
        <v>1</v>
      </c>
      <c r="G223" s="8">
        <f>'MKT DATA'!K606</f>
        <v>83032</v>
      </c>
      <c r="H223" s="8">
        <f>'MKT DATA'!L606</f>
        <v>84906</v>
      </c>
      <c r="I223" s="13">
        <f>'MKT DATA'!M606</f>
        <v>1</v>
      </c>
      <c r="J223" s="43" t="str">
        <f t="shared" si="8"/>
        <v>syn BTCV6/BTCZ6/BTCG7/BTCH7/BTCF7/BTCX6</v>
      </c>
      <c r="K223" s="8">
        <f>'MKT DATA'!O606</f>
        <v>0</v>
      </c>
      <c r="L223" s="8">
        <f>'MKT DATA'!P606</f>
        <v>83032</v>
      </c>
      <c r="M223" s="8">
        <f>'MKT DATA'!Q606</f>
        <v>0</v>
      </c>
      <c r="N223" s="8">
        <f>'MKT DATA'!R606</f>
        <v>0</v>
      </c>
      <c r="O223" s="8">
        <f>'MKT DATA'!S606</f>
        <v>-84906</v>
      </c>
      <c r="P223" s="8">
        <f>'MKT DATA'!T606</f>
        <v>0</v>
      </c>
      <c r="Q223" s="43" t="str">
        <f t="shared" si="9"/>
        <v>syn BTCV6/BTCZ6/BTCG7/BTCH7/BTCF7/BTCX6</v>
      </c>
      <c r="R223" s="13">
        <f>'MKT DATA'!AB606</f>
        <v>0</v>
      </c>
    </row>
    <row r="224" spans="5:18" x14ac:dyDescent="0.25">
      <c r="E224" s="43" t="str">
        <f>'MKT DATA'!B607</f>
        <v>syn BTCV6/BTCZ6/BTCH7/BTCF7/BTCG7/BTCX6</v>
      </c>
      <c r="F224" s="13">
        <f>'MKT DATA'!J607</f>
        <v>1</v>
      </c>
      <c r="G224" s="8">
        <f>'MKT DATA'!K607</f>
        <v>82945</v>
      </c>
      <c r="H224" s="8">
        <f>'MKT DATA'!L607</f>
        <v>85082</v>
      </c>
      <c r="I224" s="13">
        <f>'MKT DATA'!M607</f>
        <v>1</v>
      </c>
      <c r="J224" s="43" t="str">
        <f t="shared" si="8"/>
        <v>syn BTCV6/BTCZ6/BTCH7/BTCF7/BTCG7/BTCX6</v>
      </c>
      <c r="K224" s="8">
        <f>'MKT DATA'!O607</f>
        <v>0</v>
      </c>
      <c r="L224" s="8">
        <f>'MKT DATA'!P607</f>
        <v>82945</v>
      </c>
      <c r="M224" s="8">
        <f>'MKT DATA'!Q607</f>
        <v>0</v>
      </c>
      <c r="N224" s="8">
        <f>'MKT DATA'!R607</f>
        <v>0</v>
      </c>
      <c r="O224" s="8">
        <f>'MKT DATA'!S607</f>
        <v>-85082</v>
      </c>
      <c r="P224" s="8">
        <f>'MKT DATA'!T607</f>
        <v>0</v>
      </c>
      <c r="Q224" s="43" t="str">
        <f t="shared" si="9"/>
        <v>syn BTCV6/BTCZ6/BTCH7/BTCF7/BTCG7/BTCX6</v>
      </c>
      <c r="R224" s="13">
        <f>'MKT DATA'!AB607</f>
        <v>0</v>
      </c>
    </row>
    <row r="225" spans="5:18" x14ac:dyDescent="0.25">
      <c r="E225" s="43" t="str">
        <f>'MKT DATA'!B608</f>
        <v>syn BTCV6/BTCZ6/BTCH7/BTCG7/BTCF7/BTCX6</v>
      </c>
      <c r="F225" s="13">
        <f>'MKT DATA'!J608</f>
        <v>1</v>
      </c>
      <c r="G225" s="8">
        <f>'MKT DATA'!K608</f>
        <v>83372</v>
      </c>
      <c r="H225" s="8">
        <f>'MKT DATA'!L608</f>
        <v>84652</v>
      </c>
      <c r="I225" s="13">
        <f>'MKT DATA'!M608</f>
        <v>1</v>
      </c>
      <c r="J225" s="43" t="str">
        <f t="shared" si="8"/>
        <v>syn BTCV6/BTCZ6/BTCH7/BTCG7/BTCF7/BTCX6</v>
      </c>
      <c r="K225" s="8">
        <f>'MKT DATA'!O608</f>
        <v>0</v>
      </c>
      <c r="L225" s="8">
        <f>'MKT DATA'!P608</f>
        <v>83372</v>
      </c>
      <c r="M225" s="8">
        <f>'MKT DATA'!Q608</f>
        <v>0</v>
      </c>
      <c r="N225" s="8">
        <f>'MKT DATA'!R608</f>
        <v>0</v>
      </c>
      <c r="O225" s="8">
        <f>'MKT DATA'!S608</f>
        <v>-84652</v>
      </c>
      <c r="P225" s="8">
        <f>'MKT DATA'!T608</f>
        <v>0</v>
      </c>
      <c r="Q225" s="43" t="str">
        <f t="shared" si="9"/>
        <v>syn BTCV6/BTCZ6/BTCH7/BTCG7/BTCF7/BTCX6</v>
      </c>
      <c r="R225" s="13">
        <f>'MKT DATA'!AB608</f>
        <v>0</v>
      </c>
    </row>
    <row r="226" spans="5:18" x14ac:dyDescent="0.25">
      <c r="E226" s="43" t="str">
        <f>'MKT DATA'!B609</f>
        <v>syn BTCV6/BTCF7/BTCZ6/BTCG7/BTCH7/BTCX6</v>
      </c>
      <c r="F226" s="13">
        <f>'MKT DATA'!J609</f>
        <v>1</v>
      </c>
      <c r="G226" s="8">
        <f>'MKT DATA'!K609</f>
        <v>83047</v>
      </c>
      <c r="H226" s="8">
        <f>'MKT DATA'!L609</f>
        <v>84837</v>
      </c>
      <c r="I226" s="13">
        <f>'MKT DATA'!M609</f>
        <v>1</v>
      </c>
      <c r="J226" s="43" t="str">
        <f t="shared" si="8"/>
        <v>syn BTCV6/BTCF7/BTCZ6/BTCG7/BTCH7/BTCX6</v>
      </c>
      <c r="K226" s="8">
        <f>'MKT DATA'!O609</f>
        <v>0</v>
      </c>
      <c r="L226" s="8">
        <f>'MKT DATA'!P609</f>
        <v>83047</v>
      </c>
      <c r="M226" s="8">
        <f>'MKT DATA'!Q609</f>
        <v>0</v>
      </c>
      <c r="N226" s="8">
        <f>'MKT DATA'!R609</f>
        <v>0</v>
      </c>
      <c r="O226" s="8">
        <f>'MKT DATA'!S609</f>
        <v>-84837</v>
      </c>
      <c r="P226" s="8">
        <f>'MKT DATA'!T609</f>
        <v>0</v>
      </c>
      <c r="Q226" s="43" t="str">
        <f t="shared" si="9"/>
        <v>syn BTCV6/BTCF7/BTCZ6/BTCG7/BTCH7/BTCX6</v>
      </c>
      <c r="R226" s="13">
        <f>'MKT DATA'!AB609</f>
        <v>0</v>
      </c>
    </row>
    <row r="227" spans="5:18" x14ac:dyDescent="0.25">
      <c r="E227" s="43" t="str">
        <f>'MKT DATA'!B610</f>
        <v>syn BTCV6/BTCF7/BTCZ6/BTCH7/BTCG7/BTCX6</v>
      </c>
      <c r="F227" s="13">
        <f>'MKT DATA'!J610</f>
        <v>1</v>
      </c>
      <c r="G227" s="8">
        <f>'MKT DATA'!K610</f>
        <v>83202</v>
      </c>
      <c r="H227" s="8">
        <f>'MKT DATA'!L610</f>
        <v>84752</v>
      </c>
      <c r="I227" s="13">
        <f>'MKT DATA'!M610</f>
        <v>1</v>
      </c>
      <c r="J227" s="43" t="str">
        <f t="shared" si="8"/>
        <v>syn BTCV6/BTCF7/BTCZ6/BTCH7/BTCG7/BTCX6</v>
      </c>
      <c r="K227" s="8">
        <f>'MKT DATA'!O610</f>
        <v>0</v>
      </c>
      <c r="L227" s="8">
        <f>'MKT DATA'!P610</f>
        <v>83202</v>
      </c>
      <c r="M227" s="8">
        <f>'MKT DATA'!Q610</f>
        <v>0</v>
      </c>
      <c r="N227" s="8">
        <f>'MKT DATA'!R610</f>
        <v>0</v>
      </c>
      <c r="O227" s="8">
        <f>'MKT DATA'!S610</f>
        <v>-84752</v>
      </c>
      <c r="P227" s="8">
        <f>'MKT DATA'!T610</f>
        <v>0</v>
      </c>
      <c r="Q227" s="43" t="str">
        <f t="shared" si="9"/>
        <v>syn BTCV6/BTCF7/BTCZ6/BTCH7/BTCG7/BTCX6</v>
      </c>
      <c r="R227" s="13">
        <f>'MKT DATA'!AB610</f>
        <v>0</v>
      </c>
    </row>
    <row r="228" spans="5:18" x14ac:dyDescent="0.25">
      <c r="E228" s="43" t="str">
        <f>'MKT DATA'!B611</f>
        <v>syn BTCV6/BTCF7/BTCG7/BTCZ6/BTCH7/BTCX6</v>
      </c>
      <c r="F228" s="13">
        <f>'MKT DATA'!J611</f>
        <v>1</v>
      </c>
      <c r="G228" s="8">
        <f>'MKT DATA'!K611</f>
        <v>82910</v>
      </c>
      <c r="H228" s="8">
        <f>'MKT DATA'!L611</f>
        <v>85079</v>
      </c>
      <c r="I228" s="13">
        <f>'MKT DATA'!M611</f>
        <v>1</v>
      </c>
      <c r="J228" s="43" t="str">
        <f t="shared" si="8"/>
        <v>syn BTCV6/BTCF7/BTCG7/BTCZ6/BTCH7/BTCX6</v>
      </c>
      <c r="K228" s="8">
        <f>'MKT DATA'!O611</f>
        <v>0</v>
      </c>
      <c r="L228" s="8">
        <f>'MKT DATA'!P611</f>
        <v>82910</v>
      </c>
      <c r="M228" s="8">
        <f>'MKT DATA'!Q611</f>
        <v>0</v>
      </c>
      <c r="N228" s="8">
        <f>'MKT DATA'!R611</f>
        <v>0</v>
      </c>
      <c r="O228" s="8">
        <f>'MKT DATA'!S611</f>
        <v>-85079</v>
      </c>
      <c r="P228" s="8">
        <f>'MKT DATA'!T611</f>
        <v>0</v>
      </c>
      <c r="Q228" s="43" t="str">
        <f t="shared" si="9"/>
        <v>syn BTCV6/BTCF7/BTCG7/BTCZ6/BTCH7/BTCX6</v>
      </c>
      <c r="R228" s="13">
        <f>'MKT DATA'!AB611</f>
        <v>0</v>
      </c>
    </row>
    <row r="229" spans="5:18" x14ac:dyDescent="0.25">
      <c r="E229" s="43" t="str">
        <f>'MKT DATA'!B612</f>
        <v>syn BTCV6/BTCF7/BTCG7/BTCH7/BTCZ6/BTCX6</v>
      </c>
      <c r="F229" s="13">
        <f>'MKT DATA'!J612</f>
        <v>1</v>
      </c>
      <c r="G229" s="8">
        <f>'MKT DATA'!K612</f>
        <v>83179</v>
      </c>
      <c r="H229" s="8">
        <f>'MKT DATA'!L612</f>
        <v>84490</v>
      </c>
      <c r="I229" s="13">
        <f>'MKT DATA'!M612</f>
        <v>1</v>
      </c>
      <c r="J229" s="43" t="str">
        <f t="shared" si="8"/>
        <v>syn BTCV6/BTCF7/BTCG7/BTCH7/BTCZ6/BTCX6</v>
      </c>
      <c r="K229" s="8">
        <f>'MKT DATA'!O612</f>
        <v>0</v>
      </c>
      <c r="L229" s="8">
        <f>'MKT DATA'!P612</f>
        <v>83179</v>
      </c>
      <c r="M229" s="8">
        <f>'MKT DATA'!Q612</f>
        <v>0</v>
      </c>
      <c r="N229" s="8">
        <f>'MKT DATA'!R612</f>
        <v>0</v>
      </c>
      <c r="O229" s="8">
        <f>'MKT DATA'!S612</f>
        <v>-84490</v>
      </c>
      <c r="P229" s="8">
        <f>'MKT DATA'!T612</f>
        <v>0</v>
      </c>
      <c r="Q229" s="43" t="str">
        <f t="shared" si="9"/>
        <v>syn BTCV6/BTCF7/BTCG7/BTCH7/BTCZ6/BTCX6</v>
      </c>
      <c r="R229" s="13">
        <f>'MKT DATA'!AB612</f>
        <v>0</v>
      </c>
    </row>
    <row r="230" spans="5:18" x14ac:dyDescent="0.25">
      <c r="E230" s="43" t="str">
        <f>'MKT DATA'!B613</f>
        <v>syn BTCV6/BTCF7/BTCH7/BTCZ6/BTCG7/BTCX6</v>
      </c>
      <c r="F230" s="13">
        <f>'MKT DATA'!J613</f>
        <v>1</v>
      </c>
      <c r="G230" s="8">
        <f>'MKT DATA'!K613</f>
        <v>82561</v>
      </c>
      <c r="H230" s="8">
        <f>'MKT DATA'!L613</f>
        <v>85084</v>
      </c>
      <c r="I230" s="13">
        <f>'MKT DATA'!M613</f>
        <v>1</v>
      </c>
      <c r="J230" s="43" t="str">
        <f t="shared" si="8"/>
        <v>syn BTCV6/BTCF7/BTCH7/BTCZ6/BTCG7/BTCX6</v>
      </c>
      <c r="K230" s="8">
        <f>'MKT DATA'!O613</f>
        <v>0</v>
      </c>
      <c r="L230" s="8">
        <f>'MKT DATA'!P613</f>
        <v>82561</v>
      </c>
      <c r="M230" s="8">
        <f>'MKT DATA'!Q613</f>
        <v>0</v>
      </c>
      <c r="N230" s="8">
        <f>'MKT DATA'!R613</f>
        <v>0</v>
      </c>
      <c r="O230" s="8">
        <f>'MKT DATA'!S613</f>
        <v>-85084</v>
      </c>
      <c r="P230" s="8">
        <f>'MKT DATA'!T613</f>
        <v>0</v>
      </c>
      <c r="Q230" s="43" t="str">
        <f t="shared" si="9"/>
        <v>syn BTCV6/BTCF7/BTCH7/BTCZ6/BTCG7/BTCX6</v>
      </c>
      <c r="R230" s="13">
        <f>'MKT DATA'!AB613</f>
        <v>0</v>
      </c>
    </row>
    <row r="231" spans="5:18" x14ac:dyDescent="0.25">
      <c r="E231" s="43" t="str">
        <f>'MKT DATA'!B614</f>
        <v>syn BTCV6/BTCF7/BTCH7/BTCG7/BTCZ6/BTCX6</v>
      </c>
      <c r="F231" s="13">
        <f>'MKT DATA'!J614</f>
        <v>1</v>
      </c>
      <c r="G231" s="8">
        <f>'MKT DATA'!K614</f>
        <v>82925</v>
      </c>
      <c r="H231" s="8">
        <f>'MKT DATA'!L614</f>
        <v>84830</v>
      </c>
      <c r="I231" s="13">
        <f>'MKT DATA'!M614</f>
        <v>1</v>
      </c>
      <c r="J231" s="43" t="str">
        <f t="shared" si="8"/>
        <v>syn BTCV6/BTCF7/BTCH7/BTCG7/BTCZ6/BTCX6</v>
      </c>
      <c r="K231" s="8">
        <f>'MKT DATA'!O614</f>
        <v>0</v>
      </c>
      <c r="L231" s="8">
        <f>'MKT DATA'!P614</f>
        <v>82925</v>
      </c>
      <c r="M231" s="8">
        <f>'MKT DATA'!Q614</f>
        <v>0</v>
      </c>
      <c r="N231" s="8">
        <f>'MKT DATA'!R614</f>
        <v>0</v>
      </c>
      <c r="O231" s="8">
        <f>'MKT DATA'!S614</f>
        <v>-84830</v>
      </c>
      <c r="P231" s="8">
        <f>'MKT DATA'!T614</f>
        <v>0</v>
      </c>
      <c r="Q231" s="43" t="str">
        <f t="shared" si="9"/>
        <v>syn BTCV6/BTCF7/BTCH7/BTCG7/BTCZ6/BTCX6</v>
      </c>
      <c r="R231" s="13">
        <f>'MKT DATA'!AB614</f>
        <v>0</v>
      </c>
    </row>
    <row r="232" spans="5:18" x14ac:dyDescent="0.25">
      <c r="E232" s="43" t="str">
        <f>'MKT DATA'!B615</f>
        <v>syn BTCV6/BTCG7/BTCZ6/BTCF7/BTCH7/BTCX6</v>
      </c>
      <c r="F232" s="13">
        <f>'MKT DATA'!J615</f>
        <v>1</v>
      </c>
      <c r="G232" s="8">
        <f>'MKT DATA'!K615</f>
        <v>82637</v>
      </c>
      <c r="H232" s="8">
        <f>'MKT DATA'!L615</f>
        <v>85214</v>
      </c>
      <c r="I232" s="13">
        <f>'MKT DATA'!M615</f>
        <v>1</v>
      </c>
      <c r="J232" s="43" t="str">
        <f t="shared" si="8"/>
        <v>syn BTCV6/BTCG7/BTCZ6/BTCF7/BTCH7/BTCX6</v>
      </c>
      <c r="K232" s="8">
        <f>'MKT DATA'!O615</f>
        <v>0</v>
      </c>
      <c r="L232" s="8">
        <f>'MKT DATA'!P615</f>
        <v>82637</v>
      </c>
      <c r="M232" s="8">
        <f>'MKT DATA'!Q615</f>
        <v>0</v>
      </c>
      <c r="N232" s="8">
        <f>'MKT DATA'!R615</f>
        <v>0</v>
      </c>
      <c r="O232" s="8">
        <f>'MKT DATA'!S615</f>
        <v>-85214</v>
      </c>
      <c r="P232" s="8">
        <f>'MKT DATA'!T615</f>
        <v>0</v>
      </c>
      <c r="Q232" s="43" t="str">
        <f t="shared" si="9"/>
        <v>syn BTCV6/BTCG7/BTCZ6/BTCF7/BTCH7/BTCX6</v>
      </c>
      <c r="R232" s="13">
        <f>'MKT DATA'!AB615</f>
        <v>0</v>
      </c>
    </row>
    <row r="233" spans="5:18" x14ac:dyDescent="0.25">
      <c r="E233" s="43" t="str">
        <f>'MKT DATA'!B616</f>
        <v>syn BTCV6/BTCG7/BTCZ6/BTCH7/BTCF7/BTCX6</v>
      </c>
      <c r="F233" s="13">
        <f>'MKT DATA'!J616</f>
        <v>1</v>
      </c>
      <c r="G233" s="8">
        <f>'MKT DATA'!K616</f>
        <v>82801</v>
      </c>
      <c r="H233" s="8">
        <f>'MKT DATA'!L616</f>
        <v>85254</v>
      </c>
      <c r="I233" s="13">
        <f>'MKT DATA'!M616</f>
        <v>1</v>
      </c>
      <c r="J233" s="43" t="str">
        <f t="shared" si="8"/>
        <v>syn BTCV6/BTCG7/BTCZ6/BTCH7/BTCF7/BTCX6</v>
      </c>
      <c r="K233" s="8">
        <f>'MKT DATA'!O616</f>
        <v>0</v>
      </c>
      <c r="L233" s="8">
        <f>'MKT DATA'!P616</f>
        <v>82801</v>
      </c>
      <c r="M233" s="8">
        <f>'MKT DATA'!Q616</f>
        <v>0</v>
      </c>
      <c r="N233" s="8">
        <f>'MKT DATA'!R616</f>
        <v>0</v>
      </c>
      <c r="O233" s="8">
        <f>'MKT DATA'!S616</f>
        <v>-85254</v>
      </c>
      <c r="P233" s="8">
        <f>'MKT DATA'!T616</f>
        <v>0</v>
      </c>
      <c r="Q233" s="43" t="str">
        <f t="shared" si="9"/>
        <v>syn BTCV6/BTCG7/BTCZ6/BTCH7/BTCF7/BTCX6</v>
      </c>
      <c r="R233" s="13">
        <f>'MKT DATA'!AB616</f>
        <v>0</v>
      </c>
    </row>
    <row r="234" spans="5:18" x14ac:dyDescent="0.25">
      <c r="E234" s="43" t="str">
        <f>'MKT DATA'!B617</f>
        <v>syn BTCV6/BTCG7/BTCF7/BTCZ6/BTCH7/BTCX6</v>
      </c>
      <c r="F234" s="13">
        <f>'MKT DATA'!J617</f>
        <v>1</v>
      </c>
      <c r="G234" s="8">
        <f>'MKT DATA'!K617</f>
        <v>83036</v>
      </c>
      <c r="H234" s="8">
        <f>'MKT DATA'!L617</f>
        <v>85019</v>
      </c>
      <c r="I234" s="13">
        <f>'MKT DATA'!M617</f>
        <v>1</v>
      </c>
      <c r="J234" s="43" t="str">
        <f t="shared" si="8"/>
        <v>syn BTCV6/BTCG7/BTCF7/BTCZ6/BTCH7/BTCX6</v>
      </c>
      <c r="K234" s="8">
        <f>'MKT DATA'!O617</f>
        <v>0</v>
      </c>
      <c r="L234" s="8">
        <f>'MKT DATA'!P617</f>
        <v>83036</v>
      </c>
      <c r="M234" s="8">
        <f>'MKT DATA'!Q617</f>
        <v>0</v>
      </c>
      <c r="N234" s="8">
        <f>'MKT DATA'!R617</f>
        <v>0</v>
      </c>
      <c r="O234" s="8">
        <f>'MKT DATA'!S617</f>
        <v>-85019</v>
      </c>
      <c r="P234" s="8">
        <f>'MKT DATA'!T617</f>
        <v>0</v>
      </c>
      <c r="Q234" s="43" t="str">
        <f t="shared" si="9"/>
        <v>syn BTCV6/BTCG7/BTCF7/BTCZ6/BTCH7/BTCX6</v>
      </c>
      <c r="R234" s="13">
        <f>'MKT DATA'!AB617</f>
        <v>0</v>
      </c>
    </row>
    <row r="235" spans="5:18" x14ac:dyDescent="0.25">
      <c r="E235" s="43" t="str">
        <f>'MKT DATA'!B618</f>
        <v>syn BTCV6/BTCG7/BTCF7/BTCH7/BTCZ6/BTCX6</v>
      </c>
      <c r="F235" s="13">
        <f>'MKT DATA'!J618</f>
        <v>1</v>
      </c>
      <c r="G235" s="8">
        <f>'MKT DATA'!K618</f>
        <v>82789</v>
      </c>
      <c r="H235" s="8">
        <f>'MKT DATA'!L618</f>
        <v>84887</v>
      </c>
      <c r="I235" s="13">
        <f>'MKT DATA'!M618</f>
        <v>1</v>
      </c>
      <c r="J235" s="43" t="str">
        <f t="shared" si="8"/>
        <v>syn BTCV6/BTCG7/BTCF7/BTCH7/BTCZ6/BTCX6</v>
      </c>
      <c r="K235" s="8">
        <f>'MKT DATA'!O618</f>
        <v>0</v>
      </c>
      <c r="L235" s="8">
        <f>'MKT DATA'!P618</f>
        <v>82789</v>
      </c>
      <c r="M235" s="8">
        <f>'MKT DATA'!Q618</f>
        <v>0</v>
      </c>
      <c r="N235" s="8">
        <f>'MKT DATA'!R618</f>
        <v>0</v>
      </c>
      <c r="O235" s="8">
        <f>'MKT DATA'!S618</f>
        <v>-84887</v>
      </c>
      <c r="P235" s="8">
        <f>'MKT DATA'!T618</f>
        <v>0</v>
      </c>
      <c r="Q235" s="43" t="str">
        <f t="shared" si="9"/>
        <v>syn BTCV6/BTCG7/BTCF7/BTCH7/BTCZ6/BTCX6</v>
      </c>
      <c r="R235" s="13">
        <f>'MKT DATA'!AB618</f>
        <v>0</v>
      </c>
    </row>
    <row r="236" spans="5:18" x14ac:dyDescent="0.25">
      <c r="E236" s="43" t="str">
        <f>'MKT DATA'!B619</f>
        <v>syn BTCV6/BTCG7/BTCH7/BTCZ6/BTCF7/BTCX6</v>
      </c>
      <c r="F236" s="13">
        <f>'MKT DATA'!J619</f>
        <v>1</v>
      </c>
      <c r="G236" s="8">
        <f>'MKT DATA'!K619</f>
        <v>83133</v>
      </c>
      <c r="H236" s="8">
        <f>'MKT DATA'!L619</f>
        <v>84613</v>
      </c>
      <c r="I236" s="13">
        <f>'MKT DATA'!M619</f>
        <v>1</v>
      </c>
      <c r="J236" s="43" t="str">
        <f t="shared" si="8"/>
        <v>syn BTCV6/BTCG7/BTCH7/BTCZ6/BTCF7/BTCX6</v>
      </c>
      <c r="K236" s="8">
        <f>'MKT DATA'!O619</f>
        <v>0</v>
      </c>
      <c r="L236" s="8">
        <f>'MKT DATA'!P619</f>
        <v>83133</v>
      </c>
      <c r="M236" s="8">
        <f>'MKT DATA'!Q619</f>
        <v>0</v>
      </c>
      <c r="N236" s="8">
        <f>'MKT DATA'!R619</f>
        <v>0</v>
      </c>
      <c r="O236" s="8">
        <f>'MKT DATA'!S619</f>
        <v>-84613</v>
      </c>
      <c r="P236" s="8">
        <f>'MKT DATA'!T619</f>
        <v>0</v>
      </c>
      <c r="Q236" s="43" t="str">
        <f t="shared" si="9"/>
        <v>syn BTCV6/BTCG7/BTCH7/BTCZ6/BTCF7/BTCX6</v>
      </c>
      <c r="R236" s="13">
        <f>'MKT DATA'!AB619</f>
        <v>0</v>
      </c>
    </row>
    <row r="237" spans="5:18" x14ac:dyDescent="0.25">
      <c r="E237" s="43" t="str">
        <f>'MKT DATA'!B620</f>
        <v>syn BTCV6/BTCG7/BTCH7/BTCF7/BTCZ6/BTCX6</v>
      </c>
      <c r="F237" s="13">
        <f>'MKT DATA'!J620</f>
        <v>1</v>
      </c>
      <c r="G237" s="8">
        <f>'MKT DATA'!K620</f>
        <v>83090</v>
      </c>
      <c r="H237" s="8">
        <f>'MKT DATA'!L620</f>
        <v>84809</v>
      </c>
      <c r="I237" s="13">
        <f>'MKT DATA'!M620</f>
        <v>1</v>
      </c>
      <c r="J237" s="43" t="str">
        <f t="shared" si="8"/>
        <v>syn BTCV6/BTCG7/BTCH7/BTCF7/BTCZ6/BTCX6</v>
      </c>
      <c r="K237" s="8">
        <f>'MKT DATA'!O620</f>
        <v>0</v>
      </c>
      <c r="L237" s="8">
        <f>'MKT DATA'!P620</f>
        <v>83090</v>
      </c>
      <c r="M237" s="8">
        <f>'MKT DATA'!Q620</f>
        <v>0</v>
      </c>
      <c r="N237" s="8">
        <f>'MKT DATA'!R620</f>
        <v>0</v>
      </c>
      <c r="O237" s="8">
        <f>'MKT DATA'!S620</f>
        <v>-84809</v>
      </c>
      <c r="P237" s="8">
        <f>'MKT DATA'!T620</f>
        <v>0</v>
      </c>
      <c r="Q237" s="43" t="str">
        <f t="shared" si="9"/>
        <v>syn BTCV6/BTCG7/BTCH7/BTCF7/BTCZ6/BTCX6</v>
      </c>
      <c r="R237" s="13">
        <f>'MKT DATA'!AB620</f>
        <v>0</v>
      </c>
    </row>
    <row r="238" spans="5:18" x14ac:dyDescent="0.25">
      <c r="E238" s="43" t="str">
        <f>'MKT DATA'!B621</f>
        <v>syn BTCV6/BTCH7/BTCZ6/BTCF7/BTCG7/BTCX6</v>
      </c>
      <c r="F238" s="13">
        <f>'MKT DATA'!J621</f>
        <v>1</v>
      </c>
      <c r="G238" s="8">
        <f>'MKT DATA'!K621</f>
        <v>82836</v>
      </c>
      <c r="H238" s="8">
        <f>'MKT DATA'!L621</f>
        <v>84819</v>
      </c>
      <c r="I238" s="13">
        <f>'MKT DATA'!M621</f>
        <v>1</v>
      </c>
      <c r="J238" s="43" t="str">
        <f t="shared" si="8"/>
        <v>syn BTCV6/BTCH7/BTCZ6/BTCF7/BTCG7/BTCX6</v>
      </c>
      <c r="K238" s="8">
        <f>'MKT DATA'!O621</f>
        <v>0</v>
      </c>
      <c r="L238" s="8">
        <f>'MKT DATA'!P621</f>
        <v>82836</v>
      </c>
      <c r="M238" s="8">
        <f>'MKT DATA'!Q621</f>
        <v>0</v>
      </c>
      <c r="N238" s="8">
        <f>'MKT DATA'!R621</f>
        <v>0</v>
      </c>
      <c r="O238" s="8">
        <f>'MKT DATA'!S621</f>
        <v>-84819</v>
      </c>
      <c r="P238" s="8">
        <f>'MKT DATA'!T621</f>
        <v>0</v>
      </c>
      <c r="Q238" s="43" t="str">
        <f t="shared" si="9"/>
        <v>syn BTCV6/BTCH7/BTCZ6/BTCF7/BTCG7/BTCX6</v>
      </c>
      <c r="R238" s="13">
        <f>'MKT DATA'!AB621</f>
        <v>0</v>
      </c>
    </row>
    <row r="239" spans="5:18" x14ac:dyDescent="0.25">
      <c r="E239" s="43" t="str">
        <f>'MKT DATA'!B622</f>
        <v>syn BTCV6/BTCH7/BTCZ6/BTCG7/BTCF7/BTCX6</v>
      </c>
      <c r="F239" s="13">
        <f>'MKT DATA'!J622</f>
        <v>1</v>
      </c>
      <c r="G239" s="8">
        <f>'MKT DATA'!K622</f>
        <v>82806</v>
      </c>
      <c r="H239" s="8">
        <f>'MKT DATA'!L622</f>
        <v>84905</v>
      </c>
      <c r="I239" s="13">
        <f>'MKT DATA'!M622</f>
        <v>1</v>
      </c>
      <c r="J239" s="43" t="str">
        <f t="shared" si="8"/>
        <v>syn BTCV6/BTCH7/BTCZ6/BTCG7/BTCF7/BTCX6</v>
      </c>
      <c r="K239" s="8">
        <f>'MKT DATA'!O622</f>
        <v>0</v>
      </c>
      <c r="L239" s="8">
        <f>'MKT DATA'!P622</f>
        <v>82806</v>
      </c>
      <c r="M239" s="8">
        <f>'MKT DATA'!Q622</f>
        <v>0</v>
      </c>
      <c r="N239" s="8">
        <f>'MKT DATA'!R622</f>
        <v>0</v>
      </c>
      <c r="O239" s="8">
        <f>'MKT DATA'!S622</f>
        <v>-84905</v>
      </c>
      <c r="P239" s="8">
        <f>'MKT DATA'!T622</f>
        <v>0</v>
      </c>
      <c r="Q239" s="43" t="str">
        <f t="shared" si="9"/>
        <v>syn BTCV6/BTCH7/BTCZ6/BTCG7/BTCF7/BTCX6</v>
      </c>
      <c r="R239" s="13">
        <f>'MKT DATA'!AB622</f>
        <v>0</v>
      </c>
    </row>
    <row r="240" spans="5:18" x14ac:dyDescent="0.25">
      <c r="E240" s="43" t="str">
        <f>'MKT DATA'!B623</f>
        <v>syn BTCV6/BTCH7/BTCF7/BTCZ6/BTCG7/BTCX6</v>
      </c>
      <c r="F240" s="13">
        <f>'MKT DATA'!J623</f>
        <v>1</v>
      </c>
      <c r="G240" s="8">
        <f>'MKT DATA'!K623</f>
        <v>82641</v>
      </c>
      <c r="H240" s="8">
        <f>'MKT DATA'!L623</f>
        <v>85218</v>
      </c>
      <c r="I240" s="13">
        <f>'MKT DATA'!M623</f>
        <v>1</v>
      </c>
      <c r="J240" s="43" t="str">
        <f t="shared" si="8"/>
        <v>syn BTCV6/BTCH7/BTCF7/BTCZ6/BTCG7/BTCX6</v>
      </c>
      <c r="K240" s="8">
        <f>'MKT DATA'!O623</f>
        <v>0</v>
      </c>
      <c r="L240" s="8">
        <f>'MKT DATA'!P623</f>
        <v>82641</v>
      </c>
      <c r="M240" s="8">
        <f>'MKT DATA'!Q623</f>
        <v>0</v>
      </c>
      <c r="N240" s="8">
        <f>'MKT DATA'!R623</f>
        <v>0</v>
      </c>
      <c r="O240" s="8">
        <f>'MKT DATA'!S623</f>
        <v>-85218</v>
      </c>
      <c r="P240" s="8">
        <f>'MKT DATA'!T623</f>
        <v>0</v>
      </c>
      <c r="Q240" s="43" t="str">
        <f t="shared" si="9"/>
        <v>syn BTCV6/BTCH7/BTCF7/BTCZ6/BTCG7/BTCX6</v>
      </c>
      <c r="R240" s="13">
        <f>'MKT DATA'!AB623</f>
        <v>0</v>
      </c>
    </row>
    <row r="241" spans="5:18" x14ac:dyDescent="0.25">
      <c r="E241" s="43" t="str">
        <f>'MKT DATA'!B624</f>
        <v>syn BTCV6/BTCH7/BTCF7/BTCG7/BTCZ6/BTCX6</v>
      </c>
      <c r="F241" s="13">
        <f>'MKT DATA'!J624</f>
        <v>1</v>
      </c>
      <c r="G241" s="8">
        <f>'MKT DATA'!K624</f>
        <v>82743</v>
      </c>
      <c r="H241" s="8">
        <f>'MKT DATA'!L624</f>
        <v>85081</v>
      </c>
      <c r="I241" s="13">
        <f>'MKT DATA'!M624</f>
        <v>1</v>
      </c>
      <c r="J241" s="43" t="str">
        <f t="shared" si="8"/>
        <v>syn BTCV6/BTCH7/BTCF7/BTCG7/BTCZ6/BTCX6</v>
      </c>
      <c r="K241" s="8">
        <f>'MKT DATA'!O624</f>
        <v>0</v>
      </c>
      <c r="L241" s="8">
        <f>'MKT DATA'!P624</f>
        <v>82743</v>
      </c>
      <c r="M241" s="8">
        <f>'MKT DATA'!Q624</f>
        <v>0</v>
      </c>
      <c r="N241" s="8">
        <f>'MKT DATA'!R624</f>
        <v>0</v>
      </c>
      <c r="O241" s="8">
        <f>'MKT DATA'!S624</f>
        <v>-85081</v>
      </c>
      <c r="P241" s="8">
        <f>'MKT DATA'!T624</f>
        <v>0</v>
      </c>
      <c r="Q241" s="43" t="str">
        <f t="shared" si="9"/>
        <v>syn BTCV6/BTCH7/BTCF7/BTCG7/BTCZ6/BTCX6</v>
      </c>
      <c r="R241" s="13">
        <f>'MKT DATA'!AB624</f>
        <v>0</v>
      </c>
    </row>
    <row r="242" spans="5:18" x14ac:dyDescent="0.25">
      <c r="E242" s="43" t="str">
        <f>'MKT DATA'!B625</f>
        <v>syn BTCV6/BTCH7/BTCG7/BTCZ6/BTCF7/BTCX6</v>
      </c>
      <c r="F242" s="13">
        <f>'MKT DATA'!J625</f>
        <v>1</v>
      </c>
      <c r="G242" s="8">
        <f>'MKT DATA'!K625</f>
        <v>83048</v>
      </c>
      <c r="H242" s="8">
        <f>'MKT DATA'!L625</f>
        <v>84768</v>
      </c>
      <c r="I242" s="13">
        <f>'MKT DATA'!M625</f>
        <v>1</v>
      </c>
      <c r="J242" s="43" t="str">
        <f t="shared" si="8"/>
        <v>syn BTCV6/BTCH7/BTCG7/BTCZ6/BTCF7/BTCX6</v>
      </c>
      <c r="K242" s="8">
        <f>'MKT DATA'!O625</f>
        <v>0</v>
      </c>
      <c r="L242" s="8">
        <f>'MKT DATA'!P625</f>
        <v>83048</v>
      </c>
      <c r="M242" s="8">
        <f>'MKT DATA'!Q625</f>
        <v>0</v>
      </c>
      <c r="N242" s="8">
        <f>'MKT DATA'!R625</f>
        <v>0</v>
      </c>
      <c r="O242" s="8">
        <f>'MKT DATA'!S625</f>
        <v>-84768</v>
      </c>
      <c r="P242" s="8">
        <f>'MKT DATA'!T625</f>
        <v>0</v>
      </c>
      <c r="Q242" s="43" t="str">
        <f t="shared" si="9"/>
        <v>syn BTCV6/BTCH7/BTCG7/BTCZ6/BTCF7/BTCX6</v>
      </c>
      <c r="R242" s="13">
        <f>'MKT DATA'!AB625</f>
        <v>0</v>
      </c>
    </row>
    <row r="243" spans="5:18" x14ac:dyDescent="0.25">
      <c r="E243" s="43" t="str">
        <f>'MKT DATA'!B626</f>
        <v>syn BTCV6/BTCH7/BTCG7/BTCF7/BTCZ6/BTCX6</v>
      </c>
      <c r="F243" s="13">
        <f>'MKT DATA'!J626</f>
        <v>1</v>
      </c>
      <c r="G243" s="8">
        <f>'MKT DATA'!K626</f>
        <v>83220</v>
      </c>
      <c r="H243" s="8">
        <f>'MKT DATA'!L626</f>
        <v>84585</v>
      </c>
      <c r="I243" s="13">
        <f>'MKT DATA'!M626</f>
        <v>1</v>
      </c>
      <c r="J243" s="43" t="str">
        <f t="shared" si="8"/>
        <v>syn BTCV6/BTCH7/BTCG7/BTCF7/BTCZ6/BTCX6</v>
      </c>
      <c r="K243" s="8">
        <f>'MKT DATA'!O626</f>
        <v>0</v>
      </c>
      <c r="L243" s="8">
        <f>'MKT DATA'!P626</f>
        <v>83220</v>
      </c>
      <c r="M243" s="8">
        <f>'MKT DATA'!Q626</f>
        <v>0</v>
      </c>
      <c r="N243" s="8">
        <f>'MKT DATA'!R626</f>
        <v>0</v>
      </c>
      <c r="O243" s="8">
        <f>'MKT DATA'!S626</f>
        <v>-84585</v>
      </c>
      <c r="P243" s="8">
        <f>'MKT DATA'!T626</f>
        <v>0</v>
      </c>
      <c r="Q243" s="43" t="str">
        <f t="shared" si="9"/>
        <v>syn BTCV6/BTCH7/BTCG7/BTCF7/BTCZ6/BTCX6</v>
      </c>
      <c r="R243" s="13">
        <f>'MKT DATA'!AB626</f>
        <v>0</v>
      </c>
    </row>
    <row r="244" spans="5:18" x14ac:dyDescent="0.25">
      <c r="E244" s="43" t="str">
        <f>'MKT DATA'!B627</f>
        <v>syn BTCZ6/BTCV6/BTCF7/BTCG7/BTCH7/BTCX6</v>
      </c>
      <c r="F244" s="13">
        <f>'MKT DATA'!J627</f>
        <v>1</v>
      </c>
      <c r="G244" s="8">
        <f>'MKT DATA'!K627</f>
        <v>83133</v>
      </c>
      <c r="H244" s="8">
        <f>'MKT DATA'!L627</f>
        <v>84723</v>
      </c>
      <c r="I244" s="13">
        <f>'MKT DATA'!M627</f>
        <v>1</v>
      </c>
      <c r="J244" s="43" t="str">
        <f t="shared" si="8"/>
        <v>syn BTCZ6/BTCV6/BTCF7/BTCG7/BTCH7/BTCX6</v>
      </c>
      <c r="K244" s="8">
        <f>'MKT DATA'!O627</f>
        <v>0</v>
      </c>
      <c r="L244" s="8">
        <f>'MKT DATA'!P627</f>
        <v>83133</v>
      </c>
      <c r="M244" s="8">
        <f>'MKT DATA'!Q627</f>
        <v>0</v>
      </c>
      <c r="N244" s="8">
        <f>'MKT DATA'!R627</f>
        <v>0</v>
      </c>
      <c r="O244" s="8">
        <f>'MKT DATA'!S627</f>
        <v>-84723</v>
      </c>
      <c r="P244" s="8">
        <f>'MKT DATA'!T627</f>
        <v>0</v>
      </c>
      <c r="Q244" s="43" t="str">
        <f t="shared" si="9"/>
        <v>syn BTCZ6/BTCV6/BTCF7/BTCG7/BTCH7/BTCX6</v>
      </c>
      <c r="R244" s="13">
        <f>'MKT DATA'!AB627</f>
        <v>0</v>
      </c>
    </row>
    <row r="245" spans="5:18" x14ac:dyDescent="0.25">
      <c r="E245" s="43" t="str">
        <f>'MKT DATA'!B628</f>
        <v>syn BTCZ6/BTCV6/BTCF7/BTCH7/BTCG7/BTCX6</v>
      </c>
      <c r="F245" s="13">
        <f>'MKT DATA'!J628</f>
        <v>1</v>
      </c>
      <c r="G245" s="8">
        <f>'MKT DATA'!K628</f>
        <v>82909</v>
      </c>
      <c r="H245" s="8">
        <f>'MKT DATA'!L628</f>
        <v>84853</v>
      </c>
      <c r="I245" s="13">
        <f>'MKT DATA'!M628</f>
        <v>1</v>
      </c>
      <c r="J245" s="43" t="str">
        <f t="shared" si="8"/>
        <v>syn BTCZ6/BTCV6/BTCF7/BTCH7/BTCG7/BTCX6</v>
      </c>
      <c r="K245" s="8">
        <f>'MKT DATA'!O628</f>
        <v>0</v>
      </c>
      <c r="L245" s="8">
        <f>'MKT DATA'!P628</f>
        <v>82909</v>
      </c>
      <c r="M245" s="8">
        <f>'MKT DATA'!Q628</f>
        <v>0</v>
      </c>
      <c r="N245" s="8">
        <f>'MKT DATA'!R628</f>
        <v>0</v>
      </c>
      <c r="O245" s="8">
        <f>'MKT DATA'!S628</f>
        <v>-84853</v>
      </c>
      <c r="P245" s="8">
        <f>'MKT DATA'!T628</f>
        <v>0</v>
      </c>
      <c r="Q245" s="43" t="str">
        <f t="shared" si="9"/>
        <v>syn BTCZ6/BTCV6/BTCF7/BTCH7/BTCG7/BTCX6</v>
      </c>
      <c r="R245" s="13">
        <f>'MKT DATA'!AB628</f>
        <v>0</v>
      </c>
    </row>
    <row r="246" spans="5:18" x14ac:dyDescent="0.25">
      <c r="E246" s="43" t="str">
        <f>'MKT DATA'!B629</f>
        <v>syn BTCZ6/BTCV6/BTCG7/BTCF7/BTCH7/BTCX6</v>
      </c>
      <c r="F246" s="13">
        <f>'MKT DATA'!J629</f>
        <v>1</v>
      </c>
      <c r="G246" s="8">
        <f>'MKT DATA'!K629</f>
        <v>82743</v>
      </c>
      <c r="H246" s="8">
        <f>'MKT DATA'!L629</f>
        <v>85120</v>
      </c>
      <c r="I246" s="13">
        <f>'MKT DATA'!M629</f>
        <v>1</v>
      </c>
      <c r="J246" s="43" t="str">
        <f t="shared" si="8"/>
        <v>syn BTCZ6/BTCV6/BTCG7/BTCF7/BTCH7/BTCX6</v>
      </c>
      <c r="K246" s="8">
        <f>'MKT DATA'!O629</f>
        <v>0</v>
      </c>
      <c r="L246" s="8">
        <f>'MKT DATA'!P629</f>
        <v>82743</v>
      </c>
      <c r="M246" s="8">
        <f>'MKT DATA'!Q629</f>
        <v>0</v>
      </c>
      <c r="N246" s="8">
        <f>'MKT DATA'!R629</f>
        <v>0</v>
      </c>
      <c r="O246" s="8">
        <f>'MKT DATA'!S629</f>
        <v>-85120</v>
      </c>
      <c r="P246" s="8">
        <f>'MKT DATA'!T629</f>
        <v>0</v>
      </c>
      <c r="Q246" s="43" t="str">
        <f t="shared" si="9"/>
        <v>syn BTCZ6/BTCV6/BTCG7/BTCF7/BTCH7/BTCX6</v>
      </c>
      <c r="R246" s="13">
        <f>'MKT DATA'!AB629</f>
        <v>0</v>
      </c>
    </row>
    <row r="247" spans="5:18" x14ac:dyDescent="0.25">
      <c r="E247" s="43" t="str">
        <f>'MKT DATA'!B630</f>
        <v>syn BTCZ6/BTCV6/BTCG7/BTCH7/BTCF7/BTCX6</v>
      </c>
      <c r="F247" s="13">
        <f>'MKT DATA'!J630</f>
        <v>1</v>
      </c>
      <c r="G247" s="8">
        <f>'MKT DATA'!K630</f>
        <v>83024</v>
      </c>
      <c r="H247" s="8">
        <f>'MKT DATA'!L630</f>
        <v>84898</v>
      </c>
      <c r="I247" s="13">
        <f>'MKT DATA'!M630</f>
        <v>1</v>
      </c>
      <c r="J247" s="43" t="str">
        <f t="shared" si="8"/>
        <v>syn BTCZ6/BTCV6/BTCG7/BTCH7/BTCF7/BTCX6</v>
      </c>
      <c r="K247" s="8">
        <f>'MKT DATA'!O630</f>
        <v>0</v>
      </c>
      <c r="L247" s="8">
        <f>'MKT DATA'!P630</f>
        <v>83024</v>
      </c>
      <c r="M247" s="8">
        <f>'MKT DATA'!Q630</f>
        <v>0</v>
      </c>
      <c r="N247" s="8">
        <f>'MKT DATA'!R630</f>
        <v>0</v>
      </c>
      <c r="O247" s="8">
        <f>'MKT DATA'!S630</f>
        <v>-84898</v>
      </c>
      <c r="P247" s="8">
        <f>'MKT DATA'!T630</f>
        <v>0</v>
      </c>
      <c r="Q247" s="43" t="str">
        <f t="shared" si="9"/>
        <v>syn BTCZ6/BTCV6/BTCG7/BTCH7/BTCF7/BTCX6</v>
      </c>
      <c r="R247" s="13">
        <f>'MKT DATA'!AB630</f>
        <v>0</v>
      </c>
    </row>
    <row r="248" spans="5:18" x14ac:dyDescent="0.25">
      <c r="E248" s="43" t="str">
        <f>'MKT DATA'!B631</f>
        <v>syn BTCZ6/BTCV6/BTCH7/BTCF7/BTCG7/BTCX6</v>
      </c>
      <c r="F248" s="13">
        <f>'MKT DATA'!J631</f>
        <v>1</v>
      </c>
      <c r="G248" s="8">
        <f>'MKT DATA'!K631</f>
        <v>82727</v>
      </c>
      <c r="H248" s="8">
        <f>'MKT DATA'!L631</f>
        <v>85104</v>
      </c>
      <c r="I248" s="13">
        <f>'MKT DATA'!M631</f>
        <v>1</v>
      </c>
      <c r="J248" s="43" t="str">
        <f t="shared" si="8"/>
        <v>syn BTCZ6/BTCV6/BTCH7/BTCF7/BTCG7/BTCX6</v>
      </c>
      <c r="K248" s="8">
        <f>'MKT DATA'!O631</f>
        <v>0</v>
      </c>
      <c r="L248" s="8">
        <f>'MKT DATA'!P631</f>
        <v>82727</v>
      </c>
      <c r="M248" s="8">
        <f>'MKT DATA'!Q631</f>
        <v>0</v>
      </c>
      <c r="N248" s="8">
        <f>'MKT DATA'!R631</f>
        <v>0</v>
      </c>
      <c r="O248" s="8">
        <f>'MKT DATA'!S631</f>
        <v>-85104</v>
      </c>
      <c r="P248" s="8">
        <f>'MKT DATA'!T631</f>
        <v>0</v>
      </c>
      <c r="Q248" s="43" t="str">
        <f t="shared" si="9"/>
        <v>syn BTCZ6/BTCV6/BTCH7/BTCF7/BTCG7/BTCX6</v>
      </c>
      <c r="R248" s="13">
        <f>'MKT DATA'!AB631</f>
        <v>0</v>
      </c>
    </row>
    <row r="249" spans="5:18" x14ac:dyDescent="0.25">
      <c r="E249" s="43" t="str">
        <f>'MKT DATA'!B632</f>
        <v>syn BTCZ6/BTCV6/BTCH7/BTCG7/BTCF7/BTCX6</v>
      </c>
      <c r="F249" s="13">
        <f>'MKT DATA'!J632</f>
        <v>1</v>
      </c>
      <c r="G249" s="8">
        <f>'MKT DATA'!K632</f>
        <v>83154</v>
      </c>
      <c r="H249" s="8">
        <f>'MKT DATA'!L632</f>
        <v>84674</v>
      </c>
      <c r="I249" s="13">
        <f>'MKT DATA'!M632</f>
        <v>1</v>
      </c>
      <c r="J249" s="43" t="str">
        <f t="shared" si="8"/>
        <v>syn BTCZ6/BTCV6/BTCH7/BTCG7/BTCF7/BTCX6</v>
      </c>
      <c r="K249" s="8">
        <f>'MKT DATA'!O632</f>
        <v>0</v>
      </c>
      <c r="L249" s="8">
        <f>'MKT DATA'!P632</f>
        <v>83154</v>
      </c>
      <c r="M249" s="8">
        <f>'MKT DATA'!Q632</f>
        <v>0</v>
      </c>
      <c r="N249" s="8">
        <f>'MKT DATA'!R632</f>
        <v>0</v>
      </c>
      <c r="O249" s="8">
        <f>'MKT DATA'!S632</f>
        <v>-84674</v>
      </c>
      <c r="P249" s="8">
        <f>'MKT DATA'!T632</f>
        <v>0</v>
      </c>
      <c r="Q249" s="43" t="str">
        <f t="shared" si="9"/>
        <v>syn BTCZ6/BTCV6/BTCH7/BTCG7/BTCF7/BTCX6</v>
      </c>
      <c r="R249" s="13">
        <f>'MKT DATA'!AB632</f>
        <v>0</v>
      </c>
    </row>
    <row r="250" spans="5:18" x14ac:dyDescent="0.25">
      <c r="E250" s="43" t="str">
        <f>'MKT DATA'!B633</f>
        <v>syn BTCZ6/BTCF7/BTCV6/BTCG7/BTCH7/BTCX6</v>
      </c>
      <c r="F250" s="13">
        <f>'MKT DATA'!J633</f>
        <v>1</v>
      </c>
      <c r="G250" s="8">
        <f>'MKT DATA'!K633</f>
        <v>83073</v>
      </c>
      <c r="H250" s="8">
        <f>'MKT DATA'!L633</f>
        <v>84863</v>
      </c>
      <c r="I250" s="13">
        <f>'MKT DATA'!M633</f>
        <v>1</v>
      </c>
      <c r="J250" s="43" t="str">
        <f t="shared" si="8"/>
        <v>syn BTCZ6/BTCF7/BTCV6/BTCG7/BTCH7/BTCX6</v>
      </c>
      <c r="K250" s="8">
        <f>'MKT DATA'!O633</f>
        <v>0</v>
      </c>
      <c r="L250" s="8">
        <f>'MKT DATA'!P633</f>
        <v>83073</v>
      </c>
      <c r="M250" s="8">
        <f>'MKT DATA'!Q633</f>
        <v>0</v>
      </c>
      <c r="N250" s="8">
        <f>'MKT DATA'!R633</f>
        <v>0</v>
      </c>
      <c r="O250" s="8">
        <f>'MKT DATA'!S633</f>
        <v>-84863</v>
      </c>
      <c r="P250" s="8">
        <f>'MKT DATA'!T633</f>
        <v>0</v>
      </c>
      <c r="Q250" s="43" t="str">
        <f t="shared" si="9"/>
        <v>syn BTCZ6/BTCF7/BTCV6/BTCG7/BTCH7/BTCX6</v>
      </c>
      <c r="R250" s="13">
        <f>'MKT DATA'!AB633</f>
        <v>0</v>
      </c>
    </row>
    <row r="251" spans="5:18" x14ac:dyDescent="0.25">
      <c r="E251" s="43" t="str">
        <f>'MKT DATA'!B634</f>
        <v>syn BTCZ6/BTCF7/BTCV6/BTCH7/BTCG7/BTCX6</v>
      </c>
      <c r="F251" s="13">
        <f>'MKT DATA'!J634</f>
        <v>1</v>
      </c>
      <c r="G251" s="8">
        <f>'MKT DATA'!K634</f>
        <v>83018</v>
      </c>
      <c r="H251" s="8">
        <f>'MKT DATA'!L634</f>
        <v>84808</v>
      </c>
      <c r="I251" s="13">
        <f>'MKT DATA'!M634</f>
        <v>1</v>
      </c>
      <c r="J251" s="43" t="str">
        <f t="shared" si="8"/>
        <v>syn BTCZ6/BTCF7/BTCV6/BTCH7/BTCG7/BTCX6</v>
      </c>
      <c r="K251" s="8">
        <f>'MKT DATA'!O634</f>
        <v>0</v>
      </c>
      <c r="L251" s="8">
        <f>'MKT DATA'!P634</f>
        <v>83018</v>
      </c>
      <c r="M251" s="8">
        <f>'MKT DATA'!Q634</f>
        <v>0</v>
      </c>
      <c r="N251" s="8">
        <f>'MKT DATA'!R634</f>
        <v>0</v>
      </c>
      <c r="O251" s="8">
        <f>'MKT DATA'!S634</f>
        <v>-84808</v>
      </c>
      <c r="P251" s="8">
        <f>'MKT DATA'!T634</f>
        <v>0</v>
      </c>
      <c r="Q251" s="43" t="str">
        <f t="shared" si="9"/>
        <v>syn BTCZ6/BTCF7/BTCV6/BTCH7/BTCG7/BTCX6</v>
      </c>
      <c r="R251" s="13">
        <f>'MKT DATA'!AB634</f>
        <v>0</v>
      </c>
    </row>
    <row r="252" spans="5:18" x14ac:dyDescent="0.25">
      <c r="E252" s="43" t="str">
        <f>'MKT DATA'!B635</f>
        <v>syn BTCZ6/BTCF7/BTCG7/BTCV6/BTCH7/BTCX6</v>
      </c>
      <c r="F252" s="13">
        <f>'MKT DATA'!J635</f>
        <v>1</v>
      </c>
      <c r="G252" s="8">
        <f>'MKT DATA'!K635</f>
        <v>82806</v>
      </c>
      <c r="H252" s="8">
        <f>'MKT DATA'!L635</f>
        <v>85029</v>
      </c>
      <c r="I252" s="13">
        <f>'MKT DATA'!M635</f>
        <v>1</v>
      </c>
      <c r="J252" s="43" t="str">
        <f t="shared" si="8"/>
        <v>syn BTCZ6/BTCF7/BTCG7/BTCV6/BTCH7/BTCX6</v>
      </c>
      <c r="K252" s="8">
        <f>'MKT DATA'!O635</f>
        <v>0</v>
      </c>
      <c r="L252" s="8">
        <f>'MKT DATA'!P635</f>
        <v>82806</v>
      </c>
      <c r="M252" s="8">
        <f>'MKT DATA'!Q635</f>
        <v>0</v>
      </c>
      <c r="N252" s="8">
        <f>'MKT DATA'!R635</f>
        <v>0</v>
      </c>
      <c r="O252" s="8">
        <f>'MKT DATA'!S635</f>
        <v>-85029</v>
      </c>
      <c r="P252" s="8">
        <f>'MKT DATA'!T635</f>
        <v>0</v>
      </c>
      <c r="Q252" s="43" t="str">
        <f t="shared" si="9"/>
        <v>syn BTCZ6/BTCF7/BTCG7/BTCV6/BTCH7/BTCX6</v>
      </c>
      <c r="R252" s="13">
        <f>'MKT DATA'!AB635</f>
        <v>0</v>
      </c>
    </row>
    <row r="253" spans="5:18" x14ac:dyDescent="0.25">
      <c r="E253" s="43" t="str">
        <f>'MKT DATA'!B636</f>
        <v>syn BTCZ6/BTCF7/BTCG7/BTCH7/BTCV6/BTCX6</v>
      </c>
      <c r="F253" s="13">
        <f>'MKT DATA'!J636</f>
        <v>1</v>
      </c>
      <c r="G253" s="8">
        <f>'MKT DATA'!K636</f>
        <v>83233</v>
      </c>
      <c r="H253" s="8">
        <f>'MKT DATA'!L636</f>
        <v>84650</v>
      </c>
      <c r="I253" s="13">
        <f>'MKT DATA'!M636</f>
        <v>1</v>
      </c>
      <c r="J253" s="43" t="str">
        <f t="shared" si="8"/>
        <v>syn BTCZ6/BTCF7/BTCG7/BTCH7/BTCV6/BTCX6</v>
      </c>
      <c r="K253" s="8">
        <f>'MKT DATA'!O636</f>
        <v>0</v>
      </c>
      <c r="L253" s="8">
        <f>'MKT DATA'!P636</f>
        <v>83233</v>
      </c>
      <c r="M253" s="8">
        <f>'MKT DATA'!Q636</f>
        <v>0</v>
      </c>
      <c r="N253" s="8">
        <f>'MKT DATA'!R636</f>
        <v>0</v>
      </c>
      <c r="O253" s="8">
        <f>'MKT DATA'!S636</f>
        <v>-84650</v>
      </c>
      <c r="P253" s="8">
        <f>'MKT DATA'!T636</f>
        <v>0</v>
      </c>
      <c r="Q253" s="43" t="str">
        <f t="shared" si="9"/>
        <v>syn BTCZ6/BTCF7/BTCG7/BTCH7/BTCV6/BTCX6</v>
      </c>
      <c r="R253" s="13">
        <f>'MKT DATA'!AB636</f>
        <v>0</v>
      </c>
    </row>
    <row r="254" spans="5:18" x14ac:dyDescent="0.25">
      <c r="E254" s="43" t="str">
        <f>'MKT DATA'!B637</f>
        <v>syn BTCZ6/BTCF7/BTCH7/BTCV6/BTCG7/BTCX6</v>
      </c>
      <c r="F254" s="13">
        <f>'MKT DATA'!J637</f>
        <v>1</v>
      </c>
      <c r="G254" s="8">
        <f>'MKT DATA'!K637</f>
        <v>82637</v>
      </c>
      <c r="H254" s="8">
        <f>'MKT DATA'!L637</f>
        <v>85214</v>
      </c>
      <c r="I254" s="13">
        <f>'MKT DATA'!M637</f>
        <v>1</v>
      </c>
      <c r="J254" s="43" t="str">
        <f t="shared" si="8"/>
        <v>syn BTCZ6/BTCF7/BTCH7/BTCV6/BTCG7/BTCX6</v>
      </c>
      <c r="K254" s="8">
        <f>'MKT DATA'!O637</f>
        <v>0</v>
      </c>
      <c r="L254" s="8">
        <f>'MKT DATA'!P637</f>
        <v>82637</v>
      </c>
      <c r="M254" s="8">
        <f>'MKT DATA'!Q637</f>
        <v>0</v>
      </c>
      <c r="N254" s="8">
        <f>'MKT DATA'!R637</f>
        <v>0</v>
      </c>
      <c r="O254" s="8">
        <f>'MKT DATA'!S637</f>
        <v>-85214</v>
      </c>
      <c r="P254" s="8">
        <f>'MKT DATA'!T637</f>
        <v>0</v>
      </c>
      <c r="Q254" s="43" t="str">
        <f t="shared" si="9"/>
        <v>syn BTCZ6/BTCF7/BTCH7/BTCV6/BTCG7/BTCX6</v>
      </c>
      <c r="R254" s="13">
        <f>'MKT DATA'!AB637</f>
        <v>0</v>
      </c>
    </row>
    <row r="255" spans="5:18" x14ac:dyDescent="0.25">
      <c r="E255" s="43" t="str">
        <f>'MKT DATA'!B638</f>
        <v>syn BTCZ6/BTCF7/BTCH7/BTCG7/BTCV6/BTCX6</v>
      </c>
      <c r="F255" s="13">
        <f>'MKT DATA'!J638</f>
        <v>1</v>
      </c>
      <c r="G255" s="8">
        <f>'MKT DATA'!K638</f>
        <v>83009</v>
      </c>
      <c r="H255" s="8">
        <f>'MKT DATA'!L638</f>
        <v>84780</v>
      </c>
      <c r="I255" s="13">
        <f>'MKT DATA'!M638</f>
        <v>1</v>
      </c>
      <c r="J255" s="43" t="str">
        <f t="shared" si="8"/>
        <v>syn BTCZ6/BTCF7/BTCH7/BTCG7/BTCV6/BTCX6</v>
      </c>
      <c r="K255" s="8">
        <f>'MKT DATA'!O638</f>
        <v>0</v>
      </c>
      <c r="L255" s="8">
        <f>'MKT DATA'!P638</f>
        <v>83009</v>
      </c>
      <c r="M255" s="8">
        <f>'MKT DATA'!Q638</f>
        <v>0</v>
      </c>
      <c r="N255" s="8">
        <f>'MKT DATA'!R638</f>
        <v>0</v>
      </c>
      <c r="O255" s="8">
        <f>'MKT DATA'!S638</f>
        <v>-84780</v>
      </c>
      <c r="P255" s="8">
        <f>'MKT DATA'!T638</f>
        <v>0</v>
      </c>
      <c r="Q255" s="43" t="str">
        <f t="shared" si="9"/>
        <v>syn BTCZ6/BTCF7/BTCH7/BTCG7/BTCV6/BTCX6</v>
      </c>
      <c r="R255" s="13">
        <f>'MKT DATA'!AB638</f>
        <v>0</v>
      </c>
    </row>
    <row r="256" spans="5:18" x14ac:dyDescent="0.25">
      <c r="E256" s="43" t="str">
        <f>'MKT DATA'!B639</f>
        <v>syn BTCZ6/BTCG7/BTCV6/BTCF7/BTCH7/BTCX6</v>
      </c>
      <c r="F256" s="13">
        <f>'MKT DATA'!J639</f>
        <v>1</v>
      </c>
      <c r="G256" s="8">
        <f>'MKT DATA'!K639</f>
        <v>82531</v>
      </c>
      <c r="H256" s="8">
        <f>'MKT DATA'!L639</f>
        <v>85294</v>
      </c>
      <c r="I256" s="13">
        <f>'MKT DATA'!M639</f>
        <v>1</v>
      </c>
      <c r="J256" s="43" t="str">
        <f t="shared" si="8"/>
        <v>syn BTCZ6/BTCG7/BTCV6/BTCF7/BTCH7/BTCX6</v>
      </c>
      <c r="K256" s="8">
        <f>'MKT DATA'!O639</f>
        <v>0</v>
      </c>
      <c r="L256" s="8">
        <f>'MKT DATA'!P639</f>
        <v>82531</v>
      </c>
      <c r="M256" s="8">
        <f>'MKT DATA'!Q639</f>
        <v>0</v>
      </c>
      <c r="N256" s="8">
        <f>'MKT DATA'!R639</f>
        <v>0</v>
      </c>
      <c r="O256" s="8">
        <f>'MKT DATA'!S639</f>
        <v>-85294</v>
      </c>
      <c r="P256" s="8">
        <f>'MKT DATA'!T639</f>
        <v>0</v>
      </c>
      <c r="Q256" s="43" t="str">
        <f t="shared" si="9"/>
        <v>syn BTCZ6/BTCG7/BTCV6/BTCF7/BTCH7/BTCX6</v>
      </c>
      <c r="R256" s="13">
        <f>'MKT DATA'!AB639</f>
        <v>0</v>
      </c>
    </row>
    <row r="257" spans="5:18" x14ac:dyDescent="0.25">
      <c r="E257" s="43" t="str">
        <f>'MKT DATA'!B640</f>
        <v>syn BTCZ6/BTCG7/BTCV6/BTCH7/BTCF7/BTCX6</v>
      </c>
      <c r="F257" s="13">
        <f>'MKT DATA'!J640</f>
        <v>1</v>
      </c>
      <c r="G257" s="8">
        <f>'MKT DATA'!K640</f>
        <v>82591</v>
      </c>
      <c r="H257" s="8">
        <f>'MKT DATA'!L640</f>
        <v>85284</v>
      </c>
      <c r="I257" s="13">
        <f>'MKT DATA'!M640</f>
        <v>1</v>
      </c>
      <c r="J257" s="43" t="str">
        <f t="shared" si="8"/>
        <v>syn BTCZ6/BTCG7/BTCV6/BTCH7/BTCF7/BTCX6</v>
      </c>
      <c r="K257" s="8">
        <f>'MKT DATA'!O640</f>
        <v>0</v>
      </c>
      <c r="L257" s="8">
        <f>'MKT DATA'!P640</f>
        <v>82591</v>
      </c>
      <c r="M257" s="8">
        <f>'MKT DATA'!Q640</f>
        <v>0</v>
      </c>
      <c r="N257" s="8">
        <f>'MKT DATA'!R640</f>
        <v>0</v>
      </c>
      <c r="O257" s="8">
        <f>'MKT DATA'!S640</f>
        <v>-85284</v>
      </c>
      <c r="P257" s="8">
        <f>'MKT DATA'!T640</f>
        <v>0</v>
      </c>
      <c r="Q257" s="43" t="str">
        <f t="shared" si="9"/>
        <v>syn BTCZ6/BTCG7/BTCV6/BTCH7/BTCF7/BTCX6</v>
      </c>
      <c r="R257" s="13">
        <f>'MKT DATA'!AB640</f>
        <v>0</v>
      </c>
    </row>
    <row r="258" spans="5:18" x14ac:dyDescent="0.25">
      <c r="E258" s="43" t="str">
        <f>'MKT DATA'!B641</f>
        <v>syn BTCZ6/BTCG7/BTCF7/BTCV6/BTCH7/BTCX6</v>
      </c>
      <c r="F258" s="13">
        <f>'MKT DATA'!J641</f>
        <v>1</v>
      </c>
      <c r="G258" s="8">
        <f>'MKT DATA'!K641</f>
        <v>82746</v>
      </c>
      <c r="H258" s="8">
        <f>'MKT DATA'!L641</f>
        <v>85155</v>
      </c>
      <c r="I258" s="13">
        <f>'MKT DATA'!M641</f>
        <v>1</v>
      </c>
      <c r="J258" s="43" t="str">
        <f t="shared" si="8"/>
        <v>syn BTCZ6/BTCG7/BTCF7/BTCV6/BTCH7/BTCX6</v>
      </c>
      <c r="K258" s="8">
        <f>'MKT DATA'!O641</f>
        <v>0</v>
      </c>
      <c r="L258" s="8">
        <f>'MKT DATA'!P641</f>
        <v>82746</v>
      </c>
      <c r="M258" s="8">
        <f>'MKT DATA'!Q641</f>
        <v>0</v>
      </c>
      <c r="N258" s="8">
        <f>'MKT DATA'!R641</f>
        <v>0</v>
      </c>
      <c r="O258" s="8">
        <f>'MKT DATA'!S641</f>
        <v>-85155</v>
      </c>
      <c r="P258" s="8">
        <f>'MKT DATA'!T641</f>
        <v>0</v>
      </c>
      <c r="Q258" s="43" t="str">
        <f t="shared" si="9"/>
        <v>syn BTCZ6/BTCG7/BTCF7/BTCV6/BTCH7/BTCX6</v>
      </c>
      <c r="R258" s="13">
        <f>'MKT DATA'!AB641</f>
        <v>0</v>
      </c>
    </row>
    <row r="259" spans="5:18" x14ac:dyDescent="0.25">
      <c r="E259" s="43" t="str">
        <f>'MKT DATA'!B642</f>
        <v>syn BTCZ6/BTCG7/BTCF7/BTCH7/BTCV6/BTCX6</v>
      </c>
      <c r="F259" s="13">
        <f>'MKT DATA'!J642</f>
        <v>1</v>
      </c>
      <c r="G259" s="8">
        <f>'MKT DATA'!K642</f>
        <v>82737</v>
      </c>
      <c r="H259" s="8">
        <f>'MKT DATA'!L642</f>
        <v>85127</v>
      </c>
      <c r="I259" s="13">
        <f>'MKT DATA'!M642</f>
        <v>1</v>
      </c>
      <c r="J259" s="43" t="str">
        <f t="shared" si="8"/>
        <v>syn BTCZ6/BTCG7/BTCF7/BTCH7/BTCV6/BTCX6</v>
      </c>
      <c r="K259" s="8">
        <f>'MKT DATA'!O642</f>
        <v>0</v>
      </c>
      <c r="L259" s="8">
        <f>'MKT DATA'!P642</f>
        <v>82737</v>
      </c>
      <c r="M259" s="8">
        <f>'MKT DATA'!Q642</f>
        <v>0</v>
      </c>
      <c r="N259" s="8">
        <f>'MKT DATA'!R642</f>
        <v>0</v>
      </c>
      <c r="O259" s="8">
        <f>'MKT DATA'!S642</f>
        <v>-85127</v>
      </c>
      <c r="P259" s="8">
        <f>'MKT DATA'!T642</f>
        <v>0</v>
      </c>
      <c r="Q259" s="43" t="str">
        <f t="shared" si="9"/>
        <v>syn BTCZ6/BTCG7/BTCF7/BTCH7/BTCV6/BTCX6</v>
      </c>
      <c r="R259" s="13">
        <f>'MKT DATA'!AB642</f>
        <v>0</v>
      </c>
    </row>
    <row r="260" spans="5:18" x14ac:dyDescent="0.25">
      <c r="E260" s="43" t="str">
        <f>'MKT DATA'!B643</f>
        <v>syn BTCZ6/BTCG7/BTCH7/BTCV6/BTCF7/BTCX6</v>
      </c>
      <c r="F260" s="13">
        <f>'MKT DATA'!J643</f>
        <v>1</v>
      </c>
      <c r="G260" s="8">
        <f>'MKT DATA'!K643</f>
        <v>82997</v>
      </c>
      <c r="H260" s="8">
        <f>'MKT DATA'!L643</f>
        <v>84903</v>
      </c>
      <c r="I260" s="13">
        <f>'MKT DATA'!M643</f>
        <v>1</v>
      </c>
      <c r="J260" s="43" t="str">
        <f t="shared" si="8"/>
        <v>syn BTCZ6/BTCG7/BTCH7/BTCV6/BTCF7/BTCX6</v>
      </c>
      <c r="K260" s="8">
        <f>'MKT DATA'!O643</f>
        <v>0</v>
      </c>
      <c r="L260" s="8">
        <f>'MKT DATA'!P643</f>
        <v>82997</v>
      </c>
      <c r="M260" s="8">
        <f>'MKT DATA'!Q643</f>
        <v>0</v>
      </c>
      <c r="N260" s="8">
        <f>'MKT DATA'!R643</f>
        <v>0</v>
      </c>
      <c r="O260" s="8">
        <f>'MKT DATA'!S643</f>
        <v>-84903</v>
      </c>
      <c r="P260" s="8">
        <f>'MKT DATA'!T643</f>
        <v>0</v>
      </c>
      <c r="Q260" s="43" t="str">
        <f t="shared" si="9"/>
        <v>syn BTCZ6/BTCG7/BTCH7/BTCV6/BTCF7/BTCX6</v>
      </c>
      <c r="R260" s="13">
        <f>'MKT DATA'!AB643</f>
        <v>0</v>
      </c>
    </row>
    <row r="261" spans="5:18" x14ac:dyDescent="0.25">
      <c r="E261" s="43" t="str">
        <f>'MKT DATA'!B644</f>
        <v>syn BTCZ6/BTCG7/BTCH7/BTCF7/BTCV6/BTCX6</v>
      </c>
      <c r="F261" s="13">
        <f>'MKT DATA'!J644</f>
        <v>1</v>
      </c>
      <c r="G261" s="8">
        <f>'MKT DATA'!K644</f>
        <v>82988</v>
      </c>
      <c r="H261" s="8">
        <f>'MKT DATA'!L644</f>
        <v>84945</v>
      </c>
      <c r="I261" s="13">
        <f>'MKT DATA'!M644</f>
        <v>1</v>
      </c>
      <c r="J261" s="43" t="str">
        <f t="shared" si="8"/>
        <v>syn BTCZ6/BTCG7/BTCH7/BTCF7/BTCV6/BTCX6</v>
      </c>
      <c r="K261" s="8">
        <f>'MKT DATA'!O644</f>
        <v>0</v>
      </c>
      <c r="L261" s="8">
        <f>'MKT DATA'!P644</f>
        <v>82988</v>
      </c>
      <c r="M261" s="8">
        <f>'MKT DATA'!Q644</f>
        <v>0</v>
      </c>
      <c r="N261" s="8">
        <f>'MKT DATA'!R644</f>
        <v>0</v>
      </c>
      <c r="O261" s="8">
        <f>'MKT DATA'!S644</f>
        <v>-84945</v>
      </c>
      <c r="P261" s="8">
        <f>'MKT DATA'!T644</f>
        <v>0</v>
      </c>
      <c r="Q261" s="43" t="str">
        <f t="shared" si="9"/>
        <v>syn BTCZ6/BTCG7/BTCH7/BTCF7/BTCV6/BTCX6</v>
      </c>
      <c r="R261" s="13">
        <f>'MKT DATA'!AB644</f>
        <v>0</v>
      </c>
    </row>
    <row r="262" spans="5:18" x14ac:dyDescent="0.25">
      <c r="E262" s="43" t="str">
        <f>'MKT DATA'!B645</f>
        <v>syn BTCZ6/BTCH7/BTCV6/BTCF7/BTCG7/BTCX6</v>
      </c>
      <c r="F262" s="13">
        <f>'MKT DATA'!J645</f>
        <v>1</v>
      </c>
      <c r="G262" s="8">
        <f>'MKT DATA'!K645</f>
        <v>82910</v>
      </c>
      <c r="H262" s="8">
        <f>'MKT DATA'!L645</f>
        <v>85079</v>
      </c>
      <c r="I262" s="13">
        <f>'MKT DATA'!M645</f>
        <v>1</v>
      </c>
      <c r="J262" s="43" t="str">
        <f t="shared" si="8"/>
        <v>syn BTCZ6/BTCH7/BTCV6/BTCF7/BTCG7/BTCX6</v>
      </c>
      <c r="K262" s="8">
        <f>'MKT DATA'!O645</f>
        <v>0</v>
      </c>
      <c r="L262" s="8">
        <f>'MKT DATA'!P645</f>
        <v>82910</v>
      </c>
      <c r="M262" s="8">
        <f>'MKT DATA'!Q645</f>
        <v>0</v>
      </c>
      <c r="N262" s="8">
        <f>'MKT DATA'!R645</f>
        <v>0</v>
      </c>
      <c r="O262" s="8">
        <f>'MKT DATA'!S645</f>
        <v>-85079</v>
      </c>
      <c r="P262" s="8">
        <f>'MKT DATA'!T645</f>
        <v>0</v>
      </c>
      <c r="Q262" s="43" t="str">
        <f t="shared" si="9"/>
        <v>syn BTCZ6/BTCH7/BTCV6/BTCF7/BTCG7/BTCX6</v>
      </c>
      <c r="R262" s="13">
        <f>'MKT DATA'!AB645</f>
        <v>0</v>
      </c>
    </row>
    <row r="263" spans="5:18" x14ac:dyDescent="0.25">
      <c r="E263" s="43" t="str">
        <f>'MKT DATA'!B646</f>
        <v>syn BTCZ6/BTCH7/BTCV6/BTCG7/BTCF7/BTCX6</v>
      </c>
      <c r="F263" s="13">
        <f>'MKT DATA'!J646</f>
        <v>1</v>
      </c>
      <c r="G263" s="8">
        <f>'MKT DATA'!K646</f>
        <v>82986</v>
      </c>
      <c r="H263" s="8">
        <f>'MKT DATA'!L646</f>
        <v>85085</v>
      </c>
      <c r="I263" s="13">
        <f>'MKT DATA'!M646</f>
        <v>1</v>
      </c>
      <c r="J263" s="43" t="str">
        <f t="shared" si="8"/>
        <v>syn BTCZ6/BTCH7/BTCV6/BTCG7/BTCF7/BTCX6</v>
      </c>
      <c r="K263" s="8">
        <f>'MKT DATA'!O646</f>
        <v>0</v>
      </c>
      <c r="L263" s="8">
        <f>'MKT DATA'!P646</f>
        <v>82986</v>
      </c>
      <c r="M263" s="8">
        <f>'MKT DATA'!Q646</f>
        <v>0</v>
      </c>
      <c r="N263" s="8">
        <f>'MKT DATA'!R646</f>
        <v>0</v>
      </c>
      <c r="O263" s="8">
        <f>'MKT DATA'!S646</f>
        <v>-85085</v>
      </c>
      <c r="P263" s="8">
        <f>'MKT DATA'!T646</f>
        <v>0</v>
      </c>
      <c r="Q263" s="43" t="str">
        <f t="shared" si="9"/>
        <v>syn BTCZ6/BTCH7/BTCV6/BTCG7/BTCF7/BTCX6</v>
      </c>
      <c r="R263" s="13">
        <f>'MKT DATA'!AB646</f>
        <v>0</v>
      </c>
    </row>
    <row r="264" spans="5:18" x14ac:dyDescent="0.25">
      <c r="E264" s="43" t="str">
        <f>'MKT DATA'!B647</f>
        <v>syn BTCZ6/BTCH7/BTCF7/BTCV6/BTCG7/BTCX6</v>
      </c>
      <c r="F264" s="13">
        <f>'MKT DATA'!J647</f>
        <v>1</v>
      </c>
      <c r="G264" s="8">
        <f>'MKT DATA'!K647</f>
        <v>82771</v>
      </c>
      <c r="H264" s="8">
        <f>'MKT DATA'!L647</f>
        <v>85294</v>
      </c>
      <c r="I264" s="13">
        <f>'MKT DATA'!M647</f>
        <v>1</v>
      </c>
      <c r="J264" s="43" t="str">
        <f t="shared" si="8"/>
        <v>syn BTCZ6/BTCH7/BTCF7/BTCV6/BTCG7/BTCX6</v>
      </c>
      <c r="K264" s="8">
        <f>'MKT DATA'!O647</f>
        <v>0</v>
      </c>
      <c r="L264" s="8">
        <f>'MKT DATA'!P647</f>
        <v>82771</v>
      </c>
      <c r="M264" s="8">
        <f>'MKT DATA'!Q647</f>
        <v>0</v>
      </c>
      <c r="N264" s="8">
        <f>'MKT DATA'!R647</f>
        <v>0</v>
      </c>
      <c r="O264" s="8">
        <f>'MKT DATA'!S647</f>
        <v>-85294</v>
      </c>
      <c r="P264" s="8">
        <f>'MKT DATA'!T647</f>
        <v>0</v>
      </c>
      <c r="Q264" s="43" t="str">
        <f t="shared" si="9"/>
        <v>syn BTCZ6/BTCH7/BTCF7/BTCV6/BTCG7/BTCX6</v>
      </c>
      <c r="R264" s="13">
        <f>'MKT DATA'!AB647</f>
        <v>0</v>
      </c>
    </row>
    <row r="265" spans="5:18" x14ac:dyDescent="0.25">
      <c r="E265" s="43" t="str">
        <f>'MKT DATA'!B648</f>
        <v>syn BTCZ6/BTCH7/BTCF7/BTCG7/BTCV6/BTCX6</v>
      </c>
      <c r="F265" s="13">
        <f>'MKT DATA'!J648</f>
        <v>1</v>
      </c>
      <c r="G265" s="8">
        <f>'MKT DATA'!K648</f>
        <v>82931</v>
      </c>
      <c r="H265" s="8">
        <f>'MKT DATA'!L648</f>
        <v>85081</v>
      </c>
      <c r="I265" s="13">
        <f>'MKT DATA'!M648</f>
        <v>1</v>
      </c>
      <c r="J265" s="43" t="str">
        <f t="shared" si="8"/>
        <v>syn BTCZ6/BTCH7/BTCF7/BTCG7/BTCV6/BTCX6</v>
      </c>
      <c r="K265" s="8">
        <f>'MKT DATA'!O648</f>
        <v>0</v>
      </c>
      <c r="L265" s="8">
        <f>'MKT DATA'!P648</f>
        <v>82931</v>
      </c>
      <c r="M265" s="8">
        <f>'MKT DATA'!Q648</f>
        <v>0</v>
      </c>
      <c r="N265" s="8">
        <f>'MKT DATA'!R648</f>
        <v>0</v>
      </c>
      <c r="O265" s="8">
        <f>'MKT DATA'!S648</f>
        <v>-85081</v>
      </c>
      <c r="P265" s="8">
        <f>'MKT DATA'!T648</f>
        <v>0</v>
      </c>
      <c r="Q265" s="43" t="str">
        <f t="shared" si="9"/>
        <v>syn BTCZ6/BTCH7/BTCF7/BTCG7/BTCV6/BTCX6</v>
      </c>
      <c r="R265" s="13">
        <f>'MKT DATA'!AB648</f>
        <v>0</v>
      </c>
    </row>
    <row r="266" spans="5:18" x14ac:dyDescent="0.25">
      <c r="E266" s="43" t="str">
        <f>'MKT DATA'!B649</f>
        <v>syn BTCZ6/BTCH7/BTCG7/BTCV6/BTCF7/BTCX6</v>
      </c>
      <c r="F266" s="13">
        <f>'MKT DATA'!J649</f>
        <v>1</v>
      </c>
      <c r="G266" s="8">
        <f>'MKT DATA'!K649</f>
        <v>83152</v>
      </c>
      <c r="H266" s="8">
        <f>'MKT DATA'!L649</f>
        <v>84818</v>
      </c>
      <c r="I266" s="13">
        <f>'MKT DATA'!M649</f>
        <v>1</v>
      </c>
      <c r="J266" s="43" t="str">
        <f t="shared" ref="J266:J329" si="10">E266</f>
        <v>syn BTCZ6/BTCH7/BTCG7/BTCV6/BTCF7/BTCX6</v>
      </c>
      <c r="K266" s="8">
        <f>'MKT DATA'!O649</f>
        <v>0</v>
      </c>
      <c r="L266" s="8">
        <f>'MKT DATA'!P649</f>
        <v>83152</v>
      </c>
      <c r="M266" s="8">
        <f>'MKT DATA'!Q649</f>
        <v>0</v>
      </c>
      <c r="N266" s="8">
        <f>'MKT DATA'!R649</f>
        <v>0</v>
      </c>
      <c r="O266" s="8">
        <f>'MKT DATA'!S649</f>
        <v>-84818</v>
      </c>
      <c r="P266" s="8">
        <f>'MKT DATA'!T649</f>
        <v>0</v>
      </c>
      <c r="Q266" s="43" t="str">
        <f t="shared" ref="Q266:Q329" si="11">J266</f>
        <v>syn BTCZ6/BTCH7/BTCG7/BTCV6/BTCF7/BTCX6</v>
      </c>
      <c r="R266" s="13">
        <f>'MKT DATA'!AB649</f>
        <v>0</v>
      </c>
    </row>
    <row r="267" spans="5:18" x14ac:dyDescent="0.25">
      <c r="E267" s="43" t="str">
        <f>'MKT DATA'!B650</f>
        <v>syn BTCZ6/BTCH7/BTCG7/BTCF7/BTCV6/BTCX6</v>
      </c>
      <c r="F267" s="13">
        <f>'MKT DATA'!J650</f>
        <v>1</v>
      </c>
      <c r="G267" s="8">
        <f>'MKT DATA'!K650</f>
        <v>83328</v>
      </c>
      <c r="H267" s="8">
        <f>'MKT DATA'!L650</f>
        <v>84691</v>
      </c>
      <c r="I267" s="13">
        <f>'MKT DATA'!M650</f>
        <v>1</v>
      </c>
      <c r="J267" s="43" t="str">
        <f t="shared" si="10"/>
        <v>syn BTCZ6/BTCH7/BTCG7/BTCF7/BTCV6/BTCX6</v>
      </c>
      <c r="K267" s="8">
        <f>'MKT DATA'!O650</f>
        <v>0</v>
      </c>
      <c r="L267" s="8">
        <f>'MKT DATA'!P650</f>
        <v>83328</v>
      </c>
      <c r="M267" s="8">
        <f>'MKT DATA'!Q650</f>
        <v>0</v>
      </c>
      <c r="N267" s="8">
        <f>'MKT DATA'!R650</f>
        <v>0</v>
      </c>
      <c r="O267" s="8">
        <f>'MKT DATA'!S650</f>
        <v>-84691</v>
      </c>
      <c r="P267" s="8">
        <f>'MKT DATA'!T650</f>
        <v>0</v>
      </c>
      <c r="Q267" s="43" t="str">
        <f t="shared" si="11"/>
        <v>syn BTCZ6/BTCH7/BTCG7/BTCF7/BTCV6/BTCX6</v>
      </c>
      <c r="R267" s="13">
        <f>'MKT DATA'!AB650</f>
        <v>0</v>
      </c>
    </row>
    <row r="268" spans="5:18" x14ac:dyDescent="0.25">
      <c r="E268" s="43" t="str">
        <f>'MKT DATA'!B651</f>
        <v>syn BTCF7/BTCV6/BTCZ6/BTCG7/BTCH7/BTCX6</v>
      </c>
      <c r="F268" s="13">
        <f>'MKT DATA'!J651</f>
        <v>1</v>
      </c>
      <c r="G268" s="8">
        <f>'MKT DATA'!K651</f>
        <v>83002</v>
      </c>
      <c r="H268" s="8">
        <f>'MKT DATA'!L651</f>
        <v>84946</v>
      </c>
      <c r="I268" s="13">
        <f>'MKT DATA'!M651</f>
        <v>1</v>
      </c>
      <c r="J268" s="43" t="str">
        <f t="shared" si="10"/>
        <v>syn BTCF7/BTCV6/BTCZ6/BTCG7/BTCH7/BTCX6</v>
      </c>
      <c r="K268" s="8">
        <f>'MKT DATA'!O651</f>
        <v>0</v>
      </c>
      <c r="L268" s="8">
        <f>'MKT DATA'!P651</f>
        <v>83002</v>
      </c>
      <c r="M268" s="8">
        <f>'MKT DATA'!Q651</f>
        <v>0</v>
      </c>
      <c r="N268" s="8">
        <f>'MKT DATA'!R651</f>
        <v>0</v>
      </c>
      <c r="O268" s="8">
        <f>'MKT DATA'!S651</f>
        <v>-84946</v>
      </c>
      <c r="P268" s="8">
        <f>'MKT DATA'!T651</f>
        <v>0</v>
      </c>
      <c r="Q268" s="43" t="str">
        <f t="shared" si="11"/>
        <v>syn BTCF7/BTCV6/BTCZ6/BTCG7/BTCH7/BTCX6</v>
      </c>
      <c r="R268" s="13">
        <f>'MKT DATA'!AB651</f>
        <v>0</v>
      </c>
    </row>
    <row r="269" spans="5:18" x14ac:dyDescent="0.25">
      <c r="E269" s="43" t="str">
        <f>'MKT DATA'!B652</f>
        <v>syn BTCF7/BTCV6/BTCZ6/BTCH7/BTCG7/BTCX6</v>
      </c>
      <c r="F269" s="13">
        <f>'MKT DATA'!J652</f>
        <v>1</v>
      </c>
      <c r="G269" s="8">
        <f>'MKT DATA'!K652</f>
        <v>83157</v>
      </c>
      <c r="H269" s="8">
        <f>'MKT DATA'!L652</f>
        <v>84861</v>
      </c>
      <c r="I269" s="13">
        <f>'MKT DATA'!M652</f>
        <v>1</v>
      </c>
      <c r="J269" s="43" t="str">
        <f t="shared" si="10"/>
        <v>syn BTCF7/BTCV6/BTCZ6/BTCH7/BTCG7/BTCX6</v>
      </c>
      <c r="K269" s="8">
        <f>'MKT DATA'!O652</f>
        <v>0</v>
      </c>
      <c r="L269" s="8">
        <f>'MKT DATA'!P652</f>
        <v>83157</v>
      </c>
      <c r="M269" s="8">
        <f>'MKT DATA'!Q652</f>
        <v>0</v>
      </c>
      <c r="N269" s="8">
        <f>'MKT DATA'!R652</f>
        <v>0</v>
      </c>
      <c r="O269" s="8">
        <f>'MKT DATA'!S652</f>
        <v>-84861</v>
      </c>
      <c r="P269" s="8">
        <f>'MKT DATA'!T652</f>
        <v>0</v>
      </c>
      <c r="Q269" s="43" t="str">
        <f t="shared" si="11"/>
        <v>syn BTCF7/BTCV6/BTCZ6/BTCH7/BTCG7/BTCX6</v>
      </c>
      <c r="R269" s="13">
        <f>'MKT DATA'!AB652</f>
        <v>0</v>
      </c>
    </row>
    <row r="270" spans="5:18" x14ac:dyDescent="0.25">
      <c r="E270" s="43" t="str">
        <f>'MKT DATA'!B653</f>
        <v>syn BTCF7/BTCV6/BTCG7/BTCZ6/BTCH7/BTCX6</v>
      </c>
      <c r="F270" s="13">
        <f>'MKT DATA'!J653</f>
        <v>1</v>
      </c>
      <c r="G270" s="8">
        <f>'MKT DATA'!K653</f>
        <v>82771</v>
      </c>
      <c r="H270" s="8">
        <f>'MKT DATA'!L653</f>
        <v>85294</v>
      </c>
      <c r="I270" s="13">
        <f>'MKT DATA'!M653</f>
        <v>1</v>
      </c>
      <c r="J270" s="43" t="str">
        <f t="shared" si="10"/>
        <v>syn BTCF7/BTCV6/BTCG7/BTCZ6/BTCH7/BTCX6</v>
      </c>
      <c r="K270" s="8">
        <f>'MKT DATA'!O653</f>
        <v>0</v>
      </c>
      <c r="L270" s="8">
        <f>'MKT DATA'!P653</f>
        <v>82771</v>
      </c>
      <c r="M270" s="8">
        <f>'MKT DATA'!Q653</f>
        <v>0</v>
      </c>
      <c r="N270" s="8">
        <f>'MKT DATA'!R653</f>
        <v>0</v>
      </c>
      <c r="O270" s="8">
        <f>'MKT DATA'!S653</f>
        <v>-85294</v>
      </c>
      <c r="P270" s="8">
        <f>'MKT DATA'!T653</f>
        <v>0</v>
      </c>
      <c r="Q270" s="43" t="str">
        <f t="shared" si="11"/>
        <v>syn BTCF7/BTCV6/BTCG7/BTCZ6/BTCH7/BTCX6</v>
      </c>
      <c r="R270" s="13">
        <f>'MKT DATA'!AB653</f>
        <v>0</v>
      </c>
    </row>
    <row r="271" spans="5:18" x14ac:dyDescent="0.25">
      <c r="E271" s="43" t="str">
        <f>'MKT DATA'!B654</f>
        <v>syn BTCF7/BTCV6/BTCG7/BTCH7/BTCZ6/BTCX6</v>
      </c>
      <c r="F271" s="13">
        <f>'MKT DATA'!J654</f>
        <v>1</v>
      </c>
      <c r="G271" s="8">
        <f>'MKT DATA'!K654</f>
        <v>83040</v>
      </c>
      <c r="H271" s="8">
        <f>'MKT DATA'!L654</f>
        <v>84705</v>
      </c>
      <c r="I271" s="13">
        <f>'MKT DATA'!M654</f>
        <v>1</v>
      </c>
      <c r="J271" s="43" t="str">
        <f t="shared" si="10"/>
        <v>syn BTCF7/BTCV6/BTCG7/BTCH7/BTCZ6/BTCX6</v>
      </c>
      <c r="K271" s="8">
        <f>'MKT DATA'!O654</f>
        <v>0</v>
      </c>
      <c r="L271" s="8">
        <f>'MKT DATA'!P654</f>
        <v>83040</v>
      </c>
      <c r="M271" s="8">
        <f>'MKT DATA'!Q654</f>
        <v>0</v>
      </c>
      <c r="N271" s="8">
        <f>'MKT DATA'!R654</f>
        <v>0</v>
      </c>
      <c r="O271" s="8">
        <f>'MKT DATA'!S654</f>
        <v>-84705</v>
      </c>
      <c r="P271" s="8">
        <f>'MKT DATA'!T654</f>
        <v>0</v>
      </c>
      <c r="Q271" s="43" t="str">
        <f t="shared" si="11"/>
        <v>syn BTCF7/BTCV6/BTCG7/BTCH7/BTCZ6/BTCX6</v>
      </c>
      <c r="R271" s="13">
        <f>'MKT DATA'!AB654</f>
        <v>0</v>
      </c>
    </row>
    <row r="272" spans="5:18" x14ac:dyDescent="0.25">
      <c r="E272" s="43" t="str">
        <f>'MKT DATA'!B655</f>
        <v>syn BTCF7/BTCV6/BTCH7/BTCZ6/BTCG7/BTCX6</v>
      </c>
      <c r="F272" s="13">
        <f>'MKT DATA'!J655</f>
        <v>1</v>
      </c>
      <c r="G272" s="8">
        <f>'MKT DATA'!K655</f>
        <v>82591</v>
      </c>
      <c r="H272" s="8">
        <f>'MKT DATA'!L655</f>
        <v>85114</v>
      </c>
      <c r="I272" s="13">
        <f>'MKT DATA'!M655</f>
        <v>1</v>
      </c>
      <c r="J272" s="43" t="str">
        <f t="shared" si="10"/>
        <v>syn BTCF7/BTCV6/BTCH7/BTCZ6/BTCG7/BTCX6</v>
      </c>
      <c r="K272" s="8">
        <f>'MKT DATA'!O655</f>
        <v>0</v>
      </c>
      <c r="L272" s="8">
        <f>'MKT DATA'!P655</f>
        <v>82591</v>
      </c>
      <c r="M272" s="8">
        <f>'MKT DATA'!Q655</f>
        <v>0</v>
      </c>
      <c r="N272" s="8">
        <f>'MKT DATA'!R655</f>
        <v>0</v>
      </c>
      <c r="O272" s="8">
        <f>'MKT DATA'!S655</f>
        <v>-85114</v>
      </c>
      <c r="P272" s="8">
        <f>'MKT DATA'!T655</f>
        <v>0</v>
      </c>
      <c r="Q272" s="43" t="str">
        <f t="shared" si="11"/>
        <v>syn BTCF7/BTCV6/BTCH7/BTCZ6/BTCG7/BTCX6</v>
      </c>
      <c r="R272" s="13">
        <f>'MKT DATA'!AB655</f>
        <v>0</v>
      </c>
    </row>
    <row r="273" spans="5:18" x14ac:dyDescent="0.25">
      <c r="E273" s="43" t="str">
        <f>'MKT DATA'!B656</f>
        <v>syn BTCF7/BTCV6/BTCH7/BTCG7/BTCZ6/BTCX6</v>
      </c>
      <c r="F273" s="13">
        <f>'MKT DATA'!J656</f>
        <v>1</v>
      </c>
      <c r="G273" s="8">
        <f>'MKT DATA'!K656</f>
        <v>82955</v>
      </c>
      <c r="H273" s="8">
        <f>'MKT DATA'!L656</f>
        <v>84860</v>
      </c>
      <c r="I273" s="13">
        <f>'MKT DATA'!M656</f>
        <v>1</v>
      </c>
      <c r="J273" s="43" t="str">
        <f t="shared" si="10"/>
        <v>syn BTCF7/BTCV6/BTCH7/BTCG7/BTCZ6/BTCX6</v>
      </c>
      <c r="K273" s="8">
        <f>'MKT DATA'!O656</f>
        <v>0</v>
      </c>
      <c r="L273" s="8">
        <f>'MKT DATA'!P656</f>
        <v>82955</v>
      </c>
      <c r="M273" s="8">
        <f>'MKT DATA'!Q656</f>
        <v>0</v>
      </c>
      <c r="N273" s="8">
        <f>'MKT DATA'!R656</f>
        <v>0</v>
      </c>
      <c r="O273" s="8">
        <f>'MKT DATA'!S656</f>
        <v>-84860</v>
      </c>
      <c r="P273" s="8">
        <f>'MKT DATA'!T656</f>
        <v>0</v>
      </c>
      <c r="Q273" s="43" t="str">
        <f t="shared" si="11"/>
        <v>syn BTCF7/BTCV6/BTCH7/BTCG7/BTCZ6/BTCX6</v>
      </c>
      <c r="R273" s="13">
        <f>'MKT DATA'!AB656</f>
        <v>0</v>
      </c>
    </row>
    <row r="274" spans="5:18" x14ac:dyDescent="0.25">
      <c r="E274" s="43" t="str">
        <f>'MKT DATA'!B657</f>
        <v>syn BTCF7/BTCZ6/BTCV6/BTCG7/BTCH7/BTCX6</v>
      </c>
      <c r="F274" s="13">
        <f>'MKT DATA'!J657</f>
        <v>1</v>
      </c>
      <c r="G274" s="8">
        <f>'MKT DATA'!K657</f>
        <v>83074</v>
      </c>
      <c r="H274" s="8">
        <f>'MKT DATA'!L657</f>
        <v>84832</v>
      </c>
      <c r="I274" s="13">
        <f>'MKT DATA'!M657</f>
        <v>1</v>
      </c>
      <c r="J274" s="43" t="str">
        <f t="shared" si="10"/>
        <v>syn BTCF7/BTCZ6/BTCV6/BTCG7/BTCH7/BTCX6</v>
      </c>
      <c r="K274" s="8">
        <f>'MKT DATA'!O657</f>
        <v>0</v>
      </c>
      <c r="L274" s="8">
        <f>'MKT DATA'!P657</f>
        <v>83074</v>
      </c>
      <c r="M274" s="8">
        <f>'MKT DATA'!Q657</f>
        <v>0</v>
      </c>
      <c r="N274" s="8">
        <f>'MKT DATA'!R657</f>
        <v>0</v>
      </c>
      <c r="O274" s="8">
        <f>'MKT DATA'!S657</f>
        <v>-84832</v>
      </c>
      <c r="P274" s="8">
        <f>'MKT DATA'!T657</f>
        <v>0</v>
      </c>
      <c r="Q274" s="43" t="str">
        <f t="shared" si="11"/>
        <v>syn BTCF7/BTCZ6/BTCV6/BTCG7/BTCH7/BTCX6</v>
      </c>
      <c r="R274" s="13">
        <f>'MKT DATA'!AB657</f>
        <v>0</v>
      </c>
    </row>
    <row r="275" spans="5:18" x14ac:dyDescent="0.25">
      <c r="E275" s="43" t="str">
        <f>'MKT DATA'!B658</f>
        <v>syn BTCF7/BTCZ6/BTCV6/BTCH7/BTCG7/BTCX6</v>
      </c>
      <c r="F275" s="13">
        <f>'MKT DATA'!J658</f>
        <v>1</v>
      </c>
      <c r="G275" s="8">
        <f>'MKT DATA'!K658</f>
        <v>83019</v>
      </c>
      <c r="H275" s="8">
        <f>'MKT DATA'!L658</f>
        <v>84777</v>
      </c>
      <c r="I275" s="13">
        <f>'MKT DATA'!M658</f>
        <v>1</v>
      </c>
      <c r="J275" s="43" t="str">
        <f t="shared" si="10"/>
        <v>syn BTCF7/BTCZ6/BTCV6/BTCH7/BTCG7/BTCX6</v>
      </c>
      <c r="K275" s="8">
        <f>'MKT DATA'!O658</f>
        <v>0</v>
      </c>
      <c r="L275" s="8">
        <f>'MKT DATA'!P658</f>
        <v>83019</v>
      </c>
      <c r="M275" s="8">
        <f>'MKT DATA'!Q658</f>
        <v>0</v>
      </c>
      <c r="N275" s="8">
        <f>'MKT DATA'!R658</f>
        <v>0</v>
      </c>
      <c r="O275" s="8">
        <f>'MKT DATA'!S658</f>
        <v>-84777</v>
      </c>
      <c r="P275" s="8">
        <f>'MKT DATA'!T658</f>
        <v>0</v>
      </c>
      <c r="Q275" s="43" t="str">
        <f t="shared" si="11"/>
        <v>syn BTCF7/BTCZ6/BTCV6/BTCH7/BTCG7/BTCX6</v>
      </c>
      <c r="R275" s="13">
        <f>'MKT DATA'!AB658</f>
        <v>0</v>
      </c>
    </row>
    <row r="276" spans="5:18" x14ac:dyDescent="0.25">
      <c r="E276" s="43" t="str">
        <f>'MKT DATA'!B659</f>
        <v>syn BTCF7/BTCZ6/BTCG7/BTCV6/BTCH7/BTCX6</v>
      </c>
      <c r="F276" s="13">
        <f>'MKT DATA'!J659</f>
        <v>1</v>
      </c>
      <c r="G276" s="8">
        <f>'MKT DATA'!K659</f>
        <v>82641</v>
      </c>
      <c r="H276" s="8">
        <f>'MKT DATA'!L659</f>
        <v>85218</v>
      </c>
      <c r="I276" s="13">
        <f>'MKT DATA'!M659</f>
        <v>1</v>
      </c>
      <c r="J276" s="43" t="str">
        <f t="shared" si="10"/>
        <v>syn BTCF7/BTCZ6/BTCG7/BTCV6/BTCH7/BTCX6</v>
      </c>
      <c r="K276" s="8">
        <f>'MKT DATA'!O659</f>
        <v>0</v>
      </c>
      <c r="L276" s="8">
        <f>'MKT DATA'!P659</f>
        <v>82641</v>
      </c>
      <c r="M276" s="8">
        <f>'MKT DATA'!Q659</f>
        <v>0</v>
      </c>
      <c r="N276" s="8">
        <f>'MKT DATA'!R659</f>
        <v>0</v>
      </c>
      <c r="O276" s="8">
        <f>'MKT DATA'!S659</f>
        <v>-85218</v>
      </c>
      <c r="P276" s="8">
        <f>'MKT DATA'!T659</f>
        <v>0</v>
      </c>
      <c r="Q276" s="43" t="str">
        <f t="shared" si="11"/>
        <v>syn BTCF7/BTCZ6/BTCG7/BTCV6/BTCH7/BTCX6</v>
      </c>
      <c r="R276" s="13">
        <f>'MKT DATA'!AB659</f>
        <v>0</v>
      </c>
    </row>
    <row r="277" spans="5:18" x14ac:dyDescent="0.25">
      <c r="E277" s="43" t="str">
        <f>'MKT DATA'!B660</f>
        <v>syn BTCF7/BTCZ6/BTCG7/BTCH7/BTCV6/BTCX6</v>
      </c>
      <c r="F277" s="13">
        <f>'MKT DATA'!J660</f>
        <v>1</v>
      </c>
      <c r="G277" s="8">
        <f>'MKT DATA'!K660</f>
        <v>83068</v>
      </c>
      <c r="H277" s="8">
        <f>'MKT DATA'!L660</f>
        <v>84839</v>
      </c>
      <c r="I277" s="13">
        <f>'MKT DATA'!M660</f>
        <v>1</v>
      </c>
      <c r="J277" s="43" t="str">
        <f t="shared" si="10"/>
        <v>syn BTCF7/BTCZ6/BTCG7/BTCH7/BTCV6/BTCX6</v>
      </c>
      <c r="K277" s="8">
        <f>'MKT DATA'!O660</f>
        <v>0</v>
      </c>
      <c r="L277" s="8">
        <f>'MKT DATA'!P660</f>
        <v>83068</v>
      </c>
      <c r="M277" s="8">
        <f>'MKT DATA'!Q660</f>
        <v>0</v>
      </c>
      <c r="N277" s="8">
        <f>'MKT DATA'!R660</f>
        <v>0</v>
      </c>
      <c r="O277" s="8">
        <f>'MKT DATA'!S660</f>
        <v>-84839</v>
      </c>
      <c r="P277" s="8">
        <f>'MKT DATA'!T660</f>
        <v>0</v>
      </c>
      <c r="Q277" s="43" t="str">
        <f t="shared" si="11"/>
        <v>syn BTCF7/BTCZ6/BTCG7/BTCH7/BTCV6/BTCX6</v>
      </c>
      <c r="R277" s="13">
        <f>'MKT DATA'!AB660</f>
        <v>0</v>
      </c>
    </row>
    <row r="278" spans="5:18" x14ac:dyDescent="0.25">
      <c r="E278" s="43" t="str">
        <f>'MKT DATA'!B661</f>
        <v>syn BTCF7/BTCZ6/BTCH7/BTCV6/BTCG7/BTCX6</v>
      </c>
      <c r="F278" s="13">
        <f>'MKT DATA'!J661</f>
        <v>1</v>
      </c>
      <c r="G278" s="8">
        <f>'MKT DATA'!K661</f>
        <v>82851</v>
      </c>
      <c r="H278" s="8">
        <f>'MKT DATA'!L661</f>
        <v>85188</v>
      </c>
      <c r="I278" s="13">
        <f>'MKT DATA'!M661</f>
        <v>1</v>
      </c>
      <c r="J278" s="43" t="str">
        <f t="shared" si="10"/>
        <v>syn BTCF7/BTCZ6/BTCH7/BTCV6/BTCG7/BTCX6</v>
      </c>
      <c r="K278" s="8">
        <f>'MKT DATA'!O661</f>
        <v>0</v>
      </c>
      <c r="L278" s="8">
        <f>'MKT DATA'!P661</f>
        <v>82851</v>
      </c>
      <c r="M278" s="8">
        <f>'MKT DATA'!Q661</f>
        <v>0</v>
      </c>
      <c r="N278" s="8">
        <f>'MKT DATA'!R661</f>
        <v>0</v>
      </c>
      <c r="O278" s="8">
        <f>'MKT DATA'!S661</f>
        <v>-85188</v>
      </c>
      <c r="P278" s="8">
        <f>'MKT DATA'!T661</f>
        <v>0</v>
      </c>
      <c r="Q278" s="43" t="str">
        <f t="shared" si="11"/>
        <v>syn BTCF7/BTCZ6/BTCH7/BTCV6/BTCG7/BTCX6</v>
      </c>
      <c r="R278" s="13">
        <f>'MKT DATA'!AB661</f>
        <v>0</v>
      </c>
    </row>
    <row r="279" spans="5:18" x14ac:dyDescent="0.25">
      <c r="E279" s="43" t="str">
        <f>'MKT DATA'!B662</f>
        <v>syn BTCF7/BTCZ6/BTCH7/BTCG7/BTCV6/BTCX6</v>
      </c>
      <c r="F279" s="13">
        <f>'MKT DATA'!J662</f>
        <v>1</v>
      </c>
      <c r="G279" s="8">
        <f>'MKT DATA'!K662</f>
        <v>83223</v>
      </c>
      <c r="H279" s="8">
        <f>'MKT DATA'!L662</f>
        <v>84754</v>
      </c>
      <c r="I279" s="13">
        <f>'MKT DATA'!M662</f>
        <v>1</v>
      </c>
      <c r="J279" s="43" t="str">
        <f t="shared" si="10"/>
        <v>syn BTCF7/BTCZ6/BTCH7/BTCG7/BTCV6/BTCX6</v>
      </c>
      <c r="K279" s="8">
        <f>'MKT DATA'!O662</f>
        <v>0</v>
      </c>
      <c r="L279" s="8">
        <f>'MKT DATA'!P662</f>
        <v>83223</v>
      </c>
      <c r="M279" s="8">
        <f>'MKT DATA'!Q662</f>
        <v>0</v>
      </c>
      <c r="N279" s="8">
        <f>'MKT DATA'!R662</f>
        <v>0</v>
      </c>
      <c r="O279" s="8">
        <f>'MKT DATA'!S662</f>
        <v>-84754</v>
      </c>
      <c r="P279" s="8">
        <f>'MKT DATA'!T662</f>
        <v>0</v>
      </c>
      <c r="Q279" s="43" t="str">
        <f t="shared" si="11"/>
        <v>syn BTCF7/BTCZ6/BTCH7/BTCG7/BTCV6/BTCX6</v>
      </c>
      <c r="R279" s="13">
        <f>'MKT DATA'!AB662</f>
        <v>0</v>
      </c>
    </row>
    <row r="280" spans="5:18" x14ac:dyDescent="0.25">
      <c r="E280" s="43" t="str">
        <f>'MKT DATA'!B663</f>
        <v>syn BTCF7/BTCG7/BTCV6/BTCZ6/BTCH7/BTCX6</v>
      </c>
      <c r="F280" s="13">
        <f>'MKT DATA'!J663</f>
        <v>1</v>
      </c>
      <c r="G280" s="8">
        <f>'MKT DATA'!K663</f>
        <v>82945</v>
      </c>
      <c r="H280" s="8">
        <f>'MKT DATA'!L663</f>
        <v>85082</v>
      </c>
      <c r="I280" s="13">
        <f>'MKT DATA'!M663</f>
        <v>1</v>
      </c>
      <c r="J280" s="43" t="str">
        <f t="shared" si="10"/>
        <v>syn BTCF7/BTCG7/BTCV6/BTCZ6/BTCH7/BTCX6</v>
      </c>
      <c r="K280" s="8">
        <f>'MKT DATA'!O663</f>
        <v>0</v>
      </c>
      <c r="L280" s="8">
        <f>'MKT DATA'!P663</f>
        <v>82945</v>
      </c>
      <c r="M280" s="8">
        <f>'MKT DATA'!Q663</f>
        <v>0</v>
      </c>
      <c r="N280" s="8">
        <f>'MKT DATA'!R663</f>
        <v>0</v>
      </c>
      <c r="O280" s="8">
        <f>'MKT DATA'!S663</f>
        <v>-85082</v>
      </c>
      <c r="P280" s="8">
        <f>'MKT DATA'!T663</f>
        <v>0</v>
      </c>
      <c r="Q280" s="43" t="str">
        <f t="shared" si="11"/>
        <v>syn BTCF7/BTCG7/BTCV6/BTCZ6/BTCH7/BTCX6</v>
      </c>
      <c r="R280" s="13">
        <f>'MKT DATA'!AB663</f>
        <v>0</v>
      </c>
    </row>
    <row r="281" spans="5:18" x14ac:dyDescent="0.25">
      <c r="E281" s="43" t="str">
        <f>'MKT DATA'!B664</f>
        <v>syn BTCF7/BTCG7/BTCV6/BTCH7/BTCZ6/BTCX6</v>
      </c>
      <c r="F281" s="13">
        <f>'MKT DATA'!J664</f>
        <v>1</v>
      </c>
      <c r="G281" s="8">
        <f>'MKT DATA'!K664</f>
        <v>82773</v>
      </c>
      <c r="H281" s="8">
        <f>'MKT DATA'!L664</f>
        <v>84871</v>
      </c>
      <c r="I281" s="13">
        <f>'MKT DATA'!M664</f>
        <v>1</v>
      </c>
      <c r="J281" s="43" t="str">
        <f t="shared" si="10"/>
        <v>syn BTCF7/BTCG7/BTCV6/BTCH7/BTCZ6/BTCX6</v>
      </c>
      <c r="K281" s="8">
        <f>'MKT DATA'!O664</f>
        <v>0</v>
      </c>
      <c r="L281" s="8">
        <f>'MKT DATA'!P664</f>
        <v>82773</v>
      </c>
      <c r="M281" s="8">
        <f>'MKT DATA'!Q664</f>
        <v>0</v>
      </c>
      <c r="N281" s="8">
        <f>'MKT DATA'!R664</f>
        <v>0</v>
      </c>
      <c r="O281" s="8">
        <f>'MKT DATA'!S664</f>
        <v>-84871</v>
      </c>
      <c r="P281" s="8">
        <f>'MKT DATA'!T664</f>
        <v>0</v>
      </c>
      <c r="Q281" s="43" t="str">
        <f t="shared" si="11"/>
        <v>syn BTCF7/BTCG7/BTCV6/BTCH7/BTCZ6/BTCX6</v>
      </c>
      <c r="R281" s="13">
        <f>'MKT DATA'!AB664</f>
        <v>0</v>
      </c>
    </row>
    <row r="282" spans="5:18" x14ac:dyDescent="0.25">
      <c r="E282" s="43" t="str">
        <f>'MKT DATA'!B665</f>
        <v>syn BTCF7/BTCG7/BTCZ6/BTCV6/BTCH7/BTCX6</v>
      </c>
      <c r="F282" s="13">
        <f>'MKT DATA'!J665</f>
        <v>1</v>
      </c>
      <c r="G282" s="8">
        <f>'MKT DATA'!K665</f>
        <v>82727</v>
      </c>
      <c r="H282" s="8">
        <f>'MKT DATA'!L665</f>
        <v>85104</v>
      </c>
      <c r="I282" s="13">
        <f>'MKT DATA'!M665</f>
        <v>1</v>
      </c>
      <c r="J282" s="43" t="str">
        <f t="shared" si="10"/>
        <v>syn BTCF7/BTCG7/BTCZ6/BTCV6/BTCH7/BTCX6</v>
      </c>
      <c r="K282" s="8">
        <f>'MKT DATA'!O665</f>
        <v>0</v>
      </c>
      <c r="L282" s="8">
        <f>'MKT DATA'!P665</f>
        <v>82727</v>
      </c>
      <c r="M282" s="8">
        <f>'MKT DATA'!Q665</f>
        <v>0</v>
      </c>
      <c r="N282" s="8">
        <f>'MKT DATA'!R665</f>
        <v>0</v>
      </c>
      <c r="O282" s="8">
        <f>'MKT DATA'!S665</f>
        <v>-85104</v>
      </c>
      <c r="P282" s="8">
        <f>'MKT DATA'!T665</f>
        <v>0</v>
      </c>
      <c r="Q282" s="43" t="str">
        <f t="shared" si="11"/>
        <v>syn BTCF7/BTCG7/BTCZ6/BTCV6/BTCH7/BTCX6</v>
      </c>
      <c r="R282" s="13">
        <f>'MKT DATA'!AB665</f>
        <v>0</v>
      </c>
    </row>
    <row r="283" spans="5:18" x14ac:dyDescent="0.25">
      <c r="E283" s="43" t="str">
        <f>'MKT DATA'!B666</f>
        <v>syn BTCF7/BTCG7/BTCZ6/BTCH7/BTCV6/BTCX6</v>
      </c>
      <c r="F283" s="13">
        <f>'MKT DATA'!J666</f>
        <v>1</v>
      </c>
      <c r="G283" s="8">
        <f>'MKT DATA'!K666</f>
        <v>82931</v>
      </c>
      <c r="H283" s="8">
        <f>'MKT DATA'!L666</f>
        <v>85081</v>
      </c>
      <c r="I283" s="13">
        <f>'MKT DATA'!M666</f>
        <v>1</v>
      </c>
      <c r="J283" s="43" t="str">
        <f t="shared" si="10"/>
        <v>syn BTCF7/BTCG7/BTCZ6/BTCH7/BTCV6/BTCX6</v>
      </c>
      <c r="K283" s="8">
        <f>'MKT DATA'!O666</f>
        <v>0</v>
      </c>
      <c r="L283" s="8">
        <f>'MKT DATA'!P666</f>
        <v>82931</v>
      </c>
      <c r="M283" s="8">
        <f>'MKT DATA'!Q666</f>
        <v>0</v>
      </c>
      <c r="N283" s="8">
        <f>'MKT DATA'!R666</f>
        <v>0</v>
      </c>
      <c r="O283" s="8">
        <f>'MKT DATA'!S666</f>
        <v>-85081</v>
      </c>
      <c r="P283" s="8">
        <f>'MKT DATA'!T666</f>
        <v>0</v>
      </c>
      <c r="Q283" s="43" t="str">
        <f t="shared" si="11"/>
        <v>syn BTCF7/BTCG7/BTCZ6/BTCH7/BTCV6/BTCX6</v>
      </c>
      <c r="R283" s="13">
        <f>'MKT DATA'!AB666</f>
        <v>0</v>
      </c>
    </row>
    <row r="284" spans="5:18" x14ac:dyDescent="0.25">
      <c r="E284" s="43" t="str">
        <f>'MKT DATA'!B667</f>
        <v>syn BTCF7/BTCG7/BTCH7/BTCV6/BTCZ6/BTCX6</v>
      </c>
      <c r="F284" s="13">
        <f>'MKT DATA'!J667</f>
        <v>1</v>
      </c>
      <c r="G284" s="8">
        <f>'MKT DATA'!K667</f>
        <v>83184</v>
      </c>
      <c r="H284" s="8">
        <f>'MKT DATA'!L667</f>
        <v>84703</v>
      </c>
      <c r="I284" s="13">
        <f>'MKT DATA'!M667</f>
        <v>1</v>
      </c>
      <c r="J284" s="43" t="str">
        <f t="shared" si="10"/>
        <v>syn BTCF7/BTCG7/BTCH7/BTCV6/BTCZ6/BTCX6</v>
      </c>
      <c r="K284" s="8">
        <f>'MKT DATA'!O667</f>
        <v>0</v>
      </c>
      <c r="L284" s="8">
        <f>'MKT DATA'!P667</f>
        <v>83184</v>
      </c>
      <c r="M284" s="8">
        <f>'MKT DATA'!Q667</f>
        <v>0</v>
      </c>
      <c r="N284" s="8">
        <f>'MKT DATA'!R667</f>
        <v>0</v>
      </c>
      <c r="O284" s="8">
        <f>'MKT DATA'!S667</f>
        <v>-84703</v>
      </c>
      <c r="P284" s="8">
        <f>'MKT DATA'!T667</f>
        <v>0</v>
      </c>
      <c r="Q284" s="43" t="str">
        <f t="shared" si="11"/>
        <v>syn BTCF7/BTCG7/BTCH7/BTCV6/BTCZ6/BTCX6</v>
      </c>
      <c r="R284" s="13">
        <f>'MKT DATA'!AB667</f>
        <v>0</v>
      </c>
    </row>
    <row r="285" spans="5:18" x14ac:dyDescent="0.25">
      <c r="E285" s="43" t="str">
        <f>'MKT DATA'!B668</f>
        <v>syn BTCF7/BTCG7/BTCH7/BTCZ6/BTCV6/BTCX6</v>
      </c>
      <c r="F285" s="13">
        <f>'MKT DATA'!J668</f>
        <v>1</v>
      </c>
      <c r="G285" s="8">
        <f>'MKT DATA'!K668</f>
        <v>83184</v>
      </c>
      <c r="H285" s="8">
        <f>'MKT DATA'!L668</f>
        <v>84515</v>
      </c>
      <c r="I285" s="13">
        <f>'MKT DATA'!M668</f>
        <v>1</v>
      </c>
      <c r="J285" s="43" t="str">
        <f t="shared" si="10"/>
        <v>syn BTCF7/BTCG7/BTCH7/BTCZ6/BTCV6/BTCX6</v>
      </c>
      <c r="K285" s="8">
        <f>'MKT DATA'!O668</f>
        <v>0</v>
      </c>
      <c r="L285" s="8">
        <f>'MKT DATA'!P668</f>
        <v>83184</v>
      </c>
      <c r="M285" s="8">
        <f>'MKT DATA'!Q668</f>
        <v>0</v>
      </c>
      <c r="N285" s="8">
        <f>'MKT DATA'!R668</f>
        <v>0</v>
      </c>
      <c r="O285" s="8">
        <f>'MKT DATA'!S668</f>
        <v>-84515</v>
      </c>
      <c r="P285" s="8">
        <f>'MKT DATA'!T668</f>
        <v>0</v>
      </c>
      <c r="Q285" s="43" t="str">
        <f t="shared" si="11"/>
        <v>syn BTCF7/BTCG7/BTCH7/BTCZ6/BTCV6/BTCX6</v>
      </c>
      <c r="R285" s="13">
        <f>'MKT DATA'!AB668</f>
        <v>0</v>
      </c>
    </row>
    <row r="286" spans="5:18" x14ac:dyDescent="0.25">
      <c r="E286" s="43" t="str">
        <f>'MKT DATA'!B669</f>
        <v>syn BTCF7/BTCH7/BTCV6/BTCZ6/BTCG7/BTCX6</v>
      </c>
      <c r="F286" s="13">
        <f>'MKT DATA'!J669</f>
        <v>1</v>
      </c>
      <c r="G286" s="8">
        <f>'MKT DATA'!K669</f>
        <v>82566</v>
      </c>
      <c r="H286" s="8">
        <f>'MKT DATA'!L669</f>
        <v>85297</v>
      </c>
      <c r="I286" s="13">
        <f>'MKT DATA'!M669</f>
        <v>1</v>
      </c>
      <c r="J286" s="43" t="str">
        <f t="shared" si="10"/>
        <v>syn BTCF7/BTCH7/BTCV6/BTCZ6/BTCG7/BTCX6</v>
      </c>
      <c r="K286" s="8">
        <f>'MKT DATA'!O669</f>
        <v>0</v>
      </c>
      <c r="L286" s="8">
        <f>'MKT DATA'!P669</f>
        <v>82566</v>
      </c>
      <c r="M286" s="8">
        <f>'MKT DATA'!Q669</f>
        <v>0</v>
      </c>
      <c r="N286" s="8">
        <f>'MKT DATA'!R669</f>
        <v>0</v>
      </c>
      <c r="O286" s="8">
        <f>'MKT DATA'!S669</f>
        <v>-85297</v>
      </c>
      <c r="P286" s="8">
        <f>'MKT DATA'!T669</f>
        <v>0</v>
      </c>
      <c r="Q286" s="43" t="str">
        <f t="shared" si="11"/>
        <v>syn BTCF7/BTCH7/BTCV6/BTCZ6/BTCG7/BTCX6</v>
      </c>
      <c r="R286" s="13">
        <f>'MKT DATA'!AB669</f>
        <v>0</v>
      </c>
    </row>
    <row r="287" spans="5:18" x14ac:dyDescent="0.25">
      <c r="E287" s="43" t="str">
        <f>'MKT DATA'!B670</f>
        <v>syn BTCF7/BTCH7/BTCV6/BTCG7/BTCZ6/BTCX6</v>
      </c>
      <c r="F287" s="13">
        <f>'MKT DATA'!J670</f>
        <v>1</v>
      </c>
      <c r="G287" s="8">
        <f>'MKT DATA'!K670</f>
        <v>82574</v>
      </c>
      <c r="H287" s="8">
        <f>'MKT DATA'!L670</f>
        <v>85266</v>
      </c>
      <c r="I287" s="13">
        <f>'MKT DATA'!M670</f>
        <v>1</v>
      </c>
      <c r="J287" s="43" t="str">
        <f t="shared" si="10"/>
        <v>syn BTCF7/BTCH7/BTCV6/BTCG7/BTCZ6/BTCX6</v>
      </c>
      <c r="K287" s="8">
        <f>'MKT DATA'!O670</f>
        <v>0</v>
      </c>
      <c r="L287" s="8">
        <f>'MKT DATA'!P670</f>
        <v>82574</v>
      </c>
      <c r="M287" s="8">
        <f>'MKT DATA'!Q670</f>
        <v>0</v>
      </c>
      <c r="N287" s="8">
        <f>'MKT DATA'!R670</f>
        <v>0</v>
      </c>
      <c r="O287" s="8">
        <f>'MKT DATA'!S670</f>
        <v>-85266</v>
      </c>
      <c r="P287" s="8">
        <f>'MKT DATA'!T670</f>
        <v>0</v>
      </c>
      <c r="Q287" s="43" t="str">
        <f t="shared" si="11"/>
        <v>syn BTCF7/BTCH7/BTCV6/BTCG7/BTCZ6/BTCX6</v>
      </c>
      <c r="R287" s="13">
        <f>'MKT DATA'!AB670</f>
        <v>0</v>
      </c>
    </row>
    <row r="288" spans="5:18" x14ac:dyDescent="0.25">
      <c r="E288" s="43" t="str">
        <f>'MKT DATA'!B671</f>
        <v>syn BTCF7/BTCH7/BTCZ6/BTCV6/BTCG7/BTCX6</v>
      </c>
      <c r="F288" s="13">
        <f>'MKT DATA'!J671</f>
        <v>1</v>
      </c>
      <c r="G288" s="8">
        <f>'MKT DATA'!K671</f>
        <v>82588</v>
      </c>
      <c r="H288" s="8">
        <f>'MKT DATA'!L671</f>
        <v>85079</v>
      </c>
      <c r="I288" s="13">
        <f>'MKT DATA'!M671</f>
        <v>1</v>
      </c>
      <c r="J288" s="43" t="str">
        <f t="shared" si="10"/>
        <v>syn BTCF7/BTCH7/BTCZ6/BTCV6/BTCG7/BTCX6</v>
      </c>
      <c r="K288" s="8">
        <f>'MKT DATA'!O671</f>
        <v>0</v>
      </c>
      <c r="L288" s="8">
        <f>'MKT DATA'!P671</f>
        <v>82588</v>
      </c>
      <c r="M288" s="8">
        <f>'MKT DATA'!Q671</f>
        <v>0</v>
      </c>
      <c r="N288" s="8">
        <f>'MKT DATA'!R671</f>
        <v>0</v>
      </c>
      <c r="O288" s="8">
        <f>'MKT DATA'!S671</f>
        <v>-85079</v>
      </c>
      <c r="P288" s="8">
        <f>'MKT DATA'!T671</f>
        <v>0</v>
      </c>
      <c r="Q288" s="43" t="str">
        <f t="shared" si="11"/>
        <v>syn BTCF7/BTCH7/BTCZ6/BTCV6/BTCG7/BTCX6</v>
      </c>
      <c r="R288" s="13">
        <f>'MKT DATA'!AB671</f>
        <v>0</v>
      </c>
    </row>
    <row r="289" spans="5:18" x14ac:dyDescent="0.25">
      <c r="E289" s="43" t="str">
        <f>'MKT DATA'!B672</f>
        <v>syn BTCF7/BTCH7/BTCZ6/BTCG7/BTCV6/BTCX6</v>
      </c>
      <c r="F289" s="13">
        <f>'MKT DATA'!J672</f>
        <v>1</v>
      </c>
      <c r="G289" s="8">
        <f>'MKT DATA'!K672</f>
        <v>82582</v>
      </c>
      <c r="H289" s="8">
        <f>'MKT DATA'!L672</f>
        <v>85086</v>
      </c>
      <c r="I289" s="13">
        <f>'MKT DATA'!M672</f>
        <v>1</v>
      </c>
      <c r="J289" s="43" t="str">
        <f t="shared" si="10"/>
        <v>syn BTCF7/BTCH7/BTCZ6/BTCG7/BTCV6/BTCX6</v>
      </c>
      <c r="K289" s="8">
        <f>'MKT DATA'!O672</f>
        <v>0</v>
      </c>
      <c r="L289" s="8">
        <f>'MKT DATA'!P672</f>
        <v>82582</v>
      </c>
      <c r="M289" s="8">
        <f>'MKT DATA'!Q672</f>
        <v>0</v>
      </c>
      <c r="N289" s="8">
        <f>'MKT DATA'!R672</f>
        <v>0</v>
      </c>
      <c r="O289" s="8">
        <f>'MKT DATA'!S672</f>
        <v>-85086</v>
      </c>
      <c r="P289" s="8">
        <f>'MKT DATA'!T672</f>
        <v>0</v>
      </c>
      <c r="Q289" s="43" t="str">
        <f t="shared" si="11"/>
        <v>syn BTCF7/BTCH7/BTCZ6/BTCG7/BTCV6/BTCX6</v>
      </c>
      <c r="R289" s="13">
        <f>'MKT DATA'!AB672</f>
        <v>0</v>
      </c>
    </row>
    <row r="290" spans="5:18" x14ac:dyDescent="0.25">
      <c r="E290" s="43" t="str">
        <f>'MKT DATA'!B673</f>
        <v>syn BTCF7/BTCH7/BTCG7/BTCV6/BTCZ6/BTCX6</v>
      </c>
      <c r="F290" s="13">
        <f>'MKT DATA'!J673</f>
        <v>1</v>
      </c>
      <c r="G290" s="8">
        <f>'MKT DATA'!K673</f>
        <v>82960</v>
      </c>
      <c r="H290" s="8">
        <f>'MKT DATA'!L673</f>
        <v>84833</v>
      </c>
      <c r="I290" s="13">
        <f>'MKT DATA'!M673</f>
        <v>1</v>
      </c>
      <c r="J290" s="43" t="str">
        <f t="shared" si="10"/>
        <v>syn BTCF7/BTCH7/BTCG7/BTCV6/BTCZ6/BTCX6</v>
      </c>
      <c r="K290" s="8">
        <f>'MKT DATA'!O673</f>
        <v>0</v>
      </c>
      <c r="L290" s="8">
        <f>'MKT DATA'!P673</f>
        <v>82960</v>
      </c>
      <c r="M290" s="8">
        <f>'MKT DATA'!Q673</f>
        <v>0</v>
      </c>
      <c r="N290" s="8">
        <f>'MKT DATA'!R673</f>
        <v>0</v>
      </c>
      <c r="O290" s="8">
        <f>'MKT DATA'!S673</f>
        <v>-84833</v>
      </c>
      <c r="P290" s="8">
        <f>'MKT DATA'!T673</f>
        <v>0</v>
      </c>
      <c r="Q290" s="43" t="str">
        <f t="shared" si="11"/>
        <v>syn BTCF7/BTCH7/BTCG7/BTCV6/BTCZ6/BTCX6</v>
      </c>
      <c r="R290" s="13">
        <f>'MKT DATA'!AB673</f>
        <v>0</v>
      </c>
    </row>
    <row r="291" spans="5:18" x14ac:dyDescent="0.25">
      <c r="E291" s="43" t="str">
        <f>'MKT DATA'!B674</f>
        <v>syn BTCF7/BTCH7/BTCG7/BTCZ6/BTCV6/BTCX6</v>
      </c>
      <c r="F291" s="13">
        <f>'MKT DATA'!J674</f>
        <v>1</v>
      </c>
      <c r="G291" s="8">
        <f>'MKT DATA'!K674</f>
        <v>82930</v>
      </c>
      <c r="H291" s="8">
        <f>'MKT DATA'!L674</f>
        <v>84855</v>
      </c>
      <c r="I291" s="13">
        <f>'MKT DATA'!M674</f>
        <v>1</v>
      </c>
      <c r="J291" s="43" t="str">
        <f t="shared" si="10"/>
        <v>syn BTCF7/BTCH7/BTCG7/BTCZ6/BTCV6/BTCX6</v>
      </c>
      <c r="K291" s="8">
        <f>'MKT DATA'!O674</f>
        <v>0</v>
      </c>
      <c r="L291" s="8">
        <f>'MKT DATA'!P674</f>
        <v>82930</v>
      </c>
      <c r="M291" s="8">
        <f>'MKT DATA'!Q674</f>
        <v>0</v>
      </c>
      <c r="N291" s="8">
        <f>'MKT DATA'!R674</f>
        <v>0</v>
      </c>
      <c r="O291" s="8">
        <f>'MKT DATA'!S674</f>
        <v>-84855</v>
      </c>
      <c r="P291" s="8">
        <f>'MKT DATA'!T674</f>
        <v>0</v>
      </c>
      <c r="Q291" s="43" t="str">
        <f t="shared" si="11"/>
        <v>syn BTCF7/BTCH7/BTCG7/BTCZ6/BTCV6/BTCX6</v>
      </c>
      <c r="R291" s="13">
        <f>'MKT DATA'!AB674</f>
        <v>0</v>
      </c>
    </row>
    <row r="292" spans="5:18" x14ac:dyDescent="0.25">
      <c r="E292" s="43" t="str">
        <f>'MKT DATA'!B675</f>
        <v>syn BTCG7/BTCV6/BTCZ6/BTCF7/BTCH7/BTCX6</v>
      </c>
      <c r="F292" s="13">
        <f>'MKT DATA'!J675</f>
        <v>1</v>
      </c>
      <c r="G292" s="8">
        <f>'MKT DATA'!K675</f>
        <v>82688</v>
      </c>
      <c r="H292" s="8">
        <f>'MKT DATA'!L675</f>
        <v>85171</v>
      </c>
      <c r="I292" s="13">
        <f>'MKT DATA'!M675</f>
        <v>1</v>
      </c>
      <c r="J292" s="43" t="str">
        <f t="shared" si="10"/>
        <v>syn BTCG7/BTCV6/BTCZ6/BTCF7/BTCH7/BTCX6</v>
      </c>
      <c r="K292" s="8">
        <f>'MKT DATA'!O675</f>
        <v>0</v>
      </c>
      <c r="L292" s="8">
        <f>'MKT DATA'!P675</f>
        <v>82688</v>
      </c>
      <c r="M292" s="8">
        <f>'MKT DATA'!Q675</f>
        <v>0</v>
      </c>
      <c r="N292" s="8">
        <f>'MKT DATA'!R675</f>
        <v>0</v>
      </c>
      <c r="O292" s="8">
        <f>'MKT DATA'!S675</f>
        <v>-85171</v>
      </c>
      <c r="P292" s="8">
        <f>'MKT DATA'!T675</f>
        <v>0</v>
      </c>
      <c r="Q292" s="43" t="str">
        <f t="shared" si="11"/>
        <v>syn BTCG7/BTCV6/BTCZ6/BTCF7/BTCH7/BTCX6</v>
      </c>
      <c r="R292" s="13">
        <f>'MKT DATA'!AB675</f>
        <v>0</v>
      </c>
    </row>
    <row r="293" spans="5:18" x14ac:dyDescent="0.25">
      <c r="E293" s="43" t="str">
        <f>'MKT DATA'!B676</f>
        <v>syn BTCG7/BTCV6/BTCZ6/BTCH7/BTCF7/BTCX6</v>
      </c>
      <c r="F293" s="13">
        <f>'MKT DATA'!J676</f>
        <v>1</v>
      </c>
      <c r="G293" s="8">
        <f>'MKT DATA'!K676</f>
        <v>82852</v>
      </c>
      <c r="H293" s="8">
        <f>'MKT DATA'!L676</f>
        <v>85211</v>
      </c>
      <c r="I293" s="13">
        <f>'MKT DATA'!M676</f>
        <v>1</v>
      </c>
      <c r="J293" s="43" t="str">
        <f t="shared" si="10"/>
        <v>syn BTCG7/BTCV6/BTCZ6/BTCH7/BTCF7/BTCX6</v>
      </c>
      <c r="K293" s="8">
        <f>'MKT DATA'!O676</f>
        <v>0</v>
      </c>
      <c r="L293" s="8">
        <f>'MKT DATA'!P676</f>
        <v>82852</v>
      </c>
      <c r="M293" s="8">
        <f>'MKT DATA'!Q676</f>
        <v>0</v>
      </c>
      <c r="N293" s="8">
        <f>'MKT DATA'!R676</f>
        <v>0</v>
      </c>
      <c r="O293" s="8">
        <f>'MKT DATA'!S676</f>
        <v>-85211</v>
      </c>
      <c r="P293" s="8">
        <f>'MKT DATA'!T676</f>
        <v>0</v>
      </c>
      <c r="Q293" s="43" t="str">
        <f t="shared" si="11"/>
        <v>syn BTCG7/BTCV6/BTCZ6/BTCH7/BTCF7/BTCX6</v>
      </c>
      <c r="R293" s="13">
        <f>'MKT DATA'!AB676</f>
        <v>0</v>
      </c>
    </row>
    <row r="294" spans="5:18" x14ac:dyDescent="0.25">
      <c r="E294" s="43" t="str">
        <f>'MKT DATA'!B677</f>
        <v>syn BTCG7/BTCV6/BTCF7/BTCZ6/BTCH7/BTCX6</v>
      </c>
      <c r="F294" s="13">
        <f>'MKT DATA'!J677</f>
        <v>1</v>
      </c>
      <c r="G294" s="8">
        <f>'MKT DATA'!K677</f>
        <v>82867</v>
      </c>
      <c r="H294" s="8">
        <f>'MKT DATA'!L677</f>
        <v>85142</v>
      </c>
      <c r="I294" s="13">
        <f>'MKT DATA'!M677</f>
        <v>1</v>
      </c>
      <c r="J294" s="43" t="str">
        <f t="shared" si="10"/>
        <v>syn BTCG7/BTCV6/BTCF7/BTCZ6/BTCH7/BTCX6</v>
      </c>
      <c r="K294" s="8">
        <f>'MKT DATA'!O677</f>
        <v>0</v>
      </c>
      <c r="L294" s="8">
        <f>'MKT DATA'!P677</f>
        <v>82867</v>
      </c>
      <c r="M294" s="8">
        <f>'MKT DATA'!Q677</f>
        <v>0</v>
      </c>
      <c r="N294" s="8">
        <f>'MKT DATA'!R677</f>
        <v>0</v>
      </c>
      <c r="O294" s="8">
        <f>'MKT DATA'!S677</f>
        <v>-85142</v>
      </c>
      <c r="P294" s="8">
        <f>'MKT DATA'!T677</f>
        <v>0</v>
      </c>
      <c r="Q294" s="43" t="str">
        <f t="shared" si="11"/>
        <v>syn BTCG7/BTCV6/BTCF7/BTCZ6/BTCH7/BTCX6</v>
      </c>
      <c r="R294" s="13">
        <f>'MKT DATA'!AB677</f>
        <v>0</v>
      </c>
    </row>
    <row r="295" spans="5:18" x14ac:dyDescent="0.25">
      <c r="E295" s="43" t="str">
        <f>'MKT DATA'!B678</f>
        <v>syn BTCG7/BTCV6/BTCF7/BTCH7/BTCZ6/BTCX6</v>
      </c>
      <c r="F295" s="13">
        <f>'MKT DATA'!J678</f>
        <v>1</v>
      </c>
      <c r="G295" s="8">
        <f>'MKT DATA'!K678</f>
        <v>82620</v>
      </c>
      <c r="H295" s="8">
        <f>'MKT DATA'!L678</f>
        <v>85010</v>
      </c>
      <c r="I295" s="13">
        <f>'MKT DATA'!M678</f>
        <v>1</v>
      </c>
      <c r="J295" s="43" t="str">
        <f t="shared" si="10"/>
        <v>syn BTCG7/BTCV6/BTCF7/BTCH7/BTCZ6/BTCX6</v>
      </c>
      <c r="K295" s="8">
        <f>'MKT DATA'!O678</f>
        <v>0</v>
      </c>
      <c r="L295" s="8">
        <f>'MKT DATA'!P678</f>
        <v>82620</v>
      </c>
      <c r="M295" s="8">
        <f>'MKT DATA'!Q678</f>
        <v>0</v>
      </c>
      <c r="N295" s="8">
        <f>'MKT DATA'!R678</f>
        <v>0</v>
      </c>
      <c r="O295" s="8">
        <f>'MKT DATA'!S678</f>
        <v>-85010</v>
      </c>
      <c r="P295" s="8">
        <f>'MKT DATA'!T678</f>
        <v>0</v>
      </c>
      <c r="Q295" s="43" t="str">
        <f t="shared" si="11"/>
        <v>syn BTCG7/BTCV6/BTCF7/BTCH7/BTCZ6/BTCX6</v>
      </c>
      <c r="R295" s="13">
        <f>'MKT DATA'!AB678</f>
        <v>0</v>
      </c>
    </row>
    <row r="296" spans="5:18" x14ac:dyDescent="0.25">
      <c r="E296" s="43" t="str">
        <f>'MKT DATA'!B679</f>
        <v>syn BTCG7/BTCV6/BTCH7/BTCZ6/BTCF7/BTCX6</v>
      </c>
      <c r="F296" s="13">
        <f>'MKT DATA'!J679</f>
        <v>1</v>
      </c>
      <c r="G296" s="8">
        <f>'MKT DATA'!K679</f>
        <v>82743</v>
      </c>
      <c r="H296" s="8">
        <f>'MKT DATA'!L679</f>
        <v>84948</v>
      </c>
      <c r="I296" s="13">
        <f>'MKT DATA'!M679</f>
        <v>1</v>
      </c>
      <c r="J296" s="43" t="str">
        <f t="shared" si="10"/>
        <v>syn BTCG7/BTCV6/BTCH7/BTCZ6/BTCF7/BTCX6</v>
      </c>
      <c r="K296" s="8">
        <f>'MKT DATA'!O679</f>
        <v>0</v>
      </c>
      <c r="L296" s="8">
        <f>'MKT DATA'!P679</f>
        <v>82743</v>
      </c>
      <c r="M296" s="8">
        <f>'MKT DATA'!Q679</f>
        <v>0</v>
      </c>
      <c r="N296" s="8">
        <f>'MKT DATA'!R679</f>
        <v>0</v>
      </c>
      <c r="O296" s="8">
        <f>'MKT DATA'!S679</f>
        <v>-84948</v>
      </c>
      <c r="P296" s="8">
        <f>'MKT DATA'!T679</f>
        <v>0</v>
      </c>
      <c r="Q296" s="43" t="str">
        <f t="shared" si="11"/>
        <v>syn BTCG7/BTCV6/BTCH7/BTCZ6/BTCF7/BTCX6</v>
      </c>
      <c r="R296" s="13">
        <f>'MKT DATA'!AB679</f>
        <v>0</v>
      </c>
    </row>
    <row r="297" spans="5:18" x14ac:dyDescent="0.25">
      <c r="E297" s="43" t="str">
        <f>'MKT DATA'!B680</f>
        <v>syn BTCG7/BTCV6/BTCH7/BTCF7/BTCZ6/BTCX6</v>
      </c>
      <c r="F297" s="13">
        <f>'MKT DATA'!J680</f>
        <v>1</v>
      </c>
      <c r="G297" s="8">
        <f>'MKT DATA'!K680</f>
        <v>82700</v>
      </c>
      <c r="H297" s="8">
        <f>'MKT DATA'!L680</f>
        <v>85144</v>
      </c>
      <c r="I297" s="13">
        <f>'MKT DATA'!M680</f>
        <v>1</v>
      </c>
      <c r="J297" s="43" t="str">
        <f t="shared" si="10"/>
        <v>syn BTCG7/BTCV6/BTCH7/BTCF7/BTCZ6/BTCX6</v>
      </c>
      <c r="K297" s="8">
        <f>'MKT DATA'!O680</f>
        <v>0</v>
      </c>
      <c r="L297" s="8">
        <f>'MKT DATA'!P680</f>
        <v>82700</v>
      </c>
      <c r="M297" s="8">
        <f>'MKT DATA'!Q680</f>
        <v>0</v>
      </c>
      <c r="N297" s="8">
        <f>'MKT DATA'!R680</f>
        <v>0</v>
      </c>
      <c r="O297" s="8">
        <f>'MKT DATA'!S680</f>
        <v>-85144</v>
      </c>
      <c r="P297" s="8">
        <f>'MKT DATA'!T680</f>
        <v>0</v>
      </c>
      <c r="Q297" s="43" t="str">
        <f t="shared" si="11"/>
        <v>syn BTCG7/BTCV6/BTCH7/BTCF7/BTCZ6/BTCX6</v>
      </c>
      <c r="R297" s="13">
        <f>'MKT DATA'!AB680</f>
        <v>0</v>
      </c>
    </row>
    <row r="298" spans="5:18" x14ac:dyDescent="0.25">
      <c r="E298" s="43" t="str">
        <f>'MKT DATA'!B681</f>
        <v>syn BTCG7/BTCZ6/BTCV6/BTCF7/BTCH7/BTCX6</v>
      </c>
      <c r="F298" s="13">
        <f>'MKT DATA'!J681</f>
        <v>1</v>
      </c>
      <c r="G298" s="8">
        <f>'MKT DATA'!K681</f>
        <v>82574</v>
      </c>
      <c r="H298" s="8">
        <f>'MKT DATA'!L681</f>
        <v>85243</v>
      </c>
      <c r="I298" s="13">
        <f>'MKT DATA'!M681</f>
        <v>1</v>
      </c>
      <c r="J298" s="43" t="str">
        <f t="shared" si="10"/>
        <v>syn BTCG7/BTCZ6/BTCV6/BTCF7/BTCH7/BTCX6</v>
      </c>
      <c r="K298" s="8">
        <f>'MKT DATA'!O681</f>
        <v>0</v>
      </c>
      <c r="L298" s="8">
        <f>'MKT DATA'!P681</f>
        <v>82574</v>
      </c>
      <c r="M298" s="8">
        <f>'MKT DATA'!Q681</f>
        <v>0</v>
      </c>
      <c r="N298" s="8">
        <f>'MKT DATA'!R681</f>
        <v>0</v>
      </c>
      <c r="O298" s="8">
        <f>'MKT DATA'!S681</f>
        <v>-85243</v>
      </c>
      <c r="P298" s="8">
        <f>'MKT DATA'!T681</f>
        <v>0</v>
      </c>
      <c r="Q298" s="43" t="str">
        <f t="shared" si="11"/>
        <v>syn BTCG7/BTCZ6/BTCV6/BTCF7/BTCH7/BTCX6</v>
      </c>
      <c r="R298" s="13">
        <f>'MKT DATA'!AB681</f>
        <v>0</v>
      </c>
    </row>
    <row r="299" spans="5:18" x14ac:dyDescent="0.25">
      <c r="E299" s="43" t="str">
        <f>'MKT DATA'!B682</f>
        <v>syn BTCG7/BTCZ6/BTCV6/BTCH7/BTCF7/BTCX6</v>
      </c>
      <c r="F299" s="13">
        <f>'MKT DATA'!J682</f>
        <v>1</v>
      </c>
      <c r="G299" s="8">
        <f>'MKT DATA'!K682</f>
        <v>82634</v>
      </c>
      <c r="H299" s="8">
        <f>'MKT DATA'!L682</f>
        <v>85233</v>
      </c>
      <c r="I299" s="13">
        <f>'MKT DATA'!M682</f>
        <v>1</v>
      </c>
      <c r="J299" s="43" t="str">
        <f t="shared" si="10"/>
        <v>syn BTCG7/BTCZ6/BTCV6/BTCH7/BTCF7/BTCX6</v>
      </c>
      <c r="K299" s="8">
        <f>'MKT DATA'!O682</f>
        <v>0</v>
      </c>
      <c r="L299" s="8">
        <f>'MKT DATA'!P682</f>
        <v>82634</v>
      </c>
      <c r="M299" s="8">
        <f>'MKT DATA'!Q682</f>
        <v>0</v>
      </c>
      <c r="N299" s="8">
        <f>'MKT DATA'!R682</f>
        <v>0</v>
      </c>
      <c r="O299" s="8">
        <f>'MKT DATA'!S682</f>
        <v>-85233</v>
      </c>
      <c r="P299" s="8">
        <f>'MKT DATA'!T682</f>
        <v>0</v>
      </c>
      <c r="Q299" s="43" t="str">
        <f t="shared" si="11"/>
        <v>syn BTCG7/BTCZ6/BTCV6/BTCH7/BTCF7/BTCX6</v>
      </c>
      <c r="R299" s="13">
        <f>'MKT DATA'!AB682</f>
        <v>0</v>
      </c>
    </row>
    <row r="300" spans="5:18" x14ac:dyDescent="0.25">
      <c r="E300" s="43" t="str">
        <f>'MKT DATA'!B683</f>
        <v>syn BTCG7/BTCZ6/BTCF7/BTCV6/BTCH7/BTCX6</v>
      </c>
      <c r="F300" s="13">
        <f>'MKT DATA'!J683</f>
        <v>1</v>
      </c>
      <c r="G300" s="8">
        <f>'MKT DATA'!K683</f>
        <v>82683</v>
      </c>
      <c r="H300" s="8">
        <f>'MKT DATA'!L683</f>
        <v>85198</v>
      </c>
      <c r="I300" s="13">
        <f>'MKT DATA'!M683</f>
        <v>1</v>
      </c>
      <c r="J300" s="43" t="str">
        <f t="shared" si="10"/>
        <v>syn BTCG7/BTCZ6/BTCF7/BTCV6/BTCH7/BTCX6</v>
      </c>
      <c r="K300" s="8">
        <f>'MKT DATA'!O683</f>
        <v>0</v>
      </c>
      <c r="L300" s="8">
        <f>'MKT DATA'!P683</f>
        <v>82683</v>
      </c>
      <c r="M300" s="8">
        <f>'MKT DATA'!Q683</f>
        <v>0</v>
      </c>
      <c r="N300" s="8">
        <f>'MKT DATA'!R683</f>
        <v>0</v>
      </c>
      <c r="O300" s="8">
        <f>'MKT DATA'!S683</f>
        <v>-85198</v>
      </c>
      <c r="P300" s="8">
        <f>'MKT DATA'!T683</f>
        <v>0</v>
      </c>
      <c r="Q300" s="43" t="str">
        <f t="shared" si="11"/>
        <v>syn BTCG7/BTCZ6/BTCF7/BTCV6/BTCH7/BTCX6</v>
      </c>
      <c r="R300" s="13">
        <f>'MKT DATA'!AB683</f>
        <v>0</v>
      </c>
    </row>
    <row r="301" spans="5:18" x14ac:dyDescent="0.25">
      <c r="E301" s="43" t="str">
        <f>'MKT DATA'!B684</f>
        <v>syn BTCG7/BTCZ6/BTCF7/BTCH7/BTCV6/BTCX6</v>
      </c>
      <c r="F301" s="13">
        <f>'MKT DATA'!J684</f>
        <v>1</v>
      </c>
      <c r="G301" s="8">
        <f>'MKT DATA'!K684</f>
        <v>82674</v>
      </c>
      <c r="H301" s="8">
        <f>'MKT DATA'!L684</f>
        <v>85170</v>
      </c>
      <c r="I301" s="13">
        <f>'MKT DATA'!M684</f>
        <v>1</v>
      </c>
      <c r="J301" s="43" t="str">
        <f t="shared" si="10"/>
        <v>syn BTCG7/BTCZ6/BTCF7/BTCH7/BTCV6/BTCX6</v>
      </c>
      <c r="K301" s="8">
        <f>'MKT DATA'!O684</f>
        <v>0</v>
      </c>
      <c r="L301" s="8">
        <f>'MKT DATA'!P684</f>
        <v>82674</v>
      </c>
      <c r="M301" s="8">
        <f>'MKT DATA'!Q684</f>
        <v>0</v>
      </c>
      <c r="N301" s="8">
        <f>'MKT DATA'!R684</f>
        <v>0</v>
      </c>
      <c r="O301" s="8">
        <f>'MKT DATA'!S684</f>
        <v>-85170</v>
      </c>
      <c r="P301" s="8">
        <f>'MKT DATA'!T684</f>
        <v>0</v>
      </c>
      <c r="Q301" s="43" t="str">
        <f t="shared" si="11"/>
        <v>syn BTCG7/BTCZ6/BTCF7/BTCH7/BTCV6/BTCX6</v>
      </c>
      <c r="R301" s="13">
        <f>'MKT DATA'!AB684</f>
        <v>0</v>
      </c>
    </row>
    <row r="302" spans="5:18" x14ac:dyDescent="0.25">
      <c r="E302" s="43" t="str">
        <f>'MKT DATA'!B685</f>
        <v>syn BTCG7/BTCZ6/BTCH7/BTCV6/BTCF7/BTCX6</v>
      </c>
      <c r="F302" s="13">
        <f>'MKT DATA'!J685</f>
        <v>1</v>
      </c>
      <c r="G302" s="8">
        <f>'MKT DATA'!K685</f>
        <v>82817</v>
      </c>
      <c r="H302" s="8">
        <f>'MKT DATA'!L685</f>
        <v>85208</v>
      </c>
      <c r="I302" s="13">
        <f>'MKT DATA'!M685</f>
        <v>1</v>
      </c>
      <c r="J302" s="43" t="str">
        <f t="shared" si="10"/>
        <v>syn BTCG7/BTCZ6/BTCH7/BTCV6/BTCF7/BTCX6</v>
      </c>
      <c r="K302" s="8">
        <f>'MKT DATA'!O685</f>
        <v>0</v>
      </c>
      <c r="L302" s="8">
        <f>'MKT DATA'!P685</f>
        <v>82817</v>
      </c>
      <c r="M302" s="8">
        <f>'MKT DATA'!Q685</f>
        <v>0</v>
      </c>
      <c r="N302" s="8">
        <f>'MKT DATA'!R685</f>
        <v>0</v>
      </c>
      <c r="O302" s="8">
        <f>'MKT DATA'!S685</f>
        <v>-85208</v>
      </c>
      <c r="P302" s="8">
        <f>'MKT DATA'!T685</f>
        <v>0</v>
      </c>
      <c r="Q302" s="43" t="str">
        <f t="shared" si="11"/>
        <v>syn BTCG7/BTCZ6/BTCH7/BTCV6/BTCF7/BTCX6</v>
      </c>
      <c r="R302" s="13">
        <f>'MKT DATA'!AB685</f>
        <v>0</v>
      </c>
    </row>
    <row r="303" spans="5:18" x14ac:dyDescent="0.25">
      <c r="E303" s="43" t="str">
        <f>'MKT DATA'!B686</f>
        <v>syn BTCG7/BTCZ6/BTCH7/BTCF7/BTCV6/BTCX6</v>
      </c>
      <c r="F303" s="13">
        <f>'MKT DATA'!J686</f>
        <v>1</v>
      </c>
      <c r="G303" s="8">
        <f>'MKT DATA'!K686</f>
        <v>82808</v>
      </c>
      <c r="H303" s="8">
        <f>'MKT DATA'!L686</f>
        <v>85250</v>
      </c>
      <c r="I303" s="13">
        <f>'MKT DATA'!M686</f>
        <v>1</v>
      </c>
      <c r="J303" s="43" t="str">
        <f t="shared" si="10"/>
        <v>syn BTCG7/BTCZ6/BTCH7/BTCF7/BTCV6/BTCX6</v>
      </c>
      <c r="K303" s="8">
        <f>'MKT DATA'!O686</f>
        <v>0</v>
      </c>
      <c r="L303" s="8">
        <f>'MKT DATA'!P686</f>
        <v>82808</v>
      </c>
      <c r="M303" s="8">
        <f>'MKT DATA'!Q686</f>
        <v>0</v>
      </c>
      <c r="N303" s="8">
        <f>'MKT DATA'!R686</f>
        <v>0</v>
      </c>
      <c r="O303" s="8">
        <f>'MKT DATA'!S686</f>
        <v>-85250</v>
      </c>
      <c r="P303" s="8">
        <f>'MKT DATA'!T686</f>
        <v>0</v>
      </c>
      <c r="Q303" s="43" t="str">
        <f t="shared" si="11"/>
        <v>syn BTCG7/BTCZ6/BTCH7/BTCF7/BTCV6/BTCX6</v>
      </c>
      <c r="R303" s="13">
        <f>'MKT DATA'!AB686</f>
        <v>0</v>
      </c>
    </row>
    <row r="304" spans="5:18" x14ac:dyDescent="0.25">
      <c r="E304" s="43" t="str">
        <f>'MKT DATA'!B687</f>
        <v>syn BTCG7/BTCF7/BTCV6/BTCZ6/BTCH7/BTCX6</v>
      </c>
      <c r="F304" s="13">
        <f>'MKT DATA'!J687</f>
        <v>1</v>
      </c>
      <c r="G304" s="8">
        <f>'MKT DATA'!K687</f>
        <v>83007</v>
      </c>
      <c r="H304" s="8">
        <f>'MKT DATA'!L687</f>
        <v>85082</v>
      </c>
      <c r="I304" s="13">
        <f>'MKT DATA'!M687</f>
        <v>1</v>
      </c>
      <c r="J304" s="43" t="str">
        <f t="shared" si="10"/>
        <v>syn BTCG7/BTCF7/BTCV6/BTCZ6/BTCH7/BTCX6</v>
      </c>
      <c r="K304" s="8">
        <f>'MKT DATA'!O687</f>
        <v>0</v>
      </c>
      <c r="L304" s="8">
        <f>'MKT DATA'!P687</f>
        <v>83007</v>
      </c>
      <c r="M304" s="8">
        <f>'MKT DATA'!Q687</f>
        <v>0</v>
      </c>
      <c r="N304" s="8">
        <f>'MKT DATA'!R687</f>
        <v>0</v>
      </c>
      <c r="O304" s="8">
        <f>'MKT DATA'!S687</f>
        <v>-85082</v>
      </c>
      <c r="P304" s="8">
        <f>'MKT DATA'!T687</f>
        <v>0</v>
      </c>
      <c r="Q304" s="43" t="str">
        <f t="shared" si="11"/>
        <v>syn BTCG7/BTCF7/BTCV6/BTCZ6/BTCH7/BTCX6</v>
      </c>
      <c r="R304" s="13">
        <f>'MKT DATA'!AB687</f>
        <v>0</v>
      </c>
    </row>
    <row r="305" spans="5:18" x14ac:dyDescent="0.25">
      <c r="E305" s="43" t="str">
        <f>'MKT DATA'!B688</f>
        <v>syn BTCG7/BTCF7/BTCV6/BTCH7/BTCZ6/BTCX6</v>
      </c>
      <c r="F305" s="13">
        <f>'MKT DATA'!J688</f>
        <v>1</v>
      </c>
      <c r="G305" s="8">
        <f>'MKT DATA'!K688</f>
        <v>82835</v>
      </c>
      <c r="H305" s="8">
        <f>'MKT DATA'!L688</f>
        <v>84871</v>
      </c>
      <c r="I305" s="13">
        <f>'MKT DATA'!M688</f>
        <v>1</v>
      </c>
      <c r="J305" s="43" t="str">
        <f t="shared" si="10"/>
        <v>syn BTCG7/BTCF7/BTCV6/BTCH7/BTCZ6/BTCX6</v>
      </c>
      <c r="K305" s="8">
        <f>'MKT DATA'!O688</f>
        <v>0</v>
      </c>
      <c r="L305" s="8">
        <f>'MKT DATA'!P688</f>
        <v>82835</v>
      </c>
      <c r="M305" s="8">
        <f>'MKT DATA'!Q688</f>
        <v>0</v>
      </c>
      <c r="N305" s="8">
        <f>'MKT DATA'!R688</f>
        <v>0</v>
      </c>
      <c r="O305" s="8">
        <f>'MKT DATA'!S688</f>
        <v>-84871</v>
      </c>
      <c r="P305" s="8">
        <f>'MKT DATA'!T688</f>
        <v>0</v>
      </c>
      <c r="Q305" s="43" t="str">
        <f t="shared" si="11"/>
        <v>syn BTCG7/BTCF7/BTCV6/BTCH7/BTCZ6/BTCX6</v>
      </c>
      <c r="R305" s="13">
        <f>'MKT DATA'!AB688</f>
        <v>0</v>
      </c>
    </row>
    <row r="306" spans="5:18" x14ac:dyDescent="0.25">
      <c r="E306" s="43" t="str">
        <f>'MKT DATA'!B689</f>
        <v>syn BTCG7/BTCF7/BTCZ6/BTCV6/BTCH7/BTCX6</v>
      </c>
      <c r="F306" s="13">
        <f>'MKT DATA'!J689</f>
        <v>1</v>
      </c>
      <c r="G306" s="8">
        <f>'MKT DATA'!K689</f>
        <v>82869</v>
      </c>
      <c r="H306" s="8">
        <f>'MKT DATA'!L689</f>
        <v>84998</v>
      </c>
      <c r="I306" s="13">
        <f>'MKT DATA'!M689</f>
        <v>1</v>
      </c>
      <c r="J306" s="43" t="str">
        <f t="shared" si="10"/>
        <v>syn BTCG7/BTCF7/BTCZ6/BTCV6/BTCH7/BTCX6</v>
      </c>
      <c r="K306" s="8">
        <f>'MKT DATA'!O689</f>
        <v>0</v>
      </c>
      <c r="L306" s="8">
        <f>'MKT DATA'!P689</f>
        <v>82869</v>
      </c>
      <c r="M306" s="8">
        <f>'MKT DATA'!Q689</f>
        <v>0</v>
      </c>
      <c r="N306" s="8">
        <f>'MKT DATA'!R689</f>
        <v>0</v>
      </c>
      <c r="O306" s="8">
        <f>'MKT DATA'!S689</f>
        <v>-84998</v>
      </c>
      <c r="P306" s="8">
        <f>'MKT DATA'!T689</f>
        <v>0</v>
      </c>
      <c r="Q306" s="43" t="str">
        <f t="shared" si="11"/>
        <v>syn BTCG7/BTCF7/BTCZ6/BTCV6/BTCH7/BTCX6</v>
      </c>
      <c r="R306" s="13">
        <f>'MKT DATA'!AB689</f>
        <v>0</v>
      </c>
    </row>
    <row r="307" spans="5:18" x14ac:dyDescent="0.25">
      <c r="E307" s="43" t="str">
        <f>'MKT DATA'!B690</f>
        <v>syn BTCG7/BTCF7/BTCZ6/BTCH7/BTCV6/BTCX6</v>
      </c>
      <c r="F307" s="13">
        <f>'MKT DATA'!J690</f>
        <v>1</v>
      </c>
      <c r="G307" s="8">
        <f>'MKT DATA'!K690</f>
        <v>83073</v>
      </c>
      <c r="H307" s="8">
        <f>'MKT DATA'!L690</f>
        <v>84975</v>
      </c>
      <c r="I307" s="13">
        <f>'MKT DATA'!M690</f>
        <v>1</v>
      </c>
      <c r="J307" s="43" t="str">
        <f t="shared" si="10"/>
        <v>syn BTCG7/BTCF7/BTCZ6/BTCH7/BTCV6/BTCX6</v>
      </c>
      <c r="K307" s="8">
        <f>'MKT DATA'!O690</f>
        <v>0</v>
      </c>
      <c r="L307" s="8">
        <f>'MKT DATA'!P690</f>
        <v>83073</v>
      </c>
      <c r="M307" s="8">
        <f>'MKT DATA'!Q690</f>
        <v>0</v>
      </c>
      <c r="N307" s="8">
        <f>'MKT DATA'!R690</f>
        <v>0</v>
      </c>
      <c r="O307" s="8">
        <f>'MKT DATA'!S690</f>
        <v>-84975</v>
      </c>
      <c r="P307" s="8">
        <f>'MKT DATA'!T690</f>
        <v>0</v>
      </c>
      <c r="Q307" s="43" t="str">
        <f t="shared" si="11"/>
        <v>syn BTCG7/BTCF7/BTCZ6/BTCH7/BTCV6/BTCX6</v>
      </c>
      <c r="R307" s="13">
        <f>'MKT DATA'!AB690</f>
        <v>0</v>
      </c>
    </row>
    <row r="308" spans="5:18" x14ac:dyDescent="0.25">
      <c r="E308" s="43" t="str">
        <f>'MKT DATA'!B691</f>
        <v>syn BTCG7/BTCF7/BTCH7/BTCV6/BTCZ6/BTCX6</v>
      </c>
      <c r="F308" s="13">
        <f>'MKT DATA'!J691</f>
        <v>1</v>
      </c>
      <c r="G308" s="8">
        <f>'MKT DATA'!K691</f>
        <v>82810</v>
      </c>
      <c r="H308" s="8">
        <f>'MKT DATA'!L691</f>
        <v>85054</v>
      </c>
      <c r="I308" s="13">
        <f>'MKT DATA'!M691</f>
        <v>1</v>
      </c>
      <c r="J308" s="43" t="str">
        <f t="shared" si="10"/>
        <v>syn BTCG7/BTCF7/BTCH7/BTCV6/BTCZ6/BTCX6</v>
      </c>
      <c r="K308" s="8">
        <f>'MKT DATA'!O691</f>
        <v>0</v>
      </c>
      <c r="L308" s="8">
        <f>'MKT DATA'!P691</f>
        <v>82810</v>
      </c>
      <c r="M308" s="8">
        <f>'MKT DATA'!Q691</f>
        <v>0</v>
      </c>
      <c r="N308" s="8">
        <f>'MKT DATA'!R691</f>
        <v>0</v>
      </c>
      <c r="O308" s="8">
        <f>'MKT DATA'!S691</f>
        <v>-85054</v>
      </c>
      <c r="P308" s="8">
        <f>'MKT DATA'!T691</f>
        <v>0</v>
      </c>
      <c r="Q308" s="43" t="str">
        <f t="shared" si="11"/>
        <v>syn BTCG7/BTCF7/BTCH7/BTCV6/BTCZ6/BTCX6</v>
      </c>
      <c r="R308" s="13">
        <f>'MKT DATA'!AB691</f>
        <v>0</v>
      </c>
    </row>
    <row r="309" spans="5:18" x14ac:dyDescent="0.25">
      <c r="E309" s="43" t="str">
        <f>'MKT DATA'!B692</f>
        <v>syn BTCG7/BTCF7/BTCH7/BTCZ6/BTCV6/BTCX6</v>
      </c>
      <c r="F309" s="13">
        <f>'MKT DATA'!J692</f>
        <v>1</v>
      </c>
      <c r="G309" s="8">
        <f>'MKT DATA'!K692</f>
        <v>82810</v>
      </c>
      <c r="H309" s="8">
        <f>'MKT DATA'!L692</f>
        <v>84866</v>
      </c>
      <c r="I309" s="13">
        <f>'MKT DATA'!M692</f>
        <v>1</v>
      </c>
      <c r="J309" s="43" t="str">
        <f t="shared" si="10"/>
        <v>syn BTCG7/BTCF7/BTCH7/BTCZ6/BTCV6/BTCX6</v>
      </c>
      <c r="K309" s="8">
        <f>'MKT DATA'!O692</f>
        <v>0</v>
      </c>
      <c r="L309" s="8">
        <f>'MKT DATA'!P692</f>
        <v>82810</v>
      </c>
      <c r="M309" s="8">
        <f>'MKT DATA'!Q692</f>
        <v>0</v>
      </c>
      <c r="N309" s="8">
        <f>'MKT DATA'!R692</f>
        <v>0</v>
      </c>
      <c r="O309" s="8">
        <f>'MKT DATA'!S692</f>
        <v>-84866</v>
      </c>
      <c r="P309" s="8">
        <f>'MKT DATA'!T692</f>
        <v>0</v>
      </c>
      <c r="Q309" s="43" t="str">
        <f t="shared" si="11"/>
        <v>syn BTCG7/BTCF7/BTCH7/BTCZ6/BTCV6/BTCX6</v>
      </c>
      <c r="R309" s="13">
        <f>'MKT DATA'!AB692</f>
        <v>0</v>
      </c>
    </row>
    <row r="310" spans="5:18" x14ac:dyDescent="0.25">
      <c r="E310" s="43" t="str">
        <f>'MKT DATA'!B693</f>
        <v>syn BTCG7/BTCH7/BTCV6/BTCZ6/BTCF7/BTCX6</v>
      </c>
      <c r="F310" s="13">
        <f>'MKT DATA'!J693</f>
        <v>1</v>
      </c>
      <c r="G310" s="8">
        <f>'MKT DATA'!K693</f>
        <v>83154</v>
      </c>
      <c r="H310" s="8">
        <f>'MKT DATA'!L693</f>
        <v>84780</v>
      </c>
      <c r="I310" s="13">
        <f>'MKT DATA'!M693</f>
        <v>1</v>
      </c>
      <c r="J310" s="43" t="str">
        <f t="shared" si="10"/>
        <v>syn BTCG7/BTCH7/BTCV6/BTCZ6/BTCF7/BTCX6</v>
      </c>
      <c r="K310" s="8">
        <f>'MKT DATA'!O693</f>
        <v>0</v>
      </c>
      <c r="L310" s="8">
        <f>'MKT DATA'!P693</f>
        <v>83154</v>
      </c>
      <c r="M310" s="8">
        <f>'MKT DATA'!Q693</f>
        <v>0</v>
      </c>
      <c r="N310" s="8">
        <f>'MKT DATA'!R693</f>
        <v>0</v>
      </c>
      <c r="O310" s="8">
        <f>'MKT DATA'!S693</f>
        <v>-84780</v>
      </c>
      <c r="P310" s="8">
        <f>'MKT DATA'!T693</f>
        <v>0</v>
      </c>
      <c r="Q310" s="43" t="str">
        <f t="shared" si="11"/>
        <v>syn BTCG7/BTCH7/BTCV6/BTCZ6/BTCF7/BTCX6</v>
      </c>
      <c r="R310" s="13">
        <f>'MKT DATA'!AB693</f>
        <v>0</v>
      </c>
    </row>
    <row r="311" spans="5:18" x14ac:dyDescent="0.25">
      <c r="E311" s="43" t="str">
        <f>'MKT DATA'!B694</f>
        <v>syn BTCG7/BTCH7/BTCV6/BTCF7/BTCZ6/BTCX6</v>
      </c>
      <c r="F311" s="13">
        <f>'MKT DATA'!J694</f>
        <v>1</v>
      </c>
      <c r="G311" s="8">
        <f>'MKT DATA'!K694</f>
        <v>83106</v>
      </c>
      <c r="H311" s="8">
        <f>'MKT DATA'!L694</f>
        <v>84763</v>
      </c>
      <c r="I311" s="13">
        <f>'MKT DATA'!M694</f>
        <v>1</v>
      </c>
      <c r="J311" s="43" t="str">
        <f t="shared" si="10"/>
        <v>syn BTCG7/BTCH7/BTCV6/BTCF7/BTCZ6/BTCX6</v>
      </c>
      <c r="K311" s="8">
        <f>'MKT DATA'!O694</f>
        <v>0</v>
      </c>
      <c r="L311" s="8">
        <f>'MKT DATA'!P694</f>
        <v>83106</v>
      </c>
      <c r="M311" s="8">
        <f>'MKT DATA'!Q694</f>
        <v>0</v>
      </c>
      <c r="N311" s="8">
        <f>'MKT DATA'!R694</f>
        <v>0</v>
      </c>
      <c r="O311" s="8">
        <f>'MKT DATA'!S694</f>
        <v>-84763</v>
      </c>
      <c r="P311" s="8">
        <f>'MKT DATA'!T694</f>
        <v>0</v>
      </c>
      <c r="Q311" s="43" t="str">
        <f t="shared" si="11"/>
        <v>syn BTCG7/BTCH7/BTCV6/BTCF7/BTCZ6/BTCX6</v>
      </c>
      <c r="R311" s="13">
        <f>'MKT DATA'!AB694</f>
        <v>0</v>
      </c>
    </row>
    <row r="312" spans="5:18" x14ac:dyDescent="0.25">
      <c r="E312" s="43" t="str">
        <f>'MKT DATA'!B695</f>
        <v>syn BTCG7/BTCH7/BTCZ6/BTCV6/BTCF7/BTCX6</v>
      </c>
      <c r="F312" s="13">
        <f>'MKT DATA'!J695</f>
        <v>1</v>
      </c>
      <c r="G312" s="8">
        <f>'MKT DATA'!K695</f>
        <v>83070</v>
      </c>
      <c r="H312" s="8">
        <f>'MKT DATA'!L695</f>
        <v>84642</v>
      </c>
      <c r="I312" s="13">
        <f>'MKT DATA'!M695</f>
        <v>1</v>
      </c>
      <c r="J312" s="43" t="str">
        <f t="shared" si="10"/>
        <v>syn BTCG7/BTCH7/BTCZ6/BTCV6/BTCF7/BTCX6</v>
      </c>
      <c r="K312" s="8">
        <f>'MKT DATA'!O695</f>
        <v>0</v>
      </c>
      <c r="L312" s="8">
        <f>'MKT DATA'!P695</f>
        <v>83070</v>
      </c>
      <c r="M312" s="8">
        <f>'MKT DATA'!Q695</f>
        <v>0</v>
      </c>
      <c r="N312" s="8">
        <f>'MKT DATA'!R695</f>
        <v>0</v>
      </c>
      <c r="O312" s="8">
        <f>'MKT DATA'!S695</f>
        <v>-84642</v>
      </c>
      <c r="P312" s="8">
        <f>'MKT DATA'!T695</f>
        <v>0</v>
      </c>
      <c r="Q312" s="43" t="str">
        <f t="shared" si="11"/>
        <v>syn BTCG7/BTCH7/BTCZ6/BTCV6/BTCF7/BTCX6</v>
      </c>
      <c r="R312" s="13">
        <f>'MKT DATA'!AB695</f>
        <v>0</v>
      </c>
    </row>
    <row r="313" spans="5:18" x14ac:dyDescent="0.25">
      <c r="E313" s="43" t="str">
        <f>'MKT DATA'!B696</f>
        <v>syn BTCG7/BTCH7/BTCZ6/BTCF7/BTCV6/BTCX6</v>
      </c>
      <c r="F313" s="13">
        <f>'MKT DATA'!J696</f>
        <v>1</v>
      </c>
      <c r="G313" s="8">
        <f>'MKT DATA'!K696</f>
        <v>83140</v>
      </c>
      <c r="H313" s="8">
        <f>'MKT DATA'!L696</f>
        <v>84609</v>
      </c>
      <c r="I313" s="13">
        <f>'MKT DATA'!M696</f>
        <v>1</v>
      </c>
      <c r="J313" s="43" t="str">
        <f t="shared" si="10"/>
        <v>syn BTCG7/BTCH7/BTCZ6/BTCF7/BTCV6/BTCX6</v>
      </c>
      <c r="K313" s="8">
        <f>'MKT DATA'!O696</f>
        <v>0</v>
      </c>
      <c r="L313" s="8">
        <f>'MKT DATA'!P696</f>
        <v>83140</v>
      </c>
      <c r="M313" s="8">
        <f>'MKT DATA'!Q696</f>
        <v>0</v>
      </c>
      <c r="N313" s="8">
        <f>'MKT DATA'!R696</f>
        <v>0</v>
      </c>
      <c r="O313" s="8">
        <f>'MKT DATA'!S696</f>
        <v>-84609</v>
      </c>
      <c r="P313" s="8">
        <f>'MKT DATA'!T696</f>
        <v>0</v>
      </c>
      <c r="Q313" s="43" t="str">
        <f t="shared" si="11"/>
        <v>syn BTCG7/BTCH7/BTCZ6/BTCF7/BTCV6/BTCX6</v>
      </c>
      <c r="R313" s="13">
        <f>'MKT DATA'!AB696</f>
        <v>0</v>
      </c>
    </row>
    <row r="314" spans="5:18" x14ac:dyDescent="0.25">
      <c r="E314" s="43" t="str">
        <f>'MKT DATA'!B697</f>
        <v>syn BTCG7/BTCH7/BTCF7/BTCV6/BTCZ6/BTCX6</v>
      </c>
      <c r="F314" s="13">
        <f>'MKT DATA'!J697</f>
        <v>1</v>
      </c>
      <c r="G314" s="8">
        <f>'MKT DATA'!K697</f>
        <v>83061</v>
      </c>
      <c r="H314" s="8">
        <f>'MKT DATA'!L697</f>
        <v>84872</v>
      </c>
      <c r="I314" s="13">
        <f>'MKT DATA'!M697</f>
        <v>1</v>
      </c>
      <c r="J314" s="43" t="str">
        <f t="shared" si="10"/>
        <v>syn BTCG7/BTCH7/BTCF7/BTCV6/BTCZ6/BTCX6</v>
      </c>
      <c r="K314" s="8">
        <f>'MKT DATA'!O697</f>
        <v>0</v>
      </c>
      <c r="L314" s="8">
        <f>'MKT DATA'!P697</f>
        <v>83061</v>
      </c>
      <c r="M314" s="8">
        <f>'MKT DATA'!Q697</f>
        <v>0</v>
      </c>
      <c r="N314" s="8">
        <f>'MKT DATA'!R697</f>
        <v>0</v>
      </c>
      <c r="O314" s="8">
        <f>'MKT DATA'!S697</f>
        <v>-84872</v>
      </c>
      <c r="P314" s="8">
        <f>'MKT DATA'!T697</f>
        <v>0</v>
      </c>
      <c r="Q314" s="43" t="str">
        <f t="shared" si="11"/>
        <v>syn BTCG7/BTCH7/BTCF7/BTCV6/BTCZ6/BTCX6</v>
      </c>
      <c r="R314" s="13">
        <f>'MKT DATA'!AB697</f>
        <v>0</v>
      </c>
    </row>
    <row r="315" spans="5:18" x14ac:dyDescent="0.25">
      <c r="E315" s="43" t="str">
        <f>'MKT DATA'!B698</f>
        <v>syn BTCG7/BTCH7/BTCF7/BTCZ6/BTCV6/BTCX6</v>
      </c>
      <c r="F315" s="13">
        <f>'MKT DATA'!J698</f>
        <v>1</v>
      </c>
      <c r="G315" s="8">
        <f>'MKT DATA'!K698</f>
        <v>83111</v>
      </c>
      <c r="H315" s="8">
        <f>'MKT DATA'!L698</f>
        <v>84788</v>
      </c>
      <c r="I315" s="13">
        <f>'MKT DATA'!M698</f>
        <v>1</v>
      </c>
      <c r="J315" s="43" t="str">
        <f t="shared" si="10"/>
        <v>syn BTCG7/BTCH7/BTCF7/BTCZ6/BTCV6/BTCX6</v>
      </c>
      <c r="K315" s="8">
        <f>'MKT DATA'!O698</f>
        <v>0</v>
      </c>
      <c r="L315" s="8">
        <f>'MKT DATA'!P698</f>
        <v>83111</v>
      </c>
      <c r="M315" s="8">
        <f>'MKT DATA'!Q698</f>
        <v>0</v>
      </c>
      <c r="N315" s="8">
        <f>'MKT DATA'!R698</f>
        <v>0</v>
      </c>
      <c r="O315" s="8">
        <f>'MKT DATA'!S698</f>
        <v>-84788</v>
      </c>
      <c r="P315" s="8">
        <f>'MKT DATA'!T698</f>
        <v>0</v>
      </c>
      <c r="Q315" s="43" t="str">
        <f t="shared" si="11"/>
        <v>syn BTCG7/BTCH7/BTCF7/BTCZ6/BTCV6/BTCX6</v>
      </c>
      <c r="R315" s="13">
        <f>'MKT DATA'!AB698</f>
        <v>0</v>
      </c>
    </row>
    <row r="316" spans="5:18" x14ac:dyDescent="0.25">
      <c r="E316" s="43" t="str">
        <f>'MKT DATA'!B699</f>
        <v>syn BTCH7/BTCV6/BTCZ6/BTCF7/BTCG7/BTCX6</v>
      </c>
      <c r="F316" s="13">
        <f>'MKT DATA'!J699</f>
        <v>1</v>
      </c>
      <c r="G316" s="8">
        <f>'MKT DATA'!K699</f>
        <v>82857</v>
      </c>
      <c r="H316" s="8">
        <f>'MKT DATA'!L699</f>
        <v>84986</v>
      </c>
      <c r="I316" s="13">
        <f>'MKT DATA'!M699</f>
        <v>1</v>
      </c>
      <c r="J316" s="43" t="str">
        <f t="shared" si="10"/>
        <v>syn BTCH7/BTCV6/BTCZ6/BTCF7/BTCG7/BTCX6</v>
      </c>
      <c r="K316" s="8">
        <f>'MKT DATA'!O699</f>
        <v>0</v>
      </c>
      <c r="L316" s="8">
        <f>'MKT DATA'!P699</f>
        <v>82857</v>
      </c>
      <c r="M316" s="8">
        <f>'MKT DATA'!Q699</f>
        <v>0</v>
      </c>
      <c r="N316" s="8">
        <f>'MKT DATA'!R699</f>
        <v>0</v>
      </c>
      <c r="O316" s="8">
        <f>'MKT DATA'!S699</f>
        <v>-84986</v>
      </c>
      <c r="P316" s="8">
        <f>'MKT DATA'!T699</f>
        <v>0</v>
      </c>
      <c r="Q316" s="43" t="str">
        <f t="shared" si="11"/>
        <v>syn BTCH7/BTCV6/BTCZ6/BTCF7/BTCG7/BTCX6</v>
      </c>
      <c r="R316" s="13">
        <f>'MKT DATA'!AB699</f>
        <v>0</v>
      </c>
    </row>
    <row r="317" spans="5:18" x14ac:dyDescent="0.25">
      <c r="E317" s="43" t="str">
        <f>'MKT DATA'!B700</f>
        <v>syn BTCH7/BTCV6/BTCZ6/BTCG7/BTCF7/BTCX6</v>
      </c>
      <c r="F317" s="13">
        <f>'MKT DATA'!J700</f>
        <v>1</v>
      </c>
      <c r="G317" s="8">
        <f>'MKT DATA'!K700</f>
        <v>82827</v>
      </c>
      <c r="H317" s="8">
        <f>'MKT DATA'!L700</f>
        <v>85072</v>
      </c>
      <c r="I317" s="13">
        <f>'MKT DATA'!M700</f>
        <v>1</v>
      </c>
      <c r="J317" s="43" t="str">
        <f t="shared" si="10"/>
        <v>syn BTCH7/BTCV6/BTCZ6/BTCG7/BTCF7/BTCX6</v>
      </c>
      <c r="K317" s="8">
        <f>'MKT DATA'!O700</f>
        <v>0</v>
      </c>
      <c r="L317" s="8">
        <f>'MKT DATA'!P700</f>
        <v>82827</v>
      </c>
      <c r="M317" s="8">
        <f>'MKT DATA'!Q700</f>
        <v>0</v>
      </c>
      <c r="N317" s="8">
        <f>'MKT DATA'!R700</f>
        <v>0</v>
      </c>
      <c r="O317" s="8">
        <f>'MKT DATA'!S700</f>
        <v>-85072</v>
      </c>
      <c r="P317" s="8">
        <f>'MKT DATA'!T700</f>
        <v>0</v>
      </c>
      <c r="Q317" s="43" t="str">
        <f t="shared" si="11"/>
        <v>syn BTCH7/BTCV6/BTCZ6/BTCG7/BTCF7/BTCX6</v>
      </c>
      <c r="R317" s="13">
        <f>'MKT DATA'!AB700</f>
        <v>0</v>
      </c>
    </row>
    <row r="318" spans="5:18" x14ac:dyDescent="0.25">
      <c r="E318" s="43" t="str">
        <f>'MKT DATA'!B701</f>
        <v>syn BTCH7/BTCV6/BTCF7/BTCZ6/BTCG7/BTCX6</v>
      </c>
      <c r="F318" s="13">
        <f>'MKT DATA'!J701</f>
        <v>1</v>
      </c>
      <c r="G318" s="8">
        <f>'MKT DATA'!K701</f>
        <v>82657</v>
      </c>
      <c r="H318" s="8">
        <f>'MKT DATA'!L701</f>
        <v>85172</v>
      </c>
      <c r="I318" s="13">
        <f>'MKT DATA'!M701</f>
        <v>1</v>
      </c>
      <c r="J318" s="43" t="str">
        <f t="shared" si="10"/>
        <v>syn BTCH7/BTCV6/BTCF7/BTCZ6/BTCG7/BTCX6</v>
      </c>
      <c r="K318" s="8">
        <f>'MKT DATA'!O701</f>
        <v>0</v>
      </c>
      <c r="L318" s="8">
        <f>'MKT DATA'!P701</f>
        <v>82657</v>
      </c>
      <c r="M318" s="8">
        <f>'MKT DATA'!Q701</f>
        <v>0</v>
      </c>
      <c r="N318" s="8">
        <f>'MKT DATA'!R701</f>
        <v>0</v>
      </c>
      <c r="O318" s="8">
        <f>'MKT DATA'!S701</f>
        <v>-85172</v>
      </c>
      <c r="P318" s="8">
        <f>'MKT DATA'!T701</f>
        <v>0</v>
      </c>
      <c r="Q318" s="43" t="str">
        <f t="shared" si="11"/>
        <v>syn BTCH7/BTCV6/BTCF7/BTCZ6/BTCG7/BTCX6</v>
      </c>
      <c r="R318" s="13">
        <f>'MKT DATA'!AB701</f>
        <v>0</v>
      </c>
    </row>
    <row r="319" spans="5:18" x14ac:dyDescent="0.25">
      <c r="E319" s="43" t="str">
        <f>'MKT DATA'!B702</f>
        <v>syn BTCH7/BTCV6/BTCF7/BTCG7/BTCZ6/BTCX6</v>
      </c>
      <c r="F319" s="13">
        <f>'MKT DATA'!J702</f>
        <v>1</v>
      </c>
      <c r="G319" s="8">
        <f>'MKT DATA'!K702</f>
        <v>82759</v>
      </c>
      <c r="H319" s="8">
        <f>'MKT DATA'!L702</f>
        <v>85035</v>
      </c>
      <c r="I319" s="13">
        <f>'MKT DATA'!M702</f>
        <v>1</v>
      </c>
      <c r="J319" s="43" t="str">
        <f t="shared" si="10"/>
        <v>syn BTCH7/BTCV6/BTCF7/BTCG7/BTCZ6/BTCX6</v>
      </c>
      <c r="K319" s="8">
        <f>'MKT DATA'!O702</f>
        <v>0</v>
      </c>
      <c r="L319" s="8">
        <f>'MKT DATA'!P702</f>
        <v>82759</v>
      </c>
      <c r="M319" s="8">
        <f>'MKT DATA'!Q702</f>
        <v>0</v>
      </c>
      <c r="N319" s="8">
        <f>'MKT DATA'!R702</f>
        <v>0</v>
      </c>
      <c r="O319" s="8">
        <f>'MKT DATA'!S702</f>
        <v>-85035</v>
      </c>
      <c r="P319" s="8">
        <f>'MKT DATA'!T702</f>
        <v>0</v>
      </c>
      <c r="Q319" s="43" t="str">
        <f t="shared" si="11"/>
        <v>syn BTCH7/BTCV6/BTCF7/BTCG7/BTCZ6/BTCX6</v>
      </c>
      <c r="R319" s="13">
        <f>'MKT DATA'!AB702</f>
        <v>0</v>
      </c>
    </row>
    <row r="320" spans="5:18" x14ac:dyDescent="0.25">
      <c r="E320" s="43" t="str">
        <f>'MKT DATA'!B703</f>
        <v>syn BTCH7/BTCV6/BTCG7/BTCZ6/BTCF7/BTCX6</v>
      </c>
      <c r="F320" s="13">
        <f>'MKT DATA'!J703</f>
        <v>1</v>
      </c>
      <c r="G320" s="8">
        <f>'MKT DATA'!K703</f>
        <v>82713</v>
      </c>
      <c r="H320" s="8">
        <f>'MKT DATA'!L703</f>
        <v>85158</v>
      </c>
      <c r="I320" s="13">
        <f>'MKT DATA'!M703</f>
        <v>1</v>
      </c>
      <c r="J320" s="43" t="str">
        <f t="shared" si="10"/>
        <v>syn BTCH7/BTCV6/BTCG7/BTCZ6/BTCF7/BTCX6</v>
      </c>
      <c r="K320" s="8">
        <f>'MKT DATA'!O703</f>
        <v>0</v>
      </c>
      <c r="L320" s="8">
        <f>'MKT DATA'!P703</f>
        <v>82713</v>
      </c>
      <c r="M320" s="8">
        <f>'MKT DATA'!Q703</f>
        <v>0</v>
      </c>
      <c r="N320" s="8">
        <f>'MKT DATA'!R703</f>
        <v>0</v>
      </c>
      <c r="O320" s="8">
        <f>'MKT DATA'!S703</f>
        <v>-85158</v>
      </c>
      <c r="P320" s="8">
        <f>'MKT DATA'!T703</f>
        <v>0</v>
      </c>
      <c r="Q320" s="43" t="str">
        <f t="shared" si="11"/>
        <v>syn BTCH7/BTCV6/BTCG7/BTCZ6/BTCF7/BTCX6</v>
      </c>
      <c r="R320" s="13">
        <f>'MKT DATA'!AB703</f>
        <v>0</v>
      </c>
    </row>
    <row r="321" spans="5:18" x14ac:dyDescent="0.25">
      <c r="E321" s="43" t="str">
        <f>'MKT DATA'!B704</f>
        <v>syn BTCH7/BTCV6/BTCG7/BTCF7/BTCZ6/BTCX6</v>
      </c>
      <c r="F321" s="13">
        <f>'MKT DATA'!J704</f>
        <v>1</v>
      </c>
      <c r="G321" s="8">
        <f>'MKT DATA'!K704</f>
        <v>82885</v>
      </c>
      <c r="H321" s="8">
        <f>'MKT DATA'!L704</f>
        <v>84975</v>
      </c>
      <c r="I321" s="13">
        <f>'MKT DATA'!M704</f>
        <v>1</v>
      </c>
      <c r="J321" s="43" t="str">
        <f t="shared" si="10"/>
        <v>syn BTCH7/BTCV6/BTCG7/BTCF7/BTCZ6/BTCX6</v>
      </c>
      <c r="K321" s="8">
        <f>'MKT DATA'!O704</f>
        <v>0</v>
      </c>
      <c r="L321" s="8">
        <f>'MKT DATA'!P704</f>
        <v>82885</v>
      </c>
      <c r="M321" s="8">
        <f>'MKT DATA'!Q704</f>
        <v>0</v>
      </c>
      <c r="N321" s="8">
        <f>'MKT DATA'!R704</f>
        <v>0</v>
      </c>
      <c r="O321" s="8">
        <f>'MKT DATA'!S704</f>
        <v>-84975</v>
      </c>
      <c r="P321" s="8">
        <f>'MKT DATA'!T704</f>
        <v>0</v>
      </c>
      <c r="Q321" s="43" t="str">
        <f t="shared" si="11"/>
        <v>syn BTCH7/BTCV6/BTCG7/BTCF7/BTCZ6/BTCX6</v>
      </c>
      <c r="R321" s="13">
        <f>'MKT DATA'!AB704</f>
        <v>0</v>
      </c>
    </row>
    <row r="322" spans="5:18" x14ac:dyDescent="0.25">
      <c r="E322" s="43" t="str">
        <f>'MKT DATA'!B705</f>
        <v>syn BTCH7/BTCZ6/BTCV6/BTCF7/BTCG7/BTCX6</v>
      </c>
      <c r="F322" s="13">
        <f>'MKT DATA'!J705</f>
        <v>1</v>
      </c>
      <c r="G322" s="8">
        <f>'MKT DATA'!K705</f>
        <v>82773</v>
      </c>
      <c r="H322" s="8">
        <f>'MKT DATA'!L705</f>
        <v>84848</v>
      </c>
      <c r="I322" s="13">
        <f>'MKT DATA'!M705</f>
        <v>1</v>
      </c>
      <c r="J322" s="43" t="str">
        <f t="shared" si="10"/>
        <v>syn BTCH7/BTCZ6/BTCV6/BTCF7/BTCG7/BTCX6</v>
      </c>
      <c r="K322" s="8">
        <f>'MKT DATA'!O705</f>
        <v>0</v>
      </c>
      <c r="L322" s="8">
        <f>'MKT DATA'!P705</f>
        <v>82773</v>
      </c>
      <c r="M322" s="8">
        <f>'MKT DATA'!Q705</f>
        <v>0</v>
      </c>
      <c r="N322" s="8">
        <f>'MKT DATA'!R705</f>
        <v>0</v>
      </c>
      <c r="O322" s="8">
        <f>'MKT DATA'!S705</f>
        <v>-84848</v>
      </c>
      <c r="P322" s="8">
        <f>'MKT DATA'!T705</f>
        <v>0</v>
      </c>
      <c r="Q322" s="43" t="str">
        <f t="shared" si="11"/>
        <v>syn BTCH7/BTCZ6/BTCV6/BTCF7/BTCG7/BTCX6</v>
      </c>
      <c r="R322" s="13">
        <f>'MKT DATA'!AB705</f>
        <v>0</v>
      </c>
    </row>
    <row r="323" spans="5:18" x14ac:dyDescent="0.25">
      <c r="E323" s="43" t="str">
        <f>'MKT DATA'!B706</f>
        <v>syn BTCH7/BTCZ6/BTCV6/BTCG7/BTCF7/BTCX6</v>
      </c>
      <c r="F323" s="13">
        <f>'MKT DATA'!J706</f>
        <v>1</v>
      </c>
      <c r="G323" s="8">
        <f>'MKT DATA'!K706</f>
        <v>82849</v>
      </c>
      <c r="H323" s="8">
        <f>'MKT DATA'!L706</f>
        <v>84854</v>
      </c>
      <c r="I323" s="13">
        <f>'MKT DATA'!M706</f>
        <v>1</v>
      </c>
      <c r="J323" s="43" t="str">
        <f t="shared" si="10"/>
        <v>syn BTCH7/BTCZ6/BTCV6/BTCG7/BTCF7/BTCX6</v>
      </c>
      <c r="K323" s="8">
        <f>'MKT DATA'!O706</f>
        <v>0</v>
      </c>
      <c r="L323" s="8">
        <f>'MKT DATA'!P706</f>
        <v>82849</v>
      </c>
      <c r="M323" s="8">
        <f>'MKT DATA'!Q706</f>
        <v>0</v>
      </c>
      <c r="N323" s="8">
        <f>'MKT DATA'!R706</f>
        <v>0</v>
      </c>
      <c r="O323" s="8">
        <f>'MKT DATA'!S706</f>
        <v>-84854</v>
      </c>
      <c r="P323" s="8">
        <f>'MKT DATA'!T706</f>
        <v>0</v>
      </c>
      <c r="Q323" s="43" t="str">
        <f t="shared" si="11"/>
        <v>syn BTCH7/BTCZ6/BTCV6/BTCG7/BTCF7/BTCX6</v>
      </c>
      <c r="R323" s="13">
        <f>'MKT DATA'!AB706</f>
        <v>0</v>
      </c>
    </row>
    <row r="324" spans="5:18" x14ac:dyDescent="0.25">
      <c r="E324" s="43" t="str">
        <f>'MKT DATA'!B707</f>
        <v>syn BTCH7/BTCZ6/BTCF7/BTCV6/BTCG7/BTCX6</v>
      </c>
      <c r="F324" s="13">
        <f>'MKT DATA'!J707</f>
        <v>1</v>
      </c>
      <c r="G324" s="8">
        <f>'MKT DATA'!K707</f>
        <v>82713</v>
      </c>
      <c r="H324" s="8">
        <f>'MKT DATA'!L707</f>
        <v>84988</v>
      </c>
      <c r="I324" s="13">
        <f>'MKT DATA'!M707</f>
        <v>1</v>
      </c>
      <c r="J324" s="43" t="str">
        <f t="shared" si="10"/>
        <v>syn BTCH7/BTCZ6/BTCF7/BTCV6/BTCG7/BTCX6</v>
      </c>
      <c r="K324" s="8">
        <f>'MKT DATA'!O707</f>
        <v>0</v>
      </c>
      <c r="L324" s="8">
        <f>'MKT DATA'!P707</f>
        <v>82713</v>
      </c>
      <c r="M324" s="8">
        <f>'MKT DATA'!Q707</f>
        <v>0</v>
      </c>
      <c r="N324" s="8">
        <f>'MKT DATA'!R707</f>
        <v>0</v>
      </c>
      <c r="O324" s="8">
        <f>'MKT DATA'!S707</f>
        <v>-84988</v>
      </c>
      <c r="P324" s="8">
        <f>'MKT DATA'!T707</f>
        <v>0</v>
      </c>
      <c r="Q324" s="43" t="str">
        <f t="shared" si="11"/>
        <v>syn BTCH7/BTCZ6/BTCF7/BTCV6/BTCG7/BTCX6</v>
      </c>
      <c r="R324" s="13">
        <f>'MKT DATA'!AB707</f>
        <v>0</v>
      </c>
    </row>
    <row r="325" spans="5:18" x14ac:dyDescent="0.25">
      <c r="E325" s="43" t="str">
        <f>'MKT DATA'!B708</f>
        <v>syn BTCH7/BTCZ6/BTCF7/BTCG7/BTCV6/BTCX6</v>
      </c>
      <c r="F325" s="13">
        <f>'MKT DATA'!J708</f>
        <v>1</v>
      </c>
      <c r="G325" s="8">
        <f>'MKT DATA'!K708</f>
        <v>82873</v>
      </c>
      <c r="H325" s="8">
        <f>'MKT DATA'!L708</f>
        <v>84775</v>
      </c>
      <c r="I325" s="13">
        <f>'MKT DATA'!M708</f>
        <v>1</v>
      </c>
      <c r="J325" s="43" t="str">
        <f t="shared" si="10"/>
        <v>syn BTCH7/BTCZ6/BTCF7/BTCG7/BTCV6/BTCX6</v>
      </c>
      <c r="K325" s="8">
        <f>'MKT DATA'!O708</f>
        <v>0</v>
      </c>
      <c r="L325" s="8">
        <f>'MKT DATA'!P708</f>
        <v>82873</v>
      </c>
      <c r="M325" s="8">
        <f>'MKT DATA'!Q708</f>
        <v>0</v>
      </c>
      <c r="N325" s="8">
        <f>'MKT DATA'!R708</f>
        <v>0</v>
      </c>
      <c r="O325" s="8">
        <f>'MKT DATA'!S708</f>
        <v>-84775</v>
      </c>
      <c r="P325" s="8">
        <f>'MKT DATA'!T708</f>
        <v>0</v>
      </c>
      <c r="Q325" s="43" t="str">
        <f t="shared" si="11"/>
        <v>syn BTCH7/BTCZ6/BTCF7/BTCG7/BTCV6/BTCX6</v>
      </c>
      <c r="R325" s="13">
        <f>'MKT DATA'!AB708</f>
        <v>0</v>
      </c>
    </row>
    <row r="326" spans="5:18" x14ac:dyDescent="0.25">
      <c r="E326" s="43" t="str">
        <f>'MKT DATA'!B709</f>
        <v>syn BTCH7/BTCZ6/BTCG7/BTCV6/BTCF7/BTCX6</v>
      </c>
      <c r="F326" s="13">
        <f>'MKT DATA'!J709</f>
        <v>1</v>
      </c>
      <c r="G326" s="8">
        <f>'MKT DATA'!K709</f>
        <v>82637</v>
      </c>
      <c r="H326" s="8">
        <f>'MKT DATA'!L709</f>
        <v>85028</v>
      </c>
      <c r="I326" s="13">
        <f>'MKT DATA'!M709</f>
        <v>1</v>
      </c>
      <c r="J326" s="43" t="str">
        <f t="shared" si="10"/>
        <v>syn BTCH7/BTCZ6/BTCG7/BTCV6/BTCF7/BTCX6</v>
      </c>
      <c r="K326" s="8">
        <f>'MKT DATA'!O709</f>
        <v>0</v>
      </c>
      <c r="L326" s="8">
        <f>'MKT DATA'!P709</f>
        <v>82637</v>
      </c>
      <c r="M326" s="8">
        <f>'MKT DATA'!Q709</f>
        <v>0</v>
      </c>
      <c r="N326" s="8">
        <f>'MKT DATA'!R709</f>
        <v>0</v>
      </c>
      <c r="O326" s="8">
        <f>'MKT DATA'!S709</f>
        <v>-85028</v>
      </c>
      <c r="P326" s="8">
        <f>'MKT DATA'!T709</f>
        <v>0</v>
      </c>
      <c r="Q326" s="43" t="str">
        <f t="shared" si="11"/>
        <v>syn BTCH7/BTCZ6/BTCG7/BTCV6/BTCF7/BTCX6</v>
      </c>
      <c r="R326" s="13">
        <f>'MKT DATA'!AB709</f>
        <v>0</v>
      </c>
    </row>
    <row r="327" spans="5:18" x14ac:dyDescent="0.25">
      <c r="E327" s="43" t="str">
        <f>'MKT DATA'!B710</f>
        <v>syn BTCH7/BTCZ6/BTCG7/BTCF7/BTCV6/BTCX6</v>
      </c>
      <c r="F327" s="13">
        <f>'MKT DATA'!J710</f>
        <v>1</v>
      </c>
      <c r="G327" s="8">
        <f>'MKT DATA'!K710</f>
        <v>82813</v>
      </c>
      <c r="H327" s="8">
        <f>'MKT DATA'!L710</f>
        <v>84901</v>
      </c>
      <c r="I327" s="13">
        <f>'MKT DATA'!M710</f>
        <v>1</v>
      </c>
      <c r="J327" s="43" t="str">
        <f t="shared" si="10"/>
        <v>syn BTCH7/BTCZ6/BTCG7/BTCF7/BTCV6/BTCX6</v>
      </c>
      <c r="K327" s="8">
        <f>'MKT DATA'!O710</f>
        <v>0</v>
      </c>
      <c r="L327" s="8">
        <f>'MKT DATA'!P710</f>
        <v>82813</v>
      </c>
      <c r="M327" s="8">
        <f>'MKT DATA'!Q710</f>
        <v>0</v>
      </c>
      <c r="N327" s="8">
        <f>'MKT DATA'!R710</f>
        <v>0</v>
      </c>
      <c r="O327" s="8">
        <f>'MKT DATA'!S710</f>
        <v>-84901</v>
      </c>
      <c r="P327" s="8">
        <f>'MKT DATA'!T710</f>
        <v>0</v>
      </c>
      <c r="Q327" s="43" t="str">
        <f t="shared" si="11"/>
        <v>syn BTCH7/BTCZ6/BTCG7/BTCF7/BTCV6/BTCX6</v>
      </c>
      <c r="R327" s="13">
        <f>'MKT DATA'!AB710</f>
        <v>0</v>
      </c>
    </row>
    <row r="328" spans="5:18" x14ac:dyDescent="0.25">
      <c r="E328" s="43" t="str">
        <f>'MKT DATA'!B711</f>
        <v>syn BTCH7/BTCF7/BTCV6/BTCZ6/BTCG7/BTCX6</v>
      </c>
      <c r="F328" s="13">
        <f>'MKT DATA'!J711</f>
        <v>1</v>
      </c>
      <c r="G328" s="8">
        <f>'MKT DATA'!K711</f>
        <v>82612</v>
      </c>
      <c r="H328" s="8">
        <f>'MKT DATA'!L711</f>
        <v>85281</v>
      </c>
      <c r="I328" s="13">
        <f>'MKT DATA'!M711</f>
        <v>1</v>
      </c>
      <c r="J328" s="43" t="str">
        <f t="shared" si="10"/>
        <v>syn BTCH7/BTCF7/BTCV6/BTCZ6/BTCG7/BTCX6</v>
      </c>
      <c r="K328" s="8">
        <f>'MKT DATA'!O711</f>
        <v>0</v>
      </c>
      <c r="L328" s="8">
        <f>'MKT DATA'!P711</f>
        <v>82612</v>
      </c>
      <c r="M328" s="8">
        <f>'MKT DATA'!Q711</f>
        <v>0</v>
      </c>
      <c r="N328" s="8">
        <f>'MKT DATA'!R711</f>
        <v>0</v>
      </c>
      <c r="O328" s="8">
        <f>'MKT DATA'!S711</f>
        <v>-85281</v>
      </c>
      <c r="P328" s="8">
        <f>'MKT DATA'!T711</f>
        <v>0</v>
      </c>
      <c r="Q328" s="43" t="str">
        <f t="shared" si="11"/>
        <v>syn BTCH7/BTCF7/BTCV6/BTCZ6/BTCG7/BTCX6</v>
      </c>
      <c r="R328" s="13">
        <f>'MKT DATA'!AB711</f>
        <v>0</v>
      </c>
    </row>
    <row r="329" spans="5:18" x14ac:dyDescent="0.25">
      <c r="E329" s="43" t="str">
        <f>'MKT DATA'!B712</f>
        <v>syn BTCH7/BTCF7/BTCV6/BTCG7/BTCZ6/BTCX6</v>
      </c>
      <c r="F329" s="13">
        <f>'MKT DATA'!J712</f>
        <v>1</v>
      </c>
      <c r="G329" s="8">
        <f>'MKT DATA'!K712</f>
        <v>82620</v>
      </c>
      <c r="H329" s="8">
        <f>'MKT DATA'!L712</f>
        <v>85250</v>
      </c>
      <c r="I329" s="13">
        <f>'MKT DATA'!M712</f>
        <v>1</v>
      </c>
      <c r="J329" s="43" t="str">
        <f t="shared" si="10"/>
        <v>syn BTCH7/BTCF7/BTCV6/BTCG7/BTCZ6/BTCX6</v>
      </c>
      <c r="K329" s="8">
        <f>'MKT DATA'!O712</f>
        <v>0</v>
      </c>
      <c r="L329" s="8">
        <f>'MKT DATA'!P712</f>
        <v>82620</v>
      </c>
      <c r="M329" s="8">
        <f>'MKT DATA'!Q712</f>
        <v>0</v>
      </c>
      <c r="N329" s="8">
        <f>'MKT DATA'!R712</f>
        <v>0</v>
      </c>
      <c r="O329" s="8">
        <f>'MKT DATA'!S712</f>
        <v>-85250</v>
      </c>
      <c r="P329" s="8">
        <f>'MKT DATA'!T712</f>
        <v>0</v>
      </c>
      <c r="Q329" s="43" t="str">
        <f t="shared" si="11"/>
        <v>syn BTCH7/BTCF7/BTCV6/BTCG7/BTCZ6/BTCX6</v>
      </c>
      <c r="R329" s="13">
        <f>'MKT DATA'!AB712</f>
        <v>0</v>
      </c>
    </row>
    <row r="330" spans="5:18" x14ac:dyDescent="0.25">
      <c r="E330" s="43" t="str">
        <f>'MKT DATA'!B713</f>
        <v>syn BTCH7/BTCF7/BTCZ6/BTCV6/BTCG7/BTCX6</v>
      </c>
      <c r="F330" s="13">
        <f>'MKT DATA'!J713</f>
        <v>1</v>
      </c>
      <c r="G330" s="8">
        <f>'MKT DATA'!K713</f>
        <v>82684</v>
      </c>
      <c r="H330" s="8">
        <f>'MKT DATA'!L713</f>
        <v>85167</v>
      </c>
      <c r="I330" s="13">
        <f>'MKT DATA'!M713</f>
        <v>1</v>
      </c>
      <c r="J330" s="43" t="str">
        <f t="shared" ref="J330:J333" si="12">E330</f>
        <v>syn BTCH7/BTCF7/BTCZ6/BTCV6/BTCG7/BTCX6</v>
      </c>
      <c r="K330" s="8">
        <f>'MKT DATA'!O713</f>
        <v>0</v>
      </c>
      <c r="L330" s="8">
        <f>'MKT DATA'!P713</f>
        <v>82684</v>
      </c>
      <c r="M330" s="8">
        <f>'MKT DATA'!Q713</f>
        <v>0</v>
      </c>
      <c r="N330" s="8">
        <f>'MKT DATA'!R713</f>
        <v>0</v>
      </c>
      <c r="O330" s="8">
        <f>'MKT DATA'!S713</f>
        <v>-85167</v>
      </c>
      <c r="P330" s="8">
        <f>'MKT DATA'!T713</f>
        <v>0</v>
      </c>
      <c r="Q330" s="43" t="str">
        <f t="shared" ref="Q330:Q333" si="13">J330</f>
        <v>syn BTCH7/BTCF7/BTCZ6/BTCV6/BTCG7/BTCX6</v>
      </c>
      <c r="R330" s="13">
        <f>'MKT DATA'!AB713</f>
        <v>0</v>
      </c>
    </row>
    <row r="331" spans="5:18" x14ac:dyDescent="0.25">
      <c r="E331" s="43" t="str">
        <f>'MKT DATA'!B714</f>
        <v>syn BTCH7/BTCF7/BTCZ6/BTCG7/BTCV6/BTCX6</v>
      </c>
      <c r="F331" s="13">
        <f>'MKT DATA'!J714</f>
        <v>1</v>
      </c>
      <c r="G331" s="8">
        <f>'MKT DATA'!K714</f>
        <v>82678</v>
      </c>
      <c r="H331" s="8">
        <f>'MKT DATA'!L714</f>
        <v>85174</v>
      </c>
      <c r="I331" s="13">
        <f>'MKT DATA'!M714</f>
        <v>1</v>
      </c>
      <c r="J331" s="43" t="str">
        <f t="shared" si="12"/>
        <v>syn BTCH7/BTCF7/BTCZ6/BTCG7/BTCV6/BTCX6</v>
      </c>
      <c r="K331" s="8">
        <f>'MKT DATA'!O714</f>
        <v>0</v>
      </c>
      <c r="L331" s="8">
        <f>'MKT DATA'!P714</f>
        <v>82678</v>
      </c>
      <c r="M331" s="8">
        <f>'MKT DATA'!Q714</f>
        <v>0</v>
      </c>
      <c r="N331" s="8">
        <f>'MKT DATA'!R714</f>
        <v>0</v>
      </c>
      <c r="O331" s="8">
        <f>'MKT DATA'!S714</f>
        <v>-85174</v>
      </c>
      <c r="P331" s="8">
        <f>'MKT DATA'!T714</f>
        <v>0</v>
      </c>
      <c r="Q331" s="43" t="str">
        <f t="shared" si="13"/>
        <v>syn BTCH7/BTCF7/BTCZ6/BTCG7/BTCV6/BTCX6</v>
      </c>
      <c r="R331" s="13">
        <f>'MKT DATA'!AB714</f>
        <v>0</v>
      </c>
    </row>
    <row r="332" spans="5:18" x14ac:dyDescent="0.25">
      <c r="E332" s="43" t="str">
        <f>'MKT DATA'!B715</f>
        <v>syn BTCH7/BTCF7/BTCG7/BTCV6/BTCZ6/BTCX6</v>
      </c>
      <c r="F332" s="13">
        <f>'MKT DATA'!J715</f>
        <v>1</v>
      </c>
      <c r="G332" s="8">
        <f>'MKT DATA'!K715</f>
        <v>82794</v>
      </c>
      <c r="H332" s="8">
        <f>'MKT DATA'!L715</f>
        <v>85038</v>
      </c>
      <c r="I332" s="13">
        <f>'MKT DATA'!M715</f>
        <v>1</v>
      </c>
      <c r="J332" s="43" t="str">
        <f t="shared" si="12"/>
        <v>syn BTCH7/BTCF7/BTCG7/BTCV6/BTCZ6/BTCX6</v>
      </c>
      <c r="K332" s="8">
        <f>'MKT DATA'!O715</f>
        <v>0</v>
      </c>
      <c r="L332" s="8">
        <f>'MKT DATA'!P715</f>
        <v>82794</v>
      </c>
      <c r="M332" s="8">
        <f>'MKT DATA'!Q715</f>
        <v>0</v>
      </c>
      <c r="N332" s="8">
        <f>'MKT DATA'!R715</f>
        <v>0</v>
      </c>
      <c r="O332" s="8">
        <f>'MKT DATA'!S715</f>
        <v>-85038</v>
      </c>
      <c r="P332" s="8">
        <f>'MKT DATA'!T715</f>
        <v>0</v>
      </c>
      <c r="Q332" s="43" t="str">
        <f t="shared" si="13"/>
        <v>syn BTCH7/BTCF7/BTCG7/BTCV6/BTCZ6/BTCX6</v>
      </c>
      <c r="R332" s="13">
        <f>'MKT DATA'!AB715</f>
        <v>0</v>
      </c>
    </row>
    <row r="333" spans="5:18" x14ac:dyDescent="0.25">
      <c r="E333" s="43" t="str">
        <f>'MKT DATA'!B716</f>
        <v>syn BTCH7/BTCF7/BTCG7/BTCZ6/BTCV6/BTCX6</v>
      </c>
      <c r="F333" s="13">
        <f>'MKT DATA'!J716</f>
        <v>1</v>
      </c>
      <c r="G333" s="8">
        <f>'MKT DATA'!K716</f>
        <v>82764</v>
      </c>
      <c r="H333" s="8">
        <f>'MKT DATA'!L716</f>
        <v>85060</v>
      </c>
      <c r="I333" s="13">
        <f>'MKT DATA'!M716</f>
        <v>1</v>
      </c>
      <c r="J333" s="43" t="str">
        <f t="shared" si="12"/>
        <v>syn BTCH7/BTCF7/BTCG7/BTCZ6/BTCV6/BTCX6</v>
      </c>
      <c r="K333" s="8">
        <f>'MKT DATA'!O716</f>
        <v>0</v>
      </c>
      <c r="L333" s="8">
        <f>'MKT DATA'!P716</f>
        <v>82764</v>
      </c>
      <c r="M333" s="8">
        <f>'MKT DATA'!Q716</f>
        <v>0</v>
      </c>
      <c r="N333" s="8">
        <f>'MKT DATA'!R716</f>
        <v>0</v>
      </c>
      <c r="O333" s="8">
        <f>'MKT DATA'!S716</f>
        <v>-85060</v>
      </c>
      <c r="P333" s="8">
        <f>'MKT DATA'!T716</f>
        <v>0</v>
      </c>
      <c r="Q333" s="43" t="str">
        <f t="shared" si="13"/>
        <v>syn BTCH7/BTCF7/BTCG7/BTCZ6/BTCV6/BTCX6</v>
      </c>
      <c r="R333" s="13">
        <f>'MKT DATA'!AB716</f>
        <v>0</v>
      </c>
    </row>
    <row r="334" spans="5:18" x14ac:dyDescent="0.25">
      <c r="E334" s="43" t="str">
        <f>'MKT DATA'!B717</f>
        <v>syn BTCH7/BTCG7/BTCV6/BTCZ6/BTCF7/BTCX6</v>
      </c>
      <c r="F334" s="13">
        <f>'MKT DATA'!J717</f>
        <v>1</v>
      </c>
      <c r="G334" s="8">
        <f>'MKT DATA'!K717</f>
        <v>83099</v>
      </c>
      <c r="H334" s="8">
        <f>'MKT DATA'!L717</f>
        <v>84725</v>
      </c>
      <c r="I334" s="13">
        <f>'MKT DATA'!M717</f>
        <v>1</v>
      </c>
      <c r="J334" s="43" t="str">
        <f t="shared" ref="J334:J339" si="14">E334</f>
        <v>syn BTCH7/BTCG7/BTCV6/BTCZ6/BTCF7/BTCX6</v>
      </c>
      <c r="K334" s="8">
        <f>'MKT DATA'!O717</f>
        <v>0</v>
      </c>
      <c r="L334" s="8">
        <f>'MKT DATA'!P717</f>
        <v>83099</v>
      </c>
      <c r="M334" s="8">
        <f>'MKT DATA'!Q717</f>
        <v>0</v>
      </c>
      <c r="N334" s="8">
        <f>'MKT DATA'!R717</f>
        <v>0</v>
      </c>
      <c r="O334" s="8">
        <f>'MKT DATA'!S717</f>
        <v>-84725</v>
      </c>
      <c r="P334" s="8">
        <f>'MKT DATA'!T717</f>
        <v>0</v>
      </c>
      <c r="Q334" s="43" t="str">
        <f t="shared" ref="Q334:Q339" si="15">J334</f>
        <v>syn BTCH7/BTCG7/BTCV6/BTCZ6/BTCF7/BTCX6</v>
      </c>
      <c r="R334" s="13">
        <f>'MKT DATA'!AB717</f>
        <v>0</v>
      </c>
    </row>
    <row r="335" spans="5:18" x14ac:dyDescent="0.25">
      <c r="E335" s="43" t="str">
        <f>'MKT DATA'!B718</f>
        <v>syn BTCH7/BTCG7/BTCV6/BTCF7/BTCZ6/BTCX6</v>
      </c>
      <c r="F335" s="13">
        <f>'MKT DATA'!J718</f>
        <v>1</v>
      </c>
      <c r="G335" s="8">
        <f>'MKT DATA'!K718</f>
        <v>83051</v>
      </c>
      <c r="H335" s="8">
        <f>'MKT DATA'!L718</f>
        <v>84708</v>
      </c>
      <c r="I335" s="13">
        <f>'MKT DATA'!M718</f>
        <v>1</v>
      </c>
      <c r="J335" s="43" t="str">
        <f t="shared" si="14"/>
        <v>syn BTCH7/BTCG7/BTCV6/BTCF7/BTCZ6/BTCX6</v>
      </c>
      <c r="K335" s="8">
        <f>'MKT DATA'!O718</f>
        <v>0</v>
      </c>
      <c r="L335" s="8">
        <f>'MKT DATA'!P718</f>
        <v>83051</v>
      </c>
      <c r="M335" s="8">
        <f>'MKT DATA'!Q718</f>
        <v>0</v>
      </c>
      <c r="N335" s="8">
        <f>'MKT DATA'!R718</f>
        <v>0</v>
      </c>
      <c r="O335" s="8">
        <f>'MKT DATA'!S718</f>
        <v>-84708</v>
      </c>
      <c r="P335" s="8">
        <f>'MKT DATA'!T718</f>
        <v>0</v>
      </c>
      <c r="Q335" s="43" t="str">
        <f t="shared" si="15"/>
        <v>syn BTCH7/BTCG7/BTCV6/BTCF7/BTCZ6/BTCX6</v>
      </c>
      <c r="R335" s="13">
        <f>'MKT DATA'!AB718</f>
        <v>0</v>
      </c>
    </row>
    <row r="336" spans="5:18" x14ac:dyDescent="0.25">
      <c r="E336" s="43" t="str">
        <f>'MKT DATA'!B719</f>
        <v>syn BTCH7/BTCG7/BTCZ6/BTCV6/BTCF7/BTCX6</v>
      </c>
      <c r="F336" s="13">
        <f>'MKT DATA'!J719</f>
        <v>1</v>
      </c>
      <c r="G336" s="8">
        <f>'MKT DATA'!K719</f>
        <v>82985</v>
      </c>
      <c r="H336" s="8">
        <f>'MKT DATA'!L719</f>
        <v>84797</v>
      </c>
      <c r="I336" s="13">
        <f>'MKT DATA'!M719</f>
        <v>1</v>
      </c>
      <c r="J336" s="43" t="str">
        <f t="shared" si="14"/>
        <v>syn BTCH7/BTCG7/BTCZ6/BTCV6/BTCF7/BTCX6</v>
      </c>
      <c r="K336" s="8">
        <f>'MKT DATA'!O719</f>
        <v>0</v>
      </c>
      <c r="L336" s="8">
        <f>'MKT DATA'!P719</f>
        <v>82985</v>
      </c>
      <c r="M336" s="8">
        <f>'MKT DATA'!Q719</f>
        <v>0</v>
      </c>
      <c r="N336" s="8">
        <f>'MKT DATA'!R719</f>
        <v>0</v>
      </c>
      <c r="O336" s="8">
        <f>'MKT DATA'!S719</f>
        <v>-84797</v>
      </c>
      <c r="P336" s="8">
        <f>'MKT DATA'!T719</f>
        <v>0</v>
      </c>
      <c r="Q336" s="43" t="str">
        <f t="shared" si="15"/>
        <v>syn BTCH7/BTCG7/BTCZ6/BTCV6/BTCF7/BTCX6</v>
      </c>
      <c r="R336" s="13">
        <f>'MKT DATA'!AB719</f>
        <v>0</v>
      </c>
    </row>
    <row r="337" spans="5:18" x14ac:dyDescent="0.25">
      <c r="E337" s="43" t="str">
        <f>'MKT DATA'!B720</f>
        <v>syn BTCH7/BTCG7/BTCZ6/BTCF7/BTCV6/BTCX6</v>
      </c>
      <c r="F337" s="13">
        <f>'MKT DATA'!J720</f>
        <v>1</v>
      </c>
      <c r="G337" s="8">
        <f>'MKT DATA'!K720</f>
        <v>83055</v>
      </c>
      <c r="H337" s="8">
        <f>'MKT DATA'!L720</f>
        <v>84764</v>
      </c>
      <c r="I337" s="13">
        <f>'MKT DATA'!M720</f>
        <v>1</v>
      </c>
      <c r="J337" s="43" t="str">
        <f t="shared" si="14"/>
        <v>syn BTCH7/BTCG7/BTCZ6/BTCF7/BTCV6/BTCX6</v>
      </c>
      <c r="K337" s="8">
        <f>'MKT DATA'!O720</f>
        <v>0</v>
      </c>
      <c r="L337" s="8">
        <f>'MKT DATA'!P720</f>
        <v>83055</v>
      </c>
      <c r="M337" s="8">
        <f>'MKT DATA'!Q720</f>
        <v>0</v>
      </c>
      <c r="N337" s="8">
        <f>'MKT DATA'!R720</f>
        <v>0</v>
      </c>
      <c r="O337" s="8">
        <f>'MKT DATA'!S720</f>
        <v>-84764</v>
      </c>
      <c r="P337" s="8">
        <f>'MKT DATA'!T720</f>
        <v>0</v>
      </c>
      <c r="Q337" s="43" t="str">
        <f t="shared" si="15"/>
        <v>syn BTCH7/BTCG7/BTCZ6/BTCF7/BTCV6/BTCX6</v>
      </c>
      <c r="R337" s="13">
        <f>'MKT DATA'!AB720</f>
        <v>0</v>
      </c>
    </row>
    <row r="338" spans="5:18" x14ac:dyDescent="0.25">
      <c r="E338" s="43" t="str">
        <f>'MKT DATA'!B721</f>
        <v>syn BTCH7/BTCG7/BTCF7/BTCV6/BTCZ6/BTCX6</v>
      </c>
      <c r="F338" s="13">
        <f>'MKT DATA'!J721</f>
        <v>1</v>
      </c>
      <c r="G338" s="8">
        <f>'MKT DATA'!K721</f>
        <v>83191</v>
      </c>
      <c r="H338" s="8">
        <f>'MKT DATA'!L721</f>
        <v>84648</v>
      </c>
      <c r="I338" s="13">
        <f>'MKT DATA'!M721</f>
        <v>1</v>
      </c>
      <c r="J338" s="43" t="str">
        <f t="shared" si="14"/>
        <v>syn BTCH7/BTCG7/BTCF7/BTCV6/BTCZ6/BTCX6</v>
      </c>
      <c r="K338" s="8">
        <f>'MKT DATA'!O721</f>
        <v>0</v>
      </c>
      <c r="L338" s="8">
        <f>'MKT DATA'!P721</f>
        <v>83191</v>
      </c>
      <c r="M338" s="8">
        <f>'MKT DATA'!Q721</f>
        <v>0</v>
      </c>
      <c r="N338" s="8">
        <f>'MKT DATA'!R721</f>
        <v>0</v>
      </c>
      <c r="O338" s="8">
        <f>'MKT DATA'!S721</f>
        <v>-84648</v>
      </c>
      <c r="P338" s="8">
        <f>'MKT DATA'!T721</f>
        <v>0</v>
      </c>
      <c r="Q338" s="43" t="str">
        <f t="shared" si="15"/>
        <v>syn BTCH7/BTCG7/BTCF7/BTCV6/BTCZ6/BTCX6</v>
      </c>
      <c r="R338" s="13">
        <f>'MKT DATA'!AB721</f>
        <v>0</v>
      </c>
    </row>
    <row r="339" spans="5:18" x14ac:dyDescent="0.25">
      <c r="E339" s="43" t="str">
        <f>'MKT DATA'!B722</f>
        <v>syn BTCH7/BTCG7/BTCF7/BTCZ6/BTCV6/BTCX6</v>
      </c>
      <c r="F339" s="13">
        <f>'MKT DATA'!J722</f>
        <v>1</v>
      </c>
      <c r="G339" s="8">
        <f>'MKT DATA'!K722</f>
        <v>83241</v>
      </c>
      <c r="H339" s="8">
        <f>'MKT DATA'!L722</f>
        <v>84564</v>
      </c>
      <c r="I339" s="13">
        <f>'MKT DATA'!M722</f>
        <v>1</v>
      </c>
      <c r="J339" s="43" t="str">
        <f t="shared" si="14"/>
        <v>syn BTCH7/BTCG7/BTCF7/BTCZ6/BTCV6/BTCX6</v>
      </c>
      <c r="K339" s="8">
        <f>'MKT DATA'!O722</f>
        <v>0</v>
      </c>
      <c r="L339" s="8">
        <f>'MKT DATA'!P722</f>
        <v>83241</v>
      </c>
      <c r="M339" s="8">
        <f>'MKT DATA'!Q722</f>
        <v>0</v>
      </c>
      <c r="N339" s="8">
        <f>'MKT DATA'!R722</f>
        <v>0</v>
      </c>
      <c r="O339" s="8">
        <f>'MKT DATA'!S722</f>
        <v>-84564</v>
      </c>
      <c r="P339" s="8">
        <f>'MKT DATA'!T722</f>
        <v>0</v>
      </c>
      <c r="Q339" s="43" t="str">
        <f t="shared" si="15"/>
        <v>syn BTCH7/BTCG7/BTCF7/BTCZ6/BTCV6/BTCX6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84271</v>
      </c>
      <c r="H1" s="48">
        <f>H11</f>
        <v>84327</v>
      </c>
      <c r="I1" s="45"/>
      <c r="J1" s="44" t="str">
        <f>E1</f>
        <v>best</v>
      </c>
      <c r="K1" s="46"/>
      <c r="L1" s="46"/>
      <c r="M1" s="48">
        <f>M9</f>
        <v>84242.495999999999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0</v>
      </c>
      <c r="I2" s="56"/>
      <c r="J2" s="58"/>
      <c r="K2" s="57"/>
      <c r="L2" s="57"/>
      <c r="M2" s="57">
        <f>'MKT DATA'!Q6-M1</f>
        <v>0</v>
      </c>
      <c r="N2" s="57">
        <f>'MKT DATA'!R6-N1</f>
        <v>-84347.504000000001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-56</v>
      </c>
      <c r="I4" s="57">
        <f>H4-(G14-H14)</f>
        <v>44</v>
      </c>
      <c r="J4" s="43" t="s">
        <v>5</v>
      </c>
      <c r="L4" s="13"/>
      <c r="M4" s="50"/>
      <c r="N4" s="48">
        <f>N1+M1</f>
        <v>84242.495999999999</v>
      </c>
      <c r="O4" s="57">
        <f>(N14+M14)-N4</f>
        <v>-84347.504000000001</v>
      </c>
    </row>
    <row r="5" spans="1:24" x14ac:dyDescent="0.25">
      <c r="E5" s="43" t="s">
        <v>6</v>
      </c>
      <c r="G5" s="8">
        <f>G9-G11</f>
        <v>1350</v>
      </c>
      <c r="H5" s="8">
        <f>H9-H11</f>
        <v>1342</v>
      </c>
      <c r="J5" s="43" t="s">
        <v>6</v>
      </c>
      <c r="M5" s="8">
        <f>M9-M11</f>
        <v>84242.495999999999</v>
      </c>
      <c r="N5" s="8">
        <f>N9-N11</f>
        <v>84347.504000000001</v>
      </c>
    </row>
    <row r="6" spans="1:24" x14ac:dyDescent="0.25">
      <c r="E6" s="43" t="s">
        <v>7</v>
      </c>
      <c r="G6" s="8">
        <f>G9-G10</f>
        <v>839.27914110429992</v>
      </c>
      <c r="H6" s="8">
        <f>H9-H10</f>
        <v>541.22699386502791</v>
      </c>
      <c r="J6" s="43" t="s">
        <v>7</v>
      </c>
      <c r="M6" s="8">
        <f>M9-M10</f>
        <v>83984.083435582826</v>
      </c>
      <c r="N6" s="8">
        <f>N9-N10</f>
        <v>258.73467484662575</v>
      </c>
    </row>
    <row r="7" spans="1:24" x14ac:dyDescent="0.25">
      <c r="E7" s="43" t="s">
        <v>8</v>
      </c>
      <c r="G7" s="8">
        <f>G10-G11</f>
        <v>510.72085889570008</v>
      </c>
      <c r="H7" s="8">
        <f>H10-H11</f>
        <v>800.77300613497209</v>
      </c>
      <c r="J7" s="43" t="s">
        <v>8</v>
      </c>
      <c r="M7" s="8">
        <f>M10-M11</f>
        <v>258.41256441717792</v>
      </c>
      <c r="N7" s="8">
        <f>N10-N11</f>
        <v>84088.769325153378</v>
      </c>
    </row>
    <row r="9" spans="1:24" x14ac:dyDescent="0.25">
      <c r="E9" s="43" t="s">
        <v>1</v>
      </c>
      <c r="G9" s="8">
        <f>MAX(G$14:G$339)</f>
        <v>84271</v>
      </c>
      <c r="H9" s="8">
        <f>MAX(H$14:H$339)</f>
        <v>85669</v>
      </c>
      <c r="J9" s="43" t="str">
        <f>E9</f>
        <v>max</v>
      </c>
      <c r="L9" s="8">
        <f>MAX(L$14:L$339)</f>
        <v>84271</v>
      </c>
      <c r="M9" s="8">
        <f>MAX(M$14:M$339)</f>
        <v>84242.495999999999</v>
      </c>
      <c r="N9" s="8">
        <f>MAX(N$14:N$339)</f>
        <v>0</v>
      </c>
      <c r="O9" s="8">
        <f>MAX(O$14:O$339)</f>
        <v>-84327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83431.7208588957</v>
      </c>
      <c r="H10" s="8">
        <f>AVERAGE(H$14:H$339)</f>
        <v>85127.773006134972</v>
      </c>
      <c r="J10" s="43" t="str">
        <f t="shared" ref="J10" si="0">E10</f>
        <v>avg</v>
      </c>
      <c r="L10" s="8">
        <f>AVERAGE(L$14:L$339)</f>
        <v>83431.7208588957</v>
      </c>
      <c r="M10" s="8">
        <f>AVERAGE(M$14:M$339)</f>
        <v>258.41256441717792</v>
      </c>
      <c r="N10" s="8">
        <f>AVERAGE(N$14:N$339)</f>
        <v>-258.73467484662575</v>
      </c>
      <c r="O10" s="8">
        <f>AVERAGE(O$14:O$339)</f>
        <v>-85127.773006134972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82921</v>
      </c>
      <c r="H11" s="8">
        <f>MIN(H$14:H$339)</f>
        <v>84327</v>
      </c>
      <c r="J11" s="43" t="str">
        <f>E11</f>
        <v>min</v>
      </c>
      <c r="L11" s="8">
        <f>MIN(L$14:L$339)</f>
        <v>82921</v>
      </c>
      <c r="M11" s="8">
        <f>MIN(M$14:M$339)</f>
        <v>0</v>
      </c>
      <c r="N11" s="8">
        <f>MIN(N$14:N$339)</f>
        <v>-84347.504000000001</v>
      </c>
      <c r="O11" s="8">
        <f>MIN(O$14:O$339)</f>
        <v>-85669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BTCZ6</v>
      </c>
      <c r="F14" s="13">
        <f>'MKT DATA'!J33</f>
        <v>5</v>
      </c>
      <c r="G14" s="8">
        <f>'MKT DATA'!K33</f>
        <v>84245</v>
      </c>
      <c r="H14" s="8">
        <f>'MKT DATA'!L33</f>
        <v>84345</v>
      </c>
      <c r="I14" s="13">
        <f>'MKT DATA'!M33</f>
        <v>5</v>
      </c>
      <c r="J14" s="43" t="str">
        <f>E14</f>
        <v>BTCZ6</v>
      </c>
      <c r="K14" s="8">
        <f>'MKT DATA'!O33</f>
        <v>-2.504</v>
      </c>
      <c r="L14" s="8">
        <f>'MKT DATA'!P33</f>
        <v>84245</v>
      </c>
      <c r="M14" s="8">
        <f>'MKT DATA'!Q33</f>
        <v>84242.495999999999</v>
      </c>
      <c r="N14" s="8">
        <f>'MKT DATA'!R33</f>
        <v>-84347.504000000001</v>
      </c>
      <c r="O14" s="8">
        <f>'MKT DATA'!S33</f>
        <v>-84345</v>
      </c>
      <c r="P14" s="8">
        <f>'MKT DATA'!T33</f>
        <v>-2.504</v>
      </c>
      <c r="Q14" s="43" t="str">
        <f>J14</f>
        <v>BTCZ6</v>
      </c>
      <c r="R14" s="13">
        <f>'MKT DATA'!AB33</f>
        <v>0</v>
      </c>
    </row>
    <row r="15" spans="1:24" x14ac:dyDescent="0.25">
      <c r="E15" s="43" t="str">
        <f>'MKT DATA'!B723</f>
        <v>syn BTCV6/BTCZ6</v>
      </c>
      <c r="F15" s="13">
        <f>'MKT DATA'!J723</f>
        <v>1</v>
      </c>
      <c r="G15" s="8">
        <f>'MKT DATA'!K723</f>
        <v>84266</v>
      </c>
      <c r="H15" s="8">
        <f>'MKT DATA'!L723</f>
        <v>84332</v>
      </c>
      <c r="I15" s="13">
        <f>'MKT DATA'!M723</f>
        <v>1</v>
      </c>
      <c r="J15" s="43" t="str">
        <f t="shared" ref="J15:J73" si="2">E15</f>
        <v>syn BTCV6/BTCZ6</v>
      </c>
      <c r="K15" s="8">
        <f>'MKT DATA'!O723</f>
        <v>0</v>
      </c>
      <c r="L15" s="8">
        <f>'MKT DATA'!P723</f>
        <v>84266</v>
      </c>
      <c r="M15" s="8">
        <f>'MKT DATA'!Q723</f>
        <v>0</v>
      </c>
      <c r="N15" s="8">
        <f>'MKT DATA'!R723</f>
        <v>0</v>
      </c>
      <c r="O15" s="8">
        <f>'MKT DATA'!S723</f>
        <v>-84332</v>
      </c>
      <c r="P15" s="8">
        <f>'MKT DATA'!T723</f>
        <v>0</v>
      </c>
      <c r="Q15" s="43" t="str">
        <f t="shared" ref="Q15:Q73" si="3">J15</f>
        <v>syn BTCV6/BTCZ6</v>
      </c>
      <c r="R15" s="13">
        <f>'MKT DATA'!AB723</f>
        <v>0</v>
      </c>
    </row>
    <row r="16" spans="1:24" x14ac:dyDescent="0.25">
      <c r="E16" s="43" t="str">
        <f>'MKT DATA'!B724</f>
        <v>syn BTCX6/BTCZ6</v>
      </c>
      <c r="F16" s="13">
        <f>'MKT DATA'!J724</f>
        <v>4</v>
      </c>
      <c r="G16" s="8">
        <f>'MKT DATA'!K724</f>
        <v>84264</v>
      </c>
      <c r="H16" s="8">
        <f>'MKT DATA'!L724</f>
        <v>84341</v>
      </c>
      <c r="I16" s="13">
        <f>'MKT DATA'!M724</f>
        <v>1</v>
      </c>
      <c r="J16" s="43" t="str">
        <f t="shared" si="2"/>
        <v>syn BTCX6/BTCZ6</v>
      </c>
      <c r="K16" s="8">
        <f>'MKT DATA'!O724</f>
        <v>0</v>
      </c>
      <c r="L16" s="8">
        <f>'MKT DATA'!P724</f>
        <v>84264</v>
      </c>
      <c r="M16" s="8">
        <f>'MKT DATA'!Q724</f>
        <v>0</v>
      </c>
      <c r="N16" s="8">
        <f>'MKT DATA'!R724</f>
        <v>0</v>
      </c>
      <c r="O16" s="8">
        <f>'MKT DATA'!S724</f>
        <v>-84341</v>
      </c>
      <c r="P16" s="8">
        <f>'MKT DATA'!T724</f>
        <v>0</v>
      </c>
      <c r="Q16" s="43" t="str">
        <f t="shared" si="3"/>
        <v>syn BTCX6/BTCZ6</v>
      </c>
      <c r="R16" s="13">
        <f>'MKT DATA'!AB724</f>
        <v>0</v>
      </c>
    </row>
    <row r="17" spans="5:18" x14ac:dyDescent="0.25">
      <c r="E17" s="43" t="str">
        <f>'MKT DATA'!B725</f>
        <v>syn BTCF7/BTCZ6</v>
      </c>
      <c r="F17" s="13">
        <f>'MKT DATA'!J725</f>
        <v>1</v>
      </c>
      <c r="G17" s="8">
        <f>'MKT DATA'!K725</f>
        <v>84186</v>
      </c>
      <c r="H17" s="8">
        <f>'MKT DATA'!L725</f>
        <v>84408</v>
      </c>
      <c r="I17" s="13">
        <f>'MKT DATA'!M725</f>
        <v>1</v>
      </c>
      <c r="J17" s="43" t="str">
        <f t="shared" si="2"/>
        <v>syn BTCF7/BTCZ6</v>
      </c>
      <c r="K17" s="8">
        <f>'MKT DATA'!O725</f>
        <v>0</v>
      </c>
      <c r="L17" s="8">
        <f>'MKT DATA'!P725</f>
        <v>84186</v>
      </c>
      <c r="M17" s="8">
        <f>'MKT DATA'!Q725</f>
        <v>0</v>
      </c>
      <c r="N17" s="8">
        <f>'MKT DATA'!R725</f>
        <v>0</v>
      </c>
      <c r="O17" s="8">
        <f>'MKT DATA'!S725</f>
        <v>-84408</v>
      </c>
      <c r="P17" s="8">
        <f>'MKT DATA'!T725</f>
        <v>0</v>
      </c>
      <c r="Q17" s="43" t="str">
        <f t="shared" si="3"/>
        <v>syn BTCF7/BTCZ6</v>
      </c>
      <c r="R17" s="13">
        <f>'MKT DATA'!AB725</f>
        <v>0</v>
      </c>
    </row>
    <row r="18" spans="5:18" x14ac:dyDescent="0.25">
      <c r="E18" s="43" t="str">
        <f>'MKT DATA'!B726</f>
        <v>syn BTCG7/BTCZ6</v>
      </c>
      <c r="F18" s="13">
        <f>'MKT DATA'!J726</f>
        <v>1</v>
      </c>
      <c r="G18" s="8">
        <f>'MKT DATA'!K726</f>
        <v>83915</v>
      </c>
      <c r="H18" s="8">
        <f>'MKT DATA'!L726</f>
        <v>84675</v>
      </c>
      <c r="I18" s="13">
        <f>'MKT DATA'!M726</f>
        <v>1</v>
      </c>
      <c r="J18" s="43" t="str">
        <f t="shared" si="2"/>
        <v>syn BTCG7/BTCZ6</v>
      </c>
      <c r="K18" s="8">
        <f>'MKT DATA'!O726</f>
        <v>0</v>
      </c>
      <c r="L18" s="8">
        <f>'MKT DATA'!P726</f>
        <v>83915</v>
      </c>
      <c r="M18" s="8">
        <f>'MKT DATA'!Q726</f>
        <v>0</v>
      </c>
      <c r="N18" s="8">
        <f>'MKT DATA'!R726</f>
        <v>0</v>
      </c>
      <c r="O18" s="8">
        <f>'MKT DATA'!S726</f>
        <v>-84675</v>
      </c>
      <c r="P18" s="8">
        <f>'MKT DATA'!T726</f>
        <v>0</v>
      </c>
      <c r="Q18" s="43" t="str">
        <f t="shared" si="3"/>
        <v>syn BTCG7/BTCZ6</v>
      </c>
      <c r="R18" s="13">
        <f>'MKT DATA'!AB726</f>
        <v>0</v>
      </c>
    </row>
    <row r="19" spans="5:18" x14ac:dyDescent="0.25">
      <c r="E19" s="43" t="str">
        <f>'MKT DATA'!B727</f>
        <v>syn BTCH7/BTCZ6</v>
      </c>
      <c r="F19" s="13">
        <f>'MKT DATA'!J727</f>
        <v>1</v>
      </c>
      <c r="G19" s="8">
        <f>'MKT DATA'!K727</f>
        <v>83535</v>
      </c>
      <c r="H19" s="8">
        <f>'MKT DATA'!L727</f>
        <v>84875</v>
      </c>
      <c r="I19" s="13">
        <f>'MKT DATA'!M727</f>
        <v>1</v>
      </c>
      <c r="J19" s="43" t="str">
        <f t="shared" si="2"/>
        <v>syn BTCH7/BTCZ6</v>
      </c>
      <c r="K19" s="8">
        <f>'MKT DATA'!O727</f>
        <v>0</v>
      </c>
      <c r="L19" s="8">
        <f>'MKT DATA'!P727</f>
        <v>83535</v>
      </c>
      <c r="M19" s="8">
        <f>'MKT DATA'!Q727</f>
        <v>0</v>
      </c>
      <c r="N19" s="8">
        <f>'MKT DATA'!R727</f>
        <v>0</v>
      </c>
      <c r="O19" s="8">
        <f>'MKT DATA'!S727</f>
        <v>-84875</v>
      </c>
      <c r="P19" s="8">
        <f>'MKT DATA'!T727</f>
        <v>0</v>
      </c>
      <c r="Q19" s="43" t="str">
        <f t="shared" si="3"/>
        <v>syn BTCH7/BTCZ6</v>
      </c>
      <c r="R19" s="13">
        <f>'MKT DATA'!AB727</f>
        <v>0</v>
      </c>
    </row>
    <row r="20" spans="5:18" x14ac:dyDescent="0.25">
      <c r="E20" s="43" t="str">
        <f>'MKT DATA'!B728</f>
        <v>syn BTCV6/BTCX6/BTCZ6</v>
      </c>
      <c r="F20" s="13">
        <f>'MKT DATA'!J728</f>
        <v>4</v>
      </c>
      <c r="G20" s="8">
        <f>'MKT DATA'!K728</f>
        <v>84271</v>
      </c>
      <c r="H20" s="8">
        <f>'MKT DATA'!L728</f>
        <v>84327</v>
      </c>
      <c r="I20" s="13">
        <f>'MKT DATA'!M728</f>
        <v>1</v>
      </c>
      <c r="J20" s="43" t="str">
        <f t="shared" si="2"/>
        <v>syn BTCV6/BTCX6/BTCZ6</v>
      </c>
      <c r="K20" s="8">
        <f>'MKT DATA'!O728</f>
        <v>0</v>
      </c>
      <c r="L20" s="8">
        <f>'MKT DATA'!P728</f>
        <v>84271</v>
      </c>
      <c r="M20" s="8">
        <f>'MKT DATA'!Q728</f>
        <v>0</v>
      </c>
      <c r="N20" s="8">
        <f>'MKT DATA'!R728</f>
        <v>0</v>
      </c>
      <c r="O20" s="8">
        <f>'MKT DATA'!S728</f>
        <v>-84327</v>
      </c>
      <c r="P20" s="8">
        <f>'MKT DATA'!T728</f>
        <v>0</v>
      </c>
      <c r="Q20" s="43" t="str">
        <f t="shared" si="3"/>
        <v>syn BTCV6/BTCX6/BTCZ6</v>
      </c>
      <c r="R20" s="13">
        <f>'MKT DATA'!AB728</f>
        <v>0</v>
      </c>
    </row>
    <row r="21" spans="5:18" x14ac:dyDescent="0.25">
      <c r="E21" s="43" t="str">
        <f>'MKT DATA'!B729</f>
        <v>syn BTCV6/BTCF7/BTCZ6</v>
      </c>
      <c r="F21" s="13">
        <f>'MKT DATA'!J729</f>
        <v>1</v>
      </c>
      <c r="G21" s="8">
        <f>'MKT DATA'!K729</f>
        <v>84172</v>
      </c>
      <c r="H21" s="8">
        <f>'MKT DATA'!L729</f>
        <v>84392</v>
      </c>
      <c r="I21" s="13">
        <f>'MKT DATA'!M729</f>
        <v>1</v>
      </c>
      <c r="J21" s="43" t="str">
        <f t="shared" si="2"/>
        <v>syn BTCV6/BTCF7/BTCZ6</v>
      </c>
      <c r="K21" s="8">
        <f>'MKT DATA'!O729</f>
        <v>0</v>
      </c>
      <c r="L21" s="8">
        <f>'MKT DATA'!P729</f>
        <v>84172</v>
      </c>
      <c r="M21" s="8">
        <f>'MKT DATA'!Q729</f>
        <v>0</v>
      </c>
      <c r="N21" s="8">
        <f>'MKT DATA'!R729</f>
        <v>0</v>
      </c>
      <c r="O21" s="8">
        <f>'MKT DATA'!S729</f>
        <v>-84392</v>
      </c>
      <c r="P21" s="8">
        <f>'MKT DATA'!T729</f>
        <v>0</v>
      </c>
      <c r="Q21" s="43" t="str">
        <f t="shared" si="3"/>
        <v>syn BTCV6/BTCF7/BTCZ6</v>
      </c>
      <c r="R21" s="13">
        <f>'MKT DATA'!AB729</f>
        <v>0</v>
      </c>
    </row>
    <row r="22" spans="5:18" x14ac:dyDescent="0.25">
      <c r="E22" s="43" t="str">
        <f>'MKT DATA'!B730</f>
        <v>syn BTCV6/BTCG7/BTCZ6</v>
      </c>
      <c r="F22" s="13">
        <f>'MKT DATA'!J730</f>
        <v>1</v>
      </c>
      <c r="G22" s="8">
        <f>'MKT DATA'!K730</f>
        <v>83885</v>
      </c>
      <c r="H22" s="8">
        <f>'MKT DATA'!L730</f>
        <v>84705</v>
      </c>
      <c r="I22" s="13">
        <f>'MKT DATA'!M730</f>
        <v>1</v>
      </c>
      <c r="J22" s="43" t="str">
        <f t="shared" si="2"/>
        <v>syn BTCV6/BTCG7/BTCZ6</v>
      </c>
      <c r="K22" s="8">
        <f>'MKT DATA'!O730</f>
        <v>0</v>
      </c>
      <c r="L22" s="8">
        <f>'MKT DATA'!P730</f>
        <v>83885</v>
      </c>
      <c r="M22" s="8">
        <f>'MKT DATA'!Q730</f>
        <v>0</v>
      </c>
      <c r="N22" s="8">
        <f>'MKT DATA'!R730</f>
        <v>0</v>
      </c>
      <c r="O22" s="8">
        <f>'MKT DATA'!S730</f>
        <v>-84705</v>
      </c>
      <c r="P22" s="8">
        <f>'MKT DATA'!T730</f>
        <v>0</v>
      </c>
      <c r="Q22" s="43" t="str">
        <f t="shared" si="3"/>
        <v>syn BTCV6/BTCG7/BTCZ6</v>
      </c>
      <c r="R22" s="13">
        <f>'MKT DATA'!AB730</f>
        <v>0</v>
      </c>
    </row>
    <row r="23" spans="5:18" x14ac:dyDescent="0.25">
      <c r="E23" s="43" t="str">
        <f>'MKT DATA'!B731</f>
        <v>syn BTCV6/BTCH7/BTCZ6</v>
      </c>
      <c r="F23" s="13">
        <f>'MKT DATA'!J731</f>
        <v>1</v>
      </c>
      <c r="G23" s="8">
        <f>'MKT DATA'!K731</f>
        <v>83505</v>
      </c>
      <c r="H23" s="8">
        <f>'MKT DATA'!L731</f>
        <v>84905</v>
      </c>
      <c r="I23" s="13">
        <f>'MKT DATA'!M731</f>
        <v>1</v>
      </c>
      <c r="J23" s="43" t="str">
        <f t="shared" si="2"/>
        <v>syn BTCV6/BTCH7/BTCZ6</v>
      </c>
      <c r="K23" s="8">
        <f>'MKT DATA'!O731</f>
        <v>0</v>
      </c>
      <c r="L23" s="8">
        <f>'MKT DATA'!P731</f>
        <v>83505</v>
      </c>
      <c r="M23" s="8">
        <f>'MKT DATA'!Q731</f>
        <v>0</v>
      </c>
      <c r="N23" s="8">
        <f>'MKT DATA'!R731</f>
        <v>0</v>
      </c>
      <c r="O23" s="8">
        <f>'MKT DATA'!S731</f>
        <v>-84905</v>
      </c>
      <c r="P23" s="8">
        <f>'MKT DATA'!T731</f>
        <v>0</v>
      </c>
      <c r="Q23" s="43" t="str">
        <f t="shared" si="3"/>
        <v>syn BTCV6/BTCH7/BTCZ6</v>
      </c>
      <c r="R23" s="13">
        <f>'MKT DATA'!AB731</f>
        <v>0</v>
      </c>
    </row>
    <row r="24" spans="5:18" x14ac:dyDescent="0.25">
      <c r="E24" s="43" t="str">
        <f>'MKT DATA'!B732</f>
        <v>syn BTCX6/BTCV6/BTCZ6</v>
      </c>
      <c r="F24" s="13">
        <f>'MKT DATA'!J732</f>
        <v>1</v>
      </c>
      <c r="G24" s="8">
        <f>'MKT DATA'!K732</f>
        <v>84255</v>
      </c>
      <c r="H24" s="8">
        <f>'MKT DATA'!L732</f>
        <v>84350</v>
      </c>
      <c r="I24" s="13">
        <f>'MKT DATA'!M732</f>
        <v>1</v>
      </c>
      <c r="J24" s="43" t="str">
        <f t="shared" si="2"/>
        <v>syn BTCX6/BTCV6/BTCZ6</v>
      </c>
      <c r="K24" s="8">
        <f>'MKT DATA'!O732</f>
        <v>0</v>
      </c>
      <c r="L24" s="8">
        <f>'MKT DATA'!P732</f>
        <v>84255</v>
      </c>
      <c r="M24" s="8">
        <f>'MKT DATA'!Q732</f>
        <v>0</v>
      </c>
      <c r="N24" s="8">
        <f>'MKT DATA'!R732</f>
        <v>0</v>
      </c>
      <c r="O24" s="8">
        <f>'MKT DATA'!S732</f>
        <v>-84350</v>
      </c>
      <c r="P24" s="8">
        <f>'MKT DATA'!T732</f>
        <v>0</v>
      </c>
      <c r="Q24" s="43" t="str">
        <f t="shared" si="3"/>
        <v>syn BTCX6/BTCV6/BTCZ6</v>
      </c>
      <c r="R24" s="13">
        <f>'MKT DATA'!AB732</f>
        <v>0</v>
      </c>
    </row>
    <row r="25" spans="5:18" x14ac:dyDescent="0.25">
      <c r="E25" s="43" t="str">
        <f>'MKT DATA'!B733</f>
        <v>syn BTCX6/BTCF7/BTCZ6</v>
      </c>
      <c r="F25" s="13">
        <f>'MKT DATA'!J733</f>
        <v>1</v>
      </c>
      <c r="G25" s="8">
        <f>'MKT DATA'!K733</f>
        <v>84187</v>
      </c>
      <c r="H25" s="8">
        <f>'MKT DATA'!L733</f>
        <v>84387</v>
      </c>
      <c r="I25" s="13">
        <f>'MKT DATA'!M733</f>
        <v>1</v>
      </c>
      <c r="J25" s="43" t="str">
        <f t="shared" si="2"/>
        <v>syn BTCX6/BTCF7/BTCZ6</v>
      </c>
      <c r="K25" s="8">
        <f>'MKT DATA'!O733</f>
        <v>0</v>
      </c>
      <c r="L25" s="8">
        <f>'MKT DATA'!P733</f>
        <v>84187</v>
      </c>
      <c r="M25" s="8">
        <f>'MKT DATA'!Q733</f>
        <v>0</v>
      </c>
      <c r="N25" s="8">
        <f>'MKT DATA'!R733</f>
        <v>0</v>
      </c>
      <c r="O25" s="8">
        <f>'MKT DATA'!S733</f>
        <v>-84387</v>
      </c>
      <c r="P25" s="8">
        <f>'MKT DATA'!T733</f>
        <v>0</v>
      </c>
      <c r="Q25" s="43" t="str">
        <f t="shared" si="3"/>
        <v>syn BTCX6/BTCF7/BTCZ6</v>
      </c>
      <c r="R25" s="13">
        <f>'MKT DATA'!AB733</f>
        <v>0</v>
      </c>
    </row>
    <row r="26" spans="5:18" x14ac:dyDescent="0.25">
      <c r="E26" s="43" t="str">
        <f>'MKT DATA'!B734</f>
        <v>syn BTCX6/BTCG7/BTCZ6</v>
      </c>
      <c r="F26" s="13">
        <f>'MKT DATA'!J734</f>
        <v>1</v>
      </c>
      <c r="G26" s="8">
        <f>'MKT DATA'!K734</f>
        <v>83860</v>
      </c>
      <c r="H26" s="8">
        <f>'MKT DATA'!L734</f>
        <v>84730</v>
      </c>
      <c r="I26" s="13">
        <f>'MKT DATA'!M734</f>
        <v>1</v>
      </c>
      <c r="J26" s="43" t="str">
        <f t="shared" si="2"/>
        <v>syn BTCX6/BTCG7/BTCZ6</v>
      </c>
      <c r="K26" s="8">
        <f>'MKT DATA'!O734</f>
        <v>0</v>
      </c>
      <c r="L26" s="8">
        <f>'MKT DATA'!P734</f>
        <v>83860</v>
      </c>
      <c r="M26" s="8">
        <f>'MKT DATA'!Q734</f>
        <v>0</v>
      </c>
      <c r="N26" s="8">
        <f>'MKT DATA'!R734</f>
        <v>0</v>
      </c>
      <c r="O26" s="8">
        <f>'MKT DATA'!S734</f>
        <v>-84730</v>
      </c>
      <c r="P26" s="8">
        <f>'MKT DATA'!T734</f>
        <v>0</v>
      </c>
      <c r="Q26" s="43" t="str">
        <f t="shared" si="3"/>
        <v>syn BTCX6/BTCG7/BTCZ6</v>
      </c>
      <c r="R26" s="13">
        <f>'MKT DATA'!AB734</f>
        <v>0</v>
      </c>
    </row>
    <row r="27" spans="5:18" x14ac:dyDescent="0.25">
      <c r="E27" s="43" t="str">
        <f>'MKT DATA'!B735</f>
        <v>syn BTCX6/BTCH7/BTCZ6</v>
      </c>
      <c r="F27" s="13">
        <f>'MKT DATA'!J735</f>
        <v>1</v>
      </c>
      <c r="G27" s="8">
        <f>'MKT DATA'!K735</f>
        <v>83480</v>
      </c>
      <c r="H27" s="8">
        <f>'MKT DATA'!L735</f>
        <v>84930</v>
      </c>
      <c r="I27" s="13">
        <f>'MKT DATA'!M735</f>
        <v>1</v>
      </c>
      <c r="J27" s="43" t="str">
        <f t="shared" si="2"/>
        <v>syn BTCX6/BTCH7/BTCZ6</v>
      </c>
      <c r="K27" s="8">
        <f>'MKT DATA'!O735</f>
        <v>0</v>
      </c>
      <c r="L27" s="8">
        <f>'MKT DATA'!P735</f>
        <v>83480</v>
      </c>
      <c r="M27" s="8">
        <f>'MKT DATA'!Q735</f>
        <v>0</v>
      </c>
      <c r="N27" s="8">
        <f>'MKT DATA'!R735</f>
        <v>0</v>
      </c>
      <c r="O27" s="8">
        <f>'MKT DATA'!S735</f>
        <v>-84930</v>
      </c>
      <c r="P27" s="8">
        <f>'MKT DATA'!T735</f>
        <v>0</v>
      </c>
      <c r="Q27" s="43" t="str">
        <f t="shared" si="3"/>
        <v>syn BTCX6/BTCH7/BTCZ6</v>
      </c>
      <c r="R27" s="13">
        <f>'MKT DATA'!AB735</f>
        <v>0</v>
      </c>
    </row>
    <row r="28" spans="5:18" x14ac:dyDescent="0.25">
      <c r="E28" s="43" t="str">
        <f>'MKT DATA'!B736</f>
        <v>syn BTCF7/BTCV6/BTCZ6</v>
      </c>
      <c r="F28" s="13">
        <f>'MKT DATA'!J736</f>
        <v>1</v>
      </c>
      <c r="G28" s="8">
        <f>'MKT DATA'!K736</f>
        <v>84127</v>
      </c>
      <c r="H28" s="8">
        <f>'MKT DATA'!L736</f>
        <v>84501</v>
      </c>
      <c r="I28" s="13">
        <f>'MKT DATA'!M736</f>
        <v>1</v>
      </c>
      <c r="J28" s="43" t="str">
        <f t="shared" si="2"/>
        <v>syn BTCF7/BTCV6/BTCZ6</v>
      </c>
      <c r="K28" s="8">
        <f>'MKT DATA'!O736</f>
        <v>0</v>
      </c>
      <c r="L28" s="8">
        <f>'MKT DATA'!P736</f>
        <v>84127</v>
      </c>
      <c r="M28" s="8">
        <f>'MKT DATA'!Q736</f>
        <v>0</v>
      </c>
      <c r="N28" s="8">
        <f>'MKT DATA'!R736</f>
        <v>0</v>
      </c>
      <c r="O28" s="8">
        <f>'MKT DATA'!S736</f>
        <v>-84501</v>
      </c>
      <c r="P28" s="8">
        <f>'MKT DATA'!T736</f>
        <v>0</v>
      </c>
      <c r="Q28" s="43" t="str">
        <f t="shared" si="3"/>
        <v>syn BTCF7/BTCV6/BTCZ6</v>
      </c>
      <c r="R28" s="13">
        <f>'MKT DATA'!AB736</f>
        <v>0</v>
      </c>
    </row>
    <row r="29" spans="5:18" x14ac:dyDescent="0.25">
      <c r="E29" s="43" t="str">
        <f>'MKT DATA'!B737</f>
        <v>syn BTCF7/BTCX6/BTCZ6</v>
      </c>
      <c r="F29" s="13">
        <f>'MKT DATA'!J737</f>
        <v>1</v>
      </c>
      <c r="G29" s="8">
        <f>'MKT DATA'!K737</f>
        <v>84155</v>
      </c>
      <c r="H29" s="8">
        <f>'MKT DATA'!L737</f>
        <v>84470</v>
      </c>
      <c r="I29" s="13">
        <f>'MKT DATA'!M737</f>
        <v>1</v>
      </c>
      <c r="J29" s="43" t="str">
        <f t="shared" si="2"/>
        <v>syn BTCF7/BTCX6/BTCZ6</v>
      </c>
      <c r="K29" s="8">
        <f>'MKT DATA'!O737</f>
        <v>0</v>
      </c>
      <c r="L29" s="8">
        <f>'MKT DATA'!P737</f>
        <v>84155</v>
      </c>
      <c r="M29" s="8">
        <f>'MKT DATA'!Q737</f>
        <v>0</v>
      </c>
      <c r="N29" s="8">
        <f>'MKT DATA'!R737</f>
        <v>0</v>
      </c>
      <c r="O29" s="8">
        <f>'MKT DATA'!S737</f>
        <v>-84470</v>
      </c>
      <c r="P29" s="8">
        <f>'MKT DATA'!T737</f>
        <v>0</v>
      </c>
      <c r="Q29" s="43" t="str">
        <f t="shared" si="3"/>
        <v>syn BTCF7/BTCX6/BTCZ6</v>
      </c>
      <c r="R29" s="13">
        <f>'MKT DATA'!AB737</f>
        <v>0</v>
      </c>
    </row>
    <row r="30" spans="5:18" x14ac:dyDescent="0.25">
      <c r="E30" s="43" t="str">
        <f>'MKT DATA'!B738</f>
        <v>syn BTCF7/BTCG7/BTCZ6</v>
      </c>
      <c r="F30" s="13">
        <f>'MKT DATA'!J738</f>
        <v>1</v>
      </c>
      <c r="G30" s="8">
        <f>'MKT DATA'!K738</f>
        <v>83899</v>
      </c>
      <c r="H30" s="8">
        <f>'MKT DATA'!L738</f>
        <v>84675</v>
      </c>
      <c r="I30" s="13">
        <f>'MKT DATA'!M738</f>
        <v>1</v>
      </c>
      <c r="J30" s="43" t="str">
        <f t="shared" si="2"/>
        <v>syn BTCF7/BTCG7/BTCZ6</v>
      </c>
      <c r="K30" s="8">
        <f>'MKT DATA'!O738</f>
        <v>0</v>
      </c>
      <c r="L30" s="8">
        <f>'MKT DATA'!P738</f>
        <v>83899</v>
      </c>
      <c r="M30" s="8">
        <f>'MKT DATA'!Q738</f>
        <v>0</v>
      </c>
      <c r="N30" s="8">
        <f>'MKT DATA'!R738</f>
        <v>0</v>
      </c>
      <c r="O30" s="8">
        <f>'MKT DATA'!S738</f>
        <v>-84675</v>
      </c>
      <c r="P30" s="8">
        <f>'MKT DATA'!T738</f>
        <v>0</v>
      </c>
      <c r="Q30" s="43" t="str">
        <f t="shared" si="3"/>
        <v>syn BTCF7/BTCG7/BTCZ6</v>
      </c>
      <c r="R30" s="13">
        <f>'MKT DATA'!AB738</f>
        <v>0</v>
      </c>
    </row>
    <row r="31" spans="5:18" x14ac:dyDescent="0.25">
      <c r="E31" s="43" t="str">
        <f>'MKT DATA'!B739</f>
        <v>syn BTCF7/BTCH7/BTCZ6</v>
      </c>
      <c r="F31" s="13">
        <f>'MKT DATA'!J739</f>
        <v>1</v>
      </c>
      <c r="G31" s="8">
        <f>'MKT DATA'!K739</f>
        <v>83350</v>
      </c>
      <c r="H31" s="8">
        <f>'MKT DATA'!L739</f>
        <v>85060</v>
      </c>
      <c r="I31" s="13">
        <f>'MKT DATA'!M739</f>
        <v>1</v>
      </c>
      <c r="J31" s="43" t="str">
        <f t="shared" si="2"/>
        <v>syn BTCF7/BTCH7/BTCZ6</v>
      </c>
      <c r="K31" s="8">
        <f>'MKT DATA'!O739</f>
        <v>0</v>
      </c>
      <c r="L31" s="8">
        <f>'MKT DATA'!P739</f>
        <v>83350</v>
      </c>
      <c r="M31" s="8">
        <f>'MKT DATA'!Q739</f>
        <v>0</v>
      </c>
      <c r="N31" s="8">
        <f>'MKT DATA'!R739</f>
        <v>0</v>
      </c>
      <c r="O31" s="8">
        <f>'MKT DATA'!S739</f>
        <v>-85060</v>
      </c>
      <c r="P31" s="8">
        <f>'MKT DATA'!T739</f>
        <v>0</v>
      </c>
      <c r="Q31" s="43" t="str">
        <f t="shared" si="3"/>
        <v>syn BTCF7/BTCH7/BTCZ6</v>
      </c>
      <c r="R31" s="13">
        <f>'MKT DATA'!AB739</f>
        <v>0</v>
      </c>
    </row>
    <row r="32" spans="5:18" x14ac:dyDescent="0.25">
      <c r="E32" s="43" t="str">
        <f>'MKT DATA'!B740</f>
        <v>syn BTCG7/BTCV6/BTCZ6</v>
      </c>
      <c r="F32" s="13">
        <f>'MKT DATA'!J740</f>
        <v>1</v>
      </c>
      <c r="G32" s="8">
        <f>'MKT DATA'!K740</f>
        <v>83936</v>
      </c>
      <c r="H32" s="8">
        <f>'MKT DATA'!L740</f>
        <v>84662</v>
      </c>
      <c r="I32" s="13">
        <f>'MKT DATA'!M740</f>
        <v>1</v>
      </c>
      <c r="J32" s="43" t="str">
        <f t="shared" si="2"/>
        <v>syn BTCG7/BTCV6/BTCZ6</v>
      </c>
      <c r="K32" s="8">
        <f>'MKT DATA'!O740</f>
        <v>0</v>
      </c>
      <c r="L32" s="8">
        <f>'MKT DATA'!P740</f>
        <v>83936</v>
      </c>
      <c r="M32" s="8">
        <f>'MKT DATA'!Q740</f>
        <v>0</v>
      </c>
      <c r="N32" s="8">
        <f>'MKT DATA'!R740</f>
        <v>0</v>
      </c>
      <c r="O32" s="8">
        <f>'MKT DATA'!S740</f>
        <v>-84662</v>
      </c>
      <c r="P32" s="8">
        <f>'MKT DATA'!T740</f>
        <v>0</v>
      </c>
      <c r="Q32" s="43" t="str">
        <f t="shared" si="3"/>
        <v>syn BTCG7/BTCV6/BTCZ6</v>
      </c>
      <c r="R32" s="13">
        <f>'MKT DATA'!AB740</f>
        <v>0</v>
      </c>
    </row>
    <row r="33" spans="5:18" x14ac:dyDescent="0.25">
      <c r="E33" s="43" t="str">
        <f>'MKT DATA'!B741</f>
        <v>syn BTCG7/BTCX6/BTCZ6</v>
      </c>
      <c r="F33" s="13">
        <f>'MKT DATA'!J741</f>
        <v>1</v>
      </c>
      <c r="G33" s="8">
        <f>'MKT DATA'!K741</f>
        <v>83934</v>
      </c>
      <c r="H33" s="8">
        <f>'MKT DATA'!L741</f>
        <v>84671</v>
      </c>
      <c r="I33" s="13">
        <f>'MKT DATA'!M741</f>
        <v>1</v>
      </c>
      <c r="J33" s="43" t="str">
        <f t="shared" si="2"/>
        <v>syn BTCG7/BTCX6/BTCZ6</v>
      </c>
      <c r="K33" s="8">
        <f>'MKT DATA'!O741</f>
        <v>0</v>
      </c>
      <c r="L33" s="8">
        <f>'MKT DATA'!P741</f>
        <v>83934</v>
      </c>
      <c r="M33" s="8">
        <f>'MKT DATA'!Q741</f>
        <v>0</v>
      </c>
      <c r="N33" s="8">
        <f>'MKT DATA'!R741</f>
        <v>0</v>
      </c>
      <c r="O33" s="8">
        <f>'MKT DATA'!S741</f>
        <v>-84671</v>
      </c>
      <c r="P33" s="8">
        <f>'MKT DATA'!T741</f>
        <v>0</v>
      </c>
      <c r="Q33" s="43" t="str">
        <f t="shared" si="3"/>
        <v>syn BTCG7/BTCX6/BTCZ6</v>
      </c>
      <c r="R33" s="13">
        <f>'MKT DATA'!AB741</f>
        <v>0</v>
      </c>
    </row>
    <row r="34" spans="5:18" x14ac:dyDescent="0.25">
      <c r="E34" s="43" t="str">
        <f>'MKT DATA'!B742</f>
        <v>syn BTCG7/BTCF7/BTCZ6</v>
      </c>
      <c r="F34" s="13">
        <f>'MKT DATA'!J742</f>
        <v>1</v>
      </c>
      <c r="G34" s="8">
        <f>'MKT DATA'!K742</f>
        <v>84041</v>
      </c>
      <c r="H34" s="8">
        <f>'MKT DATA'!L742</f>
        <v>84569</v>
      </c>
      <c r="I34" s="13">
        <f>'MKT DATA'!M742</f>
        <v>1</v>
      </c>
      <c r="J34" s="43" t="str">
        <f t="shared" si="2"/>
        <v>syn BTCG7/BTCF7/BTCZ6</v>
      </c>
      <c r="K34" s="8">
        <f>'MKT DATA'!O742</f>
        <v>0</v>
      </c>
      <c r="L34" s="8">
        <f>'MKT DATA'!P742</f>
        <v>84041</v>
      </c>
      <c r="M34" s="8">
        <f>'MKT DATA'!Q742</f>
        <v>0</v>
      </c>
      <c r="N34" s="8">
        <f>'MKT DATA'!R742</f>
        <v>0</v>
      </c>
      <c r="O34" s="8">
        <f>'MKT DATA'!S742</f>
        <v>-84569</v>
      </c>
      <c r="P34" s="8">
        <f>'MKT DATA'!T742</f>
        <v>0</v>
      </c>
      <c r="Q34" s="43" t="str">
        <f t="shared" si="3"/>
        <v>syn BTCG7/BTCF7/BTCZ6</v>
      </c>
      <c r="R34" s="13">
        <f>'MKT DATA'!AB742</f>
        <v>0</v>
      </c>
    </row>
    <row r="35" spans="5:18" x14ac:dyDescent="0.25">
      <c r="E35" s="43" t="str">
        <f>'MKT DATA'!B743</f>
        <v>syn BTCG7/BTCH7/BTCZ6</v>
      </c>
      <c r="F35" s="13">
        <f>'MKT DATA'!J743</f>
        <v>1</v>
      </c>
      <c r="G35" s="8">
        <f>'MKT DATA'!K743</f>
        <v>83595</v>
      </c>
      <c r="H35" s="8">
        <f>'MKT DATA'!L743</f>
        <v>84870</v>
      </c>
      <c r="I35" s="13">
        <f>'MKT DATA'!M743</f>
        <v>1</v>
      </c>
      <c r="J35" s="43" t="str">
        <f t="shared" si="2"/>
        <v>syn BTCG7/BTCH7/BTCZ6</v>
      </c>
      <c r="K35" s="8">
        <f>'MKT DATA'!O743</f>
        <v>0</v>
      </c>
      <c r="L35" s="8">
        <f>'MKT DATA'!P743</f>
        <v>83595</v>
      </c>
      <c r="M35" s="8">
        <f>'MKT DATA'!Q743</f>
        <v>0</v>
      </c>
      <c r="N35" s="8">
        <f>'MKT DATA'!R743</f>
        <v>0</v>
      </c>
      <c r="O35" s="8">
        <f>'MKT DATA'!S743</f>
        <v>-84870</v>
      </c>
      <c r="P35" s="8">
        <f>'MKT DATA'!T743</f>
        <v>0</v>
      </c>
      <c r="Q35" s="43" t="str">
        <f t="shared" si="3"/>
        <v>syn BTCG7/BTCH7/BTCZ6</v>
      </c>
      <c r="R35" s="13">
        <f>'MKT DATA'!AB743</f>
        <v>0</v>
      </c>
    </row>
    <row r="36" spans="5:18" x14ac:dyDescent="0.25">
      <c r="E36" s="43" t="str">
        <f>'MKT DATA'!B744</f>
        <v>syn BTCH7/BTCV6/BTCZ6</v>
      </c>
      <c r="F36" s="13">
        <f>'MKT DATA'!J744</f>
        <v>1</v>
      </c>
      <c r="G36" s="8">
        <f>'MKT DATA'!K744</f>
        <v>83526</v>
      </c>
      <c r="H36" s="8">
        <f>'MKT DATA'!L744</f>
        <v>85072</v>
      </c>
      <c r="I36" s="13">
        <f>'MKT DATA'!M744</f>
        <v>1</v>
      </c>
      <c r="J36" s="43" t="str">
        <f t="shared" si="2"/>
        <v>syn BTCH7/BTCV6/BTCZ6</v>
      </c>
      <c r="K36" s="8">
        <f>'MKT DATA'!O744</f>
        <v>0</v>
      </c>
      <c r="L36" s="8">
        <f>'MKT DATA'!P744</f>
        <v>83526</v>
      </c>
      <c r="M36" s="8">
        <f>'MKT DATA'!Q744</f>
        <v>0</v>
      </c>
      <c r="N36" s="8">
        <f>'MKT DATA'!R744</f>
        <v>0</v>
      </c>
      <c r="O36" s="8">
        <f>'MKT DATA'!S744</f>
        <v>-85072</v>
      </c>
      <c r="P36" s="8">
        <f>'MKT DATA'!T744</f>
        <v>0</v>
      </c>
      <c r="Q36" s="43" t="str">
        <f t="shared" si="3"/>
        <v>syn BTCH7/BTCV6/BTCZ6</v>
      </c>
      <c r="R36" s="13">
        <f>'MKT DATA'!AB744</f>
        <v>0</v>
      </c>
    </row>
    <row r="37" spans="5:18" x14ac:dyDescent="0.25">
      <c r="E37" s="43" t="str">
        <f>'MKT DATA'!B745</f>
        <v>syn BTCH7/BTCX6/BTCZ6</v>
      </c>
      <c r="F37" s="13">
        <f>'MKT DATA'!J745</f>
        <v>1</v>
      </c>
      <c r="G37" s="8">
        <f>'MKT DATA'!K745</f>
        <v>83524</v>
      </c>
      <c r="H37" s="8">
        <f>'MKT DATA'!L745</f>
        <v>85081</v>
      </c>
      <c r="I37" s="13">
        <f>'MKT DATA'!M745</f>
        <v>1</v>
      </c>
      <c r="J37" s="43" t="str">
        <f t="shared" si="2"/>
        <v>syn BTCH7/BTCX6/BTCZ6</v>
      </c>
      <c r="K37" s="8">
        <f>'MKT DATA'!O745</f>
        <v>0</v>
      </c>
      <c r="L37" s="8">
        <f>'MKT DATA'!P745</f>
        <v>83524</v>
      </c>
      <c r="M37" s="8">
        <f>'MKT DATA'!Q745</f>
        <v>0</v>
      </c>
      <c r="N37" s="8">
        <f>'MKT DATA'!R745</f>
        <v>0</v>
      </c>
      <c r="O37" s="8">
        <f>'MKT DATA'!S745</f>
        <v>-85081</v>
      </c>
      <c r="P37" s="8">
        <f>'MKT DATA'!T745</f>
        <v>0</v>
      </c>
      <c r="Q37" s="43" t="str">
        <f t="shared" si="3"/>
        <v>syn BTCH7/BTCX6/BTCZ6</v>
      </c>
      <c r="R37" s="13">
        <f>'MKT DATA'!AB745</f>
        <v>0</v>
      </c>
    </row>
    <row r="38" spans="5:18" x14ac:dyDescent="0.25">
      <c r="E38" s="43" t="str">
        <f>'MKT DATA'!B746</f>
        <v>syn BTCH7/BTCF7/BTCZ6</v>
      </c>
      <c r="F38" s="13">
        <f>'MKT DATA'!J746</f>
        <v>1</v>
      </c>
      <c r="G38" s="8">
        <f>'MKT DATA'!K746</f>
        <v>83446</v>
      </c>
      <c r="H38" s="8">
        <f>'MKT DATA'!L746</f>
        <v>85148</v>
      </c>
      <c r="I38" s="13">
        <f>'MKT DATA'!M746</f>
        <v>1</v>
      </c>
      <c r="J38" s="43" t="str">
        <f t="shared" si="2"/>
        <v>syn BTCH7/BTCF7/BTCZ6</v>
      </c>
      <c r="K38" s="8">
        <f>'MKT DATA'!O746</f>
        <v>0</v>
      </c>
      <c r="L38" s="8">
        <f>'MKT DATA'!P746</f>
        <v>83446</v>
      </c>
      <c r="M38" s="8">
        <f>'MKT DATA'!Q746</f>
        <v>0</v>
      </c>
      <c r="N38" s="8">
        <f>'MKT DATA'!R746</f>
        <v>0</v>
      </c>
      <c r="O38" s="8">
        <f>'MKT DATA'!S746</f>
        <v>-85148</v>
      </c>
      <c r="P38" s="8">
        <f>'MKT DATA'!T746</f>
        <v>0</v>
      </c>
      <c r="Q38" s="43" t="str">
        <f t="shared" si="3"/>
        <v>syn BTCH7/BTCF7/BTCZ6</v>
      </c>
      <c r="R38" s="13">
        <f>'MKT DATA'!AB746</f>
        <v>0</v>
      </c>
    </row>
    <row r="39" spans="5:18" x14ac:dyDescent="0.25">
      <c r="E39" s="43" t="str">
        <f>'MKT DATA'!B747</f>
        <v>syn BTCH7/BTCG7/BTCZ6</v>
      </c>
      <c r="F39" s="13">
        <f>'MKT DATA'!J747</f>
        <v>1</v>
      </c>
      <c r="G39" s="8">
        <f>'MKT DATA'!K747</f>
        <v>83510</v>
      </c>
      <c r="H39" s="8">
        <f>'MKT DATA'!L747</f>
        <v>85025</v>
      </c>
      <c r="I39" s="13">
        <f>'MKT DATA'!M747</f>
        <v>1</v>
      </c>
      <c r="J39" s="43" t="str">
        <f t="shared" si="2"/>
        <v>syn BTCH7/BTCG7/BTCZ6</v>
      </c>
      <c r="K39" s="8">
        <f>'MKT DATA'!O747</f>
        <v>0</v>
      </c>
      <c r="L39" s="8">
        <f>'MKT DATA'!P747</f>
        <v>83510</v>
      </c>
      <c r="M39" s="8">
        <f>'MKT DATA'!Q747</f>
        <v>0</v>
      </c>
      <c r="N39" s="8">
        <f>'MKT DATA'!R747</f>
        <v>0</v>
      </c>
      <c r="O39" s="8">
        <f>'MKT DATA'!S747</f>
        <v>-85025</v>
      </c>
      <c r="P39" s="8">
        <f>'MKT DATA'!T747</f>
        <v>0</v>
      </c>
      <c r="Q39" s="43" t="str">
        <f t="shared" si="3"/>
        <v>syn BTCH7/BTCG7/BTCZ6</v>
      </c>
      <c r="R39" s="13">
        <f>'MKT DATA'!AB747</f>
        <v>0</v>
      </c>
    </row>
    <row r="40" spans="5:18" x14ac:dyDescent="0.25">
      <c r="E40" s="43" t="str">
        <f>'MKT DATA'!B748</f>
        <v>syn BTCV6/BTCX6/BTCF7/BTCZ6</v>
      </c>
      <c r="F40" s="13">
        <f>'MKT DATA'!J748</f>
        <v>1</v>
      </c>
      <c r="G40" s="8">
        <f>'MKT DATA'!K748</f>
        <v>84194</v>
      </c>
      <c r="H40" s="8">
        <f>'MKT DATA'!L748</f>
        <v>84373</v>
      </c>
      <c r="I40" s="13">
        <f>'MKT DATA'!M748</f>
        <v>1</v>
      </c>
      <c r="J40" s="43" t="str">
        <f t="shared" si="2"/>
        <v>syn BTCV6/BTCX6/BTCF7/BTCZ6</v>
      </c>
      <c r="K40" s="8">
        <f>'MKT DATA'!O748</f>
        <v>0</v>
      </c>
      <c r="L40" s="8">
        <f>'MKT DATA'!P748</f>
        <v>84194</v>
      </c>
      <c r="M40" s="8">
        <f>'MKT DATA'!Q748</f>
        <v>0</v>
      </c>
      <c r="N40" s="8">
        <f>'MKT DATA'!R748</f>
        <v>0</v>
      </c>
      <c r="O40" s="8">
        <f>'MKT DATA'!S748</f>
        <v>-84373</v>
      </c>
      <c r="P40" s="8">
        <f>'MKT DATA'!T748</f>
        <v>0</v>
      </c>
      <c r="Q40" s="43" t="str">
        <f t="shared" si="3"/>
        <v>syn BTCV6/BTCX6/BTCF7/BTCZ6</v>
      </c>
      <c r="R40" s="13">
        <f>'MKT DATA'!AB748</f>
        <v>0</v>
      </c>
    </row>
    <row r="41" spans="5:18" x14ac:dyDescent="0.25">
      <c r="E41" s="43" t="str">
        <f>'MKT DATA'!B749</f>
        <v>syn BTCV6/BTCX6/BTCG7/BTCZ6</v>
      </c>
      <c r="F41" s="13">
        <f>'MKT DATA'!J749</f>
        <v>1</v>
      </c>
      <c r="G41" s="8">
        <f>'MKT DATA'!K749</f>
        <v>83867</v>
      </c>
      <c r="H41" s="8">
        <f>'MKT DATA'!L749</f>
        <v>84716</v>
      </c>
      <c r="I41" s="13">
        <f>'MKT DATA'!M749</f>
        <v>1</v>
      </c>
      <c r="J41" s="43" t="str">
        <f t="shared" si="2"/>
        <v>syn BTCV6/BTCX6/BTCG7/BTCZ6</v>
      </c>
      <c r="K41" s="8">
        <f>'MKT DATA'!O749</f>
        <v>0</v>
      </c>
      <c r="L41" s="8">
        <f>'MKT DATA'!P749</f>
        <v>83867</v>
      </c>
      <c r="M41" s="8">
        <f>'MKT DATA'!Q749</f>
        <v>0</v>
      </c>
      <c r="N41" s="8">
        <f>'MKT DATA'!R749</f>
        <v>0</v>
      </c>
      <c r="O41" s="8">
        <f>'MKT DATA'!S749</f>
        <v>-84716</v>
      </c>
      <c r="P41" s="8">
        <f>'MKT DATA'!T749</f>
        <v>0</v>
      </c>
      <c r="Q41" s="43" t="str">
        <f t="shared" si="3"/>
        <v>syn BTCV6/BTCX6/BTCG7/BTCZ6</v>
      </c>
      <c r="R41" s="13">
        <f>'MKT DATA'!AB749</f>
        <v>0</v>
      </c>
    </row>
    <row r="42" spans="5:18" x14ac:dyDescent="0.25">
      <c r="E42" s="43" t="str">
        <f>'MKT DATA'!B750</f>
        <v>syn BTCV6/BTCX6/BTCH7/BTCZ6</v>
      </c>
      <c r="F42" s="13">
        <f>'MKT DATA'!J750</f>
        <v>1</v>
      </c>
      <c r="G42" s="8">
        <f>'MKT DATA'!K750</f>
        <v>83487</v>
      </c>
      <c r="H42" s="8">
        <f>'MKT DATA'!L750</f>
        <v>84916</v>
      </c>
      <c r="I42" s="13">
        <f>'MKT DATA'!M750</f>
        <v>1</v>
      </c>
      <c r="J42" s="43" t="str">
        <f t="shared" si="2"/>
        <v>syn BTCV6/BTCX6/BTCH7/BTCZ6</v>
      </c>
      <c r="K42" s="8">
        <f>'MKT DATA'!O750</f>
        <v>0</v>
      </c>
      <c r="L42" s="8">
        <f>'MKT DATA'!P750</f>
        <v>83487</v>
      </c>
      <c r="M42" s="8">
        <f>'MKT DATA'!Q750</f>
        <v>0</v>
      </c>
      <c r="N42" s="8">
        <f>'MKT DATA'!R750</f>
        <v>0</v>
      </c>
      <c r="O42" s="8">
        <f>'MKT DATA'!S750</f>
        <v>-84916</v>
      </c>
      <c r="P42" s="8">
        <f>'MKT DATA'!T750</f>
        <v>0</v>
      </c>
      <c r="Q42" s="43" t="str">
        <f t="shared" si="3"/>
        <v>syn BTCV6/BTCX6/BTCH7/BTCZ6</v>
      </c>
      <c r="R42" s="13">
        <f>'MKT DATA'!AB750</f>
        <v>0</v>
      </c>
    </row>
    <row r="43" spans="5:18" x14ac:dyDescent="0.25">
      <c r="E43" s="43" t="str">
        <f>'MKT DATA'!B751</f>
        <v>syn BTCV6/BTCF7/BTCX6/BTCZ6</v>
      </c>
      <c r="F43" s="13">
        <f>'MKT DATA'!J751</f>
        <v>1</v>
      </c>
      <c r="G43" s="8">
        <f>'MKT DATA'!K751</f>
        <v>84141</v>
      </c>
      <c r="H43" s="8">
        <f>'MKT DATA'!L751</f>
        <v>84454</v>
      </c>
      <c r="I43" s="13">
        <f>'MKT DATA'!M751</f>
        <v>1</v>
      </c>
      <c r="J43" s="43" t="str">
        <f t="shared" si="2"/>
        <v>syn BTCV6/BTCF7/BTCX6/BTCZ6</v>
      </c>
      <c r="K43" s="8">
        <f>'MKT DATA'!O751</f>
        <v>0</v>
      </c>
      <c r="L43" s="8">
        <f>'MKT DATA'!P751</f>
        <v>84141</v>
      </c>
      <c r="M43" s="8">
        <f>'MKT DATA'!Q751</f>
        <v>0</v>
      </c>
      <c r="N43" s="8">
        <f>'MKT DATA'!R751</f>
        <v>0</v>
      </c>
      <c r="O43" s="8">
        <f>'MKT DATA'!S751</f>
        <v>-84454</v>
      </c>
      <c r="P43" s="8">
        <f>'MKT DATA'!T751</f>
        <v>0</v>
      </c>
      <c r="Q43" s="43" t="str">
        <f t="shared" si="3"/>
        <v>syn BTCV6/BTCF7/BTCX6/BTCZ6</v>
      </c>
      <c r="R43" s="13">
        <f>'MKT DATA'!AB751</f>
        <v>0</v>
      </c>
    </row>
    <row r="44" spans="5:18" x14ac:dyDescent="0.25">
      <c r="E44" s="43" t="str">
        <f>'MKT DATA'!B752</f>
        <v>syn BTCV6/BTCF7/BTCG7/BTCZ6</v>
      </c>
      <c r="F44" s="13">
        <f>'MKT DATA'!J752</f>
        <v>1</v>
      </c>
      <c r="G44" s="8">
        <f>'MKT DATA'!K752</f>
        <v>83885</v>
      </c>
      <c r="H44" s="8">
        <f>'MKT DATA'!L752</f>
        <v>84659</v>
      </c>
      <c r="I44" s="13">
        <f>'MKT DATA'!M752</f>
        <v>1</v>
      </c>
      <c r="J44" s="43" t="str">
        <f t="shared" si="2"/>
        <v>syn BTCV6/BTCF7/BTCG7/BTCZ6</v>
      </c>
      <c r="K44" s="8">
        <f>'MKT DATA'!O752</f>
        <v>0</v>
      </c>
      <c r="L44" s="8">
        <f>'MKT DATA'!P752</f>
        <v>83885</v>
      </c>
      <c r="M44" s="8">
        <f>'MKT DATA'!Q752</f>
        <v>0</v>
      </c>
      <c r="N44" s="8">
        <f>'MKT DATA'!R752</f>
        <v>0</v>
      </c>
      <c r="O44" s="8">
        <f>'MKT DATA'!S752</f>
        <v>-84659</v>
      </c>
      <c r="P44" s="8">
        <f>'MKT DATA'!T752</f>
        <v>0</v>
      </c>
      <c r="Q44" s="43" t="str">
        <f t="shared" si="3"/>
        <v>syn BTCV6/BTCF7/BTCG7/BTCZ6</v>
      </c>
      <c r="R44" s="13">
        <f>'MKT DATA'!AB752</f>
        <v>0</v>
      </c>
    </row>
    <row r="45" spans="5:18" x14ac:dyDescent="0.25">
      <c r="E45" s="43" t="str">
        <f>'MKT DATA'!B753</f>
        <v>syn BTCV6/BTCF7/BTCH7/BTCZ6</v>
      </c>
      <c r="F45" s="13">
        <f>'MKT DATA'!J753</f>
        <v>1</v>
      </c>
      <c r="G45" s="8">
        <f>'MKT DATA'!K753</f>
        <v>83336</v>
      </c>
      <c r="H45" s="8">
        <f>'MKT DATA'!L753</f>
        <v>85044</v>
      </c>
      <c r="I45" s="13">
        <f>'MKT DATA'!M753</f>
        <v>1</v>
      </c>
      <c r="J45" s="43" t="str">
        <f t="shared" si="2"/>
        <v>syn BTCV6/BTCF7/BTCH7/BTCZ6</v>
      </c>
      <c r="K45" s="8">
        <f>'MKT DATA'!O753</f>
        <v>0</v>
      </c>
      <c r="L45" s="8">
        <f>'MKT DATA'!P753</f>
        <v>83336</v>
      </c>
      <c r="M45" s="8">
        <f>'MKT DATA'!Q753</f>
        <v>0</v>
      </c>
      <c r="N45" s="8">
        <f>'MKT DATA'!R753</f>
        <v>0</v>
      </c>
      <c r="O45" s="8">
        <f>'MKT DATA'!S753</f>
        <v>-85044</v>
      </c>
      <c r="P45" s="8">
        <f>'MKT DATA'!T753</f>
        <v>0</v>
      </c>
      <c r="Q45" s="43" t="str">
        <f t="shared" si="3"/>
        <v>syn BTCV6/BTCF7/BTCH7/BTCZ6</v>
      </c>
      <c r="R45" s="13">
        <f>'MKT DATA'!AB753</f>
        <v>0</v>
      </c>
    </row>
    <row r="46" spans="5:18" x14ac:dyDescent="0.25">
      <c r="E46" s="43" t="str">
        <f>'MKT DATA'!B754</f>
        <v>syn BTCV6/BTCG7/BTCX6/BTCZ6</v>
      </c>
      <c r="F46" s="13">
        <f>'MKT DATA'!J754</f>
        <v>1</v>
      </c>
      <c r="G46" s="8">
        <f>'MKT DATA'!K754</f>
        <v>83904</v>
      </c>
      <c r="H46" s="8">
        <f>'MKT DATA'!L754</f>
        <v>84701</v>
      </c>
      <c r="I46" s="13">
        <f>'MKT DATA'!M754</f>
        <v>1</v>
      </c>
      <c r="J46" s="43" t="str">
        <f t="shared" si="2"/>
        <v>syn BTCV6/BTCG7/BTCX6/BTCZ6</v>
      </c>
      <c r="K46" s="8">
        <f>'MKT DATA'!O754</f>
        <v>0</v>
      </c>
      <c r="L46" s="8">
        <f>'MKT DATA'!P754</f>
        <v>83904</v>
      </c>
      <c r="M46" s="8">
        <f>'MKT DATA'!Q754</f>
        <v>0</v>
      </c>
      <c r="N46" s="8">
        <f>'MKT DATA'!R754</f>
        <v>0</v>
      </c>
      <c r="O46" s="8">
        <f>'MKT DATA'!S754</f>
        <v>-84701</v>
      </c>
      <c r="P46" s="8">
        <f>'MKT DATA'!T754</f>
        <v>0</v>
      </c>
      <c r="Q46" s="43" t="str">
        <f t="shared" si="3"/>
        <v>syn BTCV6/BTCG7/BTCX6/BTCZ6</v>
      </c>
      <c r="R46" s="13">
        <f>'MKT DATA'!AB754</f>
        <v>0</v>
      </c>
    </row>
    <row r="47" spans="5:18" x14ac:dyDescent="0.25">
      <c r="E47" s="43" t="str">
        <f>'MKT DATA'!B755</f>
        <v>syn BTCV6/BTCG7/BTCF7/BTCZ6</v>
      </c>
      <c r="F47" s="13">
        <f>'MKT DATA'!J755</f>
        <v>1</v>
      </c>
      <c r="G47" s="8">
        <f>'MKT DATA'!K755</f>
        <v>84011</v>
      </c>
      <c r="H47" s="8">
        <f>'MKT DATA'!L755</f>
        <v>84599</v>
      </c>
      <c r="I47" s="13">
        <f>'MKT DATA'!M755</f>
        <v>1</v>
      </c>
      <c r="J47" s="43" t="str">
        <f t="shared" si="2"/>
        <v>syn BTCV6/BTCG7/BTCF7/BTCZ6</v>
      </c>
      <c r="K47" s="8">
        <f>'MKT DATA'!O755</f>
        <v>0</v>
      </c>
      <c r="L47" s="8">
        <f>'MKT DATA'!P755</f>
        <v>84011</v>
      </c>
      <c r="M47" s="8">
        <f>'MKT DATA'!Q755</f>
        <v>0</v>
      </c>
      <c r="N47" s="8">
        <f>'MKT DATA'!R755</f>
        <v>0</v>
      </c>
      <c r="O47" s="8">
        <f>'MKT DATA'!S755</f>
        <v>-84599</v>
      </c>
      <c r="P47" s="8">
        <f>'MKT DATA'!T755</f>
        <v>0</v>
      </c>
      <c r="Q47" s="43" t="str">
        <f t="shared" si="3"/>
        <v>syn BTCV6/BTCG7/BTCF7/BTCZ6</v>
      </c>
      <c r="R47" s="13">
        <f>'MKT DATA'!AB755</f>
        <v>0</v>
      </c>
    </row>
    <row r="48" spans="5:18" x14ac:dyDescent="0.25">
      <c r="E48" s="43" t="str">
        <f>'MKT DATA'!B756</f>
        <v>syn BTCV6/BTCG7/BTCH7/BTCZ6</v>
      </c>
      <c r="F48" s="13">
        <f>'MKT DATA'!J756</f>
        <v>1</v>
      </c>
      <c r="G48" s="8">
        <f>'MKT DATA'!K756</f>
        <v>83565</v>
      </c>
      <c r="H48" s="8">
        <f>'MKT DATA'!L756</f>
        <v>84900</v>
      </c>
      <c r="I48" s="13">
        <f>'MKT DATA'!M756</f>
        <v>1</v>
      </c>
      <c r="J48" s="43" t="str">
        <f t="shared" si="2"/>
        <v>syn BTCV6/BTCG7/BTCH7/BTCZ6</v>
      </c>
      <c r="K48" s="8">
        <f>'MKT DATA'!O756</f>
        <v>0</v>
      </c>
      <c r="L48" s="8">
        <f>'MKT DATA'!P756</f>
        <v>83565</v>
      </c>
      <c r="M48" s="8">
        <f>'MKT DATA'!Q756</f>
        <v>0</v>
      </c>
      <c r="N48" s="8">
        <f>'MKT DATA'!R756</f>
        <v>0</v>
      </c>
      <c r="O48" s="8">
        <f>'MKT DATA'!S756</f>
        <v>-84900</v>
      </c>
      <c r="P48" s="8">
        <f>'MKT DATA'!T756</f>
        <v>0</v>
      </c>
      <c r="Q48" s="43" t="str">
        <f t="shared" si="3"/>
        <v>syn BTCV6/BTCG7/BTCH7/BTCZ6</v>
      </c>
      <c r="R48" s="13">
        <f>'MKT DATA'!AB756</f>
        <v>0</v>
      </c>
    </row>
    <row r="49" spans="5:18" x14ac:dyDescent="0.25">
      <c r="E49" s="43" t="str">
        <f>'MKT DATA'!B757</f>
        <v>syn BTCV6/BTCH7/BTCX6/BTCZ6</v>
      </c>
      <c r="F49" s="13">
        <f>'MKT DATA'!J757</f>
        <v>1</v>
      </c>
      <c r="G49" s="8">
        <f>'MKT DATA'!K757</f>
        <v>83494</v>
      </c>
      <c r="H49" s="8">
        <f>'MKT DATA'!L757</f>
        <v>85111</v>
      </c>
      <c r="I49" s="13">
        <f>'MKT DATA'!M757</f>
        <v>1</v>
      </c>
      <c r="J49" s="43" t="str">
        <f t="shared" si="2"/>
        <v>syn BTCV6/BTCH7/BTCX6/BTCZ6</v>
      </c>
      <c r="K49" s="8">
        <f>'MKT DATA'!O757</f>
        <v>0</v>
      </c>
      <c r="L49" s="8">
        <f>'MKT DATA'!P757</f>
        <v>83494</v>
      </c>
      <c r="M49" s="8">
        <f>'MKT DATA'!Q757</f>
        <v>0</v>
      </c>
      <c r="N49" s="8">
        <f>'MKT DATA'!R757</f>
        <v>0</v>
      </c>
      <c r="O49" s="8">
        <f>'MKT DATA'!S757</f>
        <v>-85111</v>
      </c>
      <c r="P49" s="8">
        <f>'MKT DATA'!T757</f>
        <v>0</v>
      </c>
      <c r="Q49" s="43" t="str">
        <f t="shared" si="3"/>
        <v>syn BTCV6/BTCH7/BTCX6/BTCZ6</v>
      </c>
      <c r="R49" s="13">
        <f>'MKT DATA'!AB757</f>
        <v>0</v>
      </c>
    </row>
    <row r="50" spans="5:18" x14ac:dyDescent="0.25">
      <c r="E50" s="43" t="str">
        <f>'MKT DATA'!B758</f>
        <v>syn BTCV6/BTCH7/BTCF7/BTCZ6</v>
      </c>
      <c r="F50" s="13">
        <f>'MKT DATA'!J758</f>
        <v>1</v>
      </c>
      <c r="G50" s="8">
        <f>'MKT DATA'!K758</f>
        <v>83416</v>
      </c>
      <c r="H50" s="8">
        <f>'MKT DATA'!L758</f>
        <v>85178</v>
      </c>
      <c r="I50" s="13">
        <f>'MKT DATA'!M758</f>
        <v>1</v>
      </c>
      <c r="J50" s="43" t="str">
        <f t="shared" si="2"/>
        <v>syn BTCV6/BTCH7/BTCF7/BTCZ6</v>
      </c>
      <c r="K50" s="8">
        <f>'MKT DATA'!O758</f>
        <v>0</v>
      </c>
      <c r="L50" s="8">
        <f>'MKT DATA'!P758</f>
        <v>83416</v>
      </c>
      <c r="M50" s="8">
        <f>'MKT DATA'!Q758</f>
        <v>0</v>
      </c>
      <c r="N50" s="8">
        <f>'MKT DATA'!R758</f>
        <v>0</v>
      </c>
      <c r="O50" s="8">
        <f>'MKT DATA'!S758</f>
        <v>-85178</v>
      </c>
      <c r="P50" s="8">
        <f>'MKT DATA'!T758</f>
        <v>0</v>
      </c>
      <c r="Q50" s="43" t="str">
        <f t="shared" si="3"/>
        <v>syn BTCV6/BTCH7/BTCF7/BTCZ6</v>
      </c>
      <c r="R50" s="13">
        <f>'MKT DATA'!AB758</f>
        <v>0</v>
      </c>
    </row>
    <row r="51" spans="5:18" x14ac:dyDescent="0.25">
      <c r="E51" s="43" t="str">
        <f>'MKT DATA'!B759</f>
        <v>syn BTCV6/BTCH7/BTCG7/BTCZ6</v>
      </c>
      <c r="F51" s="13">
        <f>'MKT DATA'!J759</f>
        <v>1</v>
      </c>
      <c r="G51" s="8">
        <f>'MKT DATA'!K759</f>
        <v>83480</v>
      </c>
      <c r="H51" s="8">
        <f>'MKT DATA'!L759</f>
        <v>85055</v>
      </c>
      <c r="I51" s="13">
        <f>'MKT DATA'!M759</f>
        <v>1</v>
      </c>
      <c r="J51" s="43" t="str">
        <f t="shared" si="2"/>
        <v>syn BTCV6/BTCH7/BTCG7/BTCZ6</v>
      </c>
      <c r="K51" s="8">
        <f>'MKT DATA'!O759</f>
        <v>0</v>
      </c>
      <c r="L51" s="8">
        <f>'MKT DATA'!P759</f>
        <v>83480</v>
      </c>
      <c r="M51" s="8">
        <f>'MKT DATA'!Q759</f>
        <v>0</v>
      </c>
      <c r="N51" s="8">
        <f>'MKT DATA'!R759</f>
        <v>0</v>
      </c>
      <c r="O51" s="8">
        <f>'MKT DATA'!S759</f>
        <v>-85055</v>
      </c>
      <c r="P51" s="8">
        <f>'MKT DATA'!T759</f>
        <v>0</v>
      </c>
      <c r="Q51" s="43" t="str">
        <f t="shared" si="3"/>
        <v>syn BTCV6/BTCH7/BTCG7/BTCZ6</v>
      </c>
      <c r="R51" s="13">
        <f>'MKT DATA'!AB759</f>
        <v>0</v>
      </c>
    </row>
    <row r="52" spans="5:18" x14ac:dyDescent="0.25">
      <c r="E52" s="43" t="str">
        <f>'MKT DATA'!B760</f>
        <v>syn BTCX6/BTCV6/BTCF7/BTCZ6</v>
      </c>
      <c r="F52" s="13">
        <f>'MKT DATA'!J760</f>
        <v>1</v>
      </c>
      <c r="G52" s="8">
        <f>'MKT DATA'!K760</f>
        <v>84161</v>
      </c>
      <c r="H52" s="8">
        <f>'MKT DATA'!L760</f>
        <v>84410</v>
      </c>
      <c r="I52" s="13">
        <f>'MKT DATA'!M760</f>
        <v>1</v>
      </c>
      <c r="J52" s="43" t="str">
        <f t="shared" si="2"/>
        <v>syn BTCX6/BTCV6/BTCF7/BTCZ6</v>
      </c>
      <c r="K52" s="8">
        <f>'MKT DATA'!O760</f>
        <v>0</v>
      </c>
      <c r="L52" s="8">
        <f>'MKT DATA'!P760</f>
        <v>84161</v>
      </c>
      <c r="M52" s="8">
        <f>'MKT DATA'!Q760</f>
        <v>0</v>
      </c>
      <c r="N52" s="8">
        <f>'MKT DATA'!R760</f>
        <v>0</v>
      </c>
      <c r="O52" s="8">
        <f>'MKT DATA'!S760</f>
        <v>-84410</v>
      </c>
      <c r="P52" s="8">
        <f>'MKT DATA'!T760</f>
        <v>0</v>
      </c>
      <c r="Q52" s="43" t="str">
        <f t="shared" si="3"/>
        <v>syn BTCX6/BTCV6/BTCF7/BTCZ6</v>
      </c>
      <c r="R52" s="13">
        <f>'MKT DATA'!AB760</f>
        <v>0</v>
      </c>
    </row>
    <row r="53" spans="5:18" x14ac:dyDescent="0.25">
      <c r="E53" s="43" t="str">
        <f>'MKT DATA'!B761</f>
        <v>syn BTCX6/BTCV6/BTCG7/BTCZ6</v>
      </c>
      <c r="F53" s="13">
        <f>'MKT DATA'!J761</f>
        <v>1</v>
      </c>
      <c r="G53" s="8">
        <f>'MKT DATA'!K761</f>
        <v>83874</v>
      </c>
      <c r="H53" s="8">
        <f>'MKT DATA'!L761</f>
        <v>84723</v>
      </c>
      <c r="I53" s="13">
        <f>'MKT DATA'!M761</f>
        <v>1</v>
      </c>
      <c r="J53" s="43" t="str">
        <f t="shared" si="2"/>
        <v>syn BTCX6/BTCV6/BTCG7/BTCZ6</v>
      </c>
      <c r="K53" s="8">
        <f>'MKT DATA'!O761</f>
        <v>0</v>
      </c>
      <c r="L53" s="8">
        <f>'MKT DATA'!P761</f>
        <v>83874</v>
      </c>
      <c r="M53" s="8">
        <f>'MKT DATA'!Q761</f>
        <v>0</v>
      </c>
      <c r="N53" s="8">
        <f>'MKT DATA'!R761</f>
        <v>0</v>
      </c>
      <c r="O53" s="8">
        <f>'MKT DATA'!S761</f>
        <v>-84723</v>
      </c>
      <c r="P53" s="8">
        <f>'MKT DATA'!T761</f>
        <v>0</v>
      </c>
      <c r="Q53" s="43" t="str">
        <f t="shared" si="3"/>
        <v>syn BTCX6/BTCV6/BTCG7/BTCZ6</v>
      </c>
      <c r="R53" s="13">
        <f>'MKT DATA'!AB761</f>
        <v>0</v>
      </c>
    </row>
    <row r="54" spans="5:18" x14ac:dyDescent="0.25">
      <c r="E54" s="43" t="str">
        <f>'MKT DATA'!B762</f>
        <v>syn BTCX6/BTCV6/BTCH7/BTCZ6</v>
      </c>
      <c r="F54" s="13">
        <f>'MKT DATA'!J762</f>
        <v>1</v>
      </c>
      <c r="G54" s="8">
        <f>'MKT DATA'!K762</f>
        <v>83494</v>
      </c>
      <c r="H54" s="8">
        <f>'MKT DATA'!L762</f>
        <v>84923</v>
      </c>
      <c r="I54" s="13">
        <f>'MKT DATA'!M762</f>
        <v>1</v>
      </c>
      <c r="J54" s="43" t="str">
        <f t="shared" si="2"/>
        <v>syn BTCX6/BTCV6/BTCH7/BTCZ6</v>
      </c>
      <c r="K54" s="8">
        <f>'MKT DATA'!O762</f>
        <v>0</v>
      </c>
      <c r="L54" s="8">
        <f>'MKT DATA'!P762</f>
        <v>83494</v>
      </c>
      <c r="M54" s="8">
        <f>'MKT DATA'!Q762</f>
        <v>0</v>
      </c>
      <c r="N54" s="8">
        <f>'MKT DATA'!R762</f>
        <v>0</v>
      </c>
      <c r="O54" s="8">
        <f>'MKT DATA'!S762</f>
        <v>-84923</v>
      </c>
      <c r="P54" s="8">
        <f>'MKT DATA'!T762</f>
        <v>0</v>
      </c>
      <c r="Q54" s="43" t="str">
        <f t="shared" si="3"/>
        <v>syn BTCX6/BTCV6/BTCH7/BTCZ6</v>
      </c>
      <c r="R54" s="13">
        <f>'MKT DATA'!AB762</f>
        <v>0</v>
      </c>
    </row>
    <row r="55" spans="5:18" x14ac:dyDescent="0.25">
      <c r="E55" s="43" t="str">
        <f>'MKT DATA'!B763</f>
        <v>syn BTCX6/BTCF7/BTCV6/BTCZ6</v>
      </c>
      <c r="F55" s="13">
        <f>'MKT DATA'!J763</f>
        <v>1</v>
      </c>
      <c r="G55" s="8">
        <f>'MKT DATA'!K763</f>
        <v>84128</v>
      </c>
      <c r="H55" s="8">
        <f>'MKT DATA'!L763</f>
        <v>84480</v>
      </c>
      <c r="I55" s="13">
        <f>'MKT DATA'!M763</f>
        <v>1</v>
      </c>
      <c r="J55" s="43" t="str">
        <f t="shared" si="2"/>
        <v>syn BTCX6/BTCF7/BTCV6/BTCZ6</v>
      </c>
      <c r="K55" s="8">
        <f>'MKT DATA'!O763</f>
        <v>0</v>
      </c>
      <c r="L55" s="8">
        <f>'MKT DATA'!P763</f>
        <v>84128</v>
      </c>
      <c r="M55" s="8">
        <f>'MKT DATA'!Q763</f>
        <v>0</v>
      </c>
      <c r="N55" s="8">
        <f>'MKT DATA'!R763</f>
        <v>0</v>
      </c>
      <c r="O55" s="8">
        <f>'MKT DATA'!S763</f>
        <v>-84480</v>
      </c>
      <c r="P55" s="8">
        <f>'MKT DATA'!T763</f>
        <v>0</v>
      </c>
      <c r="Q55" s="43" t="str">
        <f t="shared" si="3"/>
        <v>syn BTCX6/BTCF7/BTCV6/BTCZ6</v>
      </c>
      <c r="R55" s="13">
        <f>'MKT DATA'!AB763</f>
        <v>0</v>
      </c>
    </row>
    <row r="56" spans="5:18" x14ac:dyDescent="0.25">
      <c r="E56" s="43" t="str">
        <f>'MKT DATA'!B764</f>
        <v>syn BTCX6/BTCF7/BTCG7/BTCZ6</v>
      </c>
      <c r="F56" s="13">
        <f>'MKT DATA'!J764</f>
        <v>1</v>
      </c>
      <c r="G56" s="8">
        <f>'MKT DATA'!K764</f>
        <v>83900</v>
      </c>
      <c r="H56" s="8">
        <f>'MKT DATA'!L764</f>
        <v>84654</v>
      </c>
      <c r="I56" s="13">
        <f>'MKT DATA'!M764</f>
        <v>1</v>
      </c>
      <c r="J56" s="43" t="str">
        <f t="shared" si="2"/>
        <v>syn BTCX6/BTCF7/BTCG7/BTCZ6</v>
      </c>
      <c r="K56" s="8">
        <f>'MKT DATA'!O764</f>
        <v>0</v>
      </c>
      <c r="L56" s="8">
        <f>'MKT DATA'!P764</f>
        <v>83900</v>
      </c>
      <c r="M56" s="8">
        <f>'MKT DATA'!Q764</f>
        <v>0</v>
      </c>
      <c r="N56" s="8">
        <f>'MKT DATA'!R764</f>
        <v>0</v>
      </c>
      <c r="O56" s="8">
        <f>'MKT DATA'!S764</f>
        <v>-84654</v>
      </c>
      <c r="P56" s="8">
        <f>'MKT DATA'!T764</f>
        <v>0</v>
      </c>
      <c r="Q56" s="43" t="str">
        <f t="shared" si="3"/>
        <v>syn BTCX6/BTCF7/BTCG7/BTCZ6</v>
      </c>
      <c r="R56" s="13">
        <f>'MKT DATA'!AB764</f>
        <v>0</v>
      </c>
    </row>
    <row r="57" spans="5:18" x14ac:dyDescent="0.25">
      <c r="E57" s="43" t="str">
        <f>'MKT DATA'!B765</f>
        <v>syn BTCX6/BTCF7/BTCH7/BTCZ6</v>
      </c>
      <c r="F57" s="13">
        <f>'MKT DATA'!J765</f>
        <v>1</v>
      </c>
      <c r="G57" s="8">
        <f>'MKT DATA'!K765</f>
        <v>83351</v>
      </c>
      <c r="H57" s="8">
        <f>'MKT DATA'!L765</f>
        <v>85039</v>
      </c>
      <c r="I57" s="13">
        <f>'MKT DATA'!M765</f>
        <v>1</v>
      </c>
      <c r="J57" s="43" t="str">
        <f t="shared" si="2"/>
        <v>syn BTCX6/BTCF7/BTCH7/BTCZ6</v>
      </c>
      <c r="K57" s="8">
        <f>'MKT DATA'!O765</f>
        <v>0</v>
      </c>
      <c r="L57" s="8">
        <f>'MKT DATA'!P765</f>
        <v>83351</v>
      </c>
      <c r="M57" s="8">
        <f>'MKT DATA'!Q765</f>
        <v>0</v>
      </c>
      <c r="N57" s="8">
        <f>'MKT DATA'!R765</f>
        <v>0</v>
      </c>
      <c r="O57" s="8">
        <f>'MKT DATA'!S765</f>
        <v>-85039</v>
      </c>
      <c r="P57" s="8">
        <f>'MKT DATA'!T765</f>
        <v>0</v>
      </c>
      <c r="Q57" s="43" t="str">
        <f t="shared" si="3"/>
        <v>syn BTCX6/BTCF7/BTCH7/BTCZ6</v>
      </c>
      <c r="R57" s="13">
        <f>'MKT DATA'!AB765</f>
        <v>0</v>
      </c>
    </row>
    <row r="58" spans="5:18" x14ac:dyDescent="0.25">
      <c r="E58" s="43" t="str">
        <f>'MKT DATA'!B766</f>
        <v>syn BTCX6/BTCG7/BTCV6/BTCZ6</v>
      </c>
      <c r="F58" s="13">
        <f>'MKT DATA'!J766</f>
        <v>1</v>
      </c>
      <c r="G58" s="8">
        <f>'MKT DATA'!K766</f>
        <v>83881</v>
      </c>
      <c r="H58" s="8">
        <f>'MKT DATA'!L766</f>
        <v>84717</v>
      </c>
      <c r="I58" s="13">
        <f>'MKT DATA'!M766</f>
        <v>1</v>
      </c>
      <c r="J58" s="43" t="str">
        <f t="shared" si="2"/>
        <v>syn BTCX6/BTCG7/BTCV6/BTCZ6</v>
      </c>
      <c r="K58" s="8">
        <f>'MKT DATA'!O766</f>
        <v>0</v>
      </c>
      <c r="L58" s="8">
        <f>'MKT DATA'!P766</f>
        <v>83881</v>
      </c>
      <c r="M58" s="8">
        <f>'MKT DATA'!Q766</f>
        <v>0</v>
      </c>
      <c r="N58" s="8">
        <f>'MKT DATA'!R766</f>
        <v>0</v>
      </c>
      <c r="O58" s="8">
        <f>'MKT DATA'!S766</f>
        <v>-84717</v>
      </c>
      <c r="P58" s="8">
        <f>'MKT DATA'!T766</f>
        <v>0</v>
      </c>
      <c r="Q58" s="43" t="str">
        <f t="shared" si="3"/>
        <v>syn BTCX6/BTCG7/BTCV6/BTCZ6</v>
      </c>
      <c r="R58" s="13">
        <f>'MKT DATA'!AB766</f>
        <v>0</v>
      </c>
    </row>
    <row r="59" spans="5:18" x14ac:dyDescent="0.25">
      <c r="E59" s="43" t="str">
        <f>'MKT DATA'!B767</f>
        <v>syn BTCX6/BTCG7/BTCF7/BTCZ6</v>
      </c>
      <c r="F59" s="13">
        <f>'MKT DATA'!J767</f>
        <v>1</v>
      </c>
      <c r="G59" s="8">
        <f>'MKT DATA'!K767</f>
        <v>83986</v>
      </c>
      <c r="H59" s="8">
        <f>'MKT DATA'!L767</f>
        <v>84624</v>
      </c>
      <c r="I59" s="13">
        <f>'MKT DATA'!M767</f>
        <v>1</v>
      </c>
      <c r="J59" s="43" t="str">
        <f t="shared" si="2"/>
        <v>syn BTCX6/BTCG7/BTCF7/BTCZ6</v>
      </c>
      <c r="K59" s="8">
        <f>'MKT DATA'!O767</f>
        <v>0</v>
      </c>
      <c r="L59" s="8">
        <f>'MKT DATA'!P767</f>
        <v>83986</v>
      </c>
      <c r="M59" s="8">
        <f>'MKT DATA'!Q767</f>
        <v>0</v>
      </c>
      <c r="N59" s="8">
        <f>'MKT DATA'!R767</f>
        <v>0</v>
      </c>
      <c r="O59" s="8">
        <f>'MKT DATA'!S767</f>
        <v>-84624</v>
      </c>
      <c r="P59" s="8">
        <f>'MKT DATA'!T767</f>
        <v>0</v>
      </c>
      <c r="Q59" s="43" t="str">
        <f t="shared" si="3"/>
        <v>syn BTCX6/BTCG7/BTCF7/BTCZ6</v>
      </c>
      <c r="R59" s="13">
        <f>'MKT DATA'!AB767</f>
        <v>0</v>
      </c>
    </row>
    <row r="60" spans="5:18" x14ac:dyDescent="0.25">
      <c r="E60" s="43" t="str">
        <f>'MKT DATA'!B768</f>
        <v>syn BTCX6/BTCG7/BTCH7/BTCZ6</v>
      </c>
      <c r="F60" s="13">
        <f>'MKT DATA'!J768</f>
        <v>1</v>
      </c>
      <c r="G60" s="8">
        <f>'MKT DATA'!K768</f>
        <v>83540</v>
      </c>
      <c r="H60" s="8">
        <f>'MKT DATA'!L768</f>
        <v>84925</v>
      </c>
      <c r="I60" s="13">
        <f>'MKT DATA'!M768</f>
        <v>1</v>
      </c>
      <c r="J60" s="43" t="str">
        <f t="shared" si="2"/>
        <v>syn BTCX6/BTCG7/BTCH7/BTCZ6</v>
      </c>
      <c r="K60" s="8">
        <f>'MKT DATA'!O768</f>
        <v>0</v>
      </c>
      <c r="L60" s="8">
        <f>'MKT DATA'!P768</f>
        <v>83540</v>
      </c>
      <c r="M60" s="8">
        <f>'MKT DATA'!Q768</f>
        <v>0</v>
      </c>
      <c r="N60" s="8">
        <f>'MKT DATA'!R768</f>
        <v>0</v>
      </c>
      <c r="O60" s="8">
        <f>'MKT DATA'!S768</f>
        <v>-84925</v>
      </c>
      <c r="P60" s="8">
        <f>'MKT DATA'!T768</f>
        <v>0</v>
      </c>
      <c r="Q60" s="43" t="str">
        <f t="shared" si="3"/>
        <v>syn BTCX6/BTCG7/BTCH7/BTCZ6</v>
      </c>
      <c r="R60" s="13">
        <f>'MKT DATA'!AB768</f>
        <v>0</v>
      </c>
    </row>
    <row r="61" spans="5:18" x14ac:dyDescent="0.25">
      <c r="E61" s="43" t="str">
        <f>'MKT DATA'!B769</f>
        <v>syn BTCX6/BTCH7/BTCV6/BTCZ6</v>
      </c>
      <c r="F61" s="13">
        <f>'MKT DATA'!J769</f>
        <v>1</v>
      </c>
      <c r="G61" s="8">
        <f>'MKT DATA'!K769</f>
        <v>83471</v>
      </c>
      <c r="H61" s="8">
        <f>'MKT DATA'!L769</f>
        <v>85127</v>
      </c>
      <c r="I61" s="13">
        <f>'MKT DATA'!M769</f>
        <v>1</v>
      </c>
      <c r="J61" s="43" t="str">
        <f t="shared" si="2"/>
        <v>syn BTCX6/BTCH7/BTCV6/BTCZ6</v>
      </c>
      <c r="K61" s="8">
        <f>'MKT DATA'!O769</f>
        <v>0</v>
      </c>
      <c r="L61" s="8">
        <f>'MKT DATA'!P769</f>
        <v>83471</v>
      </c>
      <c r="M61" s="8">
        <f>'MKT DATA'!Q769</f>
        <v>0</v>
      </c>
      <c r="N61" s="8">
        <f>'MKT DATA'!R769</f>
        <v>0</v>
      </c>
      <c r="O61" s="8">
        <f>'MKT DATA'!S769</f>
        <v>-85127</v>
      </c>
      <c r="P61" s="8">
        <f>'MKT DATA'!T769</f>
        <v>0</v>
      </c>
      <c r="Q61" s="43" t="str">
        <f t="shared" si="3"/>
        <v>syn BTCX6/BTCH7/BTCV6/BTCZ6</v>
      </c>
      <c r="R61" s="13">
        <f>'MKT DATA'!AB769</f>
        <v>0</v>
      </c>
    </row>
    <row r="62" spans="5:18" x14ac:dyDescent="0.25">
      <c r="E62" s="43" t="str">
        <f>'MKT DATA'!B770</f>
        <v>syn BTCX6/BTCH7/BTCF7/BTCZ6</v>
      </c>
      <c r="F62" s="13">
        <f>'MKT DATA'!J770</f>
        <v>1</v>
      </c>
      <c r="G62" s="8">
        <f>'MKT DATA'!K770</f>
        <v>83391</v>
      </c>
      <c r="H62" s="8">
        <f>'MKT DATA'!L770</f>
        <v>85203</v>
      </c>
      <c r="I62" s="13">
        <f>'MKT DATA'!M770</f>
        <v>1</v>
      </c>
      <c r="J62" s="43" t="str">
        <f t="shared" si="2"/>
        <v>syn BTCX6/BTCH7/BTCF7/BTCZ6</v>
      </c>
      <c r="K62" s="8">
        <f>'MKT DATA'!O770</f>
        <v>0</v>
      </c>
      <c r="L62" s="8">
        <f>'MKT DATA'!P770</f>
        <v>83391</v>
      </c>
      <c r="M62" s="8">
        <f>'MKT DATA'!Q770</f>
        <v>0</v>
      </c>
      <c r="N62" s="8">
        <f>'MKT DATA'!R770</f>
        <v>0</v>
      </c>
      <c r="O62" s="8">
        <f>'MKT DATA'!S770</f>
        <v>-85203</v>
      </c>
      <c r="P62" s="8">
        <f>'MKT DATA'!T770</f>
        <v>0</v>
      </c>
      <c r="Q62" s="43" t="str">
        <f t="shared" si="3"/>
        <v>syn BTCX6/BTCH7/BTCF7/BTCZ6</v>
      </c>
      <c r="R62" s="13">
        <f>'MKT DATA'!AB770</f>
        <v>0</v>
      </c>
    </row>
    <row r="63" spans="5:18" x14ac:dyDescent="0.25">
      <c r="E63" s="43" t="str">
        <f>'MKT DATA'!B771</f>
        <v>syn BTCX6/BTCH7/BTCG7/BTCZ6</v>
      </c>
      <c r="F63" s="13">
        <f>'MKT DATA'!J771</f>
        <v>1</v>
      </c>
      <c r="G63" s="8">
        <f>'MKT DATA'!K771</f>
        <v>83455</v>
      </c>
      <c r="H63" s="8">
        <f>'MKT DATA'!L771</f>
        <v>85080</v>
      </c>
      <c r="I63" s="13">
        <f>'MKT DATA'!M771</f>
        <v>1</v>
      </c>
      <c r="J63" s="43" t="str">
        <f t="shared" si="2"/>
        <v>syn BTCX6/BTCH7/BTCG7/BTCZ6</v>
      </c>
      <c r="K63" s="8">
        <f>'MKT DATA'!O771</f>
        <v>0</v>
      </c>
      <c r="L63" s="8">
        <f>'MKT DATA'!P771</f>
        <v>83455</v>
      </c>
      <c r="M63" s="8">
        <f>'MKT DATA'!Q771</f>
        <v>0</v>
      </c>
      <c r="N63" s="8">
        <f>'MKT DATA'!R771</f>
        <v>0</v>
      </c>
      <c r="O63" s="8">
        <f>'MKT DATA'!S771</f>
        <v>-85080</v>
      </c>
      <c r="P63" s="8">
        <f>'MKT DATA'!T771</f>
        <v>0</v>
      </c>
      <c r="Q63" s="43" t="str">
        <f t="shared" si="3"/>
        <v>syn BTCX6/BTCH7/BTCG7/BTCZ6</v>
      </c>
      <c r="R63" s="13">
        <f>'MKT DATA'!AB771</f>
        <v>0</v>
      </c>
    </row>
    <row r="64" spans="5:18" x14ac:dyDescent="0.25">
      <c r="E64" s="43" t="str">
        <f>'MKT DATA'!B772</f>
        <v>syn BTCF7/BTCV6/BTCX6/BTCZ6</v>
      </c>
      <c r="F64" s="13">
        <f>'MKT DATA'!J772</f>
        <v>1</v>
      </c>
      <c r="G64" s="8">
        <f>'MKT DATA'!K772</f>
        <v>84132</v>
      </c>
      <c r="H64" s="8">
        <f>'MKT DATA'!L772</f>
        <v>84496</v>
      </c>
      <c r="I64" s="13">
        <f>'MKT DATA'!M772</f>
        <v>1</v>
      </c>
      <c r="J64" s="43" t="str">
        <f t="shared" si="2"/>
        <v>syn BTCF7/BTCV6/BTCX6/BTCZ6</v>
      </c>
      <c r="K64" s="8">
        <f>'MKT DATA'!O772</f>
        <v>0</v>
      </c>
      <c r="L64" s="8">
        <f>'MKT DATA'!P772</f>
        <v>84132</v>
      </c>
      <c r="M64" s="8">
        <f>'MKT DATA'!Q772</f>
        <v>0</v>
      </c>
      <c r="N64" s="8">
        <f>'MKT DATA'!R772</f>
        <v>0</v>
      </c>
      <c r="O64" s="8">
        <f>'MKT DATA'!S772</f>
        <v>-84496</v>
      </c>
      <c r="P64" s="8">
        <f>'MKT DATA'!T772</f>
        <v>0</v>
      </c>
      <c r="Q64" s="43" t="str">
        <f t="shared" si="3"/>
        <v>syn BTCF7/BTCV6/BTCX6/BTCZ6</v>
      </c>
      <c r="R64" s="13">
        <f>'MKT DATA'!AB772</f>
        <v>0</v>
      </c>
    </row>
    <row r="65" spans="5:18" x14ac:dyDescent="0.25">
      <c r="E65" s="43" t="str">
        <f>'MKT DATA'!B773</f>
        <v>syn BTCF7/BTCV6/BTCG7/BTCZ6</v>
      </c>
      <c r="F65" s="13">
        <f>'MKT DATA'!J773</f>
        <v>1</v>
      </c>
      <c r="G65" s="8">
        <f>'MKT DATA'!K773</f>
        <v>83746</v>
      </c>
      <c r="H65" s="8">
        <f>'MKT DATA'!L773</f>
        <v>84874</v>
      </c>
      <c r="I65" s="13">
        <f>'MKT DATA'!M773</f>
        <v>1</v>
      </c>
      <c r="J65" s="43" t="str">
        <f t="shared" si="2"/>
        <v>syn BTCF7/BTCV6/BTCG7/BTCZ6</v>
      </c>
      <c r="K65" s="8">
        <f>'MKT DATA'!O773</f>
        <v>0</v>
      </c>
      <c r="L65" s="8">
        <f>'MKT DATA'!P773</f>
        <v>83746</v>
      </c>
      <c r="M65" s="8">
        <f>'MKT DATA'!Q773</f>
        <v>0</v>
      </c>
      <c r="N65" s="8">
        <f>'MKT DATA'!R773</f>
        <v>0</v>
      </c>
      <c r="O65" s="8">
        <f>'MKT DATA'!S773</f>
        <v>-84874</v>
      </c>
      <c r="P65" s="8">
        <f>'MKT DATA'!T773</f>
        <v>0</v>
      </c>
      <c r="Q65" s="43" t="str">
        <f t="shared" si="3"/>
        <v>syn BTCF7/BTCV6/BTCG7/BTCZ6</v>
      </c>
      <c r="R65" s="13">
        <f>'MKT DATA'!AB773</f>
        <v>0</v>
      </c>
    </row>
    <row r="66" spans="5:18" x14ac:dyDescent="0.25">
      <c r="E66" s="43" t="str">
        <f>'MKT DATA'!B774</f>
        <v>syn BTCF7/BTCV6/BTCH7/BTCZ6</v>
      </c>
      <c r="F66" s="13">
        <f>'MKT DATA'!J774</f>
        <v>1</v>
      </c>
      <c r="G66" s="8">
        <f>'MKT DATA'!K774</f>
        <v>83366</v>
      </c>
      <c r="H66" s="8">
        <f>'MKT DATA'!L774</f>
        <v>85074</v>
      </c>
      <c r="I66" s="13">
        <f>'MKT DATA'!M774</f>
        <v>1</v>
      </c>
      <c r="J66" s="43" t="str">
        <f t="shared" si="2"/>
        <v>syn BTCF7/BTCV6/BTCH7/BTCZ6</v>
      </c>
      <c r="K66" s="8">
        <f>'MKT DATA'!O774</f>
        <v>0</v>
      </c>
      <c r="L66" s="8">
        <f>'MKT DATA'!P774</f>
        <v>83366</v>
      </c>
      <c r="M66" s="8">
        <f>'MKT DATA'!Q774</f>
        <v>0</v>
      </c>
      <c r="N66" s="8">
        <f>'MKT DATA'!R774</f>
        <v>0</v>
      </c>
      <c r="O66" s="8">
        <f>'MKT DATA'!S774</f>
        <v>-85074</v>
      </c>
      <c r="P66" s="8">
        <f>'MKT DATA'!T774</f>
        <v>0</v>
      </c>
      <c r="Q66" s="43" t="str">
        <f t="shared" si="3"/>
        <v>syn BTCF7/BTCV6/BTCH7/BTCZ6</v>
      </c>
      <c r="R66" s="13">
        <f>'MKT DATA'!AB774</f>
        <v>0</v>
      </c>
    </row>
    <row r="67" spans="5:18" x14ac:dyDescent="0.25">
      <c r="E67" s="43" t="str">
        <f>'MKT DATA'!B775</f>
        <v>syn BTCF7/BTCX6/BTCV6/BTCZ6</v>
      </c>
      <c r="F67" s="13">
        <f>'MKT DATA'!J775</f>
        <v>1</v>
      </c>
      <c r="G67" s="8">
        <f>'MKT DATA'!K775</f>
        <v>84146</v>
      </c>
      <c r="H67" s="8">
        <f>'MKT DATA'!L775</f>
        <v>84479</v>
      </c>
      <c r="I67" s="13">
        <f>'MKT DATA'!M775</f>
        <v>1</v>
      </c>
      <c r="J67" s="43" t="str">
        <f t="shared" si="2"/>
        <v>syn BTCF7/BTCX6/BTCV6/BTCZ6</v>
      </c>
      <c r="K67" s="8">
        <f>'MKT DATA'!O775</f>
        <v>0</v>
      </c>
      <c r="L67" s="8">
        <f>'MKT DATA'!P775</f>
        <v>84146</v>
      </c>
      <c r="M67" s="8">
        <f>'MKT DATA'!Q775</f>
        <v>0</v>
      </c>
      <c r="N67" s="8">
        <f>'MKT DATA'!R775</f>
        <v>0</v>
      </c>
      <c r="O67" s="8">
        <f>'MKT DATA'!S775</f>
        <v>-84479</v>
      </c>
      <c r="P67" s="8">
        <f>'MKT DATA'!T775</f>
        <v>0</v>
      </c>
      <c r="Q67" s="43" t="str">
        <f t="shared" si="3"/>
        <v>syn BTCF7/BTCX6/BTCV6/BTCZ6</v>
      </c>
      <c r="R67" s="13">
        <f>'MKT DATA'!AB775</f>
        <v>0</v>
      </c>
    </row>
    <row r="68" spans="5:18" x14ac:dyDescent="0.25">
      <c r="E68" s="43" t="str">
        <f>'MKT DATA'!B776</f>
        <v>syn BTCF7/BTCX6/BTCG7/BTCZ6</v>
      </c>
      <c r="F68" s="13">
        <f>'MKT DATA'!J776</f>
        <v>1</v>
      </c>
      <c r="G68" s="8">
        <f>'MKT DATA'!K776</f>
        <v>83751</v>
      </c>
      <c r="H68" s="8">
        <f>'MKT DATA'!L776</f>
        <v>84859</v>
      </c>
      <c r="I68" s="13">
        <f>'MKT DATA'!M776</f>
        <v>1</v>
      </c>
      <c r="J68" s="43" t="str">
        <f t="shared" si="2"/>
        <v>syn BTCF7/BTCX6/BTCG7/BTCZ6</v>
      </c>
      <c r="K68" s="8">
        <f>'MKT DATA'!O776</f>
        <v>0</v>
      </c>
      <c r="L68" s="8">
        <f>'MKT DATA'!P776</f>
        <v>83751</v>
      </c>
      <c r="M68" s="8">
        <f>'MKT DATA'!Q776</f>
        <v>0</v>
      </c>
      <c r="N68" s="8">
        <f>'MKT DATA'!R776</f>
        <v>0</v>
      </c>
      <c r="O68" s="8">
        <f>'MKT DATA'!S776</f>
        <v>-84859</v>
      </c>
      <c r="P68" s="8">
        <f>'MKT DATA'!T776</f>
        <v>0</v>
      </c>
      <c r="Q68" s="43" t="str">
        <f t="shared" si="3"/>
        <v>syn BTCF7/BTCX6/BTCG7/BTCZ6</v>
      </c>
      <c r="R68" s="13">
        <f>'MKT DATA'!AB776</f>
        <v>0</v>
      </c>
    </row>
    <row r="69" spans="5:18" x14ac:dyDescent="0.25">
      <c r="E69" s="43" t="str">
        <f>'MKT DATA'!B777</f>
        <v>syn BTCF7/BTCX6/BTCH7/BTCZ6</v>
      </c>
      <c r="F69" s="13">
        <f>'MKT DATA'!J777</f>
        <v>1</v>
      </c>
      <c r="G69" s="8">
        <f>'MKT DATA'!K777</f>
        <v>83371</v>
      </c>
      <c r="H69" s="8">
        <f>'MKT DATA'!L777</f>
        <v>85059</v>
      </c>
      <c r="I69" s="13">
        <f>'MKT DATA'!M777</f>
        <v>1</v>
      </c>
      <c r="J69" s="43" t="str">
        <f t="shared" si="2"/>
        <v>syn BTCF7/BTCX6/BTCH7/BTCZ6</v>
      </c>
      <c r="K69" s="8">
        <f>'MKT DATA'!O777</f>
        <v>0</v>
      </c>
      <c r="L69" s="8">
        <f>'MKT DATA'!P777</f>
        <v>83371</v>
      </c>
      <c r="M69" s="8">
        <f>'MKT DATA'!Q777</f>
        <v>0</v>
      </c>
      <c r="N69" s="8">
        <f>'MKT DATA'!R777</f>
        <v>0</v>
      </c>
      <c r="O69" s="8">
        <f>'MKT DATA'!S777</f>
        <v>-85059</v>
      </c>
      <c r="P69" s="8">
        <f>'MKT DATA'!T777</f>
        <v>0</v>
      </c>
      <c r="Q69" s="43" t="str">
        <f t="shared" si="3"/>
        <v>syn BTCF7/BTCX6/BTCH7/BTCZ6</v>
      </c>
      <c r="R69" s="13">
        <f>'MKT DATA'!AB777</f>
        <v>0</v>
      </c>
    </row>
    <row r="70" spans="5:18" x14ac:dyDescent="0.25">
      <c r="E70" s="43" t="str">
        <f>'MKT DATA'!B778</f>
        <v>syn BTCF7/BTCG7/BTCV6/BTCZ6</v>
      </c>
      <c r="F70" s="13">
        <f>'MKT DATA'!J778</f>
        <v>1</v>
      </c>
      <c r="G70" s="8">
        <f>'MKT DATA'!K778</f>
        <v>83920</v>
      </c>
      <c r="H70" s="8">
        <f>'MKT DATA'!L778</f>
        <v>84662</v>
      </c>
      <c r="I70" s="13">
        <f>'MKT DATA'!M778</f>
        <v>1</v>
      </c>
      <c r="J70" s="43" t="str">
        <f t="shared" si="2"/>
        <v>syn BTCF7/BTCG7/BTCV6/BTCZ6</v>
      </c>
      <c r="K70" s="8">
        <f>'MKT DATA'!O778</f>
        <v>0</v>
      </c>
      <c r="L70" s="8">
        <f>'MKT DATA'!P778</f>
        <v>83920</v>
      </c>
      <c r="M70" s="8">
        <f>'MKT DATA'!Q778</f>
        <v>0</v>
      </c>
      <c r="N70" s="8">
        <f>'MKT DATA'!R778</f>
        <v>0</v>
      </c>
      <c r="O70" s="8">
        <f>'MKT DATA'!S778</f>
        <v>-84662</v>
      </c>
      <c r="P70" s="8">
        <f>'MKT DATA'!T778</f>
        <v>0</v>
      </c>
      <c r="Q70" s="43" t="str">
        <f t="shared" si="3"/>
        <v>syn BTCF7/BTCG7/BTCV6/BTCZ6</v>
      </c>
      <c r="R70" s="13">
        <f>'MKT DATA'!AB778</f>
        <v>0</v>
      </c>
    </row>
    <row r="71" spans="5:18" x14ac:dyDescent="0.25">
      <c r="E71" s="43" t="str">
        <f>'MKT DATA'!B779</f>
        <v>syn BTCF7/BTCG7/BTCX6/BTCZ6</v>
      </c>
      <c r="F71" s="13">
        <f>'MKT DATA'!J779</f>
        <v>1</v>
      </c>
      <c r="G71" s="8">
        <f>'MKT DATA'!K779</f>
        <v>83918</v>
      </c>
      <c r="H71" s="8">
        <f>'MKT DATA'!L779</f>
        <v>84671</v>
      </c>
      <c r="I71" s="13">
        <f>'MKT DATA'!M779</f>
        <v>1</v>
      </c>
      <c r="J71" s="43" t="str">
        <f t="shared" si="2"/>
        <v>syn BTCF7/BTCG7/BTCX6/BTCZ6</v>
      </c>
      <c r="K71" s="8">
        <f>'MKT DATA'!O779</f>
        <v>0</v>
      </c>
      <c r="L71" s="8">
        <f>'MKT DATA'!P779</f>
        <v>83918</v>
      </c>
      <c r="M71" s="8">
        <f>'MKT DATA'!Q779</f>
        <v>0</v>
      </c>
      <c r="N71" s="8">
        <f>'MKT DATA'!R779</f>
        <v>0</v>
      </c>
      <c r="O71" s="8">
        <f>'MKT DATA'!S779</f>
        <v>-84671</v>
      </c>
      <c r="P71" s="8">
        <f>'MKT DATA'!T779</f>
        <v>0</v>
      </c>
      <c r="Q71" s="43" t="str">
        <f t="shared" si="3"/>
        <v>syn BTCF7/BTCG7/BTCX6/BTCZ6</v>
      </c>
      <c r="R71" s="13">
        <f>'MKT DATA'!AB779</f>
        <v>0</v>
      </c>
    </row>
    <row r="72" spans="5:18" x14ac:dyDescent="0.25">
      <c r="E72" s="43" t="str">
        <f>'MKT DATA'!B780</f>
        <v>syn BTCF7/BTCG7/BTCH7/BTCZ6</v>
      </c>
      <c r="F72" s="13">
        <f>'MKT DATA'!J780</f>
        <v>1</v>
      </c>
      <c r="G72" s="8">
        <f>'MKT DATA'!K780</f>
        <v>83579</v>
      </c>
      <c r="H72" s="8">
        <f>'MKT DATA'!L780</f>
        <v>84870</v>
      </c>
      <c r="I72" s="13">
        <f>'MKT DATA'!M780</f>
        <v>1</v>
      </c>
      <c r="J72" s="43" t="str">
        <f t="shared" si="2"/>
        <v>syn BTCF7/BTCG7/BTCH7/BTCZ6</v>
      </c>
      <c r="K72" s="8">
        <f>'MKT DATA'!O780</f>
        <v>0</v>
      </c>
      <c r="L72" s="8">
        <f>'MKT DATA'!P780</f>
        <v>83579</v>
      </c>
      <c r="M72" s="8">
        <f>'MKT DATA'!Q780</f>
        <v>0</v>
      </c>
      <c r="N72" s="8">
        <f>'MKT DATA'!R780</f>
        <v>0</v>
      </c>
      <c r="O72" s="8">
        <f>'MKT DATA'!S780</f>
        <v>-84870</v>
      </c>
      <c r="P72" s="8">
        <f>'MKT DATA'!T780</f>
        <v>0</v>
      </c>
      <c r="Q72" s="43" t="str">
        <f t="shared" si="3"/>
        <v>syn BTCF7/BTCG7/BTCH7/BTCZ6</v>
      </c>
      <c r="R72" s="13">
        <f>'MKT DATA'!AB780</f>
        <v>0</v>
      </c>
    </row>
    <row r="73" spans="5:18" x14ac:dyDescent="0.25">
      <c r="E73" s="43" t="str">
        <f>'MKT DATA'!B781</f>
        <v>syn BTCF7/BTCH7/BTCV6/BTCZ6</v>
      </c>
      <c r="F73" s="13">
        <f>'MKT DATA'!J781</f>
        <v>1</v>
      </c>
      <c r="G73" s="8">
        <f>'MKT DATA'!K781</f>
        <v>83341</v>
      </c>
      <c r="H73" s="8">
        <f>'MKT DATA'!L781</f>
        <v>85257</v>
      </c>
      <c r="I73" s="13">
        <f>'MKT DATA'!M781</f>
        <v>1</v>
      </c>
      <c r="J73" s="43" t="str">
        <f t="shared" si="2"/>
        <v>syn BTCF7/BTCH7/BTCV6/BTCZ6</v>
      </c>
      <c r="K73" s="8">
        <f>'MKT DATA'!O781</f>
        <v>0</v>
      </c>
      <c r="L73" s="8">
        <f>'MKT DATA'!P781</f>
        <v>83341</v>
      </c>
      <c r="M73" s="8">
        <f>'MKT DATA'!Q781</f>
        <v>0</v>
      </c>
      <c r="N73" s="8">
        <f>'MKT DATA'!R781</f>
        <v>0</v>
      </c>
      <c r="O73" s="8">
        <f>'MKT DATA'!S781</f>
        <v>-85257</v>
      </c>
      <c r="P73" s="8">
        <f>'MKT DATA'!T781</f>
        <v>0</v>
      </c>
      <c r="Q73" s="43" t="str">
        <f t="shared" si="3"/>
        <v>syn BTCF7/BTCH7/BTCV6/BTCZ6</v>
      </c>
      <c r="R73" s="13">
        <f>'MKT DATA'!AB781</f>
        <v>0</v>
      </c>
    </row>
    <row r="74" spans="5:18" x14ac:dyDescent="0.25">
      <c r="E74" s="43" t="str">
        <f>'MKT DATA'!B782</f>
        <v>syn BTCF7/BTCH7/BTCX6/BTCZ6</v>
      </c>
      <c r="F74" s="13">
        <f>'MKT DATA'!J782</f>
        <v>1</v>
      </c>
      <c r="G74" s="8">
        <f>'MKT DATA'!K782</f>
        <v>83339</v>
      </c>
      <c r="H74" s="8">
        <f>'MKT DATA'!L782</f>
        <v>85266</v>
      </c>
      <c r="I74" s="13">
        <f>'MKT DATA'!M782</f>
        <v>1</v>
      </c>
      <c r="J74" s="43" t="str">
        <f t="shared" ref="J74:J137" si="4">E74</f>
        <v>syn BTCF7/BTCH7/BTCX6/BTCZ6</v>
      </c>
      <c r="K74" s="8">
        <f>'MKT DATA'!O782</f>
        <v>0</v>
      </c>
      <c r="L74" s="8">
        <f>'MKT DATA'!P782</f>
        <v>83339</v>
      </c>
      <c r="M74" s="8">
        <f>'MKT DATA'!Q782</f>
        <v>0</v>
      </c>
      <c r="N74" s="8">
        <f>'MKT DATA'!R782</f>
        <v>0</v>
      </c>
      <c r="O74" s="8">
        <f>'MKT DATA'!S782</f>
        <v>-85266</v>
      </c>
      <c r="P74" s="8">
        <f>'MKT DATA'!T782</f>
        <v>0</v>
      </c>
      <c r="Q74" s="43" t="str">
        <f t="shared" ref="Q74:Q137" si="5">J74</f>
        <v>syn BTCF7/BTCH7/BTCX6/BTCZ6</v>
      </c>
      <c r="R74" s="13">
        <f>'MKT DATA'!AB782</f>
        <v>0</v>
      </c>
    </row>
    <row r="75" spans="5:18" x14ac:dyDescent="0.25">
      <c r="E75" s="43" t="str">
        <f>'MKT DATA'!B783</f>
        <v>syn BTCF7/BTCH7/BTCG7/BTCZ6</v>
      </c>
      <c r="F75" s="13">
        <f>'MKT DATA'!J783</f>
        <v>1</v>
      </c>
      <c r="G75" s="8">
        <f>'MKT DATA'!K783</f>
        <v>83325</v>
      </c>
      <c r="H75" s="8">
        <f>'MKT DATA'!L783</f>
        <v>85210</v>
      </c>
      <c r="I75" s="13">
        <f>'MKT DATA'!M783</f>
        <v>1</v>
      </c>
      <c r="J75" s="43" t="str">
        <f t="shared" si="4"/>
        <v>syn BTCF7/BTCH7/BTCG7/BTCZ6</v>
      </c>
      <c r="K75" s="8">
        <f>'MKT DATA'!O783</f>
        <v>0</v>
      </c>
      <c r="L75" s="8">
        <f>'MKT DATA'!P783</f>
        <v>83325</v>
      </c>
      <c r="M75" s="8">
        <f>'MKT DATA'!Q783</f>
        <v>0</v>
      </c>
      <c r="N75" s="8">
        <f>'MKT DATA'!R783</f>
        <v>0</v>
      </c>
      <c r="O75" s="8">
        <f>'MKT DATA'!S783</f>
        <v>-85210</v>
      </c>
      <c r="P75" s="8">
        <f>'MKT DATA'!T783</f>
        <v>0</v>
      </c>
      <c r="Q75" s="43" t="str">
        <f t="shared" si="5"/>
        <v>syn BTCF7/BTCH7/BTCG7/BTCZ6</v>
      </c>
      <c r="R75" s="13">
        <f>'MKT DATA'!AB783</f>
        <v>0</v>
      </c>
    </row>
    <row r="76" spans="5:18" x14ac:dyDescent="0.25">
      <c r="E76" s="43" t="str">
        <f>'MKT DATA'!B784</f>
        <v>syn BTCG7/BTCV6/BTCX6/BTCZ6</v>
      </c>
      <c r="F76" s="13">
        <f>'MKT DATA'!J784</f>
        <v>1</v>
      </c>
      <c r="G76" s="8">
        <f>'MKT DATA'!K784</f>
        <v>83941</v>
      </c>
      <c r="H76" s="8">
        <f>'MKT DATA'!L784</f>
        <v>84657</v>
      </c>
      <c r="I76" s="13">
        <f>'MKT DATA'!M784</f>
        <v>1</v>
      </c>
      <c r="J76" s="43" t="str">
        <f t="shared" si="4"/>
        <v>syn BTCG7/BTCV6/BTCX6/BTCZ6</v>
      </c>
      <c r="K76" s="8">
        <f>'MKT DATA'!O784</f>
        <v>0</v>
      </c>
      <c r="L76" s="8">
        <f>'MKT DATA'!P784</f>
        <v>83941</v>
      </c>
      <c r="M76" s="8">
        <f>'MKT DATA'!Q784</f>
        <v>0</v>
      </c>
      <c r="N76" s="8">
        <f>'MKT DATA'!R784</f>
        <v>0</v>
      </c>
      <c r="O76" s="8">
        <f>'MKT DATA'!S784</f>
        <v>-84657</v>
      </c>
      <c r="P76" s="8">
        <f>'MKT DATA'!T784</f>
        <v>0</v>
      </c>
      <c r="Q76" s="43" t="str">
        <f t="shared" si="5"/>
        <v>syn BTCG7/BTCV6/BTCX6/BTCZ6</v>
      </c>
      <c r="R76" s="13">
        <f>'MKT DATA'!AB784</f>
        <v>0</v>
      </c>
    </row>
    <row r="77" spans="5:18" x14ac:dyDescent="0.25">
      <c r="E77" s="43" t="str">
        <f>'MKT DATA'!B785</f>
        <v>syn BTCG7/BTCV6/BTCF7/BTCZ6</v>
      </c>
      <c r="F77" s="13">
        <f>'MKT DATA'!J785</f>
        <v>1</v>
      </c>
      <c r="G77" s="8">
        <f>'MKT DATA'!K785</f>
        <v>83842</v>
      </c>
      <c r="H77" s="8">
        <f>'MKT DATA'!L785</f>
        <v>84722</v>
      </c>
      <c r="I77" s="13">
        <f>'MKT DATA'!M785</f>
        <v>1</v>
      </c>
      <c r="J77" s="43" t="str">
        <f t="shared" si="4"/>
        <v>syn BTCG7/BTCV6/BTCF7/BTCZ6</v>
      </c>
      <c r="K77" s="8">
        <f>'MKT DATA'!O785</f>
        <v>0</v>
      </c>
      <c r="L77" s="8">
        <f>'MKT DATA'!P785</f>
        <v>83842</v>
      </c>
      <c r="M77" s="8">
        <f>'MKT DATA'!Q785</f>
        <v>0</v>
      </c>
      <c r="N77" s="8">
        <f>'MKT DATA'!R785</f>
        <v>0</v>
      </c>
      <c r="O77" s="8">
        <f>'MKT DATA'!S785</f>
        <v>-84722</v>
      </c>
      <c r="P77" s="8">
        <f>'MKT DATA'!T785</f>
        <v>0</v>
      </c>
      <c r="Q77" s="43" t="str">
        <f t="shared" si="5"/>
        <v>syn BTCG7/BTCV6/BTCF7/BTCZ6</v>
      </c>
      <c r="R77" s="13">
        <f>'MKT DATA'!AB785</f>
        <v>0</v>
      </c>
    </row>
    <row r="78" spans="5:18" x14ac:dyDescent="0.25">
      <c r="E78" s="43" t="str">
        <f>'MKT DATA'!B786</f>
        <v>syn BTCG7/BTCV6/BTCH7/BTCZ6</v>
      </c>
      <c r="F78" s="13">
        <f>'MKT DATA'!J786</f>
        <v>1</v>
      </c>
      <c r="G78" s="8">
        <f>'MKT DATA'!K786</f>
        <v>83175</v>
      </c>
      <c r="H78" s="8">
        <f>'MKT DATA'!L786</f>
        <v>85235</v>
      </c>
      <c r="I78" s="13">
        <f>'MKT DATA'!M786</f>
        <v>1</v>
      </c>
      <c r="J78" s="43" t="str">
        <f t="shared" si="4"/>
        <v>syn BTCG7/BTCV6/BTCH7/BTCZ6</v>
      </c>
      <c r="K78" s="8">
        <f>'MKT DATA'!O786</f>
        <v>0</v>
      </c>
      <c r="L78" s="8">
        <f>'MKT DATA'!P786</f>
        <v>83175</v>
      </c>
      <c r="M78" s="8">
        <f>'MKT DATA'!Q786</f>
        <v>0</v>
      </c>
      <c r="N78" s="8">
        <f>'MKT DATA'!R786</f>
        <v>0</v>
      </c>
      <c r="O78" s="8">
        <f>'MKT DATA'!S786</f>
        <v>-85235</v>
      </c>
      <c r="P78" s="8">
        <f>'MKT DATA'!T786</f>
        <v>0</v>
      </c>
      <c r="Q78" s="43" t="str">
        <f t="shared" si="5"/>
        <v>syn BTCG7/BTCV6/BTCH7/BTCZ6</v>
      </c>
      <c r="R78" s="13">
        <f>'MKT DATA'!AB786</f>
        <v>0</v>
      </c>
    </row>
    <row r="79" spans="5:18" x14ac:dyDescent="0.25">
      <c r="E79" s="43" t="str">
        <f>'MKT DATA'!B787</f>
        <v>syn BTCG7/BTCX6/BTCV6/BTCZ6</v>
      </c>
      <c r="F79" s="13">
        <f>'MKT DATA'!J787</f>
        <v>1</v>
      </c>
      <c r="G79" s="8">
        <f>'MKT DATA'!K787</f>
        <v>83925</v>
      </c>
      <c r="H79" s="8">
        <f>'MKT DATA'!L787</f>
        <v>84680</v>
      </c>
      <c r="I79" s="13">
        <f>'MKT DATA'!M787</f>
        <v>1</v>
      </c>
      <c r="J79" s="43" t="str">
        <f t="shared" si="4"/>
        <v>syn BTCG7/BTCX6/BTCV6/BTCZ6</v>
      </c>
      <c r="K79" s="8">
        <f>'MKT DATA'!O787</f>
        <v>0</v>
      </c>
      <c r="L79" s="8">
        <f>'MKT DATA'!P787</f>
        <v>83925</v>
      </c>
      <c r="M79" s="8">
        <f>'MKT DATA'!Q787</f>
        <v>0</v>
      </c>
      <c r="N79" s="8">
        <f>'MKT DATA'!R787</f>
        <v>0</v>
      </c>
      <c r="O79" s="8">
        <f>'MKT DATA'!S787</f>
        <v>-84680</v>
      </c>
      <c r="P79" s="8">
        <f>'MKT DATA'!T787</f>
        <v>0</v>
      </c>
      <c r="Q79" s="43" t="str">
        <f t="shared" si="5"/>
        <v>syn BTCG7/BTCX6/BTCV6/BTCZ6</v>
      </c>
      <c r="R79" s="13">
        <f>'MKT DATA'!AB787</f>
        <v>0</v>
      </c>
    </row>
    <row r="80" spans="5:18" x14ac:dyDescent="0.25">
      <c r="E80" s="43" t="str">
        <f>'MKT DATA'!B788</f>
        <v>syn BTCG7/BTCX6/BTCF7/BTCZ6</v>
      </c>
      <c r="F80" s="13">
        <f>'MKT DATA'!J788</f>
        <v>1</v>
      </c>
      <c r="G80" s="8">
        <f>'MKT DATA'!K788</f>
        <v>83857</v>
      </c>
      <c r="H80" s="8">
        <f>'MKT DATA'!L788</f>
        <v>84717</v>
      </c>
      <c r="I80" s="13">
        <f>'MKT DATA'!M788</f>
        <v>1</v>
      </c>
      <c r="J80" s="43" t="str">
        <f t="shared" si="4"/>
        <v>syn BTCG7/BTCX6/BTCF7/BTCZ6</v>
      </c>
      <c r="K80" s="8">
        <f>'MKT DATA'!O788</f>
        <v>0</v>
      </c>
      <c r="L80" s="8">
        <f>'MKT DATA'!P788</f>
        <v>83857</v>
      </c>
      <c r="M80" s="8">
        <f>'MKT DATA'!Q788</f>
        <v>0</v>
      </c>
      <c r="N80" s="8">
        <f>'MKT DATA'!R788</f>
        <v>0</v>
      </c>
      <c r="O80" s="8">
        <f>'MKT DATA'!S788</f>
        <v>-84717</v>
      </c>
      <c r="P80" s="8">
        <f>'MKT DATA'!T788</f>
        <v>0</v>
      </c>
      <c r="Q80" s="43" t="str">
        <f t="shared" si="5"/>
        <v>syn BTCG7/BTCX6/BTCF7/BTCZ6</v>
      </c>
      <c r="R80" s="13">
        <f>'MKT DATA'!AB788</f>
        <v>0</v>
      </c>
    </row>
    <row r="81" spans="5:18" x14ac:dyDescent="0.25">
      <c r="E81" s="43" t="str">
        <f>'MKT DATA'!B789</f>
        <v>syn BTCG7/BTCX6/BTCH7/BTCZ6</v>
      </c>
      <c r="F81" s="13">
        <f>'MKT DATA'!J789</f>
        <v>1</v>
      </c>
      <c r="G81" s="8">
        <f>'MKT DATA'!K789</f>
        <v>83150</v>
      </c>
      <c r="H81" s="8">
        <f>'MKT DATA'!L789</f>
        <v>85260</v>
      </c>
      <c r="I81" s="13">
        <f>'MKT DATA'!M789</f>
        <v>1</v>
      </c>
      <c r="J81" s="43" t="str">
        <f t="shared" si="4"/>
        <v>syn BTCG7/BTCX6/BTCH7/BTCZ6</v>
      </c>
      <c r="K81" s="8">
        <f>'MKT DATA'!O789</f>
        <v>0</v>
      </c>
      <c r="L81" s="8">
        <f>'MKT DATA'!P789</f>
        <v>83150</v>
      </c>
      <c r="M81" s="8">
        <f>'MKT DATA'!Q789</f>
        <v>0</v>
      </c>
      <c r="N81" s="8">
        <f>'MKT DATA'!R789</f>
        <v>0</v>
      </c>
      <c r="O81" s="8">
        <f>'MKT DATA'!S789</f>
        <v>-85260</v>
      </c>
      <c r="P81" s="8">
        <f>'MKT DATA'!T789</f>
        <v>0</v>
      </c>
      <c r="Q81" s="43" t="str">
        <f t="shared" si="5"/>
        <v>syn BTCG7/BTCX6/BTCH7/BTCZ6</v>
      </c>
      <c r="R81" s="13">
        <f>'MKT DATA'!AB789</f>
        <v>0</v>
      </c>
    </row>
    <row r="82" spans="5:18" x14ac:dyDescent="0.25">
      <c r="E82" s="43" t="str">
        <f>'MKT DATA'!B790</f>
        <v>syn BTCG7/BTCF7/BTCV6/BTCZ6</v>
      </c>
      <c r="F82" s="13">
        <f>'MKT DATA'!J790</f>
        <v>1</v>
      </c>
      <c r="G82" s="8">
        <f>'MKT DATA'!K790</f>
        <v>83982</v>
      </c>
      <c r="H82" s="8">
        <f>'MKT DATA'!L790</f>
        <v>84662</v>
      </c>
      <c r="I82" s="13">
        <f>'MKT DATA'!M790</f>
        <v>1</v>
      </c>
      <c r="J82" s="43" t="str">
        <f t="shared" si="4"/>
        <v>syn BTCG7/BTCF7/BTCV6/BTCZ6</v>
      </c>
      <c r="K82" s="8">
        <f>'MKT DATA'!O790</f>
        <v>0</v>
      </c>
      <c r="L82" s="8">
        <f>'MKT DATA'!P790</f>
        <v>83982</v>
      </c>
      <c r="M82" s="8">
        <f>'MKT DATA'!Q790</f>
        <v>0</v>
      </c>
      <c r="N82" s="8">
        <f>'MKT DATA'!R790</f>
        <v>0</v>
      </c>
      <c r="O82" s="8">
        <f>'MKT DATA'!S790</f>
        <v>-84662</v>
      </c>
      <c r="P82" s="8">
        <f>'MKT DATA'!T790</f>
        <v>0</v>
      </c>
      <c r="Q82" s="43" t="str">
        <f t="shared" si="5"/>
        <v>syn BTCG7/BTCF7/BTCV6/BTCZ6</v>
      </c>
      <c r="R82" s="13">
        <f>'MKT DATA'!AB790</f>
        <v>0</v>
      </c>
    </row>
    <row r="83" spans="5:18" x14ac:dyDescent="0.25">
      <c r="E83" s="43" t="str">
        <f>'MKT DATA'!B791</f>
        <v>syn BTCG7/BTCF7/BTCX6/BTCZ6</v>
      </c>
      <c r="F83" s="13">
        <f>'MKT DATA'!J791</f>
        <v>1</v>
      </c>
      <c r="G83" s="8">
        <f>'MKT DATA'!K791</f>
        <v>84010</v>
      </c>
      <c r="H83" s="8">
        <f>'MKT DATA'!L791</f>
        <v>84631</v>
      </c>
      <c r="I83" s="13">
        <f>'MKT DATA'!M791</f>
        <v>1</v>
      </c>
      <c r="J83" s="43" t="str">
        <f t="shared" si="4"/>
        <v>syn BTCG7/BTCF7/BTCX6/BTCZ6</v>
      </c>
      <c r="K83" s="8">
        <f>'MKT DATA'!O791</f>
        <v>0</v>
      </c>
      <c r="L83" s="8">
        <f>'MKT DATA'!P791</f>
        <v>84010</v>
      </c>
      <c r="M83" s="8">
        <f>'MKT DATA'!Q791</f>
        <v>0</v>
      </c>
      <c r="N83" s="8">
        <f>'MKT DATA'!R791</f>
        <v>0</v>
      </c>
      <c r="O83" s="8">
        <f>'MKT DATA'!S791</f>
        <v>-84631</v>
      </c>
      <c r="P83" s="8">
        <f>'MKT DATA'!T791</f>
        <v>0</v>
      </c>
      <c r="Q83" s="43" t="str">
        <f t="shared" si="5"/>
        <v>syn BTCG7/BTCF7/BTCX6/BTCZ6</v>
      </c>
      <c r="R83" s="13">
        <f>'MKT DATA'!AB791</f>
        <v>0</v>
      </c>
    </row>
    <row r="84" spans="5:18" x14ac:dyDescent="0.25">
      <c r="E84" s="43" t="str">
        <f>'MKT DATA'!B792</f>
        <v>syn BTCG7/BTCF7/BTCH7/BTCZ6</v>
      </c>
      <c r="F84" s="13">
        <f>'MKT DATA'!J792</f>
        <v>1</v>
      </c>
      <c r="G84" s="8">
        <f>'MKT DATA'!K792</f>
        <v>83205</v>
      </c>
      <c r="H84" s="8">
        <f>'MKT DATA'!L792</f>
        <v>85221</v>
      </c>
      <c r="I84" s="13">
        <f>'MKT DATA'!M792</f>
        <v>1</v>
      </c>
      <c r="J84" s="43" t="str">
        <f t="shared" si="4"/>
        <v>syn BTCG7/BTCF7/BTCH7/BTCZ6</v>
      </c>
      <c r="K84" s="8">
        <f>'MKT DATA'!O792</f>
        <v>0</v>
      </c>
      <c r="L84" s="8">
        <f>'MKT DATA'!P792</f>
        <v>83205</v>
      </c>
      <c r="M84" s="8">
        <f>'MKT DATA'!Q792</f>
        <v>0</v>
      </c>
      <c r="N84" s="8">
        <f>'MKT DATA'!R792</f>
        <v>0</v>
      </c>
      <c r="O84" s="8">
        <f>'MKT DATA'!S792</f>
        <v>-85221</v>
      </c>
      <c r="P84" s="8">
        <f>'MKT DATA'!T792</f>
        <v>0</v>
      </c>
      <c r="Q84" s="43" t="str">
        <f t="shared" si="5"/>
        <v>syn BTCG7/BTCF7/BTCH7/BTCZ6</v>
      </c>
      <c r="R84" s="13">
        <f>'MKT DATA'!AB792</f>
        <v>0</v>
      </c>
    </row>
    <row r="85" spans="5:18" x14ac:dyDescent="0.25">
      <c r="E85" s="43" t="str">
        <f>'MKT DATA'!B793</f>
        <v>syn BTCG7/BTCH7/BTCV6/BTCZ6</v>
      </c>
      <c r="F85" s="13">
        <f>'MKT DATA'!J793</f>
        <v>1</v>
      </c>
      <c r="G85" s="8">
        <f>'MKT DATA'!K793</f>
        <v>83586</v>
      </c>
      <c r="H85" s="8">
        <f>'MKT DATA'!L793</f>
        <v>85067</v>
      </c>
      <c r="I85" s="13">
        <f>'MKT DATA'!M793</f>
        <v>1</v>
      </c>
      <c r="J85" s="43" t="str">
        <f t="shared" si="4"/>
        <v>syn BTCG7/BTCH7/BTCV6/BTCZ6</v>
      </c>
      <c r="K85" s="8">
        <f>'MKT DATA'!O793</f>
        <v>0</v>
      </c>
      <c r="L85" s="8">
        <f>'MKT DATA'!P793</f>
        <v>83586</v>
      </c>
      <c r="M85" s="8">
        <f>'MKT DATA'!Q793</f>
        <v>0</v>
      </c>
      <c r="N85" s="8">
        <f>'MKT DATA'!R793</f>
        <v>0</v>
      </c>
      <c r="O85" s="8">
        <f>'MKT DATA'!S793</f>
        <v>-85067</v>
      </c>
      <c r="P85" s="8">
        <f>'MKT DATA'!T793</f>
        <v>0</v>
      </c>
      <c r="Q85" s="43" t="str">
        <f t="shared" si="5"/>
        <v>syn BTCG7/BTCH7/BTCV6/BTCZ6</v>
      </c>
      <c r="R85" s="13">
        <f>'MKT DATA'!AB793</f>
        <v>0</v>
      </c>
    </row>
    <row r="86" spans="5:18" x14ac:dyDescent="0.25">
      <c r="E86" s="43" t="str">
        <f>'MKT DATA'!B794</f>
        <v>syn BTCG7/BTCH7/BTCX6/BTCZ6</v>
      </c>
      <c r="F86" s="13">
        <f>'MKT DATA'!J794</f>
        <v>1</v>
      </c>
      <c r="G86" s="8">
        <f>'MKT DATA'!K794</f>
        <v>83584</v>
      </c>
      <c r="H86" s="8">
        <f>'MKT DATA'!L794</f>
        <v>85076</v>
      </c>
      <c r="I86" s="13">
        <f>'MKT DATA'!M794</f>
        <v>1</v>
      </c>
      <c r="J86" s="43" t="str">
        <f t="shared" si="4"/>
        <v>syn BTCG7/BTCH7/BTCX6/BTCZ6</v>
      </c>
      <c r="K86" s="8">
        <f>'MKT DATA'!O794</f>
        <v>0</v>
      </c>
      <c r="L86" s="8">
        <f>'MKT DATA'!P794</f>
        <v>83584</v>
      </c>
      <c r="M86" s="8">
        <f>'MKT DATA'!Q794</f>
        <v>0</v>
      </c>
      <c r="N86" s="8">
        <f>'MKT DATA'!R794</f>
        <v>0</v>
      </c>
      <c r="O86" s="8">
        <f>'MKT DATA'!S794</f>
        <v>-85076</v>
      </c>
      <c r="P86" s="8">
        <f>'MKT DATA'!T794</f>
        <v>0</v>
      </c>
      <c r="Q86" s="43" t="str">
        <f t="shared" si="5"/>
        <v>syn BTCG7/BTCH7/BTCX6/BTCZ6</v>
      </c>
      <c r="R86" s="13">
        <f>'MKT DATA'!AB794</f>
        <v>0</v>
      </c>
    </row>
    <row r="87" spans="5:18" x14ac:dyDescent="0.25">
      <c r="E87" s="43" t="str">
        <f>'MKT DATA'!B795</f>
        <v>syn BTCG7/BTCH7/BTCF7/BTCZ6</v>
      </c>
      <c r="F87" s="13">
        <f>'MKT DATA'!J795</f>
        <v>1</v>
      </c>
      <c r="G87" s="8">
        <f>'MKT DATA'!K795</f>
        <v>83506</v>
      </c>
      <c r="H87" s="8">
        <f>'MKT DATA'!L795</f>
        <v>85143</v>
      </c>
      <c r="I87" s="13">
        <f>'MKT DATA'!M795</f>
        <v>1</v>
      </c>
      <c r="J87" s="43" t="str">
        <f t="shared" si="4"/>
        <v>syn BTCG7/BTCH7/BTCF7/BTCZ6</v>
      </c>
      <c r="K87" s="8">
        <f>'MKT DATA'!O795</f>
        <v>0</v>
      </c>
      <c r="L87" s="8">
        <f>'MKT DATA'!P795</f>
        <v>83506</v>
      </c>
      <c r="M87" s="8">
        <f>'MKT DATA'!Q795</f>
        <v>0</v>
      </c>
      <c r="N87" s="8">
        <f>'MKT DATA'!R795</f>
        <v>0</v>
      </c>
      <c r="O87" s="8">
        <f>'MKT DATA'!S795</f>
        <v>-85143</v>
      </c>
      <c r="P87" s="8">
        <f>'MKT DATA'!T795</f>
        <v>0</v>
      </c>
      <c r="Q87" s="43" t="str">
        <f t="shared" si="5"/>
        <v>syn BTCG7/BTCH7/BTCF7/BTCZ6</v>
      </c>
      <c r="R87" s="13">
        <f>'MKT DATA'!AB795</f>
        <v>0</v>
      </c>
    </row>
    <row r="88" spans="5:18" x14ac:dyDescent="0.25">
      <c r="E88" s="43" t="str">
        <f>'MKT DATA'!B796</f>
        <v>syn BTCH7/BTCV6/BTCX6/BTCZ6</v>
      </c>
      <c r="F88" s="13">
        <f>'MKT DATA'!J796</f>
        <v>1</v>
      </c>
      <c r="G88" s="8">
        <f>'MKT DATA'!K796</f>
        <v>83531</v>
      </c>
      <c r="H88" s="8">
        <f>'MKT DATA'!L796</f>
        <v>85067</v>
      </c>
      <c r="I88" s="13">
        <f>'MKT DATA'!M796</f>
        <v>1</v>
      </c>
      <c r="J88" s="43" t="str">
        <f t="shared" si="4"/>
        <v>syn BTCH7/BTCV6/BTCX6/BTCZ6</v>
      </c>
      <c r="K88" s="8">
        <f>'MKT DATA'!O796</f>
        <v>0</v>
      </c>
      <c r="L88" s="8">
        <f>'MKT DATA'!P796</f>
        <v>83531</v>
      </c>
      <c r="M88" s="8">
        <f>'MKT DATA'!Q796</f>
        <v>0</v>
      </c>
      <c r="N88" s="8">
        <f>'MKT DATA'!R796</f>
        <v>0</v>
      </c>
      <c r="O88" s="8">
        <f>'MKT DATA'!S796</f>
        <v>-85067</v>
      </c>
      <c r="P88" s="8">
        <f>'MKT DATA'!T796</f>
        <v>0</v>
      </c>
      <c r="Q88" s="43" t="str">
        <f t="shared" si="5"/>
        <v>syn BTCH7/BTCV6/BTCX6/BTCZ6</v>
      </c>
      <c r="R88" s="13">
        <f>'MKT DATA'!AB796</f>
        <v>0</v>
      </c>
    </row>
    <row r="89" spans="5:18" x14ac:dyDescent="0.25">
      <c r="E89" s="43" t="str">
        <f>'MKT DATA'!B797</f>
        <v>syn BTCH7/BTCV6/BTCF7/BTCZ6</v>
      </c>
      <c r="F89" s="13">
        <f>'MKT DATA'!J797</f>
        <v>1</v>
      </c>
      <c r="G89" s="8">
        <f>'MKT DATA'!K797</f>
        <v>83432</v>
      </c>
      <c r="H89" s="8">
        <f>'MKT DATA'!L797</f>
        <v>85132</v>
      </c>
      <c r="I89" s="13">
        <f>'MKT DATA'!M797</f>
        <v>1</v>
      </c>
      <c r="J89" s="43" t="str">
        <f t="shared" si="4"/>
        <v>syn BTCH7/BTCV6/BTCF7/BTCZ6</v>
      </c>
      <c r="K89" s="8">
        <f>'MKT DATA'!O797</f>
        <v>0</v>
      </c>
      <c r="L89" s="8">
        <f>'MKT DATA'!P797</f>
        <v>83432</v>
      </c>
      <c r="M89" s="8">
        <f>'MKT DATA'!Q797</f>
        <v>0</v>
      </c>
      <c r="N89" s="8">
        <f>'MKT DATA'!R797</f>
        <v>0</v>
      </c>
      <c r="O89" s="8">
        <f>'MKT DATA'!S797</f>
        <v>-85132</v>
      </c>
      <c r="P89" s="8">
        <f>'MKT DATA'!T797</f>
        <v>0</v>
      </c>
      <c r="Q89" s="43" t="str">
        <f t="shared" si="5"/>
        <v>syn BTCH7/BTCV6/BTCF7/BTCZ6</v>
      </c>
      <c r="R89" s="13">
        <f>'MKT DATA'!AB797</f>
        <v>0</v>
      </c>
    </row>
    <row r="90" spans="5:18" x14ac:dyDescent="0.25">
      <c r="E90" s="43" t="str">
        <f>'MKT DATA'!B798</f>
        <v>syn BTCH7/BTCV6/BTCG7/BTCZ6</v>
      </c>
      <c r="F90" s="13">
        <f>'MKT DATA'!J798</f>
        <v>1</v>
      </c>
      <c r="G90" s="8">
        <f>'MKT DATA'!K798</f>
        <v>83145</v>
      </c>
      <c r="H90" s="8">
        <f>'MKT DATA'!L798</f>
        <v>85445</v>
      </c>
      <c r="I90" s="13">
        <f>'MKT DATA'!M798</f>
        <v>1</v>
      </c>
      <c r="J90" s="43" t="str">
        <f t="shared" si="4"/>
        <v>syn BTCH7/BTCV6/BTCG7/BTCZ6</v>
      </c>
      <c r="K90" s="8">
        <f>'MKT DATA'!O798</f>
        <v>0</v>
      </c>
      <c r="L90" s="8">
        <f>'MKT DATA'!P798</f>
        <v>83145</v>
      </c>
      <c r="M90" s="8">
        <f>'MKT DATA'!Q798</f>
        <v>0</v>
      </c>
      <c r="N90" s="8">
        <f>'MKT DATA'!R798</f>
        <v>0</v>
      </c>
      <c r="O90" s="8">
        <f>'MKT DATA'!S798</f>
        <v>-85445</v>
      </c>
      <c r="P90" s="8">
        <f>'MKT DATA'!T798</f>
        <v>0</v>
      </c>
      <c r="Q90" s="43" t="str">
        <f t="shared" si="5"/>
        <v>syn BTCH7/BTCV6/BTCG7/BTCZ6</v>
      </c>
      <c r="R90" s="13">
        <f>'MKT DATA'!AB798</f>
        <v>0</v>
      </c>
    </row>
    <row r="91" spans="5:18" x14ac:dyDescent="0.25">
      <c r="E91" s="43" t="str">
        <f>'MKT DATA'!B799</f>
        <v>syn BTCH7/BTCX6/BTCV6/BTCZ6</v>
      </c>
      <c r="F91" s="13">
        <f>'MKT DATA'!J799</f>
        <v>1</v>
      </c>
      <c r="G91" s="8">
        <f>'MKT DATA'!K799</f>
        <v>83515</v>
      </c>
      <c r="H91" s="8">
        <f>'MKT DATA'!L799</f>
        <v>85090</v>
      </c>
      <c r="I91" s="13">
        <f>'MKT DATA'!M799</f>
        <v>1</v>
      </c>
      <c r="J91" s="43" t="str">
        <f t="shared" si="4"/>
        <v>syn BTCH7/BTCX6/BTCV6/BTCZ6</v>
      </c>
      <c r="K91" s="8">
        <f>'MKT DATA'!O799</f>
        <v>0</v>
      </c>
      <c r="L91" s="8">
        <f>'MKT DATA'!P799</f>
        <v>83515</v>
      </c>
      <c r="M91" s="8">
        <f>'MKT DATA'!Q799</f>
        <v>0</v>
      </c>
      <c r="N91" s="8">
        <f>'MKT DATA'!R799</f>
        <v>0</v>
      </c>
      <c r="O91" s="8">
        <f>'MKT DATA'!S799</f>
        <v>-85090</v>
      </c>
      <c r="P91" s="8">
        <f>'MKT DATA'!T799</f>
        <v>0</v>
      </c>
      <c r="Q91" s="43" t="str">
        <f t="shared" si="5"/>
        <v>syn BTCH7/BTCX6/BTCV6/BTCZ6</v>
      </c>
      <c r="R91" s="13">
        <f>'MKT DATA'!AB799</f>
        <v>0</v>
      </c>
    </row>
    <row r="92" spans="5:18" x14ac:dyDescent="0.25">
      <c r="E92" s="43" t="str">
        <f>'MKT DATA'!B800</f>
        <v>syn BTCH7/BTCX6/BTCF7/BTCZ6</v>
      </c>
      <c r="F92" s="13">
        <f>'MKT DATA'!J800</f>
        <v>1</v>
      </c>
      <c r="G92" s="8">
        <f>'MKT DATA'!K800</f>
        <v>83447</v>
      </c>
      <c r="H92" s="8">
        <f>'MKT DATA'!L800</f>
        <v>85127</v>
      </c>
      <c r="I92" s="13">
        <f>'MKT DATA'!M800</f>
        <v>1</v>
      </c>
      <c r="J92" s="43" t="str">
        <f t="shared" si="4"/>
        <v>syn BTCH7/BTCX6/BTCF7/BTCZ6</v>
      </c>
      <c r="K92" s="8">
        <f>'MKT DATA'!O800</f>
        <v>0</v>
      </c>
      <c r="L92" s="8">
        <f>'MKT DATA'!P800</f>
        <v>83447</v>
      </c>
      <c r="M92" s="8">
        <f>'MKT DATA'!Q800</f>
        <v>0</v>
      </c>
      <c r="N92" s="8">
        <f>'MKT DATA'!R800</f>
        <v>0</v>
      </c>
      <c r="O92" s="8">
        <f>'MKT DATA'!S800</f>
        <v>-85127</v>
      </c>
      <c r="P92" s="8">
        <f>'MKT DATA'!T800</f>
        <v>0</v>
      </c>
      <c r="Q92" s="43" t="str">
        <f t="shared" si="5"/>
        <v>syn BTCH7/BTCX6/BTCF7/BTCZ6</v>
      </c>
      <c r="R92" s="13">
        <f>'MKT DATA'!AB800</f>
        <v>0</v>
      </c>
    </row>
    <row r="93" spans="5:18" x14ac:dyDescent="0.25">
      <c r="E93" s="43" t="str">
        <f>'MKT DATA'!B801</f>
        <v>syn BTCH7/BTCX6/BTCG7/BTCZ6</v>
      </c>
      <c r="F93" s="13">
        <f>'MKT DATA'!J801</f>
        <v>1</v>
      </c>
      <c r="G93" s="8">
        <f>'MKT DATA'!K801</f>
        <v>83120</v>
      </c>
      <c r="H93" s="8">
        <f>'MKT DATA'!L801</f>
        <v>85470</v>
      </c>
      <c r="I93" s="13">
        <f>'MKT DATA'!M801</f>
        <v>1</v>
      </c>
      <c r="J93" s="43" t="str">
        <f t="shared" si="4"/>
        <v>syn BTCH7/BTCX6/BTCG7/BTCZ6</v>
      </c>
      <c r="K93" s="8">
        <f>'MKT DATA'!O801</f>
        <v>0</v>
      </c>
      <c r="L93" s="8">
        <f>'MKT DATA'!P801</f>
        <v>83120</v>
      </c>
      <c r="M93" s="8">
        <f>'MKT DATA'!Q801</f>
        <v>0</v>
      </c>
      <c r="N93" s="8">
        <f>'MKT DATA'!R801</f>
        <v>0</v>
      </c>
      <c r="O93" s="8">
        <f>'MKT DATA'!S801</f>
        <v>-85470</v>
      </c>
      <c r="P93" s="8">
        <f>'MKT DATA'!T801</f>
        <v>0</v>
      </c>
      <c r="Q93" s="43" t="str">
        <f t="shared" si="5"/>
        <v>syn BTCH7/BTCX6/BTCG7/BTCZ6</v>
      </c>
      <c r="R93" s="13">
        <f>'MKT DATA'!AB801</f>
        <v>0</v>
      </c>
    </row>
    <row r="94" spans="5:18" x14ac:dyDescent="0.25">
      <c r="E94" s="43" t="str">
        <f>'MKT DATA'!B802</f>
        <v>syn BTCH7/BTCF7/BTCV6/BTCZ6</v>
      </c>
      <c r="F94" s="13">
        <f>'MKT DATA'!J802</f>
        <v>1</v>
      </c>
      <c r="G94" s="8">
        <f>'MKT DATA'!K802</f>
        <v>83387</v>
      </c>
      <c r="H94" s="8">
        <f>'MKT DATA'!L802</f>
        <v>85241</v>
      </c>
      <c r="I94" s="13">
        <f>'MKT DATA'!M802</f>
        <v>1</v>
      </c>
      <c r="J94" s="43" t="str">
        <f t="shared" si="4"/>
        <v>syn BTCH7/BTCF7/BTCV6/BTCZ6</v>
      </c>
      <c r="K94" s="8">
        <f>'MKT DATA'!O802</f>
        <v>0</v>
      </c>
      <c r="L94" s="8">
        <f>'MKT DATA'!P802</f>
        <v>83387</v>
      </c>
      <c r="M94" s="8">
        <f>'MKT DATA'!Q802</f>
        <v>0</v>
      </c>
      <c r="N94" s="8">
        <f>'MKT DATA'!R802</f>
        <v>0</v>
      </c>
      <c r="O94" s="8">
        <f>'MKT DATA'!S802</f>
        <v>-85241</v>
      </c>
      <c r="P94" s="8">
        <f>'MKT DATA'!T802</f>
        <v>0</v>
      </c>
      <c r="Q94" s="43" t="str">
        <f t="shared" si="5"/>
        <v>syn BTCH7/BTCF7/BTCV6/BTCZ6</v>
      </c>
      <c r="R94" s="13">
        <f>'MKT DATA'!AB802</f>
        <v>0</v>
      </c>
    </row>
    <row r="95" spans="5:18" x14ac:dyDescent="0.25">
      <c r="E95" s="43" t="str">
        <f>'MKT DATA'!B803</f>
        <v>syn BTCH7/BTCF7/BTCX6/BTCZ6</v>
      </c>
      <c r="F95" s="13">
        <f>'MKT DATA'!J803</f>
        <v>1</v>
      </c>
      <c r="G95" s="8">
        <f>'MKT DATA'!K803</f>
        <v>83415</v>
      </c>
      <c r="H95" s="8">
        <f>'MKT DATA'!L803</f>
        <v>85210</v>
      </c>
      <c r="I95" s="13">
        <f>'MKT DATA'!M803</f>
        <v>1</v>
      </c>
      <c r="J95" s="43" t="str">
        <f t="shared" si="4"/>
        <v>syn BTCH7/BTCF7/BTCX6/BTCZ6</v>
      </c>
      <c r="K95" s="8">
        <f>'MKT DATA'!O803</f>
        <v>0</v>
      </c>
      <c r="L95" s="8">
        <f>'MKT DATA'!P803</f>
        <v>83415</v>
      </c>
      <c r="M95" s="8">
        <f>'MKT DATA'!Q803</f>
        <v>0</v>
      </c>
      <c r="N95" s="8">
        <f>'MKT DATA'!R803</f>
        <v>0</v>
      </c>
      <c r="O95" s="8">
        <f>'MKT DATA'!S803</f>
        <v>-85210</v>
      </c>
      <c r="P95" s="8">
        <f>'MKT DATA'!T803</f>
        <v>0</v>
      </c>
      <c r="Q95" s="43" t="str">
        <f t="shared" si="5"/>
        <v>syn BTCH7/BTCF7/BTCX6/BTCZ6</v>
      </c>
      <c r="R95" s="13">
        <f>'MKT DATA'!AB803</f>
        <v>0</v>
      </c>
    </row>
    <row r="96" spans="5:18" x14ac:dyDescent="0.25">
      <c r="E96" s="43" t="str">
        <f>'MKT DATA'!B804</f>
        <v>syn BTCH7/BTCF7/BTCG7/BTCZ6</v>
      </c>
      <c r="F96" s="13">
        <f>'MKT DATA'!J804</f>
        <v>1</v>
      </c>
      <c r="G96" s="8">
        <f>'MKT DATA'!K804</f>
        <v>83159</v>
      </c>
      <c r="H96" s="8">
        <f>'MKT DATA'!L804</f>
        <v>85415</v>
      </c>
      <c r="I96" s="13">
        <f>'MKT DATA'!M804</f>
        <v>1</v>
      </c>
      <c r="J96" s="43" t="str">
        <f t="shared" si="4"/>
        <v>syn BTCH7/BTCF7/BTCG7/BTCZ6</v>
      </c>
      <c r="K96" s="8">
        <f>'MKT DATA'!O804</f>
        <v>0</v>
      </c>
      <c r="L96" s="8">
        <f>'MKT DATA'!P804</f>
        <v>83159</v>
      </c>
      <c r="M96" s="8">
        <f>'MKT DATA'!Q804</f>
        <v>0</v>
      </c>
      <c r="N96" s="8">
        <f>'MKT DATA'!R804</f>
        <v>0</v>
      </c>
      <c r="O96" s="8">
        <f>'MKT DATA'!S804</f>
        <v>-85415</v>
      </c>
      <c r="P96" s="8">
        <f>'MKT DATA'!T804</f>
        <v>0</v>
      </c>
      <c r="Q96" s="43" t="str">
        <f t="shared" si="5"/>
        <v>syn BTCH7/BTCF7/BTCG7/BTCZ6</v>
      </c>
      <c r="R96" s="13">
        <f>'MKT DATA'!AB804</f>
        <v>0</v>
      </c>
    </row>
    <row r="97" spans="5:18" x14ac:dyDescent="0.25">
      <c r="E97" s="43" t="str">
        <f>'MKT DATA'!B805</f>
        <v>syn BTCH7/BTCG7/BTCV6/BTCZ6</v>
      </c>
      <c r="F97" s="13">
        <f>'MKT DATA'!J805</f>
        <v>1</v>
      </c>
      <c r="G97" s="8">
        <f>'MKT DATA'!K805</f>
        <v>83531</v>
      </c>
      <c r="H97" s="8">
        <f>'MKT DATA'!L805</f>
        <v>85012</v>
      </c>
      <c r="I97" s="13">
        <f>'MKT DATA'!M805</f>
        <v>1</v>
      </c>
      <c r="J97" s="43" t="str">
        <f t="shared" si="4"/>
        <v>syn BTCH7/BTCG7/BTCV6/BTCZ6</v>
      </c>
      <c r="K97" s="8">
        <f>'MKT DATA'!O805</f>
        <v>0</v>
      </c>
      <c r="L97" s="8">
        <f>'MKT DATA'!P805</f>
        <v>83531</v>
      </c>
      <c r="M97" s="8">
        <f>'MKT DATA'!Q805</f>
        <v>0</v>
      </c>
      <c r="N97" s="8">
        <f>'MKT DATA'!R805</f>
        <v>0</v>
      </c>
      <c r="O97" s="8">
        <f>'MKT DATA'!S805</f>
        <v>-85012</v>
      </c>
      <c r="P97" s="8">
        <f>'MKT DATA'!T805</f>
        <v>0</v>
      </c>
      <c r="Q97" s="43" t="str">
        <f t="shared" si="5"/>
        <v>syn BTCH7/BTCG7/BTCV6/BTCZ6</v>
      </c>
      <c r="R97" s="13">
        <f>'MKT DATA'!AB805</f>
        <v>0</v>
      </c>
    </row>
    <row r="98" spans="5:18" x14ac:dyDescent="0.25">
      <c r="E98" s="43" t="str">
        <f>'MKT DATA'!B806</f>
        <v>syn BTCH7/BTCG7/BTCX6/BTCZ6</v>
      </c>
      <c r="F98" s="13">
        <f>'MKT DATA'!J806</f>
        <v>1</v>
      </c>
      <c r="G98" s="8">
        <f>'MKT DATA'!K806</f>
        <v>83529</v>
      </c>
      <c r="H98" s="8">
        <f>'MKT DATA'!L806</f>
        <v>85021</v>
      </c>
      <c r="I98" s="13">
        <f>'MKT DATA'!M806</f>
        <v>1</v>
      </c>
      <c r="J98" s="43" t="str">
        <f t="shared" si="4"/>
        <v>syn BTCH7/BTCG7/BTCX6/BTCZ6</v>
      </c>
      <c r="K98" s="8">
        <f>'MKT DATA'!O806</f>
        <v>0</v>
      </c>
      <c r="L98" s="8">
        <f>'MKT DATA'!P806</f>
        <v>83529</v>
      </c>
      <c r="M98" s="8">
        <f>'MKT DATA'!Q806</f>
        <v>0</v>
      </c>
      <c r="N98" s="8">
        <f>'MKT DATA'!R806</f>
        <v>0</v>
      </c>
      <c r="O98" s="8">
        <f>'MKT DATA'!S806</f>
        <v>-85021</v>
      </c>
      <c r="P98" s="8">
        <f>'MKT DATA'!T806</f>
        <v>0</v>
      </c>
      <c r="Q98" s="43" t="str">
        <f t="shared" si="5"/>
        <v>syn BTCH7/BTCG7/BTCX6/BTCZ6</v>
      </c>
      <c r="R98" s="13">
        <f>'MKT DATA'!AB806</f>
        <v>0</v>
      </c>
    </row>
    <row r="99" spans="5:18" x14ac:dyDescent="0.25">
      <c r="E99" s="43" t="str">
        <f>'MKT DATA'!B807</f>
        <v>syn BTCH7/BTCG7/BTCF7/BTCZ6</v>
      </c>
      <c r="F99" s="13">
        <f>'MKT DATA'!J807</f>
        <v>1</v>
      </c>
      <c r="G99" s="8">
        <f>'MKT DATA'!K807</f>
        <v>83636</v>
      </c>
      <c r="H99" s="8">
        <f>'MKT DATA'!L807</f>
        <v>84919</v>
      </c>
      <c r="I99" s="13">
        <f>'MKT DATA'!M807</f>
        <v>1</v>
      </c>
      <c r="J99" s="43" t="str">
        <f t="shared" si="4"/>
        <v>syn BTCH7/BTCG7/BTCF7/BTCZ6</v>
      </c>
      <c r="K99" s="8">
        <f>'MKT DATA'!O807</f>
        <v>0</v>
      </c>
      <c r="L99" s="8">
        <f>'MKT DATA'!P807</f>
        <v>83636</v>
      </c>
      <c r="M99" s="8">
        <f>'MKT DATA'!Q807</f>
        <v>0</v>
      </c>
      <c r="N99" s="8">
        <f>'MKT DATA'!R807</f>
        <v>0</v>
      </c>
      <c r="O99" s="8">
        <f>'MKT DATA'!S807</f>
        <v>-84919</v>
      </c>
      <c r="P99" s="8">
        <f>'MKT DATA'!T807</f>
        <v>0</v>
      </c>
      <c r="Q99" s="43" t="str">
        <f t="shared" si="5"/>
        <v>syn BTCH7/BTCG7/BTCF7/BTCZ6</v>
      </c>
      <c r="R99" s="13">
        <f>'MKT DATA'!AB807</f>
        <v>0</v>
      </c>
    </row>
    <row r="100" spans="5:18" x14ac:dyDescent="0.25">
      <c r="E100" s="43" t="str">
        <f>'MKT DATA'!B808</f>
        <v>syn BTCV6/BTCX6/BTCF7/BTCG7/BTCZ6</v>
      </c>
      <c r="F100" s="13">
        <f>'MKT DATA'!J808</f>
        <v>1</v>
      </c>
      <c r="G100" s="8">
        <f>'MKT DATA'!K808</f>
        <v>83907</v>
      </c>
      <c r="H100" s="8">
        <f>'MKT DATA'!L808</f>
        <v>84640</v>
      </c>
      <c r="I100" s="13">
        <f>'MKT DATA'!M808</f>
        <v>1</v>
      </c>
      <c r="J100" s="43" t="str">
        <f t="shared" si="4"/>
        <v>syn BTCV6/BTCX6/BTCF7/BTCG7/BTCZ6</v>
      </c>
      <c r="K100" s="8">
        <f>'MKT DATA'!O808</f>
        <v>0</v>
      </c>
      <c r="L100" s="8">
        <f>'MKT DATA'!P808</f>
        <v>83907</v>
      </c>
      <c r="M100" s="8">
        <f>'MKT DATA'!Q808</f>
        <v>0</v>
      </c>
      <c r="N100" s="8">
        <f>'MKT DATA'!R808</f>
        <v>0</v>
      </c>
      <c r="O100" s="8">
        <f>'MKT DATA'!S808</f>
        <v>-84640</v>
      </c>
      <c r="P100" s="8">
        <f>'MKT DATA'!T808</f>
        <v>0</v>
      </c>
      <c r="Q100" s="43" t="str">
        <f t="shared" si="5"/>
        <v>syn BTCV6/BTCX6/BTCF7/BTCG7/BTCZ6</v>
      </c>
      <c r="R100" s="13">
        <f>'MKT DATA'!AB808</f>
        <v>0</v>
      </c>
    </row>
    <row r="101" spans="5:18" x14ac:dyDescent="0.25">
      <c r="E101" s="43" t="str">
        <f>'MKT DATA'!B809</f>
        <v>syn BTCV6/BTCX6/BTCF7/BTCH7/BTCZ6</v>
      </c>
      <c r="F101" s="13">
        <f>'MKT DATA'!J809</f>
        <v>1</v>
      </c>
      <c r="G101" s="8">
        <f>'MKT DATA'!K809</f>
        <v>83358</v>
      </c>
      <c r="H101" s="8">
        <f>'MKT DATA'!L809</f>
        <v>85025</v>
      </c>
      <c r="I101" s="13">
        <f>'MKT DATA'!M809</f>
        <v>1</v>
      </c>
      <c r="J101" s="43" t="str">
        <f t="shared" si="4"/>
        <v>syn BTCV6/BTCX6/BTCF7/BTCH7/BTCZ6</v>
      </c>
      <c r="K101" s="8">
        <f>'MKT DATA'!O809</f>
        <v>0</v>
      </c>
      <c r="L101" s="8">
        <f>'MKT DATA'!P809</f>
        <v>83358</v>
      </c>
      <c r="M101" s="8">
        <f>'MKT DATA'!Q809</f>
        <v>0</v>
      </c>
      <c r="N101" s="8">
        <f>'MKT DATA'!R809</f>
        <v>0</v>
      </c>
      <c r="O101" s="8">
        <f>'MKT DATA'!S809</f>
        <v>-85025</v>
      </c>
      <c r="P101" s="8">
        <f>'MKT DATA'!T809</f>
        <v>0</v>
      </c>
      <c r="Q101" s="43" t="str">
        <f t="shared" si="5"/>
        <v>syn BTCV6/BTCX6/BTCF7/BTCH7/BTCZ6</v>
      </c>
      <c r="R101" s="13">
        <f>'MKT DATA'!AB809</f>
        <v>0</v>
      </c>
    </row>
    <row r="102" spans="5:18" x14ac:dyDescent="0.25">
      <c r="E102" s="43" t="str">
        <f>'MKT DATA'!B810</f>
        <v>syn BTCV6/BTCX6/BTCG7/BTCF7/BTCZ6</v>
      </c>
      <c r="F102" s="13">
        <f>'MKT DATA'!J810</f>
        <v>1</v>
      </c>
      <c r="G102" s="8">
        <f>'MKT DATA'!K810</f>
        <v>83993</v>
      </c>
      <c r="H102" s="8">
        <f>'MKT DATA'!L810</f>
        <v>84610</v>
      </c>
      <c r="I102" s="13">
        <f>'MKT DATA'!M810</f>
        <v>1</v>
      </c>
      <c r="J102" s="43" t="str">
        <f t="shared" si="4"/>
        <v>syn BTCV6/BTCX6/BTCG7/BTCF7/BTCZ6</v>
      </c>
      <c r="K102" s="8">
        <f>'MKT DATA'!O810</f>
        <v>0</v>
      </c>
      <c r="L102" s="8">
        <f>'MKT DATA'!P810</f>
        <v>83993</v>
      </c>
      <c r="M102" s="8">
        <f>'MKT DATA'!Q810</f>
        <v>0</v>
      </c>
      <c r="N102" s="8">
        <f>'MKT DATA'!R810</f>
        <v>0</v>
      </c>
      <c r="O102" s="8">
        <f>'MKT DATA'!S810</f>
        <v>-84610</v>
      </c>
      <c r="P102" s="8">
        <f>'MKT DATA'!T810</f>
        <v>0</v>
      </c>
      <c r="Q102" s="43" t="str">
        <f t="shared" si="5"/>
        <v>syn BTCV6/BTCX6/BTCG7/BTCF7/BTCZ6</v>
      </c>
      <c r="R102" s="13">
        <f>'MKT DATA'!AB810</f>
        <v>0</v>
      </c>
    </row>
    <row r="103" spans="5:18" x14ac:dyDescent="0.25">
      <c r="E103" s="43" t="str">
        <f>'MKT DATA'!B811</f>
        <v>syn BTCV6/BTCX6/BTCG7/BTCH7/BTCZ6</v>
      </c>
      <c r="F103" s="13">
        <f>'MKT DATA'!J811</f>
        <v>1</v>
      </c>
      <c r="G103" s="8">
        <f>'MKT DATA'!K811</f>
        <v>83547</v>
      </c>
      <c r="H103" s="8">
        <f>'MKT DATA'!L811</f>
        <v>84911</v>
      </c>
      <c r="I103" s="13">
        <f>'MKT DATA'!M811</f>
        <v>1</v>
      </c>
      <c r="J103" s="43" t="str">
        <f t="shared" si="4"/>
        <v>syn BTCV6/BTCX6/BTCG7/BTCH7/BTCZ6</v>
      </c>
      <c r="K103" s="8">
        <f>'MKT DATA'!O811</f>
        <v>0</v>
      </c>
      <c r="L103" s="8">
        <f>'MKT DATA'!P811</f>
        <v>83547</v>
      </c>
      <c r="M103" s="8">
        <f>'MKT DATA'!Q811</f>
        <v>0</v>
      </c>
      <c r="N103" s="8">
        <f>'MKT DATA'!R811</f>
        <v>0</v>
      </c>
      <c r="O103" s="8">
        <f>'MKT DATA'!S811</f>
        <v>-84911</v>
      </c>
      <c r="P103" s="8">
        <f>'MKT DATA'!T811</f>
        <v>0</v>
      </c>
      <c r="Q103" s="43" t="str">
        <f t="shared" si="5"/>
        <v>syn BTCV6/BTCX6/BTCG7/BTCH7/BTCZ6</v>
      </c>
      <c r="R103" s="13">
        <f>'MKT DATA'!AB811</f>
        <v>0</v>
      </c>
    </row>
    <row r="104" spans="5:18" x14ac:dyDescent="0.25">
      <c r="E104" s="43" t="str">
        <f>'MKT DATA'!B812</f>
        <v>syn BTCV6/BTCX6/BTCH7/BTCF7/BTCZ6</v>
      </c>
      <c r="F104" s="13">
        <f>'MKT DATA'!J812</f>
        <v>1</v>
      </c>
      <c r="G104" s="8">
        <f>'MKT DATA'!K812</f>
        <v>83398</v>
      </c>
      <c r="H104" s="8">
        <f>'MKT DATA'!L812</f>
        <v>85189</v>
      </c>
      <c r="I104" s="13">
        <f>'MKT DATA'!M812</f>
        <v>1</v>
      </c>
      <c r="J104" s="43" t="str">
        <f t="shared" si="4"/>
        <v>syn BTCV6/BTCX6/BTCH7/BTCF7/BTCZ6</v>
      </c>
      <c r="K104" s="8">
        <f>'MKT DATA'!O812</f>
        <v>0</v>
      </c>
      <c r="L104" s="8">
        <f>'MKT DATA'!P812</f>
        <v>83398</v>
      </c>
      <c r="M104" s="8">
        <f>'MKT DATA'!Q812</f>
        <v>0</v>
      </c>
      <c r="N104" s="8">
        <f>'MKT DATA'!R812</f>
        <v>0</v>
      </c>
      <c r="O104" s="8">
        <f>'MKT DATA'!S812</f>
        <v>-85189</v>
      </c>
      <c r="P104" s="8">
        <f>'MKT DATA'!T812</f>
        <v>0</v>
      </c>
      <c r="Q104" s="43" t="str">
        <f t="shared" si="5"/>
        <v>syn BTCV6/BTCX6/BTCH7/BTCF7/BTCZ6</v>
      </c>
      <c r="R104" s="13">
        <f>'MKT DATA'!AB812</f>
        <v>0</v>
      </c>
    </row>
    <row r="105" spans="5:18" x14ac:dyDescent="0.25">
      <c r="E105" s="43" t="str">
        <f>'MKT DATA'!B813</f>
        <v>syn BTCV6/BTCX6/BTCH7/BTCG7/BTCZ6</v>
      </c>
      <c r="F105" s="13">
        <f>'MKT DATA'!J813</f>
        <v>1</v>
      </c>
      <c r="G105" s="8">
        <f>'MKT DATA'!K813</f>
        <v>83462</v>
      </c>
      <c r="H105" s="8">
        <f>'MKT DATA'!L813</f>
        <v>85066</v>
      </c>
      <c r="I105" s="13">
        <f>'MKT DATA'!M813</f>
        <v>1</v>
      </c>
      <c r="J105" s="43" t="str">
        <f t="shared" si="4"/>
        <v>syn BTCV6/BTCX6/BTCH7/BTCG7/BTCZ6</v>
      </c>
      <c r="K105" s="8">
        <f>'MKT DATA'!O813</f>
        <v>0</v>
      </c>
      <c r="L105" s="8">
        <f>'MKT DATA'!P813</f>
        <v>83462</v>
      </c>
      <c r="M105" s="8">
        <f>'MKT DATA'!Q813</f>
        <v>0</v>
      </c>
      <c r="N105" s="8">
        <f>'MKT DATA'!R813</f>
        <v>0</v>
      </c>
      <c r="O105" s="8">
        <f>'MKT DATA'!S813</f>
        <v>-85066</v>
      </c>
      <c r="P105" s="8">
        <f>'MKT DATA'!T813</f>
        <v>0</v>
      </c>
      <c r="Q105" s="43" t="str">
        <f t="shared" si="5"/>
        <v>syn BTCV6/BTCX6/BTCH7/BTCG7/BTCZ6</v>
      </c>
      <c r="R105" s="13">
        <f>'MKT DATA'!AB813</f>
        <v>0</v>
      </c>
    </row>
    <row r="106" spans="5:18" x14ac:dyDescent="0.25">
      <c r="E106" s="43" t="str">
        <f>'MKT DATA'!B814</f>
        <v>syn BTCV6/BTCF7/BTCX6/BTCG7/BTCZ6</v>
      </c>
      <c r="F106" s="13">
        <f>'MKT DATA'!J814</f>
        <v>1</v>
      </c>
      <c r="G106" s="8">
        <f>'MKT DATA'!K814</f>
        <v>83737</v>
      </c>
      <c r="H106" s="8">
        <f>'MKT DATA'!L814</f>
        <v>84843</v>
      </c>
      <c r="I106" s="13">
        <f>'MKT DATA'!M814</f>
        <v>1</v>
      </c>
      <c r="J106" s="43" t="str">
        <f t="shared" si="4"/>
        <v>syn BTCV6/BTCF7/BTCX6/BTCG7/BTCZ6</v>
      </c>
      <c r="K106" s="8">
        <f>'MKT DATA'!O814</f>
        <v>0</v>
      </c>
      <c r="L106" s="8">
        <f>'MKT DATA'!P814</f>
        <v>83737</v>
      </c>
      <c r="M106" s="8">
        <f>'MKT DATA'!Q814</f>
        <v>0</v>
      </c>
      <c r="N106" s="8">
        <f>'MKT DATA'!R814</f>
        <v>0</v>
      </c>
      <c r="O106" s="8">
        <f>'MKT DATA'!S814</f>
        <v>-84843</v>
      </c>
      <c r="P106" s="8">
        <f>'MKT DATA'!T814</f>
        <v>0</v>
      </c>
      <c r="Q106" s="43" t="str">
        <f t="shared" si="5"/>
        <v>syn BTCV6/BTCF7/BTCX6/BTCG7/BTCZ6</v>
      </c>
      <c r="R106" s="13">
        <f>'MKT DATA'!AB814</f>
        <v>0</v>
      </c>
    </row>
    <row r="107" spans="5:18" x14ac:dyDescent="0.25">
      <c r="E107" s="43" t="str">
        <f>'MKT DATA'!B815</f>
        <v>syn BTCV6/BTCF7/BTCX6/BTCH7/BTCZ6</v>
      </c>
      <c r="F107" s="13">
        <f>'MKT DATA'!J815</f>
        <v>1</v>
      </c>
      <c r="G107" s="8">
        <f>'MKT DATA'!K815</f>
        <v>83357</v>
      </c>
      <c r="H107" s="8">
        <f>'MKT DATA'!L815</f>
        <v>85043</v>
      </c>
      <c r="I107" s="13">
        <f>'MKT DATA'!M815</f>
        <v>1</v>
      </c>
      <c r="J107" s="43" t="str">
        <f t="shared" si="4"/>
        <v>syn BTCV6/BTCF7/BTCX6/BTCH7/BTCZ6</v>
      </c>
      <c r="K107" s="8">
        <f>'MKT DATA'!O815</f>
        <v>0</v>
      </c>
      <c r="L107" s="8">
        <f>'MKT DATA'!P815</f>
        <v>83357</v>
      </c>
      <c r="M107" s="8">
        <f>'MKT DATA'!Q815</f>
        <v>0</v>
      </c>
      <c r="N107" s="8">
        <f>'MKT DATA'!R815</f>
        <v>0</v>
      </c>
      <c r="O107" s="8">
        <f>'MKT DATA'!S815</f>
        <v>-85043</v>
      </c>
      <c r="P107" s="8">
        <f>'MKT DATA'!T815</f>
        <v>0</v>
      </c>
      <c r="Q107" s="43" t="str">
        <f t="shared" si="5"/>
        <v>syn BTCV6/BTCF7/BTCX6/BTCH7/BTCZ6</v>
      </c>
      <c r="R107" s="13">
        <f>'MKT DATA'!AB815</f>
        <v>0</v>
      </c>
    </row>
    <row r="108" spans="5:18" x14ac:dyDescent="0.25">
      <c r="E108" s="43" t="str">
        <f>'MKT DATA'!B816</f>
        <v>syn BTCV6/BTCF7/BTCG7/BTCX6/BTCZ6</v>
      </c>
      <c r="F108" s="13">
        <f>'MKT DATA'!J816</f>
        <v>1</v>
      </c>
      <c r="G108" s="8">
        <f>'MKT DATA'!K816</f>
        <v>83904</v>
      </c>
      <c r="H108" s="8">
        <f>'MKT DATA'!L816</f>
        <v>84655</v>
      </c>
      <c r="I108" s="13">
        <f>'MKT DATA'!M816</f>
        <v>1</v>
      </c>
      <c r="J108" s="43" t="str">
        <f t="shared" si="4"/>
        <v>syn BTCV6/BTCF7/BTCG7/BTCX6/BTCZ6</v>
      </c>
      <c r="K108" s="8">
        <f>'MKT DATA'!O816</f>
        <v>0</v>
      </c>
      <c r="L108" s="8">
        <f>'MKT DATA'!P816</f>
        <v>83904</v>
      </c>
      <c r="M108" s="8">
        <f>'MKT DATA'!Q816</f>
        <v>0</v>
      </c>
      <c r="N108" s="8">
        <f>'MKT DATA'!R816</f>
        <v>0</v>
      </c>
      <c r="O108" s="8">
        <f>'MKT DATA'!S816</f>
        <v>-84655</v>
      </c>
      <c r="P108" s="8">
        <f>'MKT DATA'!T816</f>
        <v>0</v>
      </c>
      <c r="Q108" s="43" t="str">
        <f t="shared" si="5"/>
        <v>syn BTCV6/BTCF7/BTCG7/BTCX6/BTCZ6</v>
      </c>
      <c r="R108" s="13">
        <f>'MKT DATA'!AB816</f>
        <v>0</v>
      </c>
    </row>
    <row r="109" spans="5:18" x14ac:dyDescent="0.25">
      <c r="E109" s="43" t="str">
        <f>'MKT DATA'!B817</f>
        <v>syn BTCV6/BTCF7/BTCG7/BTCH7/BTCZ6</v>
      </c>
      <c r="F109" s="13">
        <f>'MKT DATA'!J817</f>
        <v>1</v>
      </c>
      <c r="G109" s="8">
        <f>'MKT DATA'!K817</f>
        <v>83565</v>
      </c>
      <c r="H109" s="8">
        <f>'MKT DATA'!L817</f>
        <v>84854</v>
      </c>
      <c r="I109" s="13">
        <f>'MKT DATA'!M817</f>
        <v>1</v>
      </c>
      <c r="J109" s="43" t="str">
        <f t="shared" si="4"/>
        <v>syn BTCV6/BTCF7/BTCG7/BTCH7/BTCZ6</v>
      </c>
      <c r="K109" s="8">
        <f>'MKT DATA'!O817</f>
        <v>0</v>
      </c>
      <c r="L109" s="8">
        <f>'MKT DATA'!P817</f>
        <v>83565</v>
      </c>
      <c r="M109" s="8">
        <f>'MKT DATA'!Q817</f>
        <v>0</v>
      </c>
      <c r="N109" s="8">
        <f>'MKT DATA'!R817</f>
        <v>0</v>
      </c>
      <c r="O109" s="8">
        <f>'MKT DATA'!S817</f>
        <v>-84854</v>
      </c>
      <c r="P109" s="8">
        <f>'MKT DATA'!T817</f>
        <v>0</v>
      </c>
      <c r="Q109" s="43" t="str">
        <f t="shared" si="5"/>
        <v>syn BTCV6/BTCF7/BTCG7/BTCH7/BTCZ6</v>
      </c>
      <c r="R109" s="13">
        <f>'MKT DATA'!AB817</f>
        <v>0</v>
      </c>
    </row>
    <row r="110" spans="5:18" x14ac:dyDescent="0.25">
      <c r="E110" s="43" t="str">
        <f>'MKT DATA'!B818</f>
        <v>syn BTCV6/BTCF7/BTCH7/BTCX6/BTCZ6</v>
      </c>
      <c r="F110" s="13">
        <f>'MKT DATA'!J818</f>
        <v>1</v>
      </c>
      <c r="G110" s="8">
        <f>'MKT DATA'!K818</f>
        <v>83325</v>
      </c>
      <c r="H110" s="8">
        <f>'MKT DATA'!L818</f>
        <v>85250</v>
      </c>
      <c r="I110" s="13">
        <f>'MKT DATA'!M818</f>
        <v>1</v>
      </c>
      <c r="J110" s="43" t="str">
        <f t="shared" si="4"/>
        <v>syn BTCV6/BTCF7/BTCH7/BTCX6/BTCZ6</v>
      </c>
      <c r="K110" s="8">
        <f>'MKT DATA'!O818</f>
        <v>0</v>
      </c>
      <c r="L110" s="8">
        <f>'MKT DATA'!P818</f>
        <v>83325</v>
      </c>
      <c r="M110" s="8">
        <f>'MKT DATA'!Q818</f>
        <v>0</v>
      </c>
      <c r="N110" s="8">
        <f>'MKT DATA'!R818</f>
        <v>0</v>
      </c>
      <c r="O110" s="8">
        <f>'MKT DATA'!S818</f>
        <v>-85250</v>
      </c>
      <c r="P110" s="8">
        <f>'MKT DATA'!T818</f>
        <v>0</v>
      </c>
      <c r="Q110" s="43" t="str">
        <f t="shared" si="5"/>
        <v>syn BTCV6/BTCF7/BTCH7/BTCX6/BTCZ6</v>
      </c>
      <c r="R110" s="13">
        <f>'MKT DATA'!AB818</f>
        <v>0</v>
      </c>
    </row>
    <row r="111" spans="5:18" x14ac:dyDescent="0.25">
      <c r="E111" s="43" t="str">
        <f>'MKT DATA'!B819</f>
        <v>syn BTCV6/BTCF7/BTCH7/BTCG7/BTCZ6</v>
      </c>
      <c r="F111" s="13">
        <f>'MKT DATA'!J819</f>
        <v>1</v>
      </c>
      <c r="G111" s="8">
        <f>'MKT DATA'!K819</f>
        <v>83311</v>
      </c>
      <c r="H111" s="8">
        <f>'MKT DATA'!L819</f>
        <v>85194</v>
      </c>
      <c r="I111" s="13">
        <f>'MKT DATA'!M819</f>
        <v>1</v>
      </c>
      <c r="J111" s="43" t="str">
        <f t="shared" si="4"/>
        <v>syn BTCV6/BTCF7/BTCH7/BTCG7/BTCZ6</v>
      </c>
      <c r="K111" s="8">
        <f>'MKT DATA'!O819</f>
        <v>0</v>
      </c>
      <c r="L111" s="8">
        <f>'MKT DATA'!P819</f>
        <v>83311</v>
      </c>
      <c r="M111" s="8">
        <f>'MKT DATA'!Q819</f>
        <v>0</v>
      </c>
      <c r="N111" s="8">
        <f>'MKT DATA'!R819</f>
        <v>0</v>
      </c>
      <c r="O111" s="8">
        <f>'MKT DATA'!S819</f>
        <v>-85194</v>
      </c>
      <c r="P111" s="8">
        <f>'MKT DATA'!T819</f>
        <v>0</v>
      </c>
      <c r="Q111" s="43" t="str">
        <f t="shared" si="5"/>
        <v>syn BTCV6/BTCF7/BTCH7/BTCG7/BTCZ6</v>
      </c>
      <c r="R111" s="13">
        <f>'MKT DATA'!AB819</f>
        <v>0</v>
      </c>
    </row>
    <row r="112" spans="5:18" x14ac:dyDescent="0.25">
      <c r="E112" s="43" t="str">
        <f>'MKT DATA'!B820</f>
        <v>syn BTCV6/BTCG7/BTCX6/BTCF7/BTCZ6</v>
      </c>
      <c r="F112" s="13">
        <f>'MKT DATA'!J820</f>
        <v>1</v>
      </c>
      <c r="G112" s="8">
        <f>'MKT DATA'!K820</f>
        <v>83827</v>
      </c>
      <c r="H112" s="8">
        <f>'MKT DATA'!L820</f>
        <v>84747</v>
      </c>
      <c r="I112" s="13">
        <f>'MKT DATA'!M820</f>
        <v>1</v>
      </c>
      <c r="J112" s="43" t="str">
        <f t="shared" si="4"/>
        <v>syn BTCV6/BTCG7/BTCX6/BTCF7/BTCZ6</v>
      </c>
      <c r="K112" s="8">
        <f>'MKT DATA'!O820</f>
        <v>0</v>
      </c>
      <c r="L112" s="8">
        <f>'MKT DATA'!P820</f>
        <v>83827</v>
      </c>
      <c r="M112" s="8">
        <f>'MKT DATA'!Q820</f>
        <v>0</v>
      </c>
      <c r="N112" s="8">
        <f>'MKT DATA'!R820</f>
        <v>0</v>
      </c>
      <c r="O112" s="8">
        <f>'MKT DATA'!S820</f>
        <v>-84747</v>
      </c>
      <c r="P112" s="8">
        <f>'MKT DATA'!T820</f>
        <v>0</v>
      </c>
      <c r="Q112" s="43" t="str">
        <f t="shared" si="5"/>
        <v>syn BTCV6/BTCG7/BTCX6/BTCF7/BTCZ6</v>
      </c>
      <c r="R112" s="13">
        <f>'MKT DATA'!AB820</f>
        <v>0</v>
      </c>
    </row>
    <row r="113" spans="5:18" x14ac:dyDescent="0.25">
      <c r="E113" s="43" t="str">
        <f>'MKT DATA'!B821</f>
        <v>syn BTCV6/BTCG7/BTCX6/BTCH7/BTCZ6</v>
      </c>
      <c r="F113" s="13">
        <f>'MKT DATA'!J821</f>
        <v>1</v>
      </c>
      <c r="G113" s="8">
        <f>'MKT DATA'!K821</f>
        <v>83120</v>
      </c>
      <c r="H113" s="8">
        <f>'MKT DATA'!L821</f>
        <v>85290</v>
      </c>
      <c r="I113" s="13">
        <f>'MKT DATA'!M821</f>
        <v>1</v>
      </c>
      <c r="J113" s="43" t="str">
        <f t="shared" si="4"/>
        <v>syn BTCV6/BTCG7/BTCX6/BTCH7/BTCZ6</v>
      </c>
      <c r="K113" s="8">
        <f>'MKT DATA'!O821</f>
        <v>0</v>
      </c>
      <c r="L113" s="8">
        <f>'MKT DATA'!P821</f>
        <v>83120</v>
      </c>
      <c r="M113" s="8">
        <f>'MKT DATA'!Q821</f>
        <v>0</v>
      </c>
      <c r="N113" s="8">
        <f>'MKT DATA'!R821</f>
        <v>0</v>
      </c>
      <c r="O113" s="8">
        <f>'MKT DATA'!S821</f>
        <v>-85290</v>
      </c>
      <c r="P113" s="8">
        <f>'MKT DATA'!T821</f>
        <v>0</v>
      </c>
      <c r="Q113" s="43" t="str">
        <f t="shared" si="5"/>
        <v>syn BTCV6/BTCG7/BTCX6/BTCH7/BTCZ6</v>
      </c>
      <c r="R113" s="13">
        <f>'MKT DATA'!AB821</f>
        <v>0</v>
      </c>
    </row>
    <row r="114" spans="5:18" x14ac:dyDescent="0.25">
      <c r="E114" s="43" t="str">
        <f>'MKT DATA'!B822</f>
        <v>syn BTCV6/BTCG7/BTCF7/BTCX6/BTCZ6</v>
      </c>
      <c r="F114" s="13">
        <f>'MKT DATA'!J822</f>
        <v>1</v>
      </c>
      <c r="G114" s="8">
        <f>'MKT DATA'!K822</f>
        <v>83980</v>
      </c>
      <c r="H114" s="8">
        <f>'MKT DATA'!L822</f>
        <v>84661</v>
      </c>
      <c r="I114" s="13">
        <f>'MKT DATA'!M822</f>
        <v>1</v>
      </c>
      <c r="J114" s="43" t="str">
        <f t="shared" si="4"/>
        <v>syn BTCV6/BTCG7/BTCF7/BTCX6/BTCZ6</v>
      </c>
      <c r="K114" s="8">
        <f>'MKT DATA'!O822</f>
        <v>0</v>
      </c>
      <c r="L114" s="8">
        <f>'MKT DATA'!P822</f>
        <v>83980</v>
      </c>
      <c r="M114" s="8">
        <f>'MKT DATA'!Q822</f>
        <v>0</v>
      </c>
      <c r="N114" s="8">
        <f>'MKT DATA'!R822</f>
        <v>0</v>
      </c>
      <c r="O114" s="8">
        <f>'MKT DATA'!S822</f>
        <v>-84661</v>
      </c>
      <c r="P114" s="8">
        <f>'MKT DATA'!T822</f>
        <v>0</v>
      </c>
      <c r="Q114" s="43" t="str">
        <f t="shared" si="5"/>
        <v>syn BTCV6/BTCG7/BTCF7/BTCX6/BTCZ6</v>
      </c>
      <c r="R114" s="13">
        <f>'MKT DATA'!AB822</f>
        <v>0</v>
      </c>
    </row>
    <row r="115" spans="5:18" x14ac:dyDescent="0.25">
      <c r="E115" s="43" t="str">
        <f>'MKT DATA'!B823</f>
        <v>syn BTCV6/BTCG7/BTCF7/BTCH7/BTCZ6</v>
      </c>
      <c r="F115" s="13">
        <f>'MKT DATA'!J823</f>
        <v>1</v>
      </c>
      <c r="G115" s="8">
        <f>'MKT DATA'!K823</f>
        <v>83175</v>
      </c>
      <c r="H115" s="8">
        <f>'MKT DATA'!L823</f>
        <v>85251</v>
      </c>
      <c r="I115" s="13">
        <f>'MKT DATA'!M823</f>
        <v>1</v>
      </c>
      <c r="J115" s="43" t="str">
        <f t="shared" si="4"/>
        <v>syn BTCV6/BTCG7/BTCF7/BTCH7/BTCZ6</v>
      </c>
      <c r="K115" s="8">
        <f>'MKT DATA'!O823</f>
        <v>0</v>
      </c>
      <c r="L115" s="8">
        <f>'MKT DATA'!P823</f>
        <v>83175</v>
      </c>
      <c r="M115" s="8">
        <f>'MKT DATA'!Q823</f>
        <v>0</v>
      </c>
      <c r="N115" s="8">
        <f>'MKT DATA'!R823</f>
        <v>0</v>
      </c>
      <c r="O115" s="8">
        <f>'MKT DATA'!S823</f>
        <v>-85251</v>
      </c>
      <c r="P115" s="8">
        <f>'MKT DATA'!T823</f>
        <v>0</v>
      </c>
      <c r="Q115" s="43" t="str">
        <f t="shared" si="5"/>
        <v>syn BTCV6/BTCG7/BTCF7/BTCH7/BTCZ6</v>
      </c>
      <c r="R115" s="13">
        <f>'MKT DATA'!AB823</f>
        <v>0</v>
      </c>
    </row>
    <row r="116" spans="5:18" x14ac:dyDescent="0.25">
      <c r="E116" s="43" t="str">
        <f>'MKT DATA'!B824</f>
        <v>syn BTCV6/BTCG7/BTCH7/BTCX6/BTCZ6</v>
      </c>
      <c r="F116" s="13">
        <f>'MKT DATA'!J824</f>
        <v>1</v>
      </c>
      <c r="G116" s="8">
        <f>'MKT DATA'!K824</f>
        <v>83554</v>
      </c>
      <c r="H116" s="8">
        <f>'MKT DATA'!L824</f>
        <v>85106</v>
      </c>
      <c r="I116" s="13">
        <f>'MKT DATA'!M824</f>
        <v>1</v>
      </c>
      <c r="J116" s="43" t="str">
        <f t="shared" si="4"/>
        <v>syn BTCV6/BTCG7/BTCH7/BTCX6/BTCZ6</v>
      </c>
      <c r="K116" s="8">
        <f>'MKT DATA'!O824</f>
        <v>0</v>
      </c>
      <c r="L116" s="8">
        <f>'MKT DATA'!P824</f>
        <v>83554</v>
      </c>
      <c r="M116" s="8">
        <f>'MKT DATA'!Q824</f>
        <v>0</v>
      </c>
      <c r="N116" s="8">
        <f>'MKT DATA'!R824</f>
        <v>0</v>
      </c>
      <c r="O116" s="8">
        <f>'MKT DATA'!S824</f>
        <v>-85106</v>
      </c>
      <c r="P116" s="8">
        <f>'MKT DATA'!T824</f>
        <v>0</v>
      </c>
      <c r="Q116" s="43" t="str">
        <f t="shared" si="5"/>
        <v>syn BTCV6/BTCG7/BTCH7/BTCX6/BTCZ6</v>
      </c>
      <c r="R116" s="13">
        <f>'MKT DATA'!AB824</f>
        <v>0</v>
      </c>
    </row>
    <row r="117" spans="5:18" x14ac:dyDescent="0.25">
      <c r="E117" s="43" t="str">
        <f>'MKT DATA'!B825</f>
        <v>syn BTCV6/BTCG7/BTCH7/BTCF7/BTCZ6</v>
      </c>
      <c r="F117" s="13">
        <f>'MKT DATA'!J825</f>
        <v>1</v>
      </c>
      <c r="G117" s="8">
        <f>'MKT DATA'!K825</f>
        <v>83476</v>
      </c>
      <c r="H117" s="8">
        <f>'MKT DATA'!L825</f>
        <v>85173</v>
      </c>
      <c r="I117" s="13">
        <f>'MKT DATA'!M825</f>
        <v>1</v>
      </c>
      <c r="J117" s="43" t="str">
        <f t="shared" si="4"/>
        <v>syn BTCV6/BTCG7/BTCH7/BTCF7/BTCZ6</v>
      </c>
      <c r="K117" s="8">
        <f>'MKT DATA'!O825</f>
        <v>0</v>
      </c>
      <c r="L117" s="8">
        <f>'MKT DATA'!P825</f>
        <v>83476</v>
      </c>
      <c r="M117" s="8">
        <f>'MKT DATA'!Q825</f>
        <v>0</v>
      </c>
      <c r="N117" s="8">
        <f>'MKT DATA'!R825</f>
        <v>0</v>
      </c>
      <c r="O117" s="8">
        <f>'MKT DATA'!S825</f>
        <v>-85173</v>
      </c>
      <c r="P117" s="8">
        <f>'MKT DATA'!T825</f>
        <v>0</v>
      </c>
      <c r="Q117" s="43" t="str">
        <f t="shared" si="5"/>
        <v>syn BTCV6/BTCG7/BTCH7/BTCF7/BTCZ6</v>
      </c>
      <c r="R117" s="13">
        <f>'MKT DATA'!AB825</f>
        <v>0</v>
      </c>
    </row>
    <row r="118" spans="5:18" x14ac:dyDescent="0.25">
      <c r="E118" s="43" t="str">
        <f>'MKT DATA'!B826</f>
        <v>syn BTCV6/BTCH7/BTCX6/BTCF7/BTCZ6</v>
      </c>
      <c r="F118" s="13">
        <f>'MKT DATA'!J826</f>
        <v>1</v>
      </c>
      <c r="G118" s="8">
        <f>'MKT DATA'!K826</f>
        <v>83417</v>
      </c>
      <c r="H118" s="8">
        <f>'MKT DATA'!L826</f>
        <v>85157</v>
      </c>
      <c r="I118" s="13">
        <f>'MKT DATA'!M826</f>
        <v>1</v>
      </c>
      <c r="J118" s="43" t="str">
        <f t="shared" si="4"/>
        <v>syn BTCV6/BTCH7/BTCX6/BTCF7/BTCZ6</v>
      </c>
      <c r="K118" s="8">
        <f>'MKT DATA'!O826</f>
        <v>0</v>
      </c>
      <c r="L118" s="8">
        <f>'MKT DATA'!P826</f>
        <v>83417</v>
      </c>
      <c r="M118" s="8">
        <f>'MKT DATA'!Q826</f>
        <v>0</v>
      </c>
      <c r="N118" s="8">
        <f>'MKT DATA'!R826</f>
        <v>0</v>
      </c>
      <c r="O118" s="8">
        <f>'MKT DATA'!S826</f>
        <v>-85157</v>
      </c>
      <c r="P118" s="8">
        <f>'MKT DATA'!T826</f>
        <v>0</v>
      </c>
      <c r="Q118" s="43" t="str">
        <f t="shared" si="5"/>
        <v>syn BTCV6/BTCH7/BTCX6/BTCF7/BTCZ6</v>
      </c>
      <c r="R118" s="13">
        <f>'MKT DATA'!AB826</f>
        <v>0</v>
      </c>
    </row>
    <row r="119" spans="5:18" x14ac:dyDescent="0.25">
      <c r="E119" s="43" t="str">
        <f>'MKT DATA'!B827</f>
        <v>syn BTCV6/BTCH7/BTCX6/BTCG7/BTCZ6</v>
      </c>
      <c r="F119" s="13">
        <f>'MKT DATA'!J827</f>
        <v>1</v>
      </c>
      <c r="G119" s="8">
        <f>'MKT DATA'!K827</f>
        <v>83090</v>
      </c>
      <c r="H119" s="8">
        <f>'MKT DATA'!L827</f>
        <v>85500</v>
      </c>
      <c r="I119" s="13">
        <f>'MKT DATA'!M827</f>
        <v>1</v>
      </c>
      <c r="J119" s="43" t="str">
        <f t="shared" si="4"/>
        <v>syn BTCV6/BTCH7/BTCX6/BTCG7/BTCZ6</v>
      </c>
      <c r="K119" s="8">
        <f>'MKT DATA'!O827</f>
        <v>0</v>
      </c>
      <c r="L119" s="8">
        <f>'MKT DATA'!P827</f>
        <v>83090</v>
      </c>
      <c r="M119" s="8">
        <f>'MKT DATA'!Q827</f>
        <v>0</v>
      </c>
      <c r="N119" s="8">
        <f>'MKT DATA'!R827</f>
        <v>0</v>
      </c>
      <c r="O119" s="8">
        <f>'MKT DATA'!S827</f>
        <v>-85500</v>
      </c>
      <c r="P119" s="8">
        <f>'MKT DATA'!T827</f>
        <v>0</v>
      </c>
      <c r="Q119" s="43" t="str">
        <f t="shared" si="5"/>
        <v>syn BTCV6/BTCH7/BTCX6/BTCG7/BTCZ6</v>
      </c>
      <c r="R119" s="13">
        <f>'MKT DATA'!AB827</f>
        <v>0</v>
      </c>
    </row>
    <row r="120" spans="5:18" x14ac:dyDescent="0.25">
      <c r="E120" s="43" t="str">
        <f>'MKT DATA'!B828</f>
        <v>syn BTCV6/BTCH7/BTCF7/BTCX6/BTCZ6</v>
      </c>
      <c r="F120" s="13">
        <f>'MKT DATA'!J828</f>
        <v>1</v>
      </c>
      <c r="G120" s="8">
        <f>'MKT DATA'!K828</f>
        <v>83385</v>
      </c>
      <c r="H120" s="8">
        <f>'MKT DATA'!L828</f>
        <v>85240</v>
      </c>
      <c r="I120" s="13">
        <f>'MKT DATA'!M828</f>
        <v>1</v>
      </c>
      <c r="J120" s="43" t="str">
        <f t="shared" si="4"/>
        <v>syn BTCV6/BTCH7/BTCF7/BTCX6/BTCZ6</v>
      </c>
      <c r="K120" s="8">
        <f>'MKT DATA'!O828</f>
        <v>0</v>
      </c>
      <c r="L120" s="8">
        <f>'MKT DATA'!P828</f>
        <v>83385</v>
      </c>
      <c r="M120" s="8">
        <f>'MKT DATA'!Q828</f>
        <v>0</v>
      </c>
      <c r="N120" s="8">
        <f>'MKT DATA'!R828</f>
        <v>0</v>
      </c>
      <c r="O120" s="8">
        <f>'MKT DATA'!S828</f>
        <v>-85240</v>
      </c>
      <c r="P120" s="8">
        <f>'MKT DATA'!T828</f>
        <v>0</v>
      </c>
      <c r="Q120" s="43" t="str">
        <f t="shared" si="5"/>
        <v>syn BTCV6/BTCH7/BTCF7/BTCX6/BTCZ6</v>
      </c>
      <c r="R120" s="13">
        <f>'MKT DATA'!AB828</f>
        <v>0</v>
      </c>
    </row>
    <row r="121" spans="5:18" x14ac:dyDescent="0.25">
      <c r="E121" s="43" t="str">
        <f>'MKT DATA'!B829</f>
        <v>syn BTCV6/BTCH7/BTCF7/BTCG7/BTCZ6</v>
      </c>
      <c r="F121" s="13">
        <f>'MKT DATA'!J829</f>
        <v>1</v>
      </c>
      <c r="G121" s="8">
        <f>'MKT DATA'!K829</f>
        <v>83129</v>
      </c>
      <c r="H121" s="8">
        <f>'MKT DATA'!L829</f>
        <v>85445</v>
      </c>
      <c r="I121" s="13">
        <f>'MKT DATA'!M829</f>
        <v>1</v>
      </c>
      <c r="J121" s="43" t="str">
        <f t="shared" si="4"/>
        <v>syn BTCV6/BTCH7/BTCF7/BTCG7/BTCZ6</v>
      </c>
      <c r="K121" s="8">
        <f>'MKT DATA'!O829</f>
        <v>0</v>
      </c>
      <c r="L121" s="8">
        <f>'MKT DATA'!P829</f>
        <v>83129</v>
      </c>
      <c r="M121" s="8">
        <f>'MKT DATA'!Q829</f>
        <v>0</v>
      </c>
      <c r="N121" s="8">
        <f>'MKT DATA'!R829</f>
        <v>0</v>
      </c>
      <c r="O121" s="8">
        <f>'MKT DATA'!S829</f>
        <v>-85445</v>
      </c>
      <c r="P121" s="8">
        <f>'MKT DATA'!T829</f>
        <v>0</v>
      </c>
      <c r="Q121" s="43" t="str">
        <f t="shared" si="5"/>
        <v>syn BTCV6/BTCH7/BTCF7/BTCG7/BTCZ6</v>
      </c>
      <c r="R121" s="13">
        <f>'MKT DATA'!AB829</f>
        <v>0</v>
      </c>
    </row>
    <row r="122" spans="5:18" x14ac:dyDescent="0.25">
      <c r="E122" s="43" t="str">
        <f>'MKT DATA'!B830</f>
        <v>syn BTCV6/BTCH7/BTCG7/BTCX6/BTCZ6</v>
      </c>
      <c r="F122" s="13">
        <f>'MKT DATA'!J830</f>
        <v>1</v>
      </c>
      <c r="G122" s="8">
        <f>'MKT DATA'!K830</f>
        <v>83499</v>
      </c>
      <c r="H122" s="8">
        <f>'MKT DATA'!L830</f>
        <v>85051</v>
      </c>
      <c r="I122" s="13">
        <f>'MKT DATA'!M830</f>
        <v>1</v>
      </c>
      <c r="J122" s="43" t="str">
        <f t="shared" si="4"/>
        <v>syn BTCV6/BTCH7/BTCG7/BTCX6/BTCZ6</v>
      </c>
      <c r="K122" s="8">
        <f>'MKT DATA'!O830</f>
        <v>0</v>
      </c>
      <c r="L122" s="8">
        <f>'MKT DATA'!P830</f>
        <v>83499</v>
      </c>
      <c r="M122" s="8">
        <f>'MKT DATA'!Q830</f>
        <v>0</v>
      </c>
      <c r="N122" s="8">
        <f>'MKT DATA'!R830</f>
        <v>0</v>
      </c>
      <c r="O122" s="8">
        <f>'MKT DATA'!S830</f>
        <v>-85051</v>
      </c>
      <c r="P122" s="8">
        <f>'MKT DATA'!T830</f>
        <v>0</v>
      </c>
      <c r="Q122" s="43" t="str">
        <f t="shared" si="5"/>
        <v>syn BTCV6/BTCH7/BTCG7/BTCX6/BTCZ6</v>
      </c>
      <c r="R122" s="13">
        <f>'MKT DATA'!AB830</f>
        <v>0</v>
      </c>
    </row>
    <row r="123" spans="5:18" x14ac:dyDescent="0.25">
      <c r="E123" s="43" t="str">
        <f>'MKT DATA'!B831</f>
        <v>syn BTCV6/BTCH7/BTCG7/BTCF7/BTCZ6</v>
      </c>
      <c r="F123" s="13">
        <f>'MKT DATA'!J831</f>
        <v>1</v>
      </c>
      <c r="G123" s="8">
        <f>'MKT DATA'!K831</f>
        <v>83606</v>
      </c>
      <c r="H123" s="8">
        <f>'MKT DATA'!L831</f>
        <v>84949</v>
      </c>
      <c r="I123" s="13">
        <f>'MKT DATA'!M831</f>
        <v>1</v>
      </c>
      <c r="J123" s="43" t="str">
        <f t="shared" si="4"/>
        <v>syn BTCV6/BTCH7/BTCG7/BTCF7/BTCZ6</v>
      </c>
      <c r="K123" s="8">
        <f>'MKT DATA'!O831</f>
        <v>0</v>
      </c>
      <c r="L123" s="8">
        <f>'MKT DATA'!P831</f>
        <v>83606</v>
      </c>
      <c r="M123" s="8">
        <f>'MKT DATA'!Q831</f>
        <v>0</v>
      </c>
      <c r="N123" s="8">
        <f>'MKT DATA'!R831</f>
        <v>0</v>
      </c>
      <c r="O123" s="8">
        <f>'MKT DATA'!S831</f>
        <v>-84949</v>
      </c>
      <c r="P123" s="8">
        <f>'MKT DATA'!T831</f>
        <v>0</v>
      </c>
      <c r="Q123" s="43" t="str">
        <f t="shared" si="5"/>
        <v>syn BTCV6/BTCH7/BTCG7/BTCF7/BTCZ6</v>
      </c>
      <c r="R123" s="13">
        <f>'MKT DATA'!AB831</f>
        <v>0</v>
      </c>
    </row>
    <row r="124" spans="5:18" x14ac:dyDescent="0.25">
      <c r="E124" s="43" t="str">
        <f>'MKT DATA'!B832</f>
        <v>syn BTCX6/BTCV6/BTCF7/BTCG7/BTCZ6</v>
      </c>
      <c r="F124" s="13">
        <f>'MKT DATA'!J832</f>
        <v>1</v>
      </c>
      <c r="G124" s="8">
        <f>'MKT DATA'!K832</f>
        <v>83874</v>
      </c>
      <c r="H124" s="8">
        <f>'MKT DATA'!L832</f>
        <v>84677</v>
      </c>
      <c r="I124" s="13">
        <f>'MKT DATA'!M832</f>
        <v>1</v>
      </c>
      <c r="J124" s="43" t="str">
        <f t="shared" si="4"/>
        <v>syn BTCX6/BTCV6/BTCF7/BTCG7/BTCZ6</v>
      </c>
      <c r="K124" s="8">
        <f>'MKT DATA'!O832</f>
        <v>0</v>
      </c>
      <c r="L124" s="8">
        <f>'MKT DATA'!P832</f>
        <v>83874</v>
      </c>
      <c r="M124" s="8">
        <f>'MKT DATA'!Q832</f>
        <v>0</v>
      </c>
      <c r="N124" s="8">
        <f>'MKT DATA'!R832</f>
        <v>0</v>
      </c>
      <c r="O124" s="8">
        <f>'MKT DATA'!S832</f>
        <v>-84677</v>
      </c>
      <c r="P124" s="8">
        <f>'MKT DATA'!T832</f>
        <v>0</v>
      </c>
      <c r="Q124" s="43" t="str">
        <f t="shared" si="5"/>
        <v>syn BTCX6/BTCV6/BTCF7/BTCG7/BTCZ6</v>
      </c>
      <c r="R124" s="13">
        <f>'MKT DATA'!AB832</f>
        <v>0</v>
      </c>
    </row>
    <row r="125" spans="5:18" x14ac:dyDescent="0.25">
      <c r="E125" s="43" t="str">
        <f>'MKT DATA'!B833</f>
        <v>syn BTCX6/BTCV6/BTCF7/BTCH7/BTCZ6</v>
      </c>
      <c r="F125" s="13">
        <f>'MKT DATA'!J833</f>
        <v>1</v>
      </c>
      <c r="G125" s="8">
        <f>'MKT DATA'!K833</f>
        <v>83325</v>
      </c>
      <c r="H125" s="8">
        <f>'MKT DATA'!L833</f>
        <v>85062</v>
      </c>
      <c r="I125" s="13">
        <f>'MKT DATA'!M833</f>
        <v>1</v>
      </c>
      <c r="J125" s="43" t="str">
        <f t="shared" si="4"/>
        <v>syn BTCX6/BTCV6/BTCF7/BTCH7/BTCZ6</v>
      </c>
      <c r="K125" s="8">
        <f>'MKT DATA'!O833</f>
        <v>0</v>
      </c>
      <c r="L125" s="8">
        <f>'MKT DATA'!P833</f>
        <v>83325</v>
      </c>
      <c r="M125" s="8">
        <f>'MKT DATA'!Q833</f>
        <v>0</v>
      </c>
      <c r="N125" s="8">
        <f>'MKT DATA'!R833</f>
        <v>0</v>
      </c>
      <c r="O125" s="8">
        <f>'MKT DATA'!S833</f>
        <v>-85062</v>
      </c>
      <c r="P125" s="8">
        <f>'MKT DATA'!T833</f>
        <v>0</v>
      </c>
      <c r="Q125" s="43" t="str">
        <f t="shared" si="5"/>
        <v>syn BTCX6/BTCV6/BTCF7/BTCH7/BTCZ6</v>
      </c>
      <c r="R125" s="13">
        <f>'MKT DATA'!AB833</f>
        <v>0</v>
      </c>
    </row>
    <row r="126" spans="5:18" x14ac:dyDescent="0.25">
      <c r="E126" s="43" t="str">
        <f>'MKT DATA'!B834</f>
        <v>syn BTCX6/BTCV6/BTCG7/BTCF7/BTCZ6</v>
      </c>
      <c r="F126" s="13">
        <f>'MKT DATA'!J834</f>
        <v>1</v>
      </c>
      <c r="G126" s="8">
        <f>'MKT DATA'!K834</f>
        <v>84000</v>
      </c>
      <c r="H126" s="8">
        <f>'MKT DATA'!L834</f>
        <v>84617</v>
      </c>
      <c r="I126" s="13">
        <f>'MKT DATA'!M834</f>
        <v>1</v>
      </c>
      <c r="J126" s="43" t="str">
        <f t="shared" si="4"/>
        <v>syn BTCX6/BTCV6/BTCG7/BTCF7/BTCZ6</v>
      </c>
      <c r="K126" s="8">
        <f>'MKT DATA'!O834</f>
        <v>0</v>
      </c>
      <c r="L126" s="8">
        <f>'MKT DATA'!P834</f>
        <v>84000</v>
      </c>
      <c r="M126" s="8">
        <f>'MKT DATA'!Q834</f>
        <v>0</v>
      </c>
      <c r="N126" s="8">
        <f>'MKT DATA'!R834</f>
        <v>0</v>
      </c>
      <c r="O126" s="8">
        <f>'MKT DATA'!S834</f>
        <v>-84617</v>
      </c>
      <c r="P126" s="8">
        <f>'MKT DATA'!T834</f>
        <v>0</v>
      </c>
      <c r="Q126" s="43" t="str">
        <f t="shared" si="5"/>
        <v>syn BTCX6/BTCV6/BTCG7/BTCF7/BTCZ6</v>
      </c>
      <c r="R126" s="13">
        <f>'MKT DATA'!AB834</f>
        <v>0</v>
      </c>
    </row>
    <row r="127" spans="5:18" x14ac:dyDescent="0.25">
      <c r="E127" s="43" t="str">
        <f>'MKT DATA'!B835</f>
        <v>syn BTCX6/BTCV6/BTCG7/BTCH7/BTCZ6</v>
      </c>
      <c r="F127" s="13">
        <f>'MKT DATA'!J835</f>
        <v>1</v>
      </c>
      <c r="G127" s="8">
        <f>'MKT DATA'!K835</f>
        <v>83554</v>
      </c>
      <c r="H127" s="8">
        <f>'MKT DATA'!L835</f>
        <v>84918</v>
      </c>
      <c r="I127" s="13">
        <f>'MKT DATA'!M835</f>
        <v>1</v>
      </c>
      <c r="J127" s="43" t="str">
        <f t="shared" si="4"/>
        <v>syn BTCX6/BTCV6/BTCG7/BTCH7/BTCZ6</v>
      </c>
      <c r="K127" s="8">
        <f>'MKT DATA'!O835</f>
        <v>0</v>
      </c>
      <c r="L127" s="8">
        <f>'MKT DATA'!P835</f>
        <v>83554</v>
      </c>
      <c r="M127" s="8">
        <f>'MKT DATA'!Q835</f>
        <v>0</v>
      </c>
      <c r="N127" s="8">
        <f>'MKT DATA'!R835</f>
        <v>0</v>
      </c>
      <c r="O127" s="8">
        <f>'MKT DATA'!S835</f>
        <v>-84918</v>
      </c>
      <c r="P127" s="8">
        <f>'MKT DATA'!T835</f>
        <v>0</v>
      </c>
      <c r="Q127" s="43" t="str">
        <f t="shared" si="5"/>
        <v>syn BTCX6/BTCV6/BTCG7/BTCH7/BTCZ6</v>
      </c>
      <c r="R127" s="13">
        <f>'MKT DATA'!AB835</f>
        <v>0</v>
      </c>
    </row>
    <row r="128" spans="5:18" x14ac:dyDescent="0.25">
      <c r="E128" s="43" t="str">
        <f>'MKT DATA'!B836</f>
        <v>syn BTCX6/BTCV6/BTCH7/BTCF7/BTCZ6</v>
      </c>
      <c r="F128" s="13">
        <f>'MKT DATA'!J836</f>
        <v>1</v>
      </c>
      <c r="G128" s="8">
        <f>'MKT DATA'!K836</f>
        <v>83405</v>
      </c>
      <c r="H128" s="8">
        <f>'MKT DATA'!L836</f>
        <v>85196</v>
      </c>
      <c r="I128" s="13">
        <f>'MKT DATA'!M836</f>
        <v>1</v>
      </c>
      <c r="J128" s="43" t="str">
        <f t="shared" si="4"/>
        <v>syn BTCX6/BTCV6/BTCH7/BTCF7/BTCZ6</v>
      </c>
      <c r="K128" s="8">
        <f>'MKT DATA'!O836</f>
        <v>0</v>
      </c>
      <c r="L128" s="8">
        <f>'MKT DATA'!P836</f>
        <v>83405</v>
      </c>
      <c r="M128" s="8">
        <f>'MKT DATA'!Q836</f>
        <v>0</v>
      </c>
      <c r="N128" s="8">
        <f>'MKT DATA'!R836</f>
        <v>0</v>
      </c>
      <c r="O128" s="8">
        <f>'MKT DATA'!S836</f>
        <v>-85196</v>
      </c>
      <c r="P128" s="8">
        <f>'MKT DATA'!T836</f>
        <v>0</v>
      </c>
      <c r="Q128" s="43" t="str">
        <f t="shared" si="5"/>
        <v>syn BTCX6/BTCV6/BTCH7/BTCF7/BTCZ6</v>
      </c>
      <c r="R128" s="13">
        <f>'MKT DATA'!AB836</f>
        <v>0</v>
      </c>
    </row>
    <row r="129" spans="5:18" x14ac:dyDescent="0.25">
      <c r="E129" s="43" t="str">
        <f>'MKT DATA'!B837</f>
        <v>syn BTCX6/BTCV6/BTCH7/BTCG7/BTCZ6</v>
      </c>
      <c r="F129" s="13">
        <f>'MKT DATA'!J837</f>
        <v>1</v>
      </c>
      <c r="G129" s="8">
        <f>'MKT DATA'!K837</f>
        <v>83469</v>
      </c>
      <c r="H129" s="8">
        <f>'MKT DATA'!L837</f>
        <v>85073</v>
      </c>
      <c r="I129" s="13">
        <f>'MKT DATA'!M837</f>
        <v>1</v>
      </c>
      <c r="J129" s="43" t="str">
        <f t="shared" si="4"/>
        <v>syn BTCX6/BTCV6/BTCH7/BTCG7/BTCZ6</v>
      </c>
      <c r="K129" s="8">
        <f>'MKT DATA'!O837</f>
        <v>0</v>
      </c>
      <c r="L129" s="8">
        <f>'MKT DATA'!P837</f>
        <v>83469</v>
      </c>
      <c r="M129" s="8">
        <f>'MKT DATA'!Q837</f>
        <v>0</v>
      </c>
      <c r="N129" s="8">
        <f>'MKT DATA'!R837</f>
        <v>0</v>
      </c>
      <c r="O129" s="8">
        <f>'MKT DATA'!S837</f>
        <v>-85073</v>
      </c>
      <c r="P129" s="8">
        <f>'MKT DATA'!T837</f>
        <v>0</v>
      </c>
      <c r="Q129" s="43" t="str">
        <f t="shared" si="5"/>
        <v>syn BTCX6/BTCV6/BTCH7/BTCG7/BTCZ6</v>
      </c>
      <c r="R129" s="13">
        <f>'MKT DATA'!AB837</f>
        <v>0</v>
      </c>
    </row>
    <row r="130" spans="5:18" x14ac:dyDescent="0.25">
      <c r="E130" s="43" t="str">
        <f>'MKT DATA'!B838</f>
        <v>syn BTCX6/BTCF7/BTCV6/BTCG7/BTCZ6</v>
      </c>
      <c r="F130" s="13">
        <f>'MKT DATA'!J838</f>
        <v>1</v>
      </c>
      <c r="G130" s="8">
        <f>'MKT DATA'!K838</f>
        <v>83747</v>
      </c>
      <c r="H130" s="8">
        <f>'MKT DATA'!L838</f>
        <v>84853</v>
      </c>
      <c r="I130" s="13">
        <f>'MKT DATA'!M838</f>
        <v>1</v>
      </c>
      <c r="J130" s="43" t="str">
        <f t="shared" si="4"/>
        <v>syn BTCX6/BTCF7/BTCV6/BTCG7/BTCZ6</v>
      </c>
      <c r="K130" s="8">
        <f>'MKT DATA'!O838</f>
        <v>0</v>
      </c>
      <c r="L130" s="8">
        <f>'MKT DATA'!P838</f>
        <v>83747</v>
      </c>
      <c r="M130" s="8">
        <f>'MKT DATA'!Q838</f>
        <v>0</v>
      </c>
      <c r="N130" s="8">
        <f>'MKT DATA'!R838</f>
        <v>0</v>
      </c>
      <c r="O130" s="8">
        <f>'MKT DATA'!S838</f>
        <v>-84853</v>
      </c>
      <c r="P130" s="8">
        <f>'MKT DATA'!T838</f>
        <v>0</v>
      </c>
      <c r="Q130" s="43" t="str">
        <f t="shared" si="5"/>
        <v>syn BTCX6/BTCF7/BTCV6/BTCG7/BTCZ6</v>
      </c>
      <c r="R130" s="13">
        <f>'MKT DATA'!AB838</f>
        <v>0</v>
      </c>
    </row>
    <row r="131" spans="5:18" x14ac:dyDescent="0.25">
      <c r="E131" s="43" t="str">
        <f>'MKT DATA'!B839</f>
        <v>syn BTCX6/BTCF7/BTCV6/BTCH7/BTCZ6</v>
      </c>
      <c r="F131" s="13">
        <f>'MKT DATA'!J839</f>
        <v>1</v>
      </c>
      <c r="G131" s="8">
        <f>'MKT DATA'!K839</f>
        <v>83367</v>
      </c>
      <c r="H131" s="8">
        <f>'MKT DATA'!L839</f>
        <v>85053</v>
      </c>
      <c r="I131" s="13">
        <f>'MKT DATA'!M839</f>
        <v>1</v>
      </c>
      <c r="J131" s="43" t="str">
        <f t="shared" si="4"/>
        <v>syn BTCX6/BTCF7/BTCV6/BTCH7/BTCZ6</v>
      </c>
      <c r="K131" s="8">
        <f>'MKT DATA'!O839</f>
        <v>0</v>
      </c>
      <c r="L131" s="8">
        <f>'MKT DATA'!P839</f>
        <v>83367</v>
      </c>
      <c r="M131" s="8">
        <f>'MKT DATA'!Q839</f>
        <v>0</v>
      </c>
      <c r="N131" s="8">
        <f>'MKT DATA'!R839</f>
        <v>0</v>
      </c>
      <c r="O131" s="8">
        <f>'MKT DATA'!S839</f>
        <v>-85053</v>
      </c>
      <c r="P131" s="8">
        <f>'MKT DATA'!T839</f>
        <v>0</v>
      </c>
      <c r="Q131" s="43" t="str">
        <f t="shared" si="5"/>
        <v>syn BTCX6/BTCF7/BTCV6/BTCH7/BTCZ6</v>
      </c>
      <c r="R131" s="13">
        <f>'MKT DATA'!AB839</f>
        <v>0</v>
      </c>
    </row>
    <row r="132" spans="5:18" x14ac:dyDescent="0.25">
      <c r="E132" s="43" t="str">
        <f>'MKT DATA'!B840</f>
        <v>syn BTCX6/BTCF7/BTCG7/BTCV6/BTCZ6</v>
      </c>
      <c r="F132" s="13">
        <f>'MKT DATA'!J840</f>
        <v>1</v>
      </c>
      <c r="G132" s="8">
        <f>'MKT DATA'!K840</f>
        <v>83921</v>
      </c>
      <c r="H132" s="8">
        <f>'MKT DATA'!L840</f>
        <v>84641</v>
      </c>
      <c r="I132" s="13">
        <f>'MKT DATA'!M840</f>
        <v>1</v>
      </c>
      <c r="J132" s="43" t="str">
        <f t="shared" si="4"/>
        <v>syn BTCX6/BTCF7/BTCG7/BTCV6/BTCZ6</v>
      </c>
      <c r="K132" s="8">
        <f>'MKT DATA'!O840</f>
        <v>0</v>
      </c>
      <c r="L132" s="8">
        <f>'MKT DATA'!P840</f>
        <v>83921</v>
      </c>
      <c r="M132" s="8">
        <f>'MKT DATA'!Q840</f>
        <v>0</v>
      </c>
      <c r="N132" s="8">
        <f>'MKT DATA'!R840</f>
        <v>0</v>
      </c>
      <c r="O132" s="8">
        <f>'MKT DATA'!S840</f>
        <v>-84641</v>
      </c>
      <c r="P132" s="8">
        <f>'MKT DATA'!T840</f>
        <v>0</v>
      </c>
      <c r="Q132" s="43" t="str">
        <f t="shared" si="5"/>
        <v>syn BTCX6/BTCF7/BTCG7/BTCV6/BTCZ6</v>
      </c>
      <c r="R132" s="13">
        <f>'MKT DATA'!AB840</f>
        <v>0</v>
      </c>
    </row>
    <row r="133" spans="5:18" x14ac:dyDescent="0.25">
      <c r="E133" s="43" t="str">
        <f>'MKT DATA'!B841</f>
        <v>syn BTCX6/BTCF7/BTCG7/BTCH7/BTCZ6</v>
      </c>
      <c r="F133" s="13">
        <f>'MKT DATA'!J841</f>
        <v>1</v>
      </c>
      <c r="G133" s="8">
        <f>'MKT DATA'!K841</f>
        <v>83580</v>
      </c>
      <c r="H133" s="8">
        <f>'MKT DATA'!L841</f>
        <v>84849</v>
      </c>
      <c r="I133" s="13">
        <f>'MKT DATA'!M841</f>
        <v>1</v>
      </c>
      <c r="J133" s="43" t="str">
        <f t="shared" si="4"/>
        <v>syn BTCX6/BTCF7/BTCG7/BTCH7/BTCZ6</v>
      </c>
      <c r="K133" s="8">
        <f>'MKT DATA'!O841</f>
        <v>0</v>
      </c>
      <c r="L133" s="8">
        <f>'MKT DATA'!P841</f>
        <v>83580</v>
      </c>
      <c r="M133" s="8">
        <f>'MKT DATA'!Q841</f>
        <v>0</v>
      </c>
      <c r="N133" s="8">
        <f>'MKT DATA'!R841</f>
        <v>0</v>
      </c>
      <c r="O133" s="8">
        <f>'MKT DATA'!S841</f>
        <v>-84849</v>
      </c>
      <c r="P133" s="8">
        <f>'MKT DATA'!T841</f>
        <v>0</v>
      </c>
      <c r="Q133" s="43" t="str">
        <f t="shared" si="5"/>
        <v>syn BTCX6/BTCF7/BTCG7/BTCH7/BTCZ6</v>
      </c>
      <c r="R133" s="13">
        <f>'MKT DATA'!AB841</f>
        <v>0</v>
      </c>
    </row>
    <row r="134" spans="5:18" x14ac:dyDescent="0.25">
      <c r="E134" s="43" t="str">
        <f>'MKT DATA'!B842</f>
        <v>syn BTCX6/BTCF7/BTCH7/BTCV6/BTCZ6</v>
      </c>
      <c r="F134" s="13">
        <f>'MKT DATA'!J842</f>
        <v>1</v>
      </c>
      <c r="G134" s="8">
        <f>'MKT DATA'!K842</f>
        <v>83342</v>
      </c>
      <c r="H134" s="8">
        <f>'MKT DATA'!L842</f>
        <v>85236</v>
      </c>
      <c r="I134" s="13">
        <f>'MKT DATA'!M842</f>
        <v>1</v>
      </c>
      <c r="J134" s="43" t="str">
        <f t="shared" si="4"/>
        <v>syn BTCX6/BTCF7/BTCH7/BTCV6/BTCZ6</v>
      </c>
      <c r="K134" s="8">
        <f>'MKT DATA'!O842</f>
        <v>0</v>
      </c>
      <c r="L134" s="8">
        <f>'MKT DATA'!P842</f>
        <v>83342</v>
      </c>
      <c r="M134" s="8">
        <f>'MKT DATA'!Q842</f>
        <v>0</v>
      </c>
      <c r="N134" s="8">
        <f>'MKT DATA'!R842</f>
        <v>0</v>
      </c>
      <c r="O134" s="8">
        <f>'MKT DATA'!S842</f>
        <v>-85236</v>
      </c>
      <c r="P134" s="8">
        <f>'MKT DATA'!T842</f>
        <v>0</v>
      </c>
      <c r="Q134" s="43" t="str">
        <f t="shared" si="5"/>
        <v>syn BTCX6/BTCF7/BTCH7/BTCV6/BTCZ6</v>
      </c>
      <c r="R134" s="13">
        <f>'MKT DATA'!AB842</f>
        <v>0</v>
      </c>
    </row>
    <row r="135" spans="5:18" x14ac:dyDescent="0.25">
      <c r="E135" s="43" t="str">
        <f>'MKT DATA'!B843</f>
        <v>syn BTCX6/BTCF7/BTCH7/BTCG7/BTCZ6</v>
      </c>
      <c r="F135" s="13">
        <f>'MKT DATA'!J843</f>
        <v>1</v>
      </c>
      <c r="G135" s="8">
        <f>'MKT DATA'!K843</f>
        <v>83326</v>
      </c>
      <c r="H135" s="8">
        <f>'MKT DATA'!L843</f>
        <v>85189</v>
      </c>
      <c r="I135" s="13">
        <f>'MKT DATA'!M843</f>
        <v>1</v>
      </c>
      <c r="J135" s="43" t="str">
        <f t="shared" si="4"/>
        <v>syn BTCX6/BTCF7/BTCH7/BTCG7/BTCZ6</v>
      </c>
      <c r="K135" s="8">
        <f>'MKT DATA'!O843</f>
        <v>0</v>
      </c>
      <c r="L135" s="8">
        <f>'MKT DATA'!P843</f>
        <v>83326</v>
      </c>
      <c r="M135" s="8">
        <f>'MKT DATA'!Q843</f>
        <v>0</v>
      </c>
      <c r="N135" s="8">
        <f>'MKT DATA'!R843</f>
        <v>0</v>
      </c>
      <c r="O135" s="8">
        <f>'MKT DATA'!S843</f>
        <v>-85189</v>
      </c>
      <c r="P135" s="8">
        <f>'MKT DATA'!T843</f>
        <v>0</v>
      </c>
      <c r="Q135" s="43" t="str">
        <f t="shared" si="5"/>
        <v>syn BTCX6/BTCF7/BTCH7/BTCG7/BTCZ6</v>
      </c>
      <c r="R135" s="13">
        <f>'MKT DATA'!AB843</f>
        <v>0</v>
      </c>
    </row>
    <row r="136" spans="5:18" x14ac:dyDescent="0.25">
      <c r="E136" s="43" t="str">
        <f>'MKT DATA'!B844</f>
        <v>syn BTCX6/BTCG7/BTCV6/BTCF7/BTCZ6</v>
      </c>
      <c r="F136" s="13">
        <f>'MKT DATA'!J844</f>
        <v>1</v>
      </c>
      <c r="G136" s="8">
        <f>'MKT DATA'!K844</f>
        <v>83787</v>
      </c>
      <c r="H136" s="8">
        <f>'MKT DATA'!L844</f>
        <v>84777</v>
      </c>
      <c r="I136" s="13">
        <f>'MKT DATA'!M844</f>
        <v>1</v>
      </c>
      <c r="J136" s="43" t="str">
        <f t="shared" si="4"/>
        <v>syn BTCX6/BTCG7/BTCV6/BTCF7/BTCZ6</v>
      </c>
      <c r="K136" s="8">
        <f>'MKT DATA'!O844</f>
        <v>0</v>
      </c>
      <c r="L136" s="8">
        <f>'MKT DATA'!P844</f>
        <v>83787</v>
      </c>
      <c r="M136" s="8">
        <f>'MKT DATA'!Q844</f>
        <v>0</v>
      </c>
      <c r="N136" s="8">
        <f>'MKT DATA'!R844</f>
        <v>0</v>
      </c>
      <c r="O136" s="8">
        <f>'MKT DATA'!S844</f>
        <v>-84777</v>
      </c>
      <c r="P136" s="8">
        <f>'MKT DATA'!T844</f>
        <v>0</v>
      </c>
      <c r="Q136" s="43" t="str">
        <f t="shared" si="5"/>
        <v>syn BTCX6/BTCG7/BTCV6/BTCF7/BTCZ6</v>
      </c>
      <c r="R136" s="13">
        <f>'MKT DATA'!AB844</f>
        <v>0</v>
      </c>
    </row>
    <row r="137" spans="5:18" x14ac:dyDescent="0.25">
      <c r="E137" s="43" t="str">
        <f>'MKT DATA'!B845</f>
        <v>syn BTCX6/BTCG7/BTCV6/BTCH7/BTCZ6</v>
      </c>
      <c r="F137" s="13">
        <f>'MKT DATA'!J845</f>
        <v>1</v>
      </c>
      <c r="G137" s="8">
        <f>'MKT DATA'!K845</f>
        <v>83120</v>
      </c>
      <c r="H137" s="8">
        <f>'MKT DATA'!L845</f>
        <v>85290</v>
      </c>
      <c r="I137" s="13">
        <f>'MKT DATA'!M845</f>
        <v>1</v>
      </c>
      <c r="J137" s="43" t="str">
        <f t="shared" si="4"/>
        <v>syn BTCX6/BTCG7/BTCV6/BTCH7/BTCZ6</v>
      </c>
      <c r="K137" s="8">
        <f>'MKT DATA'!O845</f>
        <v>0</v>
      </c>
      <c r="L137" s="8">
        <f>'MKT DATA'!P845</f>
        <v>83120</v>
      </c>
      <c r="M137" s="8">
        <f>'MKT DATA'!Q845</f>
        <v>0</v>
      </c>
      <c r="N137" s="8">
        <f>'MKT DATA'!R845</f>
        <v>0</v>
      </c>
      <c r="O137" s="8">
        <f>'MKT DATA'!S845</f>
        <v>-85290</v>
      </c>
      <c r="P137" s="8">
        <f>'MKT DATA'!T845</f>
        <v>0</v>
      </c>
      <c r="Q137" s="43" t="str">
        <f t="shared" si="5"/>
        <v>syn BTCX6/BTCG7/BTCV6/BTCH7/BTCZ6</v>
      </c>
      <c r="R137" s="13">
        <f>'MKT DATA'!AB845</f>
        <v>0</v>
      </c>
    </row>
    <row r="138" spans="5:18" x14ac:dyDescent="0.25">
      <c r="E138" s="43" t="str">
        <f>'MKT DATA'!B846</f>
        <v>syn BTCX6/BTCG7/BTCF7/BTCV6/BTCZ6</v>
      </c>
      <c r="F138" s="13">
        <f>'MKT DATA'!J846</f>
        <v>1</v>
      </c>
      <c r="G138" s="8">
        <f>'MKT DATA'!K846</f>
        <v>83927</v>
      </c>
      <c r="H138" s="8">
        <f>'MKT DATA'!L846</f>
        <v>84717</v>
      </c>
      <c r="I138" s="13">
        <f>'MKT DATA'!M846</f>
        <v>1</v>
      </c>
      <c r="J138" s="43" t="str">
        <f t="shared" ref="J138:J201" si="6">E138</f>
        <v>syn BTCX6/BTCG7/BTCF7/BTCV6/BTCZ6</v>
      </c>
      <c r="K138" s="8">
        <f>'MKT DATA'!O846</f>
        <v>0</v>
      </c>
      <c r="L138" s="8">
        <f>'MKT DATA'!P846</f>
        <v>83927</v>
      </c>
      <c r="M138" s="8">
        <f>'MKT DATA'!Q846</f>
        <v>0</v>
      </c>
      <c r="N138" s="8">
        <f>'MKT DATA'!R846</f>
        <v>0</v>
      </c>
      <c r="O138" s="8">
        <f>'MKT DATA'!S846</f>
        <v>-84717</v>
      </c>
      <c r="P138" s="8">
        <f>'MKT DATA'!T846</f>
        <v>0</v>
      </c>
      <c r="Q138" s="43" t="str">
        <f t="shared" ref="Q138:Q201" si="7">J138</f>
        <v>syn BTCX6/BTCG7/BTCF7/BTCV6/BTCZ6</v>
      </c>
      <c r="R138" s="13">
        <f>'MKT DATA'!AB846</f>
        <v>0</v>
      </c>
    </row>
    <row r="139" spans="5:18" x14ac:dyDescent="0.25">
      <c r="E139" s="43" t="str">
        <f>'MKT DATA'!B847</f>
        <v>syn BTCX6/BTCG7/BTCF7/BTCH7/BTCZ6</v>
      </c>
      <c r="F139" s="13">
        <f>'MKT DATA'!J847</f>
        <v>1</v>
      </c>
      <c r="G139" s="8">
        <f>'MKT DATA'!K847</f>
        <v>83150</v>
      </c>
      <c r="H139" s="8">
        <f>'MKT DATA'!L847</f>
        <v>85276</v>
      </c>
      <c r="I139" s="13">
        <f>'MKT DATA'!M847</f>
        <v>1</v>
      </c>
      <c r="J139" s="43" t="str">
        <f t="shared" si="6"/>
        <v>syn BTCX6/BTCG7/BTCF7/BTCH7/BTCZ6</v>
      </c>
      <c r="K139" s="8">
        <f>'MKT DATA'!O847</f>
        <v>0</v>
      </c>
      <c r="L139" s="8">
        <f>'MKT DATA'!P847</f>
        <v>83150</v>
      </c>
      <c r="M139" s="8">
        <f>'MKT DATA'!Q847</f>
        <v>0</v>
      </c>
      <c r="N139" s="8">
        <f>'MKT DATA'!R847</f>
        <v>0</v>
      </c>
      <c r="O139" s="8">
        <f>'MKT DATA'!S847</f>
        <v>-85276</v>
      </c>
      <c r="P139" s="8">
        <f>'MKT DATA'!T847</f>
        <v>0</v>
      </c>
      <c r="Q139" s="43" t="str">
        <f t="shared" si="7"/>
        <v>syn BTCX6/BTCG7/BTCF7/BTCH7/BTCZ6</v>
      </c>
      <c r="R139" s="13">
        <f>'MKT DATA'!AB847</f>
        <v>0</v>
      </c>
    </row>
    <row r="140" spans="5:18" x14ac:dyDescent="0.25">
      <c r="E140" s="43" t="str">
        <f>'MKT DATA'!B848</f>
        <v>syn BTCX6/BTCG7/BTCH7/BTCV6/BTCZ6</v>
      </c>
      <c r="F140" s="13">
        <f>'MKT DATA'!J848</f>
        <v>1</v>
      </c>
      <c r="G140" s="8">
        <f>'MKT DATA'!K848</f>
        <v>83531</v>
      </c>
      <c r="H140" s="8">
        <f>'MKT DATA'!L848</f>
        <v>85122</v>
      </c>
      <c r="I140" s="13">
        <f>'MKT DATA'!M848</f>
        <v>1</v>
      </c>
      <c r="J140" s="43" t="str">
        <f t="shared" si="6"/>
        <v>syn BTCX6/BTCG7/BTCH7/BTCV6/BTCZ6</v>
      </c>
      <c r="K140" s="8">
        <f>'MKT DATA'!O848</f>
        <v>0</v>
      </c>
      <c r="L140" s="8">
        <f>'MKT DATA'!P848</f>
        <v>83531</v>
      </c>
      <c r="M140" s="8">
        <f>'MKT DATA'!Q848</f>
        <v>0</v>
      </c>
      <c r="N140" s="8">
        <f>'MKT DATA'!R848</f>
        <v>0</v>
      </c>
      <c r="O140" s="8">
        <f>'MKT DATA'!S848</f>
        <v>-85122</v>
      </c>
      <c r="P140" s="8">
        <f>'MKT DATA'!T848</f>
        <v>0</v>
      </c>
      <c r="Q140" s="43" t="str">
        <f t="shared" si="7"/>
        <v>syn BTCX6/BTCG7/BTCH7/BTCV6/BTCZ6</v>
      </c>
      <c r="R140" s="13">
        <f>'MKT DATA'!AB848</f>
        <v>0</v>
      </c>
    </row>
    <row r="141" spans="5:18" x14ac:dyDescent="0.25">
      <c r="E141" s="43" t="str">
        <f>'MKT DATA'!B849</f>
        <v>syn BTCX6/BTCG7/BTCH7/BTCF7/BTCZ6</v>
      </c>
      <c r="F141" s="13">
        <f>'MKT DATA'!J849</f>
        <v>1</v>
      </c>
      <c r="G141" s="8">
        <f>'MKT DATA'!K849</f>
        <v>83451</v>
      </c>
      <c r="H141" s="8">
        <f>'MKT DATA'!L849</f>
        <v>85198</v>
      </c>
      <c r="I141" s="13">
        <f>'MKT DATA'!M849</f>
        <v>1</v>
      </c>
      <c r="J141" s="43" t="str">
        <f t="shared" si="6"/>
        <v>syn BTCX6/BTCG7/BTCH7/BTCF7/BTCZ6</v>
      </c>
      <c r="K141" s="8">
        <f>'MKT DATA'!O849</f>
        <v>0</v>
      </c>
      <c r="L141" s="8">
        <f>'MKT DATA'!P849</f>
        <v>83451</v>
      </c>
      <c r="M141" s="8">
        <f>'MKT DATA'!Q849</f>
        <v>0</v>
      </c>
      <c r="N141" s="8">
        <f>'MKT DATA'!R849</f>
        <v>0</v>
      </c>
      <c r="O141" s="8">
        <f>'MKT DATA'!S849</f>
        <v>-85198</v>
      </c>
      <c r="P141" s="8">
        <f>'MKT DATA'!T849</f>
        <v>0</v>
      </c>
      <c r="Q141" s="43" t="str">
        <f t="shared" si="7"/>
        <v>syn BTCX6/BTCG7/BTCH7/BTCF7/BTCZ6</v>
      </c>
      <c r="R141" s="13">
        <f>'MKT DATA'!AB849</f>
        <v>0</v>
      </c>
    </row>
    <row r="142" spans="5:18" x14ac:dyDescent="0.25">
      <c r="E142" s="43" t="str">
        <f>'MKT DATA'!B850</f>
        <v>syn BTCX6/BTCH7/BTCV6/BTCF7/BTCZ6</v>
      </c>
      <c r="F142" s="13">
        <f>'MKT DATA'!J850</f>
        <v>1</v>
      </c>
      <c r="G142" s="8">
        <f>'MKT DATA'!K850</f>
        <v>83377</v>
      </c>
      <c r="H142" s="8">
        <f>'MKT DATA'!L850</f>
        <v>85187</v>
      </c>
      <c r="I142" s="13">
        <f>'MKT DATA'!M850</f>
        <v>1</v>
      </c>
      <c r="J142" s="43" t="str">
        <f t="shared" si="6"/>
        <v>syn BTCX6/BTCH7/BTCV6/BTCF7/BTCZ6</v>
      </c>
      <c r="K142" s="8">
        <f>'MKT DATA'!O850</f>
        <v>0</v>
      </c>
      <c r="L142" s="8">
        <f>'MKT DATA'!P850</f>
        <v>83377</v>
      </c>
      <c r="M142" s="8">
        <f>'MKT DATA'!Q850</f>
        <v>0</v>
      </c>
      <c r="N142" s="8">
        <f>'MKT DATA'!R850</f>
        <v>0</v>
      </c>
      <c r="O142" s="8">
        <f>'MKT DATA'!S850</f>
        <v>-85187</v>
      </c>
      <c r="P142" s="8">
        <f>'MKT DATA'!T850</f>
        <v>0</v>
      </c>
      <c r="Q142" s="43" t="str">
        <f t="shared" si="7"/>
        <v>syn BTCX6/BTCH7/BTCV6/BTCF7/BTCZ6</v>
      </c>
      <c r="R142" s="13">
        <f>'MKT DATA'!AB850</f>
        <v>0</v>
      </c>
    </row>
    <row r="143" spans="5:18" x14ac:dyDescent="0.25">
      <c r="E143" s="43" t="str">
        <f>'MKT DATA'!B851</f>
        <v>syn BTCX6/BTCH7/BTCV6/BTCG7/BTCZ6</v>
      </c>
      <c r="F143" s="13">
        <f>'MKT DATA'!J851</f>
        <v>1</v>
      </c>
      <c r="G143" s="8">
        <f>'MKT DATA'!K851</f>
        <v>83090</v>
      </c>
      <c r="H143" s="8">
        <f>'MKT DATA'!L851</f>
        <v>85500</v>
      </c>
      <c r="I143" s="13">
        <f>'MKT DATA'!M851</f>
        <v>1</v>
      </c>
      <c r="J143" s="43" t="str">
        <f t="shared" si="6"/>
        <v>syn BTCX6/BTCH7/BTCV6/BTCG7/BTCZ6</v>
      </c>
      <c r="K143" s="8">
        <f>'MKT DATA'!O851</f>
        <v>0</v>
      </c>
      <c r="L143" s="8">
        <f>'MKT DATA'!P851</f>
        <v>83090</v>
      </c>
      <c r="M143" s="8">
        <f>'MKT DATA'!Q851</f>
        <v>0</v>
      </c>
      <c r="N143" s="8">
        <f>'MKT DATA'!R851</f>
        <v>0</v>
      </c>
      <c r="O143" s="8">
        <f>'MKT DATA'!S851</f>
        <v>-85500</v>
      </c>
      <c r="P143" s="8">
        <f>'MKT DATA'!T851</f>
        <v>0</v>
      </c>
      <c r="Q143" s="43" t="str">
        <f t="shared" si="7"/>
        <v>syn BTCX6/BTCH7/BTCV6/BTCG7/BTCZ6</v>
      </c>
      <c r="R143" s="13">
        <f>'MKT DATA'!AB851</f>
        <v>0</v>
      </c>
    </row>
    <row r="144" spans="5:18" x14ac:dyDescent="0.25">
      <c r="E144" s="43" t="str">
        <f>'MKT DATA'!B852</f>
        <v>syn BTCX6/BTCH7/BTCF7/BTCV6/BTCZ6</v>
      </c>
      <c r="F144" s="13">
        <f>'MKT DATA'!J852</f>
        <v>1</v>
      </c>
      <c r="G144" s="8">
        <f>'MKT DATA'!K852</f>
        <v>83332</v>
      </c>
      <c r="H144" s="8">
        <f>'MKT DATA'!L852</f>
        <v>85296</v>
      </c>
      <c r="I144" s="13">
        <f>'MKT DATA'!M852</f>
        <v>1</v>
      </c>
      <c r="J144" s="43" t="str">
        <f t="shared" si="6"/>
        <v>syn BTCX6/BTCH7/BTCF7/BTCV6/BTCZ6</v>
      </c>
      <c r="K144" s="8">
        <f>'MKT DATA'!O852</f>
        <v>0</v>
      </c>
      <c r="L144" s="8">
        <f>'MKT DATA'!P852</f>
        <v>83332</v>
      </c>
      <c r="M144" s="8">
        <f>'MKT DATA'!Q852</f>
        <v>0</v>
      </c>
      <c r="N144" s="8">
        <f>'MKT DATA'!R852</f>
        <v>0</v>
      </c>
      <c r="O144" s="8">
        <f>'MKT DATA'!S852</f>
        <v>-85296</v>
      </c>
      <c r="P144" s="8">
        <f>'MKT DATA'!T852</f>
        <v>0</v>
      </c>
      <c r="Q144" s="43" t="str">
        <f t="shared" si="7"/>
        <v>syn BTCX6/BTCH7/BTCF7/BTCV6/BTCZ6</v>
      </c>
      <c r="R144" s="13">
        <f>'MKT DATA'!AB852</f>
        <v>0</v>
      </c>
    </row>
    <row r="145" spans="5:18" x14ac:dyDescent="0.25">
      <c r="E145" s="43" t="str">
        <f>'MKT DATA'!B853</f>
        <v>syn BTCX6/BTCH7/BTCF7/BTCG7/BTCZ6</v>
      </c>
      <c r="F145" s="13">
        <f>'MKT DATA'!J853</f>
        <v>1</v>
      </c>
      <c r="G145" s="8">
        <f>'MKT DATA'!K853</f>
        <v>83104</v>
      </c>
      <c r="H145" s="8">
        <f>'MKT DATA'!L853</f>
        <v>85470</v>
      </c>
      <c r="I145" s="13">
        <f>'MKT DATA'!M853</f>
        <v>1</v>
      </c>
      <c r="J145" s="43" t="str">
        <f t="shared" si="6"/>
        <v>syn BTCX6/BTCH7/BTCF7/BTCG7/BTCZ6</v>
      </c>
      <c r="K145" s="8">
        <f>'MKT DATA'!O853</f>
        <v>0</v>
      </c>
      <c r="L145" s="8">
        <f>'MKT DATA'!P853</f>
        <v>83104</v>
      </c>
      <c r="M145" s="8">
        <f>'MKT DATA'!Q853</f>
        <v>0</v>
      </c>
      <c r="N145" s="8">
        <f>'MKT DATA'!R853</f>
        <v>0</v>
      </c>
      <c r="O145" s="8">
        <f>'MKT DATA'!S853</f>
        <v>-85470</v>
      </c>
      <c r="P145" s="8">
        <f>'MKT DATA'!T853</f>
        <v>0</v>
      </c>
      <c r="Q145" s="43" t="str">
        <f t="shared" si="7"/>
        <v>syn BTCX6/BTCH7/BTCF7/BTCG7/BTCZ6</v>
      </c>
      <c r="R145" s="13">
        <f>'MKT DATA'!AB853</f>
        <v>0</v>
      </c>
    </row>
    <row r="146" spans="5:18" x14ac:dyDescent="0.25">
      <c r="E146" s="43" t="str">
        <f>'MKT DATA'!B854</f>
        <v>syn BTCX6/BTCH7/BTCG7/BTCV6/BTCZ6</v>
      </c>
      <c r="F146" s="13">
        <f>'MKT DATA'!J854</f>
        <v>1</v>
      </c>
      <c r="G146" s="8">
        <f>'MKT DATA'!K854</f>
        <v>83476</v>
      </c>
      <c r="H146" s="8">
        <f>'MKT DATA'!L854</f>
        <v>85067</v>
      </c>
      <c r="I146" s="13">
        <f>'MKT DATA'!M854</f>
        <v>1</v>
      </c>
      <c r="J146" s="43" t="str">
        <f t="shared" si="6"/>
        <v>syn BTCX6/BTCH7/BTCG7/BTCV6/BTCZ6</v>
      </c>
      <c r="K146" s="8">
        <f>'MKT DATA'!O854</f>
        <v>0</v>
      </c>
      <c r="L146" s="8">
        <f>'MKT DATA'!P854</f>
        <v>83476</v>
      </c>
      <c r="M146" s="8">
        <f>'MKT DATA'!Q854</f>
        <v>0</v>
      </c>
      <c r="N146" s="8">
        <f>'MKT DATA'!R854</f>
        <v>0</v>
      </c>
      <c r="O146" s="8">
        <f>'MKT DATA'!S854</f>
        <v>-85067</v>
      </c>
      <c r="P146" s="8">
        <f>'MKT DATA'!T854</f>
        <v>0</v>
      </c>
      <c r="Q146" s="43" t="str">
        <f t="shared" si="7"/>
        <v>syn BTCX6/BTCH7/BTCG7/BTCV6/BTCZ6</v>
      </c>
      <c r="R146" s="13">
        <f>'MKT DATA'!AB854</f>
        <v>0</v>
      </c>
    </row>
    <row r="147" spans="5:18" x14ac:dyDescent="0.25">
      <c r="E147" s="43" t="str">
        <f>'MKT DATA'!B855</f>
        <v>syn BTCX6/BTCH7/BTCG7/BTCF7/BTCZ6</v>
      </c>
      <c r="F147" s="13">
        <f>'MKT DATA'!J855</f>
        <v>1</v>
      </c>
      <c r="G147" s="8">
        <f>'MKT DATA'!K855</f>
        <v>83581</v>
      </c>
      <c r="H147" s="8">
        <f>'MKT DATA'!L855</f>
        <v>84974</v>
      </c>
      <c r="I147" s="13">
        <f>'MKT DATA'!M855</f>
        <v>1</v>
      </c>
      <c r="J147" s="43" t="str">
        <f t="shared" si="6"/>
        <v>syn BTCX6/BTCH7/BTCG7/BTCF7/BTCZ6</v>
      </c>
      <c r="K147" s="8">
        <f>'MKT DATA'!O855</f>
        <v>0</v>
      </c>
      <c r="L147" s="8">
        <f>'MKT DATA'!P855</f>
        <v>83581</v>
      </c>
      <c r="M147" s="8">
        <f>'MKT DATA'!Q855</f>
        <v>0</v>
      </c>
      <c r="N147" s="8">
        <f>'MKT DATA'!R855</f>
        <v>0</v>
      </c>
      <c r="O147" s="8">
        <f>'MKT DATA'!S855</f>
        <v>-84974</v>
      </c>
      <c r="P147" s="8">
        <f>'MKT DATA'!T855</f>
        <v>0</v>
      </c>
      <c r="Q147" s="43" t="str">
        <f t="shared" si="7"/>
        <v>syn BTCX6/BTCH7/BTCG7/BTCF7/BTCZ6</v>
      </c>
      <c r="R147" s="13">
        <f>'MKT DATA'!AB855</f>
        <v>0</v>
      </c>
    </row>
    <row r="148" spans="5:18" x14ac:dyDescent="0.25">
      <c r="E148" s="43" t="str">
        <f>'MKT DATA'!B856</f>
        <v>syn BTCF7/BTCV6/BTCX6/BTCG7/BTCZ6</v>
      </c>
      <c r="F148" s="13">
        <f>'MKT DATA'!J856</f>
        <v>1</v>
      </c>
      <c r="G148" s="8">
        <f>'MKT DATA'!K856</f>
        <v>83728</v>
      </c>
      <c r="H148" s="8">
        <f>'MKT DATA'!L856</f>
        <v>84885</v>
      </c>
      <c r="I148" s="13">
        <f>'MKT DATA'!M856</f>
        <v>1</v>
      </c>
      <c r="J148" s="43" t="str">
        <f t="shared" si="6"/>
        <v>syn BTCF7/BTCV6/BTCX6/BTCG7/BTCZ6</v>
      </c>
      <c r="K148" s="8">
        <f>'MKT DATA'!O856</f>
        <v>0</v>
      </c>
      <c r="L148" s="8">
        <f>'MKT DATA'!P856</f>
        <v>83728</v>
      </c>
      <c r="M148" s="8">
        <f>'MKT DATA'!Q856</f>
        <v>0</v>
      </c>
      <c r="N148" s="8">
        <f>'MKT DATA'!R856</f>
        <v>0</v>
      </c>
      <c r="O148" s="8">
        <f>'MKT DATA'!S856</f>
        <v>-84885</v>
      </c>
      <c r="P148" s="8">
        <f>'MKT DATA'!T856</f>
        <v>0</v>
      </c>
      <c r="Q148" s="43" t="str">
        <f t="shared" si="7"/>
        <v>syn BTCF7/BTCV6/BTCX6/BTCG7/BTCZ6</v>
      </c>
      <c r="R148" s="13">
        <f>'MKT DATA'!AB856</f>
        <v>0</v>
      </c>
    </row>
    <row r="149" spans="5:18" x14ac:dyDescent="0.25">
      <c r="E149" s="43" t="str">
        <f>'MKT DATA'!B857</f>
        <v>syn BTCF7/BTCV6/BTCX6/BTCH7/BTCZ6</v>
      </c>
      <c r="F149" s="13">
        <f>'MKT DATA'!J857</f>
        <v>1</v>
      </c>
      <c r="G149" s="8">
        <f>'MKT DATA'!K857</f>
        <v>83348</v>
      </c>
      <c r="H149" s="8">
        <f>'MKT DATA'!L857</f>
        <v>85085</v>
      </c>
      <c r="I149" s="13">
        <f>'MKT DATA'!M857</f>
        <v>1</v>
      </c>
      <c r="J149" s="43" t="str">
        <f t="shared" si="6"/>
        <v>syn BTCF7/BTCV6/BTCX6/BTCH7/BTCZ6</v>
      </c>
      <c r="K149" s="8">
        <f>'MKT DATA'!O857</f>
        <v>0</v>
      </c>
      <c r="L149" s="8">
        <f>'MKT DATA'!P857</f>
        <v>83348</v>
      </c>
      <c r="M149" s="8">
        <f>'MKT DATA'!Q857</f>
        <v>0</v>
      </c>
      <c r="N149" s="8">
        <f>'MKT DATA'!R857</f>
        <v>0</v>
      </c>
      <c r="O149" s="8">
        <f>'MKT DATA'!S857</f>
        <v>-85085</v>
      </c>
      <c r="P149" s="8">
        <f>'MKT DATA'!T857</f>
        <v>0</v>
      </c>
      <c r="Q149" s="43" t="str">
        <f t="shared" si="7"/>
        <v>syn BTCF7/BTCV6/BTCX6/BTCH7/BTCZ6</v>
      </c>
      <c r="R149" s="13">
        <f>'MKT DATA'!AB857</f>
        <v>0</v>
      </c>
    </row>
    <row r="150" spans="5:18" x14ac:dyDescent="0.25">
      <c r="E150" s="43" t="str">
        <f>'MKT DATA'!B858</f>
        <v>syn BTCF7/BTCV6/BTCG7/BTCX6/BTCZ6</v>
      </c>
      <c r="F150" s="13">
        <f>'MKT DATA'!J858</f>
        <v>1</v>
      </c>
      <c r="G150" s="8">
        <f>'MKT DATA'!K858</f>
        <v>83765</v>
      </c>
      <c r="H150" s="8">
        <f>'MKT DATA'!L858</f>
        <v>84870</v>
      </c>
      <c r="I150" s="13">
        <f>'MKT DATA'!M858</f>
        <v>1</v>
      </c>
      <c r="J150" s="43" t="str">
        <f t="shared" si="6"/>
        <v>syn BTCF7/BTCV6/BTCG7/BTCX6/BTCZ6</v>
      </c>
      <c r="K150" s="8">
        <f>'MKT DATA'!O858</f>
        <v>0</v>
      </c>
      <c r="L150" s="8">
        <f>'MKT DATA'!P858</f>
        <v>83765</v>
      </c>
      <c r="M150" s="8">
        <f>'MKT DATA'!Q858</f>
        <v>0</v>
      </c>
      <c r="N150" s="8">
        <f>'MKT DATA'!R858</f>
        <v>0</v>
      </c>
      <c r="O150" s="8">
        <f>'MKT DATA'!S858</f>
        <v>-84870</v>
      </c>
      <c r="P150" s="8">
        <f>'MKT DATA'!T858</f>
        <v>0</v>
      </c>
      <c r="Q150" s="43" t="str">
        <f t="shared" si="7"/>
        <v>syn BTCF7/BTCV6/BTCG7/BTCX6/BTCZ6</v>
      </c>
      <c r="R150" s="13">
        <f>'MKT DATA'!AB858</f>
        <v>0</v>
      </c>
    </row>
    <row r="151" spans="5:18" x14ac:dyDescent="0.25">
      <c r="E151" s="43" t="str">
        <f>'MKT DATA'!B859</f>
        <v>syn BTCF7/BTCV6/BTCG7/BTCH7/BTCZ6</v>
      </c>
      <c r="F151" s="13">
        <f>'MKT DATA'!J859</f>
        <v>1</v>
      </c>
      <c r="G151" s="8">
        <f>'MKT DATA'!K859</f>
        <v>83426</v>
      </c>
      <c r="H151" s="8">
        <f>'MKT DATA'!L859</f>
        <v>85069</v>
      </c>
      <c r="I151" s="13">
        <f>'MKT DATA'!M859</f>
        <v>1</v>
      </c>
      <c r="J151" s="43" t="str">
        <f t="shared" si="6"/>
        <v>syn BTCF7/BTCV6/BTCG7/BTCH7/BTCZ6</v>
      </c>
      <c r="K151" s="8">
        <f>'MKT DATA'!O859</f>
        <v>0</v>
      </c>
      <c r="L151" s="8">
        <f>'MKT DATA'!P859</f>
        <v>83426</v>
      </c>
      <c r="M151" s="8">
        <f>'MKT DATA'!Q859</f>
        <v>0</v>
      </c>
      <c r="N151" s="8">
        <f>'MKT DATA'!R859</f>
        <v>0</v>
      </c>
      <c r="O151" s="8">
        <f>'MKT DATA'!S859</f>
        <v>-85069</v>
      </c>
      <c r="P151" s="8">
        <f>'MKT DATA'!T859</f>
        <v>0</v>
      </c>
      <c r="Q151" s="43" t="str">
        <f t="shared" si="7"/>
        <v>syn BTCF7/BTCV6/BTCG7/BTCH7/BTCZ6</v>
      </c>
      <c r="R151" s="13">
        <f>'MKT DATA'!AB859</f>
        <v>0</v>
      </c>
    </row>
    <row r="152" spans="5:18" x14ac:dyDescent="0.25">
      <c r="E152" s="43" t="str">
        <f>'MKT DATA'!B860</f>
        <v>syn BTCF7/BTCV6/BTCH7/BTCX6/BTCZ6</v>
      </c>
      <c r="F152" s="13">
        <f>'MKT DATA'!J860</f>
        <v>1</v>
      </c>
      <c r="G152" s="8">
        <f>'MKT DATA'!K860</f>
        <v>83355</v>
      </c>
      <c r="H152" s="8">
        <f>'MKT DATA'!L860</f>
        <v>85280</v>
      </c>
      <c r="I152" s="13">
        <f>'MKT DATA'!M860</f>
        <v>1</v>
      </c>
      <c r="J152" s="43" t="str">
        <f t="shared" si="6"/>
        <v>syn BTCF7/BTCV6/BTCH7/BTCX6/BTCZ6</v>
      </c>
      <c r="K152" s="8">
        <f>'MKT DATA'!O860</f>
        <v>0</v>
      </c>
      <c r="L152" s="8">
        <f>'MKT DATA'!P860</f>
        <v>83355</v>
      </c>
      <c r="M152" s="8">
        <f>'MKT DATA'!Q860</f>
        <v>0</v>
      </c>
      <c r="N152" s="8">
        <f>'MKT DATA'!R860</f>
        <v>0</v>
      </c>
      <c r="O152" s="8">
        <f>'MKT DATA'!S860</f>
        <v>-85280</v>
      </c>
      <c r="P152" s="8">
        <f>'MKT DATA'!T860</f>
        <v>0</v>
      </c>
      <c r="Q152" s="43" t="str">
        <f t="shared" si="7"/>
        <v>syn BTCF7/BTCV6/BTCH7/BTCX6/BTCZ6</v>
      </c>
      <c r="R152" s="13">
        <f>'MKT DATA'!AB860</f>
        <v>0</v>
      </c>
    </row>
    <row r="153" spans="5:18" x14ac:dyDescent="0.25">
      <c r="E153" s="43" t="str">
        <f>'MKT DATA'!B861</f>
        <v>syn BTCF7/BTCV6/BTCH7/BTCG7/BTCZ6</v>
      </c>
      <c r="F153" s="13">
        <f>'MKT DATA'!J861</f>
        <v>1</v>
      </c>
      <c r="G153" s="8">
        <f>'MKT DATA'!K861</f>
        <v>83341</v>
      </c>
      <c r="H153" s="8">
        <f>'MKT DATA'!L861</f>
        <v>85224</v>
      </c>
      <c r="I153" s="13">
        <f>'MKT DATA'!M861</f>
        <v>1</v>
      </c>
      <c r="J153" s="43" t="str">
        <f t="shared" si="6"/>
        <v>syn BTCF7/BTCV6/BTCH7/BTCG7/BTCZ6</v>
      </c>
      <c r="K153" s="8">
        <f>'MKT DATA'!O861</f>
        <v>0</v>
      </c>
      <c r="L153" s="8">
        <f>'MKT DATA'!P861</f>
        <v>83341</v>
      </c>
      <c r="M153" s="8">
        <f>'MKT DATA'!Q861</f>
        <v>0</v>
      </c>
      <c r="N153" s="8">
        <f>'MKT DATA'!R861</f>
        <v>0</v>
      </c>
      <c r="O153" s="8">
        <f>'MKT DATA'!S861</f>
        <v>-85224</v>
      </c>
      <c r="P153" s="8">
        <f>'MKT DATA'!T861</f>
        <v>0</v>
      </c>
      <c r="Q153" s="43" t="str">
        <f t="shared" si="7"/>
        <v>syn BTCF7/BTCV6/BTCH7/BTCG7/BTCZ6</v>
      </c>
      <c r="R153" s="13">
        <f>'MKT DATA'!AB861</f>
        <v>0</v>
      </c>
    </row>
    <row r="154" spans="5:18" x14ac:dyDescent="0.25">
      <c r="E154" s="43" t="str">
        <f>'MKT DATA'!B862</f>
        <v>syn BTCF7/BTCX6/BTCV6/BTCG7/BTCZ6</v>
      </c>
      <c r="F154" s="13">
        <f>'MKT DATA'!J862</f>
        <v>1</v>
      </c>
      <c r="G154" s="8">
        <f>'MKT DATA'!K862</f>
        <v>83765</v>
      </c>
      <c r="H154" s="8">
        <f>'MKT DATA'!L862</f>
        <v>84852</v>
      </c>
      <c r="I154" s="13">
        <f>'MKT DATA'!M862</f>
        <v>1</v>
      </c>
      <c r="J154" s="43" t="str">
        <f t="shared" si="6"/>
        <v>syn BTCF7/BTCX6/BTCV6/BTCG7/BTCZ6</v>
      </c>
      <c r="K154" s="8">
        <f>'MKT DATA'!O862</f>
        <v>0</v>
      </c>
      <c r="L154" s="8">
        <f>'MKT DATA'!P862</f>
        <v>83765</v>
      </c>
      <c r="M154" s="8">
        <f>'MKT DATA'!Q862</f>
        <v>0</v>
      </c>
      <c r="N154" s="8">
        <f>'MKT DATA'!R862</f>
        <v>0</v>
      </c>
      <c r="O154" s="8">
        <f>'MKT DATA'!S862</f>
        <v>-84852</v>
      </c>
      <c r="P154" s="8">
        <f>'MKT DATA'!T862</f>
        <v>0</v>
      </c>
      <c r="Q154" s="43" t="str">
        <f t="shared" si="7"/>
        <v>syn BTCF7/BTCX6/BTCV6/BTCG7/BTCZ6</v>
      </c>
      <c r="R154" s="13">
        <f>'MKT DATA'!AB862</f>
        <v>0</v>
      </c>
    </row>
    <row r="155" spans="5:18" x14ac:dyDescent="0.25">
      <c r="E155" s="43" t="str">
        <f>'MKT DATA'!B863</f>
        <v>syn BTCF7/BTCX6/BTCV6/BTCH7/BTCZ6</v>
      </c>
      <c r="F155" s="13">
        <f>'MKT DATA'!J863</f>
        <v>1</v>
      </c>
      <c r="G155" s="8">
        <f>'MKT DATA'!K863</f>
        <v>83385</v>
      </c>
      <c r="H155" s="8">
        <f>'MKT DATA'!L863</f>
        <v>85052</v>
      </c>
      <c r="I155" s="13">
        <f>'MKT DATA'!M863</f>
        <v>1</v>
      </c>
      <c r="J155" s="43" t="str">
        <f t="shared" si="6"/>
        <v>syn BTCF7/BTCX6/BTCV6/BTCH7/BTCZ6</v>
      </c>
      <c r="K155" s="8">
        <f>'MKT DATA'!O863</f>
        <v>0</v>
      </c>
      <c r="L155" s="8">
        <f>'MKT DATA'!P863</f>
        <v>83385</v>
      </c>
      <c r="M155" s="8">
        <f>'MKT DATA'!Q863</f>
        <v>0</v>
      </c>
      <c r="N155" s="8">
        <f>'MKT DATA'!R863</f>
        <v>0</v>
      </c>
      <c r="O155" s="8">
        <f>'MKT DATA'!S863</f>
        <v>-85052</v>
      </c>
      <c r="P155" s="8">
        <f>'MKT DATA'!T863</f>
        <v>0</v>
      </c>
      <c r="Q155" s="43" t="str">
        <f t="shared" si="7"/>
        <v>syn BTCF7/BTCX6/BTCV6/BTCH7/BTCZ6</v>
      </c>
      <c r="R155" s="13">
        <f>'MKT DATA'!AB863</f>
        <v>0</v>
      </c>
    </row>
    <row r="156" spans="5:18" x14ac:dyDescent="0.25">
      <c r="E156" s="43" t="str">
        <f>'MKT DATA'!B864</f>
        <v>syn BTCF7/BTCX6/BTCG7/BTCV6/BTCZ6</v>
      </c>
      <c r="F156" s="13">
        <f>'MKT DATA'!J864</f>
        <v>1</v>
      </c>
      <c r="G156" s="8">
        <f>'MKT DATA'!K864</f>
        <v>83772</v>
      </c>
      <c r="H156" s="8">
        <f>'MKT DATA'!L864</f>
        <v>84846</v>
      </c>
      <c r="I156" s="13">
        <f>'MKT DATA'!M864</f>
        <v>1</v>
      </c>
      <c r="J156" s="43" t="str">
        <f t="shared" si="6"/>
        <v>syn BTCF7/BTCX6/BTCG7/BTCV6/BTCZ6</v>
      </c>
      <c r="K156" s="8">
        <f>'MKT DATA'!O864</f>
        <v>0</v>
      </c>
      <c r="L156" s="8">
        <f>'MKT DATA'!P864</f>
        <v>83772</v>
      </c>
      <c r="M156" s="8">
        <f>'MKT DATA'!Q864</f>
        <v>0</v>
      </c>
      <c r="N156" s="8">
        <f>'MKT DATA'!R864</f>
        <v>0</v>
      </c>
      <c r="O156" s="8">
        <f>'MKT DATA'!S864</f>
        <v>-84846</v>
      </c>
      <c r="P156" s="8">
        <f>'MKT DATA'!T864</f>
        <v>0</v>
      </c>
      <c r="Q156" s="43" t="str">
        <f t="shared" si="7"/>
        <v>syn BTCF7/BTCX6/BTCG7/BTCV6/BTCZ6</v>
      </c>
      <c r="R156" s="13">
        <f>'MKT DATA'!AB864</f>
        <v>0</v>
      </c>
    </row>
    <row r="157" spans="5:18" x14ac:dyDescent="0.25">
      <c r="E157" s="43" t="str">
        <f>'MKT DATA'!B865</f>
        <v>syn BTCF7/BTCX6/BTCG7/BTCH7/BTCZ6</v>
      </c>
      <c r="F157" s="13">
        <f>'MKT DATA'!J865</f>
        <v>1</v>
      </c>
      <c r="G157" s="8">
        <f>'MKT DATA'!K865</f>
        <v>83431</v>
      </c>
      <c r="H157" s="8">
        <f>'MKT DATA'!L865</f>
        <v>85054</v>
      </c>
      <c r="I157" s="13">
        <f>'MKT DATA'!M865</f>
        <v>1</v>
      </c>
      <c r="J157" s="43" t="str">
        <f t="shared" si="6"/>
        <v>syn BTCF7/BTCX6/BTCG7/BTCH7/BTCZ6</v>
      </c>
      <c r="K157" s="8">
        <f>'MKT DATA'!O865</f>
        <v>0</v>
      </c>
      <c r="L157" s="8">
        <f>'MKT DATA'!P865</f>
        <v>83431</v>
      </c>
      <c r="M157" s="8">
        <f>'MKT DATA'!Q865</f>
        <v>0</v>
      </c>
      <c r="N157" s="8">
        <f>'MKT DATA'!R865</f>
        <v>0</v>
      </c>
      <c r="O157" s="8">
        <f>'MKT DATA'!S865</f>
        <v>-85054</v>
      </c>
      <c r="P157" s="8">
        <f>'MKT DATA'!T865</f>
        <v>0</v>
      </c>
      <c r="Q157" s="43" t="str">
        <f t="shared" si="7"/>
        <v>syn BTCF7/BTCX6/BTCG7/BTCH7/BTCZ6</v>
      </c>
      <c r="R157" s="13">
        <f>'MKT DATA'!AB865</f>
        <v>0</v>
      </c>
    </row>
    <row r="158" spans="5:18" x14ac:dyDescent="0.25">
      <c r="E158" s="43" t="str">
        <f>'MKT DATA'!B866</f>
        <v>syn BTCF7/BTCX6/BTCH7/BTCV6/BTCZ6</v>
      </c>
      <c r="F158" s="13">
        <f>'MKT DATA'!J866</f>
        <v>1</v>
      </c>
      <c r="G158" s="8">
        <f>'MKT DATA'!K866</f>
        <v>83362</v>
      </c>
      <c r="H158" s="8">
        <f>'MKT DATA'!L866</f>
        <v>85256</v>
      </c>
      <c r="I158" s="13">
        <f>'MKT DATA'!M866</f>
        <v>1</v>
      </c>
      <c r="J158" s="43" t="str">
        <f t="shared" si="6"/>
        <v>syn BTCF7/BTCX6/BTCH7/BTCV6/BTCZ6</v>
      </c>
      <c r="K158" s="8">
        <f>'MKT DATA'!O866</f>
        <v>0</v>
      </c>
      <c r="L158" s="8">
        <f>'MKT DATA'!P866</f>
        <v>83362</v>
      </c>
      <c r="M158" s="8">
        <f>'MKT DATA'!Q866</f>
        <v>0</v>
      </c>
      <c r="N158" s="8">
        <f>'MKT DATA'!R866</f>
        <v>0</v>
      </c>
      <c r="O158" s="8">
        <f>'MKT DATA'!S866</f>
        <v>-85256</v>
      </c>
      <c r="P158" s="8">
        <f>'MKT DATA'!T866</f>
        <v>0</v>
      </c>
      <c r="Q158" s="43" t="str">
        <f t="shared" si="7"/>
        <v>syn BTCF7/BTCX6/BTCH7/BTCV6/BTCZ6</v>
      </c>
      <c r="R158" s="13">
        <f>'MKT DATA'!AB866</f>
        <v>0</v>
      </c>
    </row>
    <row r="159" spans="5:18" x14ac:dyDescent="0.25">
      <c r="E159" s="43" t="str">
        <f>'MKT DATA'!B867</f>
        <v>syn BTCF7/BTCX6/BTCH7/BTCG7/BTCZ6</v>
      </c>
      <c r="F159" s="13">
        <f>'MKT DATA'!J867</f>
        <v>1</v>
      </c>
      <c r="G159" s="8">
        <f>'MKT DATA'!K867</f>
        <v>83346</v>
      </c>
      <c r="H159" s="8">
        <f>'MKT DATA'!L867</f>
        <v>85209</v>
      </c>
      <c r="I159" s="13">
        <f>'MKT DATA'!M867</f>
        <v>1</v>
      </c>
      <c r="J159" s="43" t="str">
        <f t="shared" si="6"/>
        <v>syn BTCF7/BTCX6/BTCH7/BTCG7/BTCZ6</v>
      </c>
      <c r="K159" s="8">
        <f>'MKT DATA'!O867</f>
        <v>0</v>
      </c>
      <c r="L159" s="8">
        <f>'MKT DATA'!P867</f>
        <v>83346</v>
      </c>
      <c r="M159" s="8">
        <f>'MKT DATA'!Q867</f>
        <v>0</v>
      </c>
      <c r="N159" s="8">
        <f>'MKT DATA'!R867</f>
        <v>0</v>
      </c>
      <c r="O159" s="8">
        <f>'MKT DATA'!S867</f>
        <v>-85209</v>
      </c>
      <c r="P159" s="8">
        <f>'MKT DATA'!T867</f>
        <v>0</v>
      </c>
      <c r="Q159" s="43" t="str">
        <f t="shared" si="7"/>
        <v>syn BTCF7/BTCX6/BTCH7/BTCG7/BTCZ6</v>
      </c>
      <c r="R159" s="13">
        <f>'MKT DATA'!AB867</f>
        <v>0</v>
      </c>
    </row>
    <row r="160" spans="5:18" x14ac:dyDescent="0.25">
      <c r="E160" s="43" t="str">
        <f>'MKT DATA'!B868</f>
        <v>syn BTCF7/BTCG7/BTCV6/BTCX6/BTCZ6</v>
      </c>
      <c r="F160" s="13">
        <f>'MKT DATA'!J868</f>
        <v>1</v>
      </c>
      <c r="G160" s="8">
        <f>'MKT DATA'!K868</f>
        <v>83925</v>
      </c>
      <c r="H160" s="8">
        <f>'MKT DATA'!L868</f>
        <v>84657</v>
      </c>
      <c r="I160" s="13">
        <f>'MKT DATA'!M868</f>
        <v>1</v>
      </c>
      <c r="J160" s="43" t="str">
        <f t="shared" si="6"/>
        <v>syn BTCF7/BTCG7/BTCV6/BTCX6/BTCZ6</v>
      </c>
      <c r="K160" s="8">
        <f>'MKT DATA'!O868</f>
        <v>0</v>
      </c>
      <c r="L160" s="8">
        <f>'MKT DATA'!P868</f>
        <v>83925</v>
      </c>
      <c r="M160" s="8">
        <f>'MKT DATA'!Q868</f>
        <v>0</v>
      </c>
      <c r="N160" s="8">
        <f>'MKT DATA'!R868</f>
        <v>0</v>
      </c>
      <c r="O160" s="8">
        <f>'MKT DATA'!S868</f>
        <v>-84657</v>
      </c>
      <c r="P160" s="8">
        <f>'MKT DATA'!T868</f>
        <v>0</v>
      </c>
      <c r="Q160" s="43" t="str">
        <f t="shared" si="7"/>
        <v>syn BTCF7/BTCG7/BTCV6/BTCX6/BTCZ6</v>
      </c>
      <c r="R160" s="13">
        <f>'MKT DATA'!AB868</f>
        <v>0</v>
      </c>
    </row>
    <row r="161" spans="5:18" x14ac:dyDescent="0.25">
      <c r="E161" s="43" t="str">
        <f>'MKT DATA'!B869</f>
        <v>syn BTCF7/BTCG7/BTCV6/BTCH7/BTCZ6</v>
      </c>
      <c r="F161" s="13">
        <f>'MKT DATA'!J869</f>
        <v>1</v>
      </c>
      <c r="G161" s="8">
        <f>'MKT DATA'!K869</f>
        <v>83159</v>
      </c>
      <c r="H161" s="8">
        <f>'MKT DATA'!L869</f>
        <v>85235</v>
      </c>
      <c r="I161" s="13">
        <f>'MKT DATA'!M869</f>
        <v>1</v>
      </c>
      <c r="J161" s="43" t="str">
        <f t="shared" si="6"/>
        <v>syn BTCF7/BTCG7/BTCV6/BTCH7/BTCZ6</v>
      </c>
      <c r="K161" s="8">
        <f>'MKT DATA'!O869</f>
        <v>0</v>
      </c>
      <c r="L161" s="8">
        <f>'MKT DATA'!P869</f>
        <v>83159</v>
      </c>
      <c r="M161" s="8">
        <f>'MKT DATA'!Q869</f>
        <v>0</v>
      </c>
      <c r="N161" s="8">
        <f>'MKT DATA'!R869</f>
        <v>0</v>
      </c>
      <c r="O161" s="8">
        <f>'MKT DATA'!S869</f>
        <v>-85235</v>
      </c>
      <c r="P161" s="8">
        <f>'MKT DATA'!T869</f>
        <v>0</v>
      </c>
      <c r="Q161" s="43" t="str">
        <f t="shared" si="7"/>
        <v>syn BTCF7/BTCG7/BTCV6/BTCH7/BTCZ6</v>
      </c>
      <c r="R161" s="13">
        <f>'MKT DATA'!AB869</f>
        <v>0</v>
      </c>
    </row>
    <row r="162" spans="5:18" x14ac:dyDescent="0.25">
      <c r="E162" s="43" t="str">
        <f>'MKT DATA'!B870</f>
        <v>syn BTCF7/BTCG7/BTCX6/BTCV6/BTCZ6</v>
      </c>
      <c r="F162" s="13">
        <f>'MKT DATA'!J870</f>
        <v>1</v>
      </c>
      <c r="G162" s="8">
        <f>'MKT DATA'!K870</f>
        <v>83909</v>
      </c>
      <c r="H162" s="8">
        <f>'MKT DATA'!L870</f>
        <v>84680</v>
      </c>
      <c r="I162" s="13">
        <f>'MKT DATA'!M870</f>
        <v>1</v>
      </c>
      <c r="J162" s="43" t="str">
        <f t="shared" si="6"/>
        <v>syn BTCF7/BTCG7/BTCX6/BTCV6/BTCZ6</v>
      </c>
      <c r="K162" s="8">
        <f>'MKT DATA'!O870</f>
        <v>0</v>
      </c>
      <c r="L162" s="8">
        <f>'MKT DATA'!P870</f>
        <v>83909</v>
      </c>
      <c r="M162" s="8">
        <f>'MKT DATA'!Q870</f>
        <v>0</v>
      </c>
      <c r="N162" s="8">
        <f>'MKT DATA'!R870</f>
        <v>0</v>
      </c>
      <c r="O162" s="8">
        <f>'MKT DATA'!S870</f>
        <v>-84680</v>
      </c>
      <c r="P162" s="8">
        <f>'MKT DATA'!T870</f>
        <v>0</v>
      </c>
      <c r="Q162" s="43" t="str">
        <f t="shared" si="7"/>
        <v>syn BTCF7/BTCG7/BTCX6/BTCV6/BTCZ6</v>
      </c>
      <c r="R162" s="13">
        <f>'MKT DATA'!AB870</f>
        <v>0</v>
      </c>
    </row>
    <row r="163" spans="5:18" x14ac:dyDescent="0.25">
      <c r="E163" s="43" t="str">
        <f>'MKT DATA'!B871</f>
        <v>syn BTCF7/BTCG7/BTCX6/BTCH7/BTCZ6</v>
      </c>
      <c r="F163" s="13">
        <f>'MKT DATA'!J871</f>
        <v>1</v>
      </c>
      <c r="G163" s="8">
        <f>'MKT DATA'!K871</f>
        <v>83134</v>
      </c>
      <c r="H163" s="8">
        <f>'MKT DATA'!L871</f>
        <v>85260</v>
      </c>
      <c r="I163" s="13">
        <f>'MKT DATA'!M871</f>
        <v>1</v>
      </c>
      <c r="J163" s="43" t="str">
        <f t="shared" si="6"/>
        <v>syn BTCF7/BTCG7/BTCX6/BTCH7/BTCZ6</v>
      </c>
      <c r="K163" s="8">
        <f>'MKT DATA'!O871</f>
        <v>0</v>
      </c>
      <c r="L163" s="8">
        <f>'MKT DATA'!P871</f>
        <v>83134</v>
      </c>
      <c r="M163" s="8">
        <f>'MKT DATA'!Q871</f>
        <v>0</v>
      </c>
      <c r="N163" s="8">
        <f>'MKT DATA'!R871</f>
        <v>0</v>
      </c>
      <c r="O163" s="8">
        <f>'MKT DATA'!S871</f>
        <v>-85260</v>
      </c>
      <c r="P163" s="8">
        <f>'MKT DATA'!T871</f>
        <v>0</v>
      </c>
      <c r="Q163" s="43" t="str">
        <f t="shared" si="7"/>
        <v>syn BTCF7/BTCG7/BTCX6/BTCH7/BTCZ6</v>
      </c>
      <c r="R163" s="13">
        <f>'MKT DATA'!AB871</f>
        <v>0</v>
      </c>
    </row>
    <row r="164" spans="5:18" x14ac:dyDescent="0.25">
      <c r="E164" s="43" t="str">
        <f>'MKT DATA'!B872</f>
        <v>syn BTCF7/BTCG7/BTCH7/BTCV6/BTCZ6</v>
      </c>
      <c r="F164" s="13">
        <f>'MKT DATA'!J872</f>
        <v>1</v>
      </c>
      <c r="G164" s="8">
        <f>'MKT DATA'!K872</f>
        <v>83570</v>
      </c>
      <c r="H164" s="8">
        <f>'MKT DATA'!L872</f>
        <v>85067</v>
      </c>
      <c r="I164" s="13">
        <f>'MKT DATA'!M872</f>
        <v>1</v>
      </c>
      <c r="J164" s="43" t="str">
        <f t="shared" si="6"/>
        <v>syn BTCF7/BTCG7/BTCH7/BTCV6/BTCZ6</v>
      </c>
      <c r="K164" s="8">
        <f>'MKT DATA'!O872</f>
        <v>0</v>
      </c>
      <c r="L164" s="8">
        <f>'MKT DATA'!P872</f>
        <v>83570</v>
      </c>
      <c r="M164" s="8">
        <f>'MKT DATA'!Q872</f>
        <v>0</v>
      </c>
      <c r="N164" s="8">
        <f>'MKT DATA'!R872</f>
        <v>0</v>
      </c>
      <c r="O164" s="8">
        <f>'MKT DATA'!S872</f>
        <v>-85067</v>
      </c>
      <c r="P164" s="8">
        <f>'MKT DATA'!T872</f>
        <v>0</v>
      </c>
      <c r="Q164" s="43" t="str">
        <f t="shared" si="7"/>
        <v>syn BTCF7/BTCG7/BTCH7/BTCV6/BTCZ6</v>
      </c>
      <c r="R164" s="13">
        <f>'MKT DATA'!AB872</f>
        <v>0</v>
      </c>
    </row>
    <row r="165" spans="5:18" x14ac:dyDescent="0.25">
      <c r="E165" s="43" t="str">
        <f>'MKT DATA'!B873</f>
        <v>syn BTCF7/BTCG7/BTCH7/BTCX6/BTCZ6</v>
      </c>
      <c r="F165" s="13">
        <f>'MKT DATA'!J873</f>
        <v>1</v>
      </c>
      <c r="G165" s="8">
        <f>'MKT DATA'!K873</f>
        <v>83568</v>
      </c>
      <c r="H165" s="8">
        <f>'MKT DATA'!L873</f>
        <v>85076</v>
      </c>
      <c r="I165" s="13">
        <f>'MKT DATA'!M873</f>
        <v>1</v>
      </c>
      <c r="J165" s="43" t="str">
        <f t="shared" si="6"/>
        <v>syn BTCF7/BTCG7/BTCH7/BTCX6/BTCZ6</v>
      </c>
      <c r="K165" s="8">
        <f>'MKT DATA'!O873</f>
        <v>0</v>
      </c>
      <c r="L165" s="8">
        <f>'MKT DATA'!P873</f>
        <v>83568</v>
      </c>
      <c r="M165" s="8">
        <f>'MKT DATA'!Q873</f>
        <v>0</v>
      </c>
      <c r="N165" s="8">
        <f>'MKT DATA'!R873</f>
        <v>0</v>
      </c>
      <c r="O165" s="8">
        <f>'MKT DATA'!S873</f>
        <v>-85076</v>
      </c>
      <c r="P165" s="8">
        <f>'MKT DATA'!T873</f>
        <v>0</v>
      </c>
      <c r="Q165" s="43" t="str">
        <f t="shared" si="7"/>
        <v>syn BTCF7/BTCG7/BTCH7/BTCX6/BTCZ6</v>
      </c>
      <c r="R165" s="13">
        <f>'MKT DATA'!AB873</f>
        <v>0</v>
      </c>
    </row>
    <row r="166" spans="5:18" x14ac:dyDescent="0.25">
      <c r="E166" s="43" t="str">
        <f>'MKT DATA'!B874</f>
        <v>syn BTCF7/BTCH7/BTCV6/BTCX6/BTCZ6</v>
      </c>
      <c r="F166" s="13">
        <f>'MKT DATA'!J874</f>
        <v>1</v>
      </c>
      <c r="G166" s="8">
        <f>'MKT DATA'!K874</f>
        <v>83346</v>
      </c>
      <c r="H166" s="8">
        <f>'MKT DATA'!L874</f>
        <v>85252</v>
      </c>
      <c r="I166" s="13">
        <f>'MKT DATA'!M874</f>
        <v>1</v>
      </c>
      <c r="J166" s="43" t="str">
        <f t="shared" si="6"/>
        <v>syn BTCF7/BTCH7/BTCV6/BTCX6/BTCZ6</v>
      </c>
      <c r="K166" s="8">
        <f>'MKT DATA'!O874</f>
        <v>0</v>
      </c>
      <c r="L166" s="8">
        <f>'MKT DATA'!P874</f>
        <v>83346</v>
      </c>
      <c r="M166" s="8">
        <f>'MKT DATA'!Q874</f>
        <v>0</v>
      </c>
      <c r="N166" s="8">
        <f>'MKT DATA'!R874</f>
        <v>0</v>
      </c>
      <c r="O166" s="8">
        <f>'MKT DATA'!S874</f>
        <v>-85252</v>
      </c>
      <c r="P166" s="8">
        <f>'MKT DATA'!T874</f>
        <v>0</v>
      </c>
      <c r="Q166" s="43" t="str">
        <f t="shared" si="7"/>
        <v>syn BTCF7/BTCH7/BTCV6/BTCX6/BTCZ6</v>
      </c>
      <c r="R166" s="13">
        <f>'MKT DATA'!AB874</f>
        <v>0</v>
      </c>
    </row>
    <row r="167" spans="5:18" x14ac:dyDescent="0.25">
      <c r="E167" s="43" t="str">
        <f>'MKT DATA'!B875</f>
        <v>syn BTCF7/BTCH7/BTCV6/BTCG7/BTCZ6</v>
      </c>
      <c r="F167" s="13">
        <f>'MKT DATA'!J875</f>
        <v>1</v>
      </c>
      <c r="G167" s="8">
        <f>'MKT DATA'!K875</f>
        <v>82960</v>
      </c>
      <c r="H167" s="8">
        <f>'MKT DATA'!L875</f>
        <v>85630</v>
      </c>
      <c r="I167" s="13">
        <f>'MKT DATA'!M875</f>
        <v>1</v>
      </c>
      <c r="J167" s="43" t="str">
        <f t="shared" si="6"/>
        <v>syn BTCF7/BTCH7/BTCV6/BTCG7/BTCZ6</v>
      </c>
      <c r="K167" s="8">
        <f>'MKT DATA'!O875</f>
        <v>0</v>
      </c>
      <c r="L167" s="8">
        <f>'MKT DATA'!P875</f>
        <v>82960</v>
      </c>
      <c r="M167" s="8">
        <f>'MKT DATA'!Q875</f>
        <v>0</v>
      </c>
      <c r="N167" s="8">
        <f>'MKT DATA'!R875</f>
        <v>0</v>
      </c>
      <c r="O167" s="8">
        <f>'MKT DATA'!S875</f>
        <v>-85630</v>
      </c>
      <c r="P167" s="8">
        <f>'MKT DATA'!T875</f>
        <v>0</v>
      </c>
      <c r="Q167" s="43" t="str">
        <f t="shared" si="7"/>
        <v>syn BTCF7/BTCH7/BTCV6/BTCG7/BTCZ6</v>
      </c>
      <c r="R167" s="13">
        <f>'MKT DATA'!AB875</f>
        <v>0</v>
      </c>
    </row>
    <row r="168" spans="5:18" x14ac:dyDescent="0.25">
      <c r="E168" s="43" t="str">
        <f>'MKT DATA'!B876</f>
        <v>syn BTCF7/BTCH7/BTCX6/BTCV6/BTCZ6</v>
      </c>
      <c r="F168" s="13">
        <f>'MKT DATA'!J876</f>
        <v>1</v>
      </c>
      <c r="G168" s="8">
        <f>'MKT DATA'!K876</f>
        <v>83330</v>
      </c>
      <c r="H168" s="8">
        <f>'MKT DATA'!L876</f>
        <v>85275</v>
      </c>
      <c r="I168" s="13">
        <f>'MKT DATA'!M876</f>
        <v>1</v>
      </c>
      <c r="J168" s="43" t="str">
        <f t="shared" si="6"/>
        <v>syn BTCF7/BTCH7/BTCX6/BTCV6/BTCZ6</v>
      </c>
      <c r="K168" s="8">
        <f>'MKT DATA'!O876</f>
        <v>0</v>
      </c>
      <c r="L168" s="8">
        <f>'MKT DATA'!P876</f>
        <v>83330</v>
      </c>
      <c r="M168" s="8">
        <f>'MKT DATA'!Q876</f>
        <v>0</v>
      </c>
      <c r="N168" s="8">
        <f>'MKT DATA'!R876</f>
        <v>0</v>
      </c>
      <c r="O168" s="8">
        <f>'MKT DATA'!S876</f>
        <v>-85275</v>
      </c>
      <c r="P168" s="8">
        <f>'MKT DATA'!T876</f>
        <v>0</v>
      </c>
      <c r="Q168" s="43" t="str">
        <f t="shared" si="7"/>
        <v>syn BTCF7/BTCH7/BTCX6/BTCV6/BTCZ6</v>
      </c>
      <c r="R168" s="13">
        <f>'MKT DATA'!AB876</f>
        <v>0</v>
      </c>
    </row>
    <row r="169" spans="5:18" x14ac:dyDescent="0.25">
      <c r="E169" s="43" t="str">
        <f>'MKT DATA'!B877</f>
        <v>syn BTCF7/BTCH7/BTCX6/BTCG7/BTCZ6</v>
      </c>
      <c r="F169" s="13">
        <f>'MKT DATA'!J877</f>
        <v>1</v>
      </c>
      <c r="G169" s="8">
        <f>'MKT DATA'!K877</f>
        <v>82935</v>
      </c>
      <c r="H169" s="8">
        <f>'MKT DATA'!L877</f>
        <v>85655</v>
      </c>
      <c r="I169" s="13">
        <f>'MKT DATA'!M877</f>
        <v>1</v>
      </c>
      <c r="J169" s="43" t="str">
        <f t="shared" si="6"/>
        <v>syn BTCF7/BTCH7/BTCX6/BTCG7/BTCZ6</v>
      </c>
      <c r="K169" s="8">
        <f>'MKT DATA'!O877</f>
        <v>0</v>
      </c>
      <c r="L169" s="8">
        <f>'MKT DATA'!P877</f>
        <v>82935</v>
      </c>
      <c r="M169" s="8">
        <f>'MKT DATA'!Q877</f>
        <v>0</v>
      </c>
      <c r="N169" s="8">
        <f>'MKT DATA'!R877</f>
        <v>0</v>
      </c>
      <c r="O169" s="8">
        <f>'MKT DATA'!S877</f>
        <v>-85655</v>
      </c>
      <c r="P169" s="8">
        <f>'MKT DATA'!T877</f>
        <v>0</v>
      </c>
      <c r="Q169" s="43" t="str">
        <f t="shared" si="7"/>
        <v>syn BTCF7/BTCH7/BTCX6/BTCG7/BTCZ6</v>
      </c>
      <c r="R169" s="13">
        <f>'MKT DATA'!AB877</f>
        <v>0</v>
      </c>
    </row>
    <row r="170" spans="5:18" x14ac:dyDescent="0.25">
      <c r="E170" s="43" t="str">
        <f>'MKT DATA'!B878</f>
        <v>syn BTCF7/BTCH7/BTCG7/BTCV6/BTCZ6</v>
      </c>
      <c r="F170" s="13">
        <f>'MKT DATA'!J878</f>
        <v>1</v>
      </c>
      <c r="G170" s="8">
        <f>'MKT DATA'!K878</f>
        <v>83346</v>
      </c>
      <c r="H170" s="8">
        <f>'MKT DATA'!L878</f>
        <v>85197</v>
      </c>
      <c r="I170" s="13">
        <f>'MKT DATA'!M878</f>
        <v>1</v>
      </c>
      <c r="J170" s="43" t="str">
        <f t="shared" si="6"/>
        <v>syn BTCF7/BTCH7/BTCG7/BTCV6/BTCZ6</v>
      </c>
      <c r="K170" s="8">
        <f>'MKT DATA'!O878</f>
        <v>0</v>
      </c>
      <c r="L170" s="8">
        <f>'MKT DATA'!P878</f>
        <v>83346</v>
      </c>
      <c r="M170" s="8">
        <f>'MKT DATA'!Q878</f>
        <v>0</v>
      </c>
      <c r="N170" s="8">
        <f>'MKT DATA'!R878</f>
        <v>0</v>
      </c>
      <c r="O170" s="8">
        <f>'MKT DATA'!S878</f>
        <v>-85197</v>
      </c>
      <c r="P170" s="8">
        <f>'MKT DATA'!T878</f>
        <v>0</v>
      </c>
      <c r="Q170" s="43" t="str">
        <f t="shared" si="7"/>
        <v>syn BTCF7/BTCH7/BTCG7/BTCV6/BTCZ6</v>
      </c>
      <c r="R170" s="13">
        <f>'MKT DATA'!AB878</f>
        <v>0</v>
      </c>
    </row>
    <row r="171" spans="5:18" x14ac:dyDescent="0.25">
      <c r="E171" s="43" t="str">
        <f>'MKT DATA'!B879</f>
        <v>syn BTCF7/BTCH7/BTCG7/BTCX6/BTCZ6</v>
      </c>
      <c r="F171" s="13">
        <f>'MKT DATA'!J879</f>
        <v>1</v>
      </c>
      <c r="G171" s="8">
        <f>'MKT DATA'!K879</f>
        <v>83344</v>
      </c>
      <c r="H171" s="8">
        <f>'MKT DATA'!L879</f>
        <v>85206</v>
      </c>
      <c r="I171" s="13">
        <f>'MKT DATA'!M879</f>
        <v>1</v>
      </c>
      <c r="J171" s="43" t="str">
        <f t="shared" si="6"/>
        <v>syn BTCF7/BTCH7/BTCG7/BTCX6/BTCZ6</v>
      </c>
      <c r="K171" s="8">
        <f>'MKT DATA'!O879</f>
        <v>0</v>
      </c>
      <c r="L171" s="8">
        <f>'MKT DATA'!P879</f>
        <v>83344</v>
      </c>
      <c r="M171" s="8">
        <f>'MKT DATA'!Q879</f>
        <v>0</v>
      </c>
      <c r="N171" s="8">
        <f>'MKT DATA'!R879</f>
        <v>0</v>
      </c>
      <c r="O171" s="8">
        <f>'MKT DATA'!S879</f>
        <v>-85206</v>
      </c>
      <c r="P171" s="8">
        <f>'MKT DATA'!T879</f>
        <v>0</v>
      </c>
      <c r="Q171" s="43" t="str">
        <f t="shared" si="7"/>
        <v>syn BTCF7/BTCH7/BTCG7/BTCX6/BTCZ6</v>
      </c>
      <c r="R171" s="13">
        <f>'MKT DATA'!AB879</f>
        <v>0</v>
      </c>
    </row>
    <row r="172" spans="5:18" x14ac:dyDescent="0.25">
      <c r="E172" s="43" t="str">
        <f>'MKT DATA'!B880</f>
        <v>syn BTCG7/BTCV6/BTCX6/BTCF7/BTCZ6</v>
      </c>
      <c r="F172" s="13">
        <f>'MKT DATA'!J880</f>
        <v>1</v>
      </c>
      <c r="G172" s="8">
        <f>'MKT DATA'!K880</f>
        <v>83864</v>
      </c>
      <c r="H172" s="8">
        <f>'MKT DATA'!L880</f>
        <v>84703</v>
      </c>
      <c r="I172" s="13">
        <f>'MKT DATA'!M880</f>
        <v>1</v>
      </c>
      <c r="J172" s="43" t="str">
        <f t="shared" si="6"/>
        <v>syn BTCG7/BTCV6/BTCX6/BTCF7/BTCZ6</v>
      </c>
      <c r="K172" s="8">
        <f>'MKT DATA'!O880</f>
        <v>0</v>
      </c>
      <c r="L172" s="8">
        <f>'MKT DATA'!P880</f>
        <v>83864</v>
      </c>
      <c r="M172" s="8">
        <f>'MKT DATA'!Q880</f>
        <v>0</v>
      </c>
      <c r="N172" s="8">
        <f>'MKT DATA'!R880</f>
        <v>0</v>
      </c>
      <c r="O172" s="8">
        <f>'MKT DATA'!S880</f>
        <v>-84703</v>
      </c>
      <c r="P172" s="8">
        <f>'MKT DATA'!T880</f>
        <v>0</v>
      </c>
      <c r="Q172" s="43" t="str">
        <f t="shared" si="7"/>
        <v>syn BTCG7/BTCV6/BTCX6/BTCF7/BTCZ6</v>
      </c>
      <c r="R172" s="13">
        <f>'MKT DATA'!AB880</f>
        <v>0</v>
      </c>
    </row>
    <row r="173" spans="5:18" x14ac:dyDescent="0.25">
      <c r="E173" s="43" t="str">
        <f>'MKT DATA'!B881</f>
        <v>syn BTCG7/BTCV6/BTCX6/BTCH7/BTCZ6</v>
      </c>
      <c r="F173" s="13">
        <f>'MKT DATA'!J881</f>
        <v>1</v>
      </c>
      <c r="G173" s="8">
        <f>'MKT DATA'!K881</f>
        <v>83157</v>
      </c>
      <c r="H173" s="8">
        <f>'MKT DATA'!L881</f>
        <v>85246</v>
      </c>
      <c r="I173" s="13">
        <f>'MKT DATA'!M881</f>
        <v>1</v>
      </c>
      <c r="J173" s="43" t="str">
        <f t="shared" si="6"/>
        <v>syn BTCG7/BTCV6/BTCX6/BTCH7/BTCZ6</v>
      </c>
      <c r="K173" s="8">
        <f>'MKT DATA'!O881</f>
        <v>0</v>
      </c>
      <c r="L173" s="8">
        <f>'MKT DATA'!P881</f>
        <v>83157</v>
      </c>
      <c r="M173" s="8">
        <f>'MKT DATA'!Q881</f>
        <v>0</v>
      </c>
      <c r="N173" s="8">
        <f>'MKT DATA'!R881</f>
        <v>0</v>
      </c>
      <c r="O173" s="8">
        <f>'MKT DATA'!S881</f>
        <v>-85246</v>
      </c>
      <c r="P173" s="8">
        <f>'MKT DATA'!T881</f>
        <v>0</v>
      </c>
      <c r="Q173" s="43" t="str">
        <f t="shared" si="7"/>
        <v>syn BTCG7/BTCV6/BTCX6/BTCH7/BTCZ6</v>
      </c>
      <c r="R173" s="13">
        <f>'MKT DATA'!AB881</f>
        <v>0</v>
      </c>
    </row>
    <row r="174" spans="5:18" x14ac:dyDescent="0.25">
      <c r="E174" s="43" t="str">
        <f>'MKT DATA'!B882</f>
        <v>syn BTCG7/BTCV6/BTCF7/BTCX6/BTCZ6</v>
      </c>
      <c r="F174" s="13">
        <f>'MKT DATA'!J882</f>
        <v>1</v>
      </c>
      <c r="G174" s="8">
        <f>'MKT DATA'!K882</f>
        <v>83811</v>
      </c>
      <c r="H174" s="8">
        <f>'MKT DATA'!L882</f>
        <v>84784</v>
      </c>
      <c r="I174" s="13">
        <f>'MKT DATA'!M882</f>
        <v>1</v>
      </c>
      <c r="J174" s="43" t="str">
        <f t="shared" si="6"/>
        <v>syn BTCG7/BTCV6/BTCF7/BTCX6/BTCZ6</v>
      </c>
      <c r="K174" s="8">
        <f>'MKT DATA'!O882</f>
        <v>0</v>
      </c>
      <c r="L174" s="8">
        <f>'MKT DATA'!P882</f>
        <v>83811</v>
      </c>
      <c r="M174" s="8">
        <f>'MKT DATA'!Q882</f>
        <v>0</v>
      </c>
      <c r="N174" s="8">
        <f>'MKT DATA'!R882</f>
        <v>0</v>
      </c>
      <c r="O174" s="8">
        <f>'MKT DATA'!S882</f>
        <v>-84784</v>
      </c>
      <c r="P174" s="8">
        <f>'MKT DATA'!T882</f>
        <v>0</v>
      </c>
      <c r="Q174" s="43" t="str">
        <f t="shared" si="7"/>
        <v>syn BTCG7/BTCV6/BTCF7/BTCX6/BTCZ6</v>
      </c>
      <c r="R174" s="13">
        <f>'MKT DATA'!AB882</f>
        <v>0</v>
      </c>
    </row>
    <row r="175" spans="5:18" x14ac:dyDescent="0.25">
      <c r="E175" s="43" t="str">
        <f>'MKT DATA'!B883</f>
        <v>syn BTCG7/BTCV6/BTCF7/BTCH7/BTCZ6</v>
      </c>
      <c r="F175" s="13">
        <f>'MKT DATA'!J883</f>
        <v>1</v>
      </c>
      <c r="G175" s="8">
        <f>'MKT DATA'!K883</f>
        <v>83006</v>
      </c>
      <c r="H175" s="8">
        <f>'MKT DATA'!L883</f>
        <v>85374</v>
      </c>
      <c r="I175" s="13">
        <f>'MKT DATA'!M883</f>
        <v>1</v>
      </c>
      <c r="J175" s="43" t="str">
        <f t="shared" si="6"/>
        <v>syn BTCG7/BTCV6/BTCF7/BTCH7/BTCZ6</v>
      </c>
      <c r="K175" s="8">
        <f>'MKT DATA'!O883</f>
        <v>0</v>
      </c>
      <c r="L175" s="8">
        <f>'MKT DATA'!P883</f>
        <v>83006</v>
      </c>
      <c r="M175" s="8">
        <f>'MKT DATA'!Q883</f>
        <v>0</v>
      </c>
      <c r="N175" s="8">
        <f>'MKT DATA'!R883</f>
        <v>0</v>
      </c>
      <c r="O175" s="8">
        <f>'MKT DATA'!S883</f>
        <v>-85374</v>
      </c>
      <c r="P175" s="8">
        <f>'MKT DATA'!T883</f>
        <v>0</v>
      </c>
      <c r="Q175" s="43" t="str">
        <f t="shared" si="7"/>
        <v>syn BTCG7/BTCV6/BTCF7/BTCH7/BTCZ6</v>
      </c>
      <c r="R175" s="13">
        <f>'MKT DATA'!AB883</f>
        <v>0</v>
      </c>
    </row>
    <row r="176" spans="5:18" x14ac:dyDescent="0.25">
      <c r="E176" s="43" t="str">
        <f>'MKT DATA'!B884</f>
        <v>syn BTCG7/BTCV6/BTCH7/BTCX6/BTCZ6</v>
      </c>
      <c r="F176" s="13">
        <f>'MKT DATA'!J884</f>
        <v>1</v>
      </c>
      <c r="G176" s="8">
        <f>'MKT DATA'!K884</f>
        <v>83164</v>
      </c>
      <c r="H176" s="8">
        <f>'MKT DATA'!L884</f>
        <v>85441</v>
      </c>
      <c r="I176" s="13">
        <f>'MKT DATA'!M884</f>
        <v>1</v>
      </c>
      <c r="J176" s="43" t="str">
        <f t="shared" si="6"/>
        <v>syn BTCG7/BTCV6/BTCH7/BTCX6/BTCZ6</v>
      </c>
      <c r="K176" s="8">
        <f>'MKT DATA'!O884</f>
        <v>0</v>
      </c>
      <c r="L176" s="8">
        <f>'MKT DATA'!P884</f>
        <v>83164</v>
      </c>
      <c r="M176" s="8">
        <f>'MKT DATA'!Q884</f>
        <v>0</v>
      </c>
      <c r="N176" s="8">
        <f>'MKT DATA'!R884</f>
        <v>0</v>
      </c>
      <c r="O176" s="8">
        <f>'MKT DATA'!S884</f>
        <v>-85441</v>
      </c>
      <c r="P176" s="8">
        <f>'MKT DATA'!T884</f>
        <v>0</v>
      </c>
      <c r="Q176" s="43" t="str">
        <f t="shared" si="7"/>
        <v>syn BTCG7/BTCV6/BTCH7/BTCX6/BTCZ6</v>
      </c>
      <c r="R176" s="13">
        <f>'MKT DATA'!AB884</f>
        <v>0</v>
      </c>
    </row>
    <row r="177" spans="5:18" x14ac:dyDescent="0.25">
      <c r="E177" s="43" t="str">
        <f>'MKT DATA'!B885</f>
        <v>syn BTCG7/BTCV6/BTCH7/BTCF7/BTCZ6</v>
      </c>
      <c r="F177" s="13">
        <f>'MKT DATA'!J885</f>
        <v>1</v>
      </c>
      <c r="G177" s="8">
        <f>'MKT DATA'!K885</f>
        <v>83086</v>
      </c>
      <c r="H177" s="8">
        <f>'MKT DATA'!L885</f>
        <v>85508</v>
      </c>
      <c r="I177" s="13">
        <f>'MKT DATA'!M885</f>
        <v>1</v>
      </c>
      <c r="J177" s="43" t="str">
        <f t="shared" si="6"/>
        <v>syn BTCG7/BTCV6/BTCH7/BTCF7/BTCZ6</v>
      </c>
      <c r="K177" s="8">
        <f>'MKT DATA'!O885</f>
        <v>0</v>
      </c>
      <c r="L177" s="8">
        <f>'MKT DATA'!P885</f>
        <v>83086</v>
      </c>
      <c r="M177" s="8">
        <f>'MKT DATA'!Q885</f>
        <v>0</v>
      </c>
      <c r="N177" s="8">
        <f>'MKT DATA'!R885</f>
        <v>0</v>
      </c>
      <c r="O177" s="8">
        <f>'MKT DATA'!S885</f>
        <v>-85508</v>
      </c>
      <c r="P177" s="8">
        <f>'MKT DATA'!T885</f>
        <v>0</v>
      </c>
      <c r="Q177" s="43" t="str">
        <f t="shared" si="7"/>
        <v>syn BTCG7/BTCV6/BTCH7/BTCF7/BTCZ6</v>
      </c>
      <c r="R177" s="13">
        <f>'MKT DATA'!AB885</f>
        <v>0</v>
      </c>
    </row>
    <row r="178" spans="5:18" x14ac:dyDescent="0.25">
      <c r="E178" s="43" t="str">
        <f>'MKT DATA'!B886</f>
        <v>syn BTCG7/BTCX6/BTCV6/BTCF7/BTCZ6</v>
      </c>
      <c r="F178" s="13">
        <f>'MKT DATA'!J886</f>
        <v>1</v>
      </c>
      <c r="G178" s="8">
        <f>'MKT DATA'!K886</f>
        <v>83831</v>
      </c>
      <c r="H178" s="8">
        <f>'MKT DATA'!L886</f>
        <v>84740</v>
      </c>
      <c r="I178" s="13">
        <f>'MKT DATA'!M886</f>
        <v>1</v>
      </c>
      <c r="J178" s="43" t="str">
        <f t="shared" si="6"/>
        <v>syn BTCG7/BTCX6/BTCV6/BTCF7/BTCZ6</v>
      </c>
      <c r="K178" s="8">
        <f>'MKT DATA'!O886</f>
        <v>0</v>
      </c>
      <c r="L178" s="8">
        <f>'MKT DATA'!P886</f>
        <v>83831</v>
      </c>
      <c r="M178" s="8">
        <f>'MKT DATA'!Q886</f>
        <v>0</v>
      </c>
      <c r="N178" s="8">
        <f>'MKT DATA'!R886</f>
        <v>0</v>
      </c>
      <c r="O178" s="8">
        <f>'MKT DATA'!S886</f>
        <v>-84740</v>
      </c>
      <c r="P178" s="8">
        <f>'MKT DATA'!T886</f>
        <v>0</v>
      </c>
      <c r="Q178" s="43" t="str">
        <f t="shared" si="7"/>
        <v>syn BTCG7/BTCX6/BTCV6/BTCF7/BTCZ6</v>
      </c>
      <c r="R178" s="13">
        <f>'MKT DATA'!AB886</f>
        <v>0</v>
      </c>
    </row>
    <row r="179" spans="5:18" x14ac:dyDescent="0.25">
      <c r="E179" s="43" t="str">
        <f>'MKT DATA'!B887</f>
        <v>syn BTCG7/BTCX6/BTCV6/BTCH7/BTCZ6</v>
      </c>
      <c r="F179" s="13">
        <f>'MKT DATA'!J887</f>
        <v>1</v>
      </c>
      <c r="G179" s="8">
        <f>'MKT DATA'!K887</f>
        <v>83164</v>
      </c>
      <c r="H179" s="8">
        <f>'MKT DATA'!L887</f>
        <v>85253</v>
      </c>
      <c r="I179" s="13">
        <f>'MKT DATA'!M887</f>
        <v>1</v>
      </c>
      <c r="J179" s="43" t="str">
        <f t="shared" si="6"/>
        <v>syn BTCG7/BTCX6/BTCV6/BTCH7/BTCZ6</v>
      </c>
      <c r="K179" s="8">
        <f>'MKT DATA'!O887</f>
        <v>0</v>
      </c>
      <c r="L179" s="8">
        <f>'MKT DATA'!P887</f>
        <v>83164</v>
      </c>
      <c r="M179" s="8">
        <f>'MKT DATA'!Q887</f>
        <v>0</v>
      </c>
      <c r="N179" s="8">
        <f>'MKT DATA'!R887</f>
        <v>0</v>
      </c>
      <c r="O179" s="8">
        <f>'MKT DATA'!S887</f>
        <v>-85253</v>
      </c>
      <c r="P179" s="8">
        <f>'MKT DATA'!T887</f>
        <v>0</v>
      </c>
      <c r="Q179" s="43" t="str">
        <f t="shared" si="7"/>
        <v>syn BTCG7/BTCX6/BTCV6/BTCH7/BTCZ6</v>
      </c>
      <c r="R179" s="13">
        <f>'MKT DATA'!AB887</f>
        <v>0</v>
      </c>
    </row>
    <row r="180" spans="5:18" x14ac:dyDescent="0.25">
      <c r="E180" s="43" t="str">
        <f>'MKT DATA'!B888</f>
        <v>syn BTCG7/BTCX6/BTCF7/BTCV6/BTCZ6</v>
      </c>
      <c r="F180" s="13">
        <f>'MKT DATA'!J888</f>
        <v>1</v>
      </c>
      <c r="G180" s="8">
        <f>'MKT DATA'!K888</f>
        <v>83798</v>
      </c>
      <c r="H180" s="8">
        <f>'MKT DATA'!L888</f>
        <v>84810</v>
      </c>
      <c r="I180" s="13">
        <f>'MKT DATA'!M888</f>
        <v>1</v>
      </c>
      <c r="J180" s="43" t="str">
        <f t="shared" si="6"/>
        <v>syn BTCG7/BTCX6/BTCF7/BTCV6/BTCZ6</v>
      </c>
      <c r="K180" s="8">
        <f>'MKT DATA'!O888</f>
        <v>0</v>
      </c>
      <c r="L180" s="8">
        <f>'MKT DATA'!P888</f>
        <v>83798</v>
      </c>
      <c r="M180" s="8">
        <f>'MKT DATA'!Q888</f>
        <v>0</v>
      </c>
      <c r="N180" s="8">
        <f>'MKT DATA'!R888</f>
        <v>0</v>
      </c>
      <c r="O180" s="8">
        <f>'MKT DATA'!S888</f>
        <v>-84810</v>
      </c>
      <c r="P180" s="8">
        <f>'MKT DATA'!T888</f>
        <v>0</v>
      </c>
      <c r="Q180" s="43" t="str">
        <f t="shared" si="7"/>
        <v>syn BTCG7/BTCX6/BTCF7/BTCV6/BTCZ6</v>
      </c>
      <c r="R180" s="13">
        <f>'MKT DATA'!AB888</f>
        <v>0</v>
      </c>
    </row>
    <row r="181" spans="5:18" x14ac:dyDescent="0.25">
      <c r="E181" s="43" t="str">
        <f>'MKT DATA'!B889</f>
        <v>syn BTCG7/BTCX6/BTCF7/BTCH7/BTCZ6</v>
      </c>
      <c r="F181" s="13">
        <f>'MKT DATA'!J889</f>
        <v>1</v>
      </c>
      <c r="G181" s="8">
        <f>'MKT DATA'!K889</f>
        <v>83021</v>
      </c>
      <c r="H181" s="8">
        <f>'MKT DATA'!L889</f>
        <v>85369</v>
      </c>
      <c r="I181" s="13">
        <f>'MKT DATA'!M889</f>
        <v>1</v>
      </c>
      <c r="J181" s="43" t="str">
        <f t="shared" si="6"/>
        <v>syn BTCG7/BTCX6/BTCF7/BTCH7/BTCZ6</v>
      </c>
      <c r="K181" s="8">
        <f>'MKT DATA'!O889</f>
        <v>0</v>
      </c>
      <c r="L181" s="8">
        <f>'MKT DATA'!P889</f>
        <v>83021</v>
      </c>
      <c r="M181" s="8">
        <f>'MKT DATA'!Q889</f>
        <v>0</v>
      </c>
      <c r="N181" s="8">
        <f>'MKT DATA'!R889</f>
        <v>0</v>
      </c>
      <c r="O181" s="8">
        <f>'MKT DATA'!S889</f>
        <v>-85369</v>
      </c>
      <c r="P181" s="8">
        <f>'MKT DATA'!T889</f>
        <v>0</v>
      </c>
      <c r="Q181" s="43" t="str">
        <f t="shared" si="7"/>
        <v>syn BTCG7/BTCX6/BTCF7/BTCH7/BTCZ6</v>
      </c>
      <c r="R181" s="13">
        <f>'MKT DATA'!AB889</f>
        <v>0</v>
      </c>
    </row>
    <row r="182" spans="5:18" x14ac:dyDescent="0.25">
      <c r="E182" s="43" t="str">
        <f>'MKT DATA'!B890</f>
        <v>syn BTCG7/BTCX6/BTCH7/BTCV6/BTCZ6</v>
      </c>
      <c r="F182" s="13">
        <f>'MKT DATA'!J890</f>
        <v>1</v>
      </c>
      <c r="G182" s="8">
        <f>'MKT DATA'!K890</f>
        <v>83141</v>
      </c>
      <c r="H182" s="8">
        <f>'MKT DATA'!L890</f>
        <v>85457</v>
      </c>
      <c r="I182" s="13">
        <f>'MKT DATA'!M890</f>
        <v>1</v>
      </c>
      <c r="J182" s="43" t="str">
        <f t="shared" si="6"/>
        <v>syn BTCG7/BTCX6/BTCH7/BTCV6/BTCZ6</v>
      </c>
      <c r="K182" s="8">
        <f>'MKT DATA'!O890</f>
        <v>0</v>
      </c>
      <c r="L182" s="8">
        <f>'MKT DATA'!P890</f>
        <v>83141</v>
      </c>
      <c r="M182" s="8">
        <f>'MKT DATA'!Q890</f>
        <v>0</v>
      </c>
      <c r="N182" s="8">
        <f>'MKT DATA'!R890</f>
        <v>0</v>
      </c>
      <c r="O182" s="8">
        <f>'MKT DATA'!S890</f>
        <v>-85457</v>
      </c>
      <c r="P182" s="8">
        <f>'MKT DATA'!T890</f>
        <v>0</v>
      </c>
      <c r="Q182" s="43" t="str">
        <f t="shared" si="7"/>
        <v>syn BTCG7/BTCX6/BTCH7/BTCV6/BTCZ6</v>
      </c>
      <c r="R182" s="13">
        <f>'MKT DATA'!AB890</f>
        <v>0</v>
      </c>
    </row>
    <row r="183" spans="5:18" x14ac:dyDescent="0.25">
      <c r="E183" s="43" t="str">
        <f>'MKT DATA'!B891</f>
        <v>syn BTCG7/BTCX6/BTCH7/BTCF7/BTCZ6</v>
      </c>
      <c r="F183" s="13">
        <f>'MKT DATA'!J891</f>
        <v>1</v>
      </c>
      <c r="G183" s="8">
        <f>'MKT DATA'!K891</f>
        <v>83061</v>
      </c>
      <c r="H183" s="8">
        <f>'MKT DATA'!L891</f>
        <v>85533</v>
      </c>
      <c r="I183" s="13">
        <f>'MKT DATA'!M891</f>
        <v>1</v>
      </c>
      <c r="J183" s="43" t="str">
        <f t="shared" si="6"/>
        <v>syn BTCG7/BTCX6/BTCH7/BTCF7/BTCZ6</v>
      </c>
      <c r="K183" s="8">
        <f>'MKT DATA'!O891</f>
        <v>0</v>
      </c>
      <c r="L183" s="8">
        <f>'MKT DATA'!P891</f>
        <v>83061</v>
      </c>
      <c r="M183" s="8">
        <f>'MKT DATA'!Q891</f>
        <v>0</v>
      </c>
      <c r="N183" s="8">
        <f>'MKT DATA'!R891</f>
        <v>0</v>
      </c>
      <c r="O183" s="8">
        <f>'MKT DATA'!S891</f>
        <v>-85533</v>
      </c>
      <c r="P183" s="8">
        <f>'MKT DATA'!T891</f>
        <v>0</v>
      </c>
      <c r="Q183" s="43" t="str">
        <f t="shared" si="7"/>
        <v>syn BTCG7/BTCX6/BTCH7/BTCF7/BTCZ6</v>
      </c>
      <c r="R183" s="13">
        <f>'MKT DATA'!AB891</f>
        <v>0</v>
      </c>
    </row>
    <row r="184" spans="5:18" x14ac:dyDescent="0.25">
      <c r="E184" s="43" t="str">
        <f>'MKT DATA'!B892</f>
        <v>syn BTCG7/BTCF7/BTCV6/BTCX6/BTCZ6</v>
      </c>
      <c r="F184" s="13">
        <f>'MKT DATA'!J892</f>
        <v>1</v>
      </c>
      <c r="G184" s="8">
        <f>'MKT DATA'!K892</f>
        <v>83987</v>
      </c>
      <c r="H184" s="8">
        <f>'MKT DATA'!L892</f>
        <v>84657</v>
      </c>
      <c r="I184" s="13">
        <f>'MKT DATA'!M892</f>
        <v>1</v>
      </c>
      <c r="J184" s="43" t="str">
        <f t="shared" si="6"/>
        <v>syn BTCG7/BTCF7/BTCV6/BTCX6/BTCZ6</v>
      </c>
      <c r="K184" s="8">
        <f>'MKT DATA'!O892</f>
        <v>0</v>
      </c>
      <c r="L184" s="8">
        <f>'MKT DATA'!P892</f>
        <v>83987</v>
      </c>
      <c r="M184" s="8">
        <f>'MKT DATA'!Q892</f>
        <v>0</v>
      </c>
      <c r="N184" s="8">
        <f>'MKT DATA'!R892</f>
        <v>0</v>
      </c>
      <c r="O184" s="8">
        <f>'MKT DATA'!S892</f>
        <v>-84657</v>
      </c>
      <c r="P184" s="8">
        <f>'MKT DATA'!T892</f>
        <v>0</v>
      </c>
      <c r="Q184" s="43" t="str">
        <f t="shared" si="7"/>
        <v>syn BTCG7/BTCF7/BTCV6/BTCX6/BTCZ6</v>
      </c>
      <c r="R184" s="13">
        <f>'MKT DATA'!AB892</f>
        <v>0</v>
      </c>
    </row>
    <row r="185" spans="5:18" x14ac:dyDescent="0.25">
      <c r="E185" s="43" t="str">
        <f>'MKT DATA'!B893</f>
        <v>syn BTCG7/BTCF7/BTCV6/BTCH7/BTCZ6</v>
      </c>
      <c r="F185" s="13">
        <f>'MKT DATA'!J893</f>
        <v>1</v>
      </c>
      <c r="G185" s="8">
        <f>'MKT DATA'!K893</f>
        <v>83221</v>
      </c>
      <c r="H185" s="8">
        <f>'MKT DATA'!L893</f>
        <v>85235</v>
      </c>
      <c r="I185" s="13">
        <f>'MKT DATA'!M893</f>
        <v>1</v>
      </c>
      <c r="J185" s="43" t="str">
        <f t="shared" si="6"/>
        <v>syn BTCG7/BTCF7/BTCV6/BTCH7/BTCZ6</v>
      </c>
      <c r="K185" s="8">
        <f>'MKT DATA'!O893</f>
        <v>0</v>
      </c>
      <c r="L185" s="8">
        <f>'MKT DATA'!P893</f>
        <v>83221</v>
      </c>
      <c r="M185" s="8">
        <f>'MKT DATA'!Q893</f>
        <v>0</v>
      </c>
      <c r="N185" s="8">
        <f>'MKT DATA'!R893</f>
        <v>0</v>
      </c>
      <c r="O185" s="8">
        <f>'MKT DATA'!S893</f>
        <v>-85235</v>
      </c>
      <c r="P185" s="8">
        <f>'MKT DATA'!T893</f>
        <v>0</v>
      </c>
      <c r="Q185" s="43" t="str">
        <f t="shared" si="7"/>
        <v>syn BTCG7/BTCF7/BTCV6/BTCH7/BTCZ6</v>
      </c>
      <c r="R185" s="13">
        <f>'MKT DATA'!AB893</f>
        <v>0</v>
      </c>
    </row>
    <row r="186" spans="5:18" x14ac:dyDescent="0.25">
      <c r="E186" s="43" t="str">
        <f>'MKT DATA'!B894</f>
        <v>syn BTCG7/BTCF7/BTCX6/BTCV6/BTCZ6</v>
      </c>
      <c r="F186" s="13">
        <f>'MKT DATA'!J894</f>
        <v>1</v>
      </c>
      <c r="G186" s="8">
        <f>'MKT DATA'!K894</f>
        <v>84001</v>
      </c>
      <c r="H186" s="8">
        <f>'MKT DATA'!L894</f>
        <v>84640</v>
      </c>
      <c r="I186" s="13">
        <f>'MKT DATA'!M894</f>
        <v>1</v>
      </c>
      <c r="J186" s="43" t="str">
        <f t="shared" si="6"/>
        <v>syn BTCG7/BTCF7/BTCX6/BTCV6/BTCZ6</v>
      </c>
      <c r="K186" s="8">
        <f>'MKT DATA'!O894</f>
        <v>0</v>
      </c>
      <c r="L186" s="8">
        <f>'MKT DATA'!P894</f>
        <v>84001</v>
      </c>
      <c r="M186" s="8">
        <f>'MKT DATA'!Q894</f>
        <v>0</v>
      </c>
      <c r="N186" s="8">
        <f>'MKT DATA'!R894</f>
        <v>0</v>
      </c>
      <c r="O186" s="8">
        <f>'MKT DATA'!S894</f>
        <v>-84640</v>
      </c>
      <c r="P186" s="8">
        <f>'MKT DATA'!T894</f>
        <v>0</v>
      </c>
      <c r="Q186" s="43" t="str">
        <f t="shared" si="7"/>
        <v>syn BTCG7/BTCF7/BTCX6/BTCV6/BTCZ6</v>
      </c>
      <c r="R186" s="13">
        <f>'MKT DATA'!AB894</f>
        <v>0</v>
      </c>
    </row>
    <row r="187" spans="5:18" x14ac:dyDescent="0.25">
      <c r="E187" s="43" t="str">
        <f>'MKT DATA'!B895</f>
        <v>syn BTCG7/BTCF7/BTCX6/BTCH7/BTCZ6</v>
      </c>
      <c r="F187" s="13">
        <f>'MKT DATA'!J895</f>
        <v>1</v>
      </c>
      <c r="G187" s="8">
        <f>'MKT DATA'!K895</f>
        <v>83226</v>
      </c>
      <c r="H187" s="8">
        <f>'MKT DATA'!L895</f>
        <v>85220</v>
      </c>
      <c r="I187" s="13">
        <f>'MKT DATA'!M895</f>
        <v>1</v>
      </c>
      <c r="J187" s="43" t="str">
        <f t="shared" si="6"/>
        <v>syn BTCG7/BTCF7/BTCX6/BTCH7/BTCZ6</v>
      </c>
      <c r="K187" s="8">
        <f>'MKT DATA'!O895</f>
        <v>0</v>
      </c>
      <c r="L187" s="8">
        <f>'MKT DATA'!P895</f>
        <v>83226</v>
      </c>
      <c r="M187" s="8">
        <f>'MKT DATA'!Q895</f>
        <v>0</v>
      </c>
      <c r="N187" s="8">
        <f>'MKT DATA'!R895</f>
        <v>0</v>
      </c>
      <c r="O187" s="8">
        <f>'MKT DATA'!S895</f>
        <v>-85220</v>
      </c>
      <c r="P187" s="8">
        <f>'MKT DATA'!T895</f>
        <v>0</v>
      </c>
      <c r="Q187" s="43" t="str">
        <f t="shared" si="7"/>
        <v>syn BTCG7/BTCF7/BTCX6/BTCH7/BTCZ6</v>
      </c>
      <c r="R187" s="13">
        <f>'MKT DATA'!AB895</f>
        <v>0</v>
      </c>
    </row>
    <row r="188" spans="5:18" x14ac:dyDescent="0.25">
      <c r="E188" s="43" t="str">
        <f>'MKT DATA'!B896</f>
        <v>syn BTCG7/BTCF7/BTCH7/BTCV6/BTCZ6</v>
      </c>
      <c r="F188" s="13">
        <f>'MKT DATA'!J896</f>
        <v>1</v>
      </c>
      <c r="G188" s="8">
        <f>'MKT DATA'!K896</f>
        <v>83196</v>
      </c>
      <c r="H188" s="8">
        <f>'MKT DATA'!L896</f>
        <v>85418</v>
      </c>
      <c r="I188" s="13">
        <f>'MKT DATA'!M896</f>
        <v>1</v>
      </c>
      <c r="J188" s="43" t="str">
        <f t="shared" si="6"/>
        <v>syn BTCG7/BTCF7/BTCH7/BTCV6/BTCZ6</v>
      </c>
      <c r="K188" s="8">
        <f>'MKT DATA'!O896</f>
        <v>0</v>
      </c>
      <c r="L188" s="8">
        <f>'MKT DATA'!P896</f>
        <v>83196</v>
      </c>
      <c r="M188" s="8">
        <f>'MKT DATA'!Q896</f>
        <v>0</v>
      </c>
      <c r="N188" s="8">
        <f>'MKT DATA'!R896</f>
        <v>0</v>
      </c>
      <c r="O188" s="8">
        <f>'MKT DATA'!S896</f>
        <v>-85418</v>
      </c>
      <c r="P188" s="8">
        <f>'MKT DATA'!T896</f>
        <v>0</v>
      </c>
      <c r="Q188" s="43" t="str">
        <f t="shared" si="7"/>
        <v>syn BTCG7/BTCF7/BTCH7/BTCV6/BTCZ6</v>
      </c>
      <c r="R188" s="13">
        <f>'MKT DATA'!AB896</f>
        <v>0</v>
      </c>
    </row>
    <row r="189" spans="5:18" x14ac:dyDescent="0.25">
      <c r="E189" s="43" t="str">
        <f>'MKT DATA'!B897</f>
        <v>syn BTCG7/BTCF7/BTCH7/BTCX6/BTCZ6</v>
      </c>
      <c r="F189" s="13">
        <f>'MKT DATA'!J897</f>
        <v>1</v>
      </c>
      <c r="G189" s="8">
        <f>'MKT DATA'!K897</f>
        <v>83194</v>
      </c>
      <c r="H189" s="8">
        <f>'MKT DATA'!L897</f>
        <v>85427</v>
      </c>
      <c r="I189" s="13">
        <f>'MKT DATA'!M897</f>
        <v>1</v>
      </c>
      <c r="J189" s="43" t="str">
        <f t="shared" si="6"/>
        <v>syn BTCG7/BTCF7/BTCH7/BTCX6/BTCZ6</v>
      </c>
      <c r="K189" s="8">
        <f>'MKT DATA'!O897</f>
        <v>0</v>
      </c>
      <c r="L189" s="8">
        <f>'MKT DATA'!P897</f>
        <v>83194</v>
      </c>
      <c r="M189" s="8">
        <f>'MKT DATA'!Q897</f>
        <v>0</v>
      </c>
      <c r="N189" s="8">
        <f>'MKT DATA'!R897</f>
        <v>0</v>
      </c>
      <c r="O189" s="8">
        <f>'MKT DATA'!S897</f>
        <v>-85427</v>
      </c>
      <c r="P189" s="8">
        <f>'MKT DATA'!T897</f>
        <v>0</v>
      </c>
      <c r="Q189" s="43" t="str">
        <f t="shared" si="7"/>
        <v>syn BTCG7/BTCF7/BTCH7/BTCX6/BTCZ6</v>
      </c>
      <c r="R189" s="13">
        <f>'MKT DATA'!AB897</f>
        <v>0</v>
      </c>
    </row>
    <row r="190" spans="5:18" x14ac:dyDescent="0.25">
      <c r="E190" s="43" t="str">
        <f>'MKT DATA'!B898</f>
        <v>syn BTCG7/BTCH7/BTCV6/BTCX6/BTCZ6</v>
      </c>
      <c r="F190" s="13">
        <f>'MKT DATA'!J898</f>
        <v>1</v>
      </c>
      <c r="G190" s="8">
        <f>'MKT DATA'!K898</f>
        <v>83591</v>
      </c>
      <c r="H190" s="8">
        <f>'MKT DATA'!L898</f>
        <v>85062</v>
      </c>
      <c r="I190" s="13">
        <f>'MKT DATA'!M898</f>
        <v>1</v>
      </c>
      <c r="J190" s="43" t="str">
        <f t="shared" si="6"/>
        <v>syn BTCG7/BTCH7/BTCV6/BTCX6/BTCZ6</v>
      </c>
      <c r="K190" s="8">
        <f>'MKT DATA'!O898</f>
        <v>0</v>
      </c>
      <c r="L190" s="8">
        <f>'MKT DATA'!P898</f>
        <v>83591</v>
      </c>
      <c r="M190" s="8">
        <f>'MKT DATA'!Q898</f>
        <v>0</v>
      </c>
      <c r="N190" s="8">
        <f>'MKT DATA'!R898</f>
        <v>0</v>
      </c>
      <c r="O190" s="8">
        <f>'MKT DATA'!S898</f>
        <v>-85062</v>
      </c>
      <c r="P190" s="8">
        <f>'MKT DATA'!T898</f>
        <v>0</v>
      </c>
      <c r="Q190" s="43" t="str">
        <f t="shared" si="7"/>
        <v>syn BTCG7/BTCH7/BTCV6/BTCX6/BTCZ6</v>
      </c>
      <c r="R190" s="13">
        <f>'MKT DATA'!AB898</f>
        <v>0</v>
      </c>
    </row>
    <row r="191" spans="5:18" x14ac:dyDescent="0.25">
      <c r="E191" s="43" t="str">
        <f>'MKT DATA'!B899</f>
        <v>syn BTCG7/BTCH7/BTCV6/BTCF7/BTCZ6</v>
      </c>
      <c r="F191" s="13">
        <f>'MKT DATA'!J899</f>
        <v>1</v>
      </c>
      <c r="G191" s="8">
        <f>'MKT DATA'!K899</f>
        <v>83492</v>
      </c>
      <c r="H191" s="8">
        <f>'MKT DATA'!L899</f>
        <v>85127</v>
      </c>
      <c r="I191" s="13">
        <f>'MKT DATA'!M899</f>
        <v>1</v>
      </c>
      <c r="J191" s="43" t="str">
        <f t="shared" si="6"/>
        <v>syn BTCG7/BTCH7/BTCV6/BTCF7/BTCZ6</v>
      </c>
      <c r="K191" s="8">
        <f>'MKT DATA'!O899</f>
        <v>0</v>
      </c>
      <c r="L191" s="8">
        <f>'MKT DATA'!P899</f>
        <v>83492</v>
      </c>
      <c r="M191" s="8">
        <f>'MKT DATA'!Q899</f>
        <v>0</v>
      </c>
      <c r="N191" s="8">
        <f>'MKT DATA'!R899</f>
        <v>0</v>
      </c>
      <c r="O191" s="8">
        <f>'MKT DATA'!S899</f>
        <v>-85127</v>
      </c>
      <c r="P191" s="8">
        <f>'MKT DATA'!T899</f>
        <v>0</v>
      </c>
      <c r="Q191" s="43" t="str">
        <f t="shared" si="7"/>
        <v>syn BTCG7/BTCH7/BTCV6/BTCF7/BTCZ6</v>
      </c>
      <c r="R191" s="13">
        <f>'MKT DATA'!AB899</f>
        <v>0</v>
      </c>
    </row>
    <row r="192" spans="5:18" x14ac:dyDescent="0.25">
      <c r="E192" s="43" t="str">
        <f>'MKT DATA'!B900</f>
        <v>syn BTCG7/BTCH7/BTCX6/BTCV6/BTCZ6</v>
      </c>
      <c r="F192" s="13">
        <f>'MKT DATA'!J900</f>
        <v>1</v>
      </c>
      <c r="G192" s="8">
        <f>'MKT DATA'!K900</f>
        <v>83575</v>
      </c>
      <c r="H192" s="8">
        <f>'MKT DATA'!L900</f>
        <v>85085</v>
      </c>
      <c r="I192" s="13">
        <f>'MKT DATA'!M900</f>
        <v>1</v>
      </c>
      <c r="J192" s="43" t="str">
        <f t="shared" si="6"/>
        <v>syn BTCG7/BTCH7/BTCX6/BTCV6/BTCZ6</v>
      </c>
      <c r="K192" s="8">
        <f>'MKT DATA'!O900</f>
        <v>0</v>
      </c>
      <c r="L192" s="8">
        <f>'MKT DATA'!P900</f>
        <v>83575</v>
      </c>
      <c r="M192" s="8">
        <f>'MKT DATA'!Q900</f>
        <v>0</v>
      </c>
      <c r="N192" s="8">
        <f>'MKT DATA'!R900</f>
        <v>0</v>
      </c>
      <c r="O192" s="8">
        <f>'MKT DATA'!S900</f>
        <v>-85085</v>
      </c>
      <c r="P192" s="8">
        <f>'MKT DATA'!T900</f>
        <v>0</v>
      </c>
      <c r="Q192" s="43" t="str">
        <f t="shared" si="7"/>
        <v>syn BTCG7/BTCH7/BTCX6/BTCV6/BTCZ6</v>
      </c>
      <c r="R192" s="13">
        <f>'MKT DATA'!AB900</f>
        <v>0</v>
      </c>
    </row>
    <row r="193" spans="5:18" x14ac:dyDescent="0.25">
      <c r="E193" s="43" t="str">
        <f>'MKT DATA'!B901</f>
        <v>syn BTCG7/BTCH7/BTCX6/BTCF7/BTCZ6</v>
      </c>
      <c r="F193" s="13">
        <f>'MKT DATA'!J901</f>
        <v>1</v>
      </c>
      <c r="G193" s="8">
        <f>'MKT DATA'!K901</f>
        <v>83507</v>
      </c>
      <c r="H193" s="8">
        <f>'MKT DATA'!L901</f>
        <v>85122</v>
      </c>
      <c r="I193" s="13">
        <f>'MKT DATA'!M901</f>
        <v>1</v>
      </c>
      <c r="J193" s="43" t="str">
        <f t="shared" si="6"/>
        <v>syn BTCG7/BTCH7/BTCX6/BTCF7/BTCZ6</v>
      </c>
      <c r="K193" s="8">
        <f>'MKT DATA'!O901</f>
        <v>0</v>
      </c>
      <c r="L193" s="8">
        <f>'MKT DATA'!P901</f>
        <v>83507</v>
      </c>
      <c r="M193" s="8">
        <f>'MKT DATA'!Q901</f>
        <v>0</v>
      </c>
      <c r="N193" s="8">
        <f>'MKT DATA'!R901</f>
        <v>0</v>
      </c>
      <c r="O193" s="8">
        <f>'MKT DATA'!S901</f>
        <v>-85122</v>
      </c>
      <c r="P193" s="8">
        <f>'MKT DATA'!T901</f>
        <v>0</v>
      </c>
      <c r="Q193" s="43" t="str">
        <f t="shared" si="7"/>
        <v>syn BTCG7/BTCH7/BTCX6/BTCF7/BTCZ6</v>
      </c>
      <c r="R193" s="13">
        <f>'MKT DATA'!AB901</f>
        <v>0</v>
      </c>
    </row>
    <row r="194" spans="5:18" x14ac:dyDescent="0.25">
      <c r="E194" s="43" t="str">
        <f>'MKT DATA'!B902</f>
        <v>syn BTCG7/BTCH7/BTCF7/BTCV6/BTCZ6</v>
      </c>
      <c r="F194" s="13">
        <f>'MKT DATA'!J902</f>
        <v>1</v>
      </c>
      <c r="G194" s="8">
        <f>'MKT DATA'!K902</f>
        <v>83447</v>
      </c>
      <c r="H194" s="8">
        <f>'MKT DATA'!L902</f>
        <v>85236</v>
      </c>
      <c r="I194" s="13">
        <f>'MKT DATA'!M902</f>
        <v>1</v>
      </c>
      <c r="J194" s="43" t="str">
        <f t="shared" si="6"/>
        <v>syn BTCG7/BTCH7/BTCF7/BTCV6/BTCZ6</v>
      </c>
      <c r="K194" s="8">
        <f>'MKT DATA'!O902</f>
        <v>0</v>
      </c>
      <c r="L194" s="8">
        <f>'MKT DATA'!P902</f>
        <v>83447</v>
      </c>
      <c r="M194" s="8">
        <f>'MKT DATA'!Q902</f>
        <v>0</v>
      </c>
      <c r="N194" s="8">
        <f>'MKT DATA'!R902</f>
        <v>0</v>
      </c>
      <c r="O194" s="8">
        <f>'MKT DATA'!S902</f>
        <v>-85236</v>
      </c>
      <c r="P194" s="8">
        <f>'MKT DATA'!T902</f>
        <v>0</v>
      </c>
      <c r="Q194" s="43" t="str">
        <f t="shared" si="7"/>
        <v>syn BTCG7/BTCH7/BTCF7/BTCV6/BTCZ6</v>
      </c>
      <c r="R194" s="13">
        <f>'MKT DATA'!AB902</f>
        <v>0</v>
      </c>
    </row>
    <row r="195" spans="5:18" x14ac:dyDescent="0.25">
      <c r="E195" s="43" t="str">
        <f>'MKT DATA'!B903</f>
        <v>syn BTCG7/BTCH7/BTCF7/BTCX6/BTCZ6</v>
      </c>
      <c r="F195" s="13">
        <f>'MKT DATA'!J903</f>
        <v>1</v>
      </c>
      <c r="G195" s="8">
        <f>'MKT DATA'!K903</f>
        <v>83475</v>
      </c>
      <c r="H195" s="8">
        <f>'MKT DATA'!L903</f>
        <v>85205</v>
      </c>
      <c r="I195" s="13">
        <f>'MKT DATA'!M903</f>
        <v>1</v>
      </c>
      <c r="J195" s="43" t="str">
        <f t="shared" si="6"/>
        <v>syn BTCG7/BTCH7/BTCF7/BTCX6/BTCZ6</v>
      </c>
      <c r="K195" s="8">
        <f>'MKT DATA'!O903</f>
        <v>0</v>
      </c>
      <c r="L195" s="8">
        <f>'MKT DATA'!P903</f>
        <v>83475</v>
      </c>
      <c r="M195" s="8">
        <f>'MKT DATA'!Q903</f>
        <v>0</v>
      </c>
      <c r="N195" s="8">
        <f>'MKT DATA'!R903</f>
        <v>0</v>
      </c>
      <c r="O195" s="8">
        <f>'MKT DATA'!S903</f>
        <v>-85205</v>
      </c>
      <c r="P195" s="8">
        <f>'MKT DATA'!T903</f>
        <v>0</v>
      </c>
      <c r="Q195" s="43" t="str">
        <f t="shared" si="7"/>
        <v>syn BTCG7/BTCH7/BTCF7/BTCX6/BTCZ6</v>
      </c>
      <c r="R195" s="13">
        <f>'MKT DATA'!AB903</f>
        <v>0</v>
      </c>
    </row>
    <row r="196" spans="5:18" x14ac:dyDescent="0.25">
      <c r="E196" s="43" t="str">
        <f>'MKT DATA'!B904</f>
        <v>syn BTCH7/BTCV6/BTCX6/BTCF7/BTCZ6</v>
      </c>
      <c r="F196" s="13">
        <f>'MKT DATA'!J904</f>
        <v>1</v>
      </c>
      <c r="G196" s="8">
        <f>'MKT DATA'!K904</f>
        <v>83454</v>
      </c>
      <c r="H196" s="8">
        <f>'MKT DATA'!L904</f>
        <v>85113</v>
      </c>
      <c r="I196" s="13">
        <f>'MKT DATA'!M904</f>
        <v>1</v>
      </c>
      <c r="J196" s="43" t="str">
        <f t="shared" si="6"/>
        <v>syn BTCH7/BTCV6/BTCX6/BTCF7/BTCZ6</v>
      </c>
      <c r="K196" s="8">
        <f>'MKT DATA'!O904</f>
        <v>0</v>
      </c>
      <c r="L196" s="8">
        <f>'MKT DATA'!P904</f>
        <v>83454</v>
      </c>
      <c r="M196" s="8">
        <f>'MKT DATA'!Q904</f>
        <v>0</v>
      </c>
      <c r="N196" s="8">
        <f>'MKT DATA'!R904</f>
        <v>0</v>
      </c>
      <c r="O196" s="8">
        <f>'MKT DATA'!S904</f>
        <v>-85113</v>
      </c>
      <c r="P196" s="8">
        <f>'MKT DATA'!T904</f>
        <v>0</v>
      </c>
      <c r="Q196" s="43" t="str">
        <f t="shared" si="7"/>
        <v>syn BTCH7/BTCV6/BTCX6/BTCF7/BTCZ6</v>
      </c>
      <c r="R196" s="13">
        <f>'MKT DATA'!AB904</f>
        <v>0</v>
      </c>
    </row>
    <row r="197" spans="5:18" x14ac:dyDescent="0.25">
      <c r="E197" s="43" t="str">
        <f>'MKT DATA'!B905</f>
        <v>syn BTCH7/BTCV6/BTCX6/BTCG7/BTCZ6</v>
      </c>
      <c r="F197" s="13">
        <f>'MKT DATA'!J905</f>
        <v>1</v>
      </c>
      <c r="G197" s="8">
        <f>'MKT DATA'!K905</f>
        <v>83127</v>
      </c>
      <c r="H197" s="8">
        <f>'MKT DATA'!L905</f>
        <v>85456</v>
      </c>
      <c r="I197" s="13">
        <f>'MKT DATA'!M905</f>
        <v>1</v>
      </c>
      <c r="J197" s="43" t="str">
        <f t="shared" si="6"/>
        <v>syn BTCH7/BTCV6/BTCX6/BTCG7/BTCZ6</v>
      </c>
      <c r="K197" s="8">
        <f>'MKT DATA'!O905</f>
        <v>0</v>
      </c>
      <c r="L197" s="8">
        <f>'MKT DATA'!P905</f>
        <v>83127</v>
      </c>
      <c r="M197" s="8">
        <f>'MKT DATA'!Q905</f>
        <v>0</v>
      </c>
      <c r="N197" s="8">
        <f>'MKT DATA'!R905</f>
        <v>0</v>
      </c>
      <c r="O197" s="8">
        <f>'MKT DATA'!S905</f>
        <v>-85456</v>
      </c>
      <c r="P197" s="8">
        <f>'MKT DATA'!T905</f>
        <v>0</v>
      </c>
      <c r="Q197" s="43" t="str">
        <f t="shared" si="7"/>
        <v>syn BTCH7/BTCV6/BTCX6/BTCG7/BTCZ6</v>
      </c>
      <c r="R197" s="13">
        <f>'MKT DATA'!AB905</f>
        <v>0</v>
      </c>
    </row>
    <row r="198" spans="5:18" x14ac:dyDescent="0.25">
      <c r="E198" s="43" t="str">
        <f>'MKT DATA'!B906</f>
        <v>syn BTCH7/BTCV6/BTCF7/BTCX6/BTCZ6</v>
      </c>
      <c r="F198" s="13">
        <f>'MKT DATA'!J906</f>
        <v>1</v>
      </c>
      <c r="G198" s="8">
        <f>'MKT DATA'!K906</f>
        <v>83401</v>
      </c>
      <c r="H198" s="8">
        <f>'MKT DATA'!L906</f>
        <v>85194</v>
      </c>
      <c r="I198" s="13">
        <f>'MKT DATA'!M906</f>
        <v>1</v>
      </c>
      <c r="J198" s="43" t="str">
        <f t="shared" si="6"/>
        <v>syn BTCH7/BTCV6/BTCF7/BTCX6/BTCZ6</v>
      </c>
      <c r="K198" s="8">
        <f>'MKT DATA'!O906</f>
        <v>0</v>
      </c>
      <c r="L198" s="8">
        <f>'MKT DATA'!P906</f>
        <v>83401</v>
      </c>
      <c r="M198" s="8">
        <f>'MKT DATA'!Q906</f>
        <v>0</v>
      </c>
      <c r="N198" s="8">
        <f>'MKT DATA'!R906</f>
        <v>0</v>
      </c>
      <c r="O198" s="8">
        <f>'MKT DATA'!S906</f>
        <v>-85194</v>
      </c>
      <c r="P198" s="8">
        <f>'MKT DATA'!T906</f>
        <v>0</v>
      </c>
      <c r="Q198" s="43" t="str">
        <f t="shared" si="7"/>
        <v>syn BTCH7/BTCV6/BTCF7/BTCX6/BTCZ6</v>
      </c>
      <c r="R198" s="13">
        <f>'MKT DATA'!AB906</f>
        <v>0</v>
      </c>
    </row>
    <row r="199" spans="5:18" x14ac:dyDescent="0.25">
      <c r="E199" s="43" t="str">
        <f>'MKT DATA'!B907</f>
        <v>syn BTCH7/BTCV6/BTCF7/BTCG7/BTCZ6</v>
      </c>
      <c r="F199" s="13">
        <f>'MKT DATA'!J907</f>
        <v>1</v>
      </c>
      <c r="G199" s="8">
        <f>'MKT DATA'!K907</f>
        <v>83145</v>
      </c>
      <c r="H199" s="8">
        <f>'MKT DATA'!L907</f>
        <v>85399</v>
      </c>
      <c r="I199" s="13">
        <f>'MKT DATA'!M907</f>
        <v>1</v>
      </c>
      <c r="J199" s="43" t="str">
        <f t="shared" si="6"/>
        <v>syn BTCH7/BTCV6/BTCF7/BTCG7/BTCZ6</v>
      </c>
      <c r="K199" s="8">
        <f>'MKT DATA'!O907</f>
        <v>0</v>
      </c>
      <c r="L199" s="8">
        <f>'MKT DATA'!P907</f>
        <v>83145</v>
      </c>
      <c r="M199" s="8">
        <f>'MKT DATA'!Q907</f>
        <v>0</v>
      </c>
      <c r="N199" s="8">
        <f>'MKT DATA'!R907</f>
        <v>0</v>
      </c>
      <c r="O199" s="8">
        <f>'MKT DATA'!S907</f>
        <v>-85399</v>
      </c>
      <c r="P199" s="8">
        <f>'MKT DATA'!T907</f>
        <v>0</v>
      </c>
      <c r="Q199" s="43" t="str">
        <f t="shared" si="7"/>
        <v>syn BTCH7/BTCV6/BTCF7/BTCG7/BTCZ6</v>
      </c>
      <c r="R199" s="13">
        <f>'MKT DATA'!AB907</f>
        <v>0</v>
      </c>
    </row>
    <row r="200" spans="5:18" x14ac:dyDescent="0.25">
      <c r="E200" s="43" t="str">
        <f>'MKT DATA'!B908</f>
        <v>syn BTCH7/BTCV6/BTCG7/BTCX6/BTCZ6</v>
      </c>
      <c r="F200" s="13">
        <f>'MKT DATA'!J908</f>
        <v>1</v>
      </c>
      <c r="G200" s="8">
        <f>'MKT DATA'!K908</f>
        <v>83164</v>
      </c>
      <c r="H200" s="8">
        <f>'MKT DATA'!L908</f>
        <v>85441</v>
      </c>
      <c r="I200" s="13">
        <f>'MKT DATA'!M908</f>
        <v>1</v>
      </c>
      <c r="J200" s="43" t="str">
        <f t="shared" si="6"/>
        <v>syn BTCH7/BTCV6/BTCG7/BTCX6/BTCZ6</v>
      </c>
      <c r="K200" s="8">
        <f>'MKT DATA'!O908</f>
        <v>0</v>
      </c>
      <c r="L200" s="8">
        <f>'MKT DATA'!P908</f>
        <v>83164</v>
      </c>
      <c r="M200" s="8">
        <f>'MKT DATA'!Q908</f>
        <v>0</v>
      </c>
      <c r="N200" s="8">
        <f>'MKT DATA'!R908</f>
        <v>0</v>
      </c>
      <c r="O200" s="8">
        <f>'MKT DATA'!S908</f>
        <v>-85441</v>
      </c>
      <c r="P200" s="8">
        <f>'MKT DATA'!T908</f>
        <v>0</v>
      </c>
      <c r="Q200" s="43" t="str">
        <f t="shared" si="7"/>
        <v>syn BTCH7/BTCV6/BTCG7/BTCX6/BTCZ6</v>
      </c>
      <c r="R200" s="13">
        <f>'MKT DATA'!AB908</f>
        <v>0</v>
      </c>
    </row>
    <row r="201" spans="5:18" x14ac:dyDescent="0.25">
      <c r="E201" s="43" t="str">
        <f>'MKT DATA'!B909</f>
        <v>syn BTCH7/BTCV6/BTCG7/BTCF7/BTCZ6</v>
      </c>
      <c r="F201" s="13">
        <f>'MKT DATA'!J909</f>
        <v>1</v>
      </c>
      <c r="G201" s="8">
        <f>'MKT DATA'!K909</f>
        <v>83271</v>
      </c>
      <c r="H201" s="8">
        <f>'MKT DATA'!L909</f>
        <v>85339</v>
      </c>
      <c r="I201" s="13">
        <f>'MKT DATA'!M909</f>
        <v>1</v>
      </c>
      <c r="J201" s="43" t="str">
        <f t="shared" si="6"/>
        <v>syn BTCH7/BTCV6/BTCG7/BTCF7/BTCZ6</v>
      </c>
      <c r="K201" s="8">
        <f>'MKT DATA'!O909</f>
        <v>0</v>
      </c>
      <c r="L201" s="8">
        <f>'MKT DATA'!P909</f>
        <v>83271</v>
      </c>
      <c r="M201" s="8">
        <f>'MKT DATA'!Q909</f>
        <v>0</v>
      </c>
      <c r="N201" s="8">
        <f>'MKT DATA'!R909</f>
        <v>0</v>
      </c>
      <c r="O201" s="8">
        <f>'MKT DATA'!S909</f>
        <v>-85339</v>
      </c>
      <c r="P201" s="8">
        <f>'MKT DATA'!T909</f>
        <v>0</v>
      </c>
      <c r="Q201" s="43" t="str">
        <f t="shared" si="7"/>
        <v>syn BTCH7/BTCV6/BTCG7/BTCF7/BTCZ6</v>
      </c>
      <c r="R201" s="13">
        <f>'MKT DATA'!AB909</f>
        <v>0</v>
      </c>
    </row>
    <row r="202" spans="5:18" x14ac:dyDescent="0.25">
      <c r="E202" s="43" t="str">
        <f>'MKT DATA'!B910</f>
        <v>syn BTCH7/BTCX6/BTCV6/BTCF7/BTCZ6</v>
      </c>
      <c r="F202" s="13">
        <f>'MKT DATA'!J910</f>
        <v>1</v>
      </c>
      <c r="G202" s="8">
        <f>'MKT DATA'!K910</f>
        <v>83421</v>
      </c>
      <c r="H202" s="8">
        <f>'MKT DATA'!L910</f>
        <v>85150</v>
      </c>
      <c r="I202" s="13">
        <f>'MKT DATA'!M910</f>
        <v>1</v>
      </c>
      <c r="J202" s="43" t="str">
        <f t="shared" ref="J202:J265" si="8">E202</f>
        <v>syn BTCH7/BTCX6/BTCV6/BTCF7/BTCZ6</v>
      </c>
      <c r="K202" s="8">
        <f>'MKT DATA'!O910</f>
        <v>0</v>
      </c>
      <c r="L202" s="8">
        <f>'MKT DATA'!P910</f>
        <v>83421</v>
      </c>
      <c r="M202" s="8">
        <f>'MKT DATA'!Q910</f>
        <v>0</v>
      </c>
      <c r="N202" s="8">
        <f>'MKT DATA'!R910</f>
        <v>0</v>
      </c>
      <c r="O202" s="8">
        <f>'MKT DATA'!S910</f>
        <v>-85150</v>
      </c>
      <c r="P202" s="8">
        <f>'MKT DATA'!T910</f>
        <v>0</v>
      </c>
      <c r="Q202" s="43" t="str">
        <f t="shared" ref="Q202:Q265" si="9">J202</f>
        <v>syn BTCH7/BTCX6/BTCV6/BTCF7/BTCZ6</v>
      </c>
      <c r="R202" s="13">
        <f>'MKT DATA'!AB910</f>
        <v>0</v>
      </c>
    </row>
    <row r="203" spans="5:18" x14ac:dyDescent="0.25">
      <c r="E203" s="43" t="str">
        <f>'MKT DATA'!B911</f>
        <v>syn BTCH7/BTCX6/BTCV6/BTCG7/BTCZ6</v>
      </c>
      <c r="F203" s="13">
        <f>'MKT DATA'!J911</f>
        <v>1</v>
      </c>
      <c r="G203" s="8">
        <f>'MKT DATA'!K911</f>
        <v>83134</v>
      </c>
      <c r="H203" s="8">
        <f>'MKT DATA'!L911</f>
        <v>85463</v>
      </c>
      <c r="I203" s="13">
        <f>'MKT DATA'!M911</f>
        <v>1</v>
      </c>
      <c r="J203" s="43" t="str">
        <f t="shared" si="8"/>
        <v>syn BTCH7/BTCX6/BTCV6/BTCG7/BTCZ6</v>
      </c>
      <c r="K203" s="8">
        <f>'MKT DATA'!O911</f>
        <v>0</v>
      </c>
      <c r="L203" s="8">
        <f>'MKT DATA'!P911</f>
        <v>83134</v>
      </c>
      <c r="M203" s="8">
        <f>'MKT DATA'!Q911</f>
        <v>0</v>
      </c>
      <c r="N203" s="8">
        <f>'MKT DATA'!R911</f>
        <v>0</v>
      </c>
      <c r="O203" s="8">
        <f>'MKT DATA'!S911</f>
        <v>-85463</v>
      </c>
      <c r="P203" s="8">
        <f>'MKT DATA'!T911</f>
        <v>0</v>
      </c>
      <c r="Q203" s="43" t="str">
        <f t="shared" si="9"/>
        <v>syn BTCH7/BTCX6/BTCV6/BTCG7/BTCZ6</v>
      </c>
      <c r="R203" s="13">
        <f>'MKT DATA'!AB911</f>
        <v>0</v>
      </c>
    </row>
    <row r="204" spans="5:18" x14ac:dyDescent="0.25">
      <c r="E204" s="43" t="str">
        <f>'MKT DATA'!B912</f>
        <v>syn BTCH7/BTCX6/BTCF7/BTCV6/BTCZ6</v>
      </c>
      <c r="F204" s="13">
        <f>'MKT DATA'!J912</f>
        <v>1</v>
      </c>
      <c r="G204" s="8">
        <f>'MKT DATA'!K912</f>
        <v>83388</v>
      </c>
      <c r="H204" s="8">
        <f>'MKT DATA'!L912</f>
        <v>85220</v>
      </c>
      <c r="I204" s="13">
        <f>'MKT DATA'!M912</f>
        <v>1</v>
      </c>
      <c r="J204" s="43" t="str">
        <f t="shared" si="8"/>
        <v>syn BTCH7/BTCX6/BTCF7/BTCV6/BTCZ6</v>
      </c>
      <c r="K204" s="8">
        <f>'MKT DATA'!O912</f>
        <v>0</v>
      </c>
      <c r="L204" s="8">
        <f>'MKT DATA'!P912</f>
        <v>83388</v>
      </c>
      <c r="M204" s="8">
        <f>'MKT DATA'!Q912</f>
        <v>0</v>
      </c>
      <c r="N204" s="8">
        <f>'MKT DATA'!R912</f>
        <v>0</v>
      </c>
      <c r="O204" s="8">
        <f>'MKT DATA'!S912</f>
        <v>-85220</v>
      </c>
      <c r="P204" s="8">
        <f>'MKT DATA'!T912</f>
        <v>0</v>
      </c>
      <c r="Q204" s="43" t="str">
        <f t="shared" si="9"/>
        <v>syn BTCH7/BTCX6/BTCF7/BTCV6/BTCZ6</v>
      </c>
      <c r="R204" s="13">
        <f>'MKT DATA'!AB912</f>
        <v>0</v>
      </c>
    </row>
    <row r="205" spans="5:18" x14ac:dyDescent="0.25">
      <c r="E205" s="43" t="str">
        <f>'MKT DATA'!B913</f>
        <v>syn BTCH7/BTCX6/BTCF7/BTCG7/BTCZ6</v>
      </c>
      <c r="F205" s="13">
        <f>'MKT DATA'!J913</f>
        <v>1</v>
      </c>
      <c r="G205" s="8">
        <f>'MKT DATA'!K913</f>
        <v>83160</v>
      </c>
      <c r="H205" s="8">
        <f>'MKT DATA'!L913</f>
        <v>85394</v>
      </c>
      <c r="I205" s="13">
        <f>'MKT DATA'!M913</f>
        <v>1</v>
      </c>
      <c r="J205" s="43" t="str">
        <f t="shared" si="8"/>
        <v>syn BTCH7/BTCX6/BTCF7/BTCG7/BTCZ6</v>
      </c>
      <c r="K205" s="8">
        <f>'MKT DATA'!O913</f>
        <v>0</v>
      </c>
      <c r="L205" s="8">
        <f>'MKT DATA'!P913</f>
        <v>83160</v>
      </c>
      <c r="M205" s="8">
        <f>'MKT DATA'!Q913</f>
        <v>0</v>
      </c>
      <c r="N205" s="8">
        <f>'MKT DATA'!R913</f>
        <v>0</v>
      </c>
      <c r="O205" s="8">
        <f>'MKT DATA'!S913</f>
        <v>-85394</v>
      </c>
      <c r="P205" s="8">
        <f>'MKT DATA'!T913</f>
        <v>0</v>
      </c>
      <c r="Q205" s="43" t="str">
        <f t="shared" si="9"/>
        <v>syn BTCH7/BTCX6/BTCF7/BTCG7/BTCZ6</v>
      </c>
      <c r="R205" s="13">
        <f>'MKT DATA'!AB913</f>
        <v>0</v>
      </c>
    </row>
    <row r="206" spans="5:18" x14ac:dyDescent="0.25">
      <c r="E206" s="43" t="str">
        <f>'MKT DATA'!B914</f>
        <v>syn BTCH7/BTCX6/BTCG7/BTCV6/BTCZ6</v>
      </c>
      <c r="F206" s="13">
        <f>'MKT DATA'!J914</f>
        <v>1</v>
      </c>
      <c r="G206" s="8">
        <f>'MKT DATA'!K914</f>
        <v>83141</v>
      </c>
      <c r="H206" s="8">
        <f>'MKT DATA'!L914</f>
        <v>85457</v>
      </c>
      <c r="I206" s="13">
        <f>'MKT DATA'!M914</f>
        <v>1</v>
      </c>
      <c r="J206" s="43" t="str">
        <f t="shared" si="8"/>
        <v>syn BTCH7/BTCX6/BTCG7/BTCV6/BTCZ6</v>
      </c>
      <c r="K206" s="8">
        <f>'MKT DATA'!O914</f>
        <v>0</v>
      </c>
      <c r="L206" s="8">
        <f>'MKT DATA'!P914</f>
        <v>83141</v>
      </c>
      <c r="M206" s="8">
        <f>'MKT DATA'!Q914</f>
        <v>0</v>
      </c>
      <c r="N206" s="8">
        <f>'MKT DATA'!R914</f>
        <v>0</v>
      </c>
      <c r="O206" s="8">
        <f>'MKT DATA'!S914</f>
        <v>-85457</v>
      </c>
      <c r="P206" s="8">
        <f>'MKT DATA'!T914</f>
        <v>0</v>
      </c>
      <c r="Q206" s="43" t="str">
        <f t="shared" si="9"/>
        <v>syn BTCH7/BTCX6/BTCG7/BTCV6/BTCZ6</v>
      </c>
      <c r="R206" s="13">
        <f>'MKT DATA'!AB914</f>
        <v>0</v>
      </c>
    </row>
    <row r="207" spans="5:18" x14ac:dyDescent="0.25">
      <c r="E207" s="43" t="str">
        <f>'MKT DATA'!B915</f>
        <v>syn BTCH7/BTCX6/BTCG7/BTCF7/BTCZ6</v>
      </c>
      <c r="F207" s="13">
        <f>'MKT DATA'!J915</f>
        <v>1</v>
      </c>
      <c r="G207" s="8">
        <f>'MKT DATA'!K915</f>
        <v>83246</v>
      </c>
      <c r="H207" s="8">
        <f>'MKT DATA'!L915</f>
        <v>85364</v>
      </c>
      <c r="I207" s="13">
        <f>'MKT DATA'!M915</f>
        <v>1</v>
      </c>
      <c r="J207" s="43" t="str">
        <f t="shared" si="8"/>
        <v>syn BTCH7/BTCX6/BTCG7/BTCF7/BTCZ6</v>
      </c>
      <c r="K207" s="8">
        <f>'MKT DATA'!O915</f>
        <v>0</v>
      </c>
      <c r="L207" s="8">
        <f>'MKT DATA'!P915</f>
        <v>83246</v>
      </c>
      <c r="M207" s="8">
        <f>'MKT DATA'!Q915</f>
        <v>0</v>
      </c>
      <c r="N207" s="8">
        <f>'MKT DATA'!R915</f>
        <v>0</v>
      </c>
      <c r="O207" s="8">
        <f>'MKT DATA'!S915</f>
        <v>-85364</v>
      </c>
      <c r="P207" s="8">
        <f>'MKT DATA'!T915</f>
        <v>0</v>
      </c>
      <c r="Q207" s="43" t="str">
        <f t="shared" si="9"/>
        <v>syn BTCH7/BTCX6/BTCG7/BTCF7/BTCZ6</v>
      </c>
      <c r="R207" s="13">
        <f>'MKT DATA'!AB915</f>
        <v>0</v>
      </c>
    </row>
    <row r="208" spans="5:18" x14ac:dyDescent="0.25">
      <c r="E208" s="43" t="str">
        <f>'MKT DATA'!B916</f>
        <v>syn BTCH7/BTCF7/BTCV6/BTCX6/BTCZ6</v>
      </c>
      <c r="F208" s="13">
        <f>'MKT DATA'!J916</f>
        <v>1</v>
      </c>
      <c r="G208" s="8">
        <f>'MKT DATA'!K916</f>
        <v>83392</v>
      </c>
      <c r="H208" s="8">
        <f>'MKT DATA'!L916</f>
        <v>85236</v>
      </c>
      <c r="I208" s="13">
        <f>'MKT DATA'!M916</f>
        <v>1</v>
      </c>
      <c r="J208" s="43" t="str">
        <f t="shared" si="8"/>
        <v>syn BTCH7/BTCF7/BTCV6/BTCX6/BTCZ6</v>
      </c>
      <c r="K208" s="8">
        <f>'MKT DATA'!O916</f>
        <v>0</v>
      </c>
      <c r="L208" s="8">
        <f>'MKT DATA'!P916</f>
        <v>83392</v>
      </c>
      <c r="M208" s="8">
        <f>'MKT DATA'!Q916</f>
        <v>0</v>
      </c>
      <c r="N208" s="8">
        <f>'MKT DATA'!R916</f>
        <v>0</v>
      </c>
      <c r="O208" s="8">
        <f>'MKT DATA'!S916</f>
        <v>-85236</v>
      </c>
      <c r="P208" s="8">
        <f>'MKT DATA'!T916</f>
        <v>0</v>
      </c>
      <c r="Q208" s="43" t="str">
        <f t="shared" si="9"/>
        <v>syn BTCH7/BTCF7/BTCV6/BTCX6/BTCZ6</v>
      </c>
      <c r="R208" s="13">
        <f>'MKT DATA'!AB916</f>
        <v>0</v>
      </c>
    </row>
    <row r="209" spans="5:18" x14ac:dyDescent="0.25">
      <c r="E209" s="43" t="str">
        <f>'MKT DATA'!B917</f>
        <v>syn BTCH7/BTCF7/BTCV6/BTCG7/BTCZ6</v>
      </c>
      <c r="F209" s="13">
        <f>'MKT DATA'!J917</f>
        <v>1</v>
      </c>
      <c r="G209" s="8">
        <f>'MKT DATA'!K917</f>
        <v>83006</v>
      </c>
      <c r="H209" s="8">
        <f>'MKT DATA'!L917</f>
        <v>85614</v>
      </c>
      <c r="I209" s="13">
        <f>'MKT DATA'!M917</f>
        <v>1</v>
      </c>
      <c r="J209" s="43" t="str">
        <f t="shared" si="8"/>
        <v>syn BTCH7/BTCF7/BTCV6/BTCG7/BTCZ6</v>
      </c>
      <c r="K209" s="8">
        <f>'MKT DATA'!O917</f>
        <v>0</v>
      </c>
      <c r="L209" s="8">
        <f>'MKT DATA'!P917</f>
        <v>83006</v>
      </c>
      <c r="M209" s="8">
        <f>'MKT DATA'!Q917</f>
        <v>0</v>
      </c>
      <c r="N209" s="8">
        <f>'MKT DATA'!R917</f>
        <v>0</v>
      </c>
      <c r="O209" s="8">
        <f>'MKT DATA'!S917</f>
        <v>-85614</v>
      </c>
      <c r="P209" s="8">
        <f>'MKT DATA'!T917</f>
        <v>0</v>
      </c>
      <c r="Q209" s="43" t="str">
        <f t="shared" si="9"/>
        <v>syn BTCH7/BTCF7/BTCV6/BTCG7/BTCZ6</v>
      </c>
      <c r="R209" s="13">
        <f>'MKT DATA'!AB917</f>
        <v>0</v>
      </c>
    </row>
    <row r="210" spans="5:18" x14ac:dyDescent="0.25">
      <c r="E210" s="43" t="str">
        <f>'MKT DATA'!B918</f>
        <v>syn BTCH7/BTCF7/BTCX6/BTCV6/BTCZ6</v>
      </c>
      <c r="F210" s="13">
        <f>'MKT DATA'!J918</f>
        <v>1</v>
      </c>
      <c r="G210" s="8">
        <f>'MKT DATA'!K918</f>
        <v>83406</v>
      </c>
      <c r="H210" s="8">
        <f>'MKT DATA'!L918</f>
        <v>85219</v>
      </c>
      <c r="I210" s="13">
        <f>'MKT DATA'!M918</f>
        <v>1</v>
      </c>
      <c r="J210" s="43" t="str">
        <f t="shared" si="8"/>
        <v>syn BTCH7/BTCF7/BTCX6/BTCV6/BTCZ6</v>
      </c>
      <c r="K210" s="8">
        <f>'MKT DATA'!O918</f>
        <v>0</v>
      </c>
      <c r="L210" s="8">
        <f>'MKT DATA'!P918</f>
        <v>83406</v>
      </c>
      <c r="M210" s="8">
        <f>'MKT DATA'!Q918</f>
        <v>0</v>
      </c>
      <c r="N210" s="8">
        <f>'MKT DATA'!R918</f>
        <v>0</v>
      </c>
      <c r="O210" s="8">
        <f>'MKT DATA'!S918</f>
        <v>-85219</v>
      </c>
      <c r="P210" s="8">
        <f>'MKT DATA'!T918</f>
        <v>0</v>
      </c>
      <c r="Q210" s="43" t="str">
        <f t="shared" si="9"/>
        <v>syn BTCH7/BTCF7/BTCX6/BTCV6/BTCZ6</v>
      </c>
      <c r="R210" s="13">
        <f>'MKT DATA'!AB918</f>
        <v>0</v>
      </c>
    </row>
    <row r="211" spans="5:18" x14ac:dyDescent="0.25">
      <c r="E211" s="43" t="str">
        <f>'MKT DATA'!B919</f>
        <v>syn BTCH7/BTCF7/BTCX6/BTCG7/BTCZ6</v>
      </c>
      <c r="F211" s="13">
        <f>'MKT DATA'!J919</f>
        <v>1</v>
      </c>
      <c r="G211" s="8">
        <f>'MKT DATA'!K919</f>
        <v>83011</v>
      </c>
      <c r="H211" s="8">
        <f>'MKT DATA'!L919</f>
        <v>85599</v>
      </c>
      <c r="I211" s="13">
        <f>'MKT DATA'!M919</f>
        <v>1</v>
      </c>
      <c r="J211" s="43" t="str">
        <f t="shared" si="8"/>
        <v>syn BTCH7/BTCF7/BTCX6/BTCG7/BTCZ6</v>
      </c>
      <c r="K211" s="8">
        <f>'MKT DATA'!O919</f>
        <v>0</v>
      </c>
      <c r="L211" s="8">
        <f>'MKT DATA'!P919</f>
        <v>83011</v>
      </c>
      <c r="M211" s="8">
        <f>'MKT DATA'!Q919</f>
        <v>0</v>
      </c>
      <c r="N211" s="8">
        <f>'MKT DATA'!R919</f>
        <v>0</v>
      </c>
      <c r="O211" s="8">
        <f>'MKT DATA'!S919</f>
        <v>-85599</v>
      </c>
      <c r="P211" s="8">
        <f>'MKT DATA'!T919</f>
        <v>0</v>
      </c>
      <c r="Q211" s="43" t="str">
        <f t="shared" si="9"/>
        <v>syn BTCH7/BTCF7/BTCX6/BTCG7/BTCZ6</v>
      </c>
      <c r="R211" s="13">
        <f>'MKT DATA'!AB919</f>
        <v>0</v>
      </c>
    </row>
    <row r="212" spans="5:18" x14ac:dyDescent="0.25">
      <c r="E212" s="43" t="str">
        <f>'MKT DATA'!B920</f>
        <v>syn BTCH7/BTCF7/BTCG7/BTCV6/BTCZ6</v>
      </c>
      <c r="F212" s="13">
        <f>'MKT DATA'!J920</f>
        <v>1</v>
      </c>
      <c r="G212" s="8">
        <f>'MKT DATA'!K920</f>
        <v>83180</v>
      </c>
      <c r="H212" s="8">
        <f>'MKT DATA'!L920</f>
        <v>85402</v>
      </c>
      <c r="I212" s="13">
        <f>'MKT DATA'!M920</f>
        <v>1</v>
      </c>
      <c r="J212" s="43" t="str">
        <f t="shared" si="8"/>
        <v>syn BTCH7/BTCF7/BTCG7/BTCV6/BTCZ6</v>
      </c>
      <c r="K212" s="8">
        <f>'MKT DATA'!O920</f>
        <v>0</v>
      </c>
      <c r="L212" s="8">
        <f>'MKT DATA'!P920</f>
        <v>83180</v>
      </c>
      <c r="M212" s="8">
        <f>'MKT DATA'!Q920</f>
        <v>0</v>
      </c>
      <c r="N212" s="8">
        <f>'MKT DATA'!R920</f>
        <v>0</v>
      </c>
      <c r="O212" s="8">
        <f>'MKT DATA'!S920</f>
        <v>-85402</v>
      </c>
      <c r="P212" s="8">
        <f>'MKT DATA'!T920</f>
        <v>0</v>
      </c>
      <c r="Q212" s="43" t="str">
        <f t="shared" si="9"/>
        <v>syn BTCH7/BTCF7/BTCG7/BTCV6/BTCZ6</v>
      </c>
      <c r="R212" s="13">
        <f>'MKT DATA'!AB920</f>
        <v>0</v>
      </c>
    </row>
    <row r="213" spans="5:18" x14ac:dyDescent="0.25">
      <c r="E213" s="43" t="str">
        <f>'MKT DATA'!B921</f>
        <v>syn BTCH7/BTCF7/BTCG7/BTCX6/BTCZ6</v>
      </c>
      <c r="F213" s="13">
        <f>'MKT DATA'!J921</f>
        <v>1</v>
      </c>
      <c r="G213" s="8">
        <f>'MKT DATA'!K921</f>
        <v>83178</v>
      </c>
      <c r="H213" s="8">
        <f>'MKT DATA'!L921</f>
        <v>85411</v>
      </c>
      <c r="I213" s="13">
        <f>'MKT DATA'!M921</f>
        <v>1</v>
      </c>
      <c r="J213" s="43" t="str">
        <f t="shared" si="8"/>
        <v>syn BTCH7/BTCF7/BTCG7/BTCX6/BTCZ6</v>
      </c>
      <c r="K213" s="8">
        <f>'MKT DATA'!O921</f>
        <v>0</v>
      </c>
      <c r="L213" s="8">
        <f>'MKT DATA'!P921</f>
        <v>83178</v>
      </c>
      <c r="M213" s="8">
        <f>'MKT DATA'!Q921</f>
        <v>0</v>
      </c>
      <c r="N213" s="8">
        <f>'MKT DATA'!R921</f>
        <v>0</v>
      </c>
      <c r="O213" s="8">
        <f>'MKT DATA'!S921</f>
        <v>-85411</v>
      </c>
      <c r="P213" s="8">
        <f>'MKT DATA'!T921</f>
        <v>0</v>
      </c>
      <c r="Q213" s="43" t="str">
        <f t="shared" si="9"/>
        <v>syn BTCH7/BTCF7/BTCG7/BTCX6/BTCZ6</v>
      </c>
      <c r="R213" s="13">
        <f>'MKT DATA'!AB921</f>
        <v>0</v>
      </c>
    </row>
    <row r="214" spans="5:18" x14ac:dyDescent="0.25">
      <c r="E214" s="43" t="str">
        <f>'MKT DATA'!B922</f>
        <v>syn BTCH7/BTCG7/BTCV6/BTCX6/BTCZ6</v>
      </c>
      <c r="F214" s="13">
        <f>'MKT DATA'!J922</f>
        <v>1</v>
      </c>
      <c r="G214" s="8">
        <f>'MKT DATA'!K922</f>
        <v>83536</v>
      </c>
      <c r="H214" s="8">
        <f>'MKT DATA'!L922</f>
        <v>85007</v>
      </c>
      <c r="I214" s="13">
        <f>'MKT DATA'!M922</f>
        <v>1</v>
      </c>
      <c r="J214" s="43" t="str">
        <f t="shared" si="8"/>
        <v>syn BTCH7/BTCG7/BTCV6/BTCX6/BTCZ6</v>
      </c>
      <c r="K214" s="8">
        <f>'MKT DATA'!O922</f>
        <v>0</v>
      </c>
      <c r="L214" s="8">
        <f>'MKT DATA'!P922</f>
        <v>83536</v>
      </c>
      <c r="M214" s="8">
        <f>'MKT DATA'!Q922</f>
        <v>0</v>
      </c>
      <c r="N214" s="8">
        <f>'MKT DATA'!R922</f>
        <v>0</v>
      </c>
      <c r="O214" s="8">
        <f>'MKT DATA'!S922</f>
        <v>-85007</v>
      </c>
      <c r="P214" s="8">
        <f>'MKT DATA'!T922</f>
        <v>0</v>
      </c>
      <c r="Q214" s="43" t="str">
        <f t="shared" si="9"/>
        <v>syn BTCH7/BTCG7/BTCV6/BTCX6/BTCZ6</v>
      </c>
      <c r="R214" s="13">
        <f>'MKT DATA'!AB922</f>
        <v>0</v>
      </c>
    </row>
    <row r="215" spans="5:18" x14ac:dyDescent="0.25">
      <c r="E215" s="43" t="str">
        <f>'MKT DATA'!B923</f>
        <v>syn BTCH7/BTCG7/BTCV6/BTCF7/BTCZ6</v>
      </c>
      <c r="F215" s="13">
        <f>'MKT DATA'!J923</f>
        <v>1</v>
      </c>
      <c r="G215" s="8">
        <f>'MKT DATA'!K923</f>
        <v>83437</v>
      </c>
      <c r="H215" s="8">
        <f>'MKT DATA'!L923</f>
        <v>85072</v>
      </c>
      <c r="I215" s="13">
        <f>'MKT DATA'!M923</f>
        <v>1</v>
      </c>
      <c r="J215" s="43" t="str">
        <f t="shared" si="8"/>
        <v>syn BTCH7/BTCG7/BTCV6/BTCF7/BTCZ6</v>
      </c>
      <c r="K215" s="8">
        <f>'MKT DATA'!O923</f>
        <v>0</v>
      </c>
      <c r="L215" s="8">
        <f>'MKT DATA'!P923</f>
        <v>83437</v>
      </c>
      <c r="M215" s="8">
        <f>'MKT DATA'!Q923</f>
        <v>0</v>
      </c>
      <c r="N215" s="8">
        <f>'MKT DATA'!R923</f>
        <v>0</v>
      </c>
      <c r="O215" s="8">
        <f>'MKT DATA'!S923</f>
        <v>-85072</v>
      </c>
      <c r="P215" s="8">
        <f>'MKT DATA'!T923</f>
        <v>0</v>
      </c>
      <c r="Q215" s="43" t="str">
        <f t="shared" si="9"/>
        <v>syn BTCH7/BTCG7/BTCV6/BTCF7/BTCZ6</v>
      </c>
      <c r="R215" s="13">
        <f>'MKT DATA'!AB923</f>
        <v>0</v>
      </c>
    </row>
    <row r="216" spans="5:18" x14ac:dyDescent="0.25">
      <c r="E216" s="43" t="str">
        <f>'MKT DATA'!B924</f>
        <v>syn BTCH7/BTCG7/BTCX6/BTCV6/BTCZ6</v>
      </c>
      <c r="F216" s="13">
        <f>'MKT DATA'!J924</f>
        <v>1</v>
      </c>
      <c r="G216" s="8">
        <f>'MKT DATA'!K924</f>
        <v>83520</v>
      </c>
      <c r="H216" s="8">
        <f>'MKT DATA'!L924</f>
        <v>85030</v>
      </c>
      <c r="I216" s="13">
        <f>'MKT DATA'!M924</f>
        <v>1</v>
      </c>
      <c r="J216" s="43" t="str">
        <f t="shared" si="8"/>
        <v>syn BTCH7/BTCG7/BTCX6/BTCV6/BTCZ6</v>
      </c>
      <c r="K216" s="8">
        <f>'MKT DATA'!O924</f>
        <v>0</v>
      </c>
      <c r="L216" s="8">
        <f>'MKT DATA'!P924</f>
        <v>83520</v>
      </c>
      <c r="M216" s="8">
        <f>'MKT DATA'!Q924</f>
        <v>0</v>
      </c>
      <c r="N216" s="8">
        <f>'MKT DATA'!R924</f>
        <v>0</v>
      </c>
      <c r="O216" s="8">
        <f>'MKT DATA'!S924</f>
        <v>-85030</v>
      </c>
      <c r="P216" s="8">
        <f>'MKT DATA'!T924</f>
        <v>0</v>
      </c>
      <c r="Q216" s="43" t="str">
        <f t="shared" si="9"/>
        <v>syn BTCH7/BTCG7/BTCX6/BTCV6/BTCZ6</v>
      </c>
      <c r="R216" s="13">
        <f>'MKT DATA'!AB924</f>
        <v>0</v>
      </c>
    </row>
    <row r="217" spans="5:18" x14ac:dyDescent="0.25">
      <c r="E217" s="43" t="str">
        <f>'MKT DATA'!B925</f>
        <v>syn BTCH7/BTCG7/BTCX6/BTCF7/BTCZ6</v>
      </c>
      <c r="F217" s="13">
        <f>'MKT DATA'!J925</f>
        <v>1</v>
      </c>
      <c r="G217" s="8">
        <f>'MKT DATA'!K925</f>
        <v>83452</v>
      </c>
      <c r="H217" s="8">
        <f>'MKT DATA'!L925</f>
        <v>85067</v>
      </c>
      <c r="I217" s="13">
        <f>'MKT DATA'!M925</f>
        <v>1</v>
      </c>
      <c r="J217" s="43" t="str">
        <f t="shared" si="8"/>
        <v>syn BTCH7/BTCG7/BTCX6/BTCF7/BTCZ6</v>
      </c>
      <c r="K217" s="8">
        <f>'MKT DATA'!O925</f>
        <v>0</v>
      </c>
      <c r="L217" s="8">
        <f>'MKT DATA'!P925</f>
        <v>83452</v>
      </c>
      <c r="M217" s="8">
        <f>'MKT DATA'!Q925</f>
        <v>0</v>
      </c>
      <c r="N217" s="8">
        <f>'MKT DATA'!R925</f>
        <v>0</v>
      </c>
      <c r="O217" s="8">
        <f>'MKT DATA'!S925</f>
        <v>-85067</v>
      </c>
      <c r="P217" s="8">
        <f>'MKT DATA'!T925</f>
        <v>0</v>
      </c>
      <c r="Q217" s="43" t="str">
        <f t="shared" si="9"/>
        <v>syn BTCH7/BTCG7/BTCX6/BTCF7/BTCZ6</v>
      </c>
      <c r="R217" s="13">
        <f>'MKT DATA'!AB925</f>
        <v>0</v>
      </c>
    </row>
    <row r="218" spans="5:18" x14ac:dyDescent="0.25">
      <c r="E218" s="43" t="str">
        <f>'MKT DATA'!B926</f>
        <v>syn BTCH7/BTCG7/BTCF7/BTCV6/BTCZ6</v>
      </c>
      <c r="F218" s="13">
        <f>'MKT DATA'!J926</f>
        <v>1</v>
      </c>
      <c r="G218" s="8">
        <f>'MKT DATA'!K926</f>
        <v>83577</v>
      </c>
      <c r="H218" s="8">
        <f>'MKT DATA'!L926</f>
        <v>85012</v>
      </c>
      <c r="I218" s="13">
        <f>'MKT DATA'!M926</f>
        <v>1</v>
      </c>
      <c r="J218" s="43" t="str">
        <f t="shared" si="8"/>
        <v>syn BTCH7/BTCG7/BTCF7/BTCV6/BTCZ6</v>
      </c>
      <c r="K218" s="8">
        <f>'MKT DATA'!O926</f>
        <v>0</v>
      </c>
      <c r="L218" s="8">
        <f>'MKT DATA'!P926</f>
        <v>83577</v>
      </c>
      <c r="M218" s="8">
        <f>'MKT DATA'!Q926</f>
        <v>0</v>
      </c>
      <c r="N218" s="8">
        <f>'MKT DATA'!R926</f>
        <v>0</v>
      </c>
      <c r="O218" s="8">
        <f>'MKT DATA'!S926</f>
        <v>-85012</v>
      </c>
      <c r="P218" s="8">
        <f>'MKT DATA'!T926</f>
        <v>0</v>
      </c>
      <c r="Q218" s="43" t="str">
        <f t="shared" si="9"/>
        <v>syn BTCH7/BTCG7/BTCF7/BTCV6/BTCZ6</v>
      </c>
      <c r="R218" s="13">
        <f>'MKT DATA'!AB926</f>
        <v>0</v>
      </c>
    </row>
    <row r="219" spans="5:18" x14ac:dyDescent="0.25">
      <c r="E219" s="43" t="str">
        <f>'MKT DATA'!B927</f>
        <v>syn BTCH7/BTCG7/BTCF7/BTCX6/BTCZ6</v>
      </c>
      <c r="F219" s="13">
        <f>'MKT DATA'!J927</f>
        <v>1</v>
      </c>
      <c r="G219" s="8">
        <f>'MKT DATA'!K927</f>
        <v>83605</v>
      </c>
      <c r="H219" s="8">
        <f>'MKT DATA'!L927</f>
        <v>84981</v>
      </c>
      <c r="I219" s="13">
        <f>'MKT DATA'!M927</f>
        <v>1</v>
      </c>
      <c r="J219" s="43" t="str">
        <f t="shared" si="8"/>
        <v>syn BTCH7/BTCG7/BTCF7/BTCX6/BTCZ6</v>
      </c>
      <c r="K219" s="8">
        <f>'MKT DATA'!O927</f>
        <v>0</v>
      </c>
      <c r="L219" s="8">
        <f>'MKT DATA'!P927</f>
        <v>83605</v>
      </c>
      <c r="M219" s="8">
        <f>'MKT DATA'!Q927</f>
        <v>0</v>
      </c>
      <c r="N219" s="8">
        <f>'MKT DATA'!R927</f>
        <v>0</v>
      </c>
      <c r="O219" s="8">
        <f>'MKT DATA'!S927</f>
        <v>-84981</v>
      </c>
      <c r="P219" s="8">
        <f>'MKT DATA'!T927</f>
        <v>0</v>
      </c>
      <c r="Q219" s="43" t="str">
        <f t="shared" si="9"/>
        <v>syn BTCH7/BTCG7/BTCF7/BTCX6/BTCZ6</v>
      </c>
      <c r="R219" s="13">
        <f>'MKT DATA'!AB927</f>
        <v>0</v>
      </c>
    </row>
    <row r="220" spans="5:18" x14ac:dyDescent="0.25">
      <c r="E220" s="43" t="str">
        <f>'MKT DATA'!B928</f>
        <v>syn BTCV6/BTCX6/BTCF7/BTCG7/BTCH7/BTCZ6</v>
      </c>
      <c r="F220" s="13">
        <f>'MKT DATA'!J928</f>
        <v>1</v>
      </c>
      <c r="G220" s="8">
        <f>'MKT DATA'!K928</f>
        <v>83587</v>
      </c>
      <c r="H220" s="8">
        <f>'MKT DATA'!L928</f>
        <v>84835</v>
      </c>
      <c r="I220" s="13">
        <f>'MKT DATA'!M928</f>
        <v>1</v>
      </c>
      <c r="J220" s="43" t="str">
        <f t="shared" si="8"/>
        <v>syn BTCV6/BTCX6/BTCF7/BTCG7/BTCH7/BTCZ6</v>
      </c>
      <c r="K220" s="8">
        <f>'MKT DATA'!O928</f>
        <v>0</v>
      </c>
      <c r="L220" s="8">
        <f>'MKT DATA'!P928</f>
        <v>83587</v>
      </c>
      <c r="M220" s="8">
        <f>'MKT DATA'!Q928</f>
        <v>0</v>
      </c>
      <c r="N220" s="8">
        <f>'MKT DATA'!R928</f>
        <v>0</v>
      </c>
      <c r="O220" s="8">
        <f>'MKT DATA'!S928</f>
        <v>-84835</v>
      </c>
      <c r="P220" s="8">
        <f>'MKT DATA'!T928</f>
        <v>0</v>
      </c>
      <c r="Q220" s="43" t="str">
        <f t="shared" si="9"/>
        <v>syn BTCV6/BTCX6/BTCF7/BTCG7/BTCH7/BTCZ6</v>
      </c>
      <c r="R220" s="13">
        <f>'MKT DATA'!AB928</f>
        <v>0</v>
      </c>
    </row>
    <row r="221" spans="5:18" x14ac:dyDescent="0.25">
      <c r="E221" s="43" t="str">
        <f>'MKT DATA'!B929</f>
        <v>syn BTCV6/BTCX6/BTCF7/BTCH7/BTCG7/BTCZ6</v>
      </c>
      <c r="F221" s="13">
        <f>'MKT DATA'!J929</f>
        <v>1</v>
      </c>
      <c r="G221" s="8">
        <f>'MKT DATA'!K929</f>
        <v>83333</v>
      </c>
      <c r="H221" s="8">
        <f>'MKT DATA'!L929</f>
        <v>85175</v>
      </c>
      <c r="I221" s="13">
        <f>'MKT DATA'!M929</f>
        <v>1</v>
      </c>
      <c r="J221" s="43" t="str">
        <f t="shared" si="8"/>
        <v>syn BTCV6/BTCX6/BTCF7/BTCH7/BTCG7/BTCZ6</v>
      </c>
      <c r="K221" s="8">
        <f>'MKT DATA'!O929</f>
        <v>0</v>
      </c>
      <c r="L221" s="8">
        <f>'MKT DATA'!P929</f>
        <v>83333</v>
      </c>
      <c r="M221" s="8">
        <f>'MKT DATA'!Q929</f>
        <v>0</v>
      </c>
      <c r="N221" s="8">
        <f>'MKT DATA'!R929</f>
        <v>0</v>
      </c>
      <c r="O221" s="8">
        <f>'MKT DATA'!S929</f>
        <v>-85175</v>
      </c>
      <c r="P221" s="8">
        <f>'MKT DATA'!T929</f>
        <v>0</v>
      </c>
      <c r="Q221" s="43" t="str">
        <f t="shared" si="9"/>
        <v>syn BTCV6/BTCX6/BTCF7/BTCH7/BTCG7/BTCZ6</v>
      </c>
      <c r="R221" s="13">
        <f>'MKT DATA'!AB929</f>
        <v>0</v>
      </c>
    </row>
    <row r="222" spans="5:18" x14ac:dyDescent="0.25">
      <c r="E222" s="43" t="str">
        <f>'MKT DATA'!B930</f>
        <v>syn BTCV6/BTCX6/BTCG7/BTCF7/BTCH7/BTCZ6</v>
      </c>
      <c r="F222" s="13">
        <f>'MKT DATA'!J930</f>
        <v>1</v>
      </c>
      <c r="G222" s="8">
        <f>'MKT DATA'!K930</f>
        <v>83157</v>
      </c>
      <c r="H222" s="8">
        <f>'MKT DATA'!L930</f>
        <v>85262</v>
      </c>
      <c r="I222" s="13">
        <f>'MKT DATA'!M930</f>
        <v>1</v>
      </c>
      <c r="J222" s="43" t="str">
        <f t="shared" si="8"/>
        <v>syn BTCV6/BTCX6/BTCG7/BTCF7/BTCH7/BTCZ6</v>
      </c>
      <c r="K222" s="8">
        <f>'MKT DATA'!O930</f>
        <v>0</v>
      </c>
      <c r="L222" s="8">
        <f>'MKT DATA'!P930</f>
        <v>83157</v>
      </c>
      <c r="M222" s="8">
        <f>'MKT DATA'!Q930</f>
        <v>0</v>
      </c>
      <c r="N222" s="8">
        <f>'MKT DATA'!R930</f>
        <v>0</v>
      </c>
      <c r="O222" s="8">
        <f>'MKT DATA'!S930</f>
        <v>-85262</v>
      </c>
      <c r="P222" s="8">
        <f>'MKT DATA'!T930</f>
        <v>0</v>
      </c>
      <c r="Q222" s="43" t="str">
        <f t="shared" si="9"/>
        <v>syn BTCV6/BTCX6/BTCG7/BTCF7/BTCH7/BTCZ6</v>
      </c>
      <c r="R222" s="13">
        <f>'MKT DATA'!AB930</f>
        <v>0</v>
      </c>
    </row>
    <row r="223" spans="5:18" x14ac:dyDescent="0.25">
      <c r="E223" s="43" t="str">
        <f>'MKT DATA'!B931</f>
        <v>syn BTCV6/BTCX6/BTCG7/BTCH7/BTCF7/BTCZ6</v>
      </c>
      <c r="F223" s="13">
        <f>'MKT DATA'!J931</f>
        <v>1</v>
      </c>
      <c r="G223" s="8">
        <f>'MKT DATA'!K931</f>
        <v>83458</v>
      </c>
      <c r="H223" s="8">
        <f>'MKT DATA'!L931</f>
        <v>85184</v>
      </c>
      <c r="I223" s="13">
        <f>'MKT DATA'!M931</f>
        <v>1</v>
      </c>
      <c r="J223" s="43" t="str">
        <f t="shared" si="8"/>
        <v>syn BTCV6/BTCX6/BTCG7/BTCH7/BTCF7/BTCZ6</v>
      </c>
      <c r="K223" s="8">
        <f>'MKT DATA'!O931</f>
        <v>0</v>
      </c>
      <c r="L223" s="8">
        <f>'MKT DATA'!P931</f>
        <v>83458</v>
      </c>
      <c r="M223" s="8">
        <f>'MKT DATA'!Q931</f>
        <v>0</v>
      </c>
      <c r="N223" s="8">
        <f>'MKT DATA'!R931</f>
        <v>0</v>
      </c>
      <c r="O223" s="8">
        <f>'MKT DATA'!S931</f>
        <v>-85184</v>
      </c>
      <c r="P223" s="8">
        <f>'MKT DATA'!T931</f>
        <v>0</v>
      </c>
      <c r="Q223" s="43" t="str">
        <f t="shared" si="9"/>
        <v>syn BTCV6/BTCX6/BTCG7/BTCH7/BTCF7/BTCZ6</v>
      </c>
      <c r="R223" s="13">
        <f>'MKT DATA'!AB931</f>
        <v>0</v>
      </c>
    </row>
    <row r="224" spans="5:18" x14ac:dyDescent="0.25">
      <c r="E224" s="43" t="str">
        <f>'MKT DATA'!B932</f>
        <v>syn BTCV6/BTCX6/BTCH7/BTCF7/BTCG7/BTCZ6</v>
      </c>
      <c r="F224" s="13">
        <f>'MKT DATA'!J932</f>
        <v>1</v>
      </c>
      <c r="G224" s="8">
        <f>'MKT DATA'!K932</f>
        <v>83111</v>
      </c>
      <c r="H224" s="8">
        <f>'MKT DATA'!L932</f>
        <v>85456</v>
      </c>
      <c r="I224" s="13">
        <f>'MKT DATA'!M932</f>
        <v>1</v>
      </c>
      <c r="J224" s="43" t="str">
        <f t="shared" si="8"/>
        <v>syn BTCV6/BTCX6/BTCH7/BTCF7/BTCG7/BTCZ6</v>
      </c>
      <c r="K224" s="8">
        <f>'MKT DATA'!O932</f>
        <v>0</v>
      </c>
      <c r="L224" s="8">
        <f>'MKT DATA'!P932</f>
        <v>83111</v>
      </c>
      <c r="M224" s="8">
        <f>'MKT DATA'!Q932</f>
        <v>0</v>
      </c>
      <c r="N224" s="8">
        <f>'MKT DATA'!R932</f>
        <v>0</v>
      </c>
      <c r="O224" s="8">
        <f>'MKT DATA'!S932</f>
        <v>-85456</v>
      </c>
      <c r="P224" s="8">
        <f>'MKT DATA'!T932</f>
        <v>0</v>
      </c>
      <c r="Q224" s="43" t="str">
        <f t="shared" si="9"/>
        <v>syn BTCV6/BTCX6/BTCH7/BTCF7/BTCG7/BTCZ6</v>
      </c>
      <c r="R224" s="13">
        <f>'MKT DATA'!AB932</f>
        <v>0</v>
      </c>
    </row>
    <row r="225" spans="5:18" x14ac:dyDescent="0.25">
      <c r="E225" s="43" t="str">
        <f>'MKT DATA'!B933</f>
        <v>syn BTCV6/BTCX6/BTCH7/BTCG7/BTCF7/BTCZ6</v>
      </c>
      <c r="F225" s="13">
        <f>'MKT DATA'!J933</f>
        <v>1</v>
      </c>
      <c r="G225" s="8">
        <f>'MKT DATA'!K933</f>
        <v>83588</v>
      </c>
      <c r="H225" s="8">
        <f>'MKT DATA'!L933</f>
        <v>84960</v>
      </c>
      <c r="I225" s="13">
        <f>'MKT DATA'!M933</f>
        <v>1</v>
      </c>
      <c r="J225" s="43" t="str">
        <f t="shared" si="8"/>
        <v>syn BTCV6/BTCX6/BTCH7/BTCG7/BTCF7/BTCZ6</v>
      </c>
      <c r="K225" s="8">
        <f>'MKT DATA'!O933</f>
        <v>0</v>
      </c>
      <c r="L225" s="8">
        <f>'MKT DATA'!P933</f>
        <v>83588</v>
      </c>
      <c r="M225" s="8">
        <f>'MKT DATA'!Q933</f>
        <v>0</v>
      </c>
      <c r="N225" s="8">
        <f>'MKT DATA'!R933</f>
        <v>0</v>
      </c>
      <c r="O225" s="8">
        <f>'MKT DATA'!S933</f>
        <v>-84960</v>
      </c>
      <c r="P225" s="8">
        <f>'MKT DATA'!T933</f>
        <v>0</v>
      </c>
      <c r="Q225" s="43" t="str">
        <f t="shared" si="9"/>
        <v>syn BTCV6/BTCX6/BTCH7/BTCG7/BTCF7/BTCZ6</v>
      </c>
      <c r="R225" s="13">
        <f>'MKT DATA'!AB933</f>
        <v>0</v>
      </c>
    </row>
    <row r="226" spans="5:18" x14ac:dyDescent="0.25">
      <c r="E226" s="43" t="str">
        <f>'MKT DATA'!B934</f>
        <v>syn BTCV6/BTCF7/BTCX6/BTCG7/BTCH7/BTCZ6</v>
      </c>
      <c r="F226" s="13">
        <f>'MKT DATA'!J934</f>
        <v>1</v>
      </c>
      <c r="G226" s="8">
        <f>'MKT DATA'!K934</f>
        <v>83417</v>
      </c>
      <c r="H226" s="8">
        <f>'MKT DATA'!L934</f>
        <v>85038</v>
      </c>
      <c r="I226" s="13">
        <f>'MKT DATA'!M934</f>
        <v>1</v>
      </c>
      <c r="J226" s="43" t="str">
        <f t="shared" si="8"/>
        <v>syn BTCV6/BTCF7/BTCX6/BTCG7/BTCH7/BTCZ6</v>
      </c>
      <c r="K226" s="8">
        <f>'MKT DATA'!O934</f>
        <v>0</v>
      </c>
      <c r="L226" s="8">
        <f>'MKT DATA'!P934</f>
        <v>83417</v>
      </c>
      <c r="M226" s="8">
        <f>'MKT DATA'!Q934</f>
        <v>0</v>
      </c>
      <c r="N226" s="8">
        <f>'MKT DATA'!R934</f>
        <v>0</v>
      </c>
      <c r="O226" s="8">
        <f>'MKT DATA'!S934</f>
        <v>-85038</v>
      </c>
      <c r="P226" s="8">
        <f>'MKT DATA'!T934</f>
        <v>0</v>
      </c>
      <c r="Q226" s="43" t="str">
        <f t="shared" si="9"/>
        <v>syn BTCV6/BTCF7/BTCX6/BTCG7/BTCH7/BTCZ6</v>
      </c>
      <c r="R226" s="13">
        <f>'MKT DATA'!AB934</f>
        <v>0</v>
      </c>
    </row>
    <row r="227" spans="5:18" x14ac:dyDescent="0.25">
      <c r="E227" s="43" t="str">
        <f>'MKT DATA'!B935</f>
        <v>syn BTCV6/BTCF7/BTCX6/BTCH7/BTCG7/BTCZ6</v>
      </c>
      <c r="F227" s="13">
        <f>'MKT DATA'!J935</f>
        <v>1</v>
      </c>
      <c r="G227" s="8">
        <f>'MKT DATA'!K935</f>
        <v>83332</v>
      </c>
      <c r="H227" s="8">
        <f>'MKT DATA'!L935</f>
        <v>85193</v>
      </c>
      <c r="I227" s="13">
        <f>'MKT DATA'!M935</f>
        <v>1</v>
      </c>
      <c r="J227" s="43" t="str">
        <f t="shared" si="8"/>
        <v>syn BTCV6/BTCF7/BTCX6/BTCH7/BTCG7/BTCZ6</v>
      </c>
      <c r="K227" s="8">
        <f>'MKT DATA'!O935</f>
        <v>0</v>
      </c>
      <c r="L227" s="8">
        <f>'MKT DATA'!P935</f>
        <v>83332</v>
      </c>
      <c r="M227" s="8">
        <f>'MKT DATA'!Q935</f>
        <v>0</v>
      </c>
      <c r="N227" s="8">
        <f>'MKT DATA'!R935</f>
        <v>0</v>
      </c>
      <c r="O227" s="8">
        <f>'MKT DATA'!S935</f>
        <v>-85193</v>
      </c>
      <c r="P227" s="8">
        <f>'MKT DATA'!T935</f>
        <v>0</v>
      </c>
      <c r="Q227" s="43" t="str">
        <f t="shared" si="9"/>
        <v>syn BTCV6/BTCF7/BTCX6/BTCH7/BTCG7/BTCZ6</v>
      </c>
      <c r="R227" s="13">
        <f>'MKT DATA'!AB935</f>
        <v>0</v>
      </c>
    </row>
    <row r="228" spans="5:18" x14ac:dyDescent="0.25">
      <c r="E228" s="43" t="str">
        <f>'MKT DATA'!B936</f>
        <v>syn BTCV6/BTCF7/BTCG7/BTCX6/BTCH7/BTCZ6</v>
      </c>
      <c r="F228" s="13">
        <f>'MKT DATA'!J936</f>
        <v>1</v>
      </c>
      <c r="G228" s="8">
        <f>'MKT DATA'!K936</f>
        <v>83120</v>
      </c>
      <c r="H228" s="8">
        <f>'MKT DATA'!L936</f>
        <v>85244</v>
      </c>
      <c r="I228" s="13">
        <f>'MKT DATA'!M936</f>
        <v>1</v>
      </c>
      <c r="J228" s="43" t="str">
        <f t="shared" si="8"/>
        <v>syn BTCV6/BTCF7/BTCG7/BTCX6/BTCH7/BTCZ6</v>
      </c>
      <c r="K228" s="8">
        <f>'MKT DATA'!O936</f>
        <v>0</v>
      </c>
      <c r="L228" s="8">
        <f>'MKT DATA'!P936</f>
        <v>83120</v>
      </c>
      <c r="M228" s="8">
        <f>'MKT DATA'!Q936</f>
        <v>0</v>
      </c>
      <c r="N228" s="8">
        <f>'MKT DATA'!R936</f>
        <v>0</v>
      </c>
      <c r="O228" s="8">
        <f>'MKT DATA'!S936</f>
        <v>-85244</v>
      </c>
      <c r="P228" s="8">
        <f>'MKT DATA'!T936</f>
        <v>0</v>
      </c>
      <c r="Q228" s="43" t="str">
        <f t="shared" si="9"/>
        <v>syn BTCV6/BTCF7/BTCG7/BTCX6/BTCH7/BTCZ6</v>
      </c>
      <c r="R228" s="13">
        <f>'MKT DATA'!AB936</f>
        <v>0</v>
      </c>
    </row>
    <row r="229" spans="5:18" x14ac:dyDescent="0.25">
      <c r="E229" s="43" t="str">
        <f>'MKT DATA'!B937</f>
        <v>syn BTCV6/BTCF7/BTCG7/BTCH7/BTCX6/BTCZ6</v>
      </c>
      <c r="F229" s="13">
        <f>'MKT DATA'!J937</f>
        <v>1</v>
      </c>
      <c r="G229" s="8">
        <f>'MKT DATA'!K937</f>
        <v>83554</v>
      </c>
      <c r="H229" s="8">
        <f>'MKT DATA'!L937</f>
        <v>85060</v>
      </c>
      <c r="I229" s="13">
        <f>'MKT DATA'!M937</f>
        <v>1</v>
      </c>
      <c r="J229" s="43" t="str">
        <f t="shared" si="8"/>
        <v>syn BTCV6/BTCF7/BTCG7/BTCH7/BTCX6/BTCZ6</v>
      </c>
      <c r="K229" s="8">
        <f>'MKT DATA'!O937</f>
        <v>0</v>
      </c>
      <c r="L229" s="8">
        <f>'MKT DATA'!P937</f>
        <v>83554</v>
      </c>
      <c r="M229" s="8">
        <f>'MKT DATA'!Q937</f>
        <v>0</v>
      </c>
      <c r="N229" s="8">
        <f>'MKT DATA'!R937</f>
        <v>0</v>
      </c>
      <c r="O229" s="8">
        <f>'MKT DATA'!S937</f>
        <v>-85060</v>
      </c>
      <c r="P229" s="8">
        <f>'MKT DATA'!T937</f>
        <v>0</v>
      </c>
      <c r="Q229" s="43" t="str">
        <f t="shared" si="9"/>
        <v>syn BTCV6/BTCF7/BTCG7/BTCH7/BTCX6/BTCZ6</v>
      </c>
      <c r="R229" s="13">
        <f>'MKT DATA'!AB937</f>
        <v>0</v>
      </c>
    </row>
    <row r="230" spans="5:18" x14ac:dyDescent="0.25">
      <c r="E230" s="43" t="str">
        <f>'MKT DATA'!B938</f>
        <v>syn BTCV6/BTCF7/BTCH7/BTCX6/BTCG7/BTCZ6</v>
      </c>
      <c r="F230" s="13">
        <f>'MKT DATA'!J938</f>
        <v>1</v>
      </c>
      <c r="G230" s="8">
        <f>'MKT DATA'!K938</f>
        <v>82921</v>
      </c>
      <c r="H230" s="8">
        <f>'MKT DATA'!L938</f>
        <v>85639</v>
      </c>
      <c r="I230" s="13">
        <f>'MKT DATA'!M938</f>
        <v>1</v>
      </c>
      <c r="J230" s="43" t="str">
        <f t="shared" si="8"/>
        <v>syn BTCV6/BTCF7/BTCH7/BTCX6/BTCG7/BTCZ6</v>
      </c>
      <c r="K230" s="8">
        <f>'MKT DATA'!O938</f>
        <v>0</v>
      </c>
      <c r="L230" s="8">
        <f>'MKT DATA'!P938</f>
        <v>82921</v>
      </c>
      <c r="M230" s="8">
        <f>'MKT DATA'!Q938</f>
        <v>0</v>
      </c>
      <c r="N230" s="8">
        <f>'MKT DATA'!R938</f>
        <v>0</v>
      </c>
      <c r="O230" s="8">
        <f>'MKT DATA'!S938</f>
        <v>-85639</v>
      </c>
      <c r="P230" s="8">
        <f>'MKT DATA'!T938</f>
        <v>0</v>
      </c>
      <c r="Q230" s="43" t="str">
        <f t="shared" si="9"/>
        <v>syn BTCV6/BTCF7/BTCH7/BTCX6/BTCG7/BTCZ6</v>
      </c>
      <c r="R230" s="13">
        <f>'MKT DATA'!AB938</f>
        <v>0</v>
      </c>
    </row>
    <row r="231" spans="5:18" x14ac:dyDescent="0.25">
      <c r="E231" s="43" t="str">
        <f>'MKT DATA'!B939</f>
        <v>syn BTCV6/BTCF7/BTCH7/BTCG7/BTCX6/BTCZ6</v>
      </c>
      <c r="F231" s="13">
        <f>'MKT DATA'!J939</f>
        <v>1</v>
      </c>
      <c r="G231" s="8">
        <f>'MKT DATA'!K939</f>
        <v>83330</v>
      </c>
      <c r="H231" s="8">
        <f>'MKT DATA'!L939</f>
        <v>85190</v>
      </c>
      <c r="I231" s="13">
        <f>'MKT DATA'!M939</f>
        <v>1</v>
      </c>
      <c r="J231" s="43" t="str">
        <f t="shared" si="8"/>
        <v>syn BTCV6/BTCF7/BTCH7/BTCG7/BTCX6/BTCZ6</v>
      </c>
      <c r="K231" s="8">
        <f>'MKT DATA'!O939</f>
        <v>0</v>
      </c>
      <c r="L231" s="8">
        <f>'MKT DATA'!P939</f>
        <v>83330</v>
      </c>
      <c r="M231" s="8">
        <f>'MKT DATA'!Q939</f>
        <v>0</v>
      </c>
      <c r="N231" s="8">
        <f>'MKT DATA'!R939</f>
        <v>0</v>
      </c>
      <c r="O231" s="8">
        <f>'MKT DATA'!S939</f>
        <v>-85190</v>
      </c>
      <c r="P231" s="8">
        <f>'MKT DATA'!T939</f>
        <v>0</v>
      </c>
      <c r="Q231" s="43" t="str">
        <f t="shared" si="9"/>
        <v>syn BTCV6/BTCF7/BTCH7/BTCG7/BTCX6/BTCZ6</v>
      </c>
      <c r="R231" s="13">
        <f>'MKT DATA'!AB939</f>
        <v>0</v>
      </c>
    </row>
    <row r="232" spans="5:18" x14ac:dyDescent="0.25">
      <c r="E232" s="43" t="str">
        <f>'MKT DATA'!B940</f>
        <v>syn BTCV6/BTCG7/BTCX6/BTCF7/BTCH7/BTCZ6</v>
      </c>
      <c r="F232" s="13">
        <f>'MKT DATA'!J940</f>
        <v>1</v>
      </c>
      <c r="G232" s="8">
        <f>'MKT DATA'!K940</f>
        <v>82991</v>
      </c>
      <c r="H232" s="8">
        <f>'MKT DATA'!L940</f>
        <v>85399</v>
      </c>
      <c r="I232" s="13">
        <f>'MKT DATA'!M940</f>
        <v>1</v>
      </c>
      <c r="J232" s="43" t="str">
        <f t="shared" si="8"/>
        <v>syn BTCV6/BTCG7/BTCX6/BTCF7/BTCH7/BTCZ6</v>
      </c>
      <c r="K232" s="8">
        <f>'MKT DATA'!O940</f>
        <v>0</v>
      </c>
      <c r="L232" s="8">
        <f>'MKT DATA'!P940</f>
        <v>82991</v>
      </c>
      <c r="M232" s="8">
        <f>'MKT DATA'!Q940</f>
        <v>0</v>
      </c>
      <c r="N232" s="8">
        <f>'MKT DATA'!R940</f>
        <v>0</v>
      </c>
      <c r="O232" s="8">
        <f>'MKT DATA'!S940</f>
        <v>-85399</v>
      </c>
      <c r="P232" s="8">
        <f>'MKT DATA'!T940</f>
        <v>0</v>
      </c>
      <c r="Q232" s="43" t="str">
        <f t="shared" si="9"/>
        <v>syn BTCV6/BTCG7/BTCX6/BTCF7/BTCH7/BTCZ6</v>
      </c>
      <c r="R232" s="13">
        <f>'MKT DATA'!AB940</f>
        <v>0</v>
      </c>
    </row>
    <row r="233" spans="5:18" x14ac:dyDescent="0.25">
      <c r="E233" s="43" t="str">
        <f>'MKT DATA'!B941</f>
        <v>syn BTCV6/BTCG7/BTCX6/BTCH7/BTCF7/BTCZ6</v>
      </c>
      <c r="F233" s="13">
        <f>'MKT DATA'!J941</f>
        <v>1</v>
      </c>
      <c r="G233" s="8">
        <f>'MKT DATA'!K941</f>
        <v>83031</v>
      </c>
      <c r="H233" s="8">
        <f>'MKT DATA'!L941</f>
        <v>85563</v>
      </c>
      <c r="I233" s="13">
        <f>'MKT DATA'!M941</f>
        <v>1</v>
      </c>
      <c r="J233" s="43" t="str">
        <f t="shared" si="8"/>
        <v>syn BTCV6/BTCG7/BTCX6/BTCH7/BTCF7/BTCZ6</v>
      </c>
      <c r="K233" s="8">
        <f>'MKT DATA'!O941</f>
        <v>0</v>
      </c>
      <c r="L233" s="8">
        <f>'MKT DATA'!P941</f>
        <v>83031</v>
      </c>
      <c r="M233" s="8">
        <f>'MKT DATA'!Q941</f>
        <v>0</v>
      </c>
      <c r="N233" s="8">
        <f>'MKT DATA'!R941</f>
        <v>0</v>
      </c>
      <c r="O233" s="8">
        <f>'MKT DATA'!S941</f>
        <v>-85563</v>
      </c>
      <c r="P233" s="8">
        <f>'MKT DATA'!T941</f>
        <v>0</v>
      </c>
      <c r="Q233" s="43" t="str">
        <f t="shared" si="9"/>
        <v>syn BTCV6/BTCG7/BTCX6/BTCH7/BTCF7/BTCZ6</v>
      </c>
      <c r="R233" s="13">
        <f>'MKT DATA'!AB941</f>
        <v>0</v>
      </c>
    </row>
    <row r="234" spans="5:18" x14ac:dyDescent="0.25">
      <c r="E234" s="43" t="str">
        <f>'MKT DATA'!B942</f>
        <v>syn BTCV6/BTCG7/BTCF7/BTCX6/BTCH7/BTCZ6</v>
      </c>
      <c r="F234" s="13">
        <f>'MKT DATA'!J942</f>
        <v>1</v>
      </c>
      <c r="G234" s="8">
        <f>'MKT DATA'!K942</f>
        <v>83196</v>
      </c>
      <c r="H234" s="8">
        <f>'MKT DATA'!L942</f>
        <v>85250</v>
      </c>
      <c r="I234" s="13">
        <f>'MKT DATA'!M942</f>
        <v>1</v>
      </c>
      <c r="J234" s="43" t="str">
        <f t="shared" si="8"/>
        <v>syn BTCV6/BTCG7/BTCF7/BTCX6/BTCH7/BTCZ6</v>
      </c>
      <c r="K234" s="8">
        <f>'MKT DATA'!O942</f>
        <v>0</v>
      </c>
      <c r="L234" s="8">
        <f>'MKT DATA'!P942</f>
        <v>83196</v>
      </c>
      <c r="M234" s="8">
        <f>'MKT DATA'!Q942</f>
        <v>0</v>
      </c>
      <c r="N234" s="8">
        <f>'MKT DATA'!R942</f>
        <v>0</v>
      </c>
      <c r="O234" s="8">
        <f>'MKT DATA'!S942</f>
        <v>-85250</v>
      </c>
      <c r="P234" s="8">
        <f>'MKT DATA'!T942</f>
        <v>0</v>
      </c>
      <c r="Q234" s="43" t="str">
        <f t="shared" si="9"/>
        <v>syn BTCV6/BTCG7/BTCF7/BTCX6/BTCH7/BTCZ6</v>
      </c>
      <c r="R234" s="13">
        <f>'MKT DATA'!AB942</f>
        <v>0</v>
      </c>
    </row>
    <row r="235" spans="5:18" x14ac:dyDescent="0.25">
      <c r="E235" s="43" t="str">
        <f>'MKT DATA'!B943</f>
        <v>syn BTCV6/BTCG7/BTCF7/BTCH7/BTCX6/BTCZ6</v>
      </c>
      <c r="F235" s="13">
        <f>'MKT DATA'!J943</f>
        <v>1</v>
      </c>
      <c r="G235" s="8">
        <f>'MKT DATA'!K943</f>
        <v>83164</v>
      </c>
      <c r="H235" s="8">
        <f>'MKT DATA'!L943</f>
        <v>85457</v>
      </c>
      <c r="I235" s="13">
        <f>'MKT DATA'!M943</f>
        <v>1</v>
      </c>
      <c r="J235" s="43" t="str">
        <f t="shared" si="8"/>
        <v>syn BTCV6/BTCG7/BTCF7/BTCH7/BTCX6/BTCZ6</v>
      </c>
      <c r="K235" s="8">
        <f>'MKT DATA'!O943</f>
        <v>0</v>
      </c>
      <c r="L235" s="8">
        <f>'MKT DATA'!P943</f>
        <v>83164</v>
      </c>
      <c r="M235" s="8">
        <f>'MKT DATA'!Q943</f>
        <v>0</v>
      </c>
      <c r="N235" s="8">
        <f>'MKT DATA'!R943</f>
        <v>0</v>
      </c>
      <c r="O235" s="8">
        <f>'MKT DATA'!S943</f>
        <v>-85457</v>
      </c>
      <c r="P235" s="8">
        <f>'MKT DATA'!T943</f>
        <v>0</v>
      </c>
      <c r="Q235" s="43" t="str">
        <f t="shared" si="9"/>
        <v>syn BTCV6/BTCG7/BTCF7/BTCH7/BTCX6/BTCZ6</v>
      </c>
      <c r="R235" s="13">
        <f>'MKT DATA'!AB943</f>
        <v>0</v>
      </c>
    </row>
    <row r="236" spans="5:18" x14ac:dyDescent="0.25">
      <c r="E236" s="43" t="str">
        <f>'MKT DATA'!B944</f>
        <v>syn BTCV6/BTCG7/BTCH7/BTCX6/BTCF7/BTCZ6</v>
      </c>
      <c r="F236" s="13">
        <f>'MKT DATA'!J944</f>
        <v>1</v>
      </c>
      <c r="G236" s="8">
        <f>'MKT DATA'!K944</f>
        <v>83477</v>
      </c>
      <c r="H236" s="8">
        <f>'MKT DATA'!L944</f>
        <v>85152</v>
      </c>
      <c r="I236" s="13">
        <f>'MKT DATA'!M944</f>
        <v>1</v>
      </c>
      <c r="J236" s="43" t="str">
        <f t="shared" si="8"/>
        <v>syn BTCV6/BTCG7/BTCH7/BTCX6/BTCF7/BTCZ6</v>
      </c>
      <c r="K236" s="8">
        <f>'MKT DATA'!O944</f>
        <v>0</v>
      </c>
      <c r="L236" s="8">
        <f>'MKT DATA'!P944</f>
        <v>83477</v>
      </c>
      <c r="M236" s="8">
        <f>'MKT DATA'!Q944</f>
        <v>0</v>
      </c>
      <c r="N236" s="8">
        <f>'MKT DATA'!R944</f>
        <v>0</v>
      </c>
      <c r="O236" s="8">
        <f>'MKT DATA'!S944</f>
        <v>-85152</v>
      </c>
      <c r="P236" s="8">
        <f>'MKT DATA'!T944</f>
        <v>0</v>
      </c>
      <c r="Q236" s="43" t="str">
        <f t="shared" si="9"/>
        <v>syn BTCV6/BTCG7/BTCH7/BTCX6/BTCF7/BTCZ6</v>
      </c>
      <c r="R236" s="13">
        <f>'MKT DATA'!AB944</f>
        <v>0</v>
      </c>
    </row>
    <row r="237" spans="5:18" x14ac:dyDescent="0.25">
      <c r="E237" s="43" t="str">
        <f>'MKT DATA'!B945</f>
        <v>syn BTCV6/BTCG7/BTCH7/BTCF7/BTCX6/BTCZ6</v>
      </c>
      <c r="F237" s="13">
        <f>'MKT DATA'!J945</f>
        <v>1</v>
      </c>
      <c r="G237" s="8">
        <f>'MKT DATA'!K945</f>
        <v>83445</v>
      </c>
      <c r="H237" s="8">
        <f>'MKT DATA'!L945</f>
        <v>85235</v>
      </c>
      <c r="I237" s="13">
        <f>'MKT DATA'!M945</f>
        <v>1</v>
      </c>
      <c r="J237" s="43" t="str">
        <f t="shared" si="8"/>
        <v>syn BTCV6/BTCG7/BTCH7/BTCF7/BTCX6/BTCZ6</v>
      </c>
      <c r="K237" s="8">
        <f>'MKT DATA'!O945</f>
        <v>0</v>
      </c>
      <c r="L237" s="8">
        <f>'MKT DATA'!P945</f>
        <v>83445</v>
      </c>
      <c r="M237" s="8">
        <f>'MKT DATA'!Q945</f>
        <v>0</v>
      </c>
      <c r="N237" s="8">
        <f>'MKT DATA'!R945</f>
        <v>0</v>
      </c>
      <c r="O237" s="8">
        <f>'MKT DATA'!S945</f>
        <v>-85235</v>
      </c>
      <c r="P237" s="8">
        <f>'MKT DATA'!T945</f>
        <v>0</v>
      </c>
      <c r="Q237" s="43" t="str">
        <f t="shared" si="9"/>
        <v>syn BTCV6/BTCG7/BTCH7/BTCF7/BTCX6/BTCZ6</v>
      </c>
      <c r="R237" s="13">
        <f>'MKT DATA'!AB945</f>
        <v>0</v>
      </c>
    </row>
    <row r="238" spans="5:18" x14ac:dyDescent="0.25">
      <c r="E238" s="43" t="str">
        <f>'MKT DATA'!B946</f>
        <v>syn BTCV6/BTCH7/BTCX6/BTCF7/BTCG7/BTCZ6</v>
      </c>
      <c r="F238" s="13">
        <f>'MKT DATA'!J946</f>
        <v>1</v>
      </c>
      <c r="G238" s="8">
        <f>'MKT DATA'!K946</f>
        <v>83130</v>
      </c>
      <c r="H238" s="8">
        <f>'MKT DATA'!L946</f>
        <v>85424</v>
      </c>
      <c r="I238" s="13">
        <f>'MKT DATA'!M946</f>
        <v>1</v>
      </c>
      <c r="J238" s="43" t="str">
        <f t="shared" si="8"/>
        <v>syn BTCV6/BTCH7/BTCX6/BTCF7/BTCG7/BTCZ6</v>
      </c>
      <c r="K238" s="8">
        <f>'MKT DATA'!O946</f>
        <v>0</v>
      </c>
      <c r="L238" s="8">
        <f>'MKT DATA'!P946</f>
        <v>83130</v>
      </c>
      <c r="M238" s="8">
        <f>'MKT DATA'!Q946</f>
        <v>0</v>
      </c>
      <c r="N238" s="8">
        <f>'MKT DATA'!R946</f>
        <v>0</v>
      </c>
      <c r="O238" s="8">
        <f>'MKT DATA'!S946</f>
        <v>-85424</v>
      </c>
      <c r="P238" s="8">
        <f>'MKT DATA'!T946</f>
        <v>0</v>
      </c>
      <c r="Q238" s="43" t="str">
        <f t="shared" si="9"/>
        <v>syn BTCV6/BTCH7/BTCX6/BTCF7/BTCG7/BTCZ6</v>
      </c>
      <c r="R238" s="13">
        <f>'MKT DATA'!AB946</f>
        <v>0</v>
      </c>
    </row>
    <row r="239" spans="5:18" x14ac:dyDescent="0.25">
      <c r="E239" s="43" t="str">
        <f>'MKT DATA'!B947</f>
        <v>syn BTCV6/BTCH7/BTCX6/BTCG7/BTCF7/BTCZ6</v>
      </c>
      <c r="F239" s="13">
        <f>'MKT DATA'!J947</f>
        <v>1</v>
      </c>
      <c r="G239" s="8">
        <f>'MKT DATA'!K947</f>
        <v>83216</v>
      </c>
      <c r="H239" s="8">
        <f>'MKT DATA'!L947</f>
        <v>85394</v>
      </c>
      <c r="I239" s="13">
        <f>'MKT DATA'!M947</f>
        <v>1</v>
      </c>
      <c r="J239" s="43" t="str">
        <f t="shared" si="8"/>
        <v>syn BTCV6/BTCH7/BTCX6/BTCG7/BTCF7/BTCZ6</v>
      </c>
      <c r="K239" s="8">
        <f>'MKT DATA'!O947</f>
        <v>0</v>
      </c>
      <c r="L239" s="8">
        <f>'MKT DATA'!P947</f>
        <v>83216</v>
      </c>
      <c r="M239" s="8">
        <f>'MKT DATA'!Q947</f>
        <v>0</v>
      </c>
      <c r="N239" s="8">
        <f>'MKT DATA'!R947</f>
        <v>0</v>
      </c>
      <c r="O239" s="8">
        <f>'MKT DATA'!S947</f>
        <v>-85394</v>
      </c>
      <c r="P239" s="8">
        <f>'MKT DATA'!T947</f>
        <v>0</v>
      </c>
      <c r="Q239" s="43" t="str">
        <f t="shared" si="9"/>
        <v>syn BTCV6/BTCH7/BTCX6/BTCG7/BTCF7/BTCZ6</v>
      </c>
      <c r="R239" s="13">
        <f>'MKT DATA'!AB947</f>
        <v>0</v>
      </c>
    </row>
    <row r="240" spans="5:18" x14ac:dyDescent="0.25">
      <c r="E240" s="43" t="str">
        <f>'MKT DATA'!B948</f>
        <v>syn BTCV6/BTCH7/BTCF7/BTCX6/BTCG7/BTCZ6</v>
      </c>
      <c r="F240" s="13">
        <f>'MKT DATA'!J948</f>
        <v>1</v>
      </c>
      <c r="G240" s="8">
        <f>'MKT DATA'!K948</f>
        <v>82981</v>
      </c>
      <c r="H240" s="8">
        <f>'MKT DATA'!L948</f>
        <v>85629</v>
      </c>
      <c r="I240" s="13">
        <f>'MKT DATA'!M948</f>
        <v>1</v>
      </c>
      <c r="J240" s="43" t="str">
        <f t="shared" si="8"/>
        <v>syn BTCV6/BTCH7/BTCF7/BTCX6/BTCG7/BTCZ6</v>
      </c>
      <c r="K240" s="8">
        <f>'MKT DATA'!O948</f>
        <v>0</v>
      </c>
      <c r="L240" s="8">
        <f>'MKT DATA'!P948</f>
        <v>82981</v>
      </c>
      <c r="M240" s="8">
        <f>'MKT DATA'!Q948</f>
        <v>0</v>
      </c>
      <c r="N240" s="8">
        <f>'MKT DATA'!R948</f>
        <v>0</v>
      </c>
      <c r="O240" s="8">
        <f>'MKT DATA'!S948</f>
        <v>-85629</v>
      </c>
      <c r="P240" s="8">
        <f>'MKT DATA'!T948</f>
        <v>0</v>
      </c>
      <c r="Q240" s="43" t="str">
        <f t="shared" si="9"/>
        <v>syn BTCV6/BTCH7/BTCF7/BTCX6/BTCG7/BTCZ6</v>
      </c>
      <c r="R240" s="13">
        <f>'MKT DATA'!AB948</f>
        <v>0</v>
      </c>
    </row>
    <row r="241" spans="5:18" x14ac:dyDescent="0.25">
      <c r="E241" s="43" t="str">
        <f>'MKT DATA'!B949</f>
        <v>syn BTCV6/BTCH7/BTCF7/BTCG7/BTCX6/BTCZ6</v>
      </c>
      <c r="F241" s="13">
        <f>'MKT DATA'!J949</f>
        <v>1</v>
      </c>
      <c r="G241" s="8">
        <f>'MKT DATA'!K949</f>
        <v>83148</v>
      </c>
      <c r="H241" s="8">
        <f>'MKT DATA'!L949</f>
        <v>85441</v>
      </c>
      <c r="I241" s="13">
        <f>'MKT DATA'!M949</f>
        <v>1</v>
      </c>
      <c r="J241" s="43" t="str">
        <f t="shared" si="8"/>
        <v>syn BTCV6/BTCH7/BTCF7/BTCG7/BTCX6/BTCZ6</v>
      </c>
      <c r="K241" s="8">
        <f>'MKT DATA'!O949</f>
        <v>0</v>
      </c>
      <c r="L241" s="8">
        <f>'MKT DATA'!P949</f>
        <v>83148</v>
      </c>
      <c r="M241" s="8">
        <f>'MKT DATA'!Q949</f>
        <v>0</v>
      </c>
      <c r="N241" s="8">
        <f>'MKT DATA'!R949</f>
        <v>0</v>
      </c>
      <c r="O241" s="8">
        <f>'MKT DATA'!S949</f>
        <v>-85441</v>
      </c>
      <c r="P241" s="8">
        <f>'MKT DATA'!T949</f>
        <v>0</v>
      </c>
      <c r="Q241" s="43" t="str">
        <f t="shared" si="9"/>
        <v>syn BTCV6/BTCH7/BTCF7/BTCG7/BTCX6/BTCZ6</v>
      </c>
      <c r="R241" s="13">
        <f>'MKT DATA'!AB949</f>
        <v>0</v>
      </c>
    </row>
    <row r="242" spans="5:18" x14ac:dyDescent="0.25">
      <c r="E242" s="43" t="str">
        <f>'MKT DATA'!B950</f>
        <v>syn BTCV6/BTCH7/BTCG7/BTCX6/BTCF7/BTCZ6</v>
      </c>
      <c r="F242" s="13">
        <f>'MKT DATA'!J950</f>
        <v>1</v>
      </c>
      <c r="G242" s="8">
        <f>'MKT DATA'!K950</f>
        <v>83422</v>
      </c>
      <c r="H242" s="8">
        <f>'MKT DATA'!L950</f>
        <v>85097</v>
      </c>
      <c r="I242" s="13">
        <f>'MKT DATA'!M950</f>
        <v>1</v>
      </c>
      <c r="J242" s="43" t="str">
        <f t="shared" si="8"/>
        <v>syn BTCV6/BTCH7/BTCG7/BTCX6/BTCF7/BTCZ6</v>
      </c>
      <c r="K242" s="8">
        <f>'MKT DATA'!O950</f>
        <v>0</v>
      </c>
      <c r="L242" s="8">
        <f>'MKT DATA'!P950</f>
        <v>83422</v>
      </c>
      <c r="M242" s="8">
        <f>'MKT DATA'!Q950</f>
        <v>0</v>
      </c>
      <c r="N242" s="8">
        <f>'MKT DATA'!R950</f>
        <v>0</v>
      </c>
      <c r="O242" s="8">
        <f>'MKT DATA'!S950</f>
        <v>-85097</v>
      </c>
      <c r="P242" s="8">
        <f>'MKT DATA'!T950</f>
        <v>0</v>
      </c>
      <c r="Q242" s="43" t="str">
        <f t="shared" si="9"/>
        <v>syn BTCV6/BTCH7/BTCG7/BTCX6/BTCF7/BTCZ6</v>
      </c>
      <c r="R242" s="13">
        <f>'MKT DATA'!AB950</f>
        <v>0</v>
      </c>
    </row>
    <row r="243" spans="5:18" x14ac:dyDescent="0.25">
      <c r="E243" s="43" t="str">
        <f>'MKT DATA'!B951</f>
        <v>syn BTCV6/BTCH7/BTCG7/BTCF7/BTCX6/BTCZ6</v>
      </c>
      <c r="F243" s="13">
        <f>'MKT DATA'!J951</f>
        <v>1</v>
      </c>
      <c r="G243" s="8">
        <f>'MKT DATA'!K951</f>
        <v>83575</v>
      </c>
      <c r="H243" s="8">
        <f>'MKT DATA'!L951</f>
        <v>85011</v>
      </c>
      <c r="I243" s="13">
        <f>'MKT DATA'!M951</f>
        <v>1</v>
      </c>
      <c r="J243" s="43" t="str">
        <f t="shared" si="8"/>
        <v>syn BTCV6/BTCH7/BTCG7/BTCF7/BTCX6/BTCZ6</v>
      </c>
      <c r="K243" s="8">
        <f>'MKT DATA'!O951</f>
        <v>0</v>
      </c>
      <c r="L243" s="8">
        <f>'MKT DATA'!P951</f>
        <v>83575</v>
      </c>
      <c r="M243" s="8">
        <f>'MKT DATA'!Q951</f>
        <v>0</v>
      </c>
      <c r="N243" s="8">
        <f>'MKT DATA'!R951</f>
        <v>0</v>
      </c>
      <c r="O243" s="8">
        <f>'MKT DATA'!S951</f>
        <v>-85011</v>
      </c>
      <c r="P243" s="8">
        <f>'MKT DATA'!T951</f>
        <v>0</v>
      </c>
      <c r="Q243" s="43" t="str">
        <f t="shared" si="9"/>
        <v>syn BTCV6/BTCH7/BTCG7/BTCF7/BTCX6/BTCZ6</v>
      </c>
      <c r="R243" s="13">
        <f>'MKT DATA'!AB951</f>
        <v>0</v>
      </c>
    </row>
    <row r="244" spans="5:18" x14ac:dyDescent="0.25">
      <c r="E244" s="43" t="str">
        <f>'MKT DATA'!B952</f>
        <v>syn BTCX6/BTCV6/BTCF7/BTCG7/BTCH7/BTCZ6</v>
      </c>
      <c r="F244" s="13">
        <f>'MKT DATA'!J952</f>
        <v>1</v>
      </c>
      <c r="G244" s="8">
        <f>'MKT DATA'!K952</f>
        <v>83554</v>
      </c>
      <c r="H244" s="8">
        <f>'MKT DATA'!L952</f>
        <v>84872</v>
      </c>
      <c r="I244" s="13">
        <f>'MKT DATA'!M952</f>
        <v>1</v>
      </c>
      <c r="J244" s="43" t="str">
        <f t="shared" si="8"/>
        <v>syn BTCX6/BTCV6/BTCF7/BTCG7/BTCH7/BTCZ6</v>
      </c>
      <c r="K244" s="8">
        <f>'MKT DATA'!O952</f>
        <v>0</v>
      </c>
      <c r="L244" s="8">
        <f>'MKT DATA'!P952</f>
        <v>83554</v>
      </c>
      <c r="M244" s="8">
        <f>'MKT DATA'!Q952</f>
        <v>0</v>
      </c>
      <c r="N244" s="8">
        <f>'MKT DATA'!R952</f>
        <v>0</v>
      </c>
      <c r="O244" s="8">
        <f>'MKT DATA'!S952</f>
        <v>-84872</v>
      </c>
      <c r="P244" s="8">
        <f>'MKT DATA'!T952</f>
        <v>0</v>
      </c>
      <c r="Q244" s="43" t="str">
        <f t="shared" si="9"/>
        <v>syn BTCX6/BTCV6/BTCF7/BTCG7/BTCH7/BTCZ6</v>
      </c>
      <c r="R244" s="13">
        <f>'MKT DATA'!AB952</f>
        <v>0</v>
      </c>
    </row>
    <row r="245" spans="5:18" x14ac:dyDescent="0.25">
      <c r="E245" s="43" t="str">
        <f>'MKT DATA'!B953</f>
        <v>syn BTCX6/BTCV6/BTCF7/BTCH7/BTCG7/BTCZ6</v>
      </c>
      <c r="F245" s="13">
        <f>'MKT DATA'!J953</f>
        <v>1</v>
      </c>
      <c r="G245" s="8">
        <f>'MKT DATA'!K953</f>
        <v>83300</v>
      </c>
      <c r="H245" s="8">
        <f>'MKT DATA'!L953</f>
        <v>85212</v>
      </c>
      <c r="I245" s="13">
        <f>'MKT DATA'!M953</f>
        <v>1</v>
      </c>
      <c r="J245" s="43" t="str">
        <f t="shared" si="8"/>
        <v>syn BTCX6/BTCV6/BTCF7/BTCH7/BTCG7/BTCZ6</v>
      </c>
      <c r="K245" s="8">
        <f>'MKT DATA'!O953</f>
        <v>0</v>
      </c>
      <c r="L245" s="8">
        <f>'MKT DATA'!P953</f>
        <v>83300</v>
      </c>
      <c r="M245" s="8">
        <f>'MKT DATA'!Q953</f>
        <v>0</v>
      </c>
      <c r="N245" s="8">
        <f>'MKT DATA'!R953</f>
        <v>0</v>
      </c>
      <c r="O245" s="8">
        <f>'MKT DATA'!S953</f>
        <v>-85212</v>
      </c>
      <c r="P245" s="8">
        <f>'MKT DATA'!T953</f>
        <v>0</v>
      </c>
      <c r="Q245" s="43" t="str">
        <f t="shared" si="9"/>
        <v>syn BTCX6/BTCV6/BTCF7/BTCH7/BTCG7/BTCZ6</v>
      </c>
      <c r="R245" s="13">
        <f>'MKT DATA'!AB953</f>
        <v>0</v>
      </c>
    </row>
    <row r="246" spans="5:18" x14ac:dyDescent="0.25">
      <c r="E246" s="43" t="str">
        <f>'MKT DATA'!B954</f>
        <v>syn BTCX6/BTCV6/BTCG7/BTCF7/BTCH7/BTCZ6</v>
      </c>
      <c r="F246" s="13">
        <f>'MKT DATA'!J954</f>
        <v>1</v>
      </c>
      <c r="G246" s="8">
        <f>'MKT DATA'!K954</f>
        <v>83164</v>
      </c>
      <c r="H246" s="8">
        <f>'MKT DATA'!L954</f>
        <v>85269</v>
      </c>
      <c r="I246" s="13">
        <f>'MKT DATA'!M954</f>
        <v>1</v>
      </c>
      <c r="J246" s="43" t="str">
        <f t="shared" si="8"/>
        <v>syn BTCX6/BTCV6/BTCG7/BTCF7/BTCH7/BTCZ6</v>
      </c>
      <c r="K246" s="8">
        <f>'MKT DATA'!O954</f>
        <v>0</v>
      </c>
      <c r="L246" s="8">
        <f>'MKT DATA'!P954</f>
        <v>83164</v>
      </c>
      <c r="M246" s="8">
        <f>'MKT DATA'!Q954</f>
        <v>0</v>
      </c>
      <c r="N246" s="8">
        <f>'MKT DATA'!R954</f>
        <v>0</v>
      </c>
      <c r="O246" s="8">
        <f>'MKT DATA'!S954</f>
        <v>-85269</v>
      </c>
      <c r="P246" s="8">
        <f>'MKT DATA'!T954</f>
        <v>0</v>
      </c>
      <c r="Q246" s="43" t="str">
        <f t="shared" si="9"/>
        <v>syn BTCX6/BTCV6/BTCG7/BTCF7/BTCH7/BTCZ6</v>
      </c>
      <c r="R246" s="13">
        <f>'MKT DATA'!AB954</f>
        <v>0</v>
      </c>
    </row>
    <row r="247" spans="5:18" x14ac:dyDescent="0.25">
      <c r="E247" s="43" t="str">
        <f>'MKT DATA'!B955</f>
        <v>syn BTCX6/BTCV6/BTCG7/BTCH7/BTCF7/BTCZ6</v>
      </c>
      <c r="F247" s="13">
        <f>'MKT DATA'!J955</f>
        <v>1</v>
      </c>
      <c r="G247" s="8">
        <f>'MKT DATA'!K955</f>
        <v>83465</v>
      </c>
      <c r="H247" s="8">
        <f>'MKT DATA'!L955</f>
        <v>85191</v>
      </c>
      <c r="I247" s="13">
        <f>'MKT DATA'!M955</f>
        <v>1</v>
      </c>
      <c r="J247" s="43" t="str">
        <f t="shared" si="8"/>
        <v>syn BTCX6/BTCV6/BTCG7/BTCH7/BTCF7/BTCZ6</v>
      </c>
      <c r="K247" s="8">
        <f>'MKT DATA'!O955</f>
        <v>0</v>
      </c>
      <c r="L247" s="8">
        <f>'MKT DATA'!P955</f>
        <v>83465</v>
      </c>
      <c r="M247" s="8">
        <f>'MKT DATA'!Q955</f>
        <v>0</v>
      </c>
      <c r="N247" s="8">
        <f>'MKT DATA'!R955</f>
        <v>0</v>
      </c>
      <c r="O247" s="8">
        <f>'MKT DATA'!S955</f>
        <v>-85191</v>
      </c>
      <c r="P247" s="8">
        <f>'MKT DATA'!T955</f>
        <v>0</v>
      </c>
      <c r="Q247" s="43" t="str">
        <f t="shared" si="9"/>
        <v>syn BTCX6/BTCV6/BTCG7/BTCH7/BTCF7/BTCZ6</v>
      </c>
      <c r="R247" s="13">
        <f>'MKT DATA'!AB955</f>
        <v>0</v>
      </c>
    </row>
    <row r="248" spans="5:18" x14ac:dyDescent="0.25">
      <c r="E248" s="43" t="str">
        <f>'MKT DATA'!B956</f>
        <v>syn BTCX6/BTCV6/BTCH7/BTCF7/BTCG7/BTCZ6</v>
      </c>
      <c r="F248" s="13">
        <f>'MKT DATA'!J956</f>
        <v>1</v>
      </c>
      <c r="G248" s="8">
        <f>'MKT DATA'!K956</f>
        <v>83118</v>
      </c>
      <c r="H248" s="8">
        <f>'MKT DATA'!L956</f>
        <v>85463</v>
      </c>
      <c r="I248" s="13">
        <f>'MKT DATA'!M956</f>
        <v>1</v>
      </c>
      <c r="J248" s="43" t="str">
        <f t="shared" si="8"/>
        <v>syn BTCX6/BTCV6/BTCH7/BTCF7/BTCG7/BTCZ6</v>
      </c>
      <c r="K248" s="8">
        <f>'MKT DATA'!O956</f>
        <v>0</v>
      </c>
      <c r="L248" s="8">
        <f>'MKT DATA'!P956</f>
        <v>83118</v>
      </c>
      <c r="M248" s="8">
        <f>'MKT DATA'!Q956</f>
        <v>0</v>
      </c>
      <c r="N248" s="8">
        <f>'MKT DATA'!R956</f>
        <v>0</v>
      </c>
      <c r="O248" s="8">
        <f>'MKT DATA'!S956</f>
        <v>-85463</v>
      </c>
      <c r="P248" s="8">
        <f>'MKT DATA'!T956</f>
        <v>0</v>
      </c>
      <c r="Q248" s="43" t="str">
        <f t="shared" si="9"/>
        <v>syn BTCX6/BTCV6/BTCH7/BTCF7/BTCG7/BTCZ6</v>
      </c>
      <c r="R248" s="13">
        <f>'MKT DATA'!AB956</f>
        <v>0</v>
      </c>
    </row>
    <row r="249" spans="5:18" x14ac:dyDescent="0.25">
      <c r="E249" s="43" t="str">
        <f>'MKT DATA'!B957</f>
        <v>syn BTCX6/BTCV6/BTCH7/BTCG7/BTCF7/BTCZ6</v>
      </c>
      <c r="F249" s="13">
        <f>'MKT DATA'!J957</f>
        <v>1</v>
      </c>
      <c r="G249" s="8">
        <f>'MKT DATA'!K957</f>
        <v>83595</v>
      </c>
      <c r="H249" s="8">
        <f>'MKT DATA'!L957</f>
        <v>84967</v>
      </c>
      <c r="I249" s="13">
        <f>'MKT DATA'!M957</f>
        <v>1</v>
      </c>
      <c r="J249" s="43" t="str">
        <f t="shared" si="8"/>
        <v>syn BTCX6/BTCV6/BTCH7/BTCG7/BTCF7/BTCZ6</v>
      </c>
      <c r="K249" s="8">
        <f>'MKT DATA'!O957</f>
        <v>0</v>
      </c>
      <c r="L249" s="8">
        <f>'MKT DATA'!P957</f>
        <v>83595</v>
      </c>
      <c r="M249" s="8">
        <f>'MKT DATA'!Q957</f>
        <v>0</v>
      </c>
      <c r="N249" s="8">
        <f>'MKT DATA'!R957</f>
        <v>0</v>
      </c>
      <c r="O249" s="8">
        <f>'MKT DATA'!S957</f>
        <v>-84967</v>
      </c>
      <c r="P249" s="8">
        <f>'MKT DATA'!T957</f>
        <v>0</v>
      </c>
      <c r="Q249" s="43" t="str">
        <f t="shared" si="9"/>
        <v>syn BTCX6/BTCV6/BTCH7/BTCG7/BTCF7/BTCZ6</v>
      </c>
      <c r="R249" s="13">
        <f>'MKT DATA'!AB957</f>
        <v>0</v>
      </c>
    </row>
    <row r="250" spans="5:18" x14ac:dyDescent="0.25">
      <c r="E250" s="43" t="str">
        <f>'MKT DATA'!B958</f>
        <v>syn BTCX6/BTCF7/BTCV6/BTCG7/BTCH7/BTCZ6</v>
      </c>
      <c r="F250" s="13">
        <f>'MKT DATA'!J958</f>
        <v>1</v>
      </c>
      <c r="G250" s="8">
        <f>'MKT DATA'!K958</f>
        <v>83427</v>
      </c>
      <c r="H250" s="8">
        <f>'MKT DATA'!L958</f>
        <v>85048</v>
      </c>
      <c r="I250" s="13">
        <f>'MKT DATA'!M958</f>
        <v>1</v>
      </c>
      <c r="J250" s="43" t="str">
        <f t="shared" si="8"/>
        <v>syn BTCX6/BTCF7/BTCV6/BTCG7/BTCH7/BTCZ6</v>
      </c>
      <c r="K250" s="8">
        <f>'MKT DATA'!O958</f>
        <v>0</v>
      </c>
      <c r="L250" s="8">
        <f>'MKT DATA'!P958</f>
        <v>83427</v>
      </c>
      <c r="M250" s="8">
        <f>'MKT DATA'!Q958</f>
        <v>0</v>
      </c>
      <c r="N250" s="8">
        <f>'MKT DATA'!R958</f>
        <v>0</v>
      </c>
      <c r="O250" s="8">
        <f>'MKT DATA'!S958</f>
        <v>-85048</v>
      </c>
      <c r="P250" s="8">
        <f>'MKT DATA'!T958</f>
        <v>0</v>
      </c>
      <c r="Q250" s="43" t="str">
        <f t="shared" si="9"/>
        <v>syn BTCX6/BTCF7/BTCV6/BTCG7/BTCH7/BTCZ6</v>
      </c>
      <c r="R250" s="13">
        <f>'MKT DATA'!AB958</f>
        <v>0</v>
      </c>
    </row>
    <row r="251" spans="5:18" x14ac:dyDescent="0.25">
      <c r="E251" s="43" t="str">
        <f>'MKT DATA'!B959</f>
        <v>syn BTCX6/BTCF7/BTCV6/BTCH7/BTCG7/BTCZ6</v>
      </c>
      <c r="F251" s="13">
        <f>'MKT DATA'!J959</f>
        <v>1</v>
      </c>
      <c r="G251" s="8">
        <f>'MKT DATA'!K959</f>
        <v>83342</v>
      </c>
      <c r="H251" s="8">
        <f>'MKT DATA'!L959</f>
        <v>85203</v>
      </c>
      <c r="I251" s="13">
        <f>'MKT DATA'!M959</f>
        <v>1</v>
      </c>
      <c r="J251" s="43" t="str">
        <f t="shared" si="8"/>
        <v>syn BTCX6/BTCF7/BTCV6/BTCH7/BTCG7/BTCZ6</v>
      </c>
      <c r="K251" s="8">
        <f>'MKT DATA'!O959</f>
        <v>0</v>
      </c>
      <c r="L251" s="8">
        <f>'MKT DATA'!P959</f>
        <v>83342</v>
      </c>
      <c r="M251" s="8">
        <f>'MKT DATA'!Q959</f>
        <v>0</v>
      </c>
      <c r="N251" s="8">
        <f>'MKT DATA'!R959</f>
        <v>0</v>
      </c>
      <c r="O251" s="8">
        <f>'MKT DATA'!S959</f>
        <v>-85203</v>
      </c>
      <c r="P251" s="8">
        <f>'MKT DATA'!T959</f>
        <v>0</v>
      </c>
      <c r="Q251" s="43" t="str">
        <f t="shared" si="9"/>
        <v>syn BTCX6/BTCF7/BTCV6/BTCH7/BTCG7/BTCZ6</v>
      </c>
      <c r="R251" s="13">
        <f>'MKT DATA'!AB959</f>
        <v>0</v>
      </c>
    </row>
    <row r="252" spans="5:18" x14ac:dyDescent="0.25">
      <c r="E252" s="43" t="str">
        <f>'MKT DATA'!B960</f>
        <v>syn BTCX6/BTCF7/BTCG7/BTCV6/BTCH7/BTCZ6</v>
      </c>
      <c r="F252" s="13">
        <f>'MKT DATA'!J960</f>
        <v>1</v>
      </c>
      <c r="G252" s="8">
        <f>'MKT DATA'!K960</f>
        <v>83160</v>
      </c>
      <c r="H252" s="8">
        <f>'MKT DATA'!L960</f>
        <v>85214</v>
      </c>
      <c r="I252" s="13">
        <f>'MKT DATA'!M960</f>
        <v>1</v>
      </c>
      <c r="J252" s="43" t="str">
        <f t="shared" si="8"/>
        <v>syn BTCX6/BTCF7/BTCG7/BTCV6/BTCH7/BTCZ6</v>
      </c>
      <c r="K252" s="8">
        <f>'MKT DATA'!O960</f>
        <v>0</v>
      </c>
      <c r="L252" s="8">
        <f>'MKT DATA'!P960</f>
        <v>83160</v>
      </c>
      <c r="M252" s="8">
        <f>'MKT DATA'!Q960</f>
        <v>0</v>
      </c>
      <c r="N252" s="8">
        <f>'MKT DATA'!R960</f>
        <v>0</v>
      </c>
      <c r="O252" s="8">
        <f>'MKT DATA'!S960</f>
        <v>-85214</v>
      </c>
      <c r="P252" s="8">
        <f>'MKT DATA'!T960</f>
        <v>0</v>
      </c>
      <c r="Q252" s="43" t="str">
        <f t="shared" si="9"/>
        <v>syn BTCX6/BTCF7/BTCG7/BTCV6/BTCH7/BTCZ6</v>
      </c>
      <c r="R252" s="13">
        <f>'MKT DATA'!AB960</f>
        <v>0</v>
      </c>
    </row>
    <row r="253" spans="5:18" x14ac:dyDescent="0.25">
      <c r="E253" s="43" t="str">
        <f>'MKT DATA'!B961</f>
        <v>syn BTCX6/BTCF7/BTCG7/BTCH7/BTCV6/BTCZ6</v>
      </c>
      <c r="F253" s="13">
        <f>'MKT DATA'!J961</f>
        <v>1</v>
      </c>
      <c r="G253" s="8">
        <f>'MKT DATA'!K961</f>
        <v>83571</v>
      </c>
      <c r="H253" s="8">
        <f>'MKT DATA'!L961</f>
        <v>85046</v>
      </c>
      <c r="I253" s="13">
        <f>'MKT DATA'!M961</f>
        <v>1</v>
      </c>
      <c r="J253" s="43" t="str">
        <f t="shared" si="8"/>
        <v>syn BTCX6/BTCF7/BTCG7/BTCH7/BTCV6/BTCZ6</v>
      </c>
      <c r="K253" s="8">
        <f>'MKT DATA'!O961</f>
        <v>0</v>
      </c>
      <c r="L253" s="8">
        <f>'MKT DATA'!P961</f>
        <v>83571</v>
      </c>
      <c r="M253" s="8">
        <f>'MKT DATA'!Q961</f>
        <v>0</v>
      </c>
      <c r="N253" s="8">
        <f>'MKT DATA'!R961</f>
        <v>0</v>
      </c>
      <c r="O253" s="8">
        <f>'MKT DATA'!S961</f>
        <v>-85046</v>
      </c>
      <c r="P253" s="8">
        <f>'MKT DATA'!T961</f>
        <v>0</v>
      </c>
      <c r="Q253" s="43" t="str">
        <f t="shared" si="9"/>
        <v>syn BTCX6/BTCF7/BTCG7/BTCH7/BTCV6/BTCZ6</v>
      </c>
      <c r="R253" s="13">
        <f>'MKT DATA'!AB961</f>
        <v>0</v>
      </c>
    </row>
    <row r="254" spans="5:18" x14ac:dyDescent="0.25">
      <c r="E254" s="43" t="str">
        <f>'MKT DATA'!B962</f>
        <v>syn BTCX6/BTCF7/BTCH7/BTCV6/BTCG7/BTCZ6</v>
      </c>
      <c r="F254" s="13">
        <f>'MKT DATA'!J962</f>
        <v>1</v>
      </c>
      <c r="G254" s="8">
        <f>'MKT DATA'!K962</f>
        <v>82961</v>
      </c>
      <c r="H254" s="8">
        <f>'MKT DATA'!L962</f>
        <v>85609</v>
      </c>
      <c r="I254" s="13">
        <f>'MKT DATA'!M962</f>
        <v>1</v>
      </c>
      <c r="J254" s="43" t="str">
        <f t="shared" si="8"/>
        <v>syn BTCX6/BTCF7/BTCH7/BTCV6/BTCG7/BTCZ6</v>
      </c>
      <c r="K254" s="8">
        <f>'MKT DATA'!O962</f>
        <v>0</v>
      </c>
      <c r="L254" s="8">
        <f>'MKT DATA'!P962</f>
        <v>82961</v>
      </c>
      <c r="M254" s="8">
        <f>'MKT DATA'!Q962</f>
        <v>0</v>
      </c>
      <c r="N254" s="8">
        <f>'MKT DATA'!R962</f>
        <v>0</v>
      </c>
      <c r="O254" s="8">
        <f>'MKT DATA'!S962</f>
        <v>-85609</v>
      </c>
      <c r="P254" s="8">
        <f>'MKT DATA'!T962</f>
        <v>0</v>
      </c>
      <c r="Q254" s="43" t="str">
        <f t="shared" si="9"/>
        <v>syn BTCX6/BTCF7/BTCH7/BTCV6/BTCG7/BTCZ6</v>
      </c>
      <c r="R254" s="13">
        <f>'MKT DATA'!AB962</f>
        <v>0</v>
      </c>
    </row>
    <row r="255" spans="5:18" x14ac:dyDescent="0.25">
      <c r="E255" s="43" t="str">
        <f>'MKT DATA'!B963</f>
        <v>syn BTCX6/BTCF7/BTCH7/BTCG7/BTCV6/BTCZ6</v>
      </c>
      <c r="F255" s="13">
        <f>'MKT DATA'!J963</f>
        <v>1</v>
      </c>
      <c r="G255" s="8">
        <f>'MKT DATA'!K963</f>
        <v>83347</v>
      </c>
      <c r="H255" s="8">
        <f>'MKT DATA'!L963</f>
        <v>85176</v>
      </c>
      <c r="I255" s="13">
        <f>'MKT DATA'!M963</f>
        <v>1</v>
      </c>
      <c r="J255" s="43" t="str">
        <f t="shared" si="8"/>
        <v>syn BTCX6/BTCF7/BTCH7/BTCG7/BTCV6/BTCZ6</v>
      </c>
      <c r="K255" s="8">
        <f>'MKT DATA'!O963</f>
        <v>0</v>
      </c>
      <c r="L255" s="8">
        <f>'MKT DATA'!P963</f>
        <v>83347</v>
      </c>
      <c r="M255" s="8">
        <f>'MKT DATA'!Q963</f>
        <v>0</v>
      </c>
      <c r="N255" s="8">
        <f>'MKT DATA'!R963</f>
        <v>0</v>
      </c>
      <c r="O255" s="8">
        <f>'MKT DATA'!S963</f>
        <v>-85176</v>
      </c>
      <c r="P255" s="8">
        <f>'MKT DATA'!T963</f>
        <v>0</v>
      </c>
      <c r="Q255" s="43" t="str">
        <f t="shared" si="9"/>
        <v>syn BTCX6/BTCF7/BTCH7/BTCG7/BTCV6/BTCZ6</v>
      </c>
      <c r="R255" s="13">
        <f>'MKT DATA'!AB963</f>
        <v>0</v>
      </c>
    </row>
    <row r="256" spans="5:18" x14ac:dyDescent="0.25">
      <c r="E256" s="43" t="str">
        <f>'MKT DATA'!B964</f>
        <v>syn BTCX6/BTCG7/BTCV6/BTCF7/BTCH7/BTCZ6</v>
      </c>
      <c r="F256" s="13">
        <f>'MKT DATA'!J964</f>
        <v>1</v>
      </c>
      <c r="G256" s="8">
        <f>'MKT DATA'!K964</f>
        <v>82951</v>
      </c>
      <c r="H256" s="8">
        <f>'MKT DATA'!L964</f>
        <v>85429</v>
      </c>
      <c r="I256" s="13">
        <f>'MKT DATA'!M964</f>
        <v>1</v>
      </c>
      <c r="J256" s="43" t="str">
        <f t="shared" si="8"/>
        <v>syn BTCX6/BTCG7/BTCV6/BTCF7/BTCH7/BTCZ6</v>
      </c>
      <c r="K256" s="8">
        <f>'MKT DATA'!O964</f>
        <v>0</v>
      </c>
      <c r="L256" s="8">
        <f>'MKT DATA'!P964</f>
        <v>82951</v>
      </c>
      <c r="M256" s="8">
        <f>'MKT DATA'!Q964</f>
        <v>0</v>
      </c>
      <c r="N256" s="8">
        <f>'MKT DATA'!R964</f>
        <v>0</v>
      </c>
      <c r="O256" s="8">
        <f>'MKT DATA'!S964</f>
        <v>-85429</v>
      </c>
      <c r="P256" s="8">
        <f>'MKT DATA'!T964</f>
        <v>0</v>
      </c>
      <c r="Q256" s="43" t="str">
        <f t="shared" si="9"/>
        <v>syn BTCX6/BTCG7/BTCV6/BTCF7/BTCH7/BTCZ6</v>
      </c>
      <c r="R256" s="13">
        <f>'MKT DATA'!AB964</f>
        <v>0</v>
      </c>
    </row>
    <row r="257" spans="5:18" x14ac:dyDescent="0.25">
      <c r="E257" s="43" t="str">
        <f>'MKT DATA'!B965</f>
        <v>syn BTCX6/BTCG7/BTCV6/BTCH7/BTCF7/BTCZ6</v>
      </c>
      <c r="F257" s="13">
        <f>'MKT DATA'!J965</f>
        <v>1</v>
      </c>
      <c r="G257" s="8">
        <f>'MKT DATA'!K965</f>
        <v>83031</v>
      </c>
      <c r="H257" s="8">
        <f>'MKT DATA'!L965</f>
        <v>85563</v>
      </c>
      <c r="I257" s="13">
        <f>'MKT DATA'!M965</f>
        <v>1</v>
      </c>
      <c r="J257" s="43" t="str">
        <f t="shared" si="8"/>
        <v>syn BTCX6/BTCG7/BTCV6/BTCH7/BTCF7/BTCZ6</v>
      </c>
      <c r="K257" s="8">
        <f>'MKT DATA'!O965</f>
        <v>0</v>
      </c>
      <c r="L257" s="8">
        <f>'MKT DATA'!P965</f>
        <v>83031</v>
      </c>
      <c r="M257" s="8">
        <f>'MKT DATA'!Q965</f>
        <v>0</v>
      </c>
      <c r="N257" s="8">
        <f>'MKT DATA'!R965</f>
        <v>0</v>
      </c>
      <c r="O257" s="8">
        <f>'MKT DATA'!S965</f>
        <v>-85563</v>
      </c>
      <c r="P257" s="8">
        <f>'MKT DATA'!T965</f>
        <v>0</v>
      </c>
      <c r="Q257" s="43" t="str">
        <f t="shared" si="9"/>
        <v>syn BTCX6/BTCG7/BTCV6/BTCH7/BTCF7/BTCZ6</v>
      </c>
      <c r="R257" s="13">
        <f>'MKT DATA'!AB965</f>
        <v>0</v>
      </c>
    </row>
    <row r="258" spans="5:18" x14ac:dyDescent="0.25">
      <c r="E258" s="43" t="str">
        <f>'MKT DATA'!B966</f>
        <v>syn BTCX6/BTCG7/BTCF7/BTCV6/BTCH7/BTCZ6</v>
      </c>
      <c r="F258" s="13">
        <f>'MKT DATA'!J966</f>
        <v>1</v>
      </c>
      <c r="G258" s="8">
        <f>'MKT DATA'!K966</f>
        <v>83166</v>
      </c>
      <c r="H258" s="8">
        <f>'MKT DATA'!L966</f>
        <v>85290</v>
      </c>
      <c r="I258" s="13">
        <f>'MKT DATA'!M966</f>
        <v>1</v>
      </c>
      <c r="J258" s="43" t="str">
        <f t="shared" si="8"/>
        <v>syn BTCX6/BTCG7/BTCF7/BTCV6/BTCH7/BTCZ6</v>
      </c>
      <c r="K258" s="8">
        <f>'MKT DATA'!O966</f>
        <v>0</v>
      </c>
      <c r="L258" s="8">
        <f>'MKT DATA'!P966</f>
        <v>83166</v>
      </c>
      <c r="M258" s="8">
        <f>'MKT DATA'!Q966</f>
        <v>0</v>
      </c>
      <c r="N258" s="8">
        <f>'MKT DATA'!R966</f>
        <v>0</v>
      </c>
      <c r="O258" s="8">
        <f>'MKT DATA'!S966</f>
        <v>-85290</v>
      </c>
      <c r="P258" s="8">
        <f>'MKT DATA'!T966</f>
        <v>0</v>
      </c>
      <c r="Q258" s="43" t="str">
        <f t="shared" si="9"/>
        <v>syn BTCX6/BTCG7/BTCF7/BTCV6/BTCH7/BTCZ6</v>
      </c>
      <c r="R258" s="13">
        <f>'MKT DATA'!AB966</f>
        <v>0</v>
      </c>
    </row>
    <row r="259" spans="5:18" x14ac:dyDescent="0.25">
      <c r="E259" s="43" t="str">
        <f>'MKT DATA'!B967</f>
        <v>syn BTCX6/BTCG7/BTCF7/BTCH7/BTCV6/BTCZ6</v>
      </c>
      <c r="F259" s="13">
        <f>'MKT DATA'!J967</f>
        <v>1</v>
      </c>
      <c r="G259" s="8">
        <f>'MKT DATA'!K967</f>
        <v>83141</v>
      </c>
      <c r="H259" s="8">
        <f>'MKT DATA'!L967</f>
        <v>85473</v>
      </c>
      <c r="I259" s="13">
        <f>'MKT DATA'!M967</f>
        <v>1</v>
      </c>
      <c r="J259" s="43" t="str">
        <f t="shared" si="8"/>
        <v>syn BTCX6/BTCG7/BTCF7/BTCH7/BTCV6/BTCZ6</v>
      </c>
      <c r="K259" s="8">
        <f>'MKT DATA'!O967</f>
        <v>0</v>
      </c>
      <c r="L259" s="8">
        <f>'MKT DATA'!P967</f>
        <v>83141</v>
      </c>
      <c r="M259" s="8">
        <f>'MKT DATA'!Q967</f>
        <v>0</v>
      </c>
      <c r="N259" s="8">
        <f>'MKT DATA'!R967</f>
        <v>0</v>
      </c>
      <c r="O259" s="8">
        <f>'MKT DATA'!S967</f>
        <v>-85473</v>
      </c>
      <c r="P259" s="8">
        <f>'MKT DATA'!T967</f>
        <v>0</v>
      </c>
      <c r="Q259" s="43" t="str">
        <f t="shared" si="9"/>
        <v>syn BTCX6/BTCG7/BTCF7/BTCH7/BTCV6/BTCZ6</v>
      </c>
      <c r="R259" s="13">
        <f>'MKT DATA'!AB967</f>
        <v>0</v>
      </c>
    </row>
    <row r="260" spans="5:18" x14ac:dyDescent="0.25">
      <c r="E260" s="43" t="str">
        <f>'MKT DATA'!B968</f>
        <v>syn BTCX6/BTCG7/BTCH7/BTCV6/BTCF7/BTCZ6</v>
      </c>
      <c r="F260" s="13">
        <f>'MKT DATA'!J968</f>
        <v>1</v>
      </c>
      <c r="G260" s="8">
        <f>'MKT DATA'!K968</f>
        <v>83437</v>
      </c>
      <c r="H260" s="8">
        <f>'MKT DATA'!L968</f>
        <v>85182</v>
      </c>
      <c r="I260" s="13">
        <f>'MKT DATA'!M968</f>
        <v>1</v>
      </c>
      <c r="J260" s="43" t="str">
        <f t="shared" si="8"/>
        <v>syn BTCX6/BTCG7/BTCH7/BTCV6/BTCF7/BTCZ6</v>
      </c>
      <c r="K260" s="8">
        <f>'MKT DATA'!O968</f>
        <v>0</v>
      </c>
      <c r="L260" s="8">
        <f>'MKT DATA'!P968</f>
        <v>83437</v>
      </c>
      <c r="M260" s="8">
        <f>'MKT DATA'!Q968</f>
        <v>0</v>
      </c>
      <c r="N260" s="8">
        <f>'MKT DATA'!R968</f>
        <v>0</v>
      </c>
      <c r="O260" s="8">
        <f>'MKT DATA'!S968</f>
        <v>-85182</v>
      </c>
      <c r="P260" s="8">
        <f>'MKT DATA'!T968</f>
        <v>0</v>
      </c>
      <c r="Q260" s="43" t="str">
        <f t="shared" si="9"/>
        <v>syn BTCX6/BTCG7/BTCH7/BTCV6/BTCF7/BTCZ6</v>
      </c>
      <c r="R260" s="13">
        <f>'MKT DATA'!AB968</f>
        <v>0</v>
      </c>
    </row>
    <row r="261" spans="5:18" x14ac:dyDescent="0.25">
      <c r="E261" s="43" t="str">
        <f>'MKT DATA'!B969</f>
        <v>syn BTCX6/BTCG7/BTCH7/BTCF7/BTCV6/BTCZ6</v>
      </c>
      <c r="F261" s="13">
        <f>'MKT DATA'!J969</f>
        <v>1</v>
      </c>
      <c r="G261" s="8">
        <f>'MKT DATA'!K969</f>
        <v>83392</v>
      </c>
      <c r="H261" s="8">
        <f>'MKT DATA'!L969</f>
        <v>85291</v>
      </c>
      <c r="I261" s="13">
        <f>'MKT DATA'!M969</f>
        <v>1</v>
      </c>
      <c r="J261" s="43" t="str">
        <f t="shared" si="8"/>
        <v>syn BTCX6/BTCG7/BTCH7/BTCF7/BTCV6/BTCZ6</v>
      </c>
      <c r="K261" s="8">
        <f>'MKT DATA'!O969</f>
        <v>0</v>
      </c>
      <c r="L261" s="8">
        <f>'MKT DATA'!P969</f>
        <v>83392</v>
      </c>
      <c r="M261" s="8">
        <f>'MKT DATA'!Q969</f>
        <v>0</v>
      </c>
      <c r="N261" s="8">
        <f>'MKT DATA'!R969</f>
        <v>0</v>
      </c>
      <c r="O261" s="8">
        <f>'MKT DATA'!S969</f>
        <v>-85291</v>
      </c>
      <c r="P261" s="8">
        <f>'MKT DATA'!T969</f>
        <v>0</v>
      </c>
      <c r="Q261" s="43" t="str">
        <f t="shared" si="9"/>
        <v>syn BTCX6/BTCG7/BTCH7/BTCF7/BTCV6/BTCZ6</v>
      </c>
      <c r="R261" s="13">
        <f>'MKT DATA'!AB969</f>
        <v>0</v>
      </c>
    </row>
    <row r="262" spans="5:18" x14ac:dyDescent="0.25">
      <c r="E262" s="43" t="str">
        <f>'MKT DATA'!B970</f>
        <v>syn BTCX6/BTCH7/BTCV6/BTCF7/BTCG7/BTCZ6</v>
      </c>
      <c r="F262" s="13">
        <f>'MKT DATA'!J970</f>
        <v>1</v>
      </c>
      <c r="G262" s="8">
        <f>'MKT DATA'!K970</f>
        <v>83090</v>
      </c>
      <c r="H262" s="8">
        <f>'MKT DATA'!L970</f>
        <v>85454</v>
      </c>
      <c r="I262" s="13">
        <f>'MKT DATA'!M970</f>
        <v>1</v>
      </c>
      <c r="J262" s="43" t="str">
        <f t="shared" si="8"/>
        <v>syn BTCX6/BTCH7/BTCV6/BTCF7/BTCG7/BTCZ6</v>
      </c>
      <c r="K262" s="8">
        <f>'MKT DATA'!O970</f>
        <v>0</v>
      </c>
      <c r="L262" s="8">
        <f>'MKT DATA'!P970</f>
        <v>83090</v>
      </c>
      <c r="M262" s="8">
        <f>'MKT DATA'!Q970</f>
        <v>0</v>
      </c>
      <c r="N262" s="8">
        <f>'MKT DATA'!R970</f>
        <v>0</v>
      </c>
      <c r="O262" s="8">
        <f>'MKT DATA'!S970</f>
        <v>-85454</v>
      </c>
      <c r="P262" s="8">
        <f>'MKT DATA'!T970</f>
        <v>0</v>
      </c>
      <c r="Q262" s="43" t="str">
        <f t="shared" si="9"/>
        <v>syn BTCX6/BTCH7/BTCV6/BTCF7/BTCG7/BTCZ6</v>
      </c>
      <c r="R262" s="13">
        <f>'MKT DATA'!AB970</f>
        <v>0</v>
      </c>
    </row>
    <row r="263" spans="5:18" x14ac:dyDescent="0.25">
      <c r="E263" s="43" t="str">
        <f>'MKT DATA'!B971</f>
        <v>syn BTCX6/BTCH7/BTCV6/BTCG7/BTCF7/BTCZ6</v>
      </c>
      <c r="F263" s="13">
        <f>'MKT DATA'!J971</f>
        <v>1</v>
      </c>
      <c r="G263" s="8">
        <f>'MKT DATA'!K971</f>
        <v>83216</v>
      </c>
      <c r="H263" s="8">
        <f>'MKT DATA'!L971</f>
        <v>85394</v>
      </c>
      <c r="I263" s="13">
        <f>'MKT DATA'!M971</f>
        <v>1</v>
      </c>
      <c r="J263" s="43" t="str">
        <f t="shared" si="8"/>
        <v>syn BTCX6/BTCH7/BTCV6/BTCG7/BTCF7/BTCZ6</v>
      </c>
      <c r="K263" s="8">
        <f>'MKT DATA'!O971</f>
        <v>0</v>
      </c>
      <c r="L263" s="8">
        <f>'MKT DATA'!P971</f>
        <v>83216</v>
      </c>
      <c r="M263" s="8">
        <f>'MKT DATA'!Q971</f>
        <v>0</v>
      </c>
      <c r="N263" s="8">
        <f>'MKT DATA'!R971</f>
        <v>0</v>
      </c>
      <c r="O263" s="8">
        <f>'MKT DATA'!S971</f>
        <v>-85394</v>
      </c>
      <c r="P263" s="8">
        <f>'MKT DATA'!T971</f>
        <v>0</v>
      </c>
      <c r="Q263" s="43" t="str">
        <f t="shared" si="9"/>
        <v>syn BTCX6/BTCH7/BTCV6/BTCG7/BTCF7/BTCZ6</v>
      </c>
      <c r="R263" s="13">
        <f>'MKT DATA'!AB971</f>
        <v>0</v>
      </c>
    </row>
    <row r="264" spans="5:18" x14ac:dyDescent="0.25">
      <c r="E264" s="43" t="str">
        <f>'MKT DATA'!B972</f>
        <v>syn BTCX6/BTCH7/BTCF7/BTCV6/BTCG7/BTCZ6</v>
      </c>
      <c r="F264" s="13">
        <f>'MKT DATA'!J972</f>
        <v>1</v>
      </c>
      <c r="G264" s="8">
        <f>'MKT DATA'!K972</f>
        <v>82951</v>
      </c>
      <c r="H264" s="8">
        <f>'MKT DATA'!L972</f>
        <v>85669</v>
      </c>
      <c r="I264" s="13">
        <f>'MKT DATA'!M972</f>
        <v>1</v>
      </c>
      <c r="J264" s="43" t="str">
        <f t="shared" si="8"/>
        <v>syn BTCX6/BTCH7/BTCF7/BTCV6/BTCG7/BTCZ6</v>
      </c>
      <c r="K264" s="8">
        <f>'MKT DATA'!O972</f>
        <v>0</v>
      </c>
      <c r="L264" s="8">
        <f>'MKT DATA'!P972</f>
        <v>82951</v>
      </c>
      <c r="M264" s="8">
        <f>'MKT DATA'!Q972</f>
        <v>0</v>
      </c>
      <c r="N264" s="8">
        <f>'MKT DATA'!R972</f>
        <v>0</v>
      </c>
      <c r="O264" s="8">
        <f>'MKT DATA'!S972</f>
        <v>-85669</v>
      </c>
      <c r="P264" s="8">
        <f>'MKT DATA'!T972</f>
        <v>0</v>
      </c>
      <c r="Q264" s="43" t="str">
        <f t="shared" si="9"/>
        <v>syn BTCX6/BTCH7/BTCF7/BTCV6/BTCG7/BTCZ6</v>
      </c>
      <c r="R264" s="13">
        <f>'MKT DATA'!AB972</f>
        <v>0</v>
      </c>
    </row>
    <row r="265" spans="5:18" x14ac:dyDescent="0.25">
      <c r="E265" s="43" t="str">
        <f>'MKT DATA'!B973</f>
        <v>syn BTCX6/BTCH7/BTCF7/BTCG7/BTCV6/BTCZ6</v>
      </c>
      <c r="F265" s="13">
        <f>'MKT DATA'!J973</f>
        <v>1</v>
      </c>
      <c r="G265" s="8">
        <f>'MKT DATA'!K973</f>
        <v>83125</v>
      </c>
      <c r="H265" s="8">
        <f>'MKT DATA'!L973</f>
        <v>85457</v>
      </c>
      <c r="I265" s="13">
        <f>'MKT DATA'!M973</f>
        <v>1</v>
      </c>
      <c r="J265" s="43" t="str">
        <f t="shared" si="8"/>
        <v>syn BTCX6/BTCH7/BTCF7/BTCG7/BTCV6/BTCZ6</v>
      </c>
      <c r="K265" s="8">
        <f>'MKT DATA'!O973</f>
        <v>0</v>
      </c>
      <c r="L265" s="8">
        <f>'MKT DATA'!P973</f>
        <v>83125</v>
      </c>
      <c r="M265" s="8">
        <f>'MKT DATA'!Q973</f>
        <v>0</v>
      </c>
      <c r="N265" s="8">
        <f>'MKT DATA'!R973</f>
        <v>0</v>
      </c>
      <c r="O265" s="8">
        <f>'MKT DATA'!S973</f>
        <v>-85457</v>
      </c>
      <c r="P265" s="8">
        <f>'MKT DATA'!T973</f>
        <v>0</v>
      </c>
      <c r="Q265" s="43" t="str">
        <f t="shared" si="9"/>
        <v>syn BTCX6/BTCH7/BTCF7/BTCG7/BTCV6/BTCZ6</v>
      </c>
      <c r="R265" s="13">
        <f>'MKT DATA'!AB973</f>
        <v>0</v>
      </c>
    </row>
    <row r="266" spans="5:18" x14ac:dyDescent="0.25">
      <c r="E266" s="43" t="str">
        <f>'MKT DATA'!B974</f>
        <v>syn BTCX6/BTCH7/BTCG7/BTCV6/BTCF7/BTCZ6</v>
      </c>
      <c r="F266" s="13">
        <f>'MKT DATA'!J974</f>
        <v>1</v>
      </c>
      <c r="G266" s="8">
        <f>'MKT DATA'!K974</f>
        <v>83382</v>
      </c>
      <c r="H266" s="8">
        <f>'MKT DATA'!L974</f>
        <v>85127</v>
      </c>
      <c r="I266" s="13">
        <f>'MKT DATA'!M974</f>
        <v>1</v>
      </c>
      <c r="J266" s="43" t="str">
        <f t="shared" ref="J266:J329" si="10">E266</f>
        <v>syn BTCX6/BTCH7/BTCG7/BTCV6/BTCF7/BTCZ6</v>
      </c>
      <c r="K266" s="8">
        <f>'MKT DATA'!O974</f>
        <v>0</v>
      </c>
      <c r="L266" s="8">
        <f>'MKT DATA'!P974</f>
        <v>83382</v>
      </c>
      <c r="M266" s="8">
        <f>'MKT DATA'!Q974</f>
        <v>0</v>
      </c>
      <c r="N266" s="8">
        <f>'MKT DATA'!R974</f>
        <v>0</v>
      </c>
      <c r="O266" s="8">
        <f>'MKT DATA'!S974</f>
        <v>-85127</v>
      </c>
      <c r="P266" s="8">
        <f>'MKT DATA'!T974</f>
        <v>0</v>
      </c>
      <c r="Q266" s="43" t="str">
        <f t="shared" ref="Q266:Q329" si="11">J266</f>
        <v>syn BTCX6/BTCH7/BTCG7/BTCV6/BTCF7/BTCZ6</v>
      </c>
      <c r="R266" s="13">
        <f>'MKT DATA'!AB974</f>
        <v>0</v>
      </c>
    </row>
    <row r="267" spans="5:18" x14ac:dyDescent="0.25">
      <c r="E267" s="43" t="str">
        <f>'MKT DATA'!B975</f>
        <v>syn BTCX6/BTCH7/BTCG7/BTCF7/BTCV6/BTCZ6</v>
      </c>
      <c r="F267" s="13">
        <f>'MKT DATA'!J975</f>
        <v>1</v>
      </c>
      <c r="G267" s="8">
        <f>'MKT DATA'!K975</f>
        <v>83522</v>
      </c>
      <c r="H267" s="8">
        <f>'MKT DATA'!L975</f>
        <v>85067</v>
      </c>
      <c r="I267" s="13">
        <f>'MKT DATA'!M975</f>
        <v>1</v>
      </c>
      <c r="J267" s="43" t="str">
        <f t="shared" si="10"/>
        <v>syn BTCX6/BTCH7/BTCG7/BTCF7/BTCV6/BTCZ6</v>
      </c>
      <c r="K267" s="8">
        <f>'MKT DATA'!O975</f>
        <v>0</v>
      </c>
      <c r="L267" s="8">
        <f>'MKT DATA'!P975</f>
        <v>83522</v>
      </c>
      <c r="M267" s="8">
        <f>'MKT DATA'!Q975</f>
        <v>0</v>
      </c>
      <c r="N267" s="8">
        <f>'MKT DATA'!R975</f>
        <v>0</v>
      </c>
      <c r="O267" s="8">
        <f>'MKT DATA'!S975</f>
        <v>-85067</v>
      </c>
      <c r="P267" s="8">
        <f>'MKT DATA'!T975</f>
        <v>0</v>
      </c>
      <c r="Q267" s="43" t="str">
        <f t="shared" si="11"/>
        <v>syn BTCX6/BTCH7/BTCG7/BTCF7/BTCV6/BTCZ6</v>
      </c>
      <c r="R267" s="13">
        <f>'MKT DATA'!AB975</f>
        <v>0</v>
      </c>
    </row>
    <row r="268" spans="5:18" x14ac:dyDescent="0.25">
      <c r="E268" s="43" t="str">
        <f>'MKT DATA'!B976</f>
        <v>syn BTCF7/BTCV6/BTCX6/BTCG7/BTCH7/BTCZ6</v>
      </c>
      <c r="F268" s="13">
        <f>'MKT DATA'!J976</f>
        <v>1</v>
      </c>
      <c r="G268" s="8">
        <f>'MKT DATA'!K976</f>
        <v>83408</v>
      </c>
      <c r="H268" s="8">
        <f>'MKT DATA'!L976</f>
        <v>85080</v>
      </c>
      <c r="I268" s="13">
        <f>'MKT DATA'!M976</f>
        <v>1</v>
      </c>
      <c r="J268" s="43" t="str">
        <f t="shared" si="10"/>
        <v>syn BTCF7/BTCV6/BTCX6/BTCG7/BTCH7/BTCZ6</v>
      </c>
      <c r="K268" s="8">
        <f>'MKT DATA'!O976</f>
        <v>0</v>
      </c>
      <c r="L268" s="8">
        <f>'MKT DATA'!P976</f>
        <v>83408</v>
      </c>
      <c r="M268" s="8">
        <f>'MKT DATA'!Q976</f>
        <v>0</v>
      </c>
      <c r="N268" s="8">
        <f>'MKT DATA'!R976</f>
        <v>0</v>
      </c>
      <c r="O268" s="8">
        <f>'MKT DATA'!S976</f>
        <v>-85080</v>
      </c>
      <c r="P268" s="8">
        <f>'MKT DATA'!T976</f>
        <v>0</v>
      </c>
      <c r="Q268" s="43" t="str">
        <f t="shared" si="11"/>
        <v>syn BTCF7/BTCV6/BTCX6/BTCG7/BTCH7/BTCZ6</v>
      </c>
      <c r="R268" s="13">
        <f>'MKT DATA'!AB976</f>
        <v>0</v>
      </c>
    </row>
    <row r="269" spans="5:18" x14ac:dyDescent="0.25">
      <c r="E269" s="43" t="str">
        <f>'MKT DATA'!B977</f>
        <v>syn BTCF7/BTCV6/BTCX6/BTCH7/BTCG7/BTCZ6</v>
      </c>
      <c r="F269" s="13">
        <f>'MKT DATA'!J977</f>
        <v>1</v>
      </c>
      <c r="G269" s="8">
        <f>'MKT DATA'!K977</f>
        <v>83323</v>
      </c>
      <c r="H269" s="8">
        <f>'MKT DATA'!L977</f>
        <v>85235</v>
      </c>
      <c r="I269" s="13">
        <f>'MKT DATA'!M977</f>
        <v>1</v>
      </c>
      <c r="J269" s="43" t="str">
        <f t="shared" si="10"/>
        <v>syn BTCF7/BTCV6/BTCX6/BTCH7/BTCG7/BTCZ6</v>
      </c>
      <c r="K269" s="8">
        <f>'MKT DATA'!O977</f>
        <v>0</v>
      </c>
      <c r="L269" s="8">
        <f>'MKT DATA'!P977</f>
        <v>83323</v>
      </c>
      <c r="M269" s="8">
        <f>'MKT DATA'!Q977</f>
        <v>0</v>
      </c>
      <c r="N269" s="8">
        <f>'MKT DATA'!R977</f>
        <v>0</v>
      </c>
      <c r="O269" s="8">
        <f>'MKT DATA'!S977</f>
        <v>-85235</v>
      </c>
      <c r="P269" s="8">
        <f>'MKT DATA'!T977</f>
        <v>0</v>
      </c>
      <c r="Q269" s="43" t="str">
        <f t="shared" si="11"/>
        <v>syn BTCF7/BTCV6/BTCX6/BTCH7/BTCG7/BTCZ6</v>
      </c>
      <c r="R269" s="13">
        <f>'MKT DATA'!AB977</f>
        <v>0</v>
      </c>
    </row>
    <row r="270" spans="5:18" x14ac:dyDescent="0.25">
      <c r="E270" s="43" t="str">
        <f>'MKT DATA'!B978</f>
        <v>syn BTCF7/BTCV6/BTCG7/BTCX6/BTCH7/BTCZ6</v>
      </c>
      <c r="F270" s="13">
        <f>'MKT DATA'!J978</f>
        <v>1</v>
      </c>
      <c r="G270" s="8">
        <f>'MKT DATA'!K978</f>
        <v>82981</v>
      </c>
      <c r="H270" s="8">
        <f>'MKT DATA'!L978</f>
        <v>85459</v>
      </c>
      <c r="I270" s="13">
        <f>'MKT DATA'!M978</f>
        <v>1</v>
      </c>
      <c r="J270" s="43" t="str">
        <f t="shared" si="10"/>
        <v>syn BTCF7/BTCV6/BTCG7/BTCX6/BTCH7/BTCZ6</v>
      </c>
      <c r="K270" s="8">
        <f>'MKT DATA'!O978</f>
        <v>0</v>
      </c>
      <c r="L270" s="8">
        <f>'MKT DATA'!P978</f>
        <v>82981</v>
      </c>
      <c r="M270" s="8">
        <f>'MKT DATA'!Q978</f>
        <v>0</v>
      </c>
      <c r="N270" s="8">
        <f>'MKT DATA'!R978</f>
        <v>0</v>
      </c>
      <c r="O270" s="8">
        <f>'MKT DATA'!S978</f>
        <v>-85459</v>
      </c>
      <c r="P270" s="8">
        <f>'MKT DATA'!T978</f>
        <v>0</v>
      </c>
      <c r="Q270" s="43" t="str">
        <f t="shared" si="11"/>
        <v>syn BTCF7/BTCV6/BTCG7/BTCX6/BTCH7/BTCZ6</v>
      </c>
      <c r="R270" s="13">
        <f>'MKT DATA'!AB978</f>
        <v>0</v>
      </c>
    </row>
    <row r="271" spans="5:18" x14ac:dyDescent="0.25">
      <c r="E271" s="43" t="str">
        <f>'MKT DATA'!B979</f>
        <v>syn BTCF7/BTCV6/BTCG7/BTCH7/BTCX6/BTCZ6</v>
      </c>
      <c r="F271" s="13">
        <f>'MKT DATA'!J979</f>
        <v>1</v>
      </c>
      <c r="G271" s="8">
        <f>'MKT DATA'!K979</f>
        <v>83415</v>
      </c>
      <c r="H271" s="8">
        <f>'MKT DATA'!L979</f>
        <v>85275</v>
      </c>
      <c r="I271" s="13">
        <f>'MKT DATA'!M979</f>
        <v>1</v>
      </c>
      <c r="J271" s="43" t="str">
        <f t="shared" si="10"/>
        <v>syn BTCF7/BTCV6/BTCG7/BTCH7/BTCX6/BTCZ6</v>
      </c>
      <c r="K271" s="8">
        <f>'MKT DATA'!O979</f>
        <v>0</v>
      </c>
      <c r="L271" s="8">
        <f>'MKT DATA'!P979</f>
        <v>83415</v>
      </c>
      <c r="M271" s="8">
        <f>'MKT DATA'!Q979</f>
        <v>0</v>
      </c>
      <c r="N271" s="8">
        <f>'MKT DATA'!R979</f>
        <v>0</v>
      </c>
      <c r="O271" s="8">
        <f>'MKT DATA'!S979</f>
        <v>-85275</v>
      </c>
      <c r="P271" s="8">
        <f>'MKT DATA'!T979</f>
        <v>0</v>
      </c>
      <c r="Q271" s="43" t="str">
        <f t="shared" si="11"/>
        <v>syn BTCF7/BTCV6/BTCG7/BTCH7/BTCX6/BTCZ6</v>
      </c>
      <c r="R271" s="13">
        <f>'MKT DATA'!AB979</f>
        <v>0</v>
      </c>
    </row>
    <row r="272" spans="5:18" x14ac:dyDescent="0.25">
      <c r="E272" s="43" t="str">
        <f>'MKT DATA'!B980</f>
        <v>syn BTCF7/BTCV6/BTCH7/BTCX6/BTCG7/BTCZ6</v>
      </c>
      <c r="F272" s="13">
        <f>'MKT DATA'!J980</f>
        <v>1</v>
      </c>
      <c r="G272" s="8">
        <f>'MKT DATA'!K980</f>
        <v>82951</v>
      </c>
      <c r="H272" s="8">
        <f>'MKT DATA'!L980</f>
        <v>85669</v>
      </c>
      <c r="I272" s="13">
        <f>'MKT DATA'!M980</f>
        <v>1</v>
      </c>
      <c r="J272" s="43" t="str">
        <f t="shared" si="10"/>
        <v>syn BTCF7/BTCV6/BTCH7/BTCX6/BTCG7/BTCZ6</v>
      </c>
      <c r="K272" s="8">
        <f>'MKT DATA'!O980</f>
        <v>0</v>
      </c>
      <c r="L272" s="8">
        <f>'MKT DATA'!P980</f>
        <v>82951</v>
      </c>
      <c r="M272" s="8">
        <f>'MKT DATA'!Q980</f>
        <v>0</v>
      </c>
      <c r="N272" s="8">
        <f>'MKT DATA'!R980</f>
        <v>0</v>
      </c>
      <c r="O272" s="8">
        <f>'MKT DATA'!S980</f>
        <v>-85669</v>
      </c>
      <c r="P272" s="8">
        <f>'MKT DATA'!T980</f>
        <v>0</v>
      </c>
      <c r="Q272" s="43" t="str">
        <f t="shared" si="11"/>
        <v>syn BTCF7/BTCV6/BTCH7/BTCX6/BTCG7/BTCZ6</v>
      </c>
      <c r="R272" s="13">
        <f>'MKT DATA'!AB980</f>
        <v>0</v>
      </c>
    </row>
    <row r="273" spans="5:18" x14ac:dyDescent="0.25">
      <c r="E273" s="43" t="str">
        <f>'MKT DATA'!B981</f>
        <v>syn BTCF7/BTCV6/BTCH7/BTCG7/BTCX6/BTCZ6</v>
      </c>
      <c r="F273" s="13">
        <f>'MKT DATA'!J981</f>
        <v>1</v>
      </c>
      <c r="G273" s="8">
        <f>'MKT DATA'!K981</f>
        <v>83360</v>
      </c>
      <c r="H273" s="8">
        <f>'MKT DATA'!L981</f>
        <v>85220</v>
      </c>
      <c r="I273" s="13">
        <f>'MKT DATA'!M981</f>
        <v>1</v>
      </c>
      <c r="J273" s="43" t="str">
        <f t="shared" si="10"/>
        <v>syn BTCF7/BTCV6/BTCH7/BTCG7/BTCX6/BTCZ6</v>
      </c>
      <c r="K273" s="8">
        <f>'MKT DATA'!O981</f>
        <v>0</v>
      </c>
      <c r="L273" s="8">
        <f>'MKT DATA'!P981</f>
        <v>83360</v>
      </c>
      <c r="M273" s="8">
        <f>'MKT DATA'!Q981</f>
        <v>0</v>
      </c>
      <c r="N273" s="8">
        <f>'MKT DATA'!R981</f>
        <v>0</v>
      </c>
      <c r="O273" s="8">
        <f>'MKT DATA'!S981</f>
        <v>-85220</v>
      </c>
      <c r="P273" s="8">
        <f>'MKT DATA'!T981</f>
        <v>0</v>
      </c>
      <c r="Q273" s="43" t="str">
        <f t="shared" si="11"/>
        <v>syn BTCF7/BTCV6/BTCH7/BTCG7/BTCX6/BTCZ6</v>
      </c>
      <c r="R273" s="13">
        <f>'MKT DATA'!AB981</f>
        <v>0</v>
      </c>
    </row>
    <row r="274" spans="5:18" x14ac:dyDescent="0.25">
      <c r="E274" s="43" t="str">
        <f>'MKT DATA'!B982</f>
        <v>syn BTCF7/BTCX6/BTCV6/BTCG7/BTCH7/BTCZ6</v>
      </c>
      <c r="F274" s="13">
        <f>'MKT DATA'!J982</f>
        <v>1</v>
      </c>
      <c r="G274" s="8">
        <f>'MKT DATA'!K982</f>
        <v>83445</v>
      </c>
      <c r="H274" s="8">
        <f>'MKT DATA'!L982</f>
        <v>85047</v>
      </c>
      <c r="I274" s="13">
        <f>'MKT DATA'!M982</f>
        <v>1</v>
      </c>
      <c r="J274" s="43" t="str">
        <f t="shared" si="10"/>
        <v>syn BTCF7/BTCX6/BTCV6/BTCG7/BTCH7/BTCZ6</v>
      </c>
      <c r="K274" s="8">
        <f>'MKT DATA'!O982</f>
        <v>0</v>
      </c>
      <c r="L274" s="8">
        <f>'MKT DATA'!P982</f>
        <v>83445</v>
      </c>
      <c r="M274" s="8">
        <f>'MKT DATA'!Q982</f>
        <v>0</v>
      </c>
      <c r="N274" s="8">
        <f>'MKT DATA'!R982</f>
        <v>0</v>
      </c>
      <c r="O274" s="8">
        <f>'MKT DATA'!S982</f>
        <v>-85047</v>
      </c>
      <c r="P274" s="8">
        <f>'MKT DATA'!T982</f>
        <v>0</v>
      </c>
      <c r="Q274" s="43" t="str">
        <f t="shared" si="11"/>
        <v>syn BTCF7/BTCX6/BTCV6/BTCG7/BTCH7/BTCZ6</v>
      </c>
      <c r="R274" s="13">
        <f>'MKT DATA'!AB982</f>
        <v>0</v>
      </c>
    </row>
    <row r="275" spans="5:18" x14ac:dyDescent="0.25">
      <c r="E275" s="43" t="str">
        <f>'MKT DATA'!B983</f>
        <v>syn BTCF7/BTCX6/BTCV6/BTCH7/BTCG7/BTCZ6</v>
      </c>
      <c r="F275" s="13">
        <f>'MKT DATA'!J983</f>
        <v>1</v>
      </c>
      <c r="G275" s="8">
        <f>'MKT DATA'!K983</f>
        <v>83360</v>
      </c>
      <c r="H275" s="8">
        <f>'MKT DATA'!L983</f>
        <v>85202</v>
      </c>
      <c r="I275" s="13">
        <f>'MKT DATA'!M983</f>
        <v>1</v>
      </c>
      <c r="J275" s="43" t="str">
        <f t="shared" si="10"/>
        <v>syn BTCF7/BTCX6/BTCV6/BTCH7/BTCG7/BTCZ6</v>
      </c>
      <c r="K275" s="8">
        <f>'MKT DATA'!O983</f>
        <v>0</v>
      </c>
      <c r="L275" s="8">
        <f>'MKT DATA'!P983</f>
        <v>83360</v>
      </c>
      <c r="M275" s="8">
        <f>'MKT DATA'!Q983</f>
        <v>0</v>
      </c>
      <c r="N275" s="8">
        <f>'MKT DATA'!R983</f>
        <v>0</v>
      </c>
      <c r="O275" s="8">
        <f>'MKT DATA'!S983</f>
        <v>-85202</v>
      </c>
      <c r="P275" s="8">
        <f>'MKT DATA'!T983</f>
        <v>0</v>
      </c>
      <c r="Q275" s="43" t="str">
        <f t="shared" si="11"/>
        <v>syn BTCF7/BTCX6/BTCV6/BTCH7/BTCG7/BTCZ6</v>
      </c>
      <c r="R275" s="13">
        <f>'MKT DATA'!AB983</f>
        <v>0</v>
      </c>
    </row>
    <row r="276" spans="5:18" x14ac:dyDescent="0.25">
      <c r="E276" s="43" t="str">
        <f>'MKT DATA'!B984</f>
        <v>syn BTCF7/BTCX6/BTCG7/BTCV6/BTCH7/BTCZ6</v>
      </c>
      <c r="F276" s="13">
        <f>'MKT DATA'!J984</f>
        <v>1</v>
      </c>
      <c r="G276" s="8">
        <f>'MKT DATA'!K984</f>
        <v>83011</v>
      </c>
      <c r="H276" s="8">
        <f>'MKT DATA'!L984</f>
        <v>85419</v>
      </c>
      <c r="I276" s="13">
        <f>'MKT DATA'!M984</f>
        <v>1</v>
      </c>
      <c r="J276" s="43" t="str">
        <f t="shared" si="10"/>
        <v>syn BTCF7/BTCX6/BTCG7/BTCV6/BTCH7/BTCZ6</v>
      </c>
      <c r="K276" s="8">
        <f>'MKT DATA'!O984</f>
        <v>0</v>
      </c>
      <c r="L276" s="8">
        <f>'MKT DATA'!P984</f>
        <v>83011</v>
      </c>
      <c r="M276" s="8">
        <f>'MKT DATA'!Q984</f>
        <v>0</v>
      </c>
      <c r="N276" s="8">
        <f>'MKT DATA'!R984</f>
        <v>0</v>
      </c>
      <c r="O276" s="8">
        <f>'MKT DATA'!S984</f>
        <v>-85419</v>
      </c>
      <c r="P276" s="8">
        <f>'MKT DATA'!T984</f>
        <v>0</v>
      </c>
      <c r="Q276" s="43" t="str">
        <f t="shared" si="11"/>
        <v>syn BTCF7/BTCX6/BTCG7/BTCV6/BTCH7/BTCZ6</v>
      </c>
      <c r="R276" s="13">
        <f>'MKT DATA'!AB984</f>
        <v>0</v>
      </c>
    </row>
    <row r="277" spans="5:18" x14ac:dyDescent="0.25">
      <c r="E277" s="43" t="str">
        <f>'MKT DATA'!B985</f>
        <v>syn BTCF7/BTCX6/BTCG7/BTCH7/BTCV6/BTCZ6</v>
      </c>
      <c r="F277" s="13">
        <f>'MKT DATA'!J985</f>
        <v>1</v>
      </c>
      <c r="G277" s="8">
        <f>'MKT DATA'!K985</f>
        <v>83422</v>
      </c>
      <c r="H277" s="8">
        <f>'MKT DATA'!L985</f>
        <v>85251</v>
      </c>
      <c r="I277" s="13">
        <f>'MKT DATA'!M985</f>
        <v>1</v>
      </c>
      <c r="J277" s="43" t="str">
        <f t="shared" si="10"/>
        <v>syn BTCF7/BTCX6/BTCG7/BTCH7/BTCV6/BTCZ6</v>
      </c>
      <c r="K277" s="8">
        <f>'MKT DATA'!O985</f>
        <v>0</v>
      </c>
      <c r="L277" s="8">
        <f>'MKT DATA'!P985</f>
        <v>83422</v>
      </c>
      <c r="M277" s="8">
        <f>'MKT DATA'!Q985</f>
        <v>0</v>
      </c>
      <c r="N277" s="8">
        <f>'MKT DATA'!R985</f>
        <v>0</v>
      </c>
      <c r="O277" s="8">
        <f>'MKT DATA'!S985</f>
        <v>-85251</v>
      </c>
      <c r="P277" s="8">
        <f>'MKT DATA'!T985</f>
        <v>0</v>
      </c>
      <c r="Q277" s="43" t="str">
        <f t="shared" si="11"/>
        <v>syn BTCF7/BTCX6/BTCG7/BTCH7/BTCV6/BTCZ6</v>
      </c>
      <c r="R277" s="13">
        <f>'MKT DATA'!AB985</f>
        <v>0</v>
      </c>
    </row>
    <row r="278" spans="5:18" x14ac:dyDescent="0.25">
      <c r="E278" s="43" t="str">
        <f>'MKT DATA'!B986</f>
        <v>syn BTCF7/BTCX6/BTCH7/BTCV6/BTCG7/BTCZ6</v>
      </c>
      <c r="F278" s="13">
        <f>'MKT DATA'!J986</f>
        <v>1</v>
      </c>
      <c r="G278" s="8">
        <f>'MKT DATA'!K986</f>
        <v>82981</v>
      </c>
      <c r="H278" s="8">
        <f>'MKT DATA'!L986</f>
        <v>85629</v>
      </c>
      <c r="I278" s="13">
        <f>'MKT DATA'!M986</f>
        <v>1</v>
      </c>
      <c r="J278" s="43" t="str">
        <f t="shared" si="10"/>
        <v>syn BTCF7/BTCX6/BTCH7/BTCV6/BTCG7/BTCZ6</v>
      </c>
      <c r="K278" s="8">
        <f>'MKT DATA'!O986</f>
        <v>0</v>
      </c>
      <c r="L278" s="8">
        <f>'MKT DATA'!P986</f>
        <v>82981</v>
      </c>
      <c r="M278" s="8">
        <f>'MKT DATA'!Q986</f>
        <v>0</v>
      </c>
      <c r="N278" s="8">
        <f>'MKT DATA'!R986</f>
        <v>0</v>
      </c>
      <c r="O278" s="8">
        <f>'MKT DATA'!S986</f>
        <v>-85629</v>
      </c>
      <c r="P278" s="8">
        <f>'MKT DATA'!T986</f>
        <v>0</v>
      </c>
      <c r="Q278" s="43" t="str">
        <f t="shared" si="11"/>
        <v>syn BTCF7/BTCX6/BTCH7/BTCV6/BTCG7/BTCZ6</v>
      </c>
      <c r="R278" s="13">
        <f>'MKT DATA'!AB986</f>
        <v>0</v>
      </c>
    </row>
    <row r="279" spans="5:18" x14ac:dyDescent="0.25">
      <c r="E279" s="43" t="str">
        <f>'MKT DATA'!B987</f>
        <v>syn BTCF7/BTCX6/BTCH7/BTCG7/BTCV6/BTCZ6</v>
      </c>
      <c r="F279" s="13">
        <f>'MKT DATA'!J987</f>
        <v>1</v>
      </c>
      <c r="G279" s="8">
        <f>'MKT DATA'!K987</f>
        <v>83367</v>
      </c>
      <c r="H279" s="8">
        <f>'MKT DATA'!L987</f>
        <v>85196</v>
      </c>
      <c r="I279" s="13">
        <f>'MKT DATA'!M987</f>
        <v>1</v>
      </c>
      <c r="J279" s="43" t="str">
        <f t="shared" si="10"/>
        <v>syn BTCF7/BTCX6/BTCH7/BTCG7/BTCV6/BTCZ6</v>
      </c>
      <c r="K279" s="8">
        <f>'MKT DATA'!O987</f>
        <v>0</v>
      </c>
      <c r="L279" s="8">
        <f>'MKT DATA'!P987</f>
        <v>83367</v>
      </c>
      <c r="M279" s="8">
        <f>'MKT DATA'!Q987</f>
        <v>0</v>
      </c>
      <c r="N279" s="8">
        <f>'MKT DATA'!R987</f>
        <v>0</v>
      </c>
      <c r="O279" s="8">
        <f>'MKT DATA'!S987</f>
        <v>-85196</v>
      </c>
      <c r="P279" s="8">
        <f>'MKT DATA'!T987</f>
        <v>0</v>
      </c>
      <c r="Q279" s="43" t="str">
        <f t="shared" si="11"/>
        <v>syn BTCF7/BTCX6/BTCH7/BTCG7/BTCV6/BTCZ6</v>
      </c>
      <c r="R279" s="13">
        <f>'MKT DATA'!AB987</f>
        <v>0</v>
      </c>
    </row>
    <row r="280" spans="5:18" x14ac:dyDescent="0.25">
      <c r="E280" s="43" t="str">
        <f>'MKT DATA'!B988</f>
        <v>syn BTCF7/BTCG7/BTCV6/BTCX6/BTCH7/BTCZ6</v>
      </c>
      <c r="F280" s="13">
        <f>'MKT DATA'!J988</f>
        <v>1</v>
      </c>
      <c r="G280" s="8">
        <f>'MKT DATA'!K988</f>
        <v>83141</v>
      </c>
      <c r="H280" s="8">
        <f>'MKT DATA'!L988</f>
        <v>85246</v>
      </c>
      <c r="I280" s="13">
        <f>'MKT DATA'!M988</f>
        <v>1</v>
      </c>
      <c r="J280" s="43" t="str">
        <f t="shared" si="10"/>
        <v>syn BTCF7/BTCG7/BTCV6/BTCX6/BTCH7/BTCZ6</v>
      </c>
      <c r="K280" s="8">
        <f>'MKT DATA'!O988</f>
        <v>0</v>
      </c>
      <c r="L280" s="8">
        <f>'MKT DATA'!P988</f>
        <v>83141</v>
      </c>
      <c r="M280" s="8">
        <f>'MKT DATA'!Q988</f>
        <v>0</v>
      </c>
      <c r="N280" s="8">
        <f>'MKT DATA'!R988</f>
        <v>0</v>
      </c>
      <c r="O280" s="8">
        <f>'MKT DATA'!S988</f>
        <v>-85246</v>
      </c>
      <c r="P280" s="8">
        <f>'MKT DATA'!T988</f>
        <v>0</v>
      </c>
      <c r="Q280" s="43" t="str">
        <f t="shared" si="11"/>
        <v>syn BTCF7/BTCG7/BTCV6/BTCX6/BTCH7/BTCZ6</v>
      </c>
      <c r="R280" s="13">
        <f>'MKT DATA'!AB988</f>
        <v>0</v>
      </c>
    </row>
    <row r="281" spans="5:18" x14ac:dyDescent="0.25">
      <c r="E281" s="43" t="str">
        <f>'MKT DATA'!B989</f>
        <v>syn BTCF7/BTCG7/BTCV6/BTCH7/BTCX6/BTCZ6</v>
      </c>
      <c r="F281" s="13">
        <f>'MKT DATA'!J989</f>
        <v>1</v>
      </c>
      <c r="G281" s="8">
        <f>'MKT DATA'!K989</f>
        <v>83148</v>
      </c>
      <c r="H281" s="8">
        <f>'MKT DATA'!L989</f>
        <v>85441</v>
      </c>
      <c r="I281" s="13">
        <f>'MKT DATA'!M989</f>
        <v>1</v>
      </c>
      <c r="J281" s="43" t="str">
        <f t="shared" si="10"/>
        <v>syn BTCF7/BTCG7/BTCV6/BTCH7/BTCX6/BTCZ6</v>
      </c>
      <c r="K281" s="8">
        <f>'MKT DATA'!O989</f>
        <v>0</v>
      </c>
      <c r="L281" s="8">
        <f>'MKT DATA'!P989</f>
        <v>83148</v>
      </c>
      <c r="M281" s="8">
        <f>'MKT DATA'!Q989</f>
        <v>0</v>
      </c>
      <c r="N281" s="8">
        <f>'MKT DATA'!R989</f>
        <v>0</v>
      </c>
      <c r="O281" s="8">
        <f>'MKT DATA'!S989</f>
        <v>-85441</v>
      </c>
      <c r="P281" s="8">
        <f>'MKT DATA'!T989</f>
        <v>0</v>
      </c>
      <c r="Q281" s="43" t="str">
        <f t="shared" si="11"/>
        <v>syn BTCF7/BTCG7/BTCV6/BTCH7/BTCX6/BTCZ6</v>
      </c>
      <c r="R281" s="13">
        <f>'MKT DATA'!AB989</f>
        <v>0</v>
      </c>
    </row>
    <row r="282" spans="5:18" x14ac:dyDescent="0.25">
      <c r="E282" s="43" t="str">
        <f>'MKT DATA'!B990</f>
        <v>syn BTCF7/BTCG7/BTCX6/BTCV6/BTCH7/BTCZ6</v>
      </c>
      <c r="F282" s="13">
        <f>'MKT DATA'!J990</f>
        <v>1</v>
      </c>
      <c r="G282" s="8">
        <f>'MKT DATA'!K990</f>
        <v>83148</v>
      </c>
      <c r="H282" s="8">
        <f>'MKT DATA'!L990</f>
        <v>85253</v>
      </c>
      <c r="I282" s="13">
        <f>'MKT DATA'!M990</f>
        <v>1</v>
      </c>
      <c r="J282" s="43" t="str">
        <f t="shared" si="10"/>
        <v>syn BTCF7/BTCG7/BTCX6/BTCV6/BTCH7/BTCZ6</v>
      </c>
      <c r="K282" s="8">
        <f>'MKT DATA'!O990</f>
        <v>0</v>
      </c>
      <c r="L282" s="8">
        <f>'MKT DATA'!P990</f>
        <v>83148</v>
      </c>
      <c r="M282" s="8">
        <f>'MKT DATA'!Q990</f>
        <v>0</v>
      </c>
      <c r="N282" s="8">
        <f>'MKT DATA'!R990</f>
        <v>0</v>
      </c>
      <c r="O282" s="8">
        <f>'MKT DATA'!S990</f>
        <v>-85253</v>
      </c>
      <c r="P282" s="8">
        <f>'MKT DATA'!T990</f>
        <v>0</v>
      </c>
      <c r="Q282" s="43" t="str">
        <f t="shared" si="11"/>
        <v>syn BTCF7/BTCG7/BTCX6/BTCV6/BTCH7/BTCZ6</v>
      </c>
      <c r="R282" s="13">
        <f>'MKT DATA'!AB990</f>
        <v>0</v>
      </c>
    </row>
    <row r="283" spans="5:18" x14ac:dyDescent="0.25">
      <c r="E283" s="43" t="str">
        <f>'MKT DATA'!B991</f>
        <v>syn BTCF7/BTCG7/BTCX6/BTCH7/BTCV6/BTCZ6</v>
      </c>
      <c r="F283" s="13">
        <f>'MKT DATA'!J991</f>
        <v>1</v>
      </c>
      <c r="G283" s="8">
        <f>'MKT DATA'!K991</f>
        <v>83125</v>
      </c>
      <c r="H283" s="8">
        <f>'MKT DATA'!L991</f>
        <v>85457</v>
      </c>
      <c r="I283" s="13">
        <f>'MKT DATA'!M991</f>
        <v>1</v>
      </c>
      <c r="J283" s="43" t="str">
        <f t="shared" si="10"/>
        <v>syn BTCF7/BTCG7/BTCX6/BTCH7/BTCV6/BTCZ6</v>
      </c>
      <c r="K283" s="8">
        <f>'MKT DATA'!O991</f>
        <v>0</v>
      </c>
      <c r="L283" s="8">
        <f>'MKT DATA'!P991</f>
        <v>83125</v>
      </c>
      <c r="M283" s="8">
        <f>'MKT DATA'!Q991</f>
        <v>0</v>
      </c>
      <c r="N283" s="8">
        <f>'MKT DATA'!R991</f>
        <v>0</v>
      </c>
      <c r="O283" s="8">
        <f>'MKT DATA'!S991</f>
        <v>-85457</v>
      </c>
      <c r="P283" s="8">
        <f>'MKT DATA'!T991</f>
        <v>0</v>
      </c>
      <c r="Q283" s="43" t="str">
        <f t="shared" si="11"/>
        <v>syn BTCF7/BTCG7/BTCX6/BTCH7/BTCV6/BTCZ6</v>
      </c>
      <c r="R283" s="13">
        <f>'MKT DATA'!AB991</f>
        <v>0</v>
      </c>
    </row>
    <row r="284" spans="5:18" x14ac:dyDescent="0.25">
      <c r="E284" s="43" t="str">
        <f>'MKT DATA'!B992</f>
        <v>syn BTCF7/BTCG7/BTCH7/BTCV6/BTCX6/BTCZ6</v>
      </c>
      <c r="F284" s="13">
        <f>'MKT DATA'!J992</f>
        <v>1</v>
      </c>
      <c r="G284" s="8">
        <f>'MKT DATA'!K992</f>
        <v>83575</v>
      </c>
      <c r="H284" s="8">
        <f>'MKT DATA'!L992</f>
        <v>85062</v>
      </c>
      <c r="I284" s="13">
        <f>'MKT DATA'!M992</f>
        <v>1</v>
      </c>
      <c r="J284" s="43" t="str">
        <f t="shared" si="10"/>
        <v>syn BTCF7/BTCG7/BTCH7/BTCV6/BTCX6/BTCZ6</v>
      </c>
      <c r="K284" s="8">
        <f>'MKT DATA'!O992</f>
        <v>0</v>
      </c>
      <c r="L284" s="8">
        <f>'MKT DATA'!P992</f>
        <v>83575</v>
      </c>
      <c r="M284" s="8">
        <f>'MKT DATA'!Q992</f>
        <v>0</v>
      </c>
      <c r="N284" s="8">
        <f>'MKT DATA'!R992</f>
        <v>0</v>
      </c>
      <c r="O284" s="8">
        <f>'MKT DATA'!S992</f>
        <v>-85062</v>
      </c>
      <c r="P284" s="8">
        <f>'MKT DATA'!T992</f>
        <v>0</v>
      </c>
      <c r="Q284" s="43" t="str">
        <f t="shared" si="11"/>
        <v>syn BTCF7/BTCG7/BTCH7/BTCV6/BTCX6/BTCZ6</v>
      </c>
      <c r="R284" s="13">
        <f>'MKT DATA'!AB992</f>
        <v>0</v>
      </c>
    </row>
    <row r="285" spans="5:18" x14ac:dyDescent="0.25">
      <c r="E285" s="43" t="str">
        <f>'MKT DATA'!B993</f>
        <v>syn BTCF7/BTCG7/BTCH7/BTCX6/BTCV6/BTCZ6</v>
      </c>
      <c r="F285" s="13">
        <f>'MKT DATA'!J993</f>
        <v>1</v>
      </c>
      <c r="G285" s="8">
        <f>'MKT DATA'!K993</f>
        <v>83559</v>
      </c>
      <c r="H285" s="8">
        <f>'MKT DATA'!L993</f>
        <v>85085</v>
      </c>
      <c r="I285" s="13">
        <f>'MKT DATA'!M993</f>
        <v>1</v>
      </c>
      <c r="J285" s="43" t="str">
        <f t="shared" si="10"/>
        <v>syn BTCF7/BTCG7/BTCH7/BTCX6/BTCV6/BTCZ6</v>
      </c>
      <c r="K285" s="8">
        <f>'MKT DATA'!O993</f>
        <v>0</v>
      </c>
      <c r="L285" s="8">
        <f>'MKT DATA'!P993</f>
        <v>83559</v>
      </c>
      <c r="M285" s="8">
        <f>'MKT DATA'!Q993</f>
        <v>0</v>
      </c>
      <c r="N285" s="8">
        <f>'MKT DATA'!R993</f>
        <v>0</v>
      </c>
      <c r="O285" s="8">
        <f>'MKT DATA'!S993</f>
        <v>-85085</v>
      </c>
      <c r="P285" s="8">
        <f>'MKT DATA'!T993</f>
        <v>0</v>
      </c>
      <c r="Q285" s="43" t="str">
        <f t="shared" si="11"/>
        <v>syn BTCF7/BTCG7/BTCH7/BTCX6/BTCV6/BTCZ6</v>
      </c>
      <c r="R285" s="13">
        <f>'MKT DATA'!AB993</f>
        <v>0</v>
      </c>
    </row>
    <row r="286" spans="5:18" x14ac:dyDescent="0.25">
      <c r="E286" s="43" t="str">
        <f>'MKT DATA'!B994</f>
        <v>syn BTCF7/BTCH7/BTCV6/BTCX6/BTCG7/BTCZ6</v>
      </c>
      <c r="F286" s="13">
        <f>'MKT DATA'!J994</f>
        <v>1</v>
      </c>
      <c r="G286" s="8">
        <f>'MKT DATA'!K994</f>
        <v>82942</v>
      </c>
      <c r="H286" s="8">
        <f>'MKT DATA'!L994</f>
        <v>85641</v>
      </c>
      <c r="I286" s="13">
        <f>'MKT DATA'!M994</f>
        <v>1</v>
      </c>
      <c r="J286" s="43" t="str">
        <f t="shared" si="10"/>
        <v>syn BTCF7/BTCH7/BTCV6/BTCX6/BTCG7/BTCZ6</v>
      </c>
      <c r="K286" s="8">
        <f>'MKT DATA'!O994</f>
        <v>0</v>
      </c>
      <c r="L286" s="8">
        <f>'MKT DATA'!P994</f>
        <v>82942</v>
      </c>
      <c r="M286" s="8">
        <f>'MKT DATA'!Q994</f>
        <v>0</v>
      </c>
      <c r="N286" s="8">
        <f>'MKT DATA'!R994</f>
        <v>0</v>
      </c>
      <c r="O286" s="8">
        <f>'MKT DATA'!S994</f>
        <v>-85641</v>
      </c>
      <c r="P286" s="8">
        <f>'MKT DATA'!T994</f>
        <v>0</v>
      </c>
      <c r="Q286" s="43" t="str">
        <f t="shared" si="11"/>
        <v>syn BTCF7/BTCH7/BTCV6/BTCX6/BTCG7/BTCZ6</v>
      </c>
      <c r="R286" s="13">
        <f>'MKT DATA'!AB994</f>
        <v>0</v>
      </c>
    </row>
    <row r="287" spans="5:18" x14ac:dyDescent="0.25">
      <c r="E287" s="43" t="str">
        <f>'MKT DATA'!B995</f>
        <v>syn BTCF7/BTCH7/BTCV6/BTCG7/BTCX6/BTCZ6</v>
      </c>
      <c r="F287" s="13">
        <f>'MKT DATA'!J995</f>
        <v>1</v>
      </c>
      <c r="G287" s="8">
        <f>'MKT DATA'!K995</f>
        <v>82979</v>
      </c>
      <c r="H287" s="8">
        <f>'MKT DATA'!L995</f>
        <v>85626</v>
      </c>
      <c r="I287" s="13">
        <f>'MKT DATA'!M995</f>
        <v>1</v>
      </c>
      <c r="J287" s="43" t="str">
        <f t="shared" si="10"/>
        <v>syn BTCF7/BTCH7/BTCV6/BTCG7/BTCX6/BTCZ6</v>
      </c>
      <c r="K287" s="8">
        <f>'MKT DATA'!O995</f>
        <v>0</v>
      </c>
      <c r="L287" s="8">
        <f>'MKT DATA'!P995</f>
        <v>82979</v>
      </c>
      <c r="M287" s="8">
        <f>'MKT DATA'!Q995</f>
        <v>0</v>
      </c>
      <c r="N287" s="8">
        <f>'MKT DATA'!R995</f>
        <v>0</v>
      </c>
      <c r="O287" s="8">
        <f>'MKT DATA'!S995</f>
        <v>-85626</v>
      </c>
      <c r="P287" s="8">
        <f>'MKT DATA'!T995</f>
        <v>0</v>
      </c>
      <c r="Q287" s="43" t="str">
        <f t="shared" si="11"/>
        <v>syn BTCF7/BTCH7/BTCV6/BTCG7/BTCX6/BTCZ6</v>
      </c>
      <c r="R287" s="13">
        <f>'MKT DATA'!AB995</f>
        <v>0</v>
      </c>
    </row>
    <row r="288" spans="5:18" x14ac:dyDescent="0.25">
      <c r="E288" s="43" t="str">
        <f>'MKT DATA'!B996</f>
        <v>syn BTCF7/BTCH7/BTCX6/BTCV6/BTCG7/BTCZ6</v>
      </c>
      <c r="F288" s="13">
        <f>'MKT DATA'!J996</f>
        <v>1</v>
      </c>
      <c r="G288" s="8">
        <f>'MKT DATA'!K996</f>
        <v>82949</v>
      </c>
      <c r="H288" s="8">
        <f>'MKT DATA'!L996</f>
        <v>85648</v>
      </c>
      <c r="I288" s="13">
        <f>'MKT DATA'!M996</f>
        <v>1</v>
      </c>
      <c r="J288" s="43" t="str">
        <f t="shared" si="10"/>
        <v>syn BTCF7/BTCH7/BTCX6/BTCV6/BTCG7/BTCZ6</v>
      </c>
      <c r="K288" s="8">
        <f>'MKT DATA'!O996</f>
        <v>0</v>
      </c>
      <c r="L288" s="8">
        <f>'MKT DATA'!P996</f>
        <v>82949</v>
      </c>
      <c r="M288" s="8">
        <f>'MKT DATA'!Q996</f>
        <v>0</v>
      </c>
      <c r="N288" s="8">
        <f>'MKT DATA'!R996</f>
        <v>0</v>
      </c>
      <c r="O288" s="8">
        <f>'MKT DATA'!S996</f>
        <v>-85648</v>
      </c>
      <c r="P288" s="8">
        <f>'MKT DATA'!T996</f>
        <v>0</v>
      </c>
      <c r="Q288" s="43" t="str">
        <f t="shared" si="11"/>
        <v>syn BTCF7/BTCH7/BTCX6/BTCV6/BTCG7/BTCZ6</v>
      </c>
      <c r="R288" s="13">
        <f>'MKT DATA'!AB996</f>
        <v>0</v>
      </c>
    </row>
    <row r="289" spans="5:18" x14ac:dyDescent="0.25">
      <c r="E289" s="43" t="str">
        <f>'MKT DATA'!B997</f>
        <v>syn BTCF7/BTCH7/BTCX6/BTCG7/BTCV6/BTCZ6</v>
      </c>
      <c r="F289" s="13">
        <f>'MKT DATA'!J997</f>
        <v>1</v>
      </c>
      <c r="G289" s="8">
        <f>'MKT DATA'!K997</f>
        <v>82956</v>
      </c>
      <c r="H289" s="8">
        <f>'MKT DATA'!L997</f>
        <v>85642</v>
      </c>
      <c r="I289" s="13">
        <f>'MKT DATA'!M997</f>
        <v>1</v>
      </c>
      <c r="J289" s="43" t="str">
        <f t="shared" si="10"/>
        <v>syn BTCF7/BTCH7/BTCX6/BTCG7/BTCV6/BTCZ6</v>
      </c>
      <c r="K289" s="8">
        <f>'MKT DATA'!O997</f>
        <v>0</v>
      </c>
      <c r="L289" s="8">
        <f>'MKT DATA'!P997</f>
        <v>82956</v>
      </c>
      <c r="M289" s="8">
        <f>'MKT DATA'!Q997</f>
        <v>0</v>
      </c>
      <c r="N289" s="8">
        <f>'MKT DATA'!R997</f>
        <v>0</v>
      </c>
      <c r="O289" s="8">
        <f>'MKT DATA'!S997</f>
        <v>-85642</v>
      </c>
      <c r="P289" s="8">
        <f>'MKT DATA'!T997</f>
        <v>0</v>
      </c>
      <c r="Q289" s="43" t="str">
        <f t="shared" si="11"/>
        <v>syn BTCF7/BTCH7/BTCX6/BTCG7/BTCV6/BTCZ6</v>
      </c>
      <c r="R289" s="13">
        <f>'MKT DATA'!AB997</f>
        <v>0</v>
      </c>
    </row>
    <row r="290" spans="5:18" x14ac:dyDescent="0.25">
      <c r="E290" s="43" t="str">
        <f>'MKT DATA'!B998</f>
        <v>syn BTCF7/BTCH7/BTCG7/BTCV6/BTCX6/BTCZ6</v>
      </c>
      <c r="F290" s="13">
        <f>'MKT DATA'!J998</f>
        <v>1</v>
      </c>
      <c r="G290" s="8">
        <f>'MKT DATA'!K998</f>
        <v>83351</v>
      </c>
      <c r="H290" s="8">
        <f>'MKT DATA'!L998</f>
        <v>85192</v>
      </c>
      <c r="I290" s="13">
        <f>'MKT DATA'!M998</f>
        <v>1</v>
      </c>
      <c r="J290" s="43" t="str">
        <f t="shared" si="10"/>
        <v>syn BTCF7/BTCH7/BTCG7/BTCV6/BTCX6/BTCZ6</v>
      </c>
      <c r="K290" s="8">
        <f>'MKT DATA'!O998</f>
        <v>0</v>
      </c>
      <c r="L290" s="8">
        <f>'MKT DATA'!P998</f>
        <v>83351</v>
      </c>
      <c r="M290" s="8">
        <f>'MKT DATA'!Q998</f>
        <v>0</v>
      </c>
      <c r="N290" s="8">
        <f>'MKT DATA'!R998</f>
        <v>0</v>
      </c>
      <c r="O290" s="8">
        <f>'MKT DATA'!S998</f>
        <v>-85192</v>
      </c>
      <c r="P290" s="8">
        <f>'MKT DATA'!T998</f>
        <v>0</v>
      </c>
      <c r="Q290" s="43" t="str">
        <f t="shared" si="11"/>
        <v>syn BTCF7/BTCH7/BTCG7/BTCV6/BTCX6/BTCZ6</v>
      </c>
      <c r="R290" s="13">
        <f>'MKT DATA'!AB998</f>
        <v>0</v>
      </c>
    </row>
    <row r="291" spans="5:18" x14ac:dyDescent="0.25">
      <c r="E291" s="43" t="str">
        <f>'MKT DATA'!B999</f>
        <v>syn BTCF7/BTCH7/BTCG7/BTCX6/BTCV6/BTCZ6</v>
      </c>
      <c r="F291" s="13">
        <f>'MKT DATA'!J999</f>
        <v>1</v>
      </c>
      <c r="G291" s="8">
        <f>'MKT DATA'!K999</f>
        <v>83335</v>
      </c>
      <c r="H291" s="8">
        <f>'MKT DATA'!L999</f>
        <v>85215</v>
      </c>
      <c r="I291" s="13">
        <f>'MKT DATA'!M999</f>
        <v>1</v>
      </c>
      <c r="J291" s="43" t="str">
        <f t="shared" si="10"/>
        <v>syn BTCF7/BTCH7/BTCG7/BTCX6/BTCV6/BTCZ6</v>
      </c>
      <c r="K291" s="8">
        <f>'MKT DATA'!O999</f>
        <v>0</v>
      </c>
      <c r="L291" s="8">
        <f>'MKT DATA'!P999</f>
        <v>83335</v>
      </c>
      <c r="M291" s="8">
        <f>'MKT DATA'!Q999</f>
        <v>0</v>
      </c>
      <c r="N291" s="8">
        <f>'MKT DATA'!R999</f>
        <v>0</v>
      </c>
      <c r="O291" s="8">
        <f>'MKT DATA'!S999</f>
        <v>-85215</v>
      </c>
      <c r="P291" s="8">
        <f>'MKT DATA'!T999</f>
        <v>0</v>
      </c>
      <c r="Q291" s="43" t="str">
        <f t="shared" si="11"/>
        <v>syn BTCF7/BTCH7/BTCG7/BTCX6/BTCV6/BTCZ6</v>
      </c>
      <c r="R291" s="13">
        <f>'MKT DATA'!AB999</f>
        <v>0</v>
      </c>
    </row>
    <row r="292" spans="5:18" x14ac:dyDescent="0.25">
      <c r="E292" s="43" t="str">
        <f>'MKT DATA'!B1000</f>
        <v>syn BTCG7/BTCV6/BTCX6/BTCF7/BTCH7/BTCZ6</v>
      </c>
      <c r="F292" s="13">
        <f>'MKT DATA'!J1000</f>
        <v>1</v>
      </c>
      <c r="G292" s="8">
        <f>'MKT DATA'!K1000</f>
        <v>83028</v>
      </c>
      <c r="H292" s="8">
        <f>'MKT DATA'!L1000</f>
        <v>85355</v>
      </c>
      <c r="I292" s="13">
        <f>'MKT DATA'!M1000</f>
        <v>1</v>
      </c>
      <c r="J292" s="43" t="str">
        <f t="shared" si="10"/>
        <v>syn BTCG7/BTCV6/BTCX6/BTCF7/BTCH7/BTCZ6</v>
      </c>
      <c r="K292" s="8">
        <f>'MKT DATA'!O1000</f>
        <v>0</v>
      </c>
      <c r="L292" s="8">
        <f>'MKT DATA'!P1000</f>
        <v>83028</v>
      </c>
      <c r="M292" s="8">
        <f>'MKT DATA'!Q1000</f>
        <v>0</v>
      </c>
      <c r="N292" s="8">
        <f>'MKT DATA'!R1000</f>
        <v>0</v>
      </c>
      <c r="O292" s="8">
        <f>'MKT DATA'!S1000</f>
        <v>-85355</v>
      </c>
      <c r="P292" s="8">
        <f>'MKT DATA'!T1000</f>
        <v>0</v>
      </c>
      <c r="Q292" s="43" t="str">
        <f t="shared" si="11"/>
        <v>syn BTCG7/BTCV6/BTCX6/BTCF7/BTCH7/BTCZ6</v>
      </c>
      <c r="R292" s="13">
        <f>'MKT DATA'!AB1000</f>
        <v>0</v>
      </c>
    </row>
    <row r="293" spans="5:18" x14ac:dyDescent="0.25">
      <c r="E293" s="43" t="str">
        <f>'MKT DATA'!B1001</f>
        <v>syn BTCG7/BTCV6/BTCX6/BTCH7/BTCF7/BTCZ6</v>
      </c>
      <c r="F293" s="13">
        <f>'MKT DATA'!J1001</f>
        <v>1</v>
      </c>
      <c r="G293" s="8">
        <f>'MKT DATA'!K1001</f>
        <v>83068</v>
      </c>
      <c r="H293" s="8">
        <f>'MKT DATA'!L1001</f>
        <v>85519</v>
      </c>
      <c r="I293" s="13">
        <f>'MKT DATA'!M1001</f>
        <v>1</v>
      </c>
      <c r="J293" s="43" t="str">
        <f t="shared" si="10"/>
        <v>syn BTCG7/BTCV6/BTCX6/BTCH7/BTCF7/BTCZ6</v>
      </c>
      <c r="K293" s="8">
        <f>'MKT DATA'!O1001</f>
        <v>0</v>
      </c>
      <c r="L293" s="8">
        <f>'MKT DATA'!P1001</f>
        <v>83068</v>
      </c>
      <c r="M293" s="8">
        <f>'MKT DATA'!Q1001</f>
        <v>0</v>
      </c>
      <c r="N293" s="8">
        <f>'MKT DATA'!R1001</f>
        <v>0</v>
      </c>
      <c r="O293" s="8">
        <f>'MKT DATA'!S1001</f>
        <v>-85519</v>
      </c>
      <c r="P293" s="8">
        <f>'MKT DATA'!T1001</f>
        <v>0</v>
      </c>
      <c r="Q293" s="43" t="str">
        <f t="shared" si="11"/>
        <v>syn BTCG7/BTCV6/BTCX6/BTCH7/BTCF7/BTCZ6</v>
      </c>
      <c r="R293" s="13">
        <f>'MKT DATA'!AB1001</f>
        <v>0</v>
      </c>
    </row>
    <row r="294" spans="5:18" x14ac:dyDescent="0.25">
      <c r="E294" s="43" t="str">
        <f>'MKT DATA'!B1002</f>
        <v>syn BTCG7/BTCV6/BTCF7/BTCX6/BTCH7/BTCZ6</v>
      </c>
      <c r="F294" s="13">
        <f>'MKT DATA'!J1002</f>
        <v>1</v>
      </c>
      <c r="G294" s="8">
        <f>'MKT DATA'!K1002</f>
        <v>83027</v>
      </c>
      <c r="H294" s="8">
        <f>'MKT DATA'!L1002</f>
        <v>85373</v>
      </c>
      <c r="I294" s="13">
        <f>'MKT DATA'!M1002</f>
        <v>1</v>
      </c>
      <c r="J294" s="43" t="str">
        <f t="shared" si="10"/>
        <v>syn BTCG7/BTCV6/BTCF7/BTCX6/BTCH7/BTCZ6</v>
      </c>
      <c r="K294" s="8">
        <f>'MKT DATA'!O1002</f>
        <v>0</v>
      </c>
      <c r="L294" s="8">
        <f>'MKT DATA'!P1002</f>
        <v>83027</v>
      </c>
      <c r="M294" s="8">
        <f>'MKT DATA'!Q1002</f>
        <v>0</v>
      </c>
      <c r="N294" s="8">
        <f>'MKT DATA'!R1002</f>
        <v>0</v>
      </c>
      <c r="O294" s="8">
        <f>'MKT DATA'!S1002</f>
        <v>-85373</v>
      </c>
      <c r="P294" s="8">
        <f>'MKT DATA'!T1002</f>
        <v>0</v>
      </c>
      <c r="Q294" s="43" t="str">
        <f t="shared" si="11"/>
        <v>syn BTCG7/BTCV6/BTCF7/BTCX6/BTCH7/BTCZ6</v>
      </c>
      <c r="R294" s="13">
        <f>'MKT DATA'!AB1002</f>
        <v>0</v>
      </c>
    </row>
    <row r="295" spans="5:18" x14ac:dyDescent="0.25">
      <c r="E295" s="43" t="str">
        <f>'MKT DATA'!B1003</f>
        <v>syn BTCG7/BTCV6/BTCF7/BTCH7/BTCX6/BTCZ6</v>
      </c>
      <c r="F295" s="13">
        <f>'MKT DATA'!J1003</f>
        <v>1</v>
      </c>
      <c r="G295" s="8">
        <f>'MKT DATA'!K1003</f>
        <v>82995</v>
      </c>
      <c r="H295" s="8">
        <f>'MKT DATA'!L1003</f>
        <v>85580</v>
      </c>
      <c r="I295" s="13">
        <f>'MKT DATA'!M1003</f>
        <v>1</v>
      </c>
      <c r="J295" s="43" t="str">
        <f t="shared" si="10"/>
        <v>syn BTCG7/BTCV6/BTCF7/BTCH7/BTCX6/BTCZ6</v>
      </c>
      <c r="K295" s="8">
        <f>'MKT DATA'!O1003</f>
        <v>0</v>
      </c>
      <c r="L295" s="8">
        <f>'MKT DATA'!P1003</f>
        <v>82995</v>
      </c>
      <c r="M295" s="8">
        <f>'MKT DATA'!Q1003</f>
        <v>0</v>
      </c>
      <c r="N295" s="8">
        <f>'MKT DATA'!R1003</f>
        <v>0</v>
      </c>
      <c r="O295" s="8">
        <f>'MKT DATA'!S1003</f>
        <v>-85580</v>
      </c>
      <c r="P295" s="8">
        <f>'MKT DATA'!T1003</f>
        <v>0</v>
      </c>
      <c r="Q295" s="43" t="str">
        <f t="shared" si="11"/>
        <v>syn BTCG7/BTCV6/BTCF7/BTCH7/BTCX6/BTCZ6</v>
      </c>
      <c r="R295" s="13">
        <f>'MKT DATA'!AB1003</f>
        <v>0</v>
      </c>
    </row>
    <row r="296" spans="5:18" x14ac:dyDescent="0.25">
      <c r="E296" s="43" t="str">
        <f>'MKT DATA'!B1004</f>
        <v>syn BTCG7/BTCV6/BTCH7/BTCX6/BTCF7/BTCZ6</v>
      </c>
      <c r="F296" s="13">
        <f>'MKT DATA'!J1004</f>
        <v>1</v>
      </c>
      <c r="G296" s="8">
        <f>'MKT DATA'!K1004</f>
        <v>83087</v>
      </c>
      <c r="H296" s="8">
        <f>'MKT DATA'!L1004</f>
        <v>85487</v>
      </c>
      <c r="I296" s="13">
        <f>'MKT DATA'!M1004</f>
        <v>1</v>
      </c>
      <c r="J296" s="43" t="str">
        <f t="shared" si="10"/>
        <v>syn BTCG7/BTCV6/BTCH7/BTCX6/BTCF7/BTCZ6</v>
      </c>
      <c r="K296" s="8">
        <f>'MKT DATA'!O1004</f>
        <v>0</v>
      </c>
      <c r="L296" s="8">
        <f>'MKT DATA'!P1004</f>
        <v>83087</v>
      </c>
      <c r="M296" s="8">
        <f>'MKT DATA'!Q1004</f>
        <v>0</v>
      </c>
      <c r="N296" s="8">
        <f>'MKT DATA'!R1004</f>
        <v>0</v>
      </c>
      <c r="O296" s="8">
        <f>'MKT DATA'!S1004</f>
        <v>-85487</v>
      </c>
      <c r="P296" s="8">
        <f>'MKT DATA'!T1004</f>
        <v>0</v>
      </c>
      <c r="Q296" s="43" t="str">
        <f t="shared" si="11"/>
        <v>syn BTCG7/BTCV6/BTCH7/BTCX6/BTCF7/BTCZ6</v>
      </c>
      <c r="R296" s="13">
        <f>'MKT DATA'!AB1004</f>
        <v>0</v>
      </c>
    </row>
    <row r="297" spans="5:18" x14ac:dyDescent="0.25">
      <c r="E297" s="43" t="str">
        <f>'MKT DATA'!B1005</f>
        <v>syn BTCG7/BTCV6/BTCH7/BTCF7/BTCX6/BTCZ6</v>
      </c>
      <c r="F297" s="13">
        <f>'MKT DATA'!J1005</f>
        <v>1</v>
      </c>
      <c r="G297" s="8">
        <f>'MKT DATA'!K1005</f>
        <v>83055</v>
      </c>
      <c r="H297" s="8">
        <f>'MKT DATA'!L1005</f>
        <v>85570</v>
      </c>
      <c r="I297" s="13">
        <f>'MKT DATA'!M1005</f>
        <v>1</v>
      </c>
      <c r="J297" s="43" t="str">
        <f t="shared" si="10"/>
        <v>syn BTCG7/BTCV6/BTCH7/BTCF7/BTCX6/BTCZ6</v>
      </c>
      <c r="K297" s="8">
        <f>'MKT DATA'!O1005</f>
        <v>0</v>
      </c>
      <c r="L297" s="8">
        <f>'MKT DATA'!P1005</f>
        <v>83055</v>
      </c>
      <c r="M297" s="8">
        <f>'MKT DATA'!Q1005</f>
        <v>0</v>
      </c>
      <c r="N297" s="8">
        <f>'MKT DATA'!R1005</f>
        <v>0</v>
      </c>
      <c r="O297" s="8">
        <f>'MKT DATA'!S1005</f>
        <v>-85570</v>
      </c>
      <c r="P297" s="8">
        <f>'MKT DATA'!T1005</f>
        <v>0</v>
      </c>
      <c r="Q297" s="43" t="str">
        <f t="shared" si="11"/>
        <v>syn BTCG7/BTCV6/BTCH7/BTCF7/BTCX6/BTCZ6</v>
      </c>
      <c r="R297" s="13">
        <f>'MKT DATA'!AB1005</f>
        <v>0</v>
      </c>
    </row>
    <row r="298" spans="5:18" x14ac:dyDescent="0.25">
      <c r="E298" s="43" t="str">
        <f>'MKT DATA'!B1006</f>
        <v>syn BTCG7/BTCX6/BTCV6/BTCF7/BTCH7/BTCZ6</v>
      </c>
      <c r="F298" s="13">
        <f>'MKT DATA'!J1006</f>
        <v>1</v>
      </c>
      <c r="G298" s="8">
        <f>'MKT DATA'!K1006</f>
        <v>82995</v>
      </c>
      <c r="H298" s="8">
        <f>'MKT DATA'!L1006</f>
        <v>85392</v>
      </c>
      <c r="I298" s="13">
        <f>'MKT DATA'!M1006</f>
        <v>1</v>
      </c>
      <c r="J298" s="43" t="str">
        <f t="shared" si="10"/>
        <v>syn BTCG7/BTCX6/BTCV6/BTCF7/BTCH7/BTCZ6</v>
      </c>
      <c r="K298" s="8">
        <f>'MKT DATA'!O1006</f>
        <v>0</v>
      </c>
      <c r="L298" s="8">
        <f>'MKT DATA'!P1006</f>
        <v>82995</v>
      </c>
      <c r="M298" s="8">
        <f>'MKT DATA'!Q1006</f>
        <v>0</v>
      </c>
      <c r="N298" s="8">
        <f>'MKT DATA'!R1006</f>
        <v>0</v>
      </c>
      <c r="O298" s="8">
        <f>'MKT DATA'!S1006</f>
        <v>-85392</v>
      </c>
      <c r="P298" s="8">
        <f>'MKT DATA'!T1006</f>
        <v>0</v>
      </c>
      <c r="Q298" s="43" t="str">
        <f t="shared" si="11"/>
        <v>syn BTCG7/BTCX6/BTCV6/BTCF7/BTCH7/BTCZ6</v>
      </c>
      <c r="R298" s="13">
        <f>'MKT DATA'!AB1006</f>
        <v>0</v>
      </c>
    </row>
    <row r="299" spans="5:18" x14ac:dyDescent="0.25">
      <c r="E299" s="43" t="str">
        <f>'MKT DATA'!B1007</f>
        <v>syn BTCG7/BTCX6/BTCV6/BTCH7/BTCF7/BTCZ6</v>
      </c>
      <c r="F299" s="13">
        <f>'MKT DATA'!J1007</f>
        <v>1</v>
      </c>
      <c r="G299" s="8">
        <f>'MKT DATA'!K1007</f>
        <v>83075</v>
      </c>
      <c r="H299" s="8">
        <f>'MKT DATA'!L1007</f>
        <v>85526</v>
      </c>
      <c r="I299" s="13">
        <f>'MKT DATA'!M1007</f>
        <v>1</v>
      </c>
      <c r="J299" s="43" t="str">
        <f t="shared" si="10"/>
        <v>syn BTCG7/BTCX6/BTCV6/BTCH7/BTCF7/BTCZ6</v>
      </c>
      <c r="K299" s="8">
        <f>'MKT DATA'!O1007</f>
        <v>0</v>
      </c>
      <c r="L299" s="8">
        <f>'MKT DATA'!P1007</f>
        <v>83075</v>
      </c>
      <c r="M299" s="8">
        <f>'MKT DATA'!Q1007</f>
        <v>0</v>
      </c>
      <c r="N299" s="8">
        <f>'MKT DATA'!R1007</f>
        <v>0</v>
      </c>
      <c r="O299" s="8">
        <f>'MKT DATA'!S1007</f>
        <v>-85526</v>
      </c>
      <c r="P299" s="8">
        <f>'MKT DATA'!T1007</f>
        <v>0</v>
      </c>
      <c r="Q299" s="43" t="str">
        <f t="shared" si="11"/>
        <v>syn BTCG7/BTCX6/BTCV6/BTCH7/BTCF7/BTCZ6</v>
      </c>
      <c r="R299" s="13">
        <f>'MKT DATA'!AB1007</f>
        <v>0</v>
      </c>
    </row>
    <row r="300" spans="5:18" x14ac:dyDescent="0.25">
      <c r="E300" s="43" t="str">
        <f>'MKT DATA'!B1008</f>
        <v>syn BTCG7/BTCX6/BTCF7/BTCV6/BTCH7/BTCZ6</v>
      </c>
      <c r="F300" s="13">
        <f>'MKT DATA'!J1008</f>
        <v>1</v>
      </c>
      <c r="G300" s="8">
        <f>'MKT DATA'!K1008</f>
        <v>83037</v>
      </c>
      <c r="H300" s="8">
        <f>'MKT DATA'!L1008</f>
        <v>85383</v>
      </c>
      <c r="I300" s="13">
        <f>'MKT DATA'!M1008</f>
        <v>1</v>
      </c>
      <c r="J300" s="43" t="str">
        <f t="shared" si="10"/>
        <v>syn BTCG7/BTCX6/BTCF7/BTCV6/BTCH7/BTCZ6</v>
      </c>
      <c r="K300" s="8">
        <f>'MKT DATA'!O1008</f>
        <v>0</v>
      </c>
      <c r="L300" s="8">
        <f>'MKT DATA'!P1008</f>
        <v>83037</v>
      </c>
      <c r="M300" s="8">
        <f>'MKT DATA'!Q1008</f>
        <v>0</v>
      </c>
      <c r="N300" s="8">
        <f>'MKT DATA'!R1008</f>
        <v>0</v>
      </c>
      <c r="O300" s="8">
        <f>'MKT DATA'!S1008</f>
        <v>-85383</v>
      </c>
      <c r="P300" s="8">
        <f>'MKT DATA'!T1008</f>
        <v>0</v>
      </c>
      <c r="Q300" s="43" t="str">
        <f t="shared" si="11"/>
        <v>syn BTCG7/BTCX6/BTCF7/BTCV6/BTCH7/BTCZ6</v>
      </c>
      <c r="R300" s="13">
        <f>'MKT DATA'!AB1008</f>
        <v>0</v>
      </c>
    </row>
    <row r="301" spans="5:18" x14ac:dyDescent="0.25">
      <c r="E301" s="43" t="str">
        <f>'MKT DATA'!B1009</f>
        <v>syn BTCG7/BTCX6/BTCF7/BTCH7/BTCV6/BTCZ6</v>
      </c>
      <c r="F301" s="13">
        <f>'MKT DATA'!J1009</f>
        <v>1</v>
      </c>
      <c r="G301" s="8">
        <f>'MKT DATA'!K1009</f>
        <v>83012</v>
      </c>
      <c r="H301" s="8">
        <f>'MKT DATA'!L1009</f>
        <v>85566</v>
      </c>
      <c r="I301" s="13">
        <f>'MKT DATA'!M1009</f>
        <v>1</v>
      </c>
      <c r="J301" s="43" t="str">
        <f t="shared" si="10"/>
        <v>syn BTCG7/BTCX6/BTCF7/BTCH7/BTCV6/BTCZ6</v>
      </c>
      <c r="K301" s="8">
        <f>'MKT DATA'!O1009</f>
        <v>0</v>
      </c>
      <c r="L301" s="8">
        <f>'MKT DATA'!P1009</f>
        <v>83012</v>
      </c>
      <c r="M301" s="8">
        <f>'MKT DATA'!Q1009</f>
        <v>0</v>
      </c>
      <c r="N301" s="8">
        <f>'MKT DATA'!R1009</f>
        <v>0</v>
      </c>
      <c r="O301" s="8">
        <f>'MKT DATA'!S1009</f>
        <v>-85566</v>
      </c>
      <c r="P301" s="8">
        <f>'MKT DATA'!T1009</f>
        <v>0</v>
      </c>
      <c r="Q301" s="43" t="str">
        <f t="shared" si="11"/>
        <v>syn BTCG7/BTCX6/BTCF7/BTCH7/BTCV6/BTCZ6</v>
      </c>
      <c r="R301" s="13">
        <f>'MKT DATA'!AB1009</f>
        <v>0</v>
      </c>
    </row>
    <row r="302" spans="5:18" x14ac:dyDescent="0.25">
      <c r="E302" s="43" t="str">
        <f>'MKT DATA'!B1010</f>
        <v>syn BTCG7/BTCX6/BTCH7/BTCV6/BTCF7/BTCZ6</v>
      </c>
      <c r="F302" s="13">
        <f>'MKT DATA'!J1010</f>
        <v>1</v>
      </c>
      <c r="G302" s="8">
        <f>'MKT DATA'!K1010</f>
        <v>83047</v>
      </c>
      <c r="H302" s="8">
        <f>'MKT DATA'!L1010</f>
        <v>85517</v>
      </c>
      <c r="I302" s="13">
        <f>'MKT DATA'!M1010</f>
        <v>1</v>
      </c>
      <c r="J302" s="43" t="str">
        <f t="shared" si="10"/>
        <v>syn BTCG7/BTCX6/BTCH7/BTCV6/BTCF7/BTCZ6</v>
      </c>
      <c r="K302" s="8">
        <f>'MKT DATA'!O1010</f>
        <v>0</v>
      </c>
      <c r="L302" s="8">
        <f>'MKT DATA'!P1010</f>
        <v>83047</v>
      </c>
      <c r="M302" s="8">
        <f>'MKT DATA'!Q1010</f>
        <v>0</v>
      </c>
      <c r="N302" s="8">
        <f>'MKT DATA'!R1010</f>
        <v>0</v>
      </c>
      <c r="O302" s="8">
        <f>'MKT DATA'!S1010</f>
        <v>-85517</v>
      </c>
      <c r="P302" s="8">
        <f>'MKT DATA'!T1010</f>
        <v>0</v>
      </c>
      <c r="Q302" s="43" t="str">
        <f t="shared" si="11"/>
        <v>syn BTCG7/BTCX6/BTCH7/BTCV6/BTCF7/BTCZ6</v>
      </c>
      <c r="R302" s="13">
        <f>'MKT DATA'!AB1010</f>
        <v>0</v>
      </c>
    </row>
    <row r="303" spans="5:18" x14ac:dyDescent="0.25">
      <c r="E303" s="43" t="str">
        <f>'MKT DATA'!B1011</f>
        <v>syn BTCG7/BTCX6/BTCH7/BTCF7/BTCV6/BTCZ6</v>
      </c>
      <c r="F303" s="13">
        <f>'MKT DATA'!J1011</f>
        <v>1</v>
      </c>
      <c r="G303" s="8">
        <f>'MKT DATA'!K1011</f>
        <v>83002</v>
      </c>
      <c r="H303" s="8">
        <f>'MKT DATA'!L1011</f>
        <v>85626</v>
      </c>
      <c r="I303" s="13">
        <f>'MKT DATA'!M1011</f>
        <v>1</v>
      </c>
      <c r="J303" s="43" t="str">
        <f t="shared" si="10"/>
        <v>syn BTCG7/BTCX6/BTCH7/BTCF7/BTCV6/BTCZ6</v>
      </c>
      <c r="K303" s="8">
        <f>'MKT DATA'!O1011</f>
        <v>0</v>
      </c>
      <c r="L303" s="8">
        <f>'MKT DATA'!P1011</f>
        <v>83002</v>
      </c>
      <c r="M303" s="8">
        <f>'MKT DATA'!Q1011</f>
        <v>0</v>
      </c>
      <c r="N303" s="8">
        <f>'MKT DATA'!R1011</f>
        <v>0</v>
      </c>
      <c r="O303" s="8">
        <f>'MKT DATA'!S1011</f>
        <v>-85626</v>
      </c>
      <c r="P303" s="8">
        <f>'MKT DATA'!T1011</f>
        <v>0</v>
      </c>
      <c r="Q303" s="43" t="str">
        <f t="shared" si="11"/>
        <v>syn BTCG7/BTCX6/BTCH7/BTCF7/BTCV6/BTCZ6</v>
      </c>
      <c r="R303" s="13">
        <f>'MKT DATA'!AB1011</f>
        <v>0</v>
      </c>
    </row>
    <row r="304" spans="5:18" x14ac:dyDescent="0.25">
      <c r="E304" s="43" t="str">
        <f>'MKT DATA'!B1012</f>
        <v>syn BTCG7/BTCF7/BTCV6/BTCX6/BTCH7/BTCZ6</v>
      </c>
      <c r="F304" s="13">
        <f>'MKT DATA'!J1012</f>
        <v>1</v>
      </c>
      <c r="G304" s="8">
        <f>'MKT DATA'!K1012</f>
        <v>83203</v>
      </c>
      <c r="H304" s="8">
        <f>'MKT DATA'!L1012</f>
        <v>85246</v>
      </c>
      <c r="I304" s="13">
        <f>'MKT DATA'!M1012</f>
        <v>1</v>
      </c>
      <c r="J304" s="43" t="str">
        <f t="shared" si="10"/>
        <v>syn BTCG7/BTCF7/BTCV6/BTCX6/BTCH7/BTCZ6</v>
      </c>
      <c r="K304" s="8">
        <f>'MKT DATA'!O1012</f>
        <v>0</v>
      </c>
      <c r="L304" s="8">
        <f>'MKT DATA'!P1012</f>
        <v>83203</v>
      </c>
      <c r="M304" s="8">
        <f>'MKT DATA'!Q1012</f>
        <v>0</v>
      </c>
      <c r="N304" s="8">
        <f>'MKT DATA'!R1012</f>
        <v>0</v>
      </c>
      <c r="O304" s="8">
        <f>'MKT DATA'!S1012</f>
        <v>-85246</v>
      </c>
      <c r="P304" s="8">
        <f>'MKT DATA'!T1012</f>
        <v>0</v>
      </c>
      <c r="Q304" s="43" t="str">
        <f t="shared" si="11"/>
        <v>syn BTCG7/BTCF7/BTCV6/BTCX6/BTCH7/BTCZ6</v>
      </c>
      <c r="R304" s="13">
        <f>'MKT DATA'!AB1012</f>
        <v>0</v>
      </c>
    </row>
    <row r="305" spans="5:18" x14ac:dyDescent="0.25">
      <c r="E305" s="43" t="str">
        <f>'MKT DATA'!B1013</f>
        <v>syn BTCG7/BTCF7/BTCV6/BTCH7/BTCX6/BTCZ6</v>
      </c>
      <c r="F305" s="13">
        <f>'MKT DATA'!J1013</f>
        <v>1</v>
      </c>
      <c r="G305" s="8">
        <f>'MKT DATA'!K1013</f>
        <v>83210</v>
      </c>
      <c r="H305" s="8">
        <f>'MKT DATA'!L1013</f>
        <v>85441</v>
      </c>
      <c r="I305" s="13">
        <f>'MKT DATA'!M1013</f>
        <v>1</v>
      </c>
      <c r="J305" s="43" t="str">
        <f t="shared" si="10"/>
        <v>syn BTCG7/BTCF7/BTCV6/BTCH7/BTCX6/BTCZ6</v>
      </c>
      <c r="K305" s="8">
        <f>'MKT DATA'!O1013</f>
        <v>0</v>
      </c>
      <c r="L305" s="8">
        <f>'MKT DATA'!P1013</f>
        <v>83210</v>
      </c>
      <c r="M305" s="8">
        <f>'MKT DATA'!Q1013</f>
        <v>0</v>
      </c>
      <c r="N305" s="8">
        <f>'MKT DATA'!R1013</f>
        <v>0</v>
      </c>
      <c r="O305" s="8">
        <f>'MKT DATA'!S1013</f>
        <v>-85441</v>
      </c>
      <c r="P305" s="8">
        <f>'MKT DATA'!T1013</f>
        <v>0</v>
      </c>
      <c r="Q305" s="43" t="str">
        <f t="shared" si="11"/>
        <v>syn BTCG7/BTCF7/BTCV6/BTCH7/BTCX6/BTCZ6</v>
      </c>
      <c r="R305" s="13">
        <f>'MKT DATA'!AB1013</f>
        <v>0</v>
      </c>
    </row>
    <row r="306" spans="5:18" x14ac:dyDescent="0.25">
      <c r="E306" s="43" t="str">
        <f>'MKT DATA'!B1014</f>
        <v>syn BTCG7/BTCF7/BTCX6/BTCV6/BTCH7/BTCZ6</v>
      </c>
      <c r="F306" s="13">
        <f>'MKT DATA'!J1014</f>
        <v>1</v>
      </c>
      <c r="G306" s="8">
        <f>'MKT DATA'!K1014</f>
        <v>83240</v>
      </c>
      <c r="H306" s="8">
        <f>'MKT DATA'!L1014</f>
        <v>85213</v>
      </c>
      <c r="I306" s="13">
        <f>'MKT DATA'!M1014</f>
        <v>1</v>
      </c>
      <c r="J306" s="43" t="str">
        <f t="shared" si="10"/>
        <v>syn BTCG7/BTCF7/BTCX6/BTCV6/BTCH7/BTCZ6</v>
      </c>
      <c r="K306" s="8">
        <f>'MKT DATA'!O1014</f>
        <v>0</v>
      </c>
      <c r="L306" s="8">
        <f>'MKT DATA'!P1014</f>
        <v>83240</v>
      </c>
      <c r="M306" s="8">
        <f>'MKT DATA'!Q1014</f>
        <v>0</v>
      </c>
      <c r="N306" s="8">
        <f>'MKT DATA'!R1014</f>
        <v>0</v>
      </c>
      <c r="O306" s="8">
        <f>'MKT DATA'!S1014</f>
        <v>-85213</v>
      </c>
      <c r="P306" s="8">
        <f>'MKT DATA'!T1014</f>
        <v>0</v>
      </c>
      <c r="Q306" s="43" t="str">
        <f t="shared" si="11"/>
        <v>syn BTCG7/BTCF7/BTCX6/BTCV6/BTCH7/BTCZ6</v>
      </c>
      <c r="R306" s="13">
        <f>'MKT DATA'!AB1014</f>
        <v>0</v>
      </c>
    </row>
    <row r="307" spans="5:18" x14ac:dyDescent="0.25">
      <c r="E307" s="43" t="str">
        <f>'MKT DATA'!B1015</f>
        <v>syn BTCG7/BTCF7/BTCX6/BTCH7/BTCV6/BTCZ6</v>
      </c>
      <c r="F307" s="13">
        <f>'MKT DATA'!J1015</f>
        <v>1</v>
      </c>
      <c r="G307" s="8">
        <f>'MKT DATA'!K1015</f>
        <v>83217</v>
      </c>
      <c r="H307" s="8">
        <f>'MKT DATA'!L1015</f>
        <v>85417</v>
      </c>
      <c r="I307" s="13">
        <f>'MKT DATA'!M1015</f>
        <v>1</v>
      </c>
      <c r="J307" s="43" t="str">
        <f t="shared" si="10"/>
        <v>syn BTCG7/BTCF7/BTCX6/BTCH7/BTCV6/BTCZ6</v>
      </c>
      <c r="K307" s="8">
        <f>'MKT DATA'!O1015</f>
        <v>0</v>
      </c>
      <c r="L307" s="8">
        <f>'MKT DATA'!P1015</f>
        <v>83217</v>
      </c>
      <c r="M307" s="8">
        <f>'MKT DATA'!Q1015</f>
        <v>0</v>
      </c>
      <c r="N307" s="8">
        <f>'MKT DATA'!R1015</f>
        <v>0</v>
      </c>
      <c r="O307" s="8">
        <f>'MKT DATA'!S1015</f>
        <v>-85417</v>
      </c>
      <c r="P307" s="8">
        <f>'MKT DATA'!T1015</f>
        <v>0</v>
      </c>
      <c r="Q307" s="43" t="str">
        <f t="shared" si="11"/>
        <v>syn BTCG7/BTCF7/BTCX6/BTCH7/BTCV6/BTCZ6</v>
      </c>
      <c r="R307" s="13">
        <f>'MKT DATA'!AB1015</f>
        <v>0</v>
      </c>
    </row>
    <row r="308" spans="5:18" x14ac:dyDescent="0.25">
      <c r="E308" s="43" t="str">
        <f>'MKT DATA'!B1016</f>
        <v>syn BTCG7/BTCF7/BTCH7/BTCV6/BTCX6/BTCZ6</v>
      </c>
      <c r="F308" s="13">
        <f>'MKT DATA'!J1016</f>
        <v>1</v>
      </c>
      <c r="G308" s="8">
        <f>'MKT DATA'!K1016</f>
        <v>83201</v>
      </c>
      <c r="H308" s="8">
        <f>'MKT DATA'!L1016</f>
        <v>85413</v>
      </c>
      <c r="I308" s="13">
        <f>'MKT DATA'!M1016</f>
        <v>1</v>
      </c>
      <c r="J308" s="43" t="str">
        <f t="shared" si="10"/>
        <v>syn BTCG7/BTCF7/BTCH7/BTCV6/BTCX6/BTCZ6</v>
      </c>
      <c r="K308" s="8">
        <f>'MKT DATA'!O1016</f>
        <v>0</v>
      </c>
      <c r="L308" s="8">
        <f>'MKT DATA'!P1016</f>
        <v>83201</v>
      </c>
      <c r="M308" s="8">
        <f>'MKT DATA'!Q1016</f>
        <v>0</v>
      </c>
      <c r="N308" s="8">
        <f>'MKT DATA'!R1016</f>
        <v>0</v>
      </c>
      <c r="O308" s="8">
        <f>'MKT DATA'!S1016</f>
        <v>-85413</v>
      </c>
      <c r="P308" s="8">
        <f>'MKT DATA'!T1016</f>
        <v>0</v>
      </c>
      <c r="Q308" s="43" t="str">
        <f t="shared" si="11"/>
        <v>syn BTCG7/BTCF7/BTCH7/BTCV6/BTCX6/BTCZ6</v>
      </c>
      <c r="R308" s="13">
        <f>'MKT DATA'!AB1016</f>
        <v>0</v>
      </c>
    </row>
    <row r="309" spans="5:18" x14ac:dyDescent="0.25">
      <c r="E309" s="43" t="str">
        <f>'MKT DATA'!B1017</f>
        <v>syn BTCG7/BTCF7/BTCH7/BTCX6/BTCV6/BTCZ6</v>
      </c>
      <c r="F309" s="13">
        <f>'MKT DATA'!J1017</f>
        <v>1</v>
      </c>
      <c r="G309" s="8">
        <f>'MKT DATA'!K1017</f>
        <v>83185</v>
      </c>
      <c r="H309" s="8">
        <f>'MKT DATA'!L1017</f>
        <v>85436</v>
      </c>
      <c r="I309" s="13">
        <f>'MKT DATA'!M1017</f>
        <v>1</v>
      </c>
      <c r="J309" s="43" t="str">
        <f t="shared" si="10"/>
        <v>syn BTCG7/BTCF7/BTCH7/BTCX6/BTCV6/BTCZ6</v>
      </c>
      <c r="K309" s="8">
        <f>'MKT DATA'!O1017</f>
        <v>0</v>
      </c>
      <c r="L309" s="8">
        <f>'MKT DATA'!P1017</f>
        <v>83185</v>
      </c>
      <c r="M309" s="8">
        <f>'MKT DATA'!Q1017</f>
        <v>0</v>
      </c>
      <c r="N309" s="8">
        <f>'MKT DATA'!R1017</f>
        <v>0</v>
      </c>
      <c r="O309" s="8">
        <f>'MKT DATA'!S1017</f>
        <v>-85436</v>
      </c>
      <c r="P309" s="8">
        <f>'MKT DATA'!T1017</f>
        <v>0</v>
      </c>
      <c r="Q309" s="43" t="str">
        <f t="shared" si="11"/>
        <v>syn BTCG7/BTCF7/BTCH7/BTCX6/BTCV6/BTCZ6</v>
      </c>
      <c r="R309" s="13">
        <f>'MKT DATA'!AB1017</f>
        <v>0</v>
      </c>
    </row>
    <row r="310" spans="5:18" x14ac:dyDescent="0.25">
      <c r="E310" s="43" t="str">
        <f>'MKT DATA'!B1018</f>
        <v>syn BTCG7/BTCH7/BTCV6/BTCX6/BTCF7/BTCZ6</v>
      </c>
      <c r="F310" s="13">
        <f>'MKT DATA'!J1018</f>
        <v>1</v>
      </c>
      <c r="G310" s="8">
        <f>'MKT DATA'!K1018</f>
        <v>83514</v>
      </c>
      <c r="H310" s="8">
        <f>'MKT DATA'!L1018</f>
        <v>85108</v>
      </c>
      <c r="I310" s="13">
        <f>'MKT DATA'!M1018</f>
        <v>1</v>
      </c>
      <c r="J310" s="43" t="str">
        <f t="shared" si="10"/>
        <v>syn BTCG7/BTCH7/BTCV6/BTCX6/BTCF7/BTCZ6</v>
      </c>
      <c r="K310" s="8">
        <f>'MKT DATA'!O1018</f>
        <v>0</v>
      </c>
      <c r="L310" s="8">
        <f>'MKT DATA'!P1018</f>
        <v>83514</v>
      </c>
      <c r="M310" s="8">
        <f>'MKT DATA'!Q1018</f>
        <v>0</v>
      </c>
      <c r="N310" s="8">
        <f>'MKT DATA'!R1018</f>
        <v>0</v>
      </c>
      <c r="O310" s="8">
        <f>'MKT DATA'!S1018</f>
        <v>-85108</v>
      </c>
      <c r="P310" s="8">
        <f>'MKT DATA'!T1018</f>
        <v>0</v>
      </c>
      <c r="Q310" s="43" t="str">
        <f t="shared" si="11"/>
        <v>syn BTCG7/BTCH7/BTCV6/BTCX6/BTCF7/BTCZ6</v>
      </c>
      <c r="R310" s="13">
        <f>'MKT DATA'!AB1018</f>
        <v>0</v>
      </c>
    </row>
    <row r="311" spans="5:18" x14ac:dyDescent="0.25">
      <c r="E311" s="43" t="str">
        <f>'MKT DATA'!B1019</f>
        <v>syn BTCG7/BTCH7/BTCV6/BTCF7/BTCX6/BTCZ6</v>
      </c>
      <c r="F311" s="13">
        <f>'MKT DATA'!J1019</f>
        <v>1</v>
      </c>
      <c r="G311" s="8">
        <f>'MKT DATA'!K1019</f>
        <v>83461</v>
      </c>
      <c r="H311" s="8">
        <f>'MKT DATA'!L1019</f>
        <v>85189</v>
      </c>
      <c r="I311" s="13">
        <f>'MKT DATA'!M1019</f>
        <v>1</v>
      </c>
      <c r="J311" s="43" t="str">
        <f t="shared" si="10"/>
        <v>syn BTCG7/BTCH7/BTCV6/BTCF7/BTCX6/BTCZ6</v>
      </c>
      <c r="K311" s="8">
        <f>'MKT DATA'!O1019</f>
        <v>0</v>
      </c>
      <c r="L311" s="8">
        <f>'MKT DATA'!P1019</f>
        <v>83461</v>
      </c>
      <c r="M311" s="8">
        <f>'MKT DATA'!Q1019</f>
        <v>0</v>
      </c>
      <c r="N311" s="8">
        <f>'MKT DATA'!R1019</f>
        <v>0</v>
      </c>
      <c r="O311" s="8">
        <f>'MKT DATA'!S1019</f>
        <v>-85189</v>
      </c>
      <c r="P311" s="8">
        <f>'MKT DATA'!T1019</f>
        <v>0</v>
      </c>
      <c r="Q311" s="43" t="str">
        <f t="shared" si="11"/>
        <v>syn BTCG7/BTCH7/BTCV6/BTCF7/BTCX6/BTCZ6</v>
      </c>
      <c r="R311" s="13">
        <f>'MKT DATA'!AB1019</f>
        <v>0</v>
      </c>
    </row>
    <row r="312" spans="5:18" x14ac:dyDescent="0.25">
      <c r="E312" s="43" t="str">
        <f>'MKT DATA'!B1020</f>
        <v>syn BTCG7/BTCH7/BTCX6/BTCV6/BTCF7/BTCZ6</v>
      </c>
      <c r="F312" s="13">
        <f>'MKT DATA'!J1020</f>
        <v>1</v>
      </c>
      <c r="G312" s="8">
        <f>'MKT DATA'!K1020</f>
        <v>83481</v>
      </c>
      <c r="H312" s="8">
        <f>'MKT DATA'!L1020</f>
        <v>85145</v>
      </c>
      <c r="I312" s="13">
        <f>'MKT DATA'!M1020</f>
        <v>1</v>
      </c>
      <c r="J312" s="43" t="str">
        <f t="shared" si="10"/>
        <v>syn BTCG7/BTCH7/BTCX6/BTCV6/BTCF7/BTCZ6</v>
      </c>
      <c r="K312" s="8">
        <f>'MKT DATA'!O1020</f>
        <v>0</v>
      </c>
      <c r="L312" s="8">
        <f>'MKT DATA'!P1020</f>
        <v>83481</v>
      </c>
      <c r="M312" s="8">
        <f>'MKT DATA'!Q1020</f>
        <v>0</v>
      </c>
      <c r="N312" s="8">
        <f>'MKT DATA'!R1020</f>
        <v>0</v>
      </c>
      <c r="O312" s="8">
        <f>'MKT DATA'!S1020</f>
        <v>-85145</v>
      </c>
      <c r="P312" s="8">
        <f>'MKT DATA'!T1020</f>
        <v>0</v>
      </c>
      <c r="Q312" s="43" t="str">
        <f t="shared" si="11"/>
        <v>syn BTCG7/BTCH7/BTCX6/BTCV6/BTCF7/BTCZ6</v>
      </c>
      <c r="R312" s="13">
        <f>'MKT DATA'!AB1020</f>
        <v>0</v>
      </c>
    </row>
    <row r="313" spans="5:18" x14ac:dyDescent="0.25">
      <c r="E313" s="43" t="str">
        <f>'MKT DATA'!B1021</f>
        <v>syn BTCG7/BTCH7/BTCX6/BTCF7/BTCV6/BTCZ6</v>
      </c>
      <c r="F313" s="13">
        <f>'MKT DATA'!J1021</f>
        <v>1</v>
      </c>
      <c r="G313" s="8">
        <f>'MKT DATA'!K1021</f>
        <v>83448</v>
      </c>
      <c r="H313" s="8">
        <f>'MKT DATA'!L1021</f>
        <v>85215</v>
      </c>
      <c r="I313" s="13">
        <f>'MKT DATA'!M1021</f>
        <v>1</v>
      </c>
      <c r="J313" s="43" t="str">
        <f t="shared" si="10"/>
        <v>syn BTCG7/BTCH7/BTCX6/BTCF7/BTCV6/BTCZ6</v>
      </c>
      <c r="K313" s="8">
        <f>'MKT DATA'!O1021</f>
        <v>0</v>
      </c>
      <c r="L313" s="8">
        <f>'MKT DATA'!P1021</f>
        <v>83448</v>
      </c>
      <c r="M313" s="8">
        <f>'MKT DATA'!Q1021</f>
        <v>0</v>
      </c>
      <c r="N313" s="8">
        <f>'MKT DATA'!R1021</f>
        <v>0</v>
      </c>
      <c r="O313" s="8">
        <f>'MKT DATA'!S1021</f>
        <v>-85215</v>
      </c>
      <c r="P313" s="8">
        <f>'MKT DATA'!T1021</f>
        <v>0</v>
      </c>
      <c r="Q313" s="43" t="str">
        <f t="shared" si="11"/>
        <v>syn BTCG7/BTCH7/BTCX6/BTCF7/BTCV6/BTCZ6</v>
      </c>
      <c r="R313" s="13">
        <f>'MKT DATA'!AB1021</f>
        <v>0</v>
      </c>
    </row>
    <row r="314" spans="5:18" x14ac:dyDescent="0.25">
      <c r="E314" s="43" t="str">
        <f>'MKT DATA'!B1022</f>
        <v>syn BTCG7/BTCH7/BTCF7/BTCV6/BTCX6/BTCZ6</v>
      </c>
      <c r="F314" s="13">
        <f>'MKT DATA'!J1022</f>
        <v>1</v>
      </c>
      <c r="G314" s="8">
        <f>'MKT DATA'!K1022</f>
        <v>83452</v>
      </c>
      <c r="H314" s="8">
        <f>'MKT DATA'!L1022</f>
        <v>85231</v>
      </c>
      <c r="I314" s="13">
        <f>'MKT DATA'!M1022</f>
        <v>1</v>
      </c>
      <c r="J314" s="43" t="str">
        <f t="shared" si="10"/>
        <v>syn BTCG7/BTCH7/BTCF7/BTCV6/BTCX6/BTCZ6</v>
      </c>
      <c r="K314" s="8">
        <f>'MKT DATA'!O1022</f>
        <v>0</v>
      </c>
      <c r="L314" s="8">
        <f>'MKT DATA'!P1022</f>
        <v>83452</v>
      </c>
      <c r="M314" s="8">
        <f>'MKT DATA'!Q1022</f>
        <v>0</v>
      </c>
      <c r="N314" s="8">
        <f>'MKT DATA'!R1022</f>
        <v>0</v>
      </c>
      <c r="O314" s="8">
        <f>'MKT DATA'!S1022</f>
        <v>-85231</v>
      </c>
      <c r="P314" s="8">
        <f>'MKT DATA'!T1022</f>
        <v>0</v>
      </c>
      <c r="Q314" s="43" t="str">
        <f t="shared" si="11"/>
        <v>syn BTCG7/BTCH7/BTCF7/BTCV6/BTCX6/BTCZ6</v>
      </c>
      <c r="R314" s="13">
        <f>'MKT DATA'!AB1022</f>
        <v>0</v>
      </c>
    </row>
    <row r="315" spans="5:18" x14ac:dyDescent="0.25">
      <c r="E315" s="43" t="str">
        <f>'MKT DATA'!B1023</f>
        <v>syn BTCG7/BTCH7/BTCF7/BTCX6/BTCV6/BTCZ6</v>
      </c>
      <c r="F315" s="13">
        <f>'MKT DATA'!J1023</f>
        <v>1</v>
      </c>
      <c r="G315" s="8">
        <f>'MKT DATA'!K1023</f>
        <v>83466</v>
      </c>
      <c r="H315" s="8">
        <f>'MKT DATA'!L1023</f>
        <v>85214</v>
      </c>
      <c r="I315" s="13">
        <f>'MKT DATA'!M1023</f>
        <v>1</v>
      </c>
      <c r="J315" s="43" t="str">
        <f t="shared" si="10"/>
        <v>syn BTCG7/BTCH7/BTCF7/BTCX6/BTCV6/BTCZ6</v>
      </c>
      <c r="K315" s="8">
        <f>'MKT DATA'!O1023</f>
        <v>0</v>
      </c>
      <c r="L315" s="8">
        <f>'MKT DATA'!P1023</f>
        <v>83466</v>
      </c>
      <c r="M315" s="8">
        <f>'MKT DATA'!Q1023</f>
        <v>0</v>
      </c>
      <c r="N315" s="8">
        <f>'MKT DATA'!R1023</f>
        <v>0</v>
      </c>
      <c r="O315" s="8">
        <f>'MKT DATA'!S1023</f>
        <v>-85214</v>
      </c>
      <c r="P315" s="8">
        <f>'MKT DATA'!T1023</f>
        <v>0</v>
      </c>
      <c r="Q315" s="43" t="str">
        <f t="shared" si="11"/>
        <v>syn BTCG7/BTCH7/BTCF7/BTCX6/BTCV6/BTCZ6</v>
      </c>
      <c r="R315" s="13">
        <f>'MKT DATA'!AB1023</f>
        <v>0</v>
      </c>
    </row>
    <row r="316" spans="5:18" x14ac:dyDescent="0.25">
      <c r="E316" s="43" t="str">
        <f>'MKT DATA'!B1024</f>
        <v>syn BTCH7/BTCV6/BTCX6/BTCF7/BTCG7/BTCZ6</v>
      </c>
      <c r="F316" s="13">
        <f>'MKT DATA'!J1024</f>
        <v>1</v>
      </c>
      <c r="G316" s="8">
        <f>'MKT DATA'!K1024</f>
        <v>83167</v>
      </c>
      <c r="H316" s="8">
        <f>'MKT DATA'!L1024</f>
        <v>85380</v>
      </c>
      <c r="I316" s="13">
        <f>'MKT DATA'!M1024</f>
        <v>1</v>
      </c>
      <c r="J316" s="43" t="str">
        <f t="shared" si="10"/>
        <v>syn BTCH7/BTCV6/BTCX6/BTCF7/BTCG7/BTCZ6</v>
      </c>
      <c r="K316" s="8">
        <f>'MKT DATA'!O1024</f>
        <v>0</v>
      </c>
      <c r="L316" s="8">
        <f>'MKT DATA'!P1024</f>
        <v>83167</v>
      </c>
      <c r="M316" s="8">
        <f>'MKT DATA'!Q1024</f>
        <v>0</v>
      </c>
      <c r="N316" s="8">
        <f>'MKT DATA'!R1024</f>
        <v>0</v>
      </c>
      <c r="O316" s="8">
        <f>'MKT DATA'!S1024</f>
        <v>-85380</v>
      </c>
      <c r="P316" s="8">
        <f>'MKT DATA'!T1024</f>
        <v>0</v>
      </c>
      <c r="Q316" s="43" t="str">
        <f t="shared" si="11"/>
        <v>syn BTCH7/BTCV6/BTCX6/BTCF7/BTCG7/BTCZ6</v>
      </c>
      <c r="R316" s="13">
        <f>'MKT DATA'!AB1024</f>
        <v>0</v>
      </c>
    </row>
    <row r="317" spans="5:18" x14ac:dyDescent="0.25">
      <c r="E317" s="43" t="str">
        <f>'MKT DATA'!B1025</f>
        <v>syn BTCH7/BTCV6/BTCX6/BTCG7/BTCF7/BTCZ6</v>
      </c>
      <c r="F317" s="13">
        <f>'MKT DATA'!J1025</f>
        <v>1</v>
      </c>
      <c r="G317" s="8">
        <f>'MKT DATA'!K1025</f>
        <v>83253</v>
      </c>
      <c r="H317" s="8">
        <f>'MKT DATA'!L1025</f>
        <v>85350</v>
      </c>
      <c r="I317" s="13">
        <f>'MKT DATA'!M1025</f>
        <v>1</v>
      </c>
      <c r="J317" s="43" t="str">
        <f t="shared" si="10"/>
        <v>syn BTCH7/BTCV6/BTCX6/BTCG7/BTCF7/BTCZ6</v>
      </c>
      <c r="K317" s="8">
        <f>'MKT DATA'!O1025</f>
        <v>0</v>
      </c>
      <c r="L317" s="8">
        <f>'MKT DATA'!P1025</f>
        <v>83253</v>
      </c>
      <c r="M317" s="8">
        <f>'MKT DATA'!Q1025</f>
        <v>0</v>
      </c>
      <c r="N317" s="8">
        <f>'MKT DATA'!R1025</f>
        <v>0</v>
      </c>
      <c r="O317" s="8">
        <f>'MKT DATA'!S1025</f>
        <v>-85350</v>
      </c>
      <c r="P317" s="8">
        <f>'MKT DATA'!T1025</f>
        <v>0</v>
      </c>
      <c r="Q317" s="43" t="str">
        <f t="shared" si="11"/>
        <v>syn BTCH7/BTCV6/BTCX6/BTCG7/BTCF7/BTCZ6</v>
      </c>
      <c r="R317" s="13">
        <f>'MKT DATA'!AB1025</f>
        <v>0</v>
      </c>
    </row>
    <row r="318" spans="5:18" x14ac:dyDescent="0.25">
      <c r="E318" s="43" t="str">
        <f>'MKT DATA'!B1026</f>
        <v>syn BTCH7/BTCV6/BTCF7/BTCX6/BTCG7/BTCZ6</v>
      </c>
      <c r="F318" s="13">
        <f>'MKT DATA'!J1026</f>
        <v>1</v>
      </c>
      <c r="G318" s="8">
        <f>'MKT DATA'!K1026</f>
        <v>82997</v>
      </c>
      <c r="H318" s="8">
        <f>'MKT DATA'!L1026</f>
        <v>85583</v>
      </c>
      <c r="I318" s="13">
        <f>'MKT DATA'!M1026</f>
        <v>1</v>
      </c>
      <c r="J318" s="43" t="str">
        <f t="shared" si="10"/>
        <v>syn BTCH7/BTCV6/BTCF7/BTCX6/BTCG7/BTCZ6</v>
      </c>
      <c r="K318" s="8">
        <f>'MKT DATA'!O1026</f>
        <v>0</v>
      </c>
      <c r="L318" s="8">
        <f>'MKT DATA'!P1026</f>
        <v>82997</v>
      </c>
      <c r="M318" s="8">
        <f>'MKT DATA'!Q1026</f>
        <v>0</v>
      </c>
      <c r="N318" s="8">
        <f>'MKT DATA'!R1026</f>
        <v>0</v>
      </c>
      <c r="O318" s="8">
        <f>'MKT DATA'!S1026</f>
        <v>-85583</v>
      </c>
      <c r="P318" s="8">
        <f>'MKT DATA'!T1026</f>
        <v>0</v>
      </c>
      <c r="Q318" s="43" t="str">
        <f t="shared" si="11"/>
        <v>syn BTCH7/BTCV6/BTCF7/BTCX6/BTCG7/BTCZ6</v>
      </c>
      <c r="R318" s="13">
        <f>'MKT DATA'!AB1026</f>
        <v>0</v>
      </c>
    </row>
    <row r="319" spans="5:18" x14ac:dyDescent="0.25">
      <c r="E319" s="43" t="str">
        <f>'MKT DATA'!B1027</f>
        <v>syn BTCH7/BTCV6/BTCF7/BTCG7/BTCX6/BTCZ6</v>
      </c>
      <c r="F319" s="13">
        <f>'MKT DATA'!J1027</f>
        <v>1</v>
      </c>
      <c r="G319" s="8">
        <f>'MKT DATA'!K1027</f>
        <v>83164</v>
      </c>
      <c r="H319" s="8">
        <f>'MKT DATA'!L1027</f>
        <v>85395</v>
      </c>
      <c r="I319" s="13">
        <f>'MKT DATA'!M1027</f>
        <v>1</v>
      </c>
      <c r="J319" s="43" t="str">
        <f t="shared" si="10"/>
        <v>syn BTCH7/BTCV6/BTCF7/BTCG7/BTCX6/BTCZ6</v>
      </c>
      <c r="K319" s="8">
        <f>'MKT DATA'!O1027</f>
        <v>0</v>
      </c>
      <c r="L319" s="8">
        <f>'MKT DATA'!P1027</f>
        <v>83164</v>
      </c>
      <c r="M319" s="8">
        <f>'MKT DATA'!Q1027</f>
        <v>0</v>
      </c>
      <c r="N319" s="8">
        <f>'MKT DATA'!R1027</f>
        <v>0</v>
      </c>
      <c r="O319" s="8">
        <f>'MKT DATA'!S1027</f>
        <v>-85395</v>
      </c>
      <c r="P319" s="8">
        <f>'MKT DATA'!T1027</f>
        <v>0</v>
      </c>
      <c r="Q319" s="43" t="str">
        <f t="shared" si="11"/>
        <v>syn BTCH7/BTCV6/BTCF7/BTCG7/BTCX6/BTCZ6</v>
      </c>
      <c r="R319" s="13">
        <f>'MKT DATA'!AB1027</f>
        <v>0</v>
      </c>
    </row>
    <row r="320" spans="5:18" x14ac:dyDescent="0.25">
      <c r="E320" s="43" t="str">
        <f>'MKT DATA'!B1028</f>
        <v>syn BTCH7/BTCV6/BTCG7/BTCX6/BTCF7/BTCZ6</v>
      </c>
      <c r="F320" s="13">
        <f>'MKT DATA'!J1028</f>
        <v>1</v>
      </c>
      <c r="G320" s="8">
        <f>'MKT DATA'!K1028</f>
        <v>83087</v>
      </c>
      <c r="H320" s="8">
        <f>'MKT DATA'!L1028</f>
        <v>85487</v>
      </c>
      <c r="I320" s="13">
        <f>'MKT DATA'!M1028</f>
        <v>1</v>
      </c>
      <c r="J320" s="43" t="str">
        <f t="shared" si="10"/>
        <v>syn BTCH7/BTCV6/BTCG7/BTCX6/BTCF7/BTCZ6</v>
      </c>
      <c r="K320" s="8">
        <f>'MKT DATA'!O1028</f>
        <v>0</v>
      </c>
      <c r="L320" s="8">
        <f>'MKT DATA'!P1028</f>
        <v>83087</v>
      </c>
      <c r="M320" s="8">
        <f>'MKT DATA'!Q1028</f>
        <v>0</v>
      </c>
      <c r="N320" s="8">
        <f>'MKT DATA'!R1028</f>
        <v>0</v>
      </c>
      <c r="O320" s="8">
        <f>'MKT DATA'!S1028</f>
        <v>-85487</v>
      </c>
      <c r="P320" s="8">
        <f>'MKT DATA'!T1028</f>
        <v>0</v>
      </c>
      <c r="Q320" s="43" t="str">
        <f t="shared" si="11"/>
        <v>syn BTCH7/BTCV6/BTCG7/BTCX6/BTCF7/BTCZ6</v>
      </c>
      <c r="R320" s="13">
        <f>'MKT DATA'!AB1028</f>
        <v>0</v>
      </c>
    </row>
    <row r="321" spans="5:18" x14ac:dyDescent="0.25">
      <c r="E321" s="43" t="str">
        <f>'MKT DATA'!B1029</f>
        <v>syn BTCH7/BTCV6/BTCG7/BTCF7/BTCX6/BTCZ6</v>
      </c>
      <c r="F321" s="13">
        <f>'MKT DATA'!J1029</f>
        <v>1</v>
      </c>
      <c r="G321" s="8">
        <f>'MKT DATA'!K1029</f>
        <v>83240</v>
      </c>
      <c r="H321" s="8">
        <f>'MKT DATA'!L1029</f>
        <v>85401</v>
      </c>
      <c r="I321" s="13">
        <f>'MKT DATA'!M1029</f>
        <v>1</v>
      </c>
      <c r="J321" s="43" t="str">
        <f t="shared" si="10"/>
        <v>syn BTCH7/BTCV6/BTCG7/BTCF7/BTCX6/BTCZ6</v>
      </c>
      <c r="K321" s="8">
        <f>'MKT DATA'!O1029</f>
        <v>0</v>
      </c>
      <c r="L321" s="8">
        <f>'MKT DATA'!P1029</f>
        <v>83240</v>
      </c>
      <c r="M321" s="8">
        <f>'MKT DATA'!Q1029</f>
        <v>0</v>
      </c>
      <c r="N321" s="8">
        <f>'MKT DATA'!R1029</f>
        <v>0</v>
      </c>
      <c r="O321" s="8">
        <f>'MKT DATA'!S1029</f>
        <v>-85401</v>
      </c>
      <c r="P321" s="8">
        <f>'MKT DATA'!T1029</f>
        <v>0</v>
      </c>
      <c r="Q321" s="43" t="str">
        <f t="shared" si="11"/>
        <v>syn BTCH7/BTCV6/BTCG7/BTCF7/BTCX6/BTCZ6</v>
      </c>
      <c r="R321" s="13">
        <f>'MKT DATA'!AB1029</f>
        <v>0</v>
      </c>
    </row>
    <row r="322" spans="5:18" x14ac:dyDescent="0.25">
      <c r="E322" s="43" t="str">
        <f>'MKT DATA'!B1030</f>
        <v>syn BTCH7/BTCX6/BTCV6/BTCF7/BTCG7/BTCZ6</v>
      </c>
      <c r="F322" s="13">
        <f>'MKT DATA'!J1030</f>
        <v>1</v>
      </c>
      <c r="G322" s="8">
        <f>'MKT DATA'!K1030</f>
        <v>83134</v>
      </c>
      <c r="H322" s="8">
        <f>'MKT DATA'!L1030</f>
        <v>85417</v>
      </c>
      <c r="I322" s="13">
        <f>'MKT DATA'!M1030</f>
        <v>1</v>
      </c>
      <c r="J322" s="43" t="str">
        <f t="shared" si="10"/>
        <v>syn BTCH7/BTCX6/BTCV6/BTCF7/BTCG7/BTCZ6</v>
      </c>
      <c r="K322" s="8">
        <f>'MKT DATA'!O1030</f>
        <v>0</v>
      </c>
      <c r="L322" s="8">
        <f>'MKT DATA'!P1030</f>
        <v>83134</v>
      </c>
      <c r="M322" s="8">
        <f>'MKT DATA'!Q1030</f>
        <v>0</v>
      </c>
      <c r="N322" s="8">
        <f>'MKT DATA'!R1030</f>
        <v>0</v>
      </c>
      <c r="O322" s="8">
        <f>'MKT DATA'!S1030</f>
        <v>-85417</v>
      </c>
      <c r="P322" s="8">
        <f>'MKT DATA'!T1030</f>
        <v>0</v>
      </c>
      <c r="Q322" s="43" t="str">
        <f t="shared" si="11"/>
        <v>syn BTCH7/BTCX6/BTCV6/BTCF7/BTCG7/BTCZ6</v>
      </c>
      <c r="R322" s="13">
        <f>'MKT DATA'!AB1030</f>
        <v>0</v>
      </c>
    </row>
    <row r="323" spans="5:18" x14ac:dyDescent="0.25">
      <c r="E323" s="43" t="str">
        <f>'MKT DATA'!B1031</f>
        <v>syn BTCH7/BTCX6/BTCV6/BTCG7/BTCF7/BTCZ6</v>
      </c>
      <c r="F323" s="13">
        <f>'MKT DATA'!J1031</f>
        <v>1</v>
      </c>
      <c r="G323" s="8">
        <f>'MKT DATA'!K1031</f>
        <v>83260</v>
      </c>
      <c r="H323" s="8">
        <f>'MKT DATA'!L1031</f>
        <v>85357</v>
      </c>
      <c r="I323" s="13">
        <f>'MKT DATA'!M1031</f>
        <v>1</v>
      </c>
      <c r="J323" s="43" t="str">
        <f t="shared" si="10"/>
        <v>syn BTCH7/BTCX6/BTCV6/BTCG7/BTCF7/BTCZ6</v>
      </c>
      <c r="K323" s="8">
        <f>'MKT DATA'!O1031</f>
        <v>0</v>
      </c>
      <c r="L323" s="8">
        <f>'MKT DATA'!P1031</f>
        <v>83260</v>
      </c>
      <c r="M323" s="8">
        <f>'MKT DATA'!Q1031</f>
        <v>0</v>
      </c>
      <c r="N323" s="8">
        <f>'MKT DATA'!R1031</f>
        <v>0</v>
      </c>
      <c r="O323" s="8">
        <f>'MKT DATA'!S1031</f>
        <v>-85357</v>
      </c>
      <c r="P323" s="8">
        <f>'MKT DATA'!T1031</f>
        <v>0</v>
      </c>
      <c r="Q323" s="43" t="str">
        <f t="shared" si="11"/>
        <v>syn BTCH7/BTCX6/BTCV6/BTCG7/BTCF7/BTCZ6</v>
      </c>
      <c r="R323" s="13">
        <f>'MKT DATA'!AB1031</f>
        <v>0</v>
      </c>
    </row>
    <row r="324" spans="5:18" x14ac:dyDescent="0.25">
      <c r="E324" s="43" t="str">
        <f>'MKT DATA'!B1032</f>
        <v>syn BTCH7/BTCX6/BTCF7/BTCV6/BTCG7/BTCZ6</v>
      </c>
      <c r="F324" s="13">
        <f>'MKT DATA'!J1032</f>
        <v>1</v>
      </c>
      <c r="G324" s="8">
        <f>'MKT DATA'!K1032</f>
        <v>83007</v>
      </c>
      <c r="H324" s="8">
        <f>'MKT DATA'!L1032</f>
        <v>85593</v>
      </c>
      <c r="I324" s="13">
        <f>'MKT DATA'!M1032</f>
        <v>1</v>
      </c>
      <c r="J324" s="43" t="str">
        <f t="shared" si="10"/>
        <v>syn BTCH7/BTCX6/BTCF7/BTCV6/BTCG7/BTCZ6</v>
      </c>
      <c r="K324" s="8">
        <f>'MKT DATA'!O1032</f>
        <v>0</v>
      </c>
      <c r="L324" s="8">
        <f>'MKT DATA'!P1032</f>
        <v>83007</v>
      </c>
      <c r="M324" s="8">
        <f>'MKT DATA'!Q1032</f>
        <v>0</v>
      </c>
      <c r="N324" s="8">
        <f>'MKT DATA'!R1032</f>
        <v>0</v>
      </c>
      <c r="O324" s="8">
        <f>'MKT DATA'!S1032</f>
        <v>-85593</v>
      </c>
      <c r="P324" s="8">
        <f>'MKT DATA'!T1032</f>
        <v>0</v>
      </c>
      <c r="Q324" s="43" t="str">
        <f t="shared" si="11"/>
        <v>syn BTCH7/BTCX6/BTCF7/BTCV6/BTCG7/BTCZ6</v>
      </c>
      <c r="R324" s="13">
        <f>'MKT DATA'!AB1032</f>
        <v>0</v>
      </c>
    </row>
    <row r="325" spans="5:18" x14ac:dyDescent="0.25">
      <c r="E325" s="43" t="str">
        <f>'MKT DATA'!B1033</f>
        <v>syn BTCH7/BTCX6/BTCF7/BTCG7/BTCV6/BTCZ6</v>
      </c>
      <c r="F325" s="13">
        <f>'MKT DATA'!J1033</f>
        <v>1</v>
      </c>
      <c r="G325" s="8">
        <f>'MKT DATA'!K1033</f>
        <v>83181</v>
      </c>
      <c r="H325" s="8">
        <f>'MKT DATA'!L1033</f>
        <v>85381</v>
      </c>
      <c r="I325" s="13">
        <f>'MKT DATA'!M1033</f>
        <v>1</v>
      </c>
      <c r="J325" s="43" t="str">
        <f t="shared" si="10"/>
        <v>syn BTCH7/BTCX6/BTCF7/BTCG7/BTCV6/BTCZ6</v>
      </c>
      <c r="K325" s="8">
        <f>'MKT DATA'!O1033</f>
        <v>0</v>
      </c>
      <c r="L325" s="8">
        <f>'MKT DATA'!P1033</f>
        <v>83181</v>
      </c>
      <c r="M325" s="8">
        <f>'MKT DATA'!Q1033</f>
        <v>0</v>
      </c>
      <c r="N325" s="8">
        <f>'MKT DATA'!R1033</f>
        <v>0</v>
      </c>
      <c r="O325" s="8">
        <f>'MKT DATA'!S1033</f>
        <v>-85381</v>
      </c>
      <c r="P325" s="8">
        <f>'MKT DATA'!T1033</f>
        <v>0</v>
      </c>
      <c r="Q325" s="43" t="str">
        <f t="shared" si="11"/>
        <v>syn BTCH7/BTCX6/BTCF7/BTCG7/BTCV6/BTCZ6</v>
      </c>
      <c r="R325" s="13">
        <f>'MKT DATA'!AB1033</f>
        <v>0</v>
      </c>
    </row>
    <row r="326" spans="5:18" x14ac:dyDescent="0.25">
      <c r="E326" s="43" t="str">
        <f>'MKT DATA'!B1034</f>
        <v>syn BTCH7/BTCX6/BTCG7/BTCV6/BTCF7/BTCZ6</v>
      </c>
      <c r="F326" s="13">
        <f>'MKT DATA'!J1034</f>
        <v>1</v>
      </c>
      <c r="G326" s="8">
        <f>'MKT DATA'!K1034</f>
        <v>83047</v>
      </c>
      <c r="H326" s="8">
        <f>'MKT DATA'!L1034</f>
        <v>85517</v>
      </c>
      <c r="I326" s="13">
        <f>'MKT DATA'!M1034</f>
        <v>1</v>
      </c>
      <c r="J326" s="43" t="str">
        <f t="shared" si="10"/>
        <v>syn BTCH7/BTCX6/BTCG7/BTCV6/BTCF7/BTCZ6</v>
      </c>
      <c r="K326" s="8">
        <f>'MKT DATA'!O1034</f>
        <v>0</v>
      </c>
      <c r="L326" s="8">
        <f>'MKT DATA'!P1034</f>
        <v>83047</v>
      </c>
      <c r="M326" s="8">
        <f>'MKT DATA'!Q1034</f>
        <v>0</v>
      </c>
      <c r="N326" s="8">
        <f>'MKT DATA'!R1034</f>
        <v>0</v>
      </c>
      <c r="O326" s="8">
        <f>'MKT DATA'!S1034</f>
        <v>-85517</v>
      </c>
      <c r="P326" s="8">
        <f>'MKT DATA'!T1034</f>
        <v>0</v>
      </c>
      <c r="Q326" s="43" t="str">
        <f t="shared" si="11"/>
        <v>syn BTCH7/BTCX6/BTCG7/BTCV6/BTCF7/BTCZ6</v>
      </c>
      <c r="R326" s="13">
        <f>'MKT DATA'!AB1034</f>
        <v>0</v>
      </c>
    </row>
    <row r="327" spans="5:18" x14ac:dyDescent="0.25">
      <c r="E327" s="43" t="str">
        <f>'MKT DATA'!B1035</f>
        <v>syn BTCH7/BTCX6/BTCG7/BTCF7/BTCV6/BTCZ6</v>
      </c>
      <c r="F327" s="13">
        <f>'MKT DATA'!J1035</f>
        <v>1</v>
      </c>
      <c r="G327" s="8">
        <f>'MKT DATA'!K1035</f>
        <v>83187</v>
      </c>
      <c r="H327" s="8">
        <f>'MKT DATA'!L1035</f>
        <v>85457</v>
      </c>
      <c r="I327" s="13">
        <f>'MKT DATA'!M1035</f>
        <v>1</v>
      </c>
      <c r="J327" s="43" t="str">
        <f t="shared" si="10"/>
        <v>syn BTCH7/BTCX6/BTCG7/BTCF7/BTCV6/BTCZ6</v>
      </c>
      <c r="K327" s="8">
        <f>'MKT DATA'!O1035</f>
        <v>0</v>
      </c>
      <c r="L327" s="8">
        <f>'MKT DATA'!P1035</f>
        <v>83187</v>
      </c>
      <c r="M327" s="8">
        <f>'MKT DATA'!Q1035</f>
        <v>0</v>
      </c>
      <c r="N327" s="8">
        <f>'MKT DATA'!R1035</f>
        <v>0</v>
      </c>
      <c r="O327" s="8">
        <f>'MKT DATA'!S1035</f>
        <v>-85457</v>
      </c>
      <c r="P327" s="8">
        <f>'MKT DATA'!T1035</f>
        <v>0</v>
      </c>
      <c r="Q327" s="43" t="str">
        <f t="shared" si="11"/>
        <v>syn BTCH7/BTCX6/BTCG7/BTCF7/BTCV6/BTCZ6</v>
      </c>
      <c r="R327" s="13">
        <f>'MKT DATA'!AB1035</f>
        <v>0</v>
      </c>
    </row>
    <row r="328" spans="5:18" x14ac:dyDescent="0.25">
      <c r="E328" s="43" t="str">
        <f>'MKT DATA'!B1036</f>
        <v>syn BTCH7/BTCF7/BTCV6/BTCX6/BTCG7/BTCZ6</v>
      </c>
      <c r="F328" s="13">
        <f>'MKT DATA'!J1036</f>
        <v>1</v>
      </c>
      <c r="G328" s="8">
        <f>'MKT DATA'!K1036</f>
        <v>82988</v>
      </c>
      <c r="H328" s="8">
        <f>'MKT DATA'!L1036</f>
        <v>85625</v>
      </c>
      <c r="I328" s="13">
        <f>'MKT DATA'!M1036</f>
        <v>1</v>
      </c>
      <c r="J328" s="43" t="str">
        <f t="shared" si="10"/>
        <v>syn BTCH7/BTCF7/BTCV6/BTCX6/BTCG7/BTCZ6</v>
      </c>
      <c r="K328" s="8">
        <f>'MKT DATA'!O1036</f>
        <v>0</v>
      </c>
      <c r="L328" s="8">
        <f>'MKT DATA'!P1036</f>
        <v>82988</v>
      </c>
      <c r="M328" s="8">
        <f>'MKT DATA'!Q1036</f>
        <v>0</v>
      </c>
      <c r="N328" s="8">
        <f>'MKT DATA'!R1036</f>
        <v>0</v>
      </c>
      <c r="O328" s="8">
        <f>'MKT DATA'!S1036</f>
        <v>-85625</v>
      </c>
      <c r="P328" s="8">
        <f>'MKT DATA'!T1036</f>
        <v>0</v>
      </c>
      <c r="Q328" s="43" t="str">
        <f t="shared" si="11"/>
        <v>syn BTCH7/BTCF7/BTCV6/BTCX6/BTCG7/BTCZ6</v>
      </c>
      <c r="R328" s="13">
        <f>'MKT DATA'!AB1036</f>
        <v>0</v>
      </c>
    </row>
    <row r="329" spans="5:18" x14ac:dyDescent="0.25">
      <c r="E329" s="43" t="str">
        <f>'MKT DATA'!B1037</f>
        <v>syn BTCH7/BTCF7/BTCV6/BTCG7/BTCX6/BTCZ6</v>
      </c>
      <c r="F329" s="13">
        <f>'MKT DATA'!J1037</f>
        <v>1</v>
      </c>
      <c r="G329" s="8">
        <f>'MKT DATA'!K1037</f>
        <v>83025</v>
      </c>
      <c r="H329" s="8">
        <f>'MKT DATA'!L1037</f>
        <v>85610</v>
      </c>
      <c r="I329" s="13">
        <f>'MKT DATA'!M1037</f>
        <v>1</v>
      </c>
      <c r="J329" s="43" t="str">
        <f t="shared" si="10"/>
        <v>syn BTCH7/BTCF7/BTCV6/BTCG7/BTCX6/BTCZ6</v>
      </c>
      <c r="K329" s="8">
        <f>'MKT DATA'!O1037</f>
        <v>0</v>
      </c>
      <c r="L329" s="8">
        <f>'MKT DATA'!P1037</f>
        <v>83025</v>
      </c>
      <c r="M329" s="8">
        <f>'MKT DATA'!Q1037</f>
        <v>0</v>
      </c>
      <c r="N329" s="8">
        <f>'MKT DATA'!R1037</f>
        <v>0</v>
      </c>
      <c r="O329" s="8">
        <f>'MKT DATA'!S1037</f>
        <v>-85610</v>
      </c>
      <c r="P329" s="8">
        <f>'MKT DATA'!T1037</f>
        <v>0</v>
      </c>
      <c r="Q329" s="43" t="str">
        <f t="shared" si="11"/>
        <v>syn BTCH7/BTCF7/BTCV6/BTCG7/BTCX6/BTCZ6</v>
      </c>
      <c r="R329" s="13">
        <f>'MKT DATA'!AB1037</f>
        <v>0</v>
      </c>
    </row>
    <row r="330" spans="5:18" x14ac:dyDescent="0.25">
      <c r="E330" s="43" t="str">
        <f>'MKT DATA'!B1038</f>
        <v>syn BTCH7/BTCF7/BTCX6/BTCV6/BTCG7/BTCZ6</v>
      </c>
      <c r="F330" s="13">
        <f>'MKT DATA'!J1038</f>
        <v>1</v>
      </c>
      <c r="G330" s="8">
        <f>'MKT DATA'!K1038</f>
        <v>83025</v>
      </c>
      <c r="H330" s="8">
        <f>'MKT DATA'!L1038</f>
        <v>85592</v>
      </c>
      <c r="I330" s="13">
        <f>'MKT DATA'!M1038</f>
        <v>1</v>
      </c>
      <c r="J330" s="43" t="str">
        <f t="shared" ref="J330:J333" si="12">E330</f>
        <v>syn BTCH7/BTCF7/BTCX6/BTCV6/BTCG7/BTCZ6</v>
      </c>
      <c r="K330" s="8">
        <f>'MKT DATA'!O1038</f>
        <v>0</v>
      </c>
      <c r="L330" s="8">
        <f>'MKT DATA'!P1038</f>
        <v>83025</v>
      </c>
      <c r="M330" s="8">
        <f>'MKT DATA'!Q1038</f>
        <v>0</v>
      </c>
      <c r="N330" s="8">
        <f>'MKT DATA'!R1038</f>
        <v>0</v>
      </c>
      <c r="O330" s="8">
        <f>'MKT DATA'!S1038</f>
        <v>-85592</v>
      </c>
      <c r="P330" s="8">
        <f>'MKT DATA'!T1038</f>
        <v>0</v>
      </c>
      <c r="Q330" s="43" t="str">
        <f t="shared" ref="Q330:Q333" si="13">J330</f>
        <v>syn BTCH7/BTCF7/BTCX6/BTCV6/BTCG7/BTCZ6</v>
      </c>
      <c r="R330" s="13">
        <f>'MKT DATA'!AB1038</f>
        <v>0</v>
      </c>
    </row>
    <row r="331" spans="5:18" x14ac:dyDescent="0.25">
      <c r="E331" s="43" t="str">
        <f>'MKT DATA'!B1039</f>
        <v>syn BTCH7/BTCF7/BTCX6/BTCG7/BTCV6/BTCZ6</v>
      </c>
      <c r="F331" s="13">
        <f>'MKT DATA'!J1039</f>
        <v>1</v>
      </c>
      <c r="G331" s="8">
        <f>'MKT DATA'!K1039</f>
        <v>83032</v>
      </c>
      <c r="H331" s="8">
        <f>'MKT DATA'!L1039</f>
        <v>85586</v>
      </c>
      <c r="I331" s="13">
        <f>'MKT DATA'!M1039</f>
        <v>1</v>
      </c>
      <c r="J331" s="43" t="str">
        <f t="shared" si="12"/>
        <v>syn BTCH7/BTCF7/BTCX6/BTCG7/BTCV6/BTCZ6</v>
      </c>
      <c r="K331" s="8">
        <f>'MKT DATA'!O1039</f>
        <v>0</v>
      </c>
      <c r="L331" s="8">
        <f>'MKT DATA'!P1039</f>
        <v>83032</v>
      </c>
      <c r="M331" s="8">
        <f>'MKT DATA'!Q1039</f>
        <v>0</v>
      </c>
      <c r="N331" s="8">
        <f>'MKT DATA'!R1039</f>
        <v>0</v>
      </c>
      <c r="O331" s="8">
        <f>'MKT DATA'!S1039</f>
        <v>-85586</v>
      </c>
      <c r="P331" s="8">
        <f>'MKT DATA'!T1039</f>
        <v>0</v>
      </c>
      <c r="Q331" s="43" t="str">
        <f t="shared" si="13"/>
        <v>syn BTCH7/BTCF7/BTCX6/BTCG7/BTCV6/BTCZ6</v>
      </c>
      <c r="R331" s="13">
        <f>'MKT DATA'!AB1039</f>
        <v>0</v>
      </c>
    </row>
    <row r="332" spans="5:18" x14ac:dyDescent="0.25">
      <c r="E332" s="43" t="str">
        <f>'MKT DATA'!B1040</f>
        <v>syn BTCH7/BTCF7/BTCG7/BTCV6/BTCX6/BTCZ6</v>
      </c>
      <c r="F332" s="13">
        <f>'MKT DATA'!J1040</f>
        <v>1</v>
      </c>
      <c r="G332" s="8">
        <f>'MKT DATA'!K1040</f>
        <v>83185</v>
      </c>
      <c r="H332" s="8">
        <f>'MKT DATA'!L1040</f>
        <v>85397</v>
      </c>
      <c r="I332" s="13">
        <f>'MKT DATA'!M1040</f>
        <v>1</v>
      </c>
      <c r="J332" s="43" t="str">
        <f t="shared" si="12"/>
        <v>syn BTCH7/BTCF7/BTCG7/BTCV6/BTCX6/BTCZ6</v>
      </c>
      <c r="K332" s="8">
        <f>'MKT DATA'!O1040</f>
        <v>0</v>
      </c>
      <c r="L332" s="8">
        <f>'MKT DATA'!P1040</f>
        <v>83185</v>
      </c>
      <c r="M332" s="8">
        <f>'MKT DATA'!Q1040</f>
        <v>0</v>
      </c>
      <c r="N332" s="8">
        <f>'MKT DATA'!R1040</f>
        <v>0</v>
      </c>
      <c r="O332" s="8">
        <f>'MKT DATA'!S1040</f>
        <v>-85397</v>
      </c>
      <c r="P332" s="8">
        <f>'MKT DATA'!T1040</f>
        <v>0</v>
      </c>
      <c r="Q332" s="43" t="str">
        <f t="shared" si="13"/>
        <v>syn BTCH7/BTCF7/BTCG7/BTCV6/BTCX6/BTCZ6</v>
      </c>
      <c r="R332" s="13">
        <f>'MKT DATA'!AB1040</f>
        <v>0</v>
      </c>
    </row>
    <row r="333" spans="5:18" x14ac:dyDescent="0.25">
      <c r="E333" s="43" t="str">
        <f>'MKT DATA'!B1041</f>
        <v>syn BTCH7/BTCF7/BTCG7/BTCX6/BTCV6/BTCZ6</v>
      </c>
      <c r="F333" s="13">
        <f>'MKT DATA'!J1041</f>
        <v>1</v>
      </c>
      <c r="G333" s="8">
        <f>'MKT DATA'!K1041</f>
        <v>83169</v>
      </c>
      <c r="H333" s="8">
        <f>'MKT DATA'!L1041</f>
        <v>85420</v>
      </c>
      <c r="I333" s="13">
        <f>'MKT DATA'!M1041</f>
        <v>1</v>
      </c>
      <c r="J333" s="43" t="str">
        <f t="shared" si="12"/>
        <v>syn BTCH7/BTCF7/BTCG7/BTCX6/BTCV6/BTCZ6</v>
      </c>
      <c r="K333" s="8">
        <f>'MKT DATA'!O1041</f>
        <v>0</v>
      </c>
      <c r="L333" s="8">
        <f>'MKT DATA'!P1041</f>
        <v>83169</v>
      </c>
      <c r="M333" s="8">
        <f>'MKT DATA'!Q1041</f>
        <v>0</v>
      </c>
      <c r="N333" s="8">
        <f>'MKT DATA'!R1041</f>
        <v>0</v>
      </c>
      <c r="O333" s="8">
        <f>'MKT DATA'!S1041</f>
        <v>-85420</v>
      </c>
      <c r="P333" s="8">
        <f>'MKT DATA'!T1041</f>
        <v>0</v>
      </c>
      <c r="Q333" s="43" t="str">
        <f t="shared" si="13"/>
        <v>syn BTCH7/BTCF7/BTCG7/BTCX6/BTCV6/BTCZ6</v>
      </c>
      <c r="R333" s="13">
        <f>'MKT DATA'!AB1041</f>
        <v>0</v>
      </c>
    </row>
    <row r="334" spans="5:18" x14ac:dyDescent="0.25">
      <c r="E334" s="43" t="str">
        <f>'MKT DATA'!B1042</f>
        <v>syn BTCH7/BTCG7/BTCV6/BTCX6/BTCF7/BTCZ6</v>
      </c>
      <c r="F334" s="13">
        <f>'MKT DATA'!J1042</f>
        <v>1</v>
      </c>
      <c r="G334" s="8">
        <f>'MKT DATA'!K1042</f>
        <v>83459</v>
      </c>
      <c r="H334" s="8">
        <f>'MKT DATA'!L1042</f>
        <v>85053</v>
      </c>
      <c r="I334" s="13">
        <f>'MKT DATA'!M1042</f>
        <v>1</v>
      </c>
      <c r="J334" s="43" t="str">
        <f t="shared" ref="J334:J339" si="14">E334</f>
        <v>syn BTCH7/BTCG7/BTCV6/BTCX6/BTCF7/BTCZ6</v>
      </c>
      <c r="K334" s="8">
        <f>'MKT DATA'!O1042</f>
        <v>0</v>
      </c>
      <c r="L334" s="8">
        <f>'MKT DATA'!P1042</f>
        <v>83459</v>
      </c>
      <c r="M334" s="8">
        <f>'MKT DATA'!Q1042</f>
        <v>0</v>
      </c>
      <c r="N334" s="8">
        <f>'MKT DATA'!R1042</f>
        <v>0</v>
      </c>
      <c r="O334" s="8">
        <f>'MKT DATA'!S1042</f>
        <v>-85053</v>
      </c>
      <c r="P334" s="8">
        <f>'MKT DATA'!T1042</f>
        <v>0</v>
      </c>
      <c r="Q334" s="43" t="str">
        <f t="shared" ref="Q334:Q339" si="15">J334</f>
        <v>syn BTCH7/BTCG7/BTCV6/BTCX6/BTCF7/BTCZ6</v>
      </c>
      <c r="R334" s="13">
        <f>'MKT DATA'!AB1042</f>
        <v>0</v>
      </c>
    </row>
    <row r="335" spans="5:18" x14ac:dyDescent="0.25">
      <c r="E335" s="43" t="str">
        <f>'MKT DATA'!B1043</f>
        <v>syn BTCH7/BTCG7/BTCV6/BTCF7/BTCX6/BTCZ6</v>
      </c>
      <c r="F335" s="13">
        <f>'MKT DATA'!J1043</f>
        <v>1</v>
      </c>
      <c r="G335" s="8">
        <f>'MKT DATA'!K1043</f>
        <v>83406</v>
      </c>
      <c r="H335" s="8">
        <f>'MKT DATA'!L1043</f>
        <v>85134</v>
      </c>
      <c r="I335" s="13">
        <f>'MKT DATA'!M1043</f>
        <v>1</v>
      </c>
      <c r="J335" s="43" t="str">
        <f t="shared" si="14"/>
        <v>syn BTCH7/BTCG7/BTCV6/BTCF7/BTCX6/BTCZ6</v>
      </c>
      <c r="K335" s="8">
        <f>'MKT DATA'!O1043</f>
        <v>0</v>
      </c>
      <c r="L335" s="8">
        <f>'MKT DATA'!P1043</f>
        <v>83406</v>
      </c>
      <c r="M335" s="8">
        <f>'MKT DATA'!Q1043</f>
        <v>0</v>
      </c>
      <c r="N335" s="8">
        <f>'MKT DATA'!R1043</f>
        <v>0</v>
      </c>
      <c r="O335" s="8">
        <f>'MKT DATA'!S1043</f>
        <v>-85134</v>
      </c>
      <c r="P335" s="8">
        <f>'MKT DATA'!T1043</f>
        <v>0</v>
      </c>
      <c r="Q335" s="43" t="str">
        <f t="shared" si="15"/>
        <v>syn BTCH7/BTCG7/BTCV6/BTCF7/BTCX6/BTCZ6</v>
      </c>
      <c r="R335" s="13">
        <f>'MKT DATA'!AB1043</f>
        <v>0</v>
      </c>
    </row>
    <row r="336" spans="5:18" x14ac:dyDescent="0.25">
      <c r="E336" s="43" t="str">
        <f>'MKT DATA'!B1044</f>
        <v>syn BTCH7/BTCG7/BTCX6/BTCV6/BTCF7/BTCZ6</v>
      </c>
      <c r="F336" s="13">
        <f>'MKT DATA'!J1044</f>
        <v>1</v>
      </c>
      <c r="G336" s="8">
        <f>'MKT DATA'!K1044</f>
        <v>83426</v>
      </c>
      <c r="H336" s="8">
        <f>'MKT DATA'!L1044</f>
        <v>85090</v>
      </c>
      <c r="I336" s="13">
        <f>'MKT DATA'!M1044</f>
        <v>1</v>
      </c>
      <c r="J336" s="43" t="str">
        <f t="shared" si="14"/>
        <v>syn BTCH7/BTCG7/BTCX6/BTCV6/BTCF7/BTCZ6</v>
      </c>
      <c r="K336" s="8">
        <f>'MKT DATA'!O1044</f>
        <v>0</v>
      </c>
      <c r="L336" s="8">
        <f>'MKT DATA'!P1044</f>
        <v>83426</v>
      </c>
      <c r="M336" s="8">
        <f>'MKT DATA'!Q1044</f>
        <v>0</v>
      </c>
      <c r="N336" s="8">
        <f>'MKT DATA'!R1044</f>
        <v>0</v>
      </c>
      <c r="O336" s="8">
        <f>'MKT DATA'!S1044</f>
        <v>-85090</v>
      </c>
      <c r="P336" s="8">
        <f>'MKT DATA'!T1044</f>
        <v>0</v>
      </c>
      <c r="Q336" s="43" t="str">
        <f t="shared" si="15"/>
        <v>syn BTCH7/BTCG7/BTCX6/BTCV6/BTCF7/BTCZ6</v>
      </c>
      <c r="R336" s="13">
        <f>'MKT DATA'!AB1044</f>
        <v>0</v>
      </c>
    </row>
    <row r="337" spans="5:18" x14ac:dyDescent="0.25">
      <c r="E337" s="43" t="str">
        <f>'MKT DATA'!B1045</f>
        <v>syn BTCH7/BTCG7/BTCX6/BTCF7/BTCV6/BTCZ6</v>
      </c>
      <c r="F337" s="13">
        <f>'MKT DATA'!J1045</f>
        <v>1</v>
      </c>
      <c r="G337" s="8">
        <f>'MKT DATA'!K1045</f>
        <v>83393</v>
      </c>
      <c r="H337" s="8">
        <f>'MKT DATA'!L1045</f>
        <v>85160</v>
      </c>
      <c r="I337" s="13">
        <f>'MKT DATA'!M1045</f>
        <v>1</v>
      </c>
      <c r="J337" s="43" t="str">
        <f t="shared" si="14"/>
        <v>syn BTCH7/BTCG7/BTCX6/BTCF7/BTCV6/BTCZ6</v>
      </c>
      <c r="K337" s="8">
        <f>'MKT DATA'!O1045</f>
        <v>0</v>
      </c>
      <c r="L337" s="8">
        <f>'MKT DATA'!P1045</f>
        <v>83393</v>
      </c>
      <c r="M337" s="8">
        <f>'MKT DATA'!Q1045</f>
        <v>0</v>
      </c>
      <c r="N337" s="8">
        <f>'MKT DATA'!R1045</f>
        <v>0</v>
      </c>
      <c r="O337" s="8">
        <f>'MKT DATA'!S1045</f>
        <v>-85160</v>
      </c>
      <c r="P337" s="8">
        <f>'MKT DATA'!T1045</f>
        <v>0</v>
      </c>
      <c r="Q337" s="43" t="str">
        <f t="shared" si="15"/>
        <v>syn BTCH7/BTCG7/BTCX6/BTCF7/BTCV6/BTCZ6</v>
      </c>
      <c r="R337" s="13">
        <f>'MKT DATA'!AB1045</f>
        <v>0</v>
      </c>
    </row>
    <row r="338" spans="5:18" x14ac:dyDescent="0.25">
      <c r="E338" s="43" t="str">
        <f>'MKT DATA'!B1046</f>
        <v>syn BTCH7/BTCG7/BTCF7/BTCV6/BTCX6/BTCZ6</v>
      </c>
      <c r="F338" s="13">
        <f>'MKT DATA'!J1046</f>
        <v>1</v>
      </c>
      <c r="G338" s="8">
        <f>'MKT DATA'!K1046</f>
        <v>83582</v>
      </c>
      <c r="H338" s="8">
        <f>'MKT DATA'!L1046</f>
        <v>85007</v>
      </c>
      <c r="I338" s="13">
        <f>'MKT DATA'!M1046</f>
        <v>1</v>
      </c>
      <c r="J338" s="43" t="str">
        <f t="shared" si="14"/>
        <v>syn BTCH7/BTCG7/BTCF7/BTCV6/BTCX6/BTCZ6</v>
      </c>
      <c r="K338" s="8">
        <f>'MKT DATA'!O1046</f>
        <v>0</v>
      </c>
      <c r="L338" s="8">
        <f>'MKT DATA'!P1046</f>
        <v>83582</v>
      </c>
      <c r="M338" s="8">
        <f>'MKT DATA'!Q1046</f>
        <v>0</v>
      </c>
      <c r="N338" s="8">
        <f>'MKT DATA'!R1046</f>
        <v>0</v>
      </c>
      <c r="O338" s="8">
        <f>'MKT DATA'!S1046</f>
        <v>-85007</v>
      </c>
      <c r="P338" s="8">
        <f>'MKT DATA'!T1046</f>
        <v>0</v>
      </c>
      <c r="Q338" s="43" t="str">
        <f t="shared" si="15"/>
        <v>syn BTCH7/BTCG7/BTCF7/BTCV6/BTCX6/BTCZ6</v>
      </c>
      <c r="R338" s="13">
        <f>'MKT DATA'!AB1046</f>
        <v>0</v>
      </c>
    </row>
    <row r="339" spans="5:18" x14ac:dyDescent="0.25">
      <c r="E339" s="43" t="str">
        <f>'MKT DATA'!B1047</f>
        <v>syn BTCH7/BTCG7/BTCF7/BTCX6/BTCV6/BTCZ6</v>
      </c>
      <c r="F339" s="13">
        <f>'MKT DATA'!J1047</f>
        <v>1</v>
      </c>
      <c r="G339" s="8">
        <f>'MKT DATA'!K1047</f>
        <v>83596</v>
      </c>
      <c r="H339" s="8">
        <f>'MKT DATA'!L1047</f>
        <v>84990</v>
      </c>
      <c r="I339" s="13">
        <f>'MKT DATA'!M1047</f>
        <v>1</v>
      </c>
      <c r="J339" s="43" t="str">
        <f t="shared" si="14"/>
        <v>syn BTCH7/BTCG7/BTCF7/BTCX6/BTCV6/BTCZ6</v>
      </c>
      <c r="K339" s="8">
        <f>'MKT DATA'!O1047</f>
        <v>0</v>
      </c>
      <c r="L339" s="8">
        <f>'MKT DATA'!P1047</f>
        <v>83596</v>
      </c>
      <c r="M339" s="8">
        <f>'MKT DATA'!Q1047</f>
        <v>0</v>
      </c>
      <c r="N339" s="8">
        <f>'MKT DATA'!R1047</f>
        <v>0</v>
      </c>
      <c r="O339" s="8">
        <f>'MKT DATA'!S1047</f>
        <v>-84990</v>
      </c>
      <c r="P339" s="8">
        <f>'MKT DATA'!T1047</f>
        <v>0</v>
      </c>
      <c r="Q339" s="43" t="str">
        <f t="shared" si="15"/>
        <v>syn BTCH7/BTCG7/BTCF7/BTCX6/BTCV6/BTCZ6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84683</v>
      </c>
      <c r="H1" s="48">
        <f>H11</f>
        <v>84776</v>
      </c>
      <c r="I1" s="45"/>
      <c r="J1" s="44" t="str">
        <f>E1</f>
        <v>best</v>
      </c>
      <c r="K1" s="46"/>
      <c r="L1" s="46"/>
      <c r="M1" s="48">
        <f>M9</f>
        <v>84632.495999999999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0</v>
      </c>
      <c r="I2" s="56"/>
      <c r="J2" s="58"/>
      <c r="K2" s="57"/>
      <c r="L2" s="57"/>
      <c r="M2" s="57">
        <f>'MKT DATA'!Q7-M1</f>
        <v>0</v>
      </c>
      <c r="N2" s="57">
        <f>'MKT DATA'!R7-N1</f>
        <v>-84822.504000000001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-93</v>
      </c>
      <c r="I4" s="57">
        <f>H4-(G14-H14)</f>
        <v>92</v>
      </c>
      <c r="J4" s="43" t="s">
        <v>5</v>
      </c>
      <c r="L4" s="13"/>
      <c r="M4" s="50"/>
      <c r="N4" s="48">
        <f>N1+M1</f>
        <v>84632.495999999999</v>
      </c>
      <c r="O4" s="57">
        <f>(N14+M14)-N4</f>
        <v>-84822.504000000001</v>
      </c>
    </row>
    <row r="5" spans="1:24" x14ac:dyDescent="0.25">
      <c r="E5" s="43" t="s">
        <v>6</v>
      </c>
      <c r="G5" s="8">
        <f>G9-G11</f>
        <v>1287</v>
      </c>
      <c r="H5" s="8">
        <f>H9-H11</f>
        <v>1269</v>
      </c>
      <c r="J5" s="43" t="s">
        <v>6</v>
      </c>
      <c r="M5" s="8">
        <f>M9-M11</f>
        <v>84632.495999999999</v>
      </c>
      <c r="N5" s="8">
        <f>N9-N11</f>
        <v>84822.504000000001</v>
      </c>
    </row>
    <row r="6" spans="1:24" x14ac:dyDescent="0.25">
      <c r="E6" s="43" t="s">
        <v>7</v>
      </c>
      <c r="G6" s="8">
        <f>G9-G10</f>
        <v>785.861963190182</v>
      </c>
      <c r="H6" s="8">
        <f>H9-H10</f>
        <v>494.7147239263868</v>
      </c>
      <c r="J6" s="43" t="s">
        <v>7</v>
      </c>
      <c r="M6" s="8">
        <f>M9-M10</f>
        <v>84372.887116564423</v>
      </c>
      <c r="N6" s="8">
        <f>N9-N10</f>
        <v>260.19173006134969</v>
      </c>
    </row>
    <row r="7" spans="1:24" x14ac:dyDescent="0.25">
      <c r="E7" s="43" t="s">
        <v>8</v>
      </c>
      <c r="G7" s="8">
        <f>G10-G11</f>
        <v>501.138036809818</v>
      </c>
      <c r="H7" s="8">
        <f>H10-H11</f>
        <v>774.2852760736132</v>
      </c>
      <c r="J7" s="43" t="s">
        <v>8</v>
      </c>
      <c r="M7" s="8">
        <f>M10-M11</f>
        <v>259.60888343558281</v>
      </c>
      <c r="N7" s="8">
        <f>N10-N11</f>
        <v>84562.312269938644</v>
      </c>
    </row>
    <row r="9" spans="1:24" x14ac:dyDescent="0.25">
      <c r="E9" s="43" t="s">
        <v>1</v>
      </c>
      <c r="G9" s="8">
        <f>MAX(G$14:G$339)</f>
        <v>84683</v>
      </c>
      <c r="H9" s="8">
        <f>MAX(H$14:H$339)</f>
        <v>86045</v>
      </c>
      <c r="J9" s="43" t="str">
        <f>E9</f>
        <v>max</v>
      </c>
      <c r="L9" s="8">
        <f>MAX(L$14:L$339)</f>
        <v>84683</v>
      </c>
      <c r="M9" s="8">
        <f>MAX(M$14:M$339)</f>
        <v>84632.495999999999</v>
      </c>
      <c r="N9" s="8">
        <f>MAX(N$14:N$339)</f>
        <v>0</v>
      </c>
      <c r="O9" s="8">
        <f>MAX(O$14:O$339)</f>
        <v>-84776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83897.138036809818</v>
      </c>
      <c r="H10" s="8">
        <f>AVERAGE(H$14:H$339)</f>
        <v>85550.285276073613</v>
      </c>
      <c r="J10" s="43" t="str">
        <f t="shared" ref="J10" si="0">E10</f>
        <v>avg</v>
      </c>
      <c r="L10" s="8">
        <f>AVERAGE(L$14:L$339)</f>
        <v>83897.138036809818</v>
      </c>
      <c r="M10" s="8">
        <f>AVERAGE(M$14:M$339)</f>
        <v>259.60888343558281</v>
      </c>
      <c r="N10" s="8">
        <f>AVERAGE(N$14:N$339)</f>
        <v>-260.19173006134969</v>
      </c>
      <c r="O10" s="8">
        <f>AVERAGE(O$14:O$339)</f>
        <v>-85550.285276073613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83396</v>
      </c>
      <c r="H11" s="8">
        <f>MIN(H$14:H$339)</f>
        <v>84776</v>
      </c>
      <c r="J11" s="43" t="str">
        <f>E11</f>
        <v>min</v>
      </c>
      <c r="L11" s="8">
        <f>MIN(L$14:L$339)</f>
        <v>83396</v>
      </c>
      <c r="M11" s="8">
        <f>MIN(M$14:M$339)</f>
        <v>0</v>
      </c>
      <c r="N11" s="8">
        <f>MIN(N$14:N$339)</f>
        <v>-84822.504000000001</v>
      </c>
      <c r="O11" s="8">
        <f>MIN(O$14:O$339)</f>
        <v>-86045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BTCF7</v>
      </c>
      <c r="F14" s="13">
        <f>'MKT DATA'!J34</f>
        <v>5</v>
      </c>
      <c r="G14" s="8">
        <f>'MKT DATA'!K34</f>
        <v>84635</v>
      </c>
      <c r="H14" s="8">
        <f>'MKT DATA'!L34</f>
        <v>84820</v>
      </c>
      <c r="I14" s="13">
        <f>'MKT DATA'!M34</f>
        <v>5</v>
      </c>
      <c r="J14" s="43" t="str">
        <f>E14</f>
        <v>BTCF7</v>
      </c>
      <c r="K14" s="8">
        <f>'MKT DATA'!O34</f>
        <v>-2.504</v>
      </c>
      <c r="L14" s="8">
        <f>'MKT DATA'!P34</f>
        <v>84635</v>
      </c>
      <c r="M14" s="8">
        <f>'MKT DATA'!Q34</f>
        <v>84632.495999999999</v>
      </c>
      <c r="N14" s="8">
        <f>'MKT DATA'!R34</f>
        <v>-84822.504000000001</v>
      </c>
      <c r="O14" s="8">
        <f>'MKT DATA'!S34</f>
        <v>-84820</v>
      </c>
      <c r="P14" s="8">
        <f>'MKT DATA'!T34</f>
        <v>-2.504</v>
      </c>
      <c r="Q14" s="43" t="str">
        <f>J14</f>
        <v>BTCF7</v>
      </c>
      <c r="R14" s="13">
        <f>'MKT DATA'!AB34</f>
        <v>0</v>
      </c>
    </row>
    <row r="15" spans="1:24" x14ac:dyDescent="0.25">
      <c r="E15" s="43" t="str">
        <f>'MKT DATA'!B1048</f>
        <v>syn BTCV6/BTCF7</v>
      </c>
      <c r="F15" s="13">
        <f>'MKT DATA'!J1048</f>
        <v>1</v>
      </c>
      <c r="G15" s="8">
        <f>'MKT DATA'!K1048</f>
        <v>84621</v>
      </c>
      <c r="H15" s="8">
        <f>'MKT DATA'!L1048</f>
        <v>84804</v>
      </c>
      <c r="I15" s="13">
        <f>'MKT DATA'!M1048</f>
        <v>1</v>
      </c>
      <c r="J15" s="43" t="str">
        <f t="shared" ref="J15:J73" si="2">E15</f>
        <v>syn BTCV6/BTCF7</v>
      </c>
      <c r="K15" s="8">
        <f>'MKT DATA'!O1048</f>
        <v>0</v>
      </c>
      <c r="L15" s="8">
        <f>'MKT DATA'!P1048</f>
        <v>84621</v>
      </c>
      <c r="M15" s="8">
        <f>'MKT DATA'!Q1048</f>
        <v>0</v>
      </c>
      <c r="N15" s="8">
        <f>'MKT DATA'!R1048</f>
        <v>0</v>
      </c>
      <c r="O15" s="8">
        <f>'MKT DATA'!S1048</f>
        <v>-84804</v>
      </c>
      <c r="P15" s="8">
        <f>'MKT DATA'!T1048</f>
        <v>0</v>
      </c>
      <c r="Q15" s="43" t="str">
        <f t="shared" ref="Q15:Q73" si="3">J15</f>
        <v>syn BTCV6/BTCF7</v>
      </c>
      <c r="R15" s="13">
        <f>'MKT DATA'!AB1048</f>
        <v>0</v>
      </c>
    </row>
    <row r="16" spans="1:24" x14ac:dyDescent="0.25">
      <c r="E16" s="43" t="str">
        <f>'MKT DATA'!B1049</f>
        <v>syn BTCX6/BTCF7</v>
      </c>
      <c r="F16" s="13">
        <f>'MKT DATA'!J1049</f>
        <v>1</v>
      </c>
      <c r="G16" s="8">
        <f>'MKT DATA'!K1049</f>
        <v>84636</v>
      </c>
      <c r="H16" s="8">
        <f>'MKT DATA'!L1049</f>
        <v>84799</v>
      </c>
      <c r="I16" s="13">
        <f>'MKT DATA'!M1049</f>
        <v>1</v>
      </c>
      <c r="J16" s="43" t="str">
        <f t="shared" si="2"/>
        <v>syn BTCX6/BTCF7</v>
      </c>
      <c r="K16" s="8">
        <f>'MKT DATA'!O1049</f>
        <v>0</v>
      </c>
      <c r="L16" s="8">
        <f>'MKT DATA'!P1049</f>
        <v>84636</v>
      </c>
      <c r="M16" s="8">
        <f>'MKT DATA'!Q1049</f>
        <v>0</v>
      </c>
      <c r="N16" s="8">
        <f>'MKT DATA'!R1049</f>
        <v>0</v>
      </c>
      <c r="O16" s="8">
        <f>'MKT DATA'!S1049</f>
        <v>-84799</v>
      </c>
      <c r="P16" s="8">
        <f>'MKT DATA'!T1049</f>
        <v>0</v>
      </c>
      <c r="Q16" s="43" t="str">
        <f t="shared" si="3"/>
        <v>syn BTCX6/BTCF7</v>
      </c>
      <c r="R16" s="13">
        <f>'MKT DATA'!AB1049</f>
        <v>0</v>
      </c>
    </row>
    <row r="17" spans="5:18" x14ac:dyDescent="0.25">
      <c r="E17" s="43" t="str">
        <f>'MKT DATA'!B1050</f>
        <v>syn BTCZ6/BTCF7</v>
      </c>
      <c r="F17" s="13">
        <f>'MKT DATA'!J1050</f>
        <v>1</v>
      </c>
      <c r="G17" s="8">
        <f>'MKT DATA'!K1050</f>
        <v>84657</v>
      </c>
      <c r="H17" s="8">
        <f>'MKT DATA'!L1050</f>
        <v>84794</v>
      </c>
      <c r="I17" s="13">
        <f>'MKT DATA'!M1050</f>
        <v>1</v>
      </c>
      <c r="J17" s="43" t="str">
        <f t="shared" si="2"/>
        <v>syn BTCZ6/BTCF7</v>
      </c>
      <c r="K17" s="8">
        <f>'MKT DATA'!O1050</f>
        <v>0</v>
      </c>
      <c r="L17" s="8">
        <f>'MKT DATA'!P1050</f>
        <v>84657</v>
      </c>
      <c r="M17" s="8">
        <f>'MKT DATA'!Q1050</f>
        <v>0</v>
      </c>
      <c r="N17" s="8">
        <f>'MKT DATA'!R1050</f>
        <v>0</v>
      </c>
      <c r="O17" s="8">
        <f>'MKT DATA'!S1050</f>
        <v>-84794</v>
      </c>
      <c r="P17" s="8">
        <f>'MKT DATA'!T1050</f>
        <v>0</v>
      </c>
      <c r="Q17" s="43" t="str">
        <f t="shared" si="3"/>
        <v>syn BTCZ6/BTCF7</v>
      </c>
      <c r="R17" s="13">
        <f>'MKT DATA'!AB1050</f>
        <v>0</v>
      </c>
    </row>
    <row r="18" spans="5:18" x14ac:dyDescent="0.25">
      <c r="E18" s="43" t="str">
        <f>'MKT DATA'!B1051</f>
        <v>syn BTCG7/BTCF7</v>
      </c>
      <c r="F18" s="13">
        <f>'MKT DATA'!J1051</f>
        <v>1</v>
      </c>
      <c r="G18" s="8">
        <f>'MKT DATA'!K1051</f>
        <v>84490</v>
      </c>
      <c r="H18" s="8">
        <f>'MKT DATA'!L1051</f>
        <v>84981</v>
      </c>
      <c r="I18" s="13">
        <f>'MKT DATA'!M1051</f>
        <v>3</v>
      </c>
      <c r="J18" s="43" t="str">
        <f t="shared" si="2"/>
        <v>syn BTCG7/BTCF7</v>
      </c>
      <c r="K18" s="8">
        <f>'MKT DATA'!O1051</f>
        <v>0</v>
      </c>
      <c r="L18" s="8">
        <f>'MKT DATA'!P1051</f>
        <v>84490</v>
      </c>
      <c r="M18" s="8">
        <f>'MKT DATA'!Q1051</f>
        <v>0</v>
      </c>
      <c r="N18" s="8">
        <f>'MKT DATA'!R1051</f>
        <v>0</v>
      </c>
      <c r="O18" s="8">
        <f>'MKT DATA'!S1051</f>
        <v>-84981</v>
      </c>
      <c r="P18" s="8">
        <f>'MKT DATA'!T1051</f>
        <v>0</v>
      </c>
      <c r="Q18" s="43" t="str">
        <f t="shared" si="3"/>
        <v>syn BTCG7/BTCF7</v>
      </c>
      <c r="R18" s="13">
        <f>'MKT DATA'!AB1051</f>
        <v>0</v>
      </c>
    </row>
    <row r="19" spans="5:18" x14ac:dyDescent="0.25">
      <c r="E19" s="43" t="str">
        <f>'MKT DATA'!B1052</f>
        <v>syn BTCH7/BTCF7</v>
      </c>
      <c r="F19" s="13">
        <f>'MKT DATA'!J1052</f>
        <v>1</v>
      </c>
      <c r="G19" s="8">
        <f>'MKT DATA'!K1052</f>
        <v>83895</v>
      </c>
      <c r="H19" s="8">
        <f>'MKT DATA'!L1052</f>
        <v>85560</v>
      </c>
      <c r="I19" s="13">
        <f>'MKT DATA'!M1052</f>
        <v>1</v>
      </c>
      <c r="J19" s="43" t="str">
        <f t="shared" si="2"/>
        <v>syn BTCH7/BTCF7</v>
      </c>
      <c r="K19" s="8">
        <f>'MKT DATA'!O1052</f>
        <v>0</v>
      </c>
      <c r="L19" s="8">
        <f>'MKT DATA'!P1052</f>
        <v>83895</v>
      </c>
      <c r="M19" s="8">
        <f>'MKT DATA'!Q1052</f>
        <v>0</v>
      </c>
      <c r="N19" s="8">
        <f>'MKT DATA'!R1052</f>
        <v>0</v>
      </c>
      <c r="O19" s="8">
        <f>'MKT DATA'!S1052</f>
        <v>-85560</v>
      </c>
      <c r="P19" s="8">
        <f>'MKT DATA'!T1052</f>
        <v>0</v>
      </c>
      <c r="Q19" s="43" t="str">
        <f t="shared" si="3"/>
        <v>syn BTCH7/BTCF7</v>
      </c>
      <c r="R19" s="13">
        <f>'MKT DATA'!AB1052</f>
        <v>0</v>
      </c>
    </row>
    <row r="20" spans="5:18" x14ac:dyDescent="0.25">
      <c r="E20" s="43" t="str">
        <f>'MKT DATA'!B1053</f>
        <v>syn BTCV6/BTCX6/BTCF7</v>
      </c>
      <c r="F20" s="13">
        <f>'MKT DATA'!J1053</f>
        <v>1</v>
      </c>
      <c r="G20" s="8">
        <f>'MKT DATA'!K1053</f>
        <v>84643</v>
      </c>
      <c r="H20" s="8">
        <f>'MKT DATA'!L1053</f>
        <v>84785</v>
      </c>
      <c r="I20" s="13">
        <f>'MKT DATA'!M1053</f>
        <v>1</v>
      </c>
      <c r="J20" s="43" t="str">
        <f t="shared" si="2"/>
        <v>syn BTCV6/BTCX6/BTCF7</v>
      </c>
      <c r="K20" s="8">
        <f>'MKT DATA'!O1053</f>
        <v>0</v>
      </c>
      <c r="L20" s="8">
        <f>'MKT DATA'!P1053</f>
        <v>84643</v>
      </c>
      <c r="M20" s="8">
        <f>'MKT DATA'!Q1053</f>
        <v>0</v>
      </c>
      <c r="N20" s="8">
        <f>'MKT DATA'!R1053</f>
        <v>0</v>
      </c>
      <c r="O20" s="8">
        <f>'MKT DATA'!S1053</f>
        <v>-84785</v>
      </c>
      <c r="P20" s="8">
        <f>'MKT DATA'!T1053</f>
        <v>0</v>
      </c>
      <c r="Q20" s="43" t="str">
        <f t="shared" si="3"/>
        <v>syn BTCV6/BTCX6/BTCF7</v>
      </c>
      <c r="R20" s="13">
        <f>'MKT DATA'!AB1053</f>
        <v>0</v>
      </c>
    </row>
    <row r="21" spans="5:18" x14ac:dyDescent="0.25">
      <c r="E21" s="43" t="str">
        <f>'MKT DATA'!B1054</f>
        <v>syn BTCV6/BTCZ6/BTCF7</v>
      </c>
      <c r="F21" s="13">
        <f>'MKT DATA'!J1054</f>
        <v>1</v>
      </c>
      <c r="G21" s="8">
        <f>'MKT DATA'!K1054</f>
        <v>84678</v>
      </c>
      <c r="H21" s="8">
        <f>'MKT DATA'!L1054</f>
        <v>84781</v>
      </c>
      <c r="I21" s="13">
        <f>'MKT DATA'!M1054</f>
        <v>1</v>
      </c>
      <c r="J21" s="43" t="str">
        <f t="shared" si="2"/>
        <v>syn BTCV6/BTCZ6/BTCF7</v>
      </c>
      <c r="K21" s="8">
        <f>'MKT DATA'!O1054</f>
        <v>0</v>
      </c>
      <c r="L21" s="8">
        <f>'MKT DATA'!P1054</f>
        <v>84678</v>
      </c>
      <c r="M21" s="8">
        <f>'MKT DATA'!Q1054</f>
        <v>0</v>
      </c>
      <c r="N21" s="8">
        <f>'MKT DATA'!R1054</f>
        <v>0</v>
      </c>
      <c r="O21" s="8">
        <f>'MKT DATA'!S1054</f>
        <v>-84781</v>
      </c>
      <c r="P21" s="8">
        <f>'MKT DATA'!T1054</f>
        <v>0</v>
      </c>
      <c r="Q21" s="43" t="str">
        <f t="shared" si="3"/>
        <v>syn BTCV6/BTCZ6/BTCF7</v>
      </c>
      <c r="R21" s="13">
        <f>'MKT DATA'!AB1054</f>
        <v>0</v>
      </c>
    </row>
    <row r="22" spans="5:18" x14ac:dyDescent="0.25">
      <c r="E22" s="43" t="str">
        <f>'MKT DATA'!B1055</f>
        <v>syn BTCV6/BTCG7/BTCF7</v>
      </c>
      <c r="F22" s="13">
        <f>'MKT DATA'!J1055</f>
        <v>1</v>
      </c>
      <c r="G22" s="8">
        <f>'MKT DATA'!K1055</f>
        <v>84460</v>
      </c>
      <c r="H22" s="8">
        <f>'MKT DATA'!L1055</f>
        <v>85011</v>
      </c>
      <c r="I22" s="13">
        <f>'MKT DATA'!M1055</f>
        <v>1</v>
      </c>
      <c r="J22" s="43" t="str">
        <f t="shared" si="2"/>
        <v>syn BTCV6/BTCG7/BTCF7</v>
      </c>
      <c r="K22" s="8">
        <f>'MKT DATA'!O1055</f>
        <v>0</v>
      </c>
      <c r="L22" s="8">
        <f>'MKT DATA'!P1055</f>
        <v>84460</v>
      </c>
      <c r="M22" s="8">
        <f>'MKT DATA'!Q1055</f>
        <v>0</v>
      </c>
      <c r="N22" s="8">
        <f>'MKT DATA'!R1055</f>
        <v>0</v>
      </c>
      <c r="O22" s="8">
        <f>'MKT DATA'!S1055</f>
        <v>-85011</v>
      </c>
      <c r="P22" s="8">
        <f>'MKT DATA'!T1055</f>
        <v>0</v>
      </c>
      <c r="Q22" s="43" t="str">
        <f t="shared" si="3"/>
        <v>syn BTCV6/BTCG7/BTCF7</v>
      </c>
      <c r="R22" s="13">
        <f>'MKT DATA'!AB1055</f>
        <v>0</v>
      </c>
    </row>
    <row r="23" spans="5:18" x14ac:dyDescent="0.25">
      <c r="E23" s="43" t="str">
        <f>'MKT DATA'!B1056</f>
        <v>syn BTCV6/BTCH7/BTCF7</v>
      </c>
      <c r="F23" s="13">
        <f>'MKT DATA'!J1056</f>
        <v>1</v>
      </c>
      <c r="G23" s="8">
        <f>'MKT DATA'!K1056</f>
        <v>83865</v>
      </c>
      <c r="H23" s="8">
        <f>'MKT DATA'!L1056</f>
        <v>85590</v>
      </c>
      <c r="I23" s="13">
        <f>'MKT DATA'!M1056</f>
        <v>1</v>
      </c>
      <c r="J23" s="43" t="str">
        <f t="shared" si="2"/>
        <v>syn BTCV6/BTCH7/BTCF7</v>
      </c>
      <c r="K23" s="8">
        <f>'MKT DATA'!O1056</f>
        <v>0</v>
      </c>
      <c r="L23" s="8">
        <f>'MKT DATA'!P1056</f>
        <v>83865</v>
      </c>
      <c r="M23" s="8">
        <f>'MKT DATA'!Q1056</f>
        <v>0</v>
      </c>
      <c r="N23" s="8">
        <f>'MKT DATA'!R1056</f>
        <v>0</v>
      </c>
      <c r="O23" s="8">
        <f>'MKT DATA'!S1056</f>
        <v>-85590</v>
      </c>
      <c r="P23" s="8">
        <f>'MKT DATA'!T1056</f>
        <v>0</v>
      </c>
      <c r="Q23" s="43" t="str">
        <f t="shared" si="3"/>
        <v>syn BTCV6/BTCH7/BTCF7</v>
      </c>
      <c r="R23" s="13">
        <f>'MKT DATA'!AB1056</f>
        <v>0</v>
      </c>
    </row>
    <row r="24" spans="5:18" x14ac:dyDescent="0.25">
      <c r="E24" s="43" t="str">
        <f>'MKT DATA'!B1057</f>
        <v>syn BTCX6/BTCV6/BTCF7</v>
      </c>
      <c r="F24" s="13">
        <f>'MKT DATA'!J1057</f>
        <v>1</v>
      </c>
      <c r="G24" s="8">
        <f>'MKT DATA'!K1057</f>
        <v>84610</v>
      </c>
      <c r="H24" s="8">
        <f>'MKT DATA'!L1057</f>
        <v>84822</v>
      </c>
      <c r="I24" s="13">
        <f>'MKT DATA'!M1057</f>
        <v>1</v>
      </c>
      <c r="J24" s="43" t="str">
        <f t="shared" si="2"/>
        <v>syn BTCX6/BTCV6/BTCF7</v>
      </c>
      <c r="K24" s="8">
        <f>'MKT DATA'!O1057</f>
        <v>0</v>
      </c>
      <c r="L24" s="8">
        <f>'MKT DATA'!P1057</f>
        <v>84610</v>
      </c>
      <c r="M24" s="8">
        <f>'MKT DATA'!Q1057</f>
        <v>0</v>
      </c>
      <c r="N24" s="8">
        <f>'MKT DATA'!R1057</f>
        <v>0</v>
      </c>
      <c r="O24" s="8">
        <f>'MKT DATA'!S1057</f>
        <v>-84822</v>
      </c>
      <c r="P24" s="8">
        <f>'MKT DATA'!T1057</f>
        <v>0</v>
      </c>
      <c r="Q24" s="43" t="str">
        <f t="shared" si="3"/>
        <v>syn BTCX6/BTCV6/BTCF7</v>
      </c>
      <c r="R24" s="13">
        <f>'MKT DATA'!AB1057</f>
        <v>0</v>
      </c>
    </row>
    <row r="25" spans="5:18" x14ac:dyDescent="0.25">
      <c r="E25" s="43" t="str">
        <f>'MKT DATA'!B1058</f>
        <v>syn BTCX6/BTCZ6/BTCF7</v>
      </c>
      <c r="F25" s="13">
        <f>'MKT DATA'!J1058</f>
        <v>1</v>
      </c>
      <c r="G25" s="8">
        <f>'MKT DATA'!K1058</f>
        <v>84676</v>
      </c>
      <c r="H25" s="8">
        <f>'MKT DATA'!L1058</f>
        <v>84790</v>
      </c>
      <c r="I25" s="13">
        <f>'MKT DATA'!M1058</f>
        <v>1</v>
      </c>
      <c r="J25" s="43" t="str">
        <f t="shared" si="2"/>
        <v>syn BTCX6/BTCZ6/BTCF7</v>
      </c>
      <c r="K25" s="8">
        <f>'MKT DATA'!O1058</f>
        <v>0</v>
      </c>
      <c r="L25" s="8">
        <f>'MKT DATA'!P1058</f>
        <v>84676</v>
      </c>
      <c r="M25" s="8">
        <f>'MKT DATA'!Q1058</f>
        <v>0</v>
      </c>
      <c r="N25" s="8">
        <f>'MKT DATA'!R1058</f>
        <v>0</v>
      </c>
      <c r="O25" s="8">
        <f>'MKT DATA'!S1058</f>
        <v>-84790</v>
      </c>
      <c r="P25" s="8">
        <f>'MKT DATA'!T1058</f>
        <v>0</v>
      </c>
      <c r="Q25" s="43" t="str">
        <f t="shared" si="3"/>
        <v>syn BTCX6/BTCZ6/BTCF7</v>
      </c>
      <c r="R25" s="13">
        <f>'MKT DATA'!AB1058</f>
        <v>0</v>
      </c>
    </row>
    <row r="26" spans="5:18" x14ac:dyDescent="0.25">
      <c r="E26" s="43" t="str">
        <f>'MKT DATA'!B1059</f>
        <v>syn BTCX6/BTCG7/BTCF7</v>
      </c>
      <c r="F26" s="13">
        <f>'MKT DATA'!J1059</f>
        <v>1</v>
      </c>
      <c r="G26" s="8">
        <f>'MKT DATA'!K1059</f>
        <v>84435</v>
      </c>
      <c r="H26" s="8">
        <f>'MKT DATA'!L1059</f>
        <v>85036</v>
      </c>
      <c r="I26" s="13">
        <f>'MKT DATA'!M1059</f>
        <v>1</v>
      </c>
      <c r="J26" s="43" t="str">
        <f t="shared" si="2"/>
        <v>syn BTCX6/BTCG7/BTCF7</v>
      </c>
      <c r="K26" s="8">
        <f>'MKT DATA'!O1059</f>
        <v>0</v>
      </c>
      <c r="L26" s="8">
        <f>'MKT DATA'!P1059</f>
        <v>84435</v>
      </c>
      <c r="M26" s="8">
        <f>'MKT DATA'!Q1059</f>
        <v>0</v>
      </c>
      <c r="N26" s="8">
        <f>'MKT DATA'!R1059</f>
        <v>0</v>
      </c>
      <c r="O26" s="8">
        <f>'MKT DATA'!S1059</f>
        <v>-85036</v>
      </c>
      <c r="P26" s="8">
        <f>'MKT DATA'!T1059</f>
        <v>0</v>
      </c>
      <c r="Q26" s="43" t="str">
        <f t="shared" si="3"/>
        <v>syn BTCX6/BTCG7/BTCF7</v>
      </c>
      <c r="R26" s="13">
        <f>'MKT DATA'!AB1059</f>
        <v>0</v>
      </c>
    </row>
    <row r="27" spans="5:18" x14ac:dyDescent="0.25">
      <c r="E27" s="43" t="str">
        <f>'MKT DATA'!B1060</f>
        <v>syn BTCX6/BTCH7/BTCF7</v>
      </c>
      <c r="F27" s="13">
        <f>'MKT DATA'!J1060</f>
        <v>1</v>
      </c>
      <c r="G27" s="8">
        <f>'MKT DATA'!K1060</f>
        <v>83840</v>
      </c>
      <c r="H27" s="8">
        <f>'MKT DATA'!L1060</f>
        <v>85615</v>
      </c>
      <c r="I27" s="13">
        <f>'MKT DATA'!M1060</f>
        <v>1</v>
      </c>
      <c r="J27" s="43" t="str">
        <f t="shared" si="2"/>
        <v>syn BTCX6/BTCH7/BTCF7</v>
      </c>
      <c r="K27" s="8">
        <f>'MKT DATA'!O1060</f>
        <v>0</v>
      </c>
      <c r="L27" s="8">
        <f>'MKT DATA'!P1060</f>
        <v>83840</v>
      </c>
      <c r="M27" s="8">
        <f>'MKT DATA'!Q1060</f>
        <v>0</v>
      </c>
      <c r="N27" s="8">
        <f>'MKT DATA'!R1060</f>
        <v>0</v>
      </c>
      <c r="O27" s="8">
        <f>'MKT DATA'!S1060</f>
        <v>-85615</v>
      </c>
      <c r="P27" s="8">
        <f>'MKT DATA'!T1060</f>
        <v>0</v>
      </c>
      <c r="Q27" s="43" t="str">
        <f t="shared" si="3"/>
        <v>syn BTCX6/BTCH7/BTCF7</v>
      </c>
      <c r="R27" s="13">
        <f>'MKT DATA'!AB1060</f>
        <v>0</v>
      </c>
    </row>
    <row r="28" spans="5:18" x14ac:dyDescent="0.25">
      <c r="E28" s="43" t="str">
        <f>'MKT DATA'!B1061</f>
        <v>syn BTCZ6/BTCV6/BTCF7</v>
      </c>
      <c r="F28" s="13">
        <f>'MKT DATA'!J1061</f>
        <v>1</v>
      </c>
      <c r="G28" s="8">
        <f>'MKT DATA'!K1061</f>
        <v>84564</v>
      </c>
      <c r="H28" s="8">
        <f>'MKT DATA'!L1061</f>
        <v>84853</v>
      </c>
      <c r="I28" s="13">
        <f>'MKT DATA'!M1061</f>
        <v>1</v>
      </c>
      <c r="J28" s="43" t="str">
        <f t="shared" si="2"/>
        <v>syn BTCZ6/BTCV6/BTCF7</v>
      </c>
      <c r="K28" s="8">
        <f>'MKT DATA'!O1061</f>
        <v>0</v>
      </c>
      <c r="L28" s="8">
        <f>'MKT DATA'!P1061</f>
        <v>84564</v>
      </c>
      <c r="M28" s="8">
        <f>'MKT DATA'!Q1061</f>
        <v>0</v>
      </c>
      <c r="N28" s="8">
        <f>'MKT DATA'!R1061</f>
        <v>0</v>
      </c>
      <c r="O28" s="8">
        <f>'MKT DATA'!S1061</f>
        <v>-84853</v>
      </c>
      <c r="P28" s="8">
        <f>'MKT DATA'!T1061</f>
        <v>0</v>
      </c>
      <c r="Q28" s="43" t="str">
        <f t="shared" si="3"/>
        <v>syn BTCZ6/BTCV6/BTCF7</v>
      </c>
      <c r="R28" s="13">
        <f>'MKT DATA'!AB1061</f>
        <v>0</v>
      </c>
    </row>
    <row r="29" spans="5:18" x14ac:dyDescent="0.25">
      <c r="E29" s="43" t="str">
        <f>'MKT DATA'!B1062</f>
        <v>syn BTCZ6/BTCX6/BTCF7</v>
      </c>
      <c r="F29" s="13">
        <f>'MKT DATA'!J1062</f>
        <v>1</v>
      </c>
      <c r="G29" s="8">
        <f>'MKT DATA'!K1062</f>
        <v>84595</v>
      </c>
      <c r="H29" s="8">
        <f>'MKT DATA'!L1062</f>
        <v>84825</v>
      </c>
      <c r="I29" s="13">
        <f>'MKT DATA'!M1062</f>
        <v>1</v>
      </c>
      <c r="J29" s="43" t="str">
        <f t="shared" si="2"/>
        <v>syn BTCZ6/BTCX6/BTCF7</v>
      </c>
      <c r="K29" s="8">
        <f>'MKT DATA'!O1062</f>
        <v>0</v>
      </c>
      <c r="L29" s="8">
        <f>'MKT DATA'!P1062</f>
        <v>84595</v>
      </c>
      <c r="M29" s="8">
        <f>'MKT DATA'!Q1062</f>
        <v>0</v>
      </c>
      <c r="N29" s="8">
        <f>'MKT DATA'!R1062</f>
        <v>0</v>
      </c>
      <c r="O29" s="8">
        <f>'MKT DATA'!S1062</f>
        <v>-84825</v>
      </c>
      <c r="P29" s="8">
        <f>'MKT DATA'!T1062</f>
        <v>0</v>
      </c>
      <c r="Q29" s="43" t="str">
        <f t="shared" si="3"/>
        <v>syn BTCZ6/BTCX6/BTCF7</v>
      </c>
      <c r="R29" s="13">
        <f>'MKT DATA'!AB1062</f>
        <v>0</v>
      </c>
    </row>
    <row r="30" spans="5:18" x14ac:dyDescent="0.25">
      <c r="E30" s="43" t="str">
        <f>'MKT DATA'!B1063</f>
        <v>syn BTCZ6/BTCG7/BTCF7</v>
      </c>
      <c r="F30" s="13">
        <f>'MKT DATA'!J1063</f>
        <v>1</v>
      </c>
      <c r="G30" s="8">
        <f>'MKT DATA'!K1063</f>
        <v>84390</v>
      </c>
      <c r="H30" s="8">
        <f>'MKT DATA'!L1063</f>
        <v>85081</v>
      </c>
      <c r="I30" s="13">
        <f>'MKT DATA'!M1063</f>
        <v>1</v>
      </c>
      <c r="J30" s="43" t="str">
        <f t="shared" si="2"/>
        <v>syn BTCZ6/BTCG7/BTCF7</v>
      </c>
      <c r="K30" s="8">
        <f>'MKT DATA'!O1063</f>
        <v>0</v>
      </c>
      <c r="L30" s="8">
        <f>'MKT DATA'!P1063</f>
        <v>84390</v>
      </c>
      <c r="M30" s="8">
        <f>'MKT DATA'!Q1063</f>
        <v>0</v>
      </c>
      <c r="N30" s="8">
        <f>'MKT DATA'!R1063</f>
        <v>0</v>
      </c>
      <c r="O30" s="8">
        <f>'MKT DATA'!S1063</f>
        <v>-85081</v>
      </c>
      <c r="P30" s="8">
        <f>'MKT DATA'!T1063</f>
        <v>0</v>
      </c>
      <c r="Q30" s="43" t="str">
        <f t="shared" si="3"/>
        <v>syn BTCZ6/BTCG7/BTCF7</v>
      </c>
      <c r="R30" s="13">
        <f>'MKT DATA'!AB1063</f>
        <v>0</v>
      </c>
    </row>
    <row r="31" spans="5:18" x14ac:dyDescent="0.25">
      <c r="E31" s="43" t="str">
        <f>'MKT DATA'!B1064</f>
        <v>syn BTCZ6/BTCH7/BTCF7</v>
      </c>
      <c r="F31" s="13">
        <f>'MKT DATA'!J1064</f>
        <v>1</v>
      </c>
      <c r="G31" s="8">
        <f>'MKT DATA'!K1064</f>
        <v>84005</v>
      </c>
      <c r="H31" s="8">
        <f>'MKT DATA'!L1064</f>
        <v>85630</v>
      </c>
      <c r="I31" s="13">
        <f>'MKT DATA'!M1064</f>
        <v>1</v>
      </c>
      <c r="J31" s="43" t="str">
        <f t="shared" si="2"/>
        <v>syn BTCZ6/BTCH7/BTCF7</v>
      </c>
      <c r="K31" s="8">
        <f>'MKT DATA'!O1064</f>
        <v>0</v>
      </c>
      <c r="L31" s="8">
        <f>'MKT DATA'!P1064</f>
        <v>84005</v>
      </c>
      <c r="M31" s="8">
        <f>'MKT DATA'!Q1064</f>
        <v>0</v>
      </c>
      <c r="N31" s="8">
        <f>'MKT DATA'!R1064</f>
        <v>0</v>
      </c>
      <c r="O31" s="8">
        <f>'MKT DATA'!S1064</f>
        <v>-85630</v>
      </c>
      <c r="P31" s="8">
        <f>'MKT DATA'!T1064</f>
        <v>0</v>
      </c>
      <c r="Q31" s="43" t="str">
        <f t="shared" si="3"/>
        <v>syn BTCZ6/BTCH7/BTCF7</v>
      </c>
      <c r="R31" s="13">
        <f>'MKT DATA'!AB1064</f>
        <v>0</v>
      </c>
    </row>
    <row r="32" spans="5:18" x14ac:dyDescent="0.25">
      <c r="E32" s="43" t="str">
        <f>'MKT DATA'!B1065</f>
        <v>syn BTCG7/BTCV6/BTCF7</v>
      </c>
      <c r="F32" s="13">
        <f>'MKT DATA'!J1065</f>
        <v>1</v>
      </c>
      <c r="G32" s="8">
        <f>'MKT DATA'!K1065</f>
        <v>84291</v>
      </c>
      <c r="H32" s="8">
        <f>'MKT DATA'!L1065</f>
        <v>85134</v>
      </c>
      <c r="I32" s="13">
        <f>'MKT DATA'!M1065</f>
        <v>1</v>
      </c>
      <c r="J32" s="43" t="str">
        <f t="shared" si="2"/>
        <v>syn BTCG7/BTCV6/BTCF7</v>
      </c>
      <c r="K32" s="8">
        <f>'MKT DATA'!O1065</f>
        <v>0</v>
      </c>
      <c r="L32" s="8">
        <f>'MKT DATA'!P1065</f>
        <v>84291</v>
      </c>
      <c r="M32" s="8">
        <f>'MKT DATA'!Q1065</f>
        <v>0</v>
      </c>
      <c r="N32" s="8">
        <f>'MKT DATA'!R1065</f>
        <v>0</v>
      </c>
      <c r="O32" s="8">
        <f>'MKT DATA'!S1065</f>
        <v>-85134</v>
      </c>
      <c r="P32" s="8">
        <f>'MKT DATA'!T1065</f>
        <v>0</v>
      </c>
      <c r="Q32" s="43" t="str">
        <f t="shared" si="3"/>
        <v>syn BTCG7/BTCV6/BTCF7</v>
      </c>
      <c r="R32" s="13">
        <f>'MKT DATA'!AB1065</f>
        <v>0</v>
      </c>
    </row>
    <row r="33" spans="5:18" x14ac:dyDescent="0.25">
      <c r="E33" s="43" t="str">
        <f>'MKT DATA'!B1066</f>
        <v>syn BTCG7/BTCX6/BTCF7</v>
      </c>
      <c r="F33" s="13">
        <f>'MKT DATA'!J1066</f>
        <v>1</v>
      </c>
      <c r="G33" s="8">
        <f>'MKT DATA'!K1066</f>
        <v>84306</v>
      </c>
      <c r="H33" s="8">
        <f>'MKT DATA'!L1066</f>
        <v>85129</v>
      </c>
      <c r="I33" s="13">
        <f>'MKT DATA'!M1066</f>
        <v>1</v>
      </c>
      <c r="J33" s="43" t="str">
        <f t="shared" si="2"/>
        <v>syn BTCG7/BTCX6/BTCF7</v>
      </c>
      <c r="K33" s="8">
        <f>'MKT DATA'!O1066</f>
        <v>0</v>
      </c>
      <c r="L33" s="8">
        <f>'MKT DATA'!P1066</f>
        <v>84306</v>
      </c>
      <c r="M33" s="8">
        <f>'MKT DATA'!Q1066</f>
        <v>0</v>
      </c>
      <c r="N33" s="8">
        <f>'MKT DATA'!R1066</f>
        <v>0</v>
      </c>
      <c r="O33" s="8">
        <f>'MKT DATA'!S1066</f>
        <v>-85129</v>
      </c>
      <c r="P33" s="8">
        <f>'MKT DATA'!T1066</f>
        <v>0</v>
      </c>
      <c r="Q33" s="43" t="str">
        <f t="shared" si="3"/>
        <v>syn BTCG7/BTCX6/BTCF7</v>
      </c>
      <c r="R33" s="13">
        <f>'MKT DATA'!AB1066</f>
        <v>0</v>
      </c>
    </row>
    <row r="34" spans="5:18" x14ac:dyDescent="0.25">
      <c r="E34" s="43" t="str">
        <f>'MKT DATA'!B1067</f>
        <v>syn BTCG7/BTCZ6/BTCF7</v>
      </c>
      <c r="F34" s="13">
        <f>'MKT DATA'!J1067</f>
        <v>1</v>
      </c>
      <c r="G34" s="8">
        <f>'MKT DATA'!K1067</f>
        <v>84327</v>
      </c>
      <c r="H34" s="8">
        <f>'MKT DATA'!L1067</f>
        <v>85124</v>
      </c>
      <c r="I34" s="13">
        <f>'MKT DATA'!M1067</f>
        <v>1</v>
      </c>
      <c r="J34" s="43" t="str">
        <f t="shared" si="2"/>
        <v>syn BTCG7/BTCZ6/BTCF7</v>
      </c>
      <c r="K34" s="8">
        <f>'MKT DATA'!O1067</f>
        <v>0</v>
      </c>
      <c r="L34" s="8">
        <f>'MKT DATA'!P1067</f>
        <v>84327</v>
      </c>
      <c r="M34" s="8">
        <f>'MKT DATA'!Q1067</f>
        <v>0</v>
      </c>
      <c r="N34" s="8">
        <f>'MKT DATA'!R1067</f>
        <v>0</v>
      </c>
      <c r="O34" s="8">
        <f>'MKT DATA'!S1067</f>
        <v>-85124</v>
      </c>
      <c r="P34" s="8">
        <f>'MKT DATA'!T1067</f>
        <v>0</v>
      </c>
      <c r="Q34" s="43" t="str">
        <f t="shared" si="3"/>
        <v>syn BTCG7/BTCZ6/BTCF7</v>
      </c>
      <c r="R34" s="13">
        <f>'MKT DATA'!AB1067</f>
        <v>0</v>
      </c>
    </row>
    <row r="35" spans="5:18" x14ac:dyDescent="0.25">
      <c r="E35" s="43" t="str">
        <f>'MKT DATA'!B1068</f>
        <v>syn BTCG7/BTCH7/BTCF7</v>
      </c>
      <c r="F35" s="13">
        <f>'MKT DATA'!J1068</f>
        <v>1</v>
      </c>
      <c r="G35" s="8">
        <f>'MKT DATA'!K1068</f>
        <v>83955</v>
      </c>
      <c r="H35" s="8">
        <f>'MKT DATA'!L1068</f>
        <v>85555</v>
      </c>
      <c r="I35" s="13">
        <f>'MKT DATA'!M1068</f>
        <v>1</v>
      </c>
      <c r="J35" s="43" t="str">
        <f t="shared" si="2"/>
        <v>syn BTCG7/BTCH7/BTCF7</v>
      </c>
      <c r="K35" s="8">
        <f>'MKT DATA'!O1068</f>
        <v>0</v>
      </c>
      <c r="L35" s="8">
        <f>'MKT DATA'!P1068</f>
        <v>83955</v>
      </c>
      <c r="M35" s="8">
        <f>'MKT DATA'!Q1068</f>
        <v>0</v>
      </c>
      <c r="N35" s="8">
        <f>'MKT DATA'!R1068</f>
        <v>0</v>
      </c>
      <c r="O35" s="8">
        <f>'MKT DATA'!S1068</f>
        <v>-85555</v>
      </c>
      <c r="P35" s="8">
        <f>'MKT DATA'!T1068</f>
        <v>0</v>
      </c>
      <c r="Q35" s="43" t="str">
        <f t="shared" si="3"/>
        <v>syn BTCG7/BTCH7/BTCF7</v>
      </c>
      <c r="R35" s="13">
        <f>'MKT DATA'!AB1068</f>
        <v>0</v>
      </c>
    </row>
    <row r="36" spans="5:18" x14ac:dyDescent="0.25">
      <c r="E36" s="43" t="str">
        <f>'MKT DATA'!B1069</f>
        <v>syn BTCH7/BTCV6/BTCF7</v>
      </c>
      <c r="F36" s="13">
        <f>'MKT DATA'!J1069</f>
        <v>1</v>
      </c>
      <c r="G36" s="8">
        <f>'MKT DATA'!K1069</f>
        <v>83881</v>
      </c>
      <c r="H36" s="8">
        <f>'MKT DATA'!L1069</f>
        <v>85544</v>
      </c>
      <c r="I36" s="13">
        <f>'MKT DATA'!M1069</f>
        <v>1</v>
      </c>
      <c r="J36" s="43" t="str">
        <f t="shared" si="2"/>
        <v>syn BTCH7/BTCV6/BTCF7</v>
      </c>
      <c r="K36" s="8">
        <f>'MKT DATA'!O1069</f>
        <v>0</v>
      </c>
      <c r="L36" s="8">
        <f>'MKT DATA'!P1069</f>
        <v>83881</v>
      </c>
      <c r="M36" s="8">
        <f>'MKT DATA'!Q1069</f>
        <v>0</v>
      </c>
      <c r="N36" s="8">
        <f>'MKT DATA'!R1069</f>
        <v>0</v>
      </c>
      <c r="O36" s="8">
        <f>'MKT DATA'!S1069</f>
        <v>-85544</v>
      </c>
      <c r="P36" s="8">
        <f>'MKT DATA'!T1069</f>
        <v>0</v>
      </c>
      <c r="Q36" s="43" t="str">
        <f t="shared" si="3"/>
        <v>syn BTCH7/BTCV6/BTCF7</v>
      </c>
      <c r="R36" s="13">
        <f>'MKT DATA'!AB1069</f>
        <v>0</v>
      </c>
    </row>
    <row r="37" spans="5:18" x14ac:dyDescent="0.25">
      <c r="E37" s="43" t="str">
        <f>'MKT DATA'!B1070</f>
        <v>syn BTCH7/BTCX6/BTCF7</v>
      </c>
      <c r="F37" s="13">
        <f>'MKT DATA'!J1070</f>
        <v>1</v>
      </c>
      <c r="G37" s="8">
        <f>'MKT DATA'!K1070</f>
        <v>83896</v>
      </c>
      <c r="H37" s="8">
        <f>'MKT DATA'!L1070</f>
        <v>85539</v>
      </c>
      <c r="I37" s="13">
        <f>'MKT DATA'!M1070</f>
        <v>1</v>
      </c>
      <c r="J37" s="43" t="str">
        <f t="shared" si="2"/>
        <v>syn BTCH7/BTCX6/BTCF7</v>
      </c>
      <c r="K37" s="8">
        <f>'MKT DATA'!O1070</f>
        <v>0</v>
      </c>
      <c r="L37" s="8">
        <f>'MKT DATA'!P1070</f>
        <v>83896</v>
      </c>
      <c r="M37" s="8">
        <f>'MKT DATA'!Q1070</f>
        <v>0</v>
      </c>
      <c r="N37" s="8">
        <f>'MKT DATA'!R1070</f>
        <v>0</v>
      </c>
      <c r="O37" s="8">
        <f>'MKT DATA'!S1070</f>
        <v>-85539</v>
      </c>
      <c r="P37" s="8">
        <f>'MKT DATA'!T1070</f>
        <v>0</v>
      </c>
      <c r="Q37" s="43" t="str">
        <f t="shared" si="3"/>
        <v>syn BTCH7/BTCX6/BTCF7</v>
      </c>
      <c r="R37" s="13">
        <f>'MKT DATA'!AB1070</f>
        <v>0</v>
      </c>
    </row>
    <row r="38" spans="5:18" x14ac:dyDescent="0.25">
      <c r="E38" s="43" t="str">
        <f>'MKT DATA'!B1071</f>
        <v>syn BTCH7/BTCZ6/BTCF7</v>
      </c>
      <c r="F38" s="13">
        <f>'MKT DATA'!J1071</f>
        <v>1</v>
      </c>
      <c r="G38" s="8">
        <f>'MKT DATA'!K1071</f>
        <v>83947</v>
      </c>
      <c r="H38" s="8">
        <f>'MKT DATA'!L1071</f>
        <v>85324</v>
      </c>
      <c r="I38" s="13">
        <f>'MKT DATA'!M1071</f>
        <v>1</v>
      </c>
      <c r="J38" s="43" t="str">
        <f t="shared" si="2"/>
        <v>syn BTCH7/BTCZ6/BTCF7</v>
      </c>
      <c r="K38" s="8">
        <f>'MKT DATA'!O1071</f>
        <v>0</v>
      </c>
      <c r="L38" s="8">
        <f>'MKT DATA'!P1071</f>
        <v>83947</v>
      </c>
      <c r="M38" s="8">
        <f>'MKT DATA'!Q1071</f>
        <v>0</v>
      </c>
      <c r="N38" s="8">
        <f>'MKT DATA'!R1071</f>
        <v>0</v>
      </c>
      <c r="O38" s="8">
        <f>'MKT DATA'!S1071</f>
        <v>-85324</v>
      </c>
      <c r="P38" s="8">
        <f>'MKT DATA'!T1071</f>
        <v>0</v>
      </c>
      <c r="Q38" s="43" t="str">
        <f t="shared" si="3"/>
        <v>syn BTCH7/BTCZ6/BTCF7</v>
      </c>
      <c r="R38" s="13">
        <f>'MKT DATA'!AB1071</f>
        <v>0</v>
      </c>
    </row>
    <row r="39" spans="5:18" x14ac:dyDescent="0.25">
      <c r="E39" s="43" t="str">
        <f>'MKT DATA'!B1072</f>
        <v>syn BTCH7/BTCG7/BTCF7</v>
      </c>
      <c r="F39" s="13">
        <f>'MKT DATA'!J1072</f>
        <v>1</v>
      </c>
      <c r="G39" s="8">
        <f>'MKT DATA'!K1072</f>
        <v>84085</v>
      </c>
      <c r="H39" s="8">
        <f>'MKT DATA'!L1072</f>
        <v>85331</v>
      </c>
      <c r="I39" s="13">
        <f>'MKT DATA'!M1072</f>
        <v>1</v>
      </c>
      <c r="J39" s="43" t="str">
        <f t="shared" si="2"/>
        <v>syn BTCH7/BTCG7/BTCF7</v>
      </c>
      <c r="K39" s="8">
        <f>'MKT DATA'!O1072</f>
        <v>0</v>
      </c>
      <c r="L39" s="8">
        <f>'MKT DATA'!P1072</f>
        <v>84085</v>
      </c>
      <c r="M39" s="8">
        <f>'MKT DATA'!Q1072</f>
        <v>0</v>
      </c>
      <c r="N39" s="8">
        <f>'MKT DATA'!R1072</f>
        <v>0</v>
      </c>
      <c r="O39" s="8">
        <f>'MKT DATA'!S1072</f>
        <v>-85331</v>
      </c>
      <c r="P39" s="8">
        <f>'MKT DATA'!T1072</f>
        <v>0</v>
      </c>
      <c r="Q39" s="43" t="str">
        <f t="shared" si="3"/>
        <v>syn BTCH7/BTCG7/BTCF7</v>
      </c>
      <c r="R39" s="13">
        <f>'MKT DATA'!AB1072</f>
        <v>0</v>
      </c>
    </row>
    <row r="40" spans="5:18" x14ac:dyDescent="0.25">
      <c r="E40" s="43" t="str">
        <f>'MKT DATA'!B1073</f>
        <v>syn BTCV6/BTCX6/BTCZ6/BTCF7</v>
      </c>
      <c r="F40" s="13">
        <f>'MKT DATA'!J1073</f>
        <v>1</v>
      </c>
      <c r="G40" s="8">
        <f>'MKT DATA'!K1073</f>
        <v>84683</v>
      </c>
      <c r="H40" s="8">
        <f>'MKT DATA'!L1073</f>
        <v>84776</v>
      </c>
      <c r="I40" s="13">
        <f>'MKT DATA'!M1073</f>
        <v>1</v>
      </c>
      <c r="J40" s="43" t="str">
        <f t="shared" si="2"/>
        <v>syn BTCV6/BTCX6/BTCZ6/BTCF7</v>
      </c>
      <c r="K40" s="8">
        <f>'MKT DATA'!O1073</f>
        <v>0</v>
      </c>
      <c r="L40" s="8">
        <f>'MKT DATA'!P1073</f>
        <v>84683</v>
      </c>
      <c r="M40" s="8">
        <f>'MKT DATA'!Q1073</f>
        <v>0</v>
      </c>
      <c r="N40" s="8">
        <f>'MKT DATA'!R1073</f>
        <v>0</v>
      </c>
      <c r="O40" s="8">
        <f>'MKT DATA'!S1073</f>
        <v>-84776</v>
      </c>
      <c r="P40" s="8">
        <f>'MKT DATA'!T1073</f>
        <v>0</v>
      </c>
      <c r="Q40" s="43" t="str">
        <f t="shared" si="3"/>
        <v>syn BTCV6/BTCX6/BTCZ6/BTCF7</v>
      </c>
      <c r="R40" s="13">
        <f>'MKT DATA'!AB1073</f>
        <v>0</v>
      </c>
    </row>
    <row r="41" spans="5:18" x14ac:dyDescent="0.25">
      <c r="E41" s="43" t="str">
        <f>'MKT DATA'!B1074</f>
        <v>syn BTCV6/BTCX6/BTCG7/BTCF7</v>
      </c>
      <c r="F41" s="13">
        <f>'MKT DATA'!J1074</f>
        <v>1</v>
      </c>
      <c r="G41" s="8">
        <f>'MKT DATA'!K1074</f>
        <v>84442</v>
      </c>
      <c r="H41" s="8">
        <f>'MKT DATA'!L1074</f>
        <v>85022</v>
      </c>
      <c r="I41" s="13">
        <f>'MKT DATA'!M1074</f>
        <v>1</v>
      </c>
      <c r="J41" s="43" t="str">
        <f t="shared" si="2"/>
        <v>syn BTCV6/BTCX6/BTCG7/BTCF7</v>
      </c>
      <c r="K41" s="8">
        <f>'MKT DATA'!O1074</f>
        <v>0</v>
      </c>
      <c r="L41" s="8">
        <f>'MKT DATA'!P1074</f>
        <v>84442</v>
      </c>
      <c r="M41" s="8">
        <f>'MKT DATA'!Q1074</f>
        <v>0</v>
      </c>
      <c r="N41" s="8">
        <f>'MKT DATA'!R1074</f>
        <v>0</v>
      </c>
      <c r="O41" s="8">
        <f>'MKT DATA'!S1074</f>
        <v>-85022</v>
      </c>
      <c r="P41" s="8">
        <f>'MKT DATA'!T1074</f>
        <v>0</v>
      </c>
      <c r="Q41" s="43" t="str">
        <f t="shared" si="3"/>
        <v>syn BTCV6/BTCX6/BTCG7/BTCF7</v>
      </c>
      <c r="R41" s="13">
        <f>'MKT DATA'!AB1074</f>
        <v>0</v>
      </c>
    </row>
    <row r="42" spans="5:18" x14ac:dyDescent="0.25">
      <c r="E42" s="43" t="str">
        <f>'MKT DATA'!B1075</f>
        <v>syn BTCV6/BTCX6/BTCH7/BTCF7</v>
      </c>
      <c r="F42" s="13">
        <f>'MKT DATA'!J1075</f>
        <v>1</v>
      </c>
      <c r="G42" s="8">
        <f>'MKT DATA'!K1075</f>
        <v>83847</v>
      </c>
      <c r="H42" s="8">
        <f>'MKT DATA'!L1075</f>
        <v>85601</v>
      </c>
      <c r="I42" s="13">
        <f>'MKT DATA'!M1075</f>
        <v>1</v>
      </c>
      <c r="J42" s="43" t="str">
        <f t="shared" si="2"/>
        <v>syn BTCV6/BTCX6/BTCH7/BTCF7</v>
      </c>
      <c r="K42" s="8">
        <f>'MKT DATA'!O1075</f>
        <v>0</v>
      </c>
      <c r="L42" s="8">
        <f>'MKT DATA'!P1075</f>
        <v>83847</v>
      </c>
      <c r="M42" s="8">
        <f>'MKT DATA'!Q1075</f>
        <v>0</v>
      </c>
      <c r="N42" s="8">
        <f>'MKT DATA'!R1075</f>
        <v>0</v>
      </c>
      <c r="O42" s="8">
        <f>'MKT DATA'!S1075</f>
        <v>-85601</v>
      </c>
      <c r="P42" s="8">
        <f>'MKT DATA'!T1075</f>
        <v>0</v>
      </c>
      <c r="Q42" s="43" t="str">
        <f t="shared" si="3"/>
        <v>syn BTCV6/BTCX6/BTCH7/BTCF7</v>
      </c>
      <c r="R42" s="13">
        <f>'MKT DATA'!AB1075</f>
        <v>0</v>
      </c>
    </row>
    <row r="43" spans="5:18" x14ac:dyDescent="0.25">
      <c r="E43" s="43" t="str">
        <f>'MKT DATA'!B1076</f>
        <v>syn BTCV6/BTCZ6/BTCX6/BTCF7</v>
      </c>
      <c r="F43" s="13">
        <f>'MKT DATA'!J1076</f>
        <v>1</v>
      </c>
      <c r="G43" s="8">
        <f>'MKT DATA'!K1076</f>
        <v>84616</v>
      </c>
      <c r="H43" s="8">
        <f>'MKT DATA'!L1076</f>
        <v>84812</v>
      </c>
      <c r="I43" s="13">
        <f>'MKT DATA'!M1076</f>
        <v>1</v>
      </c>
      <c r="J43" s="43" t="str">
        <f t="shared" si="2"/>
        <v>syn BTCV6/BTCZ6/BTCX6/BTCF7</v>
      </c>
      <c r="K43" s="8">
        <f>'MKT DATA'!O1076</f>
        <v>0</v>
      </c>
      <c r="L43" s="8">
        <f>'MKT DATA'!P1076</f>
        <v>84616</v>
      </c>
      <c r="M43" s="8">
        <f>'MKT DATA'!Q1076</f>
        <v>0</v>
      </c>
      <c r="N43" s="8">
        <f>'MKT DATA'!R1076</f>
        <v>0</v>
      </c>
      <c r="O43" s="8">
        <f>'MKT DATA'!S1076</f>
        <v>-84812</v>
      </c>
      <c r="P43" s="8">
        <f>'MKT DATA'!T1076</f>
        <v>0</v>
      </c>
      <c r="Q43" s="43" t="str">
        <f t="shared" si="3"/>
        <v>syn BTCV6/BTCZ6/BTCX6/BTCF7</v>
      </c>
      <c r="R43" s="13">
        <f>'MKT DATA'!AB1076</f>
        <v>0</v>
      </c>
    </row>
    <row r="44" spans="5:18" x14ac:dyDescent="0.25">
      <c r="E44" s="43" t="str">
        <f>'MKT DATA'!B1077</f>
        <v>syn BTCV6/BTCZ6/BTCG7/BTCF7</v>
      </c>
      <c r="F44" s="13">
        <f>'MKT DATA'!J1077</f>
        <v>1</v>
      </c>
      <c r="G44" s="8">
        <f>'MKT DATA'!K1077</f>
        <v>84411</v>
      </c>
      <c r="H44" s="8">
        <f>'MKT DATA'!L1077</f>
        <v>85068</v>
      </c>
      <c r="I44" s="13">
        <f>'MKT DATA'!M1077</f>
        <v>1</v>
      </c>
      <c r="J44" s="43" t="str">
        <f t="shared" si="2"/>
        <v>syn BTCV6/BTCZ6/BTCG7/BTCF7</v>
      </c>
      <c r="K44" s="8">
        <f>'MKT DATA'!O1077</f>
        <v>0</v>
      </c>
      <c r="L44" s="8">
        <f>'MKT DATA'!P1077</f>
        <v>84411</v>
      </c>
      <c r="M44" s="8">
        <f>'MKT DATA'!Q1077</f>
        <v>0</v>
      </c>
      <c r="N44" s="8">
        <f>'MKT DATA'!R1077</f>
        <v>0</v>
      </c>
      <c r="O44" s="8">
        <f>'MKT DATA'!S1077</f>
        <v>-85068</v>
      </c>
      <c r="P44" s="8">
        <f>'MKT DATA'!T1077</f>
        <v>0</v>
      </c>
      <c r="Q44" s="43" t="str">
        <f t="shared" si="3"/>
        <v>syn BTCV6/BTCZ6/BTCG7/BTCF7</v>
      </c>
      <c r="R44" s="13">
        <f>'MKT DATA'!AB1077</f>
        <v>0</v>
      </c>
    </row>
    <row r="45" spans="5:18" x14ac:dyDescent="0.25">
      <c r="E45" s="43" t="str">
        <f>'MKT DATA'!B1078</f>
        <v>syn BTCV6/BTCZ6/BTCH7/BTCF7</v>
      </c>
      <c r="F45" s="13">
        <f>'MKT DATA'!J1078</f>
        <v>1</v>
      </c>
      <c r="G45" s="8">
        <f>'MKT DATA'!K1078</f>
        <v>84026</v>
      </c>
      <c r="H45" s="8">
        <f>'MKT DATA'!L1078</f>
        <v>85617</v>
      </c>
      <c r="I45" s="13">
        <f>'MKT DATA'!M1078</f>
        <v>1</v>
      </c>
      <c r="J45" s="43" t="str">
        <f t="shared" si="2"/>
        <v>syn BTCV6/BTCZ6/BTCH7/BTCF7</v>
      </c>
      <c r="K45" s="8">
        <f>'MKT DATA'!O1078</f>
        <v>0</v>
      </c>
      <c r="L45" s="8">
        <f>'MKT DATA'!P1078</f>
        <v>84026</v>
      </c>
      <c r="M45" s="8">
        <f>'MKT DATA'!Q1078</f>
        <v>0</v>
      </c>
      <c r="N45" s="8">
        <f>'MKT DATA'!R1078</f>
        <v>0</v>
      </c>
      <c r="O45" s="8">
        <f>'MKT DATA'!S1078</f>
        <v>-85617</v>
      </c>
      <c r="P45" s="8">
        <f>'MKT DATA'!T1078</f>
        <v>0</v>
      </c>
      <c r="Q45" s="43" t="str">
        <f t="shared" si="3"/>
        <v>syn BTCV6/BTCZ6/BTCH7/BTCF7</v>
      </c>
      <c r="R45" s="13">
        <f>'MKT DATA'!AB1078</f>
        <v>0</v>
      </c>
    </row>
    <row r="46" spans="5:18" x14ac:dyDescent="0.25">
      <c r="E46" s="43" t="str">
        <f>'MKT DATA'!B1079</f>
        <v>syn BTCV6/BTCG7/BTCX6/BTCF7</v>
      </c>
      <c r="F46" s="13">
        <f>'MKT DATA'!J1079</f>
        <v>1</v>
      </c>
      <c r="G46" s="8">
        <f>'MKT DATA'!K1079</f>
        <v>84276</v>
      </c>
      <c r="H46" s="8">
        <f>'MKT DATA'!L1079</f>
        <v>85159</v>
      </c>
      <c r="I46" s="13">
        <f>'MKT DATA'!M1079</f>
        <v>1</v>
      </c>
      <c r="J46" s="43" t="str">
        <f t="shared" si="2"/>
        <v>syn BTCV6/BTCG7/BTCX6/BTCF7</v>
      </c>
      <c r="K46" s="8">
        <f>'MKT DATA'!O1079</f>
        <v>0</v>
      </c>
      <c r="L46" s="8">
        <f>'MKT DATA'!P1079</f>
        <v>84276</v>
      </c>
      <c r="M46" s="8">
        <f>'MKT DATA'!Q1079</f>
        <v>0</v>
      </c>
      <c r="N46" s="8">
        <f>'MKT DATA'!R1079</f>
        <v>0</v>
      </c>
      <c r="O46" s="8">
        <f>'MKT DATA'!S1079</f>
        <v>-85159</v>
      </c>
      <c r="P46" s="8">
        <f>'MKT DATA'!T1079</f>
        <v>0</v>
      </c>
      <c r="Q46" s="43" t="str">
        <f t="shared" si="3"/>
        <v>syn BTCV6/BTCG7/BTCX6/BTCF7</v>
      </c>
      <c r="R46" s="13">
        <f>'MKT DATA'!AB1079</f>
        <v>0</v>
      </c>
    </row>
    <row r="47" spans="5:18" x14ac:dyDescent="0.25">
      <c r="E47" s="43" t="str">
        <f>'MKT DATA'!B1080</f>
        <v>syn BTCV6/BTCG7/BTCZ6/BTCF7</v>
      </c>
      <c r="F47" s="13">
        <f>'MKT DATA'!J1080</f>
        <v>1</v>
      </c>
      <c r="G47" s="8">
        <f>'MKT DATA'!K1080</f>
        <v>84297</v>
      </c>
      <c r="H47" s="8">
        <f>'MKT DATA'!L1080</f>
        <v>85154</v>
      </c>
      <c r="I47" s="13">
        <f>'MKT DATA'!M1080</f>
        <v>1</v>
      </c>
      <c r="J47" s="43" t="str">
        <f t="shared" si="2"/>
        <v>syn BTCV6/BTCG7/BTCZ6/BTCF7</v>
      </c>
      <c r="K47" s="8">
        <f>'MKT DATA'!O1080</f>
        <v>0</v>
      </c>
      <c r="L47" s="8">
        <f>'MKT DATA'!P1080</f>
        <v>84297</v>
      </c>
      <c r="M47" s="8">
        <f>'MKT DATA'!Q1080</f>
        <v>0</v>
      </c>
      <c r="N47" s="8">
        <f>'MKT DATA'!R1080</f>
        <v>0</v>
      </c>
      <c r="O47" s="8">
        <f>'MKT DATA'!S1080</f>
        <v>-85154</v>
      </c>
      <c r="P47" s="8">
        <f>'MKT DATA'!T1080</f>
        <v>0</v>
      </c>
      <c r="Q47" s="43" t="str">
        <f t="shared" si="3"/>
        <v>syn BTCV6/BTCG7/BTCZ6/BTCF7</v>
      </c>
      <c r="R47" s="13">
        <f>'MKT DATA'!AB1080</f>
        <v>0</v>
      </c>
    </row>
    <row r="48" spans="5:18" x14ac:dyDescent="0.25">
      <c r="E48" s="43" t="str">
        <f>'MKT DATA'!B1081</f>
        <v>syn BTCV6/BTCG7/BTCH7/BTCF7</v>
      </c>
      <c r="F48" s="13">
        <f>'MKT DATA'!J1081</f>
        <v>1</v>
      </c>
      <c r="G48" s="8">
        <f>'MKT DATA'!K1081</f>
        <v>83925</v>
      </c>
      <c r="H48" s="8">
        <f>'MKT DATA'!L1081</f>
        <v>85585</v>
      </c>
      <c r="I48" s="13">
        <f>'MKT DATA'!M1081</f>
        <v>1</v>
      </c>
      <c r="J48" s="43" t="str">
        <f t="shared" si="2"/>
        <v>syn BTCV6/BTCG7/BTCH7/BTCF7</v>
      </c>
      <c r="K48" s="8">
        <f>'MKT DATA'!O1081</f>
        <v>0</v>
      </c>
      <c r="L48" s="8">
        <f>'MKT DATA'!P1081</f>
        <v>83925</v>
      </c>
      <c r="M48" s="8">
        <f>'MKT DATA'!Q1081</f>
        <v>0</v>
      </c>
      <c r="N48" s="8">
        <f>'MKT DATA'!R1081</f>
        <v>0</v>
      </c>
      <c r="O48" s="8">
        <f>'MKT DATA'!S1081</f>
        <v>-85585</v>
      </c>
      <c r="P48" s="8">
        <f>'MKT DATA'!T1081</f>
        <v>0</v>
      </c>
      <c r="Q48" s="43" t="str">
        <f t="shared" si="3"/>
        <v>syn BTCV6/BTCG7/BTCH7/BTCF7</v>
      </c>
      <c r="R48" s="13">
        <f>'MKT DATA'!AB1081</f>
        <v>0</v>
      </c>
    </row>
    <row r="49" spans="5:18" x14ac:dyDescent="0.25">
      <c r="E49" s="43" t="str">
        <f>'MKT DATA'!B1082</f>
        <v>syn BTCV6/BTCH7/BTCX6/BTCF7</v>
      </c>
      <c r="F49" s="13">
        <f>'MKT DATA'!J1082</f>
        <v>1</v>
      </c>
      <c r="G49" s="8">
        <f>'MKT DATA'!K1082</f>
        <v>83866</v>
      </c>
      <c r="H49" s="8">
        <f>'MKT DATA'!L1082</f>
        <v>85569</v>
      </c>
      <c r="I49" s="13">
        <f>'MKT DATA'!M1082</f>
        <v>1</v>
      </c>
      <c r="J49" s="43" t="str">
        <f t="shared" si="2"/>
        <v>syn BTCV6/BTCH7/BTCX6/BTCF7</v>
      </c>
      <c r="K49" s="8">
        <f>'MKT DATA'!O1082</f>
        <v>0</v>
      </c>
      <c r="L49" s="8">
        <f>'MKT DATA'!P1082</f>
        <v>83866</v>
      </c>
      <c r="M49" s="8">
        <f>'MKT DATA'!Q1082</f>
        <v>0</v>
      </c>
      <c r="N49" s="8">
        <f>'MKT DATA'!R1082</f>
        <v>0</v>
      </c>
      <c r="O49" s="8">
        <f>'MKT DATA'!S1082</f>
        <v>-85569</v>
      </c>
      <c r="P49" s="8">
        <f>'MKT DATA'!T1082</f>
        <v>0</v>
      </c>
      <c r="Q49" s="43" t="str">
        <f t="shared" si="3"/>
        <v>syn BTCV6/BTCH7/BTCX6/BTCF7</v>
      </c>
      <c r="R49" s="13">
        <f>'MKT DATA'!AB1082</f>
        <v>0</v>
      </c>
    </row>
    <row r="50" spans="5:18" x14ac:dyDescent="0.25">
      <c r="E50" s="43" t="str">
        <f>'MKT DATA'!B1083</f>
        <v>syn BTCV6/BTCH7/BTCZ6/BTCF7</v>
      </c>
      <c r="F50" s="13">
        <f>'MKT DATA'!J1083</f>
        <v>1</v>
      </c>
      <c r="G50" s="8">
        <f>'MKT DATA'!K1083</f>
        <v>83917</v>
      </c>
      <c r="H50" s="8">
        <f>'MKT DATA'!L1083</f>
        <v>85354</v>
      </c>
      <c r="I50" s="13">
        <f>'MKT DATA'!M1083</f>
        <v>1</v>
      </c>
      <c r="J50" s="43" t="str">
        <f t="shared" si="2"/>
        <v>syn BTCV6/BTCH7/BTCZ6/BTCF7</v>
      </c>
      <c r="K50" s="8">
        <f>'MKT DATA'!O1083</f>
        <v>0</v>
      </c>
      <c r="L50" s="8">
        <f>'MKT DATA'!P1083</f>
        <v>83917</v>
      </c>
      <c r="M50" s="8">
        <f>'MKT DATA'!Q1083</f>
        <v>0</v>
      </c>
      <c r="N50" s="8">
        <f>'MKT DATA'!R1083</f>
        <v>0</v>
      </c>
      <c r="O50" s="8">
        <f>'MKT DATA'!S1083</f>
        <v>-85354</v>
      </c>
      <c r="P50" s="8">
        <f>'MKT DATA'!T1083</f>
        <v>0</v>
      </c>
      <c r="Q50" s="43" t="str">
        <f t="shared" si="3"/>
        <v>syn BTCV6/BTCH7/BTCZ6/BTCF7</v>
      </c>
      <c r="R50" s="13">
        <f>'MKT DATA'!AB1083</f>
        <v>0</v>
      </c>
    </row>
    <row r="51" spans="5:18" x14ac:dyDescent="0.25">
      <c r="E51" s="43" t="str">
        <f>'MKT DATA'!B1084</f>
        <v>syn BTCV6/BTCH7/BTCG7/BTCF7</v>
      </c>
      <c r="F51" s="13">
        <f>'MKT DATA'!J1084</f>
        <v>1</v>
      </c>
      <c r="G51" s="8">
        <f>'MKT DATA'!K1084</f>
        <v>84055</v>
      </c>
      <c r="H51" s="8">
        <f>'MKT DATA'!L1084</f>
        <v>85361</v>
      </c>
      <c r="I51" s="13">
        <f>'MKT DATA'!M1084</f>
        <v>1</v>
      </c>
      <c r="J51" s="43" t="str">
        <f t="shared" si="2"/>
        <v>syn BTCV6/BTCH7/BTCG7/BTCF7</v>
      </c>
      <c r="K51" s="8">
        <f>'MKT DATA'!O1084</f>
        <v>0</v>
      </c>
      <c r="L51" s="8">
        <f>'MKT DATA'!P1084</f>
        <v>84055</v>
      </c>
      <c r="M51" s="8">
        <f>'MKT DATA'!Q1084</f>
        <v>0</v>
      </c>
      <c r="N51" s="8">
        <f>'MKT DATA'!R1084</f>
        <v>0</v>
      </c>
      <c r="O51" s="8">
        <f>'MKT DATA'!S1084</f>
        <v>-85361</v>
      </c>
      <c r="P51" s="8">
        <f>'MKT DATA'!T1084</f>
        <v>0</v>
      </c>
      <c r="Q51" s="43" t="str">
        <f t="shared" si="3"/>
        <v>syn BTCV6/BTCH7/BTCG7/BTCF7</v>
      </c>
      <c r="R51" s="13">
        <f>'MKT DATA'!AB1084</f>
        <v>0</v>
      </c>
    </row>
    <row r="52" spans="5:18" x14ac:dyDescent="0.25">
      <c r="E52" s="43" t="str">
        <f>'MKT DATA'!B1085</f>
        <v>syn BTCX6/BTCV6/BTCZ6/BTCF7</v>
      </c>
      <c r="F52" s="13">
        <f>'MKT DATA'!J1085</f>
        <v>1</v>
      </c>
      <c r="G52" s="8">
        <f>'MKT DATA'!K1085</f>
        <v>84667</v>
      </c>
      <c r="H52" s="8">
        <f>'MKT DATA'!L1085</f>
        <v>84799</v>
      </c>
      <c r="I52" s="13">
        <f>'MKT DATA'!M1085</f>
        <v>1</v>
      </c>
      <c r="J52" s="43" t="str">
        <f t="shared" si="2"/>
        <v>syn BTCX6/BTCV6/BTCZ6/BTCF7</v>
      </c>
      <c r="K52" s="8">
        <f>'MKT DATA'!O1085</f>
        <v>0</v>
      </c>
      <c r="L52" s="8">
        <f>'MKT DATA'!P1085</f>
        <v>84667</v>
      </c>
      <c r="M52" s="8">
        <f>'MKT DATA'!Q1085</f>
        <v>0</v>
      </c>
      <c r="N52" s="8">
        <f>'MKT DATA'!R1085</f>
        <v>0</v>
      </c>
      <c r="O52" s="8">
        <f>'MKT DATA'!S1085</f>
        <v>-84799</v>
      </c>
      <c r="P52" s="8">
        <f>'MKT DATA'!T1085</f>
        <v>0</v>
      </c>
      <c r="Q52" s="43" t="str">
        <f t="shared" si="3"/>
        <v>syn BTCX6/BTCV6/BTCZ6/BTCF7</v>
      </c>
      <c r="R52" s="13">
        <f>'MKT DATA'!AB1085</f>
        <v>0</v>
      </c>
    </row>
    <row r="53" spans="5:18" x14ac:dyDescent="0.25">
      <c r="E53" s="43" t="str">
        <f>'MKT DATA'!B1086</f>
        <v>syn BTCX6/BTCV6/BTCG7/BTCF7</v>
      </c>
      <c r="F53" s="13">
        <f>'MKT DATA'!J1086</f>
        <v>1</v>
      </c>
      <c r="G53" s="8">
        <f>'MKT DATA'!K1086</f>
        <v>84449</v>
      </c>
      <c r="H53" s="8">
        <f>'MKT DATA'!L1086</f>
        <v>85029</v>
      </c>
      <c r="I53" s="13">
        <f>'MKT DATA'!M1086</f>
        <v>1</v>
      </c>
      <c r="J53" s="43" t="str">
        <f t="shared" si="2"/>
        <v>syn BTCX6/BTCV6/BTCG7/BTCF7</v>
      </c>
      <c r="K53" s="8">
        <f>'MKT DATA'!O1086</f>
        <v>0</v>
      </c>
      <c r="L53" s="8">
        <f>'MKT DATA'!P1086</f>
        <v>84449</v>
      </c>
      <c r="M53" s="8">
        <f>'MKT DATA'!Q1086</f>
        <v>0</v>
      </c>
      <c r="N53" s="8">
        <f>'MKT DATA'!R1086</f>
        <v>0</v>
      </c>
      <c r="O53" s="8">
        <f>'MKT DATA'!S1086</f>
        <v>-85029</v>
      </c>
      <c r="P53" s="8">
        <f>'MKT DATA'!T1086</f>
        <v>0</v>
      </c>
      <c r="Q53" s="43" t="str">
        <f t="shared" si="3"/>
        <v>syn BTCX6/BTCV6/BTCG7/BTCF7</v>
      </c>
      <c r="R53" s="13">
        <f>'MKT DATA'!AB1086</f>
        <v>0</v>
      </c>
    </row>
    <row r="54" spans="5:18" x14ac:dyDescent="0.25">
      <c r="E54" s="43" t="str">
        <f>'MKT DATA'!B1087</f>
        <v>syn BTCX6/BTCV6/BTCH7/BTCF7</v>
      </c>
      <c r="F54" s="13">
        <f>'MKT DATA'!J1087</f>
        <v>1</v>
      </c>
      <c r="G54" s="8">
        <f>'MKT DATA'!K1087</f>
        <v>83854</v>
      </c>
      <c r="H54" s="8">
        <f>'MKT DATA'!L1087</f>
        <v>85608</v>
      </c>
      <c r="I54" s="13">
        <f>'MKT DATA'!M1087</f>
        <v>1</v>
      </c>
      <c r="J54" s="43" t="str">
        <f t="shared" si="2"/>
        <v>syn BTCX6/BTCV6/BTCH7/BTCF7</v>
      </c>
      <c r="K54" s="8">
        <f>'MKT DATA'!O1087</f>
        <v>0</v>
      </c>
      <c r="L54" s="8">
        <f>'MKT DATA'!P1087</f>
        <v>83854</v>
      </c>
      <c r="M54" s="8">
        <f>'MKT DATA'!Q1087</f>
        <v>0</v>
      </c>
      <c r="N54" s="8">
        <f>'MKT DATA'!R1087</f>
        <v>0</v>
      </c>
      <c r="O54" s="8">
        <f>'MKT DATA'!S1087</f>
        <v>-85608</v>
      </c>
      <c r="P54" s="8">
        <f>'MKT DATA'!T1087</f>
        <v>0</v>
      </c>
      <c r="Q54" s="43" t="str">
        <f t="shared" si="3"/>
        <v>syn BTCX6/BTCV6/BTCH7/BTCF7</v>
      </c>
      <c r="R54" s="13">
        <f>'MKT DATA'!AB1087</f>
        <v>0</v>
      </c>
    </row>
    <row r="55" spans="5:18" x14ac:dyDescent="0.25">
      <c r="E55" s="43" t="str">
        <f>'MKT DATA'!B1088</f>
        <v>syn BTCX6/BTCZ6/BTCV6/BTCF7</v>
      </c>
      <c r="F55" s="13">
        <f>'MKT DATA'!J1088</f>
        <v>1</v>
      </c>
      <c r="G55" s="8">
        <f>'MKT DATA'!K1088</f>
        <v>84583</v>
      </c>
      <c r="H55" s="8">
        <f>'MKT DATA'!L1088</f>
        <v>84849</v>
      </c>
      <c r="I55" s="13">
        <f>'MKT DATA'!M1088</f>
        <v>1</v>
      </c>
      <c r="J55" s="43" t="str">
        <f t="shared" si="2"/>
        <v>syn BTCX6/BTCZ6/BTCV6/BTCF7</v>
      </c>
      <c r="K55" s="8">
        <f>'MKT DATA'!O1088</f>
        <v>0</v>
      </c>
      <c r="L55" s="8">
        <f>'MKT DATA'!P1088</f>
        <v>84583</v>
      </c>
      <c r="M55" s="8">
        <f>'MKT DATA'!Q1088</f>
        <v>0</v>
      </c>
      <c r="N55" s="8">
        <f>'MKT DATA'!R1088</f>
        <v>0</v>
      </c>
      <c r="O55" s="8">
        <f>'MKT DATA'!S1088</f>
        <v>-84849</v>
      </c>
      <c r="P55" s="8">
        <f>'MKT DATA'!T1088</f>
        <v>0</v>
      </c>
      <c r="Q55" s="43" t="str">
        <f t="shared" si="3"/>
        <v>syn BTCX6/BTCZ6/BTCV6/BTCF7</v>
      </c>
      <c r="R55" s="13">
        <f>'MKT DATA'!AB1088</f>
        <v>0</v>
      </c>
    </row>
    <row r="56" spans="5:18" x14ac:dyDescent="0.25">
      <c r="E56" s="43" t="str">
        <f>'MKT DATA'!B1089</f>
        <v>syn BTCX6/BTCZ6/BTCG7/BTCF7</v>
      </c>
      <c r="F56" s="13">
        <f>'MKT DATA'!J1089</f>
        <v>1</v>
      </c>
      <c r="G56" s="8">
        <f>'MKT DATA'!K1089</f>
        <v>84409</v>
      </c>
      <c r="H56" s="8">
        <f>'MKT DATA'!L1089</f>
        <v>85077</v>
      </c>
      <c r="I56" s="13">
        <f>'MKT DATA'!M1089</f>
        <v>1</v>
      </c>
      <c r="J56" s="43" t="str">
        <f t="shared" si="2"/>
        <v>syn BTCX6/BTCZ6/BTCG7/BTCF7</v>
      </c>
      <c r="K56" s="8">
        <f>'MKT DATA'!O1089</f>
        <v>0</v>
      </c>
      <c r="L56" s="8">
        <f>'MKT DATA'!P1089</f>
        <v>84409</v>
      </c>
      <c r="M56" s="8">
        <f>'MKT DATA'!Q1089</f>
        <v>0</v>
      </c>
      <c r="N56" s="8">
        <f>'MKT DATA'!R1089</f>
        <v>0</v>
      </c>
      <c r="O56" s="8">
        <f>'MKT DATA'!S1089</f>
        <v>-85077</v>
      </c>
      <c r="P56" s="8">
        <f>'MKT DATA'!T1089</f>
        <v>0</v>
      </c>
      <c r="Q56" s="43" t="str">
        <f t="shared" si="3"/>
        <v>syn BTCX6/BTCZ6/BTCG7/BTCF7</v>
      </c>
      <c r="R56" s="13">
        <f>'MKT DATA'!AB1089</f>
        <v>0</v>
      </c>
    </row>
    <row r="57" spans="5:18" x14ac:dyDescent="0.25">
      <c r="E57" s="43" t="str">
        <f>'MKT DATA'!B1090</f>
        <v>syn BTCX6/BTCZ6/BTCH7/BTCF7</v>
      </c>
      <c r="F57" s="13">
        <f>'MKT DATA'!J1090</f>
        <v>1</v>
      </c>
      <c r="G57" s="8">
        <f>'MKT DATA'!K1090</f>
        <v>84024</v>
      </c>
      <c r="H57" s="8">
        <f>'MKT DATA'!L1090</f>
        <v>85626</v>
      </c>
      <c r="I57" s="13">
        <f>'MKT DATA'!M1090</f>
        <v>1</v>
      </c>
      <c r="J57" s="43" t="str">
        <f t="shared" si="2"/>
        <v>syn BTCX6/BTCZ6/BTCH7/BTCF7</v>
      </c>
      <c r="K57" s="8">
        <f>'MKT DATA'!O1090</f>
        <v>0</v>
      </c>
      <c r="L57" s="8">
        <f>'MKT DATA'!P1090</f>
        <v>84024</v>
      </c>
      <c r="M57" s="8">
        <f>'MKT DATA'!Q1090</f>
        <v>0</v>
      </c>
      <c r="N57" s="8">
        <f>'MKT DATA'!R1090</f>
        <v>0</v>
      </c>
      <c r="O57" s="8">
        <f>'MKT DATA'!S1090</f>
        <v>-85626</v>
      </c>
      <c r="P57" s="8">
        <f>'MKT DATA'!T1090</f>
        <v>0</v>
      </c>
      <c r="Q57" s="43" t="str">
        <f t="shared" si="3"/>
        <v>syn BTCX6/BTCZ6/BTCH7/BTCF7</v>
      </c>
      <c r="R57" s="13">
        <f>'MKT DATA'!AB1090</f>
        <v>0</v>
      </c>
    </row>
    <row r="58" spans="5:18" x14ac:dyDescent="0.25">
      <c r="E58" s="43" t="str">
        <f>'MKT DATA'!B1091</f>
        <v>syn BTCX6/BTCG7/BTCV6/BTCF7</v>
      </c>
      <c r="F58" s="13">
        <f>'MKT DATA'!J1091</f>
        <v>1</v>
      </c>
      <c r="G58" s="8">
        <f>'MKT DATA'!K1091</f>
        <v>84236</v>
      </c>
      <c r="H58" s="8">
        <f>'MKT DATA'!L1091</f>
        <v>85189</v>
      </c>
      <c r="I58" s="13">
        <f>'MKT DATA'!M1091</f>
        <v>1</v>
      </c>
      <c r="J58" s="43" t="str">
        <f t="shared" si="2"/>
        <v>syn BTCX6/BTCG7/BTCV6/BTCF7</v>
      </c>
      <c r="K58" s="8">
        <f>'MKT DATA'!O1091</f>
        <v>0</v>
      </c>
      <c r="L58" s="8">
        <f>'MKT DATA'!P1091</f>
        <v>84236</v>
      </c>
      <c r="M58" s="8">
        <f>'MKT DATA'!Q1091</f>
        <v>0</v>
      </c>
      <c r="N58" s="8">
        <f>'MKT DATA'!R1091</f>
        <v>0</v>
      </c>
      <c r="O58" s="8">
        <f>'MKT DATA'!S1091</f>
        <v>-85189</v>
      </c>
      <c r="P58" s="8">
        <f>'MKT DATA'!T1091</f>
        <v>0</v>
      </c>
      <c r="Q58" s="43" t="str">
        <f t="shared" si="3"/>
        <v>syn BTCX6/BTCG7/BTCV6/BTCF7</v>
      </c>
      <c r="R58" s="13">
        <f>'MKT DATA'!AB1091</f>
        <v>0</v>
      </c>
    </row>
    <row r="59" spans="5:18" x14ac:dyDescent="0.25">
      <c r="E59" s="43" t="str">
        <f>'MKT DATA'!B1092</f>
        <v>syn BTCX6/BTCG7/BTCZ6/BTCF7</v>
      </c>
      <c r="F59" s="13">
        <f>'MKT DATA'!J1092</f>
        <v>1</v>
      </c>
      <c r="G59" s="8">
        <f>'MKT DATA'!K1092</f>
        <v>84272</v>
      </c>
      <c r="H59" s="8">
        <f>'MKT DATA'!L1092</f>
        <v>85179</v>
      </c>
      <c r="I59" s="13">
        <f>'MKT DATA'!M1092</f>
        <v>1</v>
      </c>
      <c r="J59" s="43" t="str">
        <f t="shared" si="2"/>
        <v>syn BTCX6/BTCG7/BTCZ6/BTCF7</v>
      </c>
      <c r="K59" s="8">
        <f>'MKT DATA'!O1092</f>
        <v>0</v>
      </c>
      <c r="L59" s="8">
        <f>'MKT DATA'!P1092</f>
        <v>84272</v>
      </c>
      <c r="M59" s="8">
        <f>'MKT DATA'!Q1092</f>
        <v>0</v>
      </c>
      <c r="N59" s="8">
        <f>'MKT DATA'!R1092</f>
        <v>0</v>
      </c>
      <c r="O59" s="8">
        <f>'MKT DATA'!S1092</f>
        <v>-85179</v>
      </c>
      <c r="P59" s="8">
        <f>'MKT DATA'!T1092</f>
        <v>0</v>
      </c>
      <c r="Q59" s="43" t="str">
        <f t="shared" si="3"/>
        <v>syn BTCX6/BTCG7/BTCZ6/BTCF7</v>
      </c>
      <c r="R59" s="13">
        <f>'MKT DATA'!AB1092</f>
        <v>0</v>
      </c>
    </row>
    <row r="60" spans="5:18" x14ac:dyDescent="0.25">
      <c r="E60" s="43" t="str">
        <f>'MKT DATA'!B1093</f>
        <v>syn BTCX6/BTCG7/BTCH7/BTCF7</v>
      </c>
      <c r="F60" s="13">
        <f>'MKT DATA'!J1093</f>
        <v>1</v>
      </c>
      <c r="G60" s="8">
        <f>'MKT DATA'!K1093</f>
        <v>83900</v>
      </c>
      <c r="H60" s="8">
        <f>'MKT DATA'!L1093</f>
        <v>85610</v>
      </c>
      <c r="I60" s="13">
        <f>'MKT DATA'!M1093</f>
        <v>1</v>
      </c>
      <c r="J60" s="43" t="str">
        <f t="shared" si="2"/>
        <v>syn BTCX6/BTCG7/BTCH7/BTCF7</v>
      </c>
      <c r="K60" s="8">
        <f>'MKT DATA'!O1093</f>
        <v>0</v>
      </c>
      <c r="L60" s="8">
        <f>'MKT DATA'!P1093</f>
        <v>83900</v>
      </c>
      <c r="M60" s="8">
        <f>'MKT DATA'!Q1093</f>
        <v>0</v>
      </c>
      <c r="N60" s="8">
        <f>'MKT DATA'!R1093</f>
        <v>0</v>
      </c>
      <c r="O60" s="8">
        <f>'MKT DATA'!S1093</f>
        <v>-85610</v>
      </c>
      <c r="P60" s="8">
        <f>'MKT DATA'!T1093</f>
        <v>0</v>
      </c>
      <c r="Q60" s="43" t="str">
        <f t="shared" si="3"/>
        <v>syn BTCX6/BTCG7/BTCH7/BTCF7</v>
      </c>
      <c r="R60" s="13">
        <f>'MKT DATA'!AB1093</f>
        <v>0</v>
      </c>
    </row>
    <row r="61" spans="5:18" x14ac:dyDescent="0.25">
      <c r="E61" s="43" t="str">
        <f>'MKT DATA'!B1094</f>
        <v>syn BTCX6/BTCH7/BTCV6/BTCF7</v>
      </c>
      <c r="F61" s="13">
        <f>'MKT DATA'!J1094</f>
        <v>1</v>
      </c>
      <c r="G61" s="8">
        <f>'MKT DATA'!K1094</f>
        <v>83826</v>
      </c>
      <c r="H61" s="8">
        <f>'MKT DATA'!L1094</f>
        <v>85599</v>
      </c>
      <c r="I61" s="13">
        <f>'MKT DATA'!M1094</f>
        <v>1</v>
      </c>
      <c r="J61" s="43" t="str">
        <f t="shared" si="2"/>
        <v>syn BTCX6/BTCH7/BTCV6/BTCF7</v>
      </c>
      <c r="K61" s="8">
        <f>'MKT DATA'!O1094</f>
        <v>0</v>
      </c>
      <c r="L61" s="8">
        <f>'MKT DATA'!P1094</f>
        <v>83826</v>
      </c>
      <c r="M61" s="8">
        <f>'MKT DATA'!Q1094</f>
        <v>0</v>
      </c>
      <c r="N61" s="8">
        <f>'MKT DATA'!R1094</f>
        <v>0</v>
      </c>
      <c r="O61" s="8">
        <f>'MKT DATA'!S1094</f>
        <v>-85599</v>
      </c>
      <c r="P61" s="8">
        <f>'MKT DATA'!T1094</f>
        <v>0</v>
      </c>
      <c r="Q61" s="43" t="str">
        <f t="shared" si="3"/>
        <v>syn BTCX6/BTCH7/BTCV6/BTCF7</v>
      </c>
      <c r="R61" s="13">
        <f>'MKT DATA'!AB1094</f>
        <v>0</v>
      </c>
    </row>
    <row r="62" spans="5:18" x14ac:dyDescent="0.25">
      <c r="E62" s="43" t="str">
        <f>'MKT DATA'!B1095</f>
        <v>syn BTCX6/BTCH7/BTCZ6/BTCF7</v>
      </c>
      <c r="F62" s="13">
        <f>'MKT DATA'!J1095</f>
        <v>1</v>
      </c>
      <c r="G62" s="8">
        <f>'MKT DATA'!K1095</f>
        <v>83892</v>
      </c>
      <c r="H62" s="8">
        <f>'MKT DATA'!L1095</f>
        <v>85379</v>
      </c>
      <c r="I62" s="13">
        <f>'MKT DATA'!M1095</f>
        <v>1</v>
      </c>
      <c r="J62" s="43" t="str">
        <f t="shared" si="2"/>
        <v>syn BTCX6/BTCH7/BTCZ6/BTCF7</v>
      </c>
      <c r="K62" s="8">
        <f>'MKT DATA'!O1095</f>
        <v>0</v>
      </c>
      <c r="L62" s="8">
        <f>'MKT DATA'!P1095</f>
        <v>83892</v>
      </c>
      <c r="M62" s="8">
        <f>'MKT DATA'!Q1095</f>
        <v>0</v>
      </c>
      <c r="N62" s="8">
        <f>'MKT DATA'!R1095</f>
        <v>0</v>
      </c>
      <c r="O62" s="8">
        <f>'MKT DATA'!S1095</f>
        <v>-85379</v>
      </c>
      <c r="P62" s="8">
        <f>'MKT DATA'!T1095</f>
        <v>0</v>
      </c>
      <c r="Q62" s="43" t="str">
        <f t="shared" si="3"/>
        <v>syn BTCX6/BTCH7/BTCZ6/BTCF7</v>
      </c>
      <c r="R62" s="13">
        <f>'MKT DATA'!AB1095</f>
        <v>0</v>
      </c>
    </row>
    <row r="63" spans="5:18" x14ac:dyDescent="0.25">
      <c r="E63" s="43" t="str">
        <f>'MKT DATA'!B1096</f>
        <v>syn BTCX6/BTCH7/BTCG7/BTCF7</v>
      </c>
      <c r="F63" s="13">
        <f>'MKT DATA'!J1096</f>
        <v>1</v>
      </c>
      <c r="G63" s="8">
        <f>'MKT DATA'!K1096</f>
        <v>84030</v>
      </c>
      <c r="H63" s="8">
        <f>'MKT DATA'!L1096</f>
        <v>85386</v>
      </c>
      <c r="I63" s="13">
        <f>'MKT DATA'!M1096</f>
        <v>1</v>
      </c>
      <c r="J63" s="43" t="str">
        <f t="shared" si="2"/>
        <v>syn BTCX6/BTCH7/BTCG7/BTCF7</v>
      </c>
      <c r="K63" s="8">
        <f>'MKT DATA'!O1096</f>
        <v>0</v>
      </c>
      <c r="L63" s="8">
        <f>'MKT DATA'!P1096</f>
        <v>84030</v>
      </c>
      <c r="M63" s="8">
        <f>'MKT DATA'!Q1096</f>
        <v>0</v>
      </c>
      <c r="N63" s="8">
        <f>'MKT DATA'!R1096</f>
        <v>0</v>
      </c>
      <c r="O63" s="8">
        <f>'MKT DATA'!S1096</f>
        <v>-85386</v>
      </c>
      <c r="P63" s="8">
        <f>'MKT DATA'!T1096</f>
        <v>0</v>
      </c>
      <c r="Q63" s="43" t="str">
        <f t="shared" si="3"/>
        <v>syn BTCX6/BTCH7/BTCG7/BTCF7</v>
      </c>
      <c r="R63" s="13">
        <f>'MKT DATA'!AB1096</f>
        <v>0</v>
      </c>
    </row>
    <row r="64" spans="5:18" x14ac:dyDescent="0.25">
      <c r="E64" s="43" t="str">
        <f>'MKT DATA'!B1097</f>
        <v>syn BTCZ6/BTCV6/BTCX6/BTCF7</v>
      </c>
      <c r="F64" s="13">
        <f>'MKT DATA'!J1097</f>
        <v>1</v>
      </c>
      <c r="G64" s="8">
        <f>'MKT DATA'!K1097</f>
        <v>84586</v>
      </c>
      <c r="H64" s="8">
        <f>'MKT DATA'!L1097</f>
        <v>84834</v>
      </c>
      <c r="I64" s="13">
        <f>'MKT DATA'!M1097</f>
        <v>1</v>
      </c>
      <c r="J64" s="43" t="str">
        <f t="shared" si="2"/>
        <v>syn BTCZ6/BTCV6/BTCX6/BTCF7</v>
      </c>
      <c r="K64" s="8">
        <f>'MKT DATA'!O1097</f>
        <v>0</v>
      </c>
      <c r="L64" s="8">
        <f>'MKT DATA'!P1097</f>
        <v>84586</v>
      </c>
      <c r="M64" s="8">
        <f>'MKT DATA'!Q1097</f>
        <v>0</v>
      </c>
      <c r="N64" s="8">
        <f>'MKT DATA'!R1097</f>
        <v>0</v>
      </c>
      <c r="O64" s="8">
        <f>'MKT DATA'!S1097</f>
        <v>-84834</v>
      </c>
      <c r="P64" s="8">
        <f>'MKT DATA'!T1097</f>
        <v>0</v>
      </c>
      <c r="Q64" s="43" t="str">
        <f t="shared" si="3"/>
        <v>syn BTCZ6/BTCV6/BTCX6/BTCF7</v>
      </c>
      <c r="R64" s="13">
        <f>'MKT DATA'!AB1097</f>
        <v>0</v>
      </c>
    </row>
    <row r="65" spans="5:18" x14ac:dyDescent="0.25">
      <c r="E65" s="43" t="str">
        <f>'MKT DATA'!B1098</f>
        <v>syn BTCZ6/BTCV6/BTCG7/BTCF7</v>
      </c>
      <c r="F65" s="13">
        <f>'MKT DATA'!J1098</f>
        <v>1</v>
      </c>
      <c r="G65" s="8">
        <f>'MKT DATA'!K1098</f>
        <v>84403</v>
      </c>
      <c r="H65" s="8">
        <f>'MKT DATA'!L1098</f>
        <v>85060</v>
      </c>
      <c r="I65" s="13">
        <f>'MKT DATA'!M1098</f>
        <v>1</v>
      </c>
      <c r="J65" s="43" t="str">
        <f t="shared" si="2"/>
        <v>syn BTCZ6/BTCV6/BTCG7/BTCF7</v>
      </c>
      <c r="K65" s="8">
        <f>'MKT DATA'!O1098</f>
        <v>0</v>
      </c>
      <c r="L65" s="8">
        <f>'MKT DATA'!P1098</f>
        <v>84403</v>
      </c>
      <c r="M65" s="8">
        <f>'MKT DATA'!Q1098</f>
        <v>0</v>
      </c>
      <c r="N65" s="8">
        <f>'MKT DATA'!R1098</f>
        <v>0</v>
      </c>
      <c r="O65" s="8">
        <f>'MKT DATA'!S1098</f>
        <v>-85060</v>
      </c>
      <c r="P65" s="8">
        <f>'MKT DATA'!T1098</f>
        <v>0</v>
      </c>
      <c r="Q65" s="43" t="str">
        <f t="shared" si="3"/>
        <v>syn BTCZ6/BTCV6/BTCG7/BTCF7</v>
      </c>
      <c r="R65" s="13">
        <f>'MKT DATA'!AB1098</f>
        <v>0</v>
      </c>
    </row>
    <row r="66" spans="5:18" x14ac:dyDescent="0.25">
      <c r="E66" s="43" t="str">
        <f>'MKT DATA'!B1099</f>
        <v>syn BTCZ6/BTCV6/BTCH7/BTCF7</v>
      </c>
      <c r="F66" s="13">
        <f>'MKT DATA'!J1099</f>
        <v>1</v>
      </c>
      <c r="G66" s="8">
        <f>'MKT DATA'!K1099</f>
        <v>83808</v>
      </c>
      <c r="H66" s="8">
        <f>'MKT DATA'!L1099</f>
        <v>85639</v>
      </c>
      <c r="I66" s="13">
        <f>'MKT DATA'!M1099</f>
        <v>1</v>
      </c>
      <c r="J66" s="43" t="str">
        <f t="shared" si="2"/>
        <v>syn BTCZ6/BTCV6/BTCH7/BTCF7</v>
      </c>
      <c r="K66" s="8">
        <f>'MKT DATA'!O1099</f>
        <v>0</v>
      </c>
      <c r="L66" s="8">
        <f>'MKT DATA'!P1099</f>
        <v>83808</v>
      </c>
      <c r="M66" s="8">
        <f>'MKT DATA'!Q1099</f>
        <v>0</v>
      </c>
      <c r="N66" s="8">
        <f>'MKT DATA'!R1099</f>
        <v>0</v>
      </c>
      <c r="O66" s="8">
        <f>'MKT DATA'!S1099</f>
        <v>-85639</v>
      </c>
      <c r="P66" s="8">
        <f>'MKT DATA'!T1099</f>
        <v>0</v>
      </c>
      <c r="Q66" s="43" t="str">
        <f t="shared" si="3"/>
        <v>syn BTCZ6/BTCV6/BTCH7/BTCF7</v>
      </c>
      <c r="R66" s="13">
        <f>'MKT DATA'!AB1099</f>
        <v>0</v>
      </c>
    </row>
    <row r="67" spans="5:18" x14ac:dyDescent="0.25">
      <c r="E67" s="43" t="str">
        <f>'MKT DATA'!B1100</f>
        <v>syn BTCZ6/BTCX6/BTCV6/BTCF7</v>
      </c>
      <c r="F67" s="13">
        <f>'MKT DATA'!J1100</f>
        <v>1</v>
      </c>
      <c r="G67" s="8">
        <f>'MKT DATA'!K1100</f>
        <v>84569</v>
      </c>
      <c r="H67" s="8">
        <f>'MKT DATA'!L1100</f>
        <v>84848</v>
      </c>
      <c r="I67" s="13">
        <f>'MKT DATA'!M1100</f>
        <v>1</v>
      </c>
      <c r="J67" s="43" t="str">
        <f t="shared" si="2"/>
        <v>syn BTCZ6/BTCX6/BTCV6/BTCF7</v>
      </c>
      <c r="K67" s="8">
        <f>'MKT DATA'!O1100</f>
        <v>0</v>
      </c>
      <c r="L67" s="8">
        <f>'MKT DATA'!P1100</f>
        <v>84569</v>
      </c>
      <c r="M67" s="8">
        <f>'MKT DATA'!Q1100</f>
        <v>0</v>
      </c>
      <c r="N67" s="8">
        <f>'MKT DATA'!R1100</f>
        <v>0</v>
      </c>
      <c r="O67" s="8">
        <f>'MKT DATA'!S1100</f>
        <v>-84848</v>
      </c>
      <c r="P67" s="8">
        <f>'MKT DATA'!T1100</f>
        <v>0</v>
      </c>
      <c r="Q67" s="43" t="str">
        <f t="shared" si="3"/>
        <v>syn BTCZ6/BTCX6/BTCV6/BTCF7</v>
      </c>
      <c r="R67" s="13">
        <f>'MKT DATA'!AB1100</f>
        <v>0</v>
      </c>
    </row>
    <row r="68" spans="5:18" x14ac:dyDescent="0.25">
      <c r="E68" s="43" t="str">
        <f>'MKT DATA'!B1101</f>
        <v>syn BTCZ6/BTCX6/BTCG7/BTCF7</v>
      </c>
      <c r="F68" s="13">
        <f>'MKT DATA'!J1101</f>
        <v>1</v>
      </c>
      <c r="G68" s="8">
        <f>'MKT DATA'!K1101</f>
        <v>84394</v>
      </c>
      <c r="H68" s="8">
        <f>'MKT DATA'!L1101</f>
        <v>85062</v>
      </c>
      <c r="I68" s="13">
        <f>'MKT DATA'!M1101</f>
        <v>1</v>
      </c>
      <c r="J68" s="43" t="str">
        <f t="shared" si="2"/>
        <v>syn BTCZ6/BTCX6/BTCG7/BTCF7</v>
      </c>
      <c r="K68" s="8">
        <f>'MKT DATA'!O1101</f>
        <v>0</v>
      </c>
      <c r="L68" s="8">
        <f>'MKT DATA'!P1101</f>
        <v>84394</v>
      </c>
      <c r="M68" s="8">
        <f>'MKT DATA'!Q1101</f>
        <v>0</v>
      </c>
      <c r="N68" s="8">
        <f>'MKT DATA'!R1101</f>
        <v>0</v>
      </c>
      <c r="O68" s="8">
        <f>'MKT DATA'!S1101</f>
        <v>-85062</v>
      </c>
      <c r="P68" s="8">
        <f>'MKT DATA'!T1101</f>
        <v>0</v>
      </c>
      <c r="Q68" s="43" t="str">
        <f t="shared" si="3"/>
        <v>syn BTCZ6/BTCX6/BTCG7/BTCF7</v>
      </c>
      <c r="R68" s="13">
        <f>'MKT DATA'!AB1101</f>
        <v>0</v>
      </c>
    </row>
    <row r="69" spans="5:18" x14ac:dyDescent="0.25">
      <c r="E69" s="43" t="str">
        <f>'MKT DATA'!B1102</f>
        <v>syn BTCZ6/BTCX6/BTCH7/BTCF7</v>
      </c>
      <c r="F69" s="13">
        <f>'MKT DATA'!J1102</f>
        <v>1</v>
      </c>
      <c r="G69" s="8">
        <f>'MKT DATA'!K1102</f>
        <v>83799</v>
      </c>
      <c r="H69" s="8">
        <f>'MKT DATA'!L1102</f>
        <v>85641</v>
      </c>
      <c r="I69" s="13">
        <f>'MKT DATA'!M1102</f>
        <v>1</v>
      </c>
      <c r="J69" s="43" t="str">
        <f t="shared" si="2"/>
        <v>syn BTCZ6/BTCX6/BTCH7/BTCF7</v>
      </c>
      <c r="K69" s="8">
        <f>'MKT DATA'!O1102</f>
        <v>0</v>
      </c>
      <c r="L69" s="8">
        <f>'MKT DATA'!P1102</f>
        <v>83799</v>
      </c>
      <c r="M69" s="8">
        <f>'MKT DATA'!Q1102</f>
        <v>0</v>
      </c>
      <c r="N69" s="8">
        <f>'MKT DATA'!R1102</f>
        <v>0</v>
      </c>
      <c r="O69" s="8">
        <f>'MKT DATA'!S1102</f>
        <v>-85641</v>
      </c>
      <c r="P69" s="8">
        <f>'MKT DATA'!T1102</f>
        <v>0</v>
      </c>
      <c r="Q69" s="43" t="str">
        <f t="shared" si="3"/>
        <v>syn BTCZ6/BTCX6/BTCH7/BTCF7</v>
      </c>
      <c r="R69" s="13">
        <f>'MKT DATA'!AB1102</f>
        <v>0</v>
      </c>
    </row>
    <row r="70" spans="5:18" x14ac:dyDescent="0.25">
      <c r="E70" s="43" t="str">
        <f>'MKT DATA'!B1103</f>
        <v>syn BTCZ6/BTCG7/BTCV6/BTCF7</v>
      </c>
      <c r="F70" s="13">
        <f>'MKT DATA'!J1103</f>
        <v>1</v>
      </c>
      <c r="G70" s="8">
        <f>'MKT DATA'!K1103</f>
        <v>84191</v>
      </c>
      <c r="H70" s="8">
        <f>'MKT DATA'!L1103</f>
        <v>85234</v>
      </c>
      <c r="I70" s="13">
        <f>'MKT DATA'!M1103</f>
        <v>1</v>
      </c>
      <c r="J70" s="43" t="str">
        <f t="shared" si="2"/>
        <v>syn BTCZ6/BTCG7/BTCV6/BTCF7</v>
      </c>
      <c r="K70" s="8">
        <f>'MKT DATA'!O1103</f>
        <v>0</v>
      </c>
      <c r="L70" s="8">
        <f>'MKT DATA'!P1103</f>
        <v>84191</v>
      </c>
      <c r="M70" s="8">
        <f>'MKT DATA'!Q1103</f>
        <v>0</v>
      </c>
      <c r="N70" s="8">
        <f>'MKT DATA'!R1103</f>
        <v>0</v>
      </c>
      <c r="O70" s="8">
        <f>'MKT DATA'!S1103</f>
        <v>-85234</v>
      </c>
      <c r="P70" s="8">
        <f>'MKT DATA'!T1103</f>
        <v>0</v>
      </c>
      <c r="Q70" s="43" t="str">
        <f t="shared" si="3"/>
        <v>syn BTCZ6/BTCG7/BTCV6/BTCF7</v>
      </c>
      <c r="R70" s="13">
        <f>'MKT DATA'!AB1103</f>
        <v>0</v>
      </c>
    </row>
    <row r="71" spans="5:18" x14ac:dyDescent="0.25">
      <c r="E71" s="43" t="str">
        <f>'MKT DATA'!B1104</f>
        <v>syn BTCZ6/BTCG7/BTCX6/BTCF7</v>
      </c>
      <c r="F71" s="13">
        <f>'MKT DATA'!J1104</f>
        <v>1</v>
      </c>
      <c r="G71" s="8">
        <f>'MKT DATA'!K1104</f>
        <v>84206</v>
      </c>
      <c r="H71" s="8">
        <f>'MKT DATA'!L1104</f>
        <v>85229</v>
      </c>
      <c r="I71" s="13">
        <f>'MKT DATA'!M1104</f>
        <v>1</v>
      </c>
      <c r="J71" s="43" t="str">
        <f t="shared" si="2"/>
        <v>syn BTCZ6/BTCG7/BTCX6/BTCF7</v>
      </c>
      <c r="K71" s="8">
        <f>'MKT DATA'!O1104</f>
        <v>0</v>
      </c>
      <c r="L71" s="8">
        <f>'MKT DATA'!P1104</f>
        <v>84206</v>
      </c>
      <c r="M71" s="8">
        <f>'MKT DATA'!Q1104</f>
        <v>0</v>
      </c>
      <c r="N71" s="8">
        <f>'MKT DATA'!R1104</f>
        <v>0</v>
      </c>
      <c r="O71" s="8">
        <f>'MKT DATA'!S1104</f>
        <v>-85229</v>
      </c>
      <c r="P71" s="8">
        <f>'MKT DATA'!T1104</f>
        <v>0</v>
      </c>
      <c r="Q71" s="43" t="str">
        <f t="shared" si="3"/>
        <v>syn BTCZ6/BTCG7/BTCX6/BTCF7</v>
      </c>
      <c r="R71" s="13">
        <f>'MKT DATA'!AB1104</f>
        <v>0</v>
      </c>
    </row>
    <row r="72" spans="5:18" x14ac:dyDescent="0.25">
      <c r="E72" s="43" t="str">
        <f>'MKT DATA'!B1105</f>
        <v>syn BTCZ6/BTCG7/BTCH7/BTCF7</v>
      </c>
      <c r="F72" s="13">
        <f>'MKT DATA'!J1105</f>
        <v>1</v>
      </c>
      <c r="G72" s="8">
        <f>'MKT DATA'!K1105</f>
        <v>83855</v>
      </c>
      <c r="H72" s="8">
        <f>'MKT DATA'!L1105</f>
        <v>85655</v>
      </c>
      <c r="I72" s="13">
        <f>'MKT DATA'!M1105</f>
        <v>1</v>
      </c>
      <c r="J72" s="43" t="str">
        <f t="shared" si="2"/>
        <v>syn BTCZ6/BTCG7/BTCH7/BTCF7</v>
      </c>
      <c r="K72" s="8">
        <f>'MKT DATA'!O1105</f>
        <v>0</v>
      </c>
      <c r="L72" s="8">
        <f>'MKT DATA'!P1105</f>
        <v>83855</v>
      </c>
      <c r="M72" s="8">
        <f>'MKT DATA'!Q1105</f>
        <v>0</v>
      </c>
      <c r="N72" s="8">
        <f>'MKT DATA'!R1105</f>
        <v>0</v>
      </c>
      <c r="O72" s="8">
        <f>'MKT DATA'!S1105</f>
        <v>-85655</v>
      </c>
      <c r="P72" s="8">
        <f>'MKT DATA'!T1105</f>
        <v>0</v>
      </c>
      <c r="Q72" s="43" t="str">
        <f t="shared" si="3"/>
        <v>syn BTCZ6/BTCG7/BTCH7/BTCF7</v>
      </c>
      <c r="R72" s="13">
        <f>'MKT DATA'!AB1105</f>
        <v>0</v>
      </c>
    </row>
    <row r="73" spans="5:18" x14ac:dyDescent="0.25">
      <c r="E73" s="43" t="str">
        <f>'MKT DATA'!B1106</f>
        <v>syn BTCZ6/BTCH7/BTCV6/BTCF7</v>
      </c>
      <c r="F73" s="13">
        <f>'MKT DATA'!J1106</f>
        <v>1</v>
      </c>
      <c r="G73" s="8">
        <f>'MKT DATA'!K1106</f>
        <v>83991</v>
      </c>
      <c r="H73" s="8">
        <f>'MKT DATA'!L1106</f>
        <v>85614</v>
      </c>
      <c r="I73" s="13">
        <f>'MKT DATA'!M1106</f>
        <v>1</v>
      </c>
      <c r="J73" s="43" t="str">
        <f t="shared" si="2"/>
        <v>syn BTCZ6/BTCH7/BTCV6/BTCF7</v>
      </c>
      <c r="K73" s="8">
        <f>'MKT DATA'!O1106</f>
        <v>0</v>
      </c>
      <c r="L73" s="8">
        <f>'MKT DATA'!P1106</f>
        <v>83991</v>
      </c>
      <c r="M73" s="8">
        <f>'MKT DATA'!Q1106</f>
        <v>0</v>
      </c>
      <c r="N73" s="8">
        <f>'MKT DATA'!R1106</f>
        <v>0</v>
      </c>
      <c r="O73" s="8">
        <f>'MKT DATA'!S1106</f>
        <v>-85614</v>
      </c>
      <c r="P73" s="8">
        <f>'MKT DATA'!T1106</f>
        <v>0</v>
      </c>
      <c r="Q73" s="43" t="str">
        <f t="shared" si="3"/>
        <v>syn BTCZ6/BTCH7/BTCV6/BTCF7</v>
      </c>
      <c r="R73" s="13">
        <f>'MKT DATA'!AB1106</f>
        <v>0</v>
      </c>
    </row>
    <row r="74" spans="5:18" x14ac:dyDescent="0.25">
      <c r="E74" s="43" t="str">
        <f>'MKT DATA'!B1107</f>
        <v>syn BTCZ6/BTCH7/BTCX6/BTCF7</v>
      </c>
      <c r="F74" s="13">
        <f>'MKT DATA'!J1107</f>
        <v>1</v>
      </c>
      <c r="G74" s="8">
        <f>'MKT DATA'!K1107</f>
        <v>84006</v>
      </c>
      <c r="H74" s="8">
        <f>'MKT DATA'!L1107</f>
        <v>85609</v>
      </c>
      <c r="I74" s="13">
        <f>'MKT DATA'!M1107</f>
        <v>1</v>
      </c>
      <c r="J74" s="43" t="str">
        <f t="shared" ref="J74:J137" si="4">E74</f>
        <v>syn BTCZ6/BTCH7/BTCX6/BTCF7</v>
      </c>
      <c r="K74" s="8">
        <f>'MKT DATA'!O1107</f>
        <v>0</v>
      </c>
      <c r="L74" s="8">
        <f>'MKT DATA'!P1107</f>
        <v>84006</v>
      </c>
      <c r="M74" s="8">
        <f>'MKT DATA'!Q1107</f>
        <v>0</v>
      </c>
      <c r="N74" s="8">
        <f>'MKT DATA'!R1107</f>
        <v>0</v>
      </c>
      <c r="O74" s="8">
        <f>'MKT DATA'!S1107</f>
        <v>-85609</v>
      </c>
      <c r="P74" s="8">
        <f>'MKT DATA'!T1107</f>
        <v>0</v>
      </c>
      <c r="Q74" s="43" t="str">
        <f t="shared" ref="Q74:Q137" si="5">J74</f>
        <v>syn BTCZ6/BTCH7/BTCX6/BTCF7</v>
      </c>
      <c r="R74" s="13">
        <f>'MKT DATA'!AB1107</f>
        <v>0</v>
      </c>
    </row>
    <row r="75" spans="5:18" x14ac:dyDescent="0.25">
      <c r="E75" s="43" t="str">
        <f>'MKT DATA'!B1108</f>
        <v>syn BTCZ6/BTCH7/BTCG7/BTCF7</v>
      </c>
      <c r="F75" s="13">
        <f>'MKT DATA'!J1108</f>
        <v>1</v>
      </c>
      <c r="G75" s="8">
        <f>'MKT DATA'!K1108</f>
        <v>84195</v>
      </c>
      <c r="H75" s="8">
        <f>'MKT DATA'!L1108</f>
        <v>85401</v>
      </c>
      <c r="I75" s="13">
        <f>'MKT DATA'!M1108</f>
        <v>1</v>
      </c>
      <c r="J75" s="43" t="str">
        <f t="shared" si="4"/>
        <v>syn BTCZ6/BTCH7/BTCG7/BTCF7</v>
      </c>
      <c r="K75" s="8">
        <f>'MKT DATA'!O1108</f>
        <v>0</v>
      </c>
      <c r="L75" s="8">
        <f>'MKT DATA'!P1108</f>
        <v>84195</v>
      </c>
      <c r="M75" s="8">
        <f>'MKT DATA'!Q1108</f>
        <v>0</v>
      </c>
      <c r="N75" s="8">
        <f>'MKT DATA'!R1108</f>
        <v>0</v>
      </c>
      <c r="O75" s="8">
        <f>'MKT DATA'!S1108</f>
        <v>-85401</v>
      </c>
      <c r="P75" s="8">
        <f>'MKT DATA'!T1108</f>
        <v>0</v>
      </c>
      <c r="Q75" s="43" t="str">
        <f t="shared" si="5"/>
        <v>syn BTCZ6/BTCH7/BTCG7/BTCF7</v>
      </c>
      <c r="R75" s="13">
        <f>'MKT DATA'!AB1108</f>
        <v>0</v>
      </c>
    </row>
    <row r="76" spans="5:18" x14ac:dyDescent="0.25">
      <c r="E76" s="43" t="str">
        <f>'MKT DATA'!B1109</f>
        <v>syn BTCG7/BTCV6/BTCX6/BTCF7</v>
      </c>
      <c r="F76" s="13">
        <f>'MKT DATA'!J1109</f>
        <v>1</v>
      </c>
      <c r="G76" s="8">
        <f>'MKT DATA'!K1109</f>
        <v>84313</v>
      </c>
      <c r="H76" s="8">
        <f>'MKT DATA'!L1109</f>
        <v>85115</v>
      </c>
      <c r="I76" s="13">
        <f>'MKT DATA'!M1109</f>
        <v>1</v>
      </c>
      <c r="J76" s="43" t="str">
        <f t="shared" si="4"/>
        <v>syn BTCG7/BTCV6/BTCX6/BTCF7</v>
      </c>
      <c r="K76" s="8">
        <f>'MKT DATA'!O1109</f>
        <v>0</v>
      </c>
      <c r="L76" s="8">
        <f>'MKT DATA'!P1109</f>
        <v>84313</v>
      </c>
      <c r="M76" s="8">
        <f>'MKT DATA'!Q1109</f>
        <v>0</v>
      </c>
      <c r="N76" s="8">
        <f>'MKT DATA'!R1109</f>
        <v>0</v>
      </c>
      <c r="O76" s="8">
        <f>'MKT DATA'!S1109</f>
        <v>-85115</v>
      </c>
      <c r="P76" s="8">
        <f>'MKT DATA'!T1109</f>
        <v>0</v>
      </c>
      <c r="Q76" s="43" t="str">
        <f t="shared" si="5"/>
        <v>syn BTCG7/BTCV6/BTCX6/BTCF7</v>
      </c>
      <c r="R76" s="13">
        <f>'MKT DATA'!AB1109</f>
        <v>0</v>
      </c>
    </row>
    <row r="77" spans="5:18" x14ac:dyDescent="0.25">
      <c r="E77" s="43" t="str">
        <f>'MKT DATA'!B1110</f>
        <v>syn BTCG7/BTCV6/BTCZ6/BTCF7</v>
      </c>
      <c r="F77" s="13">
        <f>'MKT DATA'!J1110</f>
        <v>1</v>
      </c>
      <c r="G77" s="8">
        <f>'MKT DATA'!K1110</f>
        <v>84348</v>
      </c>
      <c r="H77" s="8">
        <f>'MKT DATA'!L1110</f>
        <v>85111</v>
      </c>
      <c r="I77" s="13">
        <f>'MKT DATA'!M1110</f>
        <v>1</v>
      </c>
      <c r="J77" s="43" t="str">
        <f t="shared" si="4"/>
        <v>syn BTCG7/BTCV6/BTCZ6/BTCF7</v>
      </c>
      <c r="K77" s="8">
        <f>'MKT DATA'!O1110</f>
        <v>0</v>
      </c>
      <c r="L77" s="8">
        <f>'MKT DATA'!P1110</f>
        <v>84348</v>
      </c>
      <c r="M77" s="8">
        <f>'MKT DATA'!Q1110</f>
        <v>0</v>
      </c>
      <c r="N77" s="8">
        <f>'MKT DATA'!R1110</f>
        <v>0</v>
      </c>
      <c r="O77" s="8">
        <f>'MKT DATA'!S1110</f>
        <v>-85111</v>
      </c>
      <c r="P77" s="8">
        <f>'MKT DATA'!T1110</f>
        <v>0</v>
      </c>
      <c r="Q77" s="43" t="str">
        <f t="shared" si="5"/>
        <v>syn BTCG7/BTCV6/BTCZ6/BTCF7</v>
      </c>
      <c r="R77" s="13">
        <f>'MKT DATA'!AB1110</f>
        <v>0</v>
      </c>
    </row>
    <row r="78" spans="5:18" x14ac:dyDescent="0.25">
      <c r="E78" s="43" t="str">
        <f>'MKT DATA'!B1111</f>
        <v>syn BTCG7/BTCV6/BTCH7/BTCF7</v>
      </c>
      <c r="F78" s="13">
        <f>'MKT DATA'!J1111</f>
        <v>1</v>
      </c>
      <c r="G78" s="8">
        <f>'MKT DATA'!K1111</f>
        <v>83535</v>
      </c>
      <c r="H78" s="8">
        <f>'MKT DATA'!L1111</f>
        <v>85920</v>
      </c>
      <c r="I78" s="13">
        <f>'MKT DATA'!M1111</f>
        <v>1</v>
      </c>
      <c r="J78" s="43" t="str">
        <f t="shared" si="4"/>
        <v>syn BTCG7/BTCV6/BTCH7/BTCF7</v>
      </c>
      <c r="K78" s="8">
        <f>'MKT DATA'!O1111</f>
        <v>0</v>
      </c>
      <c r="L78" s="8">
        <f>'MKT DATA'!P1111</f>
        <v>83535</v>
      </c>
      <c r="M78" s="8">
        <f>'MKT DATA'!Q1111</f>
        <v>0</v>
      </c>
      <c r="N78" s="8">
        <f>'MKT DATA'!R1111</f>
        <v>0</v>
      </c>
      <c r="O78" s="8">
        <f>'MKT DATA'!S1111</f>
        <v>-85920</v>
      </c>
      <c r="P78" s="8">
        <f>'MKT DATA'!T1111</f>
        <v>0</v>
      </c>
      <c r="Q78" s="43" t="str">
        <f t="shared" si="5"/>
        <v>syn BTCG7/BTCV6/BTCH7/BTCF7</v>
      </c>
      <c r="R78" s="13">
        <f>'MKT DATA'!AB1111</f>
        <v>0</v>
      </c>
    </row>
    <row r="79" spans="5:18" x14ac:dyDescent="0.25">
      <c r="E79" s="43" t="str">
        <f>'MKT DATA'!B1112</f>
        <v>syn BTCG7/BTCX6/BTCV6/BTCF7</v>
      </c>
      <c r="F79" s="13">
        <f>'MKT DATA'!J1112</f>
        <v>1</v>
      </c>
      <c r="G79" s="8">
        <f>'MKT DATA'!K1112</f>
        <v>84280</v>
      </c>
      <c r="H79" s="8">
        <f>'MKT DATA'!L1112</f>
        <v>85152</v>
      </c>
      <c r="I79" s="13">
        <f>'MKT DATA'!M1112</f>
        <v>1</v>
      </c>
      <c r="J79" s="43" t="str">
        <f t="shared" si="4"/>
        <v>syn BTCG7/BTCX6/BTCV6/BTCF7</v>
      </c>
      <c r="K79" s="8">
        <f>'MKT DATA'!O1112</f>
        <v>0</v>
      </c>
      <c r="L79" s="8">
        <f>'MKT DATA'!P1112</f>
        <v>84280</v>
      </c>
      <c r="M79" s="8">
        <f>'MKT DATA'!Q1112</f>
        <v>0</v>
      </c>
      <c r="N79" s="8">
        <f>'MKT DATA'!R1112</f>
        <v>0</v>
      </c>
      <c r="O79" s="8">
        <f>'MKT DATA'!S1112</f>
        <v>-85152</v>
      </c>
      <c r="P79" s="8">
        <f>'MKT DATA'!T1112</f>
        <v>0</v>
      </c>
      <c r="Q79" s="43" t="str">
        <f t="shared" si="5"/>
        <v>syn BTCG7/BTCX6/BTCV6/BTCF7</v>
      </c>
      <c r="R79" s="13">
        <f>'MKT DATA'!AB1112</f>
        <v>0</v>
      </c>
    </row>
    <row r="80" spans="5:18" x14ac:dyDescent="0.25">
      <c r="E80" s="43" t="str">
        <f>'MKT DATA'!B1113</f>
        <v>syn BTCG7/BTCX6/BTCZ6/BTCF7</v>
      </c>
      <c r="F80" s="13">
        <f>'MKT DATA'!J1113</f>
        <v>1</v>
      </c>
      <c r="G80" s="8">
        <f>'MKT DATA'!K1113</f>
        <v>84346</v>
      </c>
      <c r="H80" s="8">
        <f>'MKT DATA'!L1113</f>
        <v>85120</v>
      </c>
      <c r="I80" s="13">
        <f>'MKT DATA'!M1113</f>
        <v>1</v>
      </c>
      <c r="J80" s="43" t="str">
        <f t="shared" si="4"/>
        <v>syn BTCG7/BTCX6/BTCZ6/BTCF7</v>
      </c>
      <c r="K80" s="8">
        <f>'MKT DATA'!O1113</f>
        <v>0</v>
      </c>
      <c r="L80" s="8">
        <f>'MKT DATA'!P1113</f>
        <v>84346</v>
      </c>
      <c r="M80" s="8">
        <f>'MKT DATA'!Q1113</f>
        <v>0</v>
      </c>
      <c r="N80" s="8">
        <f>'MKT DATA'!R1113</f>
        <v>0</v>
      </c>
      <c r="O80" s="8">
        <f>'MKT DATA'!S1113</f>
        <v>-85120</v>
      </c>
      <c r="P80" s="8">
        <f>'MKT DATA'!T1113</f>
        <v>0</v>
      </c>
      <c r="Q80" s="43" t="str">
        <f t="shared" si="5"/>
        <v>syn BTCG7/BTCX6/BTCZ6/BTCF7</v>
      </c>
      <c r="R80" s="13">
        <f>'MKT DATA'!AB1113</f>
        <v>0</v>
      </c>
    </row>
    <row r="81" spans="5:18" x14ac:dyDescent="0.25">
      <c r="E81" s="43" t="str">
        <f>'MKT DATA'!B1114</f>
        <v>syn BTCG7/BTCX6/BTCH7/BTCF7</v>
      </c>
      <c r="F81" s="13">
        <f>'MKT DATA'!J1114</f>
        <v>1</v>
      </c>
      <c r="G81" s="8">
        <f>'MKT DATA'!K1114</f>
        <v>83510</v>
      </c>
      <c r="H81" s="8">
        <f>'MKT DATA'!L1114</f>
        <v>85945</v>
      </c>
      <c r="I81" s="13">
        <f>'MKT DATA'!M1114</f>
        <v>1</v>
      </c>
      <c r="J81" s="43" t="str">
        <f t="shared" si="4"/>
        <v>syn BTCG7/BTCX6/BTCH7/BTCF7</v>
      </c>
      <c r="K81" s="8">
        <f>'MKT DATA'!O1114</f>
        <v>0</v>
      </c>
      <c r="L81" s="8">
        <f>'MKT DATA'!P1114</f>
        <v>83510</v>
      </c>
      <c r="M81" s="8">
        <f>'MKT DATA'!Q1114</f>
        <v>0</v>
      </c>
      <c r="N81" s="8">
        <f>'MKT DATA'!R1114</f>
        <v>0</v>
      </c>
      <c r="O81" s="8">
        <f>'MKT DATA'!S1114</f>
        <v>-85945</v>
      </c>
      <c r="P81" s="8">
        <f>'MKT DATA'!T1114</f>
        <v>0</v>
      </c>
      <c r="Q81" s="43" t="str">
        <f t="shared" si="5"/>
        <v>syn BTCG7/BTCX6/BTCH7/BTCF7</v>
      </c>
      <c r="R81" s="13">
        <f>'MKT DATA'!AB1114</f>
        <v>0</v>
      </c>
    </row>
    <row r="82" spans="5:18" x14ac:dyDescent="0.25">
      <c r="E82" s="43" t="str">
        <f>'MKT DATA'!B1115</f>
        <v>syn BTCG7/BTCZ6/BTCV6/BTCF7</v>
      </c>
      <c r="F82" s="13">
        <f>'MKT DATA'!J1115</f>
        <v>1</v>
      </c>
      <c r="G82" s="8">
        <f>'MKT DATA'!K1115</f>
        <v>84234</v>
      </c>
      <c r="H82" s="8">
        <f>'MKT DATA'!L1115</f>
        <v>85183</v>
      </c>
      <c r="I82" s="13">
        <f>'MKT DATA'!M1115</f>
        <v>1</v>
      </c>
      <c r="J82" s="43" t="str">
        <f t="shared" si="4"/>
        <v>syn BTCG7/BTCZ6/BTCV6/BTCF7</v>
      </c>
      <c r="K82" s="8">
        <f>'MKT DATA'!O1115</f>
        <v>0</v>
      </c>
      <c r="L82" s="8">
        <f>'MKT DATA'!P1115</f>
        <v>84234</v>
      </c>
      <c r="M82" s="8">
        <f>'MKT DATA'!Q1115</f>
        <v>0</v>
      </c>
      <c r="N82" s="8">
        <f>'MKT DATA'!R1115</f>
        <v>0</v>
      </c>
      <c r="O82" s="8">
        <f>'MKT DATA'!S1115</f>
        <v>-85183</v>
      </c>
      <c r="P82" s="8">
        <f>'MKT DATA'!T1115</f>
        <v>0</v>
      </c>
      <c r="Q82" s="43" t="str">
        <f t="shared" si="5"/>
        <v>syn BTCG7/BTCZ6/BTCV6/BTCF7</v>
      </c>
      <c r="R82" s="13">
        <f>'MKT DATA'!AB1115</f>
        <v>0</v>
      </c>
    </row>
    <row r="83" spans="5:18" x14ac:dyDescent="0.25">
      <c r="E83" s="43" t="str">
        <f>'MKT DATA'!B1116</f>
        <v>syn BTCG7/BTCZ6/BTCX6/BTCF7</v>
      </c>
      <c r="F83" s="13">
        <f>'MKT DATA'!J1116</f>
        <v>1</v>
      </c>
      <c r="G83" s="8">
        <f>'MKT DATA'!K1116</f>
        <v>84265</v>
      </c>
      <c r="H83" s="8">
        <f>'MKT DATA'!L1116</f>
        <v>85155</v>
      </c>
      <c r="I83" s="13">
        <f>'MKT DATA'!M1116</f>
        <v>1</v>
      </c>
      <c r="J83" s="43" t="str">
        <f t="shared" si="4"/>
        <v>syn BTCG7/BTCZ6/BTCX6/BTCF7</v>
      </c>
      <c r="K83" s="8">
        <f>'MKT DATA'!O1116</f>
        <v>0</v>
      </c>
      <c r="L83" s="8">
        <f>'MKT DATA'!P1116</f>
        <v>84265</v>
      </c>
      <c r="M83" s="8">
        <f>'MKT DATA'!Q1116</f>
        <v>0</v>
      </c>
      <c r="N83" s="8">
        <f>'MKT DATA'!R1116</f>
        <v>0</v>
      </c>
      <c r="O83" s="8">
        <f>'MKT DATA'!S1116</f>
        <v>-85155</v>
      </c>
      <c r="P83" s="8">
        <f>'MKT DATA'!T1116</f>
        <v>0</v>
      </c>
      <c r="Q83" s="43" t="str">
        <f t="shared" si="5"/>
        <v>syn BTCG7/BTCZ6/BTCX6/BTCF7</v>
      </c>
      <c r="R83" s="13">
        <f>'MKT DATA'!AB1116</f>
        <v>0</v>
      </c>
    </row>
    <row r="84" spans="5:18" x14ac:dyDescent="0.25">
      <c r="E84" s="43" t="str">
        <f>'MKT DATA'!B1117</f>
        <v>syn BTCG7/BTCZ6/BTCH7/BTCF7</v>
      </c>
      <c r="F84" s="13">
        <f>'MKT DATA'!J1117</f>
        <v>1</v>
      </c>
      <c r="G84" s="8">
        <f>'MKT DATA'!K1117</f>
        <v>83675</v>
      </c>
      <c r="H84" s="8">
        <f>'MKT DATA'!L1117</f>
        <v>85960</v>
      </c>
      <c r="I84" s="13">
        <f>'MKT DATA'!M1117</f>
        <v>1</v>
      </c>
      <c r="J84" s="43" t="str">
        <f t="shared" si="4"/>
        <v>syn BTCG7/BTCZ6/BTCH7/BTCF7</v>
      </c>
      <c r="K84" s="8">
        <f>'MKT DATA'!O1117</f>
        <v>0</v>
      </c>
      <c r="L84" s="8">
        <f>'MKT DATA'!P1117</f>
        <v>83675</v>
      </c>
      <c r="M84" s="8">
        <f>'MKT DATA'!Q1117</f>
        <v>0</v>
      </c>
      <c r="N84" s="8">
        <f>'MKT DATA'!R1117</f>
        <v>0</v>
      </c>
      <c r="O84" s="8">
        <f>'MKT DATA'!S1117</f>
        <v>-85960</v>
      </c>
      <c r="P84" s="8">
        <f>'MKT DATA'!T1117</f>
        <v>0</v>
      </c>
      <c r="Q84" s="43" t="str">
        <f t="shared" si="5"/>
        <v>syn BTCG7/BTCZ6/BTCH7/BTCF7</v>
      </c>
      <c r="R84" s="13">
        <f>'MKT DATA'!AB1117</f>
        <v>0</v>
      </c>
    </row>
    <row r="85" spans="5:18" x14ac:dyDescent="0.25">
      <c r="E85" s="43" t="str">
        <f>'MKT DATA'!B1118</f>
        <v>syn BTCG7/BTCH7/BTCV6/BTCF7</v>
      </c>
      <c r="F85" s="13">
        <f>'MKT DATA'!J1118</f>
        <v>1</v>
      </c>
      <c r="G85" s="8">
        <f>'MKT DATA'!K1118</f>
        <v>83941</v>
      </c>
      <c r="H85" s="8">
        <f>'MKT DATA'!L1118</f>
        <v>85539</v>
      </c>
      <c r="I85" s="13">
        <f>'MKT DATA'!M1118</f>
        <v>1</v>
      </c>
      <c r="J85" s="43" t="str">
        <f t="shared" si="4"/>
        <v>syn BTCG7/BTCH7/BTCV6/BTCF7</v>
      </c>
      <c r="K85" s="8">
        <f>'MKT DATA'!O1118</f>
        <v>0</v>
      </c>
      <c r="L85" s="8">
        <f>'MKT DATA'!P1118</f>
        <v>83941</v>
      </c>
      <c r="M85" s="8">
        <f>'MKT DATA'!Q1118</f>
        <v>0</v>
      </c>
      <c r="N85" s="8">
        <f>'MKT DATA'!R1118</f>
        <v>0</v>
      </c>
      <c r="O85" s="8">
        <f>'MKT DATA'!S1118</f>
        <v>-85539</v>
      </c>
      <c r="P85" s="8">
        <f>'MKT DATA'!T1118</f>
        <v>0</v>
      </c>
      <c r="Q85" s="43" t="str">
        <f t="shared" si="5"/>
        <v>syn BTCG7/BTCH7/BTCV6/BTCF7</v>
      </c>
      <c r="R85" s="13">
        <f>'MKT DATA'!AB1118</f>
        <v>0</v>
      </c>
    </row>
    <row r="86" spans="5:18" x14ac:dyDescent="0.25">
      <c r="E86" s="43" t="str">
        <f>'MKT DATA'!B1119</f>
        <v>syn BTCG7/BTCH7/BTCX6/BTCF7</v>
      </c>
      <c r="F86" s="13">
        <f>'MKT DATA'!J1119</f>
        <v>1</v>
      </c>
      <c r="G86" s="8">
        <f>'MKT DATA'!K1119</f>
        <v>83956</v>
      </c>
      <c r="H86" s="8">
        <f>'MKT DATA'!L1119</f>
        <v>85534</v>
      </c>
      <c r="I86" s="13">
        <f>'MKT DATA'!M1119</f>
        <v>1</v>
      </c>
      <c r="J86" s="43" t="str">
        <f t="shared" si="4"/>
        <v>syn BTCG7/BTCH7/BTCX6/BTCF7</v>
      </c>
      <c r="K86" s="8">
        <f>'MKT DATA'!O1119</f>
        <v>0</v>
      </c>
      <c r="L86" s="8">
        <f>'MKT DATA'!P1119</f>
        <v>83956</v>
      </c>
      <c r="M86" s="8">
        <f>'MKT DATA'!Q1119</f>
        <v>0</v>
      </c>
      <c r="N86" s="8">
        <f>'MKT DATA'!R1119</f>
        <v>0</v>
      </c>
      <c r="O86" s="8">
        <f>'MKT DATA'!S1119</f>
        <v>-85534</v>
      </c>
      <c r="P86" s="8">
        <f>'MKT DATA'!T1119</f>
        <v>0</v>
      </c>
      <c r="Q86" s="43" t="str">
        <f t="shared" si="5"/>
        <v>syn BTCG7/BTCH7/BTCX6/BTCF7</v>
      </c>
      <c r="R86" s="13">
        <f>'MKT DATA'!AB1119</f>
        <v>0</v>
      </c>
    </row>
    <row r="87" spans="5:18" x14ac:dyDescent="0.25">
      <c r="E87" s="43" t="str">
        <f>'MKT DATA'!B1120</f>
        <v>syn BTCG7/BTCH7/BTCZ6/BTCF7</v>
      </c>
      <c r="F87" s="13">
        <f>'MKT DATA'!J1120</f>
        <v>1</v>
      </c>
      <c r="G87" s="8">
        <f>'MKT DATA'!K1120</f>
        <v>84007</v>
      </c>
      <c r="H87" s="8">
        <f>'MKT DATA'!L1120</f>
        <v>85319</v>
      </c>
      <c r="I87" s="13">
        <f>'MKT DATA'!M1120</f>
        <v>1</v>
      </c>
      <c r="J87" s="43" t="str">
        <f t="shared" si="4"/>
        <v>syn BTCG7/BTCH7/BTCZ6/BTCF7</v>
      </c>
      <c r="K87" s="8">
        <f>'MKT DATA'!O1120</f>
        <v>0</v>
      </c>
      <c r="L87" s="8">
        <f>'MKT DATA'!P1120</f>
        <v>84007</v>
      </c>
      <c r="M87" s="8">
        <f>'MKT DATA'!Q1120</f>
        <v>0</v>
      </c>
      <c r="N87" s="8">
        <f>'MKT DATA'!R1120</f>
        <v>0</v>
      </c>
      <c r="O87" s="8">
        <f>'MKT DATA'!S1120</f>
        <v>-85319</v>
      </c>
      <c r="P87" s="8">
        <f>'MKT DATA'!T1120</f>
        <v>0</v>
      </c>
      <c r="Q87" s="43" t="str">
        <f t="shared" si="5"/>
        <v>syn BTCG7/BTCH7/BTCZ6/BTCF7</v>
      </c>
      <c r="R87" s="13">
        <f>'MKT DATA'!AB1120</f>
        <v>0</v>
      </c>
    </row>
    <row r="88" spans="5:18" x14ac:dyDescent="0.25">
      <c r="E88" s="43" t="str">
        <f>'MKT DATA'!B1121</f>
        <v>syn BTCH7/BTCV6/BTCX6/BTCF7</v>
      </c>
      <c r="F88" s="13">
        <f>'MKT DATA'!J1121</f>
        <v>1</v>
      </c>
      <c r="G88" s="8">
        <f>'MKT DATA'!K1121</f>
        <v>83903</v>
      </c>
      <c r="H88" s="8">
        <f>'MKT DATA'!L1121</f>
        <v>85525</v>
      </c>
      <c r="I88" s="13">
        <f>'MKT DATA'!M1121</f>
        <v>1</v>
      </c>
      <c r="J88" s="43" t="str">
        <f t="shared" si="4"/>
        <v>syn BTCH7/BTCV6/BTCX6/BTCF7</v>
      </c>
      <c r="K88" s="8">
        <f>'MKT DATA'!O1121</f>
        <v>0</v>
      </c>
      <c r="L88" s="8">
        <f>'MKT DATA'!P1121</f>
        <v>83903</v>
      </c>
      <c r="M88" s="8">
        <f>'MKT DATA'!Q1121</f>
        <v>0</v>
      </c>
      <c r="N88" s="8">
        <f>'MKT DATA'!R1121</f>
        <v>0</v>
      </c>
      <c r="O88" s="8">
        <f>'MKT DATA'!S1121</f>
        <v>-85525</v>
      </c>
      <c r="P88" s="8">
        <f>'MKT DATA'!T1121</f>
        <v>0</v>
      </c>
      <c r="Q88" s="43" t="str">
        <f t="shared" si="5"/>
        <v>syn BTCH7/BTCV6/BTCX6/BTCF7</v>
      </c>
      <c r="R88" s="13">
        <f>'MKT DATA'!AB1121</f>
        <v>0</v>
      </c>
    </row>
    <row r="89" spans="5:18" x14ac:dyDescent="0.25">
      <c r="E89" s="43" t="str">
        <f>'MKT DATA'!B1122</f>
        <v>syn BTCH7/BTCV6/BTCZ6/BTCF7</v>
      </c>
      <c r="F89" s="13">
        <f>'MKT DATA'!J1122</f>
        <v>1</v>
      </c>
      <c r="G89" s="8">
        <f>'MKT DATA'!K1122</f>
        <v>83938</v>
      </c>
      <c r="H89" s="8">
        <f>'MKT DATA'!L1122</f>
        <v>85521</v>
      </c>
      <c r="I89" s="13">
        <f>'MKT DATA'!M1122</f>
        <v>1</v>
      </c>
      <c r="J89" s="43" t="str">
        <f t="shared" si="4"/>
        <v>syn BTCH7/BTCV6/BTCZ6/BTCF7</v>
      </c>
      <c r="K89" s="8">
        <f>'MKT DATA'!O1122</f>
        <v>0</v>
      </c>
      <c r="L89" s="8">
        <f>'MKT DATA'!P1122</f>
        <v>83938</v>
      </c>
      <c r="M89" s="8">
        <f>'MKT DATA'!Q1122</f>
        <v>0</v>
      </c>
      <c r="N89" s="8">
        <f>'MKT DATA'!R1122</f>
        <v>0</v>
      </c>
      <c r="O89" s="8">
        <f>'MKT DATA'!S1122</f>
        <v>-85521</v>
      </c>
      <c r="P89" s="8">
        <f>'MKT DATA'!T1122</f>
        <v>0</v>
      </c>
      <c r="Q89" s="43" t="str">
        <f t="shared" si="5"/>
        <v>syn BTCH7/BTCV6/BTCZ6/BTCF7</v>
      </c>
      <c r="R89" s="13">
        <f>'MKT DATA'!AB1122</f>
        <v>0</v>
      </c>
    </row>
    <row r="90" spans="5:18" x14ac:dyDescent="0.25">
      <c r="E90" s="43" t="str">
        <f>'MKT DATA'!B1123</f>
        <v>syn BTCH7/BTCV6/BTCG7/BTCF7</v>
      </c>
      <c r="F90" s="13">
        <f>'MKT DATA'!J1123</f>
        <v>1</v>
      </c>
      <c r="G90" s="8">
        <f>'MKT DATA'!K1123</f>
        <v>83720</v>
      </c>
      <c r="H90" s="8">
        <f>'MKT DATA'!L1123</f>
        <v>85751</v>
      </c>
      <c r="I90" s="13">
        <f>'MKT DATA'!M1123</f>
        <v>1</v>
      </c>
      <c r="J90" s="43" t="str">
        <f t="shared" si="4"/>
        <v>syn BTCH7/BTCV6/BTCG7/BTCF7</v>
      </c>
      <c r="K90" s="8">
        <f>'MKT DATA'!O1123</f>
        <v>0</v>
      </c>
      <c r="L90" s="8">
        <f>'MKT DATA'!P1123</f>
        <v>83720</v>
      </c>
      <c r="M90" s="8">
        <f>'MKT DATA'!Q1123</f>
        <v>0</v>
      </c>
      <c r="N90" s="8">
        <f>'MKT DATA'!R1123</f>
        <v>0</v>
      </c>
      <c r="O90" s="8">
        <f>'MKT DATA'!S1123</f>
        <v>-85751</v>
      </c>
      <c r="P90" s="8">
        <f>'MKT DATA'!T1123</f>
        <v>0</v>
      </c>
      <c r="Q90" s="43" t="str">
        <f t="shared" si="5"/>
        <v>syn BTCH7/BTCV6/BTCG7/BTCF7</v>
      </c>
      <c r="R90" s="13">
        <f>'MKT DATA'!AB1123</f>
        <v>0</v>
      </c>
    </row>
    <row r="91" spans="5:18" x14ac:dyDescent="0.25">
      <c r="E91" s="43" t="str">
        <f>'MKT DATA'!B1124</f>
        <v>syn BTCH7/BTCX6/BTCV6/BTCF7</v>
      </c>
      <c r="F91" s="13">
        <f>'MKT DATA'!J1124</f>
        <v>1</v>
      </c>
      <c r="G91" s="8">
        <f>'MKT DATA'!K1124</f>
        <v>83870</v>
      </c>
      <c r="H91" s="8">
        <f>'MKT DATA'!L1124</f>
        <v>85562</v>
      </c>
      <c r="I91" s="13">
        <f>'MKT DATA'!M1124</f>
        <v>1</v>
      </c>
      <c r="J91" s="43" t="str">
        <f t="shared" si="4"/>
        <v>syn BTCH7/BTCX6/BTCV6/BTCF7</v>
      </c>
      <c r="K91" s="8">
        <f>'MKT DATA'!O1124</f>
        <v>0</v>
      </c>
      <c r="L91" s="8">
        <f>'MKT DATA'!P1124</f>
        <v>83870</v>
      </c>
      <c r="M91" s="8">
        <f>'MKT DATA'!Q1124</f>
        <v>0</v>
      </c>
      <c r="N91" s="8">
        <f>'MKT DATA'!R1124</f>
        <v>0</v>
      </c>
      <c r="O91" s="8">
        <f>'MKT DATA'!S1124</f>
        <v>-85562</v>
      </c>
      <c r="P91" s="8">
        <f>'MKT DATA'!T1124</f>
        <v>0</v>
      </c>
      <c r="Q91" s="43" t="str">
        <f t="shared" si="5"/>
        <v>syn BTCH7/BTCX6/BTCV6/BTCF7</v>
      </c>
      <c r="R91" s="13">
        <f>'MKT DATA'!AB1124</f>
        <v>0</v>
      </c>
    </row>
    <row r="92" spans="5:18" x14ac:dyDescent="0.25">
      <c r="E92" s="43" t="str">
        <f>'MKT DATA'!B1125</f>
        <v>syn BTCH7/BTCX6/BTCZ6/BTCF7</v>
      </c>
      <c r="F92" s="13">
        <f>'MKT DATA'!J1125</f>
        <v>1</v>
      </c>
      <c r="G92" s="8">
        <f>'MKT DATA'!K1125</f>
        <v>83936</v>
      </c>
      <c r="H92" s="8">
        <f>'MKT DATA'!L1125</f>
        <v>85530</v>
      </c>
      <c r="I92" s="13">
        <f>'MKT DATA'!M1125</f>
        <v>1</v>
      </c>
      <c r="J92" s="43" t="str">
        <f t="shared" si="4"/>
        <v>syn BTCH7/BTCX6/BTCZ6/BTCF7</v>
      </c>
      <c r="K92" s="8">
        <f>'MKT DATA'!O1125</f>
        <v>0</v>
      </c>
      <c r="L92" s="8">
        <f>'MKT DATA'!P1125</f>
        <v>83936</v>
      </c>
      <c r="M92" s="8">
        <f>'MKT DATA'!Q1125</f>
        <v>0</v>
      </c>
      <c r="N92" s="8">
        <f>'MKT DATA'!R1125</f>
        <v>0</v>
      </c>
      <c r="O92" s="8">
        <f>'MKT DATA'!S1125</f>
        <v>-85530</v>
      </c>
      <c r="P92" s="8">
        <f>'MKT DATA'!T1125</f>
        <v>0</v>
      </c>
      <c r="Q92" s="43" t="str">
        <f t="shared" si="5"/>
        <v>syn BTCH7/BTCX6/BTCZ6/BTCF7</v>
      </c>
      <c r="R92" s="13">
        <f>'MKT DATA'!AB1125</f>
        <v>0</v>
      </c>
    </row>
    <row r="93" spans="5:18" x14ac:dyDescent="0.25">
      <c r="E93" s="43" t="str">
        <f>'MKT DATA'!B1126</f>
        <v>syn BTCH7/BTCX6/BTCG7/BTCF7</v>
      </c>
      <c r="F93" s="13">
        <f>'MKT DATA'!J1126</f>
        <v>1</v>
      </c>
      <c r="G93" s="8">
        <f>'MKT DATA'!K1126</f>
        <v>83695</v>
      </c>
      <c r="H93" s="8">
        <f>'MKT DATA'!L1126</f>
        <v>85776</v>
      </c>
      <c r="I93" s="13">
        <f>'MKT DATA'!M1126</f>
        <v>1</v>
      </c>
      <c r="J93" s="43" t="str">
        <f t="shared" si="4"/>
        <v>syn BTCH7/BTCX6/BTCG7/BTCF7</v>
      </c>
      <c r="K93" s="8">
        <f>'MKT DATA'!O1126</f>
        <v>0</v>
      </c>
      <c r="L93" s="8">
        <f>'MKT DATA'!P1126</f>
        <v>83695</v>
      </c>
      <c r="M93" s="8">
        <f>'MKT DATA'!Q1126</f>
        <v>0</v>
      </c>
      <c r="N93" s="8">
        <f>'MKT DATA'!R1126</f>
        <v>0</v>
      </c>
      <c r="O93" s="8">
        <f>'MKT DATA'!S1126</f>
        <v>-85776</v>
      </c>
      <c r="P93" s="8">
        <f>'MKT DATA'!T1126</f>
        <v>0</v>
      </c>
      <c r="Q93" s="43" t="str">
        <f t="shared" si="5"/>
        <v>syn BTCH7/BTCX6/BTCG7/BTCF7</v>
      </c>
      <c r="R93" s="13">
        <f>'MKT DATA'!AB1126</f>
        <v>0</v>
      </c>
    </row>
    <row r="94" spans="5:18" x14ac:dyDescent="0.25">
      <c r="E94" s="43" t="str">
        <f>'MKT DATA'!B1127</f>
        <v>syn BTCH7/BTCZ6/BTCV6/BTCF7</v>
      </c>
      <c r="F94" s="13">
        <f>'MKT DATA'!J1127</f>
        <v>1</v>
      </c>
      <c r="G94" s="8">
        <f>'MKT DATA'!K1127</f>
        <v>83854</v>
      </c>
      <c r="H94" s="8">
        <f>'MKT DATA'!L1127</f>
        <v>85383</v>
      </c>
      <c r="I94" s="13">
        <f>'MKT DATA'!M1127</f>
        <v>1</v>
      </c>
      <c r="J94" s="43" t="str">
        <f t="shared" si="4"/>
        <v>syn BTCH7/BTCZ6/BTCV6/BTCF7</v>
      </c>
      <c r="K94" s="8">
        <f>'MKT DATA'!O1127</f>
        <v>0</v>
      </c>
      <c r="L94" s="8">
        <f>'MKT DATA'!P1127</f>
        <v>83854</v>
      </c>
      <c r="M94" s="8">
        <f>'MKT DATA'!Q1127</f>
        <v>0</v>
      </c>
      <c r="N94" s="8">
        <f>'MKT DATA'!R1127</f>
        <v>0</v>
      </c>
      <c r="O94" s="8">
        <f>'MKT DATA'!S1127</f>
        <v>-85383</v>
      </c>
      <c r="P94" s="8">
        <f>'MKT DATA'!T1127</f>
        <v>0</v>
      </c>
      <c r="Q94" s="43" t="str">
        <f t="shared" si="5"/>
        <v>syn BTCH7/BTCZ6/BTCV6/BTCF7</v>
      </c>
      <c r="R94" s="13">
        <f>'MKT DATA'!AB1127</f>
        <v>0</v>
      </c>
    </row>
    <row r="95" spans="5:18" x14ac:dyDescent="0.25">
      <c r="E95" s="43" t="str">
        <f>'MKT DATA'!B1128</f>
        <v>syn BTCH7/BTCZ6/BTCX6/BTCF7</v>
      </c>
      <c r="F95" s="13">
        <f>'MKT DATA'!J1128</f>
        <v>1</v>
      </c>
      <c r="G95" s="8">
        <f>'MKT DATA'!K1128</f>
        <v>83885</v>
      </c>
      <c r="H95" s="8">
        <f>'MKT DATA'!L1128</f>
        <v>85355</v>
      </c>
      <c r="I95" s="13">
        <f>'MKT DATA'!M1128</f>
        <v>1</v>
      </c>
      <c r="J95" s="43" t="str">
        <f t="shared" si="4"/>
        <v>syn BTCH7/BTCZ6/BTCX6/BTCF7</v>
      </c>
      <c r="K95" s="8">
        <f>'MKT DATA'!O1128</f>
        <v>0</v>
      </c>
      <c r="L95" s="8">
        <f>'MKT DATA'!P1128</f>
        <v>83885</v>
      </c>
      <c r="M95" s="8">
        <f>'MKT DATA'!Q1128</f>
        <v>0</v>
      </c>
      <c r="N95" s="8">
        <f>'MKT DATA'!R1128</f>
        <v>0</v>
      </c>
      <c r="O95" s="8">
        <f>'MKT DATA'!S1128</f>
        <v>-85355</v>
      </c>
      <c r="P95" s="8">
        <f>'MKT DATA'!T1128</f>
        <v>0</v>
      </c>
      <c r="Q95" s="43" t="str">
        <f t="shared" si="5"/>
        <v>syn BTCH7/BTCZ6/BTCX6/BTCF7</v>
      </c>
      <c r="R95" s="13">
        <f>'MKT DATA'!AB1128</f>
        <v>0</v>
      </c>
    </row>
    <row r="96" spans="5:18" x14ac:dyDescent="0.25">
      <c r="E96" s="43" t="str">
        <f>'MKT DATA'!B1129</f>
        <v>syn BTCH7/BTCZ6/BTCG7/BTCF7</v>
      </c>
      <c r="F96" s="13">
        <f>'MKT DATA'!J1129</f>
        <v>1</v>
      </c>
      <c r="G96" s="8">
        <f>'MKT DATA'!K1129</f>
        <v>83680</v>
      </c>
      <c r="H96" s="8">
        <f>'MKT DATA'!L1129</f>
        <v>85611</v>
      </c>
      <c r="I96" s="13">
        <f>'MKT DATA'!M1129</f>
        <v>1</v>
      </c>
      <c r="J96" s="43" t="str">
        <f t="shared" si="4"/>
        <v>syn BTCH7/BTCZ6/BTCG7/BTCF7</v>
      </c>
      <c r="K96" s="8">
        <f>'MKT DATA'!O1129</f>
        <v>0</v>
      </c>
      <c r="L96" s="8">
        <f>'MKT DATA'!P1129</f>
        <v>83680</v>
      </c>
      <c r="M96" s="8">
        <f>'MKT DATA'!Q1129</f>
        <v>0</v>
      </c>
      <c r="N96" s="8">
        <f>'MKT DATA'!R1129</f>
        <v>0</v>
      </c>
      <c r="O96" s="8">
        <f>'MKT DATA'!S1129</f>
        <v>-85611</v>
      </c>
      <c r="P96" s="8">
        <f>'MKT DATA'!T1129</f>
        <v>0</v>
      </c>
      <c r="Q96" s="43" t="str">
        <f t="shared" si="5"/>
        <v>syn BTCH7/BTCZ6/BTCG7/BTCF7</v>
      </c>
      <c r="R96" s="13">
        <f>'MKT DATA'!AB1129</f>
        <v>0</v>
      </c>
    </row>
    <row r="97" spans="5:18" x14ac:dyDescent="0.25">
      <c r="E97" s="43" t="str">
        <f>'MKT DATA'!B1130</f>
        <v>syn BTCH7/BTCG7/BTCV6/BTCF7</v>
      </c>
      <c r="F97" s="13">
        <f>'MKT DATA'!J1130</f>
        <v>1</v>
      </c>
      <c r="G97" s="8">
        <f>'MKT DATA'!K1130</f>
        <v>83886</v>
      </c>
      <c r="H97" s="8">
        <f>'MKT DATA'!L1130</f>
        <v>85484</v>
      </c>
      <c r="I97" s="13">
        <f>'MKT DATA'!M1130</f>
        <v>1</v>
      </c>
      <c r="J97" s="43" t="str">
        <f t="shared" si="4"/>
        <v>syn BTCH7/BTCG7/BTCV6/BTCF7</v>
      </c>
      <c r="K97" s="8">
        <f>'MKT DATA'!O1130</f>
        <v>0</v>
      </c>
      <c r="L97" s="8">
        <f>'MKT DATA'!P1130</f>
        <v>83886</v>
      </c>
      <c r="M97" s="8">
        <f>'MKT DATA'!Q1130</f>
        <v>0</v>
      </c>
      <c r="N97" s="8">
        <f>'MKT DATA'!R1130</f>
        <v>0</v>
      </c>
      <c r="O97" s="8">
        <f>'MKT DATA'!S1130</f>
        <v>-85484</v>
      </c>
      <c r="P97" s="8">
        <f>'MKT DATA'!T1130</f>
        <v>0</v>
      </c>
      <c r="Q97" s="43" t="str">
        <f t="shared" si="5"/>
        <v>syn BTCH7/BTCG7/BTCV6/BTCF7</v>
      </c>
      <c r="R97" s="13">
        <f>'MKT DATA'!AB1130</f>
        <v>0</v>
      </c>
    </row>
    <row r="98" spans="5:18" x14ac:dyDescent="0.25">
      <c r="E98" s="43" t="str">
        <f>'MKT DATA'!B1131</f>
        <v>syn BTCH7/BTCG7/BTCX6/BTCF7</v>
      </c>
      <c r="F98" s="13">
        <f>'MKT DATA'!J1131</f>
        <v>1</v>
      </c>
      <c r="G98" s="8">
        <f>'MKT DATA'!K1131</f>
        <v>83901</v>
      </c>
      <c r="H98" s="8">
        <f>'MKT DATA'!L1131</f>
        <v>85479</v>
      </c>
      <c r="I98" s="13">
        <f>'MKT DATA'!M1131</f>
        <v>1</v>
      </c>
      <c r="J98" s="43" t="str">
        <f t="shared" si="4"/>
        <v>syn BTCH7/BTCG7/BTCX6/BTCF7</v>
      </c>
      <c r="K98" s="8">
        <f>'MKT DATA'!O1131</f>
        <v>0</v>
      </c>
      <c r="L98" s="8">
        <f>'MKT DATA'!P1131</f>
        <v>83901</v>
      </c>
      <c r="M98" s="8">
        <f>'MKT DATA'!Q1131</f>
        <v>0</v>
      </c>
      <c r="N98" s="8">
        <f>'MKT DATA'!R1131</f>
        <v>0</v>
      </c>
      <c r="O98" s="8">
        <f>'MKT DATA'!S1131</f>
        <v>-85479</v>
      </c>
      <c r="P98" s="8">
        <f>'MKT DATA'!T1131</f>
        <v>0</v>
      </c>
      <c r="Q98" s="43" t="str">
        <f t="shared" si="5"/>
        <v>syn BTCH7/BTCG7/BTCX6/BTCF7</v>
      </c>
      <c r="R98" s="13">
        <f>'MKT DATA'!AB1131</f>
        <v>0</v>
      </c>
    </row>
    <row r="99" spans="5:18" x14ac:dyDescent="0.25">
      <c r="E99" s="43" t="str">
        <f>'MKT DATA'!B1132</f>
        <v>syn BTCH7/BTCG7/BTCZ6/BTCF7</v>
      </c>
      <c r="F99" s="13">
        <f>'MKT DATA'!J1132</f>
        <v>1</v>
      </c>
      <c r="G99" s="8">
        <f>'MKT DATA'!K1132</f>
        <v>83922</v>
      </c>
      <c r="H99" s="8">
        <f>'MKT DATA'!L1132</f>
        <v>85474</v>
      </c>
      <c r="I99" s="13">
        <f>'MKT DATA'!M1132</f>
        <v>1</v>
      </c>
      <c r="J99" s="43" t="str">
        <f t="shared" si="4"/>
        <v>syn BTCH7/BTCG7/BTCZ6/BTCF7</v>
      </c>
      <c r="K99" s="8">
        <f>'MKT DATA'!O1132</f>
        <v>0</v>
      </c>
      <c r="L99" s="8">
        <f>'MKT DATA'!P1132</f>
        <v>83922</v>
      </c>
      <c r="M99" s="8">
        <f>'MKT DATA'!Q1132</f>
        <v>0</v>
      </c>
      <c r="N99" s="8">
        <f>'MKT DATA'!R1132</f>
        <v>0</v>
      </c>
      <c r="O99" s="8">
        <f>'MKT DATA'!S1132</f>
        <v>-85474</v>
      </c>
      <c r="P99" s="8">
        <f>'MKT DATA'!T1132</f>
        <v>0</v>
      </c>
      <c r="Q99" s="43" t="str">
        <f t="shared" si="5"/>
        <v>syn BTCH7/BTCG7/BTCZ6/BTCF7</v>
      </c>
      <c r="R99" s="13">
        <f>'MKT DATA'!AB1132</f>
        <v>0</v>
      </c>
    </row>
    <row r="100" spans="5:18" x14ac:dyDescent="0.25">
      <c r="E100" s="43" t="str">
        <f>'MKT DATA'!B1133</f>
        <v>syn BTCV6/BTCX6/BTCZ6/BTCG7/BTCF7</v>
      </c>
      <c r="F100" s="13">
        <f>'MKT DATA'!J1133</f>
        <v>1</v>
      </c>
      <c r="G100" s="8">
        <f>'MKT DATA'!K1133</f>
        <v>84416</v>
      </c>
      <c r="H100" s="8">
        <f>'MKT DATA'!L1133</f>
        <v>85063</v>
      </c>
      <c r="I100" s="13">
        <f>'MKT DATA'!M1133</f>
        <v>1</v>
      </c>
      <c r="J100" s="43" t="str">
        <f t="shared" si="4"/>
        <v>syn BTCV6/BTCX6/BTCZ6/BTCG7/BTCF7</v>
      </c>
      <c r="K100" s="8">
        <f>'MKT DATA'!O1133</f>
        <v>0</v>
      </c>
      <c r="L100" s="8">
        <f>'MKT DATA'!P1133</f>
        <v>84416</v>
      </c>
      <c r="M100" s="8">
        <f>'MKT DATA'!Q1133</f>
        <v>0</v>
      </c>
      <c r="N100" s="8">
        <f>'MKT DATA'!R1133</f>
        <v>0</v>
      </c>
      <c r="O100" s="8">
        <f>'MKT DATA'!S1133</f>
        <v>-85063</v>
      </c>
      <c r="P100" s="8">
        <f>'MKT DATA'!T1133</f>
        <v>0</v>
      </c>
      <c r="Q100" s="43" t="str">
        <f t="shared" si="5"/>
        <v>syn BTCV6/BTCX6/BTCZ6/BTCG7/BTCF7</v>
      </c>
      <c r="R100" s="13">
        <f>'MKT DATA'!AB1133</f>
        <v>0</v>
      </c>
    </row>
    <row r="101" spans="5:18" x14ac:dyDescent="0.25">
      <c r="E101" s="43" t="str">
        <f>'MKT DATA'!B1134</f>
        <v>syn BTCV6/BTCX6/BTCZ6/BTCH7/BTCF7</v>
      </c>
      <c r="F101" s="13">
        <f>'MKT DATA'!J1134</f>
        <v>1</v>
      </c>
      <c r="G101" s="8">
        <f>'MKT DATA'!K1134</f>
        <v>84031</v>
      </c>
      <c r="H101" s="8">
        <f>'MKT DATA'!L1134</f>
        <v>85612</v>
      </c>
      <c r="I101" s="13">
        <f>'MKT DATA'!M1134</f>
        <v>1</v>
      </c>
      <c r="J101" s="43" t="str">
        <f t="shared" si="4"/>
        <v>syn BTCV6/BTCX6/BTCZ6/BTCH7/BTCF7</v>
      </c>
      <c r="K101" s="8">
        <f>'MKT DATA'!O1134</f>
        <v>0</v>
      </c>
      <c r="L101" s="8">
        <f>'MKT DATA'!P1134</f>
        <v>84031</v>
      </c>
      <c r="M101" s="8">
        <f>'MKT DATA'!Q1134</f>
        <v>0</v>
      </c>
      <c r="N101" s="8">
        <f>'MKT DATA'!R1134</f>
        <v>0</v>
      </c>
      <c r="O101" s="8">
        <f>'MKT DATA'!S1134</f>
        <v>-85612</v>
      </c>
      <c r="P101" s="8">
        <f>'MKT DATA'!T1134</f>
        <v>0</v>
      </c>
      <c r="Q101" s="43" t="str">
        <f t="shared" si="5"/>
        <v>syn BTCV6/BTCX6/BTCZ6/BTCH7/BTCF7</v>
      </c>
      <c r="R101" s="13">
        <f>'MKT DATA'!AB1134</f>
        <v>0</v>
      </c>
    </row>
    <row r="102" spans="5:18" x14ac:dyDescent="0.25">
      <c r="E102" s="43" t="str">
        <f>'MKT DATA'!B1135</f>
        <v>syn BTCV6/BTCX6/BTCG7/BTCZ6/BTCF7</v>
      </c>
      <c r="F102" s="13">
        <f>'MKT DATA'!J1135</f>
        <v>1</v>
      </c>
      <c r="G102" s="8">
        <f>'MKT DATA'!K1135</f>
        <v>84279</v>
      </c>
      <c r="H102" s="8">
        <f>'MKT DATA'!L1135</f>
        <v>85165</v>
      </c>
      <c r="I102" s="13">
        <f>'MKT DATA'!M1135</f>
        <v>1</v>
      </c>
      <c r="J102" s="43" t="str">
        <f t="shared" si="4"/>
        <v>syn BTCV6/BTCX6/BTCG7/BTCZ6/BTCF7</v>
      </c>
      <c r="K102" s="8">
        <f>'MKT DATA'!O1135</f>
        <v>0</v>
      </c>
      <c r="L102" s="8">
        <f>'MKT DATA'!P1135</f>
        <v>84279</v>
      </c>
      <c r="M102" s="8">
        <f>'MKT DATA'!Q1135</f>
        <v>0</v>
      </c>
      <c r="N102" s="8">
        <f>'MKT DATA'!R1135</f>
        <v>0</v>
      </c>
      <c r="O102" s="8">
        <f>'MKT DATA'!S1135</f>
        <v>-85165</v>
      </c>
      <c r="P102" s="8">
        <f>'MKT DATA'!T1135</f>
        <v>0</v>
      </c>
      <c r="Q102" s="43" t="str">
        <f t="shared" si="5"/>
        <v>syn BTCV6/BTCX6/BTCG7/BTCZ6/BTCF7</v>
      </c>
      <c r="R102" s="13">
        <f>'MKT DATA'!AB1135</f>
        <v>0</v>
      </c>
    </row>
    <row r="103" spans="5:18" x14ac:dyDescent="0.25">
      <c r="E103" s="43" t="str">
        <f>'MKT DATA'!B1136</f>
        <v>syn BTCV6/BTCX6/BTCG7/BTCH7/BTCF7</v>
      </c>
      <c r="F103" s="13">
        <f>'MKT DATA'!J1136</f>
        <v>1</v>
      </c>
      <c r="G103" s="8">
        <f>'MKT DATA'!K1136</f>
        <v>83907</v>
      </c>
      <c r="H103" s="8">
        <f>'MKT DATA'!L1136</f>
        <v>85596</v>
      </c>
      <c r="I103" s="13">
        <f>'MKT DATA'!M1136</f>
        <v>1</v>
      </c>
      <c r="J103" s="43" t="str">
        <f t="shared" si="4"/>
        <v>syn BTCV6/BTCX6/BTCG7/BTCH7/BTCF7</v>
      </c>
      <c r="K103" s="8">
        <f>'MKT DATA'!O1136</f>
        <v>0</v>
      </c>
      <c r="L103" s="8">
        <f>'MKT DATA'!P1136</f>
        <v>83907</v>
      </c>
      <c r="M103" s="8">
        <f>'MKT DATA'!Q1136</f>
        <v>0</v>
      </c>
      <c r="N103" s="8">
        <f>'MKT DATA'!R1136</f>
        <v>0</v>
      </c>
      <c r="O103" s="8">
        <f>'MKT DATA'!S1136</f>
        <v>-85596</v>
      </c>
      <c r="P103" s="8">
        <f>'MKT DATA'!T1136</f>
        <v>0</v>
      </c>
      <c r="Q103" s="43" t="str">
        <f t="shared" si="5"/>
        <v>syn BTCV6/BTCX6/BTCG7/BTCH7/BTCF7</v>
      </c>
      <c r="R103" s="13">
        <f>'MKT DATA'!AB1136</f>
        <v>0</v>
      </c>
    </row>
    <row r="104" spans="5:18" x14ac:dyDescent="0.25">
      <c r="E104" s="43" t="str">
        <f>'MKT DATA'!B1137</f>
        <v>syn BTCV6/BTCX6/BTCH7/BTCZ6/BTCF7</v>
      </c>
      <c r="F104" s="13">
        <f>'MKT DATA'!J1137</f>
        <v>1</v>
      </c>
      <c r="G104" s="8">
        <f>'MKT DATA'!K1137</f>
        <v>83899</v>
      </c>
      <c r="H104" s="8">
        <f>'MKT DATA'!L1137</f>
        <v>85365</v>
      </c>
      <c r="I104" s="13">
        <f>'MKT DATA'!M1137</f>
        <v>1</v>
      </c>
      <c r="J104" s="43" t="str">
        <f t="shared" si="4"/>
        <v>syn BTCV6/BTCX6/BTCH7/BTCZ6/BTCF7</v>
      </c>
      <c r="K104" s="8">
        <f>'MKT DATA'!O1137</f>
        <v>0</v>
      </c>
      <c r="L104" s="8">
        <f>'MKT DATA'!P1137</f>
        <v>83899</v>
      </c>
      <c r="M104" s="8">
        <f>'MKT DATA'!Q1137</f>
        <v>0</v>
      </c>
      <c r="N104" s="8">
        <f>'MKT DATA'!R1137</f>
        <v>0</v>
      </c>
      <c r="O104" s="8">
        <f>'MKT DATA'!S1137</f>
        <v>-85365</v>
      </c>
      <c r="P104" s="8">
        <f>'MKT DATA'!T1137</f>
        <v>0</v>
      </c>
      <c r="Q104" s="43" t="str">
        <f t="shared" si="5"/>
        <v>syn BTCV6/BTCX6/BTCH7/BTCZ6/BTCF7</v>
      </c>
      <c r="R104" s="13">
        <f>'MKT DATA'!AB1137</f>
        <v>0</v>
      </c>
    </row>
    <row r="105" spans="5:18" x14ac:dyDescent="0.25">
      <c r="E105" s="43" t="str">
        <f>'MKT DATA'!B1138</f>
        <v>syn BTCV6/BTCX6/BTCH7/BTCG7/BTCF7</v>
      </c>
      <c r="F105" s="13">
        <f>'MKT DATA'!J1138</f>
        <v>1</v>
      </c>
      <c r="G105" s="8">
        <f>'MKT DATA'!K1138</f>
        <v>84037</v>
      </c>
      <c r="H105" s="8">
        <f>'MKT DATA'!L1138</f>
        <v>85372</v>
      </c>
      <c r="I105" s="13">
        <f>'MKT DATA'!M1138</f>
        <v>1</v>
      </c>
      <c r="J105" s="43" t="str">
        <f t="shared" si="4"/>
        <v>syn BTCV6/BTCX6/BTCH7/BTCG7/BTCF7</v>
      </c>
      <c r="K105" s="8">
        <f>'MKT DATA'!O1138</f>
        <v>0</v>
      </c>
      <c r="L105" s="8">
        <f>'MKT DATA'!P1138</f>
        <v>84037</v>
      </c>
      <c r="M105" s="8">
        <f>'MKT DATA'!Q1138</f>
        <v>0</v>
      </c>
      <c r="N105" s="8">
        <f>'MKT DATA'!R1138</f>
        <v>0</v>
      </c>
      <c r="O105" s="8">
        <f>'MKT DATA'!S1138</f>
        <v>-85372</v>
      </c>
      <c r="P105" s="8">
        <f>'MKT DATA'!T1138</f>
        <v>0</v>
      </c>
      <c r="Q105" s="43" t="str">
        <f t="shared" si="5"/>
        <v>syn BTCV6/BTCX6/BTCH7/BTCG7/BTCF7</v>
      </c>
      <c r="R105" s="13">
        <f>'MKT DATA'!AB1138</f>
        <v>0</v>
      </c>
    </row>
    <row r="106" spans="5:18" x14ac:dyDescent="0.25">
      <c r="E106" s="43" t="str">
        <f>'MKT DATA'!B1139</f>
        <v>syn BTCV6/BTCZ6/BTCX6/BTCG7/BTCF7</v>
      </c>
      <c r="F106" s="13">
        <f>'MKT DATA'!J1139</f>
        <v>1</v>
      </c>
      <c r="G106" s="8">
        <f>'MKT DATA'!K1139</f>
        <v>84415</v>
      </c>
      <c r="H106" s="8">
        <f>'MKT DATA'!L1139</f>
        <v>85049</v>
      </c>
      <c r="I106" s="13">
        <f>'MKT DATA'!M1139</f>
        <v>1</v>
      </c>
      <c r="J106" s="43" t="str">
        <f t="shared" si="4"/>
        <v>syn BTCV6/BTCZ6/BTCX6/BTCG7/BTCF7</v>
      </c>
      <c r="K106" s="8">
        <f>'MKT DATA'!O1139</f>
        <v>0</v>
      </c>
      <c r="L106" s="8">
        <f>'MKT DATA'!P1139</f>
        <v>84415</v>
      </c>
      <c r="M106" s="8">
        <f>'MKT DATA'!Q1139</f>
        <v>0</v>
      </c>
      <c r="N106" s="8">
        <f>'MKT DATA'!R1139</f>
        <v>0</v>
      </c>
      <c r="O106" s="8">
        <f>'MKT DATA'!S1139</f>
        <v>-85049</v>
      </c>
      <c r="P106" s="8">
        <f>'MKT DATA'!T1139</f>
        <v>0</v>
      </c>
      <c r="Q106" s="43" t="str">
        <f t="shared" si="5"/>
        <v>syn BTCV6/BTCZ6/BTCX6/BTCG7/BTCF7</v>
      </c>
      <c r="R106" s="13">
        <f>'MKT DATA'!AB1139</f>
        <v>0</v>
      </c>
    </row>
    <row r="107" spans="5:18" x14ac:dyDescent="0.25">
      <c r="E107" s="43" t="str">
        <f>'MKT DATA'!B1140</f>
        <v>syn BTCV6/BTCZ6/BTCX6/BTCH7/BTCF7</v>
      </c>
      <c r="F107" s="13">
        <f>'MKT DATA'!J1140</f>
        <v>1</v>
      </c>
      <c r="G107" s="8">
        <f>'MKT DATA'!K1140</f>
        <v>83820</v>
      </c>
      <c r="H107" s="8">
        <f>'MKT DATA'!L1140</f>
        <v>85628</v>
      </c>
      <c r="I107" s="13">
        <f>'MKT DATA'!M1140</f>
        <v>1</v>
      </c>
      <c r="J107" s="43" t="str">
        <f t="shared" si="4"/>
        <v>syn BTCV6/BTCZ6/BTCX6/BTCH7/BTCF7</v>
      </c>
      <c r="K107" s="8">
        <f>'MKT DATA'!O1140</f>
        <v>0</v>
      </c>
      <c r="L107" s="8">
        <f>'MKT DATA'!P1140</f>
        <v>83820</v>
      </c>
      <c r="M107" s="8">
        <f>'MKT DATA'!Q1140</f>
        <v>0</v>
      </c>
      <c r="N107" s="8">
        <f>'MKT DATA'!R1140</f>
        <v>0</v>
      </c>
      <c r="O107" s="8">
        <f>'MKT DATA'!S1140</f>
        <v>-85628</v>
      </c>
      <c r="P107" s="8">
        <f>'MKT DATA'!T1140</f>
        <v>0</v>
      </c>
      <c r="Q107" s="43" t="str">
        <f t="shared" si="5"/>
        <v>syn BTCV6/BTCZ6/BTCX6/BTCH7/BTCF7</v>
      </c>
      <c r="R107" s="13">
        <f>'MKT DATA'!AB1140</f>
        <v>0</v>
      </c>
    </row>
    <row r="108" spans="5:18" x14ac:dyDescent="0.25">
      <c r="E108" s="43" t="str">
        <f>'MKT DATA'!B1141</f>
        <v>syn BTCV6/BTCZ6/BTCG7/BTCX6/BTCF7</v>
      </c>
      <c r="F108" s="13">
        <f>'MKT DATA'!J1141</f>
        <v>1</v>
      </c>
      <c r="G108" s="8">
        <f>'MKT DATA'!K1141</f>
        <v>84227</v>
      </c>
      <c r="H108" s="8">
        <f>'MKT DATA'!L1141</f>
        <v>85216</v>
      </c>
      <c r="I108" s="13">
        <f>'MKT DATA'!M1141</f>
        <v>1</v>
      </c>
      <c r="J108" s="43" t="str">
        <f t="shared" si="4"/>
        <v>syn BTCV6/BTCZ6/BTCG7/BTCX6/BTCF7</v>
      </c>
      <c r="K108" s="8">
        <f>'MKT DATA'!O1141</f>
        <v>0</v>
      </c>
      <c r="L108" s="8">
        <f>'MKT DATA'!P1141</f>
        <v>84227</v>
      </c>
      <c r="M108" s="8">
        <f>'MKT DATA'!Q1141</f>
        <v>0</v>
      </c>
      <c r="N108" s="8">
        <f>'MKT DATA'!R1141</f>
        <v>0</v>
      </c>
      <c r="O108" s="8">
        <f>'MKT DATA'!S1141</f>
        <v>-85216</v>
      </c>
      <c r="P108" s="8">
        <f>'MKT DATA'!T1141</f>
        <v>0</v>
      </c>
      <c r="Q108" s="43" t="str">
        <f t="shared" si="5"/>
        <v>syn BTCV6/BTCZ6/BTCG7/BTCX6/BTCF7</v>
      </c>
      <c r="R108" s="13">
        <f>'MKT DATA'!AB1141</f>
        <v>0</v>
      </c>
    </row>
    <row r="109" spans="5:18" x14ac:dyDescent="0.25">
      <c r="E109" s="43" t="str">
        <f>'MKT DATA'!B1142</f>
        <v>syn BTCV6/BTCZ6/BTCG7/BTCH7/BTCF7</v>
      </c>
      <c r="F109" s="13">
        <f>'MKT DATA'!J1142</f>
        <v>1</v>
      </c>
      <c r="G109" s="8">
        <f>'MKT DATA'!K1142</f>
        <v>83876</v>
      </c>
      <c r="H109" s="8">
        <f>'MKT DATA'!L1142</f>
        <v>85642</v>
      </c>
      <c r="I109" s="13">
        <f>'MKT DATA'!M1142</f>
        <v>1</v>
      </c>
      <c r="J109" s="43" t="str">
        <f t="shared" si="4"/>
        <v>syn BTCV6/BTCZ6/BTCG7/BTCH7/BTCF7</v>
      </c>
      <c r="K109" s="8">
        <f>'MKT DATA'!O1142</f>
        <v>0</v>
      </c>
      <c r="L109" s="8">
        <f>'MKT DATA'!P1142</f>
        <v>83876</v>
      </c>
      <c r="M109" s="8">
        <f>'MKT DATA'!Q1142</f>
        <v>0</v>
      </c>
      <c r="N109" s="8">
        <f>'MKT DATA'!R1142</f>
        <v>0</v>
      </c>
      <c r="O109" s="8">
        <f>'MKT DATA'!S1142</f>
        <v>-85642</v>
      </c>
      <c r="P109" s="8">
        <f>'MKT DATA'!T1142</f>
        <v>0</v>
      </c>
      <c r="Q109" s="43" t="str">
        <f t="shared" si="5"/>
        <v>syn BTCV6/BTCZ6/BTCG7/BTCH7/BTCF7</v>
      </c>
      <c r="R109" s="13">
        <f>'MKT DATA'!AB1142</f>
        <v>0</v>
      </c>
    </row>
    <row r="110" spans="5:18" x14ac:dyDescent="0.25">
      <c r="E110" s="43" t="str">
        <f>'MKT DATA'!B1143</f>
        <v>syn BTCV6/BTCZ6/BTCH7/BTCX6/BTCF7</v>
      </c>
      <c r="F110" s="13">
        <f>'MKT DATA'!J1143</f>
        <v>1</v>
      </c>
      <c r="G110" s="8">
        <f>'MKT DATA'!K1143</f>
        <v>84027</v>
      </c>
      <c r="H110" s="8">
        <f>'MKT DATA'!L1143</f>
        <v>85596</v>
      </c>
      <c r="I110" s="13">
        <f>'MKT DATA'!M1143</f>
        <v>1</v>
      </c>
      <c r="J110" s="43" t="str">
        <f t="shared" si="4"/>
        <v>syn BTCV6/BTCZ6/BTCH7/BTCX6/BTCF7</v>
      </c>
      <c r="K110" s="8">
        <f>'MKT DATA'!O1143</f>
        <v>0</v>
      </c>
      <c r="L110" s="8">
        <f>'MKT DATA'!P1143</f>
        <v>84027</v>
      </c>
      <c r="M110" s="8">
        <f>'MKT DATA'!Q1143</f>
        <v>0</v>
      </c>
      <c r="N110" s="8">
        <f>'MKT DATA'!R1143</f>
        <v>0</v>
      </c>
      <c r="O110" s="8">
        <f>'MKT DATA'!S1143</f>
        <v>-85596</v>
      </c>
      <c r="P110" s="8">
        <f>'MKT DATA'!T1143</f>
        <v>0</v>
      </c>
      <c r="Q110" s="43" t="str">
        <f t="shared" si="5"/>
        <v>syn BTCV6/BTCZ6/BTCH7/BTCX6/BTCF7</v>
      </c>
      <c r="R110" s="13">
        <f>'MKT DATA'!AB1143</f>
        <v>0</v>
      </c>
    </row>
    <row r="111" spans="5:18" x14ac:dyDescent="0.25">
      <c r="E111" s="43" t="str">
        <f>'MKT DATA'!B1144</f>
        <v>syn BTCV6/BTCZ6/BTCH7/BTCG7/BTCF7</v>
      </c>
      <c r="F111" s="13">
        <f>'MKT DATA'!J1144</f>
        <v>1</v>
      </c>
      <c r="G111" s="8">
        <f>'MKT DATA'!K1144</f>
        <v>84216</v>
      </c>
      <c r="H111" s="8">
        <f>'MKT DATA'!L1144</f>
        <v>85388</v>
      </c>
      <c r="I111" s="13">
        <f>'MKT DATA'!M1144</f>
        <v>1</v>
      </c>
      <c r="J111" s="43" t="str">
        <f t="shared" si="4"/>
        <v>syn BTCV6/BTCZ6/BTCH7/BTCG7/BTCF7</v>
      </c>
      <c r="K111" s="8">
        <f>'MKT DATA'!O1144</f>
        <v>0</v>
      </c>
      <c r="L111" s="8">
        <f>'MKT DATA'!P1144</f>
        <v>84216</v>
      </c>
      <c r="M111" s="8">
        <f>'MKT DATA'!Q1144</f>
        <v>0</v>
      </c>
      <c r="N111" s="8">
        <f>'MKT DATA'!R1144</f>
        <v>0</v>
      </c>
      <c r="O111" s="8">
        <f>'MKT DATA'!S1144</f>
        <v>-85388</v>
      </c>
      <c r="P111" s="8">
        <f>'MKT DATA'!T1144</f>
        <v>0</v>
      </c>
      <c r="Q111" s="43" t="str">
        <f t="shared" si="5"/>
        <v>syn BTCV6/BTCZ6/BTCH7/BTCG7/BTCF7</v>
      </c>
      <c r="R111" s="13">
        <f>'MKT DATA'!AB1144</f>
        <v>0</v>
      </c>
    </row>
    <row r="112" spans="5:18" x14ac:dyDescent="0.25">
      <c r="E112" s="43" t="str">
        <f>'MKT DATA'!B1145</f>
        <v>syn BTCV6/BTCG7/BTCX6/BTCZ6/BTCF7</v>
      </c>
      <c r="F112" s="13">
        <f>'MKT DATA'!J1145</f>
        <v>1</v>
      </c>
      <c r="G112" s="8">
        <f>'MKT DATA'!K1145</f>
        <v>84316</v>
      </c>
      <c r="H112" s="8">
        <f>'MKT DATA'!L1145</f>
        <v>85150</v>
      </c>
      <c r="I112" s="13">
        <f>'MKT DATA'!M1145</f>
        <v>1</v>
      </c>
      <c r="J112" s="43" t="str">
        <f t="shared" si="4"/>
        <v>syn BTCV6/BTCG7/BTCX6/BTCZ6/BTCF7</v>
      </c>
      <c r="K112" s="8">
        <f>'MKT DATA'!O1145</f>
        <v>0</v>
      </c>
      <c r="L112" s="8">
        <f>'MKT DATA'!P1145</f>
        <v>84316</v>
      </c>
      <c r="M112" s="8">
        <f>'MKT DATA'!Q1145</f>
        <v>0</v>
      </c>
      <c r="N112" s="8">
        <f>'MKT DATA'!R1145</f>
        <v>0</v>
      </c>
      <c r="O112" s="8">
        <f>'MKT DATA'!S1145</f>
        <v>-85150</v>
      </c>
      <c r="P112" s="8">
        <f>'MKT DATA'!T1145</f>
        <v>0</v>
      </c>
      <c r="Q112" s="43" t="str">
        <f t="shared" si="5"/>
        <v>syn BTCV6/BTCG7/BTCX6/BTCZ6/BTCF7</v>
      </c>
      <c r="R112" s="13">
        <f>'MKT DATA'!AB1145</f>
        <v>0</v>
      </c>
    </row>
    <row r="113" spans="5:18" x14ac:dyDescent="0.25">
      <c r="E113" s="43" t="str">
        <f>'MKT DATA'!B1146</f>
        <v>syn BTCV6/BTCG7/BTCX6/BTCH7/BTCF7</v>
      </c>
      <c r="F113" s="13">
        <f>'MKT DATA'!J1146</f>
        <v>1</v>
      </c>
      <c r="G113" s="8">
        <f>'MKT DATA'!K1146</f>
        <v>83480</v>
      </c>
      <c r="H113" s="8">
        <f>'MKT DATA'!L1146</f>
        <v>85975</v>
      </c>
      <c r="I113" s="13">
        <f>'MKT DATA'!M1146</f>
        <v>1</v>
      </c>
      <c r="J113" s="43" t="str">
        <f t="shared" si="4"/>
        <v>syn BTCV6/BTCG7/BTCX6/BTCH7/BTCF7</v>
      </c>
      <c r="K113" s="8">
        <f>'MKT DATA'!O1146</f>
        <v>0</v>
      </c>
      <c r="L113" s="8">
        <f>'MKT DATA'!P1146</f>
        <v>83480</v>
      </c>
      <c r="M113" s="8">
        <f>'MKT DATA'!Q1146</f>
        <v>0</v>
      </c>
      <c r="N113" s="8">
        <f>'MKT DATA'!R1146</f>
        <v>0</v>
      </c>
      <c r="O113" s="8">
        <f>'MKT DATA'!S1146</f>
        <v>-85975</v>
      </c>
      <c r="P113" s="8">
        <f>'MKT DATA'!T1146</f>
        <v>0</v>
      </c>
      <c r="Q113" s="43" t="str">
        <f t="shared" si="5"/>
        <v>syn BTCV6/BTCG7/BTCX6/BTCH7/BTCF7</v>
      </c>
      <c r="R113" s="13">
        <f>'MKT DATA'!AB1146</f>
        <v>0</v>
      </c>
    </row>
    <row r="114" spans="5:18" x14ac:dyDescent="0.25">
      <c r="E114" s="43" t="str">
        <f>'MKT DATA'!B1147</f>
        <v>syn BTCV6/BTCG7/BTCZ6/BTCX6/BTCF7</v>
      </c>
      <c r="F114" s="13">
        <f>'MKT DATA'!J1147</f>
        <v>1</v>
      </c>
      <c r="G114" s="8">
        <f>'MKT DATA'!K1147</f>
        <v>84235</v>
      </c>
      <c r="H114" s="8">
        <f>'MKT DATA'!L1147</f>
        <v>85185</v>
      </c>
      <c r="I114" s="13">
        <f>'MKT DATA'!M1147</f>
        <v>1</v>
      </c>
      <c r="J114" s="43" t="str">
        <f t="shared" si="4"/>
        <v>syn BTCV6/BTCG7/BTCZ6/BTCX6/BTCF7</v>
      </c>
      <c r="K114" s="8">
        <f>'MKT DATA'!O1147</f>
        <v>0</v>
      </c>
      <c r="L114" s="8">
        <f>'MKT DATA'!P1147</f>
        <v>84235</v>
      </c>
      <c r="M114" s="8">
        <f>'MKT DATA'!Q1147</f>
        <v>0</v>
      </c>
      <c r="N114" s="8">
        <f>'MKT DATA'!R1147</f>
        <v>0</v>
      </c>
      <c r="O114" s="8">
        <f>'MKT DATA'!S1147</f>
        <v>-85185</v>
      </c>
      <c r="P114" s="8">
        <f>'MKT DATA'!T1147</f>
        <v>0</v>
      </c>
      <c r="Q114" s="43" t="str">
        <f t="shared" si="5"/>
        <v>syn BTCV6/BTCG7/BTCZ6/BTCX6/BTCF7</v>
      </c>
      <c r="R114" s="13">
        <f>'MKT DATA'!AB1147</f>
        <v>0</v>
      </c>
    </row>
    <row r="115" spans="5:18" x14ac:dyDescent="0.25">
      <c r="E115" s="43" t="str">
        <f>'MKT DATA'!B1148</f>
        <v>syn BTCV6/BTCG7/BTCZ6/BTCH7/BTCF7</v>
      </c>
      <c r="F115" s="13">
        <f>'MKT DATA'!J1148</f>
        <v>1</v>
      </c>
      <c r="G115" s="8">
        <f>'MKT DATA'!K1148</f>
        <v>83645</v>
      </c>
      <c r="H115" s="8">
        <f>'MKT DATA'!L1148</f>
        <v>85990</v>
      </c>
      <c r="I115" s="13">
        <f>'MKT DATA'!M1148</f>
        <v>1</v>
      </c>
      <c r="J115" s="43" t="str">
        <f t="shared" si="4"/>
        <v>syn BTCV6/BTCG7/BTCZ6/BTCH7/BTCF7</v>
      </c>
      <c r="K115" s="8">
        <f>'MKT DATA'!O1148</f>
        <v>0</v>
      </c>
      <c r="L115" s="8">
        <f>'MKT DATA'!P1148</f>
        <v>83645</v>
      </c>
      <c r="M115" s="8">
        <f>'MKT DATA'!Q1148</f>
        <v>0</v>
      </c>
      <c r="N115" s="8">
        <f>'MKT DATA'!R1148</f>
        <v>0</v>
      </c>
      <c r="O115" s="8">
        <f>'MKT DATA'!S1148</f>
        <v>-85990</v>
      </c>
      <c r="P115" s="8">
        <f>'MKT DATA'!T1148</f>
        <v>0</v>
      </c>
      <c r="Q115" s="43" t="str">
        <f t="shared" si="5"/>
        <v>syn BTCV6/BTCG7/BTCZ6/BTCH7/BTCF7</v>
      </c>
      <c r="R115" s="13">
        <f>'MKT DATA'!AB1148</f>
        <v>0</v>
      </c>
    </row>
    <row r="116" spans="5:18" x14ac:dyDescent="0.25">
      <c r="E116" s="43" t="str">
        <f>'MKT DATA'!B1149</f>
        <v>syn BTCV6/BTCG7/BTCH7/BTCX6/BTCF7</v>
      </c>
      <c r="F116" s="13">
        <f>'MKT DATA'!J1149</f>
        <v>1</v>
      </c>
      <c r="G116" s="8">
        <f>'MKT DATA'!K1149</f>
        <v>83926</v>
      </c>
      <c r="H116" s="8">
        <f>'MKT DATA'!L1149</f>
        <v>85564</v>
      </c>
      <c r="I116" s="13">
        <f>'MKT DATA'!M1149</f>
        <v>1</v>
      </c>
      <c r="J116" s="43" t="str">
        <f t="shared" si="4"/>
        <v>syn BTCV6/BTCG7/BTCH7/BTCX6/BTCF7</v>
      </c>
      <c r="K116" s="8">
        <f>'MKT DATA'!O1149</f>
        <v>0</v>
      </c>
      <c r="L116" s="8">
        <f>'MKT DATA'!P1149</f>
        <v>83926</v>
      </c>
      <c r="M116" s="8">
        <f>'MKT DATA'!Q1149</f>
        <v>0</v>
      </c>
      <c r="N116" s="8">
        <f>'MKT DATA'!R1149</f>
        <v>0</v>
      </c>
      <c r="O116" s="8">
        <f>'MKT DATA'!S1149</f>
        <v>-85564</v>
      </c>
      <c r="P116" s="8">
        <f>'MKT DATA'!T1149</f>
        <v>0</v>
      </c>
      <c r="Q116" s="43" t="str">
        <f t="shared" si="5"/>
        <v>syn BTCV6/BTCG7/BTCH7/BTCX6/BTCF7</v>
      </c>
      <c r="R116" s="13">
        <f>'MKT DATA'!AB1149</f>
        <v>0</v>
      </c>
    </row>
    <row r="117" spans="5:18" x14ac:dyDescent="0.25">
      <c r="E117" s="43" t="str">
        <f>'MKT DATA'!B1150</f>
        <v>syn BTCV6/BTCG7/BTCH7/BTCZ6/BTCF7</v>
      </c>
      <c r="F117" s="13">
        <f>'MKT DATA'!J1150</f>
        <v>1</v>
      </c>
      <c r="G117" s="8">
        <f>'MKT DATA'!K1150</f>
        <v>83977</v>
      </c>
      <c r="H117" s="8">
        <f>'MKT DATA'!L1150</f>
        <v>85349</v>
      </c>
      <c r="I117" s="13">
        <f>'MKT DATA'!M1150</f>
        <v>1</v>
      </c>
      <c r="J117" s="43" t="str">
        <f t="shared" si="4"/>
        <v>syn BTCV6/BTCG7/BTCH7/BTCZ6/BTCF7</v>
      </c>
      <c r="K117" s="8">
        <f>'MKT DATA'!O1150</f>
        <v>0</v>
      </c>
      <c r="L117" s="8">
        <f>'MKT DATA'!P1150</f>
        <v>83977</v>
      </c>
      <c r="M117" s="8">
        <f>'MKT DATA'!Q1150</f>
        <v>0</v>
      </c>
      <c r="N117" s="8">
        <f>'MKT DATA'!R1150</f>
        <v>0</v>
      </c>
      <c r="O117" s="8">
        <f>'MKT DATA'!S1150</f>
        <v>-85349</v>
      </c>
      <c r="P117" s="8">
        <f>'MKT DATA'!T1150</f>
        <v>0</v>
      </c>
      <c r="Q117" s="43" t="str">
        <f t="shared" si="5"/>
        <v>syn BTCV6/BTCG7/BTCH7/BTCZ6/BTCF7</v>
      </c>
      <c r="R117" s="13">
        <f>'MKT DATA'!AB1150</f>
        <v>0</v>
      </c>
    </row>
    <row r="118" spans="5:18" x14ac:dyDescent="0.25">
      <c r="E118" s="43" t="str">
        <f>'MKT DATA'!B1151</f>
        <v>syn BTCV6/BTCH7/BTCX6/BTCZ6/BTCF7</v>
      </c>
      <c r="F118" s="13">
        <f>'MKT DATA'!J1151</f>
        <v>1</v>
      </c>
      <c r="G118" s="8">
        <f>'MKT DATA'!K1151</f>
        <v>83906</v>
      </c>
      <c r="H118" s="8">
        <f>'MKT DATA'!L1151</f>
        <v>85560</v>
      </c>
      <c r="I118" s="13">
        <f>'MKT DATA'!M1151</f>
        <v>1</v>
      </c>
      <c r="J118" s="43" t="str">
        <f t="shared" si="4"/>
        <v>syn BTCV6/BTCH7/BTCX6/BTCZ6/BTCF7</v>
      </c>
      <c r="K118" s="8">
        <f>'MKT DATA'!O1151</f>
        <v>0</v>
      </c>
      <c r="L118" s="8">
        <f>'MKT DATA'!P1151</f>
        <v>83906</v>
      </c>
      <c r="M118" s="8">
        <f>'MKT DATA'!Q1151</f>
        <v>0</v>
      </c>
      <c r="N118" s="8">
        <f>'MKT DATA'!R1151</f>
        <v>0</v>
      </c>
      <c r="O118" s="8">
        <f>'MKT DATA'!S1151</f>
        <v>-85560</v>
      </c>
      <c r="P118" s="8">
        <f>'MKT DATA'!T1151</f>
        <v>0</v>
      </c>
      <c r="Q118" s="43" t="str">
        <f t="shared" si="5"/>
        <v>syn BTCV6/BTCH7/BTCX6/BTCZ6/BTCF7</v>
      </c>
      <c r="R118" s="13">
        <f>'MKT DATA'!AB1151</f>
        <v>0</v>
      </c>
    </row>
    <row r="119" spans="5:18" x14ac:dyDescent="0.25">
      <c r="E119" s="43" t="str">
        <f>'MKT DATA'!B1152</f>
        <v>syn BTCV6/BTCH7/BTCX6/BTCG7/BTCF7</v>
      </c>
      <c r="F119" s="13">
        <f>'MKT DATA'!J1152</f>
        <v>1</v>
      </c>
      <c r="G119" s="8">
        <f>'MKT DATA'!K1152</f>
        <v>83665</v>
      </c>
      <c r="H119" s="8">
        <f>'MKT DATA'!L1152</f>
        <v>85806</v>
      </c>
      <c r="I119" s="13">
        <f>'MKT DATA'!M1152</f>
        <v>1</v>
      </c>
      <c r="J119" s="43" t="str">
        <f t="shared" si="4"/>
        <v>syn BTCV6/BTCH7/BTCX6/BTCG7/BTCF7</v>
      </c>
      <c r="K119" s="8">
        <f>'MKT DATA'!O1152</f>
        <v>0</v>
      </c>
      <c r="L119" s="8">
        <f>'MKT DATA'!P1152</f>
        <v>83665</v>
      </c>
      <c r="M119" s="8">
        <f>'MKT DATA'!Q1152</f>
        <v>0</v>
      </c>
      <c r="N119" s="8">
        <f>'MKT DATA'!R1152</f>
        <v>0</v>
      </c>
      <c r="O119" s="8">
        <f>'MKT DATA'!S1152</f>
        <v>-85806</v>
      </c>
      <c r="P119" s="8">
        <f>'MKT DATA'!T1152</f>
        <v>0</v>
      </c>
      <c r="Q119" s="43" t="str">
        <f t="shared" si="5"/>
        <v>syn BTCV6/BTCH7/BTCX6/BTCG7/BTCF7</v>
      </c>
      <c r="R119" s="13">
        <f>'MKT DATA'!AB1152</f>
        <v>0</v>
      </c>
    </row>
    <row r="120" spans="5:18" x14ac:dyDescent="0.25">
      <c r="E120" s="43" t="str">
        <f>'MKT DATA'!B1153</f>
        <v>syn BTCV6/BTCH7/BTCZ6/BTCX6/BTCF7</v>
      </c>
      <c r="F120" s="13">
        <f>'MKT DATA'!J1153</f>
        <v>1</v>
      </c>
      <c r="G120" s="8">
        <f>'MKT DATA'!K1153</f>
        <v>83855</v>
      </c>
      <c r="H120" s="8">
        <f>'MKT DATA'!L1153</f>
        <v>85385</v>
      </c>
      <c r="I120" s="13">
        <f>'MKT DATA'!M1153</f>
        <v>1</v>
      </c>
      <c r="J120" s="43" t="str">
        <f t="shared" si="4"/>
        <v>syn BTCV6/BTCH7/BTCZ6/BTCX6/BTCF7</v>
      </c>
      <c r="K120" s="8">
        <f>'MKT DATA'!O1153</f>
        <v>0</v>
      </c>
      <c r="L120" s="8">
        <f>'MKT DATA'!P1153</f>
        <v>83855</v>
      </c>
      <c r="M120" s="8">
        <f>'MKT DATA'!Q1153</f>
        <v>0</v>
      </c>
      <c r="N120" s="8">
        <f>'MKT DATA'!R1153</f>
        <v>0</v>
      </c>
      <c r="O120" s="8">
        <f>'MKT DATA'!S1153</f>
        <v>-85385</v>
      </c>
      <c r="P120" s="8">
        <f>'MKT DATA'!T1153</f>
        <v>0</v>
      </c>
      <c r="Q120" s="43" t="str">
        <f t="shared" si="5"/>
        <v>syn BTCV6/BTCH7/BTCZ6/BTCX6/BTCF7</v>
      </c>
      <c r="R120" s="13">
        <f>'MKT DATA'!AB1153</f>
        <v>0</v>
      </c>
    </row>
    <row r="121" spans="5:18" x14ac:dyDescent="0.25">
      <c r="E121" s="43" t="str">
        <f>'MKT DATA'!B1154</f>
        <v>syn BTCV6/BTCH7/BTCZ6/BTCG7/BTCF7</v>
      </c>
      <c r="F121" s="13">
        <f>'MKT DATA'!J1154</f>
        <v>1</v>
      </c>
      <c r="G121" s="8">
        <f>'MKT DATA'!K1154</f>
        <v>83650</v>
      </c>
      <c r="H121" s="8">
        <f>'MKT DATA'!L1154</f>
        <v>85641</v>
      </c>
      <c r="I121" s="13">
        <f>'MKT DATA'!M1154</f>
        <v>1</v>
      </c>
      <c r="J121" s="43" t="str">
        <f t="shared" si="4"/>
        <v>syn BTCV6/BTCH7/BTCZ6/BTCG7/BTCF7</v>
      </c>
      <c r="K121" s="8">
        <f>'MKT DATA'!O1154</f>
        <v>0</v>
      </c>
      <c r="L121" s="8">
        <f>'MKT DATA'!P1154</f>
        <v>83650</v>
      </c>
      <c r="M121" s="8">
        <f>'MKT DATA'!Q1154</f>
        <v>0</v>
      </c>
      <c r="N121" s="8">
        <f>'MKT DATA'!R1154</f>
        <v>0</v>
      </c>
      <c r="O121" s="8">
        <f>'MKT DATA'!S1154</f>
        <v>-85641</v>
      </c>
      <c r="P121" s="8">
        <f>'MKT DATA'!T1154</f>
        <v>0</v>
      </c>
      <c r="Q121" s="43" t="str">
        <f t="shared" si="5"/>
        <v>syn BTCV6/BTCH7/BTCZ6/BTCG7/BTCF7</v>
      </c>
      <c r="R121" s="13">
        <f>'MKT DATA'!AB1154</f>
        <v>0</v>
      </c>
    </row>
    <row r="122" spans="5:18" x14ac:dyDescent="0.25">
      <c r="E122" s="43" t="str">
        <f>'MKT DATA'!B1155</f>
        <v>syn BTCV6/BTCH7/BTCG7/BTCX6/BTCF7</v>
      </c>
      <c r="F122" s="13">
        <f>'MKT DATA'!J1155</f>
        <v>1</v>
      </c>
      <c r="G122" s="8">
        <f>'MKT DATA'!K1155</f>
        <v>83871</v>
      </c>
      <c r="H122" s="8">
        <f>'MKT DATA'!L1155</f>
        <v>85509</v>
      </c>
      <c r="I122" s="13">
        <f>'MKT DATA'!M1155</f>
        <v>1</v>
      </c>
      <c r="J122" s="43" t="str">
        <f t="shared" si="4"/>
        <v>syn BTCV6/BTCH7/BTCG7/BTCX6/BTCF7</v>
      </c>
      <c r="K122" s="8">
        <f>'MKT DATA'!O1155</f>
        <v>0</v>
      </c>
      <c r="L122" s="8">
        <f>'MKT DATA'!P1155</f>
        <v>83871</v>
      </c>
      <c r="M122" s="8">
        <f>'MKT DATA'!Q1155</f>
        <v>0</v>
      </c>
      <c r="N122" s="8">
        <f>'MKT DATA'!R1155</f>
        <v>0</v>
      </c>
      <c r="O122" s="8">
        <f>'MKT DATA'!S1155</f>
        <v>-85509</v>
      </c>
      <c r="P122" s="8">
        <f>'MKT DATA'!T1155</f>
        <v>0</v>
      </c>
      <c r="Q122" s="43" t="str">
        <f t="shared" si="5"/>
        <v>syn BTCV6/BTCH7/BTCG7/BTCX6/BTCF7</v>
      </c>
      <c r="R122" s="13">
        <f>'MKT DATA'!AB1155</f>
        <v>0</v>
      </c>
    </row>
    <row r="123" spans="5:18" x14ac:dyDescent="0.25">
      <c r="E123" s="43" t="str">
        <f>'MKT DATA'!B1156</f>
        <v>syn BTCV6/BTCH7/BTCG7/BTCZ6/BTCF7</v>
      </c>
      <c r="F123" s="13">
        <f>'MKT DATA'!J1156</f>
        <v>1</v>
      </c>
      <c r="G123" s="8">
        <f>'MKT DATA'!K1156</f>
        <v>83892</v>
      </c>
      <c r="H123" s="8">
        <f>'MKT DATA'!L1156</f>
        <v>85504</v>
      </c>
      <c r="I123" s="13">
        <f>'MKT DATA'!M1156</f>
        <v>1</v>
      </c>
      <c r="J123" s="43" t="str">
        <f t="shared" si="4"/>
        <v>syn BTCV6/BTCH7/BTCG7/BTCZ6/BTCF7</v>
      </c>
      <c r="K123" s="8">
        <f>'MKT DATA'!O1156</f>
        <v>0</v>
      </c>
      <c r="L123" s="8">
        <f>'MKT DATA'!P1156</f>
        <v>83892</v>
      </c>
      <c r="M123" s="8">
        <f>'MKT DATA'!Q1156</f>
        <v>0</v>
      </c>
      <c r="N123" s="8">
        <f>'MKT DATA'!R1156</f>
        <v>0</v>
      </c>
      <c r="O123" s="8">
        <f>'MKT DATA'!S1156</f>
        <v>-85504</v>
      </c>
      <c r="P123" s="8">
        <f>'MKT DATA'!T1156</f>
        <v>0</v>
      </c>
      <c r="Q123" s="43" t="str">
        <f t="shared" si="5"/>
        <v>syn BTCV6/BTCH7/BTCG7/BTCZ6/BTCF7</v>
      </c>
      <c r="R123" s="13">
        <f>'MKT DATA'!AB1156</f>
        <v>0</v>
      </c>
    </row>
    <row r="124" spans="5:18" x14ac:dyDescent="0.25">
      <c r="E124" s="43" t="str">
        <f>'MKT DATA'!B1157</f>
        <v>syn BTCX6/BTCV6/BTCZ6/BTCG7/BTCF7</v>
      </c>
      <c r="F124" s="13">
        <f>'MKT DATA'!J1157</f>
        <v>1</v>
      </c>
      <c r="G124" s="8">
        <f>'MKT DATA'!K1157</f>
        <v>84400</v>
      </c>
      <c r="H124" s="8">
        <f>'MKT DATA'!L1157</f>
        <v>85086</v>
      </c>
      <c r="I124" s="13">
        <f>'MKT DATA'!M1157</f>
        <v>1</v>
      </c>
      <c r="J124" s="43" t="str">
        <f t="shared" si="4"/>
        <v>syn BTCX6/BTCV6/BTCZ6/BTCG7/BTCF7</v>
      </c>
      <c r="K124" s="8">
        <f>'MKT DATA'!O1157</f>
        <v>0</v>
      </c>
      <c r="L124" s="8">
        <f>'MKT DATA'!P1157</f>
        <v>84400</v>
      </c>
      <c r="M124" s="8">
        <f>'MKT DATA'!Q1157</f>
        <v>0</v>
      </c>
      <c r="N124" s="8">
        <f>'MKT DATA'!R1157</f>
        <v>0</v>
      </c>
      <c r="O124" s="8">
        <f>'MKT DATA'!S1157</f>
        <v>-85086</v>
      </c>
      <c r="P124" s="8">
        <f>'MKT DATA'!T1157</f>
        <v>0</v>
      </c>
      <c r="Q124" s="43" t="str">
        <f t="shared" si="5"/>
        <v>syn BTCX6/BTCV6/BTCZ6/BTCG7/BTCF7</v>
      </c>
      <c r="R124" s="13">
        <f>'MKT DATA'!AB1157</f>
        <v>0</v>
      </c>
    </row>
    <row r="125" spans="5:18" x14ac:dyDescent="0.25">
      <c r="E125" s="43" t="str">
        <f>'MKT DATA'!B1158</f>
        <v>syn BTCX6/BTCV6/BTCZ6/BTCH7/BTCF7</v>
      </c>
      <c r="F125" s="13">
        <f>'MKT DATA'!J1158</f>
        <v>1</v>
      </c>
      <c r="G125" s="8">
        <f>'MKT DATA'!K1158</f>
        <v>84015</v>
      </c>
      <c r="H125" s="8">
        <f>'MKT DATA'!L1158</f>
        <v>85635</v>
      </c>
      <c r="I125" s="13">
        <f>'MKT DATA'!M1158</f>
        <v>1</v>
      </c>
      <c r="J125" s="43" t="str">
        <f t="shared" si="4"/>
        <v>syn BTCX6/BTCV6/BTCZ6/BTCH7/BTCF7</v>
      </c>
      <c r="K125" s="8">
        <f>'MKT DATA'!O1158</f>
        <v>0</v>
      </c>
      <c r="L125" s="8">
        <f>'MKT DATA'!P1158</f>
        <v>84015</v>
      </c>
      <c r="M125" s="8">
        <f>'MKT DATA'!Q1158</f>
        <v>0</v>
      </c>
      <c r="N125" s="8">
        <f>'MKT DATA'!R1158</f>
        <v>0</v>
      </c>
      <c r="O125" s="8">
        <f>'MKT DATA'!S1158</f>
        <v>-85635</v>
      </c>
      <c r="P125" s="8">
        <f>'MKT DATA'!T1158</f>
        <v>0</v>
      </c>
      <c r="Q125" s="43" t="str">
        <f t="shared" si="5"/>
        <v>syn BTCX6/BTCV6/BTCZ6/BTCH7/BTCF7</v>
      </c>
      <c r="R125" s="13">
        <f>'MKT DATA'!AB1158</f>
        <v>0</v>
      </c>
    </row>
    <row r="126" spans="5:18" x14ac:dyDescent="0.25">
      <c r="E126" s="43" t="str">
        <f>'MKT DATA'!B1159</f>
        <v>syn BTCX6/BTCV6/BTCG7/BTCZ6/BTCF7</v>
      </c>
      <c r="F126" s="13">
        <f>'MKT DATA'!J1159</f>
        <v>1</v>
      </c>
      <c r="G126" s="8">
        <f>'MKT DATA'!K1159</f>
        <v>84286</v>
      </c>
      <c r="H126" s="8">
        <f>'MKT DATA'!L1159</f>
        <v>85172</v>
      </c>
      <c r="I126" s="13">
        <f>'MKT DATA'!M1159</f>
        <v>1</v>
      </c>
      <c r="J126" s="43" t="str">
        <f t="shared" si="4"/>
        <v>syn BTCX6/BTCV6/BTCG7/BTCZ6/BTCF7</v>
      </c>
      <c r="K126" s="8">
        <f>'MKT DATA'!O1159</f>
        <v>0</v>
      </c>
      <c r="L126" s="8">
        <f>'MKT DATA'!P1159</f>
        <v>84286</v>
      </c>
      <c r="M126" s="8">
        <f>'MKT DATA'!Q1159</f>
        <v>0</v>
      </c>
      <c r="N126" s="8">
        <f>'MKT DATA'!R1159</f>
        <v>0</v>
      </c>
      <c r="O126" s="8">
        <f>'MKT DATA'!S1159</f>
        <v>-85172</v>
      </c>
      <c r="P126" s="8">
        <f>'MKT DATA'!T1159</f>
        <v>0</v>
      </c>
      <c r="Q126" s="43" t="str">
        <f t="shared" si="5"/>
        <v>syn BTCX6/BTCV6/BTCG7/BTCZ6/BTCF7</v>
      </c>
      <c r="R126" s="13">
        <f>'MKT DATA'!AB1159</f>
        <v>0</v>
      </c>
    </row>
    <row r="127" spans="5:18" x14ac:dyDescent="0.25">
      <c r="E127" s="43" t="str">
        <f>'MKT DATA'!B1160</f>
        <v>syn BTCX6/BTCV6/BTCG7/BTCH7/BTCF7</v>
      </c>
      <c r="F127" s="13">
        <f>'MKT DATA'!J1160</f>
        <v>1</v>
      </c>
      <c r="G127" s="8">
        <f>'MKT DATA'!K1160</f>
        <v>83914</v>
      </c>
      <c r="H127" s="8">
        <f>'MKT DATA'!L1160</f>
        <v>85603</v>
      </c>
      <c r="I127" s="13">
        <f>'MKT DATA'!M1160</f>
        <v>1</v>
      </c>
      <c r="J127" s="43" t="str">
        <f t="shared" si="4"/>
        <v>syn BTCX6/BTCV6/BTCG7/BTCH7/BTCF7</v>
      </c>
      <c r="K127" s="8">
        <f>'MKT DATA'!O1160</f>
        <v>0</v>
      </c>
      <c r="L127" s="8">
        <f>'MKT DATA'!P1160</f>
        <v>83914</v>
      </c>
      <c r="M127" s="8">
        <f>'MKT DATA'!Q1160</f>
        <v>0</v>
      </c>
      <c r="N127" s="8">
        <f>'MKT DATA'!R1160</f>
        <v>0</v>
      </c>
      <c r="O127" s="8">
        <f>'MKT DATA'!S1160</f>
        <v>-85603</v>
      </c>
      <c r="P127" s="8">
        <f>'MKT DATA'!T1160</f>
        <v>0</v>
      </c>
      <c r="Q127" s="43" t="str">
        <f t="shared" si="5"/>
        <v>syn BTCX6/BTCV6/BTCG7/BTCH7/BTCF7</v>
      </c>
      <c r="R127" s="13">
        <f>'MKT DATA'!AB1160</f>
        <v>0</v>
      </c>
    </row>
    <row r="128" spans="5:18" x14ac:dyDescent="0.25">
      <c r="E128" s="43" t="str">
        <f>'MKT DATA'!B1161</f>
        <v>syn BTCX6/BTCV6/BTCH7/BTCZ6/BTCF7</v>
      </c>
      <c r="F128" s="13">
        <f>'MKT DATA'!J1161</f>
        <v>1</v>
      </c>
      <c r="G128" s="8">
        <f>'MKT DATA'!K1161</f>
        <v>83906</v>
      </c>
      <c r="H128" s="8">
        <f>'MKT DATA'!L1161</f>
        <v>85372</v>
      </c>
      <c r="I128" s="13">
        <f>'MKT DATA'!M1161</f>
        <v>1</v>
      </c>
      <c r="J128" s="43" t="str">
        <f t="shared" si="4"/>
        <v>syn BTCX6/BTCV6/BTCH7/BTCZ6/BTCF7</v>
      </c>
      <c r="K128" s="8">
        <f>'MKT DATA'!O1161</f>
        <v>0</v>
      </c>
      <c r="L128" s="8">
        <f>'MKT DATA'!P1161</f>
        <v>83906</v>
      </c>
      <c r="M128" s="8">
        <f>'MKT DATA'!Q1161</f>
        <v>0</v>
      </c>
      <c r="N128" s="8">
        <f>'MKT DATA'!R1161</f>
        <v>0</v>
      </c>
      <c r="O128" s="8">
        <f>'MKT DATA'!S1161</f>
        <v>-85372</v>
      </c>
      <c r="P128" s="8">
        <f>'MKT DATA'!T1161</f>
        <v>0</v>
      </c>
      <c r="Q128" s="43" t="str">
        <f t="shared" si="5"/>
        <v>syn BTCX6/BTCV6/BTCH7/BTCZ6/BTCF7</v>
      </c>
      <c r="R128" s="13">
        <f>'MKT DATA'!AB1161</f>
        <v>0</v>
      </c>
    </row>
    <row r="129" spans="5:18" x14ac:dyDescent="0.25">
      <c r="E129" s="43" t="str">
        <f>'MKT DATA'!B1162</f>
        <v>syn BTCX6/BTCV6/BTCH7/BTCG7/BTCF7</v>
      </c>
      <c r="F129" s="13">
        <f>'MKT DATA'!J1162</f>
        <v>1</v>
      </c>
      <c r="G129" s="8">
        <f>'MKT DATA'!K1162</f>
        <v>84044</v>
      </c>
      <c r="H129" s="8">
        <f>'MKT DATA'!L1162</f>
        <v>85379</v>
      </c>
      <c r="I129" s="13">
        <f>'MKT DATA'!M1162</f>
        <v>1</v>
      </c>
      <c r="J129" s="43" t="str">
        <f t="shared" si="4"/>
        <v>syn BTCX6/BTCV6/BTCH7/BTCG7/BTCF7</v>
      </c>
      <c r="K129" s="8">
        <f>'MKT DATA'!O1162</f>
        <v>0</v>
      </c>
      <c r="L129" s="8">
        <f>'MKT DATA'!P1162</f>
        <v>84044</v>
      </c>
      <c r="M129" s="8">
        <f>'MKT DATA'!Q1162</f>
        <v>0</v>
      </c>
      <c r="N129" s="8">
        <f>'MKT DATA'!R1162</f>
        <v>0</v>
      </c>
      <c r="O129" s="8">
        <f>'MKT DATA'!S1162</f>
        <v>-85379</v>
      </c>
      <c r="P129" s="8">
        <f>'MKT DATA'!T1162</f>
        <v>0</v>
      </c>
      <c r="Q129" s="43" t="str">
        <f t="shared" si="5"/>
        <v>syn BTCX6/BTCV6/BTCH7/BTCG7/BTCF7</v>
      </c>
      <c r="R129" s="13">
        <f>'MKT DATA'!AB1162</f>
        <v>0</v>
      </c>
    </row>
    <row r="130" spans="5:18" x14ac:dyDescent="0.25">
      <c r="E130" s="43" t="str">
        <f>'MKT DATA'!B1163</f>
        <v>syn BTCX6/BTCZ6/BTCV6/BTCG7/BTCF7</v>
      </c>
      <c r="F130" s="13">
        <f>'MKT DATA'!J1163</f>
        <v>1</v>
      </c>
      <c r="G130" s="8">
        <f>'MKT DATA'!K1163</f>
        <v>84422</v>
      </c>
      <c r="H130" s="8">
        <f>'MKT DATA'!L1163</f>
        <v>85056</v>
      </c>
      <c r="I130" s="13">
        <f>'MKT DATA'!M1163</f>
        <v>1</v>
      </c>
      <c r="J130" s="43" t="str">
        <f t="shared" si="4"/>
        <v>syn BTCX6/BTCZ6/BTCV6/BTCG7/BTCF7</v>
      </c>
      <c r="K130" s="8">
        <f>'MKT DATA'!O1163</f>
        <v>0</v>
      </c>
      <c r="L130" s="8">
        <f>'MKT DATA'!P1163</f>
        <v>84422</v>
      </c>
      <c r="M130" s="8">
        <f>'MKT DATA'!Q1163</f>
        <v>0</v>
      </c>
      <c r="N130" s="8">
        <f>'MKT DATA'!R1163</f>
        <v>0</v>
      </c>
      <c r="O130" s="8">
        <f>'MKT DATA'!S1163</f>
        <v>-85056</v>
      </c>
      <c r="P130" s="8">
        <f>'MKT DATA'!T1163</f>
        <v>0</v>
      </c>
      <c r="Q130" s="43" t="str">
        <f t="shared" si="5"/>
        <v>syn BTCX6/BTCZ6/BTCV6/BTCG7/BTCF7</v>
      </c>
      <c r="R130" s="13">
        <f>'MKT DATA'!AB1163</f>
        <v>0</v>
      </c>
    </row>
    <row r="131" spans="5:18" x14ac:dyDescent="0.25">
      <c r="E131" s="43" t="str">
        <f>'MKT DATA'!B1164</f>
        <v>syn BTCX6/BTCZ6/BTCV6/BTCH7/BTCF7</v>
      </c>
      <c r="F131" s="13">
        <f>'MKT DATA'!J1164</f>
        <v>1</v>
      </c>
      <c r="G131" s="8">
        <f>'MKT DATA'!K1164</f>
        <v>83827</v>
      </c>
      <c r="H131" s="8">
        <f>'MKT DATA'!L1164</f>
        <v>85635</v>
      </c>
      <c r="I131" s="13">
        <f>'MKT DATA'!M1164</f>
        <v>1</v>
      </c>
      <c r="J131" s="43" t="str">
        <f t="shared" si="4"/>
        <v>syn BTCX6/BTCZ6/BTCV6/BTCH7/BTCF7</v>
      </c>
      <c r="K131" s="8">
        <f>'MKT DATA'!O1164</f>
        <v>0</v>
      </c>
      <c r="L131" s="8">
        <f>'MKT DATA'!P1164</f>
        <v>83827</v>
      </c>
      <c r="M131" s="8">
        <f>'MKT DATA'!Q1164</f>
        <v>0</v>
      </c>
      <c r="N131" s="8">
        <f>'MKT DATA'!R1164</f>
        <v>0</v>
      </c>
      <c r="O131" s="8">
        <f>'MKT DATA'!S1164</f>
        <v>-85635</v>
      </c>
      <c r="P131" s="8">
        <f>'MKT DATA'!T1164</f>
        <v>0</v>
      </c>
      <c r="Q131" s="43" t="str">
        <f t="shared" si="5"/>
        <v>syn BTCX6/BTCZ6/BTCV6/BTCH7/BTCF7</v>
      </c>
      <c r="R131" s="13">
        <f>'MKT DATA'!AB1164</f>
        <v>0</v>
      </c>
    </row>
    <row r="132" spans="5:18" x14ac:dyDescent="0.25">
      <c r="E132" s="43" t="str">
        <f>'MKT DATA'!B1165</f>
        <v>syn BTCX6/BTCZ6/BTCG7/BTCV6/BTCF7</v>
      </c>
      <c r="F132" s="13">
        <f>'MKT DATA'!J1165</f>
        <v>1</v>
      </c>
      <c r="G132" s="8">
        <f>'MKT DATA'!K1165</f>
        <v>84210</v>
      </c>
      <c r="H132" s="8">
        <f>'MKT DATA'!L1165</f>
        <v>85230</v>
      </c>
      <c r="I132" s="13">
        <f>'MKT DATA'!M1165</f>
        <v>1</v>
      </c>
      <c r="J132" s="43" t="str">
        <f t="shared" si="4"/>
        <v>syn BTCX6/BTCZ6/BTCG7/BTCV6/BTCF7</v>
      </c>
      <c r="K132" s="8">
        <f>'MKT DATA'!O1165</f>
        <v>0</v>
      </c>
      <c r="L132" s="8">
        <f>'MKT DATA'!P1165</f>
        <v>84210</v>
      </c>
      <c r="M132" s="8">
        <f>'MKT DATA'!Q1165</f>
        <v>0</v>
      </c>
      <c r="N132" s="8">
        <f>'MKT DATA'!R1165</f>
        <v>0</v>
      </c>
      <c r="O132" s="8">
        <f>'MKT DATA'!S1165</f>
        <v>-85230</v>
      </c>
      <c r="P132" s="8">
        <f>'MKT DATA'!T1165</f>
        <v>0</v>
      </c>
      <c r="Q132" s="43" t="str">
        <f t="shared" si="5"/>
        <v>syn BTCX6/BTCZ6/BTCG7/BTCV6/BTCF7</v>
      </c>
      <c r="R132" s="13">
        <f>'MKT DATA'!AB1165</f>
        <v>0</v>
      </c>
    </row>
    <row r="133" spans="5:18" x14ac:dyDescent="0.25">
      <c r="E133" s="43" t="str">
        <f>'MKT DATA'!B1166</f>
        <v>syn BTCX6/BTCZ6/BTCG7/BTCH7/BTCF7</v>
      </c>
      <c r="F133" s="13">
        <f>'MKT DATA'!J1166</f>
        <v>1</v>
      </c>
      <c r="G133" s="8">
        <f>'MKT DATA'!K1166</f>
        <v>83874</v>
      </c>
      <c r="H133" s="8">
        <f>'MKT DATA'!L1166</f>
        <v>85651</v>
      </c>
      <c r="I133" s="13">
        <f>'MKT DATA'!M1166</f>
        <v>1</v>
      </c>
      <c r="J133" s="43" t="str">
        <f t="shared" si="4"/>
        <v>syn BTCX6/BTCZ6/BTCG7/BTCH7/BTCF7</v>
      </c>
      <c r="K133" s="8">
        <f>'MKT DATA'!O1166</f>
        <v>0</v>
      </c>
      <c r="L133" s="8">
        <f>'MKT DATA'!P1166</f>
        <v>83874</v>
      </c>
      <c r="M133" s="8">
        <f>'MKT DATA'!Q1166</f>
        <v>0</v>
      </c>
      <c r="N133" s="8">
        <f>'MKT DATA'!R1166</f>
        <v>0</v>
      </c>
      <c r="O133" s="8">
        <f>'MKT DATA'!S1166</f>
        <v>-85651</v>
      </c>
      <c r="P133" s="8">
        <f>'MKT DATA'!T1166</f>
        <v>0</v>
      </c>
      <c r="Q133" s="43" t="str">
        <f t="shared" si="5"/>
        <v>syn BTCX6/BTCZ6/BTCG7/BTCH7/BTCF7</v>
      </c>
      <c r="R133" s="13">
        <f>'MKT DATA'!AB1166</f>
        <v>0</v>
      </c>
    </row>
    <row r="134" spans="5:18" x14ac:dyDescent="0.25">
      <c r="E134" s="43" t="str">
        <f>'MKT DATA'!B1167</f>
        <v>syn BTCX6/BTCZ6/BTCH7/BTCV6/BTCF7</v>
      </c>
      <c r="F134" s="13">
        <f>'MKT DATA'!J1167</f>
        <v>1</v>
      </c>
      <c r="G134" s="8">
        <f>'MKT DATA'!K1167</f>
        <v>84010</v>
      </c>
      <c r="H134" s="8">
        <f>'MKT DATA'!L1167</f>
        <v>85610</v>
      </c>
      <c r="I134" s="13">
        <f>'MKT DATA'!M1167</f>
        <v>1</v>
      </c>
      <c r="J134" s="43" t="str">
        <f t="shared" si="4"/>
        <v>syn BTCX6/BTCZ6/BTCH7/BTCV6/BTCF7</v>
      </c>
      <c r="K134" s="8">
        <f>'MKT DATA'!O1167</f>
        <v>0</v>
      </c>
      <c r="L134" s="8">
        <f>'MKT DATA'!P1167</f>
        <v>84010</v>
      </c>
      <c r="M134" s="8">
        <f>'MKT DATA'!Q1167</f>
        <v>0</v>
      </c>
      <c r="N134" s="8">
        <f>'MKT DATA'!R1167</f>
        <v>0</v>
      </c>
      <c r="O134" s="8">
        <f>'MKT DATA'!S1167</f>
        <v>-85610</v>
      </c>
      <c r="P134" s="8">
        <f>'MKT DATA'!T1167</f>
        <v>0</v>
      </c>
      <c r="Q134" s="43" t="str">
        <f t="shared" si="5"/>
        <v>syn BTCX6/BTCZ6/BTCH7/BTCV6/BTCF7</v>
      </c>
      <c r="R134" s="13">
        <f>'MKT DATA'!AB1167</f>
        <v>0</v>
      </c>
    </row>
    <row r="135" spans="5:18" x14ac:dyDescent="0.25">
      <c r="E135" s="43" t="str">
        <f>'MKT DATA'!B1168</f>
        <v>syn BTCX6/BTCZ6/BTCH7/BTCG7/BTCF7</v>
      </c>
      <c r="F135" s="13">
        <f>'MKT DATA'!J1168</f>
        <v>1</v>
      </c>
      <c r="G135" s="8">
        <f>'MKT DATA'!K1168</f>
        <v>84214</v>
      </c>
      <c r="H135" s="8">
        <f>'MKT DATA'!L1168</f>
        <v>85397</v>
      </c>
      <c r="I135" s="13">
        <f>'MKT DATA'!M1168</f>
        <v>1</v>
      </c>
      <c r="J135" s="43" t="str">
        <f t="shared" si="4"/>
        <v>syn BTCX6/BTCZ6/BTCH7/BTCG7/BTCF7</v>
      </c>
      <c r="K135" s="8">
        <f>'MKT DATA'!O1168</f>
        <v>0</v>
      </c>
      <c r="L135" s="8">
        <f>'MKT DATA'!P1168</f>
        <v>84214</v>
      </c>
      <c r="M135" s="8">
        <f>'MKT DATA'!Q1168</f>
        <v>0</v>
      </c>
      <c r="N135" s="8">
        <f>'MKT DATA'!R1168</f>
        <v>0</v>
      </c>
      <c r="O135" s="8">
        <f>'MKT DATA'!S1168</f>
        <v>-85397</v>
      </c>
      <c r="P135" s="8">
        <f>'MKT DATA'!T1168</f>
        <v>0</v>
      </c>
      <c r="Q135" s="43" t="str">
        <f t="shared" si="5"/>
        <v>syn BTCX6/BTCZ6/BTCH7/BTCG7/BTCF7</v>
      </c>
      <c r="R135" s="13">
        <f>'MKT DATA'!AB1168</f>
        <v>0</v>
      </c>
    </row>
    <row r="136" spans="5:18" x14ac:dyDescent="0.25">
      <c r="E136" s="43" t="str">
        <f>'MKT DATA'!B1169</f>
        <v>syn BTCX6/BTCG7/BTCV6/BTCZ6/BTCF7</v>
      </c>
      <c r="F136" s="13">
        <f>'MKT DATA'!J1169</f>
        <v>1</v>
      </c>
      <c r="G136" s="8">
        <f>'MKT DATA'!K1169</f>
        <v>84293</v>
      </c>
      <c r="H136" s="8">
        <f>'MKT DATA'!L1169</f>
        <v>85166</v>
      </c>
      <c r="I136" s="13">
        <f>'MKT DATA'!M1169</f>
        <v>1</v>
      </c>
      <c r="J136" s="43" t="str">
        <f t="shared" si="4"/>
        <v>syn BTCX6/BTCG7/BTCV6/BTCZ6/BTCF7</v>
      </c>
      <c r="K136" s="8">
        <f>'MKT DATA'!O1169</f>
        <v>0</v>
      </c>
      <c r="L136" s="8">
        <f>'MKT DATA'!P1169</f>
        <v>84293</v>
      </c>
      <c r="M136" s="8">
        <f>'MKT DATA'!Q1169</f>
        <v>0</v>
      </c>
      <c r="N136" s="8">
        <f>'MKT DATA'!R1169</f>
        <v>0</v>
      </c>
      <c r="O136" s="8">
        <f>'MKT DATA'!S1169</f>
        <v>-85166</v>
      </c>
      <c r="P136" s="8">
        <f>'MKT DATA'!T1169</f>
        <v>0</v>
      </c>
      <c r="Q136" s="43" t="str">
        <f t="shared" si="5"/>
        <v>syn BTCX6/BTCG7/BTCV6/BTCZ6/BTCF7</v>
      </c>
      <c r="R136" s="13">
        <f>'MKT DATA'!AB1169</f>
        <v>0</v>
      </c>
    </row>
    <row r="137" spans="5:18" x14ac:dyDescent="0.25">
      <c r="E137" s="43" t="str">
        <f>'MKT DATA'!B1170</f>
        <v>syn BTCX6/BTCG7/BTCV6/BTCH7/BTCF7</v>
      </c>
      <c r="F137" s="13">
        <f>'MKT DATA'!J1170</f>
        <v>1</v>
      </c>
      <c r="G137" s="8">
        <f>'MKT DATA'!K1170</f>
        <v>83480</v>
      </c>
      <c r="H137" s="8">
        <f>'MKT DATA'!L1170</f>
        <v>85975</v>
      </c>
      <c r="I137" s="13">
        <f>'MKT DATA'!M1170</f>
        <v>1</v>
      </c>
      <c r="J137" s="43" t="str">
        <f t="shared" si="4"/>
        <v>syn BTCX6/BTCG7/BTCV6/BTCH7/BTCF7</v>
      </c>
      <c r="K137" s="8">
        <f>'MKT DATA'!O1170</f>
        <v>0</v>
      </c>
      <c r="L137" s="8">
        <f>'MKT DATA'!P1170</f>
        <v>83480</v>
      </c>
      <c r="M137" s="8">
        <f>'MKT DATA'!Q1170</f>
        <v>0</v>
      </c>
      <c r="N137" s="8">
        <f>'MKT DATA'!R1170</f>
        <v>0</v>
      </c>
      <c r="O137" s="8">
        <f>'MKT DATA'!S1170</f>
        <v>-85975</v>
      </c>
      <c r="P137" s="8">
        <f>'MKT DATA'!T1170</f>
        <v>0</v>
      </c>
      <c r="Q137" s="43" t="str">
        <f t="shared" si="5"/>
        <v>syn BTCX6/BTCG7/BTCV6/BTCH7/BTCF7</v>
      </c>
      <c r="R137" s="13">
        <f>'MKT DATA'!AB1170</f>
        <v>0</v>
      </c>
    </row>
    <row r="138" spans="5:18" x14ac:dyDescent="0.25">
      <c r="E138" s="43" t="str">
        <f>'MKT DATA'!B1171</f>
        <v>syn BTCX6/BTCG7/BTCZ6/BTCV6/BTCF7</v>
      </c>
      <c r="F138" s="13">
        <f>'MKT DATA'!J1171</f>
        <v>1</v>
      </c>
      <c r="G138" s="8">
        <f>'MKT DATA'!K1171</f>
        <v>84179</v>
      </c>
      <c r="H138" s="8">
        <f>'MKT DATA'!L1171</f>
        <v>85238</v>
      </c>
      <c r="I138" s="13">
        <f>'MKT DATA'!M1171</f>
        <v>1</v>
      </c>
      <c r="J138" s="43" t="str">
        <f t="shared" ref="J138:J201" si="6">E138</f>
        <v>syn BTCX6/BTCG7/BTCZ6/BTCV6/BTCF7</v>
      </c>
      <c r="K138" s="8">
        <f>'MKT DATA'!O1171</f>
        <v>0</v>
      </c>
      <c r="L138" s="8">
        <f>'MKT DATA'!P1171</f>
        <v>84179</v>
      </c>
      <c r="M138" s="8">
        <f>'MKT DATA'!Q1171</f>
        <v>0</v>
      </c>
      <c r="N138" s="8">
        <f>'MKT DATA'!R1171</f>
        <v>0</v>
      </c>
      <c r="O138" s="8">
        <f>'MKT DATA'!S1171</f>
        <v>-85238</v>
      </c>
      <c r="P138" s="8">
        <f>'MKT DATA'!T1171</f>
        <v>0</v>
      </c>
      <c r="Q138" s="43" t="str">
        <f t="shared" ref="Q138:Q201" si="7">J138</f>
        <v>syn BTCX6/BTCG7/BTCZ6/BTCV6/BTCF7</v>
      </c>
      <c r="R138" s="13">
        <f>'MKT DATA'!AB1171</f>
        <v>0</v>
      </c>
    </row>
    <row r="139" spans="5:18" x14ac:dyDescent="0.25">
      <c r="E139" s="43" t="str">
        <f>'MKT DATA'!B1172</f>
        <v>syn BTCX6/BTCG7/BTCZ6/BTCH7/BTCF7</v>
      </c>
      <c r="F139" s="13">
        <f>'MKT DATA'!J1172</f>
        <v>1</v>
      </c>
      <c r="G139" s="8">
        <f>'MKT DATA'!K1172</f>
        <v>83620</v>
      </c>
      <c r="H139" s="8">
        <f>'MKT DATA'!L1172</f>
        <v>86015</v>
      </c>
      <c r="I139" s="13">
        <f>'MKT DATA'!M1172</f>
        <v>1</v>
      </c>
      <c r="J139" s="43" t="str">
        <f t="shared" si="6"/>
        <v>syn BTCX6/BTCG7/BTCZ6/BTCH7/BTCF7</v>
      </c>
      <c r="K139" s="8">
        <f>'MKT DATA'!O1172</f>
        <v>0</v>
      </c>
      <c r="L139" s="8">
        <f>'MKT DATA'!P1172</f>
        <v>83620</v>
      </c>
      <c r="M139" s="8">
        <f>'MKT DATA'!Q1172</f>
        <v>0</v>
      </c>
      <c r="N139" s="8">
        <f>'MKT DATA'!R1172</f>
        <v>0</v>
      </c>
      <c r="O139" s="8">
        <f>'MKT DATA'!S1172</f>
        <v>-86015</v>
      </c>
      <c r="P139" s="8">
        <f>'MKT DATA'!T1172</f>
        <v>0</v>
      </c>
      <c r="Q139" s="43" t="str">
        <f t="shared" si="7"/>
        <v>syn BTCX6/BTCG7/BTCZ6/BTCH7/BTCF7</v>
      </c>
      <c r="R139" s="13">
        <f>'MKT DATA'!AB1172</f>
        <v>0</v>
      </c>
    </row>
    <row r="140" spans="5:18" x14ac:dyDescent="0.25">
      <c r="E140" s="43" t="str">
        <f>'MKT DATA'!B1173</f>
        <v>syn BTCX6/BTCG7/BTCH7/BTCV6/BTCF7</v>
      </c>
      <c r="F140" s="13">
        <f>'MKT DATA'!J1173</f>
        <v>1</v>
      </c>
      <c r="G140" s="8">
        <f>'MKT DATA'!K1173</f>
        <v>83886</v>
      </c>
      <c r="H140" s="8">
        <f>'MKT DATA'!L1173</f>
        <v>85594</v>
      </c>
      <c r="I140" s="13">
        <f>'MKT DATA'!M1173</f>
        <v>1</v>
      </c>
      <c r="J140" s="43" t="str">
        <f t="shared" si="6"/>
        <v>syn BTCX6/BTCG7/BTCH7/BTCV6/BTCF7</v>
      </c>
      <c r="K140" s="8">
        <f>'MKT DATA'!O1173</f>
        <v>0</v>
      </c>
      <c r="L140" s="8">
        <f>'MKT DATA'!P1173</f>
        <v>83886</v>
      </c>
      <c r="M140" s="8">
        <f>'MKT DATA'!Q1173</f>
        <v>0</v>
      </c>
      <c r="N140" s="8">
        <f>'MKT DATA'!R1173</f>
        <v>0</v>
      </c>
      <c r="O140" s="8">
        <f>'MKT DATA'!S1173</f>
        <v>-85594</v>
      </c>
      <c r="P140" s="8">
        <f>'MKT DATA'!T1173</f>
        <v>0</v>
      </c>
      <c r="Q140" s="43" t="str">
        <f t="shared" si="7"/>
        <v>syn BTCX6/BTCG7/BTCH7/BTCV6/BTCF7</v>
      </c>
      <c r="R140" s="13">
        <f>'MKT DATA'!AB1173</f>
        <v>0</v>
      </c>
    </row>
    <row r="141" spans="5:18" x14ac:dyDescent="0.25">
      <c r="E141" s="43" t="str">
        <f>'MKT DATA'!B1174</f>
        <v>syn BTCX6/BTCG7/BTCH7/BTCZ6/BTCF7</v>
      </c>
      <c r="F141" s="13">
        <f>'MKT DATA'!J1174</f>
        <v>1</v>
      </c>
      <c r="G141" s="8">
        <f>'MKT DATA'!K1174</f>
        <v>83952</v>
      </c>
      <c r="H141" s="8">
        <f>'MKT DATA'!L1174</f>
        <v>85374</v>
      </c>
      <c r="I141" s="13">
        <f>'MKT DATA'!M1174</f>
        <v>1</v>
      </c>
      <c r="J141" s="43" t="str">
        <f t="shared" si="6"/>
        <v>syn BTCX6/BTCG7/BTCH7/BTCZ6/BTCF7</v>
      </c>
      <c r="K141" s="8">
        <f>'MKT DATA'!O1174</f>
        <v>0</v>
      </c>
      <c r="L141" s="8">
        <f>'MKT DATA'!P1174</f>
        <v>83952</v>
      </c>
      <c r="M141" s="8">
        <f>'MKT DATA'!Q1174</f>
        <v>0</v>
      </c>
      <c r="N141" s="8">
        <f>'MKT DATA'!R1174</f>
        <v>0</v>
      </c>
      <c r="O141" s="8">
        <f>'MKT DATA'!S1174</f>
        <v>-85374</v>
      </c>
      <c r="P141" s="8">
        <f>'MKT DATA'!T1174</f>
        <v>0</v>
      </c>
      <c r="Q141" s="43" t="str">
        <f t="shared" si="7"/>
        <v>syn BTCX6/BTCG7/BTCH7/BTCZ6/BTCF7</v>
      </c>
      <c r="R141" s="13">
        <f>'MKT DATA'!AB1174</f>
        <v>0</v>
      </c>
    </row>
    <row r="142" spans="5:18" x14ac:dyDescent="0.25">
      <c r="E142" s="43" t="str">
        <f>'MKT DATA'!B1175</f>
        <v>syn BTCX6/BTCH7/BTCV6/BTCZ6/BTCF7</v>
      </c>
      <c r="F142" s="13">
        <f>'MKT DATA'!J1175</f>
        <v>1</v>
      </c>
      <c r="G142" s="8">
        <f>'MKT DATA'!K1175</f>
        <v>83883</v>
      </c>
      <c r="H142" s="8">
        <f>'MKT DATA'!L1175</f>
        <v>85576</v>
      </c>
      <c r="I142" s="13">
        <f>'MKT DATA'!M1175</f>
        <v>1</v>
      </c>
      <c r="J142" s="43" t="str">
        <f t="shared" si="6"/>
        <v>syn BTCX6/BTCH7/BTCV6/BTCZ6/BTCF7</v>
      </c>
      <c r="K142" s="8">
        <f>'MKT DATA'!O1175</f>
        <v>0</v>
      </c>
      <c r="L142" s="8">
        <f>'MKT DATA'!P1175</f>
        <v>83883</v>
      </c>
      <c r="M142" s="8">
        <f>'MKT DATA'!Q1175</f>
        <v>0</v>
      </c>
      <c r="N142" s="8">
        <f>'MKT DATA'!R1175</f>
        <v>0</v>
      </c>
      <c r="O142" s="8">
        <f>'MKT DATA'!S1175</f>
        <v>-85576</v>
      </c>
      <c r="P142" s="8">
        <f>'MKT DATA'!T1175</f>
        <v>0</v>
      </c>
      <c r="Q142" s="43" t="str">
        <f t="shared" si="7"/>
        <v>syn BTCX6/BTCH7/BTCV6/BTCZ6/BTCF7</v>
      </c>
      <c r="R142" s="13">
        <f>'MKT DATA'!AB1175</f>
        <v>0</v>
      </c>
    </row>
    <row r="143" spans="5:18" x14ac:dyDescent="0.25">
      <c r="E143" s="43" t="str">
        <f>'MKT DATA'!B1176</f>
        <v>syn BTCX6/BTCH7/BTCV6/BTCG7/BTCF7</v>
      </c>
      <c r="F143" s="13">
        <f>'MKT DATA'!J1176</f>
        <v>1</v>
      </c>
      <c r="G143" s="8">
        <f>'MKT DATA'!K1176</f>
        <v>83665</v>
      </c>
      <c r="H143" s="8">
        <f>'MKT DATA'!L1176</f>
        <v>85806</v>
      </c>
      <c r="I143" s="13">
        <f>'MKT DATA'!M1176</f>
        <v>1</v>
      </c>
      <c r="J143" s="43" t="str">
        <f t="shared" si="6"/>
        <v>syn BTCX6/BTCH7/BTCV6/BTCG7/BTCF7</v>
      </c>
      <c r="K143" s="8">
        <f>'MKT DATA'!O1176</f>
        <v>0</v>
      </c>
      <c r="L143" s="8">
        <f>'MKT DATA'!P1176</f>
        <v>83665</v>
      </c>
      <c r="M143" s="8">
        <f>'MKT DATA'!Q1176</f>
        <v>0</v>
      </c>
      <c r="N143" s="8">
        <f>'MKT DATA'!R1176</f>
        <v>0</v>
      </c>
      <c r="O143" s="8">
        <f>'MKT DATA'!S1176</f>
        <v>-85806</v>
      </c>
      <c r="P143" s="8">
        <f>'MKT DATA'!T1176</f>
        <v>0</v>
      </c>
      <c r="Q143" s="43" t="str">
        <f t="shared" si="7"/>
        <v>syn BTCX6/BTCH7/BTCV6/BTCG7/BTCF7</v>
      </c>
      <c r="R143" s="13">
        <f>'MKT DATA'!AB1176</f>
        <v>0</v>
      </c>
    </row>
    <row r="144" spans="5:18" x14ac:dyDescent="0.25">
      <c r="E144" s="43" t="str">
        <f>'MKT DATA'!B1177</f>
        <v>syn BTCX6/BTCH7/BTCZ6/BTCV6/BTCF7</v>
      </c>
      <c r="F144" s="13">
        <f>'MKT DATA'!J1177</f>
        <v>1</v>
      </c>
      <c r="G144" s="8">
        <f>'MKT DATA'!K1177</f>
        <v>83799</v>
      </c>
      <c r="H144" s="8">
        <f>'MKT DATA'!L1177</f>
        <v>85438</v>
      </c>
      <c r="I144" s="13">
        <f>'MKT DATA'!M1177</f>
        <v>1</v>
      </c>
      <c r="J144" s="43" t="str">
        <f t="shared" si="6"/>
        <v>syn BTCX6/BTCH7/BTCZ6/BTCV6/BTCF7</v>
      </c>
      <c r="K144" s="8">
        <f>'MKT DATA'!O1177</f>
        <v>0</v>
      </c>
      <c r="L144" s="8">
        <f>'MKT DATA'!P1177</f>
        <v>83799</v>
      </c>
      <c r="M144" s="8">
        <f>'MKT DATA'!Q1177</f>
        <v>0</v>
      </c>
      <c r="N144" s="8">
        <f>'MKT DATA'!R1177</f>
        <v>0</v>
      </c>
      <c r="O144" s="8">
        <f>'MKT DATA'!S1177</f>
        <v>-85438</v>
      </c>
      <c r="P144" s="8">
        <f>'MKT DATA'!T1177</f>
        <v>0</v>
      </c>
      <c r="Q144" s="43" t="str">
        <f t="shared" si="7"/>
        <v>syn BTCX6/BTCH7/BTCZ6/BTCV6/BTCF7</v>
      </c>
      <c r="R144" s="13">
        <f>'MKT DATA'!AB1177</f>
        <v>0</v>
      </c>
    </row>
    <row r="145" spans="5:18" x14ac:dyDescent="0.25">
      <c r="E145" s="43" t="str">
        <f>'MKT DATA'!B1178</f>
        <v>syn BTCX6/BTCH7/BTCZ6/BTCG7/BTCF7</v>
      </c>
      <c r="F145" s="13">
        <f>'MKT DATA'!J1178</f>
        <v>1</v>
      </c>
      <c r="G145" s="8">
        <f>'MKT DATA'!K1178</f>
        <v>83625</v>
      </c>
      <c r="H145" s="8">
        <f>'MKT DATA'!L1178</f>
        <v>85666</v>
      </c>
      <c r="I145" s="13">
        <f>'MKT DATA'!M1178</f>
        <v>1</v>
      </c>
      <c r="J145" s="43" t="str">
        <f t="shared" si="6"/>
        <v>syn BTCX6/BTCH7/BTCZ6/BTCG7/BTCF7</v>
      </c>
      <c r="K145" s="8">
        <f>'MKT DATA'!O1178</f>
        <v>0</v>
      </c>
      <c r="L145" s="8">
        <f>'MKT DATA'!P1178</f>
        <v>83625</v>
      </c>
      <c r="M145" s="8">
        <f>'MKT DATA'!Q1178</f>
        <v>0</v>
      </c>
      <c r="N145" s="8">
        <f>'MKT DATA'!R1178</f>
        <v>0</v>
      </c>
      <c r="O145" s="8">
        <f>'MKT DATA'!S1178</f>
        <v>-85666</v>
      </c>
      <c r="P145" s="8">
        <f>'MKT DATA'!T1178</f>
        <v>0</v>
      </c>
      <c r="Q145" s="43" t="str">
        <f t="shared" si="7"/>
        <v>syn BTCX6/BTCH7/BTCZ6/BTCG7/BTCF7</v>
      </c>
      <c r="R145" s="13">
        <f>'MKT DATA'!AB1178</f>
        <v>0</v>
      </c>
    </row>
    <row r="146" spans="5:18" x14ac:dyDescent="0.25">
      <c r="E146" s="43" t="str">
        <f>'MKT DATA'!B1179</f>
        <v>syn BTCX6/BTCH7/BTCG7/BTCV6/BTCF7</v>
      </c>
      <c r="F146" s="13">
        <f>'MKT DATA'!J1179</f>
        <v>1</v>
      </c>
      <c r="G146" s="8">
        <f>'MKT DATA'!K1179</f>
        <v>83831</v>
      </c>
      <c r="H146" s="8">
        <f>'MKT DATA'!L1179</f>
        <v>85539</v>
      </c>
      <c r="I146" s="13">
        <f>'MKT DATA'!M1179</f>
        <v>1</v>
      </c>
      <c r="J146" s="43" t="str">
        <f t="shared" si="6"/>
        <v>syn BTCX6/BTCH7/BTCG7/BTCV6/BTCF7</v>
      </c>
      <c r="K146" s="8">
        <f>'MKT DATA'!O1179</f>
        <v>0</v>
      </c>
      <c r="L146" s="8">
        <f>'MKT DATA'!P1179</f>
        <v>83831</v>
      </c>
      <c r="M146" s="8">
        <f>'MKT DATA'!Q1179</f>
        <v>0</v>
      </c>
      <c r="N146" s="8">
        <f>'MKT DATA'!R1179</f>
        <v>0</v>
      </c>
      <c r="O146" s="8">
        <f>'MKT DATA'!S1179</f>
        <v>-85539</v>
      </c>
      <c r="P146" s="8">
        <f>'MKT DATA'!T1179</f>
        <v>0</v>
      </c>
      <c r="Q146" s="43" t="str">
        <f t="shared" si="7"/>
        <v>syn BTCX6/BTCH7/BTCG7/BTCV6/BTCF7</v>
      </c>
      <c r="R146" s="13">
        <f>'MKT DATA'!AB1179</f>
        <v>0</v>
      </c>
    </row>
    <row r="147" spans="5:18" x14ac:dyDescent="0.25">
      <c r="E147" s="43" t="str">
        <f>'MKT DATA'!B1180</f>
        <v>syn BTCX6/BTCH7/BTCG7/BTCZ6/BTCF7</v>
      </c>
      <c r="F147" s="13">
        <f>'MKT DATA'!J1180</f>
        <v>1</v>
      </c>
      <c r="G147" s="8">
        <f>'MKT DATA'!K1180</f>
        <v>83867</v>
      </c>
      <c r="H147" s="8">
        <f>'MKT DATA'!L1180</f>
        <v>85529</v>
      </c>
      <c r="I147" s="13">
        <f>'MKT DATA'!M1180</f>
        <v>1</v>
      </c>
      <c r="J147" s="43" t="str">
        <f t="shared" si="6"/>
        <v>syn BTCX6/BTCH7/BTCG7/BTCZ6/BTCF7</v>
      </c>
      <c r="K147" s="8">
        <f>'MKT DATA'!O1180</f>
        <v>0</v>
      </c>
      <c r="L147" s="8">
        <f>'MKT DATA'!P1180</f>
        <v>83867</v>
      </c>
      <c r="M147" s="8">
        <f>'MKT DATA'!Q1180</f>
        <v>0</v>
      </c>
      <c r="N147" s="8">
        <f>'MKT DATA'!R1180</f>
        <v>0</v>
      </c>
      <c r="O147" s="8">
        <f>'MKT DATA'!S1180</f>
        <v>-85529</v>
      </c>
      <c r="P147" s="8">
        <f>'MKT DATA'!T1180</f>
        <v>0</v>
      </c>
      <c r="Q147" s="43" t="str">
        <f t="shared" si="7"/>
        <v>syn BTCX6/BTCH7/BTCG7/BTCZ6/BTCF7</v>
      </c>
      <c r="R147" s="13">
        <f>'MKT DATA'!AB1180</f>
        <v>0</v>
      </c>
    </row>
    <row r="148" spans="5:18" x14ac:dyDescent="0.25">
      <c r="E148" s="43" t="str">
        <f>'MKT DATA'!B1181</f>
        <v>syn BTCZ6/BTCV6/BTCX6/BTCG7/BTCF7</v>
      </c>
      <c r="F148" s="13">
        <f>'MKT DATA'!J1181</f>
        <v>1</v>
      </c>
      <c r="G148" s="8">
        <f>'MKT DATA'!K1181</f>
        <v>84385</v>
      </c>
      <c r="H148" s="8">
        <f>'MKT DATA'!L1181</f>
        <v>85071</v>
      </c>
      <c r="I148" s="13">
        <f>'MKT DATA'!M1181</f>
        <v>1</v>
      </c>
      <c r="J148" s="43" t="str">
        <f t="shared" si="6"/>
        <v>syn BTCZ6/BTCV6/BTCX6/BTCG7/BTCF7</v>
      </c>
      <c r="K148" s="8">
        <f>'MKT DATA'!O1181</f>
        <v>0</v>
      </c>
      <c r="L148" s="8">
        <f>'MKT DATA'!P1181</f>
        <v>84385</v>
      </c>
      <c r="M148" s="8">
        <f>'MKT DATA'!Q1181</f>
        <v>0</v>
      </c>
      <c r="N148" s="8">
        <f>'MKT DATA'!R1181</f>
        <v>0</v>
      </c>
      <c r="O148" s="8">
        <f>'MKT DATA'!S1181</f>
        <v>-85071</v>
      </c>
      <c r="P148" s="8">
        <f>'MKT DATA'!T1181</f>
        <v>0</v>
      </c>
      <c r="Q148" s="43" t="str">
        <f t="shared" si="7"/>
        <v>syn BTCZ6/BTCV6/BTCX6/BTCG7/BTCF7</v>
      </c>
      <c r="R148" s="13">
        <f>'MKT DATA'!AB1181</f>
        <v>0</v>
      </c>
    </row>
    <row r="149" spans="5:18" x14ac:dyDescent="0.25">
      <c r="E149" s="43" t="str">
        <f>'MKT DATA'!B1182</f>
        <v>syn BTCZ6/BTCV6/BTCX6/BTCH7/BTCF7</v>
      </c>
      <c r="F149" s="13">
        <f>'MKT DATA'!J1182</f>
        <v>1</v>
      </c>
      <c r="G149" s="8">
        <f>'MKT DATA'!K1182</f>
        <v>83790</v>
      </c>
      <c r="H149" s="8">
        <f>'MKT DATA'!L1182</f>
        <v>85650</v>
      </c>
      <c r="I149" s="13">
        <f>'MKT DATA'!M1182</f>
        <v>1</v>
      </c>
      <c r="J149" s="43" t="str">
        <f t="shared" si="6"/>
        <v>syn BTCZ6/BTCV6/BTCX6/BTCH7/BTCF7</v>
      </c>
      <c r="K149" s="8">
        <f>'MKT DATA'!O1182</f>
        <v>0</v>
      </c>
      <c r="L149" s="8">
        <f>'MKT DATA'!P1182</f>
        <v>83790</v>
      </c>
      <c r="M149" s="8">
        <f>'MKT DATA'!Q1182</f>
        <v>0</v>
      </c>
      <c r="N149" s="8">
        <f>'MKT DATA'!R1182</f>
        <v>0</v>
      </c>
      <c r="O149" s="8">
        <f>'MKT DATA'!S1182</f>
        <v>-85650</v>
      </c>
      <c r="P149" s="8">
        <f>'MKT DATA'!T1182</f>
        <v>0</v>
      </c>
      <c r="Q149" s="43" t="str">
        <f t="shared" si="7"/>
        <v>syn BTCZ6/BTCV6/BTCX6/BTCH7/BTCF7</v>
      </c>
      <c r="R149" s="13">
        <f>'MKT DATA'!AB1182</f>
        <v>0</v>
      </c>
    </row>
    <row r="150" spans="5:18" x14ac:dyDescent="0.25">
      <c r="E150" s="43" t="str">
        <f>'MKT DATA'!B1183</f>
        <v>syn BTCZ6/BTCV6/BTCG7/BTCX6/BTCF7</v>
      </c>
      <c r="F150" s="13">
        <f>'MKT DATA'!J1183</f>
        <v>1</v>
      </c>
      <c r="G150" s="8">
        <f>'MKT DATA'!K1183</f>
        <v>84219</v>
      </c>
      <c r="H150" s="8">
        <f>'MKT DATA'!L1183</f>
        <v>85208</v>
      </c>
      <c r="I150" s="13">
        <f>'MKT DATA'!M1183</f>
        <v>1</v>
      </c>
      <c r="J150" s="43" t="str">
        <f t="shared" si="6"/>
        <v>syn BTCZ6/BTCV6/BTCG7/BTCX6/BTCF7</v>
      </c>
      <c r="K150" s="8">
        <f>'MKT DATA'!O1183</f>
        <v>0</v>
      </c>
      <c r="L150" s="8">
        <f>'MKT DATA'!P1183</f>
        <v>84219</v>
      </c>
      <c r="M150" s="8">
        <f>'MKT DATA'!Q1183</f>
        <v>0</v>
      </c>
      <c r="N150" s="8">
        <f>'MKT DATA'!R1183</f>
        <v>0</v>
      </c>
      <c r="O150" s="8">
        <f>'MKT DATA'!S1183</f>
        <v>-85208</v>
      </c>
      <c r="P150" s="8">
        <f>'MKT DATA'!T1183</f>
        <v>0</v>
      </c>
      <c r="Q150" s="43" t="str">
        <f t="shared" si="7"/>
        <v>syn BTCZ6/BTCV6/BTCG7/BTCX6/BTCF7</v>
      </c>
      <c r="R150" s="13">
        <f>'MKT DATA'!AB1183</f>
        <v>0</v>
      </c>
    </row>
    <row r="151" spans="5:18" x14ac:dyDescent="0.25">
      <c r="E151" s="43" t="str">
        <f>'MKT DATA'!B1184</f>
        <v>syn BTCZ6/BTCV6/BTCG7/BTCH7/BTCF7</v>
      </c>
      <c r="F151" s="13">
        <f>'MKT DATA'!J1184</f>
        <v>1</v>
      </c>
      <c r="G151" s="8">
        <f>'MKT DATA'!K1184</f>
        <v>83868</v>
      </c>
      <c r="H151" s="8">
        <f>'MKT DATA'!L1184</f>
        <v>85634</v>
      </c>
      <c r="I151" s="13">
        <f>'MKT DATA'!M1184</f>
        <v>1</v>
      </c>
      <c r="J151" s="43" t="str">
        <f t="shared" si="6"/>
        <v>syn BTCZ6/BTCV6/BTCG7/BTCH7/BTCF7</v>
      </c>
      <c r="K151" s="8">
        <f>'MKT DATA'!O1184</f>
        <v>0</v>
      </c>
      <c r="L151" s="8">
        <f>'MKT DATA'!P1184</f>
        <v>83868</v>
      </c>
      <c r="M151" s="8">
        <f>'MKT DATA'!Q1184</f>
        <v>0</v>
      </c>
      <c r="N151" s="8">
        <f>'MKT DATA'!R1184</f>
        <v>0</v>
      </c>
      <c r="O151" s="8">
        <f>'MKT DATA'!S1184</f>
        <v>-85634</v>
      </c>
      <c r="P151" s="8">
        <f>'MKT DATA'!T1184</f>
        <v>0</v>
      </c>
      <c r="Q151" s="43" t="str">
        <f t="shared" si="7"/>
        <v>syn BTCZ6/BTCV6/BTCG7/BTCH7/BTCF7</v>
      </c>
      <c r="R151" s="13">
        <f>'MKT DATA'!AB1184</f>
        <v>0</v>
      </c>
    </row>
    <row r="152" spans="5:18" x14ac:dyDescent="0.25">
      <c r="E152" s="43" t="str">
        <f>'MKT DATA'!B1185</f>
        <v>syn BTCZ6/BTCV6/BTCH7/BTCX6/BTCF7</v>
      </c>
      <c r="F152" s="13">
        <f>'MKT DATA'!J1185</f>
        <v>1</v>
      </c>
      <c r="G152" s="8">
        <f>'MKT DATA'!K1185</f>
        <v>83809</v>
      </c>
      <c r="H152" s="8">
        <f>'MKT DATA'!L1185</f>
        <v>85618</v>
      </c>
      <c r="I152" s="13">
        <f>'MKT DATA'!M1185</f>
        <v>1</v>
      </c>
      <c r="J152" s="43" t="str">
        <f t="shared" si="6"/>
        <v>syn BTCZ6/BTCV6/BTCH7/BTCX6/BTCF7</v>
      </c>
      <c r="K152" s="8">
        <f>'MKT DATA'!O1185</f>
        <v>0</v>
      </c>
      <c r="L152" s="8">
        <f>'MKT DATA'!P1185</f>
        <v>83809</v>
      </c>
      <c r="M152" s="8">
        <f>'MKT DATA'!Q1185</f>
        <v>0</v>
      </c>
      <c r="N152" s="8">
        <f>'MKT DATA'!R1185</f>
        <v>0</v>
      </c>
      <c r="O152" s="8">
        <f>'MKT DATA'!S1185</f>
        <v>-85618</v>
      </c>
      <c r="P152" s="8">
        <f>'MKT DATA'!T1185</f>
        <v>0</v>
      </c>
      <c r="Q152" s="43" t="str">
        <f t="shared" si="7"/>
        <v>syn BTCZ6/BTCV6/BTCH7/BTCX6/BTCF7</v>
      </c>
      <c r="R152" s="13">
        <f>'MKT DATA'!AB1185</f>
        <v>0</v>
      </c>
    </row>
    <row r="153" spans="5:18" x14ac:dyDescent="0.25">
      <c r="E153" s="43" t="str">
        <f>'MKT DATA'!B1186</f>
        <v>syn BTCZ6/BTCV6/BTCH7/BTCG7/BTCF7</v>
      </c>
      <c r="F153" s="13">
        <f>'MKT DATA'!J1186</f>
        <v>1</v>
      </c>
      <c r="G153" s="8">
        <f>'MKT DATA'!K1186</f>
        <v>83998</v>
      </c>
      <c r="H153" s="8">
        <f>'MKT DATA'!L1186</f>
        <v>85410</v>
      </c>
      <c r="I153" s="13">
        <f>'MKT DATA'!M1186</f>
        <v>1</v>
      </c>
      <c r="J153" s="43" t="str">
        <f t="shared" si="6"/>
        <v>syn BTCZ6/BTCV6/BTCH7/BTCG7/BTCF7</v>
      </c>
      <c r="K153" s="8">
        <f>'MKT DATA'!O1186</f>
        <v>0</v>
      </c>
      <c r="L153" s="8">
        <f>'MKT DATA'!P1186</f>
        <v>83998</v>
      </c>
      <c r="M153" s="8">
        <f>'MKT DATA'!Q1186</f>
        <v>0</v>
      </c>
      <c r="N153" s="8">
        <f>'MKT DATA'!R1186</f>
        <v>0</v>
      </c>
      <c r="O153" s="8">
        <f>'MKT DATA'!S1186</f>
        <v>-85410</v>
      </c>
      <c r="P153" s="8">
        <f>'MKT DATA'!T1186</f>
        <v>0</v>
      </c>
      <c r="Q153" s="43" t="str">
        <f t="shared" si="7"/>
        <v>syn BTCZ6/BTCV6/BTCH7/BTCG7/BTCF7</v>
      </c>
      <c r="R153" s="13">
        <f>'MKT DATA'!AB1186</f>
        <v>0</v>
      </c>
    </row>
    <row r="154" spans="5:18" x14ac:dyDescent="0.25">
      <c r="E154" s="43" t="str">
        <f>'MKT DATA'!B1187</f>
        <v>syn BTCZ6/BTCX6/BTCV6/BTCG7/BTCF7</v>
      </c>
      <c r="F154" s="13">
        <f>'MKT DATA'!J1187</f>
        <v>1</v>
      </c>
      <c r="G154" s="8">
        <f>'MKT DATA'!K1187</f>
        <v>84408</v>
      </c>
      <c r="H154" s="8">
        <f>'MKT DATA'!L1187</f>
        <v>85055</v>
      </c>
      <c r="I154" s="13">
        <f>'MKT DATA'!M1187</f>
        <v>1</v>
      </c>
      <c r="J154" s="43" t="str">
        <f t="shared" si="6"/>
        <v>syn BTCZ6/BTCX6/BTCV6/BTCG7/BTCF7</v>
      </c>
      <c r="K154" s="8">
        <f>'MKT DATA'!O1187</f>
        <v>0</v>
      </c>
      <c r="L154" s="8">
        <f>'MKT DATA'!P1187</f>
        <v>84408</v>
      </c>
      <c r="M154" s="8">
        <f>'MKT DATA'!Q1187</f>
        <v>0</v>
      </c>
      <c r="N154" s="8">
        <f>'MKT DATA'!R1187</f>
        <v>0</v>
      </c>
      <c r="O154" s="8">
        <f>'MKT DATA'!S1187</f>
        <v>-85055</v>
      </c>
      <c r="P154" s="8">
        <f>'MKT DATA'!T1187</f>
        <v>0</v>
      </c>
      <c r="Q154" s="43" t="str">
        <f t="shared" si="7"/>
        <v>syn BTCZ6/BTCX6/BTCV6/BTCG7/BTCF7</v>
      </c>
      <c r="R154" s="13">
        <f>'MKT DATA'!AB1187</f>
        <v>0</v>
      </c>
    </row>
    <row r="155" spans="5:18" x14ac:dyDescent="0.25">
      <c r="E155" s="43" t="str">
        <f>'MKT DATA'!B1188</f>
        <v>syn BTCZ6/BTCX6/BTCV6/BTCH7/BTCF7</v>
      </c>
      <c r="F155" s="13">
        <f>'MKT DATA'!J1188</f>
        <v>1</v>
      </c>
      <c r="G155" s="8">
        <f>'MKT DATA'!K1188</f>
        <v>83813</v>
      </c>
      <c r="H155" s="8">
        <f>'MKT DATA'!L1188</f>
        <v>85634</v>
      </c>
      <c r="I155" s="13">
        <f>'MKT DATA'!M1188</f>
        <v>1</v>
      </c>
      <c r="J155" s="43" t="str">
        <f t="shared" si="6"/>
        <v>syn BTCZ6/BTCX6/BTCV6/BTCH7/BTCF7</v>
      </c>
      <c r="K155" s="8">
        <f>'MKT DATA'!O1188</f>
        <v>0</v>
      </c>
      <c r="L155" s="8">
        <f>'MKT DATA'!P1188</f>
        <v>83813</v>
      </c>
      <c r="M155" s="8">
        <f>'MKT DATA'!Q1188</f>
        <v>0</v>
      </c>
      <c r="N155" s="8">
        <f>'MKT DATA'!R1188</f>
        <v>0</v>
      </c>
      <c r="O155" s="8">
        <f>'MKT DATA'!S1188</f>
        <v>-85634</v>
      </c>
      <c r="P155" s="8">
        <f>'MKT DATA'!T1188</f>
        <v>0</v>
      </c>
      <c r="Q155" s="43" t="str">
        <f t="shared" si="7"/>
        <v>syn BTCZ6/BTCX6/BTCV6/BTCH7/BTCF7</v>
      </c>
      <c r="R155" s="13">
        <f>'MKT DATA'!AB1188</f>
        <v>0</v>
      </c>
    </row>
    <row r="156" spans="5:18" x14ac:dyDescent="0.25">
      <c r="E156" s="43" t="str">
        <f>'MKT DATA'!B1189</f>
        <v>syn BTCZ6/BTCX6/BTCG7/BTCV6/BTCF7</v>
      </c>
      <c r="F156" s="13">
        <f>'MKT DATA'!J1189</f>
        <v>1</v>
      </c>
      <c r="G156" s="8">
        <f>'MKT DATA'!K1189</f>
        <v>84195</v>
      </c>
      <c r="H156" s="8">
        <f>'MKT DATA'!L1189</f>
        <v>85215</v>
      </c>
      <c r="I156" s="13">
        <f>'MKT DATA'!M1189</f>
        <v>1</v>
      </c>
      <c r="J156" s="43" t="str">
        <f t="shared" si="6"/>
        <v>syn BTCZ6/BTCX6/BTCG7/BTCV6/BTCF7</v>
      </c>
      <c r="K156" s="8">
        <f>'MKT DATA'!O1189</f>
        <v>0</v>
      </c>
      <c r="L156" s="8">
        <f>'MKT DATA'!P1189</f>
        <v>84195</v>
      </c>
      <c r="M156" s="8">
        <f>'MKT DATA'!Q1189</f>
        <v>0</v>
      </c>
      <c r="N156" s="8">
        <f>'MKT DATA'!R1189</f>
        <v>0</v>
      </c>
      <c r="O156" s="8">
        <f>'MKT DATA'!S1189</f>
        <v>-85215</v>
      </c>
      <c r="P156" s="8">
        <f>'MKT DATA'!T1189</f>
        <v>0</v>
      </c>
      <c r="Q156" s="43" t="str">
        <f t="shared" si="7"/>
        <v>syn BTCZ6/BTCX6/BTCG7/BTCV6/BTCF7</v>
      </c>
      <c r="R156" s="13">
        <f>'MKT DATA'!AB1189</f>
        <v>0</v>
      </c>
    </row>
    <row r="157" spans="5:18" x14ac:dyDescent="0.25">
      <c r="E157" s="43" t="str">
        <f>'MKT DATA'!B1190</f>
        <v>syn BTCZ6/BTCX6/BTCG7/BTCH7/BTCF7</v>
      </c>
      <c r="F157" s="13">
        <f>'MKT DATA'!J1190</f>
        <v>1</v>
      </c>
      <c r="G157" s="8">
        <f>'MKT DATA'!K1190</f>
        <v>83859</v>
      </c>
      <c r="H157" s="8">
        <f>'MKT DATA'!L1190</f>
        <v>85636</v>
      </c>
      <c r="I157" s="13">
        <f>'MKT DATA'!M1190</f>
        <v>1</v>
      </c>
      <c r="J157" s="43" t="str">
        <f t="shared" si="6"/>
        <v>syn BTCZ6/BTCX6/BTCG7/BTCH7/BTCF7</v>
      </c>
      <c r="K157" s="8">
        <f>'MKT DATA'!O1190</f>
        <v>0</v>
      </c>
      <c r="L157" s="8">
        <f>'MKT DATA'!P1190</f>
        <v>83859</v>
      </c>
      <c r="M157" s="8">
        <f>'MKT DATA'!Q1190</f>
        <v>0</v>
      </c>
      <c r="N157" s="8">
        <f>'MKT DATA'!R1190</f>
        <v>0</v>
      </c>
      <c r="O157" s="8">
        <f>'MKT DATA'!S1190</f>
        <v>-85636</v>
      </c>
      <c r="P157" s="8">
        <f>'MKT DATA'!T1190</f>
        <v>0</v>
      </c>
      <c r="Q157" s="43" t="str">
        <f t="shared" si="7"/>
        <v>syn BTCZ6/BTCX6/BTCG7/BTCH7/BTCF7</v>
      </c>
      <c r="R157" s="13">
        <f>'MKT DATA'!AB1190</f>
        <v>0</v>
      </c>
    </row>
    <row r="158" spans="5:18" x14ac:dyDescent="0.25">
      <c r="E158" s="43" t="str">
        <f>'MKT DATA'!B1191</f>
        <v>syn BTCZ6/BTCX6/BTCH7/BTCV6/BTCF7</v>
      </c>
      <c r="F158" s="13">
        <f>'MKT DATA'!J1191</f>
        <v>1</v>
      </c>
      <c r="G158" s="8">
        <f>'MKT DATA'!K1191</f>
        <v>83785</v>
      </c>
      <c r="H158" s="8">
        <f>'MKT DATA'!L1191</f>
        <v>85625</v>
      </c>
      <c r="I158" s="13">
        <f>'MKT DATA'!M1191</f>
        <v>1</v>
      </c>
      <c r="J158" s="43" t="str">
        <f t="shared" si="6"/>
        <v>syn BTCZ6/BTCX6/BTCH7/BTCV6/BTCF7</v>
      </c>
      <c r="K158" s="8">
        <f>'MKT DATA'!O1191</f>
        <v>0</v>
      </c>
      <c r="L158" s="8">
        <f>'MKT DATA'!P1191</f>
        <v>83785</v>
      </c>
      <c r="M158" s="8">
        <f>'MKT DATA'!Q1191</f>
        <v>0</v>
      </c>
      <c r="N158" s="8">
        <f>'MKT DATA'!R1191</f>
        <v>0</v>
      </c>
      <c r="O158" s="8">
        <f>'MKT DATA'!S1191</f>
        <v>-85625</v>
      </c>
      <c r="P158" s="8">
        <f>'MKT DATA'!T1191</f>
        <v>0</v>
      </c>
      <c r="Q158" s="43" t="str">
        <f t="shared" si="7"/>
        <v>syn BTCZ6/BTCX6/BTCH7/BTCV6/BTCF7</v>
      </c>
      <c r="R158" s="13">
        <f>'MKT DATA'!AB1191</f>
        <v>0</v>
      </c>
    </row>
    <row r="159" spans="5:18" x14ac:dyDescent="0.25">
      <c r="E159" s="43" t="str">
        <f>'MKT DATA'!B1192</f>
        <v>syn BTCZ6/BTCX6/BTCH7/BTCG7/BTCF7</v>
      </c>
      <c r="F159" s="13">
        <f>'MKT DATA'!J1192</f>
        <v>1</v>
      </c>
      <c r="G159" s="8">
        <f>'MKT DATA'!K1192</f>
        <v>83989</v>
      </c>
      <c r="H159" s="8">
        <f>'MKT DATA'!L1192</f>
        <v>85412</v>
      </c>
      <c r="I159" s="13">
        <f>'MKT DATA'!M1192</f>
        <v>1</v>
      </c>
      <c r="J159" s="43" t="str">
        <f t="shared" si="6"/>
        <v>syn BTCZ6/BTCX6/BTCH7/BTCG7/BTCF7</v>
      </c>
      <c r="K159" s="8">
        <f>'MKT DATA'!O1192</f>
        <v>0</v>
      </c>
      <c r="L159" s="8">
        <f>'MKT DATA'!P1192</f>
        <v>83989</v>
      </c>
      <c r="M159" s="8">
        <f>'MKT DATA'!Q1192</f>
        <v>0</v>
      </c>
      <c r="N159" s="8">
        <f>'MKT DATA'!R1192</f>
        <v>0</v>
      </c>
      <c r="O159" s="8">
        <f>'MKT DATA'!S1192</f>
        <v>-85412</v>
      </c>
      <c r="P159" s="8">
        <f>'MKT DATA'!T1192</f>
        <v>0</v>
      </c>
      <c r="Q159" s="43" t="str">
        <f t="shared" si="7"/>
        <v>syn BTCZ6/BTCX6/BTCH7/BTCG7/BTCF7</v>
      </c>
      <c r="R159" s="13">
        <f>'MKT DATA'!AB1192</f>
        <v>0</v>
      </c>
    </row>
    <row r="160" spans="5:18" x14ac:dyDescent="0.25">
      <c r="E160" s="43" t="str">
        <f>'MKT DATA'!B1193</f>
        <v>syn BTCZ6/BTCG7/BTCV6/BTCX6/BTCF7</v>
      </c>
      <c r="F160" s="13">
        <f>'MKT DATA'!J1193</f>
        <v>1</v>
      </c>
      <c r="G160" s="8">
        <f>'MKT DATA'!K1193</f>
        <v>84213</v>
      </c>
      <c r="H160" s="8">
        <f>'MKT DATA'!L1193</f>
        <v>85215</v>
      </c>
      <c r="I160" s="13">
        <f>'MKT DATA'!M1193</f>
        <v>1</v>
      </c>
      <c r="J160" s="43" t="str">
        <f t="shared" si="6"/>
        <v>syn BTCZ6/BTCG7/BTCV6/BTCX6/BTCF7</v>
      </c>
      <c r="K160" s="8">
        <f>'MKT DATA'!O1193</f>
        <v>0</v>
      </c>
      <c r="L160" s="8">
        <f>'MKT DATA'!P1193</f>
        <v>84213</v>
      </c>
      <c r="M160" s="8">
        <f>'MKT DATA'!Q1193</f>
        <v>0</v>
      </c>
      <c r="N160" s="8">
        <f>'MKT DATA'!R1193</f>
        <v>0</v>
      </c>
      <c r="O160" s="8">
        <f>'MKT DATA'!S1193</f>
        <v>-85215</v>
      </c>
      <c r="P160" s="8">
        <f>'MKT DATA'!T1193</f>
        <v>0</v>
      </c>
      <c r="Q160" s="43" t="str">
        <f t="shared" si="7"/>
        <v>syn BTCZ6/BTCG7/BTCV6/BTCX6/BTCF7</v>
      </c>
      <c r="R160" s="13">
        <f>'MKT DATA'!AB1193</f>
        <v>0</v>
      </c>
    </row>
    <row r="161" spans="5:18" x14ac:dyDescent="0.25">
      <c r="E161" s="43" t="str">
        <f>'MKT DATA'!B1194</f>
        <v>syn BTCZ6/BTCG7/BTCV6/BTCH7/BTCF7</v>
      </c>
      <c r="F161" s="13">
        <f>'MKT DATA'!J1194</f>
        <v>1</v>
      </c>
      <c r="G161" s="8">
        <f>'MKT DATA'!K1194</f>
        <v>83435</v>
      </c>
      <c r="H161" s="8">
        <f>'MKT DATA'!L1194</f>
        <v>86020</v>
      </c>
      <c r="I161" s="13">
        <f>'MKT DATA'!M1194</f>
        <v>1</v>
      </c>
      <c r="J161" s="43" t="str">
        <f t="shared" si="6"/>
        <v>syn BTCZ6/BTCG7/BTCV6/BTCH7/BTCF7</v>
      </c>
      <c r="K161" s="8">
        <f>'MKT DATA'!O1194</f>
        <v>0</v>
      </c>
      <c r="L161" s="8">
        <f>'MKT DATA'!P1194</f>
        <v>83435</v>
      </c>
      <c r="M161" s="8">
        <f>'MKT DATA'!Q1194</f>
        <v>0</v>
      </c>
      <c r="N161" s="8">
        <f>'MKT DATA'!R1194</f>
        <v>0</v>
      </c>
      <c r="O161" s="8">
        <f>'MKT DATA'!S1194</f>
        <v>-86020</v>
      </c>
      <c r="P161" s="8">
        <f>'MKT DATA'!T1194</f>
        <v>0</v>
      </c>
      <c r="Q161" s="43" t="str">
        <f t="shared" si="7"/>
        <v>syn BTCZ6/BTCG7/BTCV6/BTCH7/BTCF7</v>
      </c>
      <c r="R161" s="13">
        <f>'MKT DATA'!AB1194</f>
        <v>0</v>
      </c>
    </row>
    <row r="162" spans="5:18" x14ac:dyDescent="0.25">
      <c r="E162" s="43" t="str">
        <f>'MKT DATA'!B1195</f>
        <v>syn BTCZ6/BTCG7/BTCX6/BTCV6/BTCF7</v>
      </c>
      <c r="F162" s="13">
        <f>'MKT DATA'!J1195</f>
        <v>1</v>
      </c>
      <c r="G162" s="8">
        <f>'MKT DATA'!K1195</f>
        <v>84180</v>
      </c>
      <c r="H162" s="8">
        <f>'MKT DATA'!L1195</f>
        <v>85252</v>
      </c>
      <c r="I162" s="13">
        <f>'MKT DATA'!M1195</f>
        <v>1</v>
      </c>
      <c r="J162" s="43" t="str">
        <f t="shared" si="6"/>
        <v>syn BTCZ6/BTCG7/BTCX6/BTCV6/BTCF7</v>
      </c>
      <c r="K162" s="8">
        <f>'MKT DATA'!O1195</f>
        <v>0</v>
      </c>
      <c r="L162" s="8">
        <f>'MKT DATA'!P1195</f>
        <v>84180</v>
      </c>
      <c r="M162" s="8">
        <f>'MKT DATA'!Q1195</f>
        <v>0</v>
      </c>
      <c r="N162" s="8">
        <f>'MKT DATA'!R1195</f>
        <v>0</v>
      </c>
      <c r="O162" s="8">
        <f>'MKT DATA'!S1195</f>
        <v>-85252</v>
      </c>
      <c r="P162" s="8">
        <f>'MKT DATA'!T1195</f>
        <v>0</v>
      </c>
      <c r="Q162" s="43" t="str">
        <f t="shared" si="7"/>
        <v>syn BTCZ6/BTCG7/BTCX6/BTCV6/BTCF7</v>
      </c>
      <c r="R162" s="13">
        <f>'MKT DATA'!AB1195</f>
        <v>0</v>
      </c>
    </row>
    <row r="163" spans="5:18" x14ac:dyDescent="0.25">
      <c r="E163" s="43" t="str">
        <f>'MKT DATA'!B1196</f>
        <v>syn BTCZ6/BTCG7/BTCX6/BTCH7/BTCF7</v>
      </c>
      <c r="F163" s="13">
        <f>'MKT DATA'!J1196</f>
        <v>1</v>
      </c>
      <c r="G163" s="8">
        <f>'MKT DATA'!K1196</f>
        <v>83410</v>
      </c>
      <c r="H163" s="8">
        <f>'MKT DATA'!L1196</f>
        <v>86045</v>
      </c>
      <c r="I163" s="13">
        <f>'MKT DATA'!M1196</f>
        <v>1</v>
      </c>
      <c r="J163" s="43" t="str">
        <f t="shared" si="6"/>
        <v>syn BTCZ6/BTCG7/BTCX6/BTCH7/BTCF7</v>
      </c>
      <c r="K163" s="8">
        <f>'MKT DATA'!O1196</f>
        <v>0</v>
      </c>
      <c r="L163" s="8">
        <f>'MKT DATA'!P1196</f>
        <v>83410</v>
      </c>
      <c r="M163" s="8">
        <f>'MKT DATA'!Q1196</f>
        <v>0</v>
      </c>
      <c r="N163" s="8">
        <f>'MKT DATA'!R1196</f>
        <v>0</v>
      </c>
      <c r="O163" s="8">
        <f>'MKT DATA'!S1196</f>
        <v>-86045</v>
      </c>
      <c r="P163" s="8">
        <f>'MKT DATA'!T1196</f>
        <v>0</v>
      </c>
      <c r="Q163" s="43" t="str">
        <f t="shared" si="7"/>
        <v>syn BTCZ6/BTCG7/BTCX6/BTCH7/BTCF7</v>
      </c>
      <c r="R163" s="13">
        <f>'MKT DATA'!AB1196</f>
        <v>0</v>
      </c>
    </row>
    <row r="164" spans="5:18" x14ac:dyDescent="0.25">
      <c r="E164" s="43" t="str">
        <f>'MKT DATA'!B1197</f>
        <v>syn BTCZ6/BTCG7/BTCH7/BTCV6/BTCF7</v>
      </c>
      <c r="F164" s="13">
        <f>'MKT DATA'!J1197</f>
        <v>1</v>
      </c>
      <c r="G164" s="8">
        <f>'MKT DATA'!K1197</f>
        <v>83841</v>
      </c>
      <c r="H164" s="8">
        <f>'MKT DATA'!L1197</f>
        <v>85639</v>
      </c>
      <c r="I164" s="13">
        <f>'MKT DATA'!M1197</f>
        <v>1</v>
      </c>
      <c r="J164" s="43" t="str">
        <f t="shared" si="6"/>
        <v>syn BTCZ6/BTCG7/BTCH7/BTCV6/BTCF7</v>
      </c>
      <c r="K164" s="8">
        <f>'MKT DATA'!O1197</f>
        <v>0</v>
      </c>
      <c r="L164" s="8">
        <f>'MKT DATA'!P1197</f>
        <v>83841</v>
      </c>
      <c r="M164" s="8">
        <f>'MKT DATA'!Q1197</f>
        <v>0</v>
      </c>
      <c r="N164" s="8">
        <f>'MKT DATA'!R1197</f>
        <v>0</v>
      </c>
      <c r="O164" s="8">
        <f>'MKT DATA'!S1197</f>
        <v>-85639</v>
      </c>
      <c r="P164" s="8">
        <f>'MKT DATA'!T1197</f>
        <v>0</v>
      </c>
      <c r="Q164" s="43" t="str">
        <f t="shared" si="7"/>
        <v>syn BTCZ6/BTCG7/BTCH7/BTCV6/BTCF7</v>
      </c>
      <c r="R164" s="13">
        <f>'MKT DATA'!AB1197</f>
        <v>0</v>
      </c>
    </row>
    <row r="165" spans="5:18" x14ac:dyDescent="0.25">
      <c r="E165" s="43" t="str">
        <f>'MKT DATA'!B1198</f>
        <v>syn BTCZ6/BTCG7/BTCH7/BTCX6/BTCF7</v>
      </c>
      <c r="F165" s="13">
        <f>'MKT DATA'!J1198</f>
        <v>1</v>
      </c>
      <c r="G165" s="8">
        <f>'MKT DATA'!K1198</f>
        <v>83856</v>
      </c>
      <c r="H165" s="8">
        <f>'MKT DATA'!L1198</f>
        <v>85634</v>
      </c>
      <c r="I165" s="13">
        <f>'MKT DATA'!M1198</f>
        <v>1</v>
      </c>
      <c r="J165" s="43" t="str">
        <f t="shared" si="6"/>
        <v>syn BTCZ6/BTCG7/BTCH7/BTCX6/BTCF7</v>
      </c>
      <c r="K165" s="8">
        <f>'MKT DATA'!O1198</f>
        <v>0</v>
      </c>
      <c r="L165" s="8">
        <f>'MKT DATA'!P1198</f>
        <v>83856</v>
      </c>
      <c r="M165" s="8">
        <f>'MKT DATA'!Q1198</f>
        <v>0</v>
      </c>
      <c r="N165" s="8">
        <f>'MKT DATA'!R1198</f>
        <v>0</v>
      </c>
      <c r="O165" s="8">
        <f>'MKT DATA'!S1198</f>
        <v>-85634</v>
      </c>
      <c r="P165" s="8">
        <f>'MKT DATA'!T1198</f>
        <v>0</v>
      </c>
      <c r="Q165" s="43" t="str">
        <f t="shared" si="7"/>
        <v>syn BTCZ6/BTCG7/BTCH7/BTCX6/BTCF7</v>
      </c>
      <c r="R165" s="13">
        <f>'MKT DATA'!AB1198</f>
        <v>0</v>
      </c>
    </row>
    <row r="166" spans="5:18" x14ac:dyDescent="0.25">
      <c r="E166" s="43" t="str">
        <f>'MKT DATA'!B1199</f>
        <v>syn BTCZ6/BTCH7/BTCV6/BTCX6/BTCF7</v>
      </c>
      <c r="F166" s="13">
        <f>'MKT DATA'!J1199</f>
        <v>1</v>
      </c>
      <c r="G166" s="8">
        <f>'MKT DATA'!K1199</f>
        <v>84013</v>
      </c>
      <c r="H166" s="8">
        <f>'MKT DATA'!L1199</f>
        <v>85595</v>
      </c>
      <c r="I166" s="13">
        <f>'MKT DATA'!M1199</f>
        <v>1</v>
      </c>
      <c r="J166" s="43" t="str">
        <f t="shared" si="6"/>
        <v>syn BTCZ6/BTCH7/BTCV6/BTCX6/BTCF7</v>
      </c>
      <c r="K166" s="8">
        <f>'MKT DATA'!O1199</f>
        <v>0</v>
      </c>
      <c r="L166" s="8">
        <f>'MKT DATA'!P1199</f>
        <v>84013</v>
      </c>
      <c r="M166" s="8">
        <f>'MKT DATA'!Q1199</f>
        <v>0</v>
      </c>
      <c r="N166" s="8">
        <f>'MKT DATA'!R1199</f>
        <v>0</v>
      </c>
      <c r="O166" s="8">
        <f>'MKT DATA'!S1199</f>
        <v>-85595</v>
      </c>
      <c r="P166" s="8">
        <f>'MKT DATA'!T1199</f>
        <v>0</v>
      </c>
      <c r="Q166" s="43" t="str">
        <f t="shared" si="7"/>
        <v>syn BTCZ6/BTCH7/BTCV6/BTCX6/BTCF7</v>
      </c>
      <c r="R166" s="13">
        <f>'MKT DATA'!AB1199</f>
        <v>0</v>
      </c>
    </row>
    <row r="167" spans="5:18" x14ac:dyDescent="0.25">
      <c r="E167" s="43" t="str">
        <f>'MKT DATA'!B1200</f>
        <v>syn BTCZ6/BTCH7/BTCV6/BTCG7/BTCF7</v>
      </c>
      <c r="F167" s="13">
        <f>'MKT DATA'!J1200</f>
        <v>1</v>
      </c>
      <c r="G167" s="8">
        <f>'MKT DATA'!K1200</f>
        <v>83830</v>
      </c>
      <c r="H167" s="8">
        <f>'MKT DATA'!L1200</f>
        <v>85821</v>
      </c>
      <c r="I167" s="13">
        <f>'MKT DATA'!M1200</f>
        <v>1</v>
      </c>
      <c r="J167" s="43" t="str">
        <f t="shared" si="6"/>
        <v>syn BTCZ6/BTCH7/BTCV6/BTCG7/BTCF7</v>
      </c>
      <c r="K167" s="8">
        <f>'MKT DATA'!O1200</f>
        <v>0</v>
      </c>
      <c r="L167" s="8">
        <f>'MKT DATA'!P1200</f>
        <v>83830</v>
      </c>
      <c r="M167" s="8">
        <f>'MKT DATA'!Q1200</f>
        <v>0</v>
      </c>
      <c r="N167" s="8">
        <f>'MKT DATA'!R1200</f>
        <v>0</v>
      </c>
      <c r="O167" s="8">
        <f>'MKT DATA'!S1200</f>
        <v>-85821</v>
      </c>
      <c r="P167" s="8">
        <f>'MKT DATA'!T1200</f>
        <v>0</v>
      </c>
      <c r="Q167" s="43" t="str">
        <f t="shared" si="7"/>
        <v>syn BTCZ6/BTCH7/BTCV6/BTCG7/BTCF7</v>
      </c>
      <c r="R167" s="13">
        <f>'MKT DATA'!AB1200</f>
        <v>0</v>
      </c>
    </row>
    <row r="168" spans="5:18" x14ac:dyDescent="0.25">
      <c r="E168" s="43" t="str">
        <f>'MKT DATA'!B1201</f>
        <v>syn BTCZ6/BTCH7/BTCX6/BTCV6/BTCF7</v>
      </c>
      <c r="F168" s="13">
        <f>'MKT DATA'!J1201</f>
        <v>1</v>
      </c>
      <c r="G168" s="8">
        <f>'MKT DATA'!K1201</f>
        <v>83980</v>
      </c>
      <c r="H168" s="8">
        <f>'MKT DATA'!L1201</f>
        <v>85632</v>
      </c>
      <c r="I168" s="13">
        <f>'MKT DATA'!M1201</f>
        <v>1</v>
      </c>
      <c r="J168" s="43" t="str">
        <f t="shared" si="6"/>
        <v>syn BTCZ6/BTCH7/BTCX6/BTCV6/BTCF7</v>
      </c>
      <c r="K168" s="8">
        <f>'MKT DATA'!O1201</f>
        <v>0</v>
      </c>
      <c r="L168" s="8">
        <f>'MKT DATA'!P1201</f>
        <v>83980</v>
      </c>
      <c r="M168" s="8">
        <f>'MKT DATA'!Q1201</f>
        <v>0</v>
      </c>
      <c r="N168" s="8">
        <f>'MKT DATA'!R1201</f>
        <v>0</v>
      </c>
      <c r="O168" s="8">
        <f>'MKT DATA'!S1201</f>
        <v>-85632</v>
      </c>
      <c r="P168" s="8">
        <f>'MKT DATA'!T1201</f>
        <v>0</v>
      </c>
      <c r="Q168" s="43" t="str">
        <f t="shared" si="7"/>
        <v>syn BTCZ6/BTCH7/BTCX6/BTCV6/BTCF7</v>
      </c>
      <c r="R168" s="13">
        <f>'MKT DATA'!AB1201</f>
        <v>0</v>
      </c>
    </row>
    <row r="169" spans="5:18" x14ac:dyDescent="0.25">
      <c r="E169" s="43" t="str">
        <f>'MKT DATA'!B1202</f>
        <v>syn BTCZ6/BTCH7/BTCX6/BTCG7/BTCF7</v>
      </c>
      <c r="F169" s="13">
        <f>'MKT DATA'!J1202</f>
        <v>1</v>
      </c>
      <c r="G169" s="8">
        <f>'MKT DATA'!K1202</f>
        <v>83805</v>
      </c>
      <c r="H169" s="8">
        <f>'MKT DATA'!L1202</f>
        <v>85846</v>
      </c>
      <c r="I169" s="13">
        <f>'MKT DATA'!M1202</f>
        <v>1</v>
      </c>
      <c r="J169" s="43" t="str">
        <f t="shared" si="6"/>
        <v>syn BTCZ6/BTCH7/BTCX6/BTCG7/BTCF7</v>
      </c>
      <c r="K169" s="8">
        <f>'MKT DATA'!O1202</f>
        <v>0</v>
      </c>
      <c r="L169" s="8">
        <f>'MKT DATA'!P1202</f>
        <v>83805</v>
      </c>
      <c r="M169" s="8">
        <f>'MKT DATA'!Q1202</f>
        <v>0</v>
      </c>
      <c r="N169" s="8">
        <f>'MKT DATA'!R1202</f>
        <v>0</v>
      </c>
      <c r="O169" s="8">
        <f>'MKT DATA'!S1202</f>
        <v>-85846</v>
      </c>
      <c r="P169" s="8">
        <f>'MKT DATA'!T1202</f>
        <v>0</v>
      </c>
      <c r="Q169" s="43" t="str">
        <f t="shared" si="7"/>
        <v>syn BTCZ6/BTCH7/BTCX6/BTCG7/BTCF7</v>
      </c>
      <c r="R169" s="13">
        <f>'MKT DATA'!AB1202</f>
        <v>0</v>
      </c>
    </row>
    <row r="170" spans="5:18" x14ac:dyDescent="0.25">
      <c r="E170" s="43" t="str">
        <f>'MKT DATA'!B1203</f>
        <v>syn BTCZ6/BTCH7/BTCG7/BTCV6/BTCF7</v>
      </c>
      <c r="F170" s="13">
        <f>'MKT DATA'!J1203</f>
        <v>1</v>
      </c>
      <c r="G170" s="8">
        <f>'MKT DATA'!K1203</f>
        <v>83996</v>
      </c>
      <c r="H170" s="8">
        <f>'MKT DATA'!L1203</f>
        <v>85554</v>
      </c>
      <c r="I170" s="13">
        <f>'MKT DATA'!M1203</f>
        <v>1</v>
      </c>
      <c r="J170" s="43" t="str">
        <f t="shared" si="6"/>
        <v>syn BTCZ6/BTCH7/BTCG7/BTCV6/BTCF7</v>
      </c>
      <c r="K170" s="8">
        <f>'MKT DATA'!O1203</f>
        <v>0</v>
      </c>
      <c r="L170" s="8">
        <f>'MKT DATA'!P1203</f>
        <v>83996</v>
      </c>
      <c r="M170" s="8">
        <f>'MKT DATA'!Q1203</f>
        <v>0</v>
      </c>
      <c r="N170" s="8">
        <f>'MKT DATA'!R1203</f>
        <v>0</v>
      </c>
      <c r="O170" s="8">
        <f>'MKT DATA'!S1203</f>
        <v>-85554</v>
      </c>
      <c r="P170" s="8">
        <f>'MKT DATA'!T1203</f>
        <v>0</v>
      </c>
      <c r="Q170" s="43" t="str">
        <f t="shared" si="7"/>
        <v>syn BTCZ6/BTCH7/BTCG7/BTCV6/BTCF7</v>
      </c>
      <c r="R170" s="13">
        <f>'MKT DATA'!AB1203</f>
        <v>0</v>
      </c>
    </row>
    <row r="171" spans="5:18" x14ac:dyDescent="0.25">
      <c r="E171" s="43" t="str">
        <f>'MKT DATA'!B1204</f>
        <v>syn BTCZ6/BTCH7/BTCG7/BTCX6/BTCF7</v>
      </c>
      <c r="F171" s="13">
        <f>'MKT DATA'!J1204</f>
        <v>1</v>
      </c>
      <c r="G171" s="8">
        <f>'MKT DATA'!K1204</f>
        <v>84011</v>
      </c>
      <c r="H171" s="8">
        <f>'MKT DATA'!L1204</f>
        <v>85549</v>
      </c>
      <c r="I171" s="13">
        <f>'MKT DATA'!M1204</f>
        <v>1</v>
      </c>
      <c r="J171" s="43" t="str">
        <f t="shared" si="6"/>
        <v>syn BTCZ6/BTCH7/BTCG7/BTCX6/BTCF7</v>
      </c>
      <c r="K171" s="8">
        <f>'MKT DATA'!O1204</f>
        <v>0</v>
      </c>
      <c r="L171" s="8">
        <f>'MKT DATA'!P1204</f>
        <v>84011</v>
      </c>
      <c r="M171" s="8">
        <f>'MKT DATA'!Q1204</f>
        <v>0</v>
      </c>
      <c r="N171" s="8">
        <f>'MKT DATA'!R1204</f>
        <v>0</v>
      </c>
      <c r="O171" s="8">
        <f>'MKT DATA'!S1204</f>
        <v>-85549</v>
      </c>
      <c r="P171" s="8">
        <f>'MKT DATA'!T1204</f>
        <v>0</v>
      </c>
      <c r="Q171" s="43" t="str">
        <f t="shared" si="7"/>
        <v>syn BTCZ6/BTCH7/BTCG7/BTCX6/BTCF7</v>
      </c>
      <c r="R171" s="13">
        <f>'MKT DATA'!AB1204</f>
        <v>0</v>
      </c>
    </row>
    <row r="172" spans="5:18" x14ac:dyDescent="0.25">
      <c r="E172" s="43" t="str">
        <f>'MKT DATA'!B1205</f>
        <v>syn BTCG7/BTCV6/BTCX6/BTCZ6/BTCF7</v>
      </c>
      <c r="F172" s="13">
        <f>'MKT DATA'!J1205</f>
        <v>1</v>
      </c>
      <c r="G172" s="8">
        <f>'MKT DATA'!K1205</f>
        <v>84353</v>
      </c>
      <c r="H172" s="8">
        <f>'MKT DATA'!L1205</f>
        <v>85106</v>
      </c>
      <c r="I172" s="13">
        <f>'MKT DATA'!M1205</f>
        <v>1</v>
      </c>
      <c r="J172" s="43" t="str">
        <f t="shared" si="6"/>
        <v>syn BTCG7/BTCV6/BTCX6/BTCZ6/BTCF7</v>
      </c>
      <c r="K172" s="8">
        <f>'MKT DATA'!O1205</f>
        <v>0</v>
      </c>
      <c r="L172" s="8">
        <f>'MKT DATA'!P1205</f>
        <v>84353</v>
      </c>
      <c r="M172" s="8">
        <f>'MKT DATA'!Q1205</f>
        <v>0</v>
      </c>
      <c r="N172" s="8">
        <f>'MKT DATA'!R1205</f>
        <v>0</v>
      </c>
      <c r="O172" s="8">
        <f>'MKT DATA'!S1205</f>
        <v>-85106</v>
      </c>
      <c r="P172" s="8">
        <f>'MKT DATA'!T1205</f>
        <v>0</v>
      </c>
      <c r="Q172" s="43" t="str">
        <f t="shared" si="7"/>
        <v>syn BTCG7/BTCV6/BTCX6/BTCZ6/BTCF7</v>
      </c>
      <c r="R172" s="13">
        <f>'MKT DATA'!AB1205</f>
        <v>0</v>
      </c>
    </row>
    <row r="173" spans="5:18" x14ac:dyDescent="0.25">
      <c r="E173" s="43" t="str">
        <f>'MKT DATA'!B1206</f>
        <v>syn BTCG7/BTCV6/BTCX6/BTCH7/BTCF7</v>
      </c>
      <c r="F173" s="13">
        <f>'MKT DATA'!J1206</f>
        <v>1</v>
      </c>
      <c r="G173" s="8">
        <f>'MKT DATA'!K1206</f>
        <v>83517</v>
      </c>
      <c r="H173" s="8">
        <f>'MKT DATA'!L1206</f>
        <v>85931</v>
      </c>
      <c r="I173" s="13">
        <f>'MKT DATA'!M1206</f>
        <v>1</v>
      </c>
      <c r="J173" s="43" t="str">
        <f t="shared" si="6"/>
        <v>syn BTCG7/BTCV6/BTCX6/BTCH7/BTCF7</v>
      </c>
      <c r="K173" s="8">
        <f>'MKT DATA'!O1206</f>
        <v>0</v>
      </c>
      <c r="L173" s="8">
        <f>'MKT DATA'!P1206</f>
        <v>83517</v>
      </c>
      <c r="M173" s="8">
        <f>'MKT DATA'!Q1206</f>
        <v>0</v>
      </c>
      <c r="N173" s="8">
        <f>'MKT DATA'!R1206</f>
        <v>0</v>
      </c>
      <c r="O173" s="8">
        <f>'MKT DATA'!S1206</f>
        <v>-85931</v>
      </c>
      <c r="P173" s="8">
        <f>'MKT DATA'!T1206</f>
        <v>0</v>
      </c>
      <c r="Q173" s="43" t="str">
        <f t="shared" si="7"/>
        <v>syn BTCG7/BTCV6/BTCX6/BTCH7/BTCF7</v>
      </c>
      <c r="R173" s="13">
        <f>'MKT DATA'!AB1206</f>
        <v>0</v>
      </c>
    </row>
    <row r="174" spans="5:18" x14ac:dyDescent="0.25">
      <c r="E174" s="43" t="str">
        <f>'MKT DATA'!B1207</f>
        <v>syn BTCG7/BTCV6/BTCZ6/BTCX6/BTCF7</v>
      </c>
      <c r="F174" s="13">
        <f>'MKT DATA'!J1207</f>
        <v>1</v>
      </c>
      <c r="G174" s="8">
        <f>'MKT DATA'!K1207</f>
        <v>84286</v>
      </c>
      <c r="H174" s="8">
        <f>'MKT DATA'!L1207</f>
        <v>85142</v>
      </c>
      <c r="I174" s="13">
        <f>'MKT DATA'!M1207</f>
        <v>1</v>
      </c>
      <c r="J174" s="43" t="str">
        <f t="shared" si="6"/>
        <v>syn BTCG7/BTCV6/BTCZ6/BTCX6/BTCF7</v>
      </c>
      <c r="K174" s="8">
        <f>'MKT DATA'!O1207</f>
        <v>0</v>
      </c>
      <c r="L174" s="8">
        <f>'MKT DATA'!P1207</f>
        <v>84286</v>
      </c>
      <c r="M174" s="8">
        <f>'MKT DATA'!Q1207</f>
        <v>0</v>
      </c>
      <c r="N174" s="8">
        <f>'MKT DATA'!R1207</f>
        <v>0</v>
      </c>
      <c r="O174" s="8">
        <f>'MKT DATA'!S1207</f>
        <v>-85142</v>
      </c>
      <c r="P174" s="8">
        <f>'MKT DATA'!T1207</f>
        <v>0</v>
      </c>
      <c r="Q174" s="43" t="str">
        <f t="shared" si="7"/>
        <v>syn BTCG7/BTCV6/BTCZ6/BTCX6/BTCF7</v>
      </c>
      <c r="R174" s="13">
        <f>'MKT DATA'!AB1207</f>
        <v>0</v>
      </c>
    </row>
    <row r="175" spans="5:18" x14ac:dyDescent="0.25">
      <c r="E175" s="43" t="str">
        <f>'MKT DATA'!B1208</f>
        <v>syn BTCG7/BTCV6/BTCZ6/BTCH7/BTCF7</v>
      </c>
      <c r="F175" s="13">
        <f>'MKT DATA'!J1208</f>
        <v>1</v>
      </c>
      <c r="G175" s="8">
        <f>'MKT DATA'!K1208</f>
        <v>83696</v>
      </c>
      <c r="H175" s="8">
        <f>'MKT DATA'!L1208</f>
        <v>85947</v>
      </c>
      <c r="I175" s="13">
        <f>'MKT DATA'!M1208</f>
        <v>1</v>
      </c>
      <c r="J175" s="43" t="str">
        <f t="shared" si="6"/>
        <v>syn BTCG7/BTCV6/BTCZ6/BTCH7/BTCF7</v>
      </c>
      <c r="K175" s="8">
        <f>'MKT DATA'!O1208</f>
        <v>0</v>
      </c>
      <c r="L175" s="8">
        <f>'MKT DATA'!P1208</f>
        <v>83696</v>
      </c>
      <c r="M175" s="8">
        <f>'MKT DATA'!Q1208</f>
        <v>0</v>
      </c>
      <c r="N175" s="8">
        <f>'MKT DATA'!R1208</f>
        <v>0</v>
      </c>
      <c r="O175" s="8">
        <f>'MKT DATA'!S1208</f>
        <v>-85947</v>
      </c>
      <c r="P175" s="8">
        <f>'MKT DATA'!T1208</f>
        <v>0</v>
      </c>
      <c r="Q175" s="43" t="str">
        <f t="shared" si="7"/>
        <v>syn BTCG7/BTCV6/BTCZ6/BTCH7/BTCF7</v>
      </c>
      <c r="R175" s="13">
        <f>'MKT DATA'!AB1208</f>
        <v>0</v>
      </c>
    </row>
    <row r="176" spans="5:18" x14ac:dyDescent="0.25">
      <c r="E176" s="43" t="str">
        <f>'MKT DATA'!B1209</f>
        <v>syn BTCG7/BTCV6/BTCH7/BTCX6/BTCF7</v>
      </c>
      <c r="F176" s="13">
        <f>'MKT DATA'!J1209</f>
        <v>1</v>
      </c>
      <c r="G176" s="8">
        <f>'MKT DATA'!K1209</f>
        <v>83536</v>
      </c>
      <c r="H176" s="8">
        <f>'MKT DATA'!L1209</f>
        <v>85899</v>
      </c>
      <c r="I176" s="13">
        <f>'MKT DATA'!M1209</f>
        <v>1</v>
      </c>
      <c r="J176" s="43" t="str">
        <f t="shared" si="6"/>
        <v>syn BTCG7/BTCV6/BTCH7/BTCX6/BTCF7</v>
      </c>
      <c r="K176" s="8">
        <f>'MKT DATA'!O1209</f>
        <v>0</v>
      </c>
      <c r="L176" s="8">
        <f>'MKT DATA'!P1209</f>
        <v>83536</v>
      </c>
      <c r="M176" s="8">
        <f>'MKT DATA'!Q1209</f>
        <v>0</v>
      </c>
      <c r="N176" s="8">
        <f>'MKT DATA'!R1209</f>
        <v>0</v>
      </c>
      <c r="O176" s="8">
        <f>'MKT DATA'!S1209</f>
        <v>-85899</v>
      </c>
      <c r="P176" s="8">
        <f>'MKT DATA'!T1209</f>
        <v>0</v>
      </c>
      <c r="Q176" s="43" t="str">
        <f t="shared" si="7"/>
        <v>syn BTCG7/BTCV6/BTCH7/BTCX6/BTCF7</v>
      </c>
      <c r="R176" s="13">
        <f>'MKT DATA'!AB1209</f>
        <v>0</v>
      </c>
    </row>
    <row r="177" spans="5:18" x14ac:dyDescent="0.25">
      <c r="E177" s="43" t="str">
        <f>'MKT DATA'!B1210</f>
        <v>syn BTCG7/BTCV6/BTCH7/BTCZ6/BTCF7</v>
      </c>
      <c r="F177" s="13">
        <f>'MKT DATA'!J1210</f>
        <v>1</v>
      </c>
      <c r="G177" s="8">
        <f>'MKT DATA'!K1210</f>
        <v>83587</v>
      </c>
      <c r="H177" s="8">
        <f>'MKT DATA'!L1210</f>
        <v>85684</v>
      </c>
      <c r="I177" s="13">
        <f>'MKT DATA'!M1210</f>
        <v>1</v>
      </c>
      <c r="J177" s="43" t="str">
        <f t="shared" si="6"/>
        <v>syn BTCG7/BTCV6/BTCH7/BTCZ6/BTCF7</v>
      </c>
      <c r="K177" s="8">
        <f>'MKT DATA'!O1210</f>
        <v>0</v>
      </c>
      <c r="L177" s="8">
        <f>'MKT DATA'!P1210</f>
        <v>83587</v>
      </c>
      <c r="M177" s="8">
        <f>'MKT DATA'!Q1210</f>
        <v>0</v>
      </c>
      <c r="N177" s="8">
        <f>'MKT DATA'!R1210</f>
        <v>0</v>
      </c>
      <c r="O177" s="8">
        <f>'MKT DATA'!S1210</f>
        <v>-85684</v>
      </c>
      <c r="P177" s="8">
        <f>'MKT DATA'!T1210</f>
        <v>0</v>
      </c>
      <c r="Q177" s="43" t="str">
        <f t="shared" si="7"/>
        <v>syn BTCG7/BTCV6/BTCH7/BTCZ6/BTCF7</v>
      </c>
      <c r="R177" s="13">
        <f>'MKT DATA'!AB1210</f>
        <v>0</v>
      </c>
    </row>
    <row r="178" spans="5:18" x14ac:dyDescent="0.25">
      <c r="E178" s="43" t="str">
        <f>'MKT DATA'!B1211</f>
        <v>syn BTCG7/BTCX6/BTCV6/BTCZ6/BTCF7</v>
      </c>
      <c r="F178" s="13">
        <f>'MKT DATA'!J1211</f>
        <v>1</v>
      </c>
      <c r="G178" s="8">
        <f>'MKT DATA'!K1211</f>
        <v>84337</v>
      </c>
      <c r="H178" s="8">
        <f>'MKT DATA'!L1211</f>
        <v>85129</v>
      </c>
      <c r="I178" s="13">
        <f>'MKT DATA'!M1211</f>
        <v>1</v>
      </c>
      <c r="J178" s="43" t="str">
        <f t="shared" si="6"/>
        <v>syn BTCG7/BTCX6/BTCV6/BTCZ6/BTCF7</v>
      </c>
      <c r="K178" s="8">
        <f>'MKT DATA'!O1211</f>
        <v>0</v>
      </c>
      <c r="L178" s="8">
        <f>'MKT DATA'!P1211</f>
        <v>84337</v>
      </c>
      <c r="M178" s="8">
        <f>'MKT DATA'!Q1211</f>
        <v>0</v>
      </c>
      <c r="N178" s="8">
        <f>'MKT DATA'!R1211</f>
        <v>0</v>
      </c>
      <c r="O178" s="8">
        <f>'MKT DATA'!S1211</f>
        <v>-85129</v>
      </c>
      <c r="P178" s="8">
        <f>'MKT DATA'!T1211</f>
        <v>0</v>
      </c>
      <c r="Q178" s="43" t="str">
        <f t="shared" si="7"/>
        <v>syn BTCG7/BTCX6/BTCV6/BTCZ6/BTCF7</v>
      </c>
      <c r="R178" s="13">
        <f>'MKT DATA'!AB1211</f>
        <v>0</v>
      </c>
    </row>
    <row r="179" spans="5:18" x14ac:dyDescent="0.25">
      <c r="E179" s="43" t="str">
        <f>'MKT DATA'!B1212</f>
        <v>syn BTCG7/BTCX6/BTCV6/BTCH7/BTCF7</v>
      </c>
      <c r="F179" s="13">
        <f>'MKT DATA'!J1212</f>
        <v>1</v>
      </c>
      <c r="G179" s="8">
        <f>'MKT DATA'!K1212</f>
        <v>83524</v>
      </c>
      <c r="H179" s="8">
        <f>'MKT DATA'!L1212</f>
        <v>85938</v>
      </c>
      <c r="I179" s="13">
        <f>'MKT DATA'!M1212</f>
        <v>1</v>
      </c>
      <c r="J179" s="43" t="str">
        <f t="shared" si="6"/>
        <v>syn BTCG7/BTCX6/BTCV6/BTCH7/BTCF7</v>
      </c>
      <c r="K179" s="8">
        <f>'MKT DATA'!O1212</f>
        <v>0</v>
      </c>
      <c r="L179" s="8">
        <f>'MKT DATA'!P1212</f>
        <v>83524</v>
      </c>
      <c r="M179" s="8">
        <f>'MKT DATA'!Q1212</f>
        <v>0</v>
      </c>
      <c r="N179" s="8">
        <f>'MKT DATA'!R1212</f>
        <v>0</v>
      </c>
      <c r="O179" s="8">
        <f>'MKT DATA'!S1212</f>
        <v>-85938</v>
      </c>
      <c r="P179" s="8">
        <f>'MKT DATA'!T1212</f>
        <v>0</v>
      </c>
      <c r="Q179" s="43" t="str">
        <f t="shared" si="7"/>
        <v>syn BTCG7/BTCX6/BTCV6/BTCH7/BTCF7</v>
      </c>
      <c r="R179" s="13">
        <f>'MKT DATA'!AB1212</f>
        <v>0</v>
      </c>
    </row>
    <row r="180" spans="5:18" x14ac:dyDescent="0.25">
      <c r="E180" s="43" t="str">
        <f>'MKT DATA'!B1213</f>
        <v>syn BTCG7/BTCX6/BTCZ6/BTCV6/BTCF7</v>
      </c>
      <c r="F180" s="13">
        <f>'MKT DATA'!J1213</f>
        <v>1</v>
      </c>
      <c r="G180" s="8">
        <f>'MKT DATA'!K1213</f>
        <v>84253</v>
      </c>
      <c r="H180" s="8">
        <f>'MKT DATA'!L1213</f>
        <v>85179</v>
      </c>
      <c r="I180" s="13">
        <f>'MKT DATA'!M1213</f>
        <v>1</v>
      </c>
      <c r="J180" s="43" t="str">
        <f t="shared" si="6"/>
        <v>syn BTCG7/BTCX6/BTCZ6/BTCV6/BTCF7</v>
      </c>
      <c r="K180" s="8">
        <f>'MKT DATA'!O1213</f>
        <v>0</v>
      </c>
      <c r="L180" s="8">
        <f>'MKT DATA'!P1213</f>
        <v>84253</v>
      </c>
      <c r="M180" s="8">
        <f>'MKT DATA'!Q1213</f>
        <v>0</v>
      </c>
      <c r="N180" s="8">
        <f>'MKT DATA'!R1213</f>
        <v>0</v>
      </c>
      <c r="O180" s="8">
        <f>'MKT DATA'!S1213</f>
        <v>-85179</v>
      </c>
      <c r="P180" s="8">
        <f>'MKT DATA'!T1213</f>
        <v>0</v>
      </c>
      <c r="Q180" s="43" t="str">
        <f t="shared" si="7"/>
        <v>syn BTCG7/BTCX6/BTCZ6/BTCV6/BTCF7</v>
      </c>
      <c r="R180" s="13">
        <f>'MKT DATA'!AB1213</f>
        <v>0</v>
      </c>
    </row>
    <row r="181" spans="5:18" x14ac:dyDescent="0.25">
      <c r="E181" s="43" t="str">
        <f>'MKT DATA'!B1214</f>
        <v>syn BTCG7/BTCX6/BTCZ6/BTCH7/BTCF7</v>
      </c>
      <c r="F181" s="13">
        <f>'MKT DATA'!J1214</f>
        <v>1</v>
      </c>
      <c r="G181" s="8">
        <f>'MKT DATA'!K1214</f>
        <v>83694</v>
      </c>
      <c r="H181" s="8">
        <f>'MKT DATA'!L1214</f>
        <v>85956</v>
      </c>
      <c r="I181" s="13">
        <f>'MKT DATA'!M1214</f>
        <v>1</v>
      </c>
      <c r="J181" s="43" t="str">
        <f t="shared" si="6"/>
        <v>syn BTCG7/BTCX6/BTCZ6/BTCH7/BTCF7</v>
      </c>
      <c r="K181" s="8">
        <f>'MKT DATA'!O1214</f>
        <v>0</v>
      </c>
      <c r="L181" s="8">
        <f>'MKT DATA'!P1214</f>
        <v>83694</v>
      </c>
      <c r="M181" s="8">
        <f>'MKT DATA'!Q1214</f>
        <v>0</v>
      </c>
      <c r="N181" s="8">
        <f>'MKT DATA'!R1214</f>
        <v>0</v>
      </c>
      <c r="O181" s="8">
        <f>'MKT DATA'!S1214</f>
        <v>-85956</v>
      </c>
      <c r="P181" s="8">
        <f>'MKT DATA'!T1214</f>
        <v>0</v>
      </c>
      <c r="Q181" s="43" t="str">
        <f t="shared" si="7"/>
        <v>syn BTCG7/BTCX6/BTCZ6/BTCH7/BTCF7</v>
      </c>
      <c r="R181" s="13">
        <f>'MKT DATA'!AB1214</f>
        <v>0</v>
      </c>
    </row>
    <row r="182" spans="5:18" x14ac:dyDescent="0.25">
      <c r="E182" s="43" t="str">
        <f>'MKT DATA'!B1215</f>
        <v>syn BTCG7/BTCX6/BTCH7/BTCV6/BTCF7</v>
      </c>
      <c r="F182" s="13">
        <f>'MKT DATA'!J1215</f>
        <v>1</v>
      </c>
      <c r="G182" s="8">
        <f>'MKT DATA'!K1215</f>
        <v>83496</v>
      </c>
      <c r="H182" s="8">
        <f>'MKT DATA'!L1215</f>
        <v>85929</v>
      </c>
      <c r="I182" s="13">
        <f>'MKT DATA'!M1215</f>
        <v>1</v>
      </c>
      <c r="J182" s="43" t="str">
        <f t="shared" si="6"/>
        <v>syn BTCG7/BTCX6/BTCH7/BTCV6/BTCF7</v>
      </c>
      <c r="K182" s="8">
        <f>'MKT DATA'!O1215</f>
        <v>0</v>
      </c>
      <c r="L182" s="8">
        <f>'MKT DATA'!P1215</f>
        <v>83496</v>
      </c>
      <c r="M182" s="8">
        <f>'MKT DATA'!Q1215</f>
        <v>0</v>
      </c>
      <c r="N182" s="8">
        <f>'MKT DATA'!R1215</f>
        <v>0</v>
      </c>
      <c r="O182" s="8">
        <f>'MKT DATA'!S1215</f>
        <v>-85929</v>
      </c>
      <c r="P182" s="8">
        <f>'MKT DATA'!T1215</f>
        <v>0</v>
      </c>
      <c r="Q182" s="43" t="str">
        <f t="shared" si="7"/>
        <v>syn BTCG7/BTCX6/BTCH7/BTCV6/BTCF7</v>
      </c>
      <c r="R182" s="13">
        <f>'MKT DATA'!AB1215</f>
        <v>0</v>
      </c>
    </row>
    <row r="183" spans="5:18" x14ac:dyDescent="0.25">
      <c r="E183" s="43" t="str">
        <f>'MKT DATA'!B1216</f>
        <v>syn BTCG7/BTCX6/BTCH7/BTCZ6/BTCF7</v>
      </c>
      <c r="F183" s="13">
        <f>'MKT DATA'!J1216</f>
        <v>1</v>
      </c>
      <c r="G183" s="8">
        <f>'MKT DATA'!K1216</f>
        <v>83562</v>
      </c>
      <c r="H183" s="8">
        <f>'MKT DATA'!L1216</f>
        <v>85709</v>
      </c>
      <c r="I183" s="13">
        <f>'MKT DATA'!M1216</f>
        <v>1</v>
      </c>
      <c r="J183" s="43" t="str">
        <f t="shared" si="6"/>
        <v>syn BTCG7/BTCX6/BTCH7/BTCZ6/BTCF7</v>
      </c>
      <c r="K183" s="8">
        <f>'MKT DATA'!O1216</f>
        <v>0</v>
      </c>
      <c r="L183" s="8">
        <f>'MKT DATA'!P1216</f>
        <v>83562</v>
      </c>
      <c r="M183" s="8">
        <f>'MKT DATA'!Q1216</f>
        <v>0</v>
      </c>
      <c r="N183" s="8">
        <f>'MKT DATA'!R1216</f>
        <v>0</v>
      </c>
      <c r="O183" s="8">
        <f>'MKT DATA'!S1216</f>
        <v>-85709</v>
      </c>
      <c r="P183" s="8">
        <f>'MKT DATA'!T1216</f>
        <v>0</v>
      </c>
      <c r="Q183" s="43" t="str">
        <f t="shared" si="7"/>
        <v>syn BTCG7/BTCX6/BTCH7/BTCZ6/BTCF7</v>
      </c>
      <c r="R183" s="13">
        <f>'MKT DATA'!AB1216</f>
        <v>0</v>
      </c>
    </row>
    <row r="184" spans="5:18" x14ac:dyDescent="0.25">
      <c r="E184" s="43" t="str">
        <f>'MKT DATA'!B1217</f>
        <v>syn BTCG7/BTCZ6/BTCV6/BTCX6/BTCF7</v>
      </c>
      <c r="F184" s="13">
        <f>'MKT DATA'!J1217</f>
        <v>1</v>
      </c>
      <c r="G184" s="8">
        <f>'MKT DATA'!K1217</f>
        <v>84256</v>
      </c>
      <c r="H184" s="8">
        <f>'MKT DATA'!L1217</f>
        <v>85164</v>
      </c>
      <c r="I184" s="13">
        <f>'MKT DATA'!M1217</f>
        <v>1</v>
      </c>
      <c r="J184" s="43" t="str">
        <f t="shared" si="6"/>
        <v>syn BTCG7/BTCZ6/BTCV6/BTCX6/BTCF7</v>
      </c>
      <c r="K184" s="8">
        <f>'MKT DATA'!O1217</f>
        <v>0</v>
      </c>
      <c r="L184" s="8">
        <f>'MKT DATA'!P1217</f>
        <v>84256</v>
      </c>
      <c r="M184" s="8">
        <f>'MKT DATA'!Q1217</f>
        <v>0</v>
      </c>
      <c r="N184" s="8">
        <f>'MKT DATA'!R1217</f>
        <v>0</v>
      </c>
      <c r="O184" s="8">
        <f>'MKT DATA'!S1217</f>
        <v>-85164</v>
      </c>
      <c r="P184" s="8">
        <f>'MKT DATA'!T1217</f>
        <v>0</v>
      </c>
      <c r="Q184" s="43" t="str">
        <f t="shared" si="7"/>
        <v>syn BTCG7/BTCZ6/BTCV6/BTCX6/BTCF7</v>
      </c>
      <c r="R184" s="13">
        <f>'MKT DATA'!AB1217</f>
        <v>0</v>
      </c>
    </row>
    <row r="185" spans="5:18" x14ac:dyDescent="0.25">
      <c r="E185" s="43" t="str">
        <f>'MKT DATA'!B1218</f>
        <v>syn BTCG7/BTCZ6/BTCV6/BTCH7/BTCF7</v>
      </c>
      <c r="F185" s="13">
        <f>'MKT DATA'!J1218</f>
        <v>1</v>
      </c>
      <c r="G185" s="8">
        <f>'MKT DATA'!K1218</f>
        <v>83478</v>
      </c>
      <c r="H185" s="8">
        <f>'MKT DATA'!L1218</f>
        <v>85969</v>
      </c>
      <c r="I185" s="13">
        <f>'MKT DATA'!M1218</f>
        <v>1</v>
      </c>
      <c r="J185" s="43" t="str">
        <f t="shared" si="6"/>
        <v>syn BTCG7/BTCZ6/BTCV6/BTCH7/BTCF7</v>
      </c>
      <c r="K185" s="8">
        <f>'MKT DATA'!O1218</f>
        <v>0</v>
      </c>
      <c r="L185" s="8">
        <f>'MKT DATA'!P1218</f>
        <v>83478</v>
      </c>
      <c r="M185" s="8">
        <f>'MKT DATA'!Q1218</f>
        <v>0</v>
      </c>
      <c r="N185" s="8">
        <f>'MKT DATA'!R1218</f>
        <v>0</v>
      </c>
      <c r="O185" s="8">
        <f>'MKT DATA'!S1218</f>
        <v>-85969</v>
      </c>
      <c r="P185" s="8">
        <f>'MKT DATA'!T1218</f>
        <v>0</v>
      </c>
      <c r="Q185" s="43" t="str">
        <f t="shared" si="7"/>
        <v>syn BTCG7/BTCZ6/BTCV6/BTCH7/BTCF7</v>
      </c>
      <c r="R185" s="13">
        <f>'MKT DATA'!AB1218</f>
        <v>0</v>
      </c>
    </row>
    <row r="186" spans="5:18" x14ac:dyDescent="0.25">
      <c r="E186" s="43" t="str">
        <f>'MKT DATA'!B1219</f>
        <v>syn BTCG7/BTCZ6/BTCX6/BTCV6/BTCF7</v>
      </c>
      <c r="F186" s="13">
        <f>'MKT DATA'!J1219</f>
        <v>1</v>
      </c>
      <c r="G186" s="8">
        <f>'MKT DATA'!K1219</f>
        <v>84239</v>
      </c>
      <c r="H186" s="8">
        <f>'MKT DATA'!L1219</f>
        <v>85178</v>
      </c>
      <c r="I186" s="13">
        <f>'MKT DATA'!M1219</f>
        <v>1</v>
      </c>
      <c r="J186" s="43" t="str">
        <f t="shared" si="6"/>
        <v>syn BTCG7/BTCZ6/BTCX6/BTCV6/BTCF7</v>
      </c>
      <c r="K186" s="8">
        <f>'MKT DATA'!O1219</f>
        <v>0</v>
      </c>
      <c r="L186" s="8">
        <f>'MKT DATA'!P1219</f>
        <v>84239</v>
      </c>
      <c r="M186" s="8">
        <f>'MKT DATA'!Q1219</f>
        <v>0</v>
      </c>
      <c r="N186" s="8">
        <f>'MKT DATA'!R1219</f>
        <v>0</v>
      </c>
      <c r="O186" s="8">
        <f>'MKT DATA'!S1219</f>
        <v>-85178</v>
      </c>
      <c r="P186" s="8">
        <f>'MKT DATA'!T1219</f>
        <v>0</v>
      </c>
      <c r="Q186" s="43" t="str">
        <f t="shared" si="7"/>
        <v>syn BTCG7/BTCZ6/BTCX6/BTCV6/BTCF7</v>
      </c>
      <c r="R186" s="13">
        <f>'MKT DATA'!AB1219</f>
        <v>0</v>
      </c>
    </row>
    <row r="187" spans="5:18" x14ac:dyDescent="0.25">
      <c r="E187" s="43" t="str">
        <f>'MKT DATA'!B1220</f>
        <v>syn BTCG7/BTCZ6/BTCX6/BTCH7/BTCF7</v>
      </c>
      <c r="F187" s="13">
        <f>'MKT DATA'!J1220</f>
        <v>1</v>
      </c>
      <c r="G187" s="8">
        <f>'MKT DATA'!K1220</f>
        <v>83469</v>
      </c>
      <c r="H187" s="8">
        <f>'MKT DATA'!L1220</f>
        <v>85971</v>
      </c>
      <c r="I187" s="13">
        <f>'MKT DATA'!M1220</f>
        <v>1</v>
      </c>
      <c r="J187" s="43" t="str">
        <f t="shared" si="6"/>
        <v>syn BTCG7/BTCZ6/BTCX6/BTCH7/BTCF7</v>
      </c>
      <c r="K187" s="8">
        <f>'MKT DATA'!O1220</f>
        <v>0</v>
      </c>
      <c r="L187" s="8">
        <f>'MKT DATA'!P1220</f>
        <v>83469</v>
      </c>
      <c r="M187" s="8">
        <f>'MKT DATA'!Q1220</f>
        <v>0</v>
      </c>
      <c r="N187" s="8">
        <f>'MKT DATA'!R1220</f>
        <v>0</v>
      </c>
      <c r="O187" s="8">
        <f>'MKT DATA'!S1220</f>
        <v>-85971</v>
      </c>
      <c r="P187" s="8">
        <f>'MKT DATA'!T1220</f>
        <v>0</v>
      </c>
      <c r="Q187" s="43" t="str">
        <f t="shared" si="7"/>
        <v>syn BTCG7/BTCZ6/BTCX6/BTCH7/BTCF7</v>
      </c>
      <c r="R187" s="13">
        <f>'MKT DATA'!AB1220</f>
        <v>0</v>
      </c>
    </row>
    <row r="188" spans="5:18" x14ac:dyDescent="0.25">
      <c r="E188" s="43" t="str">
        <f>'MKT DATA'!B1221</f>
        <v>syn BTCG7/BTCZ6/BTCH7/BTCV6/BTCF7</v>
      </c>
      <c r="F188" s="13">
        <f>'MKT DATA'!J1221</f>
        <v>1</v>
      </c>
      <c r="G188" s="8">
        <f>'MKT DATA'!K1221</f>
        <v>83661</v>
      </c>
      <c r="H188" s="8">
        <f>'MKT DATA'!L1221</f>
        <v>85944</v>
      </c>
      <c r="I188" s="13">
        <f>'MKT DATA'!M1221</f>
        <v>1</v>
      </c>
      <c r="J188" s="43" t="str">
        <f t="shared" si="6"/>
        <v>syn BTCG7/BTCZ6/BTCH7/BTCV6/BTCF7</v>
      </c>
      <c r="K188" s="8">
        <f>'MKT DATA'!O1221</f>
        <v>0</v>
      </c>
      <c r="L188" s="8">
        <f>'MKT DATA'!P1221</f>
        <v>83661</v>
      </c>
      <c r="M188" s="8">
        <f>'MKT DATA'!Q1221</f>
        <v>0</v>
      </c>
      <c r="N188" s="8">
        <f>'MKT DATA'!R1221</f>
        <v>0</v>
      </c>
      <c r="O188" s="8">
        <f>'MKT DATA'!S1221</f>
        <v>-85944</v>
      </c>
      <c r="P188" s="8">
        <f>'MKT DATA'!T1221</f>
        <v>0</v>
      </c>
      <c r="Q188" s="43" t="str">
        <f t="shared" si="7"/>
        <v>syn BTCG7/BTCZ6/BTCH7/BTCV6/BTCF7</v>
      </c>
      <c r="R188" s="13">
        <f>'MKT DATA'!AB1221</f>
        <v>0</v>
      </c>
    </row>
    <row r="189" spans="5:18" x14ac:dyDescent="0.25">
      <c r="E189" s="43" t="str">
        <f>'MKT DATA'!B1222</f>
        <v>syn BTCG7/BTCZ6/BTCH7/BTCX6/BTCF7</v>
      </c>
      <c r="F189" s="13">
        <f>'MKT DATA'!J1222</f>
        <v>1</v>
      </c>
      <c r="G189" s="8">
        <f>'MKT DATA'!K1222</f>
        <v>83676</v>
      </c>
      <c r="H189" s="8">
        <f>'MKT DATA'!L1222</f>
        <v>85939</v>
      </c>
      <c r="I189" s="13">
        <f>'MKT DATA'!M1222</f>
        <v>1</v>
      </c>
      <c r="J189" s="43" t="str">
        <f t="shared" si="6"/>
        <v>syn BTCG7/BTCZ6/BTCH7/BTCX6/BTCF7</v>
      </c>
      <c r="K189" s="8">
        <f>'MKT DATA'!O1222</f>
        <v>0</v>
      </c>
      <c r="L189" s="8">
        <f>'MKT DATA'!P1222</f>
        <v>83676</v>
      </c>
      <c r="M189" s="8">
        <f>'MKT DATA'!Q1222</f>
        <v>0</v>
      </c>
      <c r="N189" s="8">
        <f>'MKT DATA'!R1222</f>
        <v>0</v>
      </c>
      <c r="O189" s="8">
        <f>'MKT DATA'!S1222</f>
        <v>-85939</v>
      </c>
      <c r="P189" s="8">
        <f>'MKT DATA'!T1222</f>
        <v>0</v>
      </c>
      <c r="Q189" s="43" t="str">
        <f t="shared" si="7"/>
        <v>syn BTCG7/BTCZ6/BTCH7/BTCX6/BTCF7</v>
      </c>
      <c r="R189" s="13">
        <f>'MKT DATA'!AB1222</f>
        <v>0</v>
      </c>
    </row>
    <row r="190" spans="5:18" x14ac:dyDescent="0.25">
      <c r="E190" s="43" t="str">
        <f>'MKT DATA'!B1223</f>
        <v>syn BTCG7/BTCH7/BTCV6/BTCX6/BTCF7</v>
      </c>
      <c r="F190" s="13">
        <f>'MKT DATA'!J1223</f>
        <v>1</v>
      </c>
      <c r="G190" s="8">
        <f>'MKT DATA'!K1223</f>
        <v>83963</v>
      </c>
      <c r="H190" s="8">
        <f>'MKT DATA'!L1223</f>
        <v>85520</v>
      </c>
      <c r="I190" s="13">
        <f>'MKT DATA'!M1223</f>
        <v>1</v>
      </c>
      <c r="J190" s="43" t="str">
        <f t="shared" si="6"/>
        <v>syn BTCG7/BTCH7/BTCV6/BTCX6/BTCF7</v>
      </c>
      <c r="K190" s="8">
        <f>'MKT DATA'!O1223</f>
        <v>0</v>
      </c>
      <c r="L190" s="8">
        <f>'MKT DATA'!P1223</f>
        <v>83963</v>
      </c>
      <c r="M190" s="8">
        <f>'MKT DATA'!Q1223</f>
        <v>0</v>
      </c>
      <c r="N190" s="8">
        <f>'MKT DATA'!R1223</f>
        <v>0</v>
      </c>
      <c r="O190" s="8">
        <f>'MKT DATA'!S1223</f>
        <v>-85520</v>
      </c>
      <c r="P190" s="8">
        <f>'MKT DATA'!T1223</f>
        <v>0</v>
      </c>
      <c r="Q190" s="43" t="str">
        <f t="shared" si="7"/>
        <v>syn BTCG7/BTCH7/BTCV6/BTCX6/BTCF7</v>
      </c>
      <c r="R190" s="13">
        <f>'MKT DATA'!AB1223</f>
        <v>0</v>
      </c>
    </row>
    <row r="191" spans="5:18" x14ac:dyDescent="0.25">
      <c r="E191" s="43" t="str">
        <f>'MKT DATA'!B1224</f>
        <v>syn BTCG7/BTCH7/BTCV6/BTCZ6/BTCF7</v>
      </c>
      <c r="F191" s="13">
        <f>'MKT DATA'!J1224</f>
        <v>1</v>
      </c>
      <c r="G191" s="8">
        <f>'MKT DATA'!K1224</f>
        <v>83998</v>
      </c>
      <c r="H191" s="8">
        <f>'MKT DATA'!L1224</f>
        <v>85516</v>
      </c>
      <c r="I191" s="13">
        <f>'MKT DATA'!M1224</f>
        <v>1</v>
      </c>
      <c r="J191" s="43" t="str">
        <f t="shared" si="6"/>
        <v>syn BTCG7/BTCH7/BTCV6/BTCZ6/BTCF7</v>
      </c>
      <c r="K191" s="8">
        <f>'MKT DATA'!O1224</f>
        <v>0</v>
      </c>
      <c r="L191" s="8">
        <f>'MKT DATA'!P1224</f>
        <v>83998</v>
      </c>
      <c r="M191" s="8">
        <f>'MKT DATA'!Q1224</f>
        <v>0</v>
      </c>
      <c r="N191" s="8">
        <f>'MKT DATA'!R1224</f>
        <v>0</v>
      </c>
      <c r="O191" s="8">
        <f>'MKT DATA'!S1224</f>
        <v>-85516</v>
      </c>
      <c r="P191" s="8">
        <f>'MKT DATA'!T1224</f>
        <v>0</v>
      </c>
      <c r="Q191" s="43" t="str">
        <f t="shared" si="7"/>
        <v>syn BTCG7/BTCH7/BTCV6/BTCZ6/BTCF7</v>
      </c>
      <c r="R191" s="13">
        <f>'MKT DATA'!AB1224</f>
        <v>0</v>
      </c>
    </row>
    <row r="192" spans="5:18" x14ac:dyDescent="0.25">
      <c r="E192" s="43" t="str">
        <f>'MKT DATA'!B1225</f>
        <v>syn BTCG7/BTCH7/BTCX6/BTCV6/BTCF7</v>
      </c>
      <c r="F192" s="13">
        <f>'MKT DATA'!J1225</f>
        <v>1</v>
      </c>
      <c r="G192" s="8">
        <f>'MKT DATA'!K1225</f>
        <v>83930</v>
      </c>
      <c r="H192" s="8">
        <f>'MKT DATA'!L1225</f>
        <v>85557</v>
      </c>
      <c r="I192" s="13">
        <f>'MKT DATA'!M1225</f>
        <v>1</v>
      </c>
      <c r="J192" s="43" t="str">
        <f t="shared" si="6"/>
        <v>syn BTCG7/BTCH7/BTCX6/BTCV6/BTCF7</v>
      </c>
      <c r="K192" s="8">
        <f>'MKT DATA'!O1225</f>
        <v>0</v>
      </c>
      <c r="L192" s="8">
        <f>'MKT DATA'!P1225</f>
        <v>83930</v>
      </c>
      <c r="M192" s="8">
        <f>'MKT DATA'!Q1225</f>
        <v>0</v>
      </c>
      <c r="N192" s="8">
        <f>'MKT DATA'!R1225</f>
        <v>0</v>
      </c>
      <c r="O192" s="8">
        <f>'MKT DATA'!S1225</f>
        <v>-85557</v>
      </c>
      <c r="P192" s="8">
        <f>'MKT DATA'!T1225</f>
        <v>0</v>
      </c>
      <c r="Q192" s="43" t="str">
        <f t="shared" si="7"/>
        <v>syn BTCG7/BTCH7/BTCX6/BTCV6/BTCF7</v>
      </c>
      <c r="R192" s="13">
        <f>'MKT DATA'!AB1225</f>
        <v>0</v>
      </c>
    </row>
    <row r="193" spans="5:18" x14ac:dyDescent="0.25">
      <c r="E193" s="43" t="str">
        <f>'MKT DATA'!B1226</f>
        <v>syn BTCG7/BTCH7/BTCX6/BTCZ6/BTCF7</v>
      </c>
      <c r="F193" s="13">
        <f>'MKT DATA'!J1226</f>
        <v>1</v>
      </c>
      <c r="G193" s="8">
        <f>'MKT DATA'!K1226</f>
        <v>83996</v>
      </c>
      <c r="H193" s="8">
        <f>'MKT DATA'!L1226</f>
        <v>85525</v>
      </c>
      <c r="I193" s="13">
        <f>'MKT DATA'!M1226</f>
        <v>1</v>
      </c>
      <c r="J193" s="43" t="str">
        <f t="shared" si="6"/>
        <v>syn BTCG7/BTCH7/BTCX6/BTCZ6/BTCF7</v>
      </c>
      <c r="K193" s="8">
        <f>'MKT DATA'!O1226</f>
        <v>0</v>
      </c>
      <c r="L193" s="8">
        <f>'MKT DATA'!P1226</f>
        <v>83996</v>
      </c>
      <c r="M193" s="8">
        <f>'MKT DATA'!Q1226</f>
        <v>0</v>
      </c>
      <c r="N193" s="8">
        <f>'MKT DATA'!R1226</f>
        <v>0</v>
      </c>
      <c r="O193" s="8">
        <f>'MKT DATA'!S1226</f>
        <v>-85525</v>
      </c>
      <c r="P193" s="8">
        <f>'MKT DATA'!T1226</f>
        <v>0</v>
      </c>
      <c r="Q193" s="43" t="str">
        <f t="shared" si="7"/>
        <v>syn BTCG7/BTCH7/BTCX6/BTCZ6/BTCF7</v>
      </c>
      <c r="R193" s="13">
        <f>'MKT DATA'!AB1226</f>
        <v>0</v>
      </c>
    </row>
    <row r="194" spans="5:18" x14ac:dyDescent="0.25">
      <c r="E194" s="43" t="str">
        <f>'MKT DATA'!B1227</f>
        <v>syn BTCG7/BTCH7/BTCZ6/BTCV6/BTCF7</v>
      </c>
      <c r="F194" s="13">
        <f>'MKT DATA'!J1227</f>
        <v>1</v>
      </c>
      <c r="G194" s="8">
        <f>'MKT DATA'!K1227</f>
        <v>83914</v>
      </c>
      <c r="H194" s="8">
        <f>'MKT DATA'!L1227</f>
        <v>85378</v>
      </c>
      <c r="I194" s="13">
        <f>'MKT DATA'!M1227</f>
        <v>1</v>
      </c>
      <c r="J194" s="43" t="str">
        <f t="shared" si="6"/>
        <v>syn BTCG7/BTCH7/BTCZ6/BTCV6/BTCF7</v>
      </c>
      <c r="K194" s="8">
        <f>'MKT DATA'!O1227</f>
        <v>0</v>
      </c>
      <c r="L194" s="8">
        <f>'MKT DATA'!P1227</f>
        <v>83914</v>
      </c>
      <c r="M194" s="8">
        <f>'MKT DATA'!Q1227</f>
        <v>0</v>
      </c>
      <c r="N194" s="8">
        <f>'MKT DATA'!R1227</f>
        <v>0</v>
      </c>
      <c r="O194" s="8">
        <f>'MKT DATA'!S1227</f>
        <v>-85378</v>
      </c>
      <c r="P194" s="8">
        <f>'MKT DATA'!T1227</f>
        <v>0</v>
      </c>
      <c r="Q194" s="43" t="str">
        <f t="shared" si="7"/>
        <v>syn BTCG7/BTCH7/BTCZ6/BTCV6/BTCF7</v>
      </c>
      <c r="R194" s="13">
        <f>'MKT DATA'!AB1227</f>
        <v>0</v>
      </c>
    </row>
    <row r="195" spans="5:18" x14ac:dyDescent="0.25">
      <c r="E195" s="43" t="str">
        <f>'MKT DATA'!B1228</f>
        <v>syn BTCG7/BTCH7/BTCZ6/BTCX6/BTCF7</v>
      </c>
      <c r="F195" s="13">
        <f>'MKT DATA'!J1228</f>
        <v>1</v>
      </c>
      <c r="G195" s="8">
        <f>'MKT DATA'!K1228</f>
        <v>83945</v>
      </c>
      <c r="H195" s="8">
        <f>'MKT DATA'!L1228</f>
        <v>85350</v>
      </c>
      <c r="I195" s="13">
        <f>'MKT DATA'!M1228</f>
        <v>1</v>
      </c>
      <c r="J195" s="43" t="str">
        <f t="shared" si="6"/>
        <v>syn BTCG7/BTCH7/BTCZ6/BTCX6/BTCF7</v>
      </c>
      <c r="K195" s="8">
        <f>'MKT DATA'!O1228</f>
        <v>0</v>
      </c>
      <c r="L195" s="8">
        <f>'MKT DATA'!P1228</f>
        <v>83945</v>
      </c>
      <c r="M195" s="8">
        <f>'MKT DATA'!Q1228</f>
        <v>0</v>
      </c>
      <c r="N195" s="8">
        <f>'MKT DATA'!R1228</f>
        <v>0</v>
      </c>
      <c r="O195" s="8">
        <f>'MKT DATA'!S1228</f>
        <v>-85350</v>
      </c>
      <c r="P195" s="8">
        <f>'MKT DATA'!T1228</f>
        <v>0</v>
      </c>
      <c r="Q195" s="43" t="str">
        <f t="shared" si="7"/>
        <v>syn BTCG7/BTCH7/BTCZ6/BTCX6/BTCF7</v>
      </c>
      <c r="R195" s="13">
        <f>'MKT DATA'!AB1228</f>
        <v>0</v>
      </c>
    </row>
    <row r="196" spans="5:18" x14ac:dyDescent="0.25">
      <c r="E196" s="43" t="str">
        <f>'MKT DATA'!B1229</f>
        <v>syn BTCH7/BTCV6/BTCX6/BTCZ6/BTCF7</v>
      </c>
      <c r="F196" s="13">
        <f>'MKT DATA'!J1229</f>
        <v>1</v>
      </c>
      <c r="G196" s="8">
        <f>'MKT DATA'!K1229</f>
        <v>83943</v>
      </c>
      <c r="H196" s="8">
        <f>'MKT DATA'!L1229</f>
        <v>85516</v>
      </c>
      <c r="I196" s="13">
        <f>'MKT DATA'!M1229</f>
        <v>1</v>
      </c>
      <c r="J196" s="43" t="str">
        <f t="shared" si="6"/>
        <v>syn BTCH7/BTCV6/BTCX6/BTCZ6/BTCF7</v>
      </c>
      <c r="K196" s="8">
        <f>'MKT DATA'!O1229</f>
        <v>0</v>
      </c>
      <c r="L196" s="8">
        <f>'MKT DATA'!P1229</f>
        <v>83943</v>
      </c>
      <c r="M196" s="8">
        <f>'MKT DATA'!Q1229</f>
        <v>0</v>
      </c>
      <c r="N196" s="8">
        <f>'MKT DATA'!R1229</f>
        <v>0</v>
      </c>
      <c r="O196" s="8">
        <f>'MKT DATA'!S1229</f>
        <v>-85516</v>
      </c>
      <c r="P196" s="8">
        <f>'MKT DATA'!T1229</f>
        <v>0</v>
      </c>
      <c r="Q196" s="43" t="str">
        <f t="shared" si="7"/>
        <v>syn BTCH7/BTCV6/BTCX6/BTCZ6/BTCF7</v>
      </c>
      <c r="R196" s="13">
        <f>'MKT DATA'!AB1229</f>
        <v>0</v>
      </c>
    </row>
    <row r="197" spans="5:18" x14ac:dyDescent="0.25">
      <c r="E197" s="43" t="str">
        <f>'MKT DATA'!B1230</f>
        <v>syn BTCH7/BTCV6/BTCX6/BTCG7/BTCF7</v>
      </c>
      <c r="F197" s="13">
        <f>'MKT DATA'!J1230</f>
        <v>1</v>
      </c>
      <c r="G197" s="8">
        <f>'MKT DATA'!K1230</f>
        <v>83702</v>
      </c>
      <c r="H197" s="8">
        <f>'MKT DATA'!L1230</f>
        <v>85762</v>
      </c>
      <c r="I197" s="13">
        <f>'MKT DATA'!M1230</f>
        <v>1</v>
      </c>
      <c r="J197" s="43" t="str">
        <f t="shared" si="6"/>
        <v>syn BTCH7/BTCV6/BTCX6/BTCG7/BTCF7</v>
      </c>
      <c r="K197" s="8">
        <f>'MKT DATA'!O1230</f>
        <v>0</v>
      </c>
      <c r="L197" s="8">
        <f>'MKT DATA'!P1230</f>
        <v>83702</v>
      </c>
      <c r="M197" s="8">
        <f>'MKT DATA'!Q1230</f>
        <v>0</v>
      </c>
      <c r="N197" s="8">
        <f>'MKT DATA'!R1230</f>
        <v>0</v>
      </c>
      <c r="O197" s="8">
        <f>'MKT DATA'!S1230</f>
        <v>-85762</v>
      </c>
      <c r="P197" s="8">
        <f>'MKT DATA'!T1230</f>
        <v>0</v>
      </c>
      <c r="Q197" s="43" t="str">
        <f t="shared" si="7"/>
        <v>syn BTCH7/BTCV6/BTCX6/BTCG7/BTCF7</v>
      </c>
      <c r="R197" s="13">
        <f>'MKT DATA'!AB1230</f>
        <v>0</v>
      </c>
    </row>
    <row r="198" spans="5:18" x14ac:dyDescent="0.25">
      <c r="E198" s="43" t="str">
        <f>'MKT DATA'!B1231</f>
        <v>syn BTCH7/BTCV6/BTCZ6/BTCX6/BTCF7</v>
      </c>
      <c r="F198" s="13">
        <f>'MKT DATA'!J1231</f>
        <v>1</v>
      </c>
      <c r="G198" s="8">
        <f>'MKT DATA'!K1231</f>
        <v>83876</v>
      </c>
      <c r="H198" s="8">
        <f>'MKT DATA'!L1231</f>
        <v>85552</v>
      </c>
      <c r="I198" s="13">
        <f>'MKT DATA'!M1231</f>
        <v>1</v>
      </c>
      <c r="J198" s="43" t="str">
        <f t="shared" si="6"/>
        <v>syn BTCH7/BTCV6/BTCZ6/BTCX6/BTCF7</v>
      </c>
      <c r="K198" s="8">
        <f>'MKT DATA'!O1231</f>
        <v>0</v>
      </c>
      <c r="L198" s="8">
        <f>'MKT DATA'!P1231</f>
        <v>83876</v>
      </c>
      <c r="M198" s="8">
        <f>'MKT DATA'!Q1231</f>
        <v>0</v>
      </c>
      <c r="N198" s="8">
        <f>'MKT DATA'!R1231</f>
        <v>0</v>
      </c>
      <c r="O198" s="8">
        <f>'MKT DATA'!S1231</f>
        <v>-85552</v>
      </c>
      <c r="P198" s="8">
        <f>'MKT DATA'!T1231</f>
        <v>0</v>
      </c>
      <c r="Q198" s="43" t="str">
        <f t="shared" si="7"/>
        <v>syn BTCH7/BTCV6/BTCZ6/BTCX6/BTCF7</v>
      </c>
      <c r="R198" s="13">
        <f>'MKT DATA'!AB1231</f>
        <v>0</v>
      </c>
    </row>
    <row r="199" spans="5:18" x14ac:dyDescent="0.25">
      <c r="E199" s="43" t="str">
        <f>'MKT DATA'!B1232</f>
        <v>syn BTCH7/BTCV6/BTCZ6/BTCG7/BTCF7</v>
      </c>
      <c r="F199" s="13">
        <f>'MKT DATA'!J1232</f>
        <v>1</v>
      </c>
      <c r="G199" s="8">
        <f>'MKT DATA'!K1232</f>
        <v>83671</v>
      </c>
      <c r="H199" s="8">
        <f>'MKT DATA'!L1232</f>
        <v>85808</v>
      </c>
      <c r="I199" s="13">
        <f>'MKT DATA'!M1232</f>
        <v>1</v>
      </c>
      <c r="J199" s="43" t="str">
        <f t="shared" si="6"/>
        <v>syn BTCH7/BTCV6/BTCZ6/BTCG7/BTCF7</v>
      </c>
      <c r="K199" s="8">
        <f>'MKT DATA'!O1232</f>
        <v>0</v>
      </c>
      <c r="L199" s="8">
        <f>'MKT DATA'!P1232</f>
        <v>83671</v>
      </c>
      <c r="M199" s="8">
        <f>'MKT DATA'!Q1232</f>
        <v>0</v>
      </c>
      <c r="N199" s="8">
        <f>'MKT DATA'!R1232</f>
        <v>0</v>
      </c>
      <c r="O199" s="8">
        <f>'MKT DATA'!S1232</f>
        <v>-85808</v>
      </c>
      <c r="P199" s="8">
        <f>'MKT DATA'!T1232</f>
        <v>0</v>
      </c>
      <c r="Q199" s="43" t="str">
        <f t="shared" si="7"/>
        <v>syn BTCH7/BTCV6/BTCZ6/BTCG7/BTCF7</v>
      </c>
      <c r="R199" s="13">
        <f>'MKT DATA'!AB1232</f>
        <v>0</v>
      </c>
    </row>
    <row r="200" spans="5:18" x14ac:dyDescent="0.25">
      <c r="E200" s="43" t="str">
        <f>'MKT DATA'!B1233</f>
        <v>syn BTCH7/BTCV6/BTCG7/BTCX6/BTCF7</v>
      </c>
      <c r="F200" s="13">
        <f>'MKT DATA'!J1233</f>
        <v>1</v>
      </c>
      <c r="G200" s="8">
        <f>'MKT DATA'!K1233</f>
        <v>83536</v>
      </c>
      <c r="H200" s="8">
        <f>'MKT DATA'!L1233</f>
        <v>85899</v>
      </c>
      <c r="I200" s="13">
        <f>'MKT DATA'!M1233</f>
        <v>1</v>
      </c>
      <c r="J200" s="43" t="str">
        <f t="shared" si="6"/>
        <v>syn BTCH7/BTCV6/BTCG7/BTCX6/BTCF7</v>
      </c>
      <c r="K200" s="8">
        <f>'MKT DATA'!O1233</f>
        <v>0</v>
      </c>
      <c r="L200" s="8">
        <f>'MKT DATA'!P1233</f>
        <v>83536</v>
      </c>
      <c r="M200" s="8">
        <f>'MKT DATA'!Q1233</f>
        <v>0</v>
      </c>
      <c r="N200" s="8">
        <f>'MKT DATA'!R1233</f>
        <v>0</v>
      </c>
      <c r="O200" s="8">
        <f>'MKT DATA'!S1233</f>
        <v>-85899</v>
      </c>
      <c r="P200" s="8">
        <f>'MKT DATA'!T1233</f>
        <v>0</v>
      </c>
      <c r="Q200" s="43" t="str">
        <f t="shared" si="7"/>
        <v>syn BTCH7/BTCV6/BTCG7/BTCX6/BTCF7</v>
      </c>
      <c r="R200" s="13">
        <f>'MKT DATA'!AB1233</f>
        <v>0</v>
      </c>
    </row>
    <row r="201" spans="5:18" x14ac:dyDescent="0.25">
      <c r="E201" s="43" t="str">
        <f>'MKT DATA'!B1234</f>
        <v>syn BTCH7/BTCV6/BTCG7/BTCZ6/BTCF7</v>
      </c>
      <c r="F201" s="13">
        <f>'MKT DATA'!J1234</f>
        <v>1</v>
      </c>
      <c r="G201" s="8">
        <f>'MKT DATA'!K1234</f>
        <v>83557</v>
      </c>
      <c r="H201" s="8">
        <f>'MKT DATA'!L1234</f>
        <v>85894</v>
      </c>
      <c r="I201" s="13">
        <f>'MKT DATA'!M1234</f>
        <v>1</v>
      </c>
      <c r="J201" s="43" t="str">
        <f t="shared" si="6"/>
        <v>syn BTCH7/BTCV6/BTCG7/BTCZ6/BTCF7</v>
      </c>
      <c r="K201" s="8">
        <f>'MKT DATA'!O1234</f>
        <v>0</v>
      </c>
      <c r="L201" s="8">
        <f>'MKT DATA'!P1234</f>
        <v>83557</v>
      </c>
      <c r="M201" s="8">
        <f>'MKT DATA'!Q1234</f>
        <v>0</v>
      </c>
      <c r="N201" s="8">
        <f>'MKT DATA'!R1234</f>
        <v>0</v>
      </c>
      <c r="O201" s="8">
        <f>'MKT DATA'!S1234</f>
        <v>-85894</v>
      </c>
      <c r="P201" s="8">
        <f>'MKT DATA'!T1234</f>
        <v>0</v>
      </c>
      <c r="Q201" s="43" t="str">
        <f t="shared" si="7"/>
        <v>syn BTCH7/BTCV6/BTCG7/BTCZ6/BTCF7</v>
      </c>
      <c r="R201" s="13">
        <f>'MKT DATA'!AB1234</f>
        <v>0</v>
      </c>
    </row>
    <row r="202" spans="5:18" x14ac:dyDescent="0.25">
      <c r="E202" s="43" t="str">
        <f>'MKT DATA'!B1235</f>
        <v>syn BTCH7/BTCX6/BTCV6/BTCZ6/BTCF7</v>
      </c>
      <c r="F202" s="13">
        <f>'MKT DATA'!J1235</f>
        <v>1</v>
      </c>
      <c r="G202" s="8">
        <f>'MKT DATA'!K1235</f>
        <v>83927</v>
      </c>
      <c r="H202" s="8">
        <f>'MKT DATA'!L1235</f>
        <v>85539</v>
      </c>
      <c r="I202" s="13">
        <f>'MKT DATA'!M1235</f>
        <v>1</v>
      </c>
      <c r="J202" s="43" t="str">
        <f t="shared" ref="J202:J265" si="8">E202</f>
        <v>syn BTCH7/BTCX6/BTCV6/BTCZ6/BTCF7</v>
      </c>
      <c r="K202" s="8">
        <f>'MKT DATA'!O1235</f>
        <v>0</v>
      </c>
      <c r="L202" s="8">
        <f>'MKT DATA'!P1235</f>
        <v>83927</v>
      </c>
      <c r="M202" s="8">
        <f>'MKT DATA'!Q1235</f>
        <v>0</v>
      </c>
      <c r="N202" s="8">
        <f>'MKT DATA'!R1235</f>
        <v>0</v>
      </c>
      <c r="O202" s="8">
        <f>'MKT DATA'!S1235</f>
        <v>-85539</v>
      </c>
      <c r="P202" s="8">
        <f>'MKT DATA'!T1235</f>
        <v>0</v>
      </c>
      <c r="Q202" s="43" t="str">
        <f t="shared" ref="Q202:Q265" si="9">J202</f>
        <v>syn BTCH7/BTCX6/BTCV6/BTCZ6/BTCF7</v>
      </c>
      <c r="R202" s="13">
        <f>'MKT DATA'!AB1235</f>
        <v>0</v>
      </c>
    </row>
    <row r="203" spans="5:18" x14ac:dyDescent="0.25">
      <c r="E203" s="43" t="str">
        <f>'MKT DATA'!B1236</f>
        <v>syn BTCH7/BTCX6/BTCV6/BTCG7/BTCF7</v>
      </c>
      <c r="F203" s="13">
        <f>'MKT DATA'!J1236</f>
        <v>1</v>
      </c>
      <c r="G203" s="8">
        <f>'MKT DATA'!K1236</f>
        <v>83709</v>
      </c>
      <c r="H203" s="8">
        <f>'MKT DATA'!L1236</f>
        <v>85769</v>
      </c>
      <c r="I203" s="13">
        <f>'MKT DATA'!M1236</f>
        <v>1</v>
      </c>
      <c r="J203" s="43" t="str">
        <f t="shared" si="8"/>
        <v>syn BTCH7/BTCX6/BTCV6/BTCG7/BTCF7</v>
      </c>
      <c r="K203" s="8">
        <f>'MKT DATA'!O1236</f>
        <v>0</v>
      </c>
      <c r="L203" s="8">
        <f>'MKT DATA'!P1236</f>
        <v>83709</v>
      </c>
      <c r="M203" s="8">
        <f>'MKT DATA'!Q1236</f>
        <v>0</v>
      </c>
      <c r="N203" s="8">
        <f>'MKT DATA'!R1236</f>
        <v>0</v>
      </c>
      <c r="O203" s="8">
        <f>'MKT DATA'!S1236</f>
        <v>-85769</v>
      </c>
      <c r="P203" s="8">
        <f>'MKT DATA'!T1236</f>
        <v>0</v>
      </c>
      <c r="Q203" s="43" t="str">
        <f t="shared" si="9"/>
        <v>syn BTCH7/BTCX6/BTCV6/BTCG7/BTCF7</v>
      </c>
      <c r="R203" s="13">
        <f>'MKT DATA'!AB1236</f>
        <v>0</v>
      </c>
    </row>
    <row r="204" spans="5:18" x14ac:dyDescent="0.25">
      <c r="E204" s="43" t="str">
        <f>'MKT DATA'!B1237</f>
        <v>syn BTCH7/BTCX6/BTCZ6/BTCV6/BTCF7</v>
      </c>
      <c r="F204" s="13">
        <f>'MKT DATA'!J1237</f>
        <v>1</v>
      </c>
      <c r="G204" s="8">
        <f>'MKT DATA'!K1237</f>
        <v>83843</v>
      </c>
      <c r="H204" s="8">
        <f>'MKT DATA'!L1237</f>
        <v>85589</v>
      </c>
      <c r="I204" s="13">
        <f>'MKT DATA'!M1237</f>
        <v>1</v>
      </c>
      <c r="J204" s="43" t="str">
        <f t="shared" si="8"/>
        <v>syn BTCH7/BTCX6/BTCZ6/BTCV6/BTCF7</v>
      </c>
      <c r="K204" s="8">
        <f>'MKT DATA'!O1237</f>
        <v>0</v>
      </c>
      <c r="L204" s="8">
        <f>'MKT DATA'!P1237</f>
        <v>83843</v>
      </c>
      <c r="M204" s="8">
        <f>'MKT DATA'!Q1237</f>
        <v>0</v>
      </c>
      <c r="N204" s="8">
        <f>'MKT DATA'!R1237</f>
        <v>0</v>
      </c>
      <c r="O204" s="8">
        <f>'MKT DATA'!S1237</f>
        <v>-85589</v>
      </c>
      <c r="P204" s="8">
        <f>'MKT DATA'!T1237</f>
        <v>0</v>
      </c>
      <c r="Q204" s="43" t="str">
        <f t="shared" si="9"/>
        <v>syn BTCH7/BTCX6/BTCZ6/BTCV6/BTCF7</v>
      </c>
      <c r="R204" s="13">
        <f>'MKT DATA'!AB1237</f>
        <v>0</v>
      </c>
    </row>
    <row r="205" spans="5:18" x14ac:dyDescent="0.25">
      <c r="E205" s="43" t="str">
        <f>'MKT DATA'!B1238</f>
        <v>syn BTCH7/BTCX6/BTCZ6/BTCG7/BTCF7</v>
      </c>
      <c r="F205" s="13">
        <f>'MKT DATA'!J1238</f>
        <v>1</v>
      </c>
      <c r="G205" s="8">
        <f>'MKT DATA'!K1238</f>
        <v>83669</v>
      </c>
      <c r="H205" s="8">
        <f>'MKT DATA'!L1238</f>
        <v>85817</v>
      </c>
      <c r="I205" s="13">
        <f>'MKT DATA'!M1238</f>
        <v>1</v>
      </c>
      <c r="J205" s="43" t="str">
        <f t="shared" si="8"/>
        <v>syn BTCH7/BTCX6/BTCZ6/BTCG7/BTCF7</v>
      </c>
      <c r="K205" s="8">
        <f>'MKT DATA'!O1238</f>
        <v>0</v>
      </c>
      <c r="L205" s="8">
        <f>'MKT DATA'!P1238</f>
        <v>83669</v>
      </c>
      <c r="M205" s="8">
        <f>'MKT DATA'!Q1238</f>
        <v>0</v>
      </c>
      <c r="N205" s="8">
        <f>'MKT DATA'!R1238</f>
        <v>0</v>
      </c>
      <c r="O205" s="8">
        <f>'MKT DATA'!S1238</f>
        <v>-85817</v>
      </c>
      <c r="P205" s="8">
        <f>'MKT DATA'!T1238</f>
        <v>0</v>
      </c>
      <c r="Q205" s="43" t="str">
        <f t="shared" si="9"/>
        <v>syn BTCH7/BTCX6/BTCZ6/BTCG7/BTCF7</v>
      </c>
      <c r="R205" s="13">
        <f>'MKT DATA'!AB1238</f>
        <v>0</v>
      </c>
    </row>
    <row r="206" spans="5:18" x14ac:dyDescent="0.25">
      <c r="E206" s="43" t="str">
        <f>'MKT DATA'!B1239</f>
        <v>syn BTCH7/BTCX6/BTCG7/BTCV6/BTCF7</v>
      </c>
      <c r="F206" s="13">
        <f>'MKT DATA'!J1239</f>
        <v>1</v>
      </c>
      <c r="G206" s="8">
        <f>'MKT DATA'!K1239</f>
        <v>83496</v>
      </c>
      <c r="H206" s="8">
        <f>'MKT DATA'!L1239</f>
        <v>85929</v>
      </c>
      <c r="I206" s="13">
        <f>'MKT DATA'!M1239</f>
        <v>1</v>
      </c>
      <c r="J206" s="43" t="str">
        <f t="shared" si="8"/>
        <v>syn BTCH7/BTCX6/BTCG7/BTCV6/BTCF7</v>
      </c>
      <c r="K206" s="8">
        <f>'MKT DATA'!O1239</f>
        <v>0</v>
      </c>
      <c r="L206" s="8">
        <f>'MKT DATA'!P1239</f>
        <v>83496</v>
      </c>
      <c r="M206" s="8">
        <f>'MKT DATA'!Q1239</f>
        <v>0</v>
      </c>
      <c r="N206" s="8">
        <f>'MKT DATA'!R1239</f>
        <v>0</v>
      </c>
      <c r="O206" s="8">
        <f>'MKT DATA'!S1239</f>
        <v>-85929</v>
      </c>
      <c r="P206" s="8">
        <f>'MKT DATA'!T1239</f>
        <v>0</v>
      </c>
      <c r="Q206" s="43" t="str">
        <f t="shared" si="9"/>
        <v>syn BTCH7/BTCX6/BTCG7/BTCV6/BTCF7</v>
      </c>
      <c r="R206" s="13">
        <f>'MKT DATA'!AB1239</f>
        <v>0</v>
      </c>
    </row>
    <row r="207" spans="5:18" x14ac:dyDescent="0.25">
      <c r="E207" s="43" t="str">
        <f>'MKT DATA'!B1240</f>
        <v>syn BTCH7/BTCX6/BTCG7/BTCZ6/BTCF7</v>
      </c>
      <c r="F207" s="13">
        <f>'MKT DATA'!J1240</f>
        <v>1</v>
      </c>
      <c r="G207" s="8">
        <f>'MKT DATA'!K1240</f>
        <v>83532</v>
      </c>
      <c r="H207" s="8">
        <f>'MKT DATA'!L1240</f>
        <v>85919</v>
      </c>
      <c r="I207" s="13">
        <f>'MKT DATA'!M1240</f>
        <v>1</v>
      </c>
      <c r="J207" s="43" t="str">
        <f t="shared" si="8"/>
        <v>syn BTCH7/BTCX6/BTCG7/BTCZ6/BTCF7</v>
      </c>
      <c r="K207" s="8">
        <f>'MKT DATA'!O1240</f>
        <v>0</v>
      </c>
      <c r="L207" s="8">
        <f>'MKT DATA'!P1240</f>
        <v>83532</v>
      </c>
      <c r="M207" s="8">
        <f>'MKT DATA'!Q1240</f>
        <v>0</v>
      </c>
      <c r="N207" s="8">
        <f>'MKT DATA'!R1240</f>
        <v>0</v>
      </c>
      <c r="O207" s="8">
        <f>'MKT DATA'!S1240</f>
        <v>-85919</v>
      </c>
      <c r="P207" s="8">
        <f>'MKT DATA'!T1240</f>
        <v>0</v>
      </c>
      <c r="Q207" s="43" t="str">
        <f t="shared" si="9"/>
        <v>syn BTCH7/BTCX6/BTCG7/BTCZ6/BTCF7</v>
      </c>
      <c r="R207" s="13">
        <f>'MKT DATA'!AB1240</f>
        <v>0</v>
      </c>
    </row>
    <row r="208" spans="5:18" x14ac:dyDescent="0.25">
      <c r="E208" s="43" t="str">
        <f>'MKT DATA'!B1241</f>
        <v>syn BTCH7/BTCZ6/BTCV6/BTCX6/BTCF7</v>
      </c>
      <c r="F208" s="13">
        <f>'MKT DATA'!J1241</f>
        <v>1</v>
      </c>
      <c r="G208" s="8">
        <f>'MKT DATA'!K1241</f>
        <v>83876</v>
      </c>
      <c r="H208" s="8">
        <f>'MKT DATA'!L1241</f>
        <v>85364</v>
      </c>
      <c r="I208" s="13">
        <f>'MKT DATA'!M1241</f>
        <v>1</v>
      </c>
      <c r="J208" s="43" t="str">
        <f t="shared" si="8"/>
        <v>syn BTCH7/BTCZ6/BTCV6/BTCX6/BTCF7</v>
      </c>
      <c r="K208" s="8">
        <f>'MKT DATA'!O1241</f>
        <v>0</v>
      </c>
      <c r="L208" s="8">
        <f>'MKT DATA'!P1241</f>
        <v>83876</v>
      </c>
      <c r="M208" s="8">
        <f>'MKT DATA'!Q1241</f>
        <v>0</v>
      </c>
      <c r="N208" s="8">
        <f>'MKT DATA'!R1241</f>
        <v>0</v>
      </c>
      <c r="O208" s="8">
        <f>'MKT DATA'!S1241</f>
        <v>-85364</v>
      </c>
      <c r="P208" s="8">
        <f>'MKT DATA'!T1241</f>
        <v>0</v>
      </c>
      <c r="Q208" s="43" t="str">
        <f t="shared" si="9"/>
        <v>syn BTCH7/BTCZ6/BTCV6/BTCX6/BTCF7</v>
      </c>
      <c r="R208" s="13">
        <f>'MKT DATA'!AB1241</f>
        <v>0</v>
      </c>
    </row>
    <row r="209" spans="5:18" x14ac:dyDescent="0.25">
      <c r="E209" s="43" t="str">
        <f>'MKT DATA'!B1242</f>
        <v>syn BTCH7/BTCZ6/BTCV6/BTCG7/BTCF7</v>
      </c>
      <c r="F209" s="13">
        <f>'MKT DATA'!J1242</f>
        <v>1</v>
      </c>
      <c r="G209" s="8">
        <f>'MKT DATA'!K1242</f>
        <v>83693</v>
      </c>
      <c r="H209" s="8">
        <f>'MKT DATA'!L1242</f>
        <v>85590</v>
      </c>
      <c r="I209" s="13">
        <f>'MKT DATA'!M1242</f>
        <v>1</v>
      </c>
      <c r="J209" s="43" t="str">
        <f t="shared" si="8"/>
        <v>syn BTCH7/BTCZ6/BTCV6/BTCG7/BTCF7</v>
      </c>
      <c r="K209" s="8">
        <f>'MKT DATA'!O1242</f>
        <v>0</v>
      </c>
      <c r="L209" s="8">
        <f>'MKT DATA'!P1242</f>
        <v>83693</v>
      </c>
      <c r="M209" s="8">
        <f>'MKT DATA'!Q1242</f>
        <v>0</v>
      </c>
      <c r="N209" s="8">
        <f>'MKT DATA'!R1242</f>
        <v>0</v>
      </c>
      <c r="O209" s="8">
        <f>'MKT DATA'!S1242</f>
        <v>-85590</v>
      </c>
      <c r="P209" s="8">
        <f>'MKT DATA'!T1242</f>
        <v>0</v>
      </c>
      <c r="Q209" s="43" t="str">
        <f t="shared" si="9"/>
        <v>syn BTCH7/BTCZ6/BTCV6/BTCG7/BTCF7</v>
      </c>
      <c r="R209" s="13">
        <f>'MKT DATA'!AB1242</f>
        <v>0</v>
      </c>
    </row>
    <row r="210" spans="5:18" x14ac:dyDescent="0.25">
      <c r="E210" s="43" t="str">
        <f>'MKT DATA'!B1243</f>
        <v>syn BTCH7/BTCZ6/BTCX6/BTCV6/BTCF7</v>
      </c>
      <c r="F210" s="13">
        <f>'MKT DATA'!J1243</f>
        <v>1</v>
      </c>
      <c r="G210" s="8">
        <f>'MKT DATA'!K1243</f>
        <v>83859</v>
      </c>
      <c r="H210" s="8">
        <f>'MKT DATA'!L1243</f>
        <v>85378</v>
      </c>
      <c r="I210" s="13">
        <f>'MKT DATA'!M1243</f>
        <v>1</v>
      </c>
      <c r="J210" s="43" t="str">
        <f t="shared" si="8"/>
        <v>syn BTCH7/BTCZ6/BTCX6/BTCV6/BTCF7</v>
      </c>
      <c r="K210" s="8">
        <f>'MKT DATA'!O1243</f>
        <v>0</v>
      </c>
      <c r="L210" s="8">
        <f>'MKT DATA'!P1243</f>
        <v>83859</v>
      </c>
      <c r="M210" s="8">
        <f>'MKT DATA'!Q1243</f>
        <v>0</v>
      </c>
      <c r="N210" s="8">
        <f>'MKT DATA'!R1243</f>
        <v>0</v>
      </c>
      <c r="O210" s="8">
        <f>'MKT DATA'!S1243</f>
        <v>-85378</v>
      </c>
      <c r="P210" s="8">
        <f>'MKT DATA'!T1243</f>
        <v>0</v>
      </c>
      <c r="Q210" s="43" t="str">
        <f t="shared" si="9"/>
        <v>syn BTCH7/BTCZ6/BTCX6/BTCV6/BTCF7</v>
      </c>
      <c r="R210" s="13">
        <f>'MKT DATA'!AB1243</f>
        <v>0</v>
      </c>
    </row>
    <row r="211" spans="5:18" x14ac:dyDescent="0.25">
      <c r="E211" s="43" t="str">
        <f>'MKT DATA'!B1244</f>
        <v>syn BTCH7/BTCZ6/BTCX6/BTCG7/BTCF7</v>
      </c>
      <c r="F211" s="13">
        <f>'MKT DATA'!J1244</f>
        <v>1</v>
      </c>
      <c r="G211" s="8">
        <f>'MKT DATA'!K1244</f>
        <v>83684</v>
      </c>
      <c r="H211" s="8">
        <f>'MKT DATA'!L1244</f>
        <v>85592</v>
      </c>
      <c r="I211" s="13">
        <f>'MKT DATA'!M1244</f>
        <v>1</v>
      </c>
      <c r="J211" s="43" t="str">
        <f t="shared" si="8"/>
        <v>syn BTCH7/BTCZ6/BTCX6/BTCG7/BTCF7</v>
      </c>
      <c r="K211" s="8">
        <f>'MKT DATA'!O1244</f>
        <v>0</v>
      </c>
      <c r="L211" s="8">
        <f>'MKT DATA'!P1244</f>
        <v>83684</v>
      </c>
      <c r="M211" s="8">
        <f>'MKT DATA'!Q1244</f>
        <v>0</v>
      </c>
      <c r="N211" s="8">
        <f>'MKT DATA'!R1244</f>
        <v>0</v>
      </c>
      <c r="O211" s="8">
        <f>'MKT DATA'!S1244</f>
        <v>-85592</v>
      </c>
      <c r="P211" s="8">
        <f>'MKT DATA'!T1244</f>
        <v>0</v>
      </c>
      <c r="Q211" s="43" t="str">
        <f t="shared" si="9"/>
        <v>syn BTCH7/BTCZ6/BTCX6/BTCG7/BTCF7</v>
      </c>
      <c r="R211" s="13">
        <f>'MKT DATA'!AB1244</f>
        <v>0</v>
      </c>
    </row>
    <row r="212" spans="5:18" x14ac:dyDescent="0.25">
      <c r="E212" s="43" t="str">
        <f>'MKT DATA'!B1245</f>
        <v>syn BTCH7/BTCZ6/BTCG7/BTCV6/BTCF7</v>
      </c>
      <c r="F212" s="13">
        <f>'MKT DATA'!J1245</f>
        <v>1</v>
      </c>
      <c r="G212" s="8">
        <f>'MKT DATA'!K1245</f>
        <v>83481</v>
      </c>
      <c r="H212" s="8">
        <f>'MKT DATA'!L1245</f>
        <v>85764</v>
      </c>
      <c r="I212" s="13">
        <f>'MKT DATA'!M1245</f>
        <v>1</v>
      </c>
      <c r="J212" s="43" t="str">
        <f t="shared" si="8"/>
        <v>syn BTCH7/BTCZ6/BTCG7/BTCV6/BTCF7</v>
      </c>
      <c r="K212" s="8">
        <f>'MKT DATA'!O1245</f>
        <v>0</v>
      </c>
      <c r="L212" s="8">
        <f>'MKT DATA'!P1245</f>
        <v>83481</v>
      </c>
      <c r="M212" s="8">
        <f>'MKT DATA'!Q1245</f>
        <v>0</v>
      </c>
      <c r="N212" s="8">
        <f>'MKT DATA'!R1245</f>
        <v>0</v>
      </c>
      <c r="O212" s="8">
        <f>'MKT DATA'!S1245</f>
        <v>-85764</v>
      </c>
      <c r="P212" s="8">
        <f>'MKT DATA'!T1245</f>
        <v>0</v>
      </c>
      <c r="Q212" s="43" t="str">
        <f t="shared" si="9"/>
        <v>syn BTCH7/BTCZ6/BTCG7/BTCV6/BTCF7</v>
      </c>
      <c r="R212" s="13">
        <f>'MKT DATA'!AB1245</f>
        <v>0</v>
      </c>
    </row>
    <row r="213" spans="5:18" x14ac:dyDescent="0.25">
      <c r="E213" s="43" t="str">
        <f>'MKT DATA'!B1246</f>
        <v>syn BTCH7/BTCZ6/BTCG7/BTCX6/BTCF7</v>
      </c>
      <c r="F213" s="13">
        <f>'MKT DATA'!J1246</f>
        <v>1</v>
      </c>
      <c r="G213" s="8">
        <f>'MKT DATA'!K1246</f>
        <v>83496</v>
      </c>
      <c r="H213" s="8">
        <f>'MKT DATA'!L1246</f>
        <v>85759</v>
      </c>
      <c r="I213" s="13">
        <f>'MKT DATA'!M1246</f>
        <v>1</v>
      </c>
      <c r="J213" s="43" t="str">
        <f t="shared" si="8"/>
        <v>syn BTCH7/BTCZ6/BTCG7/BTCX6/BTCF7</v>
      </c>
      <c r="K213" s="8">
        <f>'MKT DATA'!O1246</f>
        <v>0</v>
      </c>
      <c r="L213" s="8">
        <f>'MKT DATA'!P1246</f>
        <v>83496</v>
      </c>
      <c r="M213" s="8">
        <f>'MKT DATA'!Q1246</f>
        <v>0</v>
      </c>
      <c r="N213" s="8">
        <f>'MKT DATA'!R1246</f>
        <v>0</v>
      </c>
      <c r="O213" s="8">
        <f>'MKT DATA'!S1246</f>
        <v>-85759</v>
      </c>
      <c r="P213" s="8">
        <f>'MKT DATA'!T1246</f>
        <v>0</v>
      </c>
      <c r="Q213" s="43" t="str">
        <f t="shared" si="9"/>
        <v>syn BTCH7/BTCZ6/BTCG7/BTCX6/BTCF7</v>
      </c>
      <c r="R213" s="13">
        <f>'MKT DATA'!AB1246</f>
        <v>0</v>
      </c>
    </row>
    <row r="214" spans="5:18" x14ac:dyDescent="0.25">
      <c r="E214" s="43" t="str">
        <f>'MKT DATA'!B1247</f>
        <v>syn BTCH7/BTCG7/BTCV6/BTCX6/BTCF7</v>
      </c>
      <c r="F214" s="13">
        <f>'MKT DATA'!J1247</f>
        <v>1</v>
      </c>
      <c r="G214" s="8">
        <f>'MKT DATA'!K1247</f>
        <v>83908</v>
      </c>
      <c r="H214" s="8">
        <f>'MKT DATA'!L1247</f>
        <v>85465</v>
      </c>
      <c r="I214" s="13">
        <f>'MKT DATA'!M1247</f>
        <v>1</v>
      </c>
      <c r="J214" s="43" t="str">
        <f t="shared" si="8"/>
        <v>syn BTCH7/BTCG7/BTCV6/BTCX6/BTCF7</v>
      </c>
      <c r="K214" s="8">
        <f>'MKT DATA'!O1247</f>
        <v>0</v>
      </c>
      <c r="L214" s="8">
        <f>'MKT DATA'!P1247</f>
        <v>83908</v>
      </c>
      <c r="M214" s="8">
        <f>'MKT DATA'!Q1247</f>
        <v>0</v>
      </c>
      <c r="N214" s="8">
        <f>'MKT DATA'!R1247</f>
        <v>0</v>
      </c>
      <c r="O214" s="8">
        <f>'MKT DATA'!S1247</f>
        <v>-85465</v>
      </c>
      <c r="P214" s="8">
        <f>'MKT DATA'!T1247</f>
        <v>0</v>
      </c>
      <c r="Q214" s="43" t="str">
        <f t="shared" si="9"/>
        <v>syn BTCH7/BTCG7/BTCV6/BTCX6/BTCF7</v>
      </c>
      <c r="R214" s="13">
        <f>'MKT DATA'!AB1247</f>
        <v>0</v>
      </c>
    </row>
    <row r="215" spans="5:18" x14ac:dyDescent="0.25">
      <c r="E215" s="43" t="str">
        <f>'MKT DATA'!B1248</f>
        <v>syn BTCH7/BTCG7/BTCV6/BTCZ6/BTCF7</v>
      </c>
      <c r="F215" s="13">
        <f>'MKT DATA'!J1248</f>
        <v>1</v>
      </c>
      <c r="G215" s="8">
        <f>'MKT DATA'!K1248</f>
        <v>83943</v>
      </c>
      <c r="H215" s="8">
        <f>'MKT DATA'!L1248</f>
        <v>85461</v>
      </c>
      <c r="I215" s="13">
        <f>'MKT DATA'!M1248</f>
        <v>1</v>
      </c>
      <c r="J215" s="43" t="str">
        <f t="shared" si="8"/>
        <v>syn BTCH7/BTCG7/BTCV6/BTCZ6/BTCF7</v>
      </c>
      <c r="K215" s="8">
        <f>'MKT DATA'!O1248</f>
        <v>0</v>
      </c>
      <c r="L215" s="8">
        <f>'MKT DATA'!P1248</f>
        <v>83943</v>
      </c>
      <c r="M215" s="8">
        <f>'MKT DATA'!Q1248</f>
        <v>0</v>
      </c>
      <c r="N215" s="8">
        <f>'MKT DATA'!R1248</f>
        <v>0</v>
      </c>
      <c r="O215" s="8">
        <f>'MKT DATA'!S1248</f>
        <v>-85461</v>
      </c>
      <c r="P215" s="8">
        <f>'MKT DATA'!T1248</f>
        <v>0</v>
      </c>
      <c r="Q215" s="43" t="str">
        <f t="shared" si="9"/>
        <v>syn BTCH7/BTCG7/BTCV6/BTCZ6/BTCF7</v>
      </c>
      <c r="R215" s="13">
        <f>'MKT DATA'!AB1248</f>
        <v>0</v>
      </c>
    </row>
    <row r="216" spans="5:18" x14ac:dyDescent="0.25">
      <c r="E216" s="43" t="str">
        <f>'MKT DATA'!B1249</f>
        <v>syn BTCH7/BTCG7/BTCX6/BTCV6/BTCF7</v>
      </c>
      <c r="F216" s="13">
        <f>'MKT DATA'!J1249</f>
        <v>1</v>
      </c>
      <c r="G216" s="8">
        <f>'MKT DATA'!K1249</f>
        <v>83875</v>
      </c>
      <c r="H216" s="8">
        <f>'MKT DATA'!L1249</f>
        <v>85502</v>
      </c>
      <c r="I216" s="13">
        <f>'MKT DATA'!M1249</f>
        <v>1</v>
      </c>
      <c r="J216" s="43" t="str">
        <f t="shared" si="8"/>
        <v>syn BTCH7/BTCG7/BTCX6/BTCV6/BTCF7</v>
      </c>
      <c r="K216" s="8">
        <f>'MKT DATA'!O1249</f>
        <v>0</v>
      </c>
      <c r="L216" s="8">
        <f>'MKT DATA'!P1249</f>
        <v>83875</v>
      </c>
      <c r="M216" s="8">
        <f>'MKT DATA'!Q1249</f>
        <v>0</v>
      </c>
      <c r="N216" s="8">
        <f>'MKT DATA'!R1249</f>
        <v>0</v>
      </c>
      <c r="O216" s="8">
        <f>'MKT DATA'!S1249</f>
        <v>-85502</v>
      </c>
      <c r="P216" s="8">
        <f>'MKT DATA'!T1249</f>
        <v>0</v>
      </c>
      <c r="Q216" s="43" t="str">
        <f t="shared" si="9"/>
        <v>syn BTCH7/BTCG7/BTCX6/BTCV6/BTCF7</v>
      </c>
      <c r="R216" s="13">
        <f>'MKT DATA'!AB1249</f>
        <v>0</v>
      </c>
    </row>
    <row r="217" spans="5:18" x14ac:dyDescent="0.25">
      <c r="E217" s="43" t="str">
        <f>'MKT DATA'!B1250</f>
        <v>syn BTCH7/BTCG7/BTCX6/BTCZ6/BTCF7</v>
      </c>
      <c r="F217" s="13">
        <f>'MKT DATA'!J1250</f>
        <v>1</v>
      </c>
      <c r="G217" s="8">
        <f>'MKT DATA'!K1250</f>
        <v>83941</v>
      </c>
      <c r="H217" s="8">
        <f>'MKT DATA'!L1250</f>
        <v>85470</v>
      </c>
      <c r="I217" s="13">
        <f>'MKT DATA'!M1250</f>
        <v>1</v>
      </c>
      <c r="J217" s="43" t="str">
        <f t="shared" si="8"/>
        <v>syn BTCH7/BTCG7/BTCX6/BTCZ6/BTCF7</v>
      </c>
      <c r="K217" s="8">
        <f>'MKT DATA'!O1250</f>
        <v>0</v>
      </c>
      <c r="L217" s="8">
        <f>'MKT DATA'!P1250</f>
        <v>83941</v>
      </c>
      <c r="M217" s="8">
        <f>'MKT DATA'!Q1250</f>
        <v>0</v>
      </c>
      <c r="N217" s="8">
        <f>'MKT DATA'!R1250</f>
        <v>0</v>
      </c>
      <c r="O217" s="8">
        <f>'MKT DATA'!S1250</f>
        <v>-85470</v>
      </c>
      <c r="P217" s="8">
        <f>'MKT DATA'!T1250</f>
        <v>0</v>
      </c>
      <c r="Q217" s="43" t="str">
        <f t="shared" si="9"/>
        <v>syn BTCH7/BTCG7/BTCX6/BTCZ6/BTCF7</v>
      </c>
      <c r="R217" s="13">
        <f>'MKT DATA'!AB1250</f>
        <v>0</v>
      </c>
    </row>
    <row r="218" spans="5:18" x14ac:dyDescent="0.25">
      <c r="E218" s="43" t="str">
        <f>'MKT DATA'!B1251</f>
        <v>syn BTCH7/BTCG7/BTCZ6/BTCV6/BTCF7</v>
      </c>
      <c r="F218" s="13">
        <f>'MKT DATA'!J1251</f>
        <v>1</v>
      </c>
      <c r="G218" s="8">
        <f>'MKT DATA'!K1251</f>
        <v>83829</v>
      </c>
      <c r="H218" s="8">
        <f>'MKT DATA'!L1251</f>
        <v>85533</v>
      </c>
      <c r="I218" s="13">
        <f>'MKT DATA'!M1251</f>
        <v>1</v>
      </c>
      <c r="J218" s="43" t="str">
        <f t="shared" si="8"/>
        <v>syn BTCH7/BTCG7/BTCZ6/BTCV6/BTCF7</v>
      </c>
      <c r="K218" s="8">
        <f>'MKT DATA'!O1251</f>
        <v>0</v>
      </c>
      <c r="L218" s="8">
        <f>'MKT DATA'!P1251</f>
        <v>83829</v>
      </c>
      <c r="M218" s="8">
        <f>'MKT DATA'!Q1251</f>
        <v>0</v>
      </c>
      <c r="N218" s="8">
        <f>'MKT DATA'!R1251</f>
        <v>0</v>
      </c>
      <c r="O218" s="8">
        <f>'MKT DATA'!S1251</f>
        <v>-85533</v>
      </c>
      <c r="P218" s="8">
        <f>'MKT DATA'!T1251</f>
        <v>0</v>
      </c>
      <c r="Q218" s="43" t="str">
        <f t="shared" si="9"/>
        <v>syn BTCH7/BTCG7/BTCZ6/BTCV6/BTCF7</v>
      </c>
      <c r="R218" s="13">
        <f>'MKT DATA'!AB1251</f>
        <v>0</v>
      </c>
    </row>
    <row r="219" spans="5:18" x14ac:dyDescent="0.25">
      <c r="E219" s="43" t="str">
        <f>'MKT DATA'!B1252</f>
        <v>syn BTCH7/BTCG7/BTCZ6/BTCX6/BTCF7</v>
      </c>
      <c r="F219" s="13">
        <f>'MKT DATA'!J1252</f>
        <v>1</v>
      </c>
      <c r="G219" s="8">
        <f>'MKT DATA'!K1252</f>
        <v>83860</v>
      </c>
      <c r="H219" s="8">
        <f>'MKT DATA'!L1252</f>
        <v>85505</v>
      </c>
      <c r="I219" s="13">
        <f>'MKT DATA'!M1252</f>
        <v>1</v>
      </c>
      <c r="J219" s="43" t="str">
        <f t="shared" si="8"/>
        <v>syn BTCH7/BTCG7/BTCZ6/BTCX6/BTCF7</v>
      </c>
      <c r="K219" s="8">
        <f>'MKT DATA'!O1252</f>
        <v>0</v>
      </c>
      <c r="L219" s="8">
        <f>'MKT DATA'!P1252</f>
        <v>83860</v>
      </c>
      <c r="M219" s="8">
        <f>'MKT DATA'!Q1252</f>
        <v>0</v>
      </c>
      <c r="N219" s="8">
        <f>'MKT DATA'!R1252</f>
        <v>0</v>
      </c>
      <c r="O219" s="8">
        <f>'MKT DATA'!S1252</f>
        <v>-85505</v>
      </c>
      <c r="P219" s="8">
        <f>'MKT DATA'!T1252</f>
        <v>0</v>
      </c>
      <c r="Q219" s="43" t="str">
        <f t="shared" si="9"/>
        <v>syn BTCH7/BTCG7/BTCZ6/BTCX6/BTCF7</v>
      </c>
      <c r="R219" s="13">
        <f>'MKT DATA'!AB1252</f>
        <v>0</v>
      </c>
    </row>
    <row r="220" spans="5:18" x14ac:dyDescent="0.25">
      <c r="E220" s="43" t="str">
        <f>'MKT DATA'!B1253</f>
        <v>syn BTCV6/BTCX6/BTCZ6/BTCG7/BTCH7/BTCF7</v>
      </c>
      <c r="F220" s="13">
        <f>'MKT DATA'!J1253</f>
        <v>1</v>
      </c>
      <c r="G220" s="8">
        <f>'MKT DATA'!K1253</f>
        <v>83881</v>
      </c>
      <c r="H220" s="8">
        <f>'MKT DATA'!L1253</f>
        <v>85637</v>
      </c>
      <c r="I220" s="13">
        <f>'MKT DATA'!M1253</f>
        <v>1</v>
      </c>
      <c r="J220" s="43" t="str">
        <f t="shared" si="8"/>
        <v>syn BTCV6/BTCX6/BTCZ6/BTCG7/BTCH7/BTCF7</v>
      </c>
      <c r="K220" s="8">
        <f>'MKT DATA'!O1253</f>
        <v>0</v>
      </c>
      <c r="L220" s="8">
        <f>'MKT DATA'!P1253</f>
        <v>83881</v>
      </c>
      <c r="M220" s="8">
        <f>'MKT DATA'!Q1253</f>
        <v>0</v>
      </c>
      <c r="N220" s="8">
        <f>'MKT DATA'!R1253</f>
        <v>0</v>
      </c>
      <c r="O220" s="8">
        <f>'MKT DATA'!S1253</f>
        <v>-85637</v>
      </c>
      <c r="P220" s="8">
        <f>'MKT DATA'!T1253</f>
        <v>0</v>
      </c>
      <c r="Q220" s="43" t="str">
        <f t="shared" si="9"/>
        <v>syn BTCV6/BTCX6/BTCZ6/BTCG7/BTCH7/BTCF7</v>
      </c>
      <c r="R220" s="13">
        <f>'MKT DATA'!AB1253</f>
        <v>0</v>
      </c>
    </row>
    <row r="221" spans="5:18" x14ac:dyDescent="0.25">
      <c r="E221" s="43" t="str">
        <f>'MKT DATA'!B1254</f>
        <v>syn BTCV6/BTCX6/BTCZ6/BTCH7/BTCG7/BTCF7</v>
      </c>
      <c r="F221" s="13">
        <f>'MKT DATA'!J1254</f>
        <v>1</v>
      </c>
      <c r="G221" s="8">
        <f>'MKT DATA'!K1254</f>
        <v>84221</v>
      </c>
      <c r="H221" s="8">
        <f>'MKT DATA'!L1254</f>
        <v>85383</v>
      </c>
      <c r="I221" s="13">
        <f>'MKT DATA'!M1254</f>
        <v>1</v>
      </c>
      <c r="J221" s="43" t="str">
        <f t="shared" si="8"/>
        <v>syn BTCV6/BTCX6/BTCZ6/BTCH7/BTCG7/BTCF7</v>
      </c>
      <c r="K221" s="8">
        <f>'MKT DATA'!O1254</f>
        <v>0</v>
      </c>
      <c r="L221" s="8">
        <f>'MKT DATA'!P1254</f>
        <v>84221</v>
      </c>
      <c r="M221" s="8">
        <f>'MKT DATA'!Q1254</f>
        <v>0</v>
      </c>
      <c r="N221" s="8">
        <f>'MKT DATA'!R1254</f>
        <v>0</v>
      </c>
      <c r="O221" s="8">
        <f>'MKT DATA'!S1254</f>
        <v>-85383</v>
      </c>
      <c r="P221" s="8">
        <f>'MKT DATA'!T1254</f>
        <v>0</v>
      </c>
      <c r="Q221" s="43" t="str">
        <f t="shared" si="9"/>
        <v>syn BTCV6/BTCX6/BTCZ6/BTCH7/BTCG7/BTCF7</v>
      </c>
      <c r="R221" s="13">
        <f>'MKT DATA'!AB1254</f>
        <v>0</v>
      </c>
    </row>
    <row r="222" spans="5:18" x14ac:dyDescent="0.25">
      <c r="E222" s="43" t="str">
        <f>'MKT DATA'!B1255</f>
        <v>syn BTCV6/BTCX6/BTCG7/BTCZ6/BTCH7/BTCF7</v>
      </c>
      <c r="F222" s="13">
        <f>'MKT DATA'!J1255</f>
        <v>1</v>
      </c>
      <c r="G222" s="8">
        <f>'MKT DATA'!K1255</f>
        <v>83627</v>
      </c>
      <c r="H222" s="8">
        <f>'MKT DATA'!L1255</f>
        <v>86001</v>
      </c>
      <c r="I222" s="13">
        <f>'MKT DATA'!M1255</f>
        <v>1</v>
      </c>
      <c r="J222" s="43" t="str">
        <f t="shared" si="8"/>
        <v>syn BTCV6/BTCX6/BTCG7/BTCZ6/BTCH7/BTCF7</v>
      </c>
      <c r="K222" s="8">
        <f>'MKT DATA'!O1255</f>
        <v>0</v>
      </c>
      <c r="L222" s="8">
        <f>'MKT DATA'!P1255</f>
        <v>83627</v>
      </c>
      <c r="M222" s="8">
        <f>'MKT DATA'!Q1255</f>
        <v>0</v>
      </c>
      <c r="N222" s="8">
        <f>'MKT DATA'!R1255</f>
        <v>0</v>
      </c>
      <c r="O222" s="8">
        <f>'MKT DATA'!S1255</f>
        <v>-86001</v>
      </c>
      <c r="P222" s="8">
        <f>'MKT DATA'!T1255</f>
        <v>0</v>
      </c>
      <c r="Q222" s="43" t="str">
        <f t="shared" si="9"/>
        <v>syn BTCV6/BTCX6/BTCG7/BTCZ6/BTCH7/BTCF7</v>
      </c>
      <c r="R222" s="13">
        <f>'MKT DATA'!AB1255</f>
        <v>0</v>
      </c>
    </row>
    <row r="223" spans="5:18" x14ac:dyDescent="0.25">
      <c r="E223" s="43" t="str">
        <f>'MKT DATA'!B1256</f>
        <v>syn BTCV6/BTCX6/BTCG7/BTCH7/BTCZ6/BTCF7</v>
      </c>
      <c r="F223" s="13">
        <f>'MKT DATA'!J1256</f>
        <v>1</v>
      </c>
      <c r="G223" s="8">
        <f>'MKT DATA'!K1256</f>
        <v>83959</v>
      </c>
      <c r="H223" s="8">
        <f>'MKT DATA'!L1256</f>
        <v>85360</v>
      </c>
      <c r="I223" s="13">
        <f>'MKT DATA'!M1256</f>
        <v>1</v>
      </c>
      <c r="J223" s="43" t="str">
        <f t="shared" si="8"/>
        <v>syn BTCV6/BTCX6/BTCG7/BTCH7/BTCZ6/BTCF7</v>
      </c>
      <c r="K223" s="8">
        <f>'MKT DATA'!O1256</f>
        <v>0</v>
      </c>
      <c r="L223" s="8">
        <f>'MKT DATA'!P1256</f>
        <v>83959</v>
      </c>
      <c r="M223" s="8">
        <f>'MKT DATA'!Q1256</f>
        <v>0</v>
      </c>
      <c r="N223" s="8">
        <f>'MKT DATA'!R1256</f>
        <v>0</v>
      </c>
      <c r="O223" s="8">
        <f>'MKT DATA'!S1256</f>
        <v>-85360</v>
      </c>
      <c r="P223" s="8">
        <f>'MKT DATA'!T1256</f>
        <v>0</v>
      </c>
      <c r="Q223" s="43" t="str">
        <f t="shared" si="9"/>
        <v>syn BTCV6/BTCX6/BTCG7/BTCH7/BTCZ6/BTCF7</v>
      </c>
      <c r="R223" s="13">
        <f>'MKT DATA'!AB1256</f>
        <v>0</v>
      </c>
    </row>
    <row r="224" spans="5:18" x14ac:dyDescent="0.25">
      <c r="E224" s="43" t="str">
        <f>'MKT DATA'!B1257</f>
        <v>syn BTCV6/BTCX6/BTCH7/BTCZ6/BTCG7/BTCF7</v>
      </c>
      <c r="F224" s="13">
        <f>'MKT DATA'!J1257</f>
        <v>1</v>
      </c>
      <c r="G224" s="8">
        <f>'MKT DATA'!K1257</f>
        <v>83632</v>
      </c>
      <c r="H224" s="8">
        <f>'MKT DATA'!L1257</f>
        <v>85652</v>
      </c>
      <c r="I224" s="13">
        <f>'MKT DATA'!M1257</f>
        <v>1</v>
      </c>
      <c r="J224" s="43" t="str">
        <f t="shared" si="8"/>
        <v>syn BTCV6/BTCX6/BTCH7/BTCZ6/BTCG7/BTCF7</v>
      </c>
      <c r="K224" s="8">
        <f>'MKT DATA'!O1257</f>
        <v>0</v>
      </c>
      <c r="L224" s="8">
        <f>'MKT DATA'!P1257</f>
        <v>83632</v>
      </c>
      <c r="M224" s="8">
        <f>'MKT DATA'!Q1257</f>
        <v>0</v>
      </c>
      <c r="N224" s="8">
        <f>'MKT DATA'!R1257</f>
        <v>0</v>
      </c>
      <c r="O224" s="8">
        <f>'MKT DATA'!S1257</f>
        <v>-85652</v>
      </c>
      <c r="P224" s="8">
        <f>'MKT DATA'!T1257</f>
        <v>0</v>
      </c>
      <c r="Q224" s="43" t="str">
        <f t="shared" si="9"/>
        <v>syn BTCV6/BTCX6/BTCH7/BTCZ6/BTCG7/BTCF7</v>
      </c>
      <c r="R224" s="13">
        <f>'MKT DATA'!AB1257</f>
        <v>0</v>
      </c>
    </row>
    <row r="225" spans="5:18" x14ac:dyDescent="0.25">
      <c r="E225" s="43" t="str">
        <f>'MKT DATA'!B1258</f>
        <v>syn BTCV6/BTCX6/BTCH7/BTCG7/BTCZ6/BTCF7</v>
      </c>
      <c r="F225" s="13">
        <f>'MKT DATA'!J1258</f>
        <v>1</v>
      </c>
      <c r="G225" s="8">
        <f>'MKT DATA'!K1258</f>
        <v>83874</v>
      </c>
      <c r="H225" s="8">
        <f>'MKT DATA'!L1258</f>
        <v>85515</v>
      </c>
      <c r="I225" s="13">
        <f>'MKT DATA'!M1258</f>
        <v>1</v>
      </c>
      <c r="J225" s="43" t="str">
        <f t="shared" si="8"/>
        <v>syn BTCV6/BTCX6/BTCH7/BTCG7/BTCZ6/BTCF7</v>
      </c>
      <c r="K225" s="8">
        <f>'MKT DATA'!O1258</f>
        <v>0</v>
      </c>
      <c r="L225" s="8">
        <f>'MKT DATA'!P1258</f>
        <v>83874</v>
      </c>
      <c r="M225" s="8">
        <f>'MKT DATA'!Q1258</f>
        <v>0</v>
      </c>
      <c r="N225" s="8">
        <f>'MKT DATA'!R1258</f>
        <v>0</v>
      </c>
      <c r="O225" s="8">
        <f>'MKT DATA'!S1258</f>
        <v>-85515</v>
      </c>
      <c r="P225" s="8">
        <f>'MKT DATA'!T1258</f>
        <v>0</v>
      </c>
      <c r="Q225" s="43" t="str">
        <f t="shared" si="9"/>
        <v>syn BTCV6/BTCX6/BTCH7/BTCG7/BTCZ6/BTCF7</v>
      </c>
      <c r="R225" s="13">
        <f>'MKT DATA'!AB1258</f>
        <v>0</v>
      </c>
    </row>
    <row r="226" spans="5:18" x14ac:dyDescent="0.25">
      <c r="E226" s="43" t="str">
        <f>'MKT DATA'!B1259</f>
        <v>syn BTCV6/BTCZ6/BTCX6/BTCG7/BTCH7/BTCF7</v>
      </c>
      <c r="F226" s="13">
        <f>'MKT DATA'!J1259</f>
        <v>1</v>
      </c>
      <c r="G226" s="8">
        <f>'MKT DATA'!K1259</f>
        <v>83880</v>
      </c>
      <c r="H226" s="8">
        <f>'MKT DATA'!L1259</f>
        <v>85623</v>
      </c>
      <c r="I226" s="13">
        <f>'MKT DATA'!M1259</f>
        <v>1</v>
      </c>
      <c r="J226" s="43" t="str">
        <f t="shared" si="8"/>
        <v>syn BTCV6/BTCZ6/BTCX6/BTCG7/BTCH7/BTCF7</v>
      </c>
      <c r="K226" s="8">
        <f>'MKT DATA'!O1259</f>
        <v>0</v>
      </c>
      <c r="L226" s="8">
        <f>'MKT DATA'!P1259</f>
        <v>83880</v>
      </c>
      <c r="M226" s="8">
        <f>'MKT DATA'!Q1259</f>
        <v>0</v>
      </c>
      <c r="N226" s="8">
        <f>'MKT DATA'!R1259</f>
        <v>0</v>
      </c>
      <c r="O226" s="8">
        <f>'MKT DATA'!S1259</f>
        <v>-85623</v>
      </c>
      <c r="P226" s="8">
        <f>'MKT DATA'!T1259</f>
        <v>0</v>
      </c>
      <c r="Q226" s="43" t="str">
        <f t="shared" si="9"/>
        <v>syn BTCV6/BTCZ6/BTCX6/BTCG7/BTCH7/BTCF7</v>
      </c>
      <c r="R226" s="13">
        <f>'MKT DATA'!AB1259</f>
        <v>0</v>
      </c>
    </row>
    <row r="227" spans="5:18" x14ac:dyDescent="0.25">
      <c r="E227" s="43" t="str">
        <f>'MKT DATA'!B1260</f>
        <v>syn BTCV6/BTCZ6/BTCX6/BTCH7/BTCG7/BTCF7</v>
      </c>
      <c r="F227" s="13">
        <f>'MKT DATA'!J1260</f>
        <v>1</v>
      </c>
      <c r="G227" s="8">
        <f>'MKT DATA'!K1260</f>
        <v>84010</v>
      </c>
      <c r="H227" s="8">
        <f>'MKT DATA'!L1260</f>
        <v>85399</v>
      </c>
      <c r="I227" s="13">
        <f>'MKT DATA'!M1260</f>
        <v>1</v>
      </c>
      <c r="J227" s="43" t="str">
        <f t="shared" si="8"/>
        <v>syn BTCV6/BTCZ6/BTCX6/BTCH7/BTCG7/BTCF7</v>
      </c>
      <c r="K227" s="8">
        <f>'MKT DATA'!O1260</f>
        <v>0</v>
      </c>
      <c r="L227" s="8">
        <f>'MKT DATA'!P1260</f>
        <v>84010</v>
      </c>
      <c r="M227" s="8">
        <f>'MKT DATA'!Q1260</f>
        <v>0</v>
      </c>
      <c r="N227" s="8">
        <f>'MKT DATA'!R1260</f>
        <v>0</v>
      </c>
      <c r="O227" s="8">
        <f>'MKT DATA'!S1260</f>
        <v>-85399</v>
      </c>
      <c r="P227" s="8">
        <f>'MKT DATA'!T1260</f>
        <v>0</v>
      </c>
      <c r="Q227" s="43" t="str">
        <f t="shared" si="9"/>
        <v>syn BTCV6/BTCZ6/BTCX6/BTCH7/BTCG7/BTCF7</v>
      </c>
      <c r="R227" s="13">
        <f>'MKT DATA'!AB1260</f>
        <v>0</v>
      </c>
    </row>
    <row r="228" spans="5:18" x14ac:dyDescent="0.25">
      <c r="E228" s="43" t="str">
        <f>'MKT DATA'!B1261</f>
        <v>syn BTCV6/BTCZ6/BTCG7/BTCX6/BTCH7/BTCF7</v>
      </c>
      <c r="F228" s="13">
        <f>'MKT DATA'!J1261</f>
        <v>1</v>
      </c>
      <c r="G228" s="8">
        <f>'MKT DATA'!K1261</f>
        <v>83431</v>
      </c>
      <c r="H228" s="8">
        <f>'MKT DATA'!L1261</f>
        <v>86032</v>
      </c>
      <c r="I228" s="13">
        <f>'MKT DATA'!M1261</f>
        <v>1</v>
      </c>
      <c r="J228" s="43" t="str">
        <f t="shared" si="8"/>
        <v>syn BTCV6/BTCZ6/BTCG7/BTCX6/BTCH7/BTCF7</v>
      </c>
      <c r="K228" s="8">
        <f>'MKT DATA'!O1261</f>
        <v>0</v>
      </c>
      <c r="L228" s="8">
        <f>'MKT DATA'!P1261</f>
        <v>83431</v>
      </c>
      <c r="M228" s="8">
        <f>'MKT DATA'!Q1261</f>
        <v>0</v>
      </c>
      <c r="N228" s="8">
        <f>'MKT DATA'!R1261</f>
        <v>0</v>
      </c>
      <c r="O228" s="8">
        <f>'MKT DATA'!S1261</f>
        <v>-86032</v>
      </c>
      <c r="P228" s="8">
        <f>'MKT DATA'!T1261</f>
        <v>0</v>
      </c>
      <c r="Q228" s="43" t="str">
        <f t="shared" si="9"/>
        <v>syn BTCV6/BTCZ6/BTCG7/BTCX6/BTCH7/BTCF7</v>
      </c>
      <c r="R228" s="13">
        <f>'MKT DATA'!AB1261</f>
        <v>0</v>
      </c>
    </row>
    <row r="229" spans="5:18" x14ac:dyDescent="0.25">
      <c r="E229" s="43" t="str">
        <f>'MKT DATA'!B1262</f>
        <v>syn BTCV6/BTCZ6/BTCG7/BTCH7/BTCX6/BTCF7</v>
      </c>
      <c r="F229" s="13">
        <f>'MKT DATA'!J1262</f>
        <v>1</v>
      </c>
      <c r="G229" s="8">
        <f>'MKT DATA'!K1262</f>
        <v>83877</v>
      </c>
      <c r="H229" s="8">
        <f>'MKT DATA'!L1262</f>
        <v>85621</v>
      </c>
      <c r="I229" s="13">
        <f>'MKT DATA'!M1262</f>
        <v>1</v>
      </c>
      <c r="J229" s="43" t="str">
        <f t="shared" si="8"/>
        <v>syn BTCV6/BTCZ6/BTCG7/BTCH7/BTCX6/BTCF7</v>
      </c>
      <c r="K229" s="8">
        <f>'MKT DATA'!O1262</f>
        <v>0</v>
      </c>
      <c r="L229" s="8">
        <f>'MKT DATA'!P1262</f>
        <v>83877</v>
      </c>
      <c r="M229" s="8">
        <f>'MKT DATA'!Q1262</f>
        <v>0</v>
      </c>
      <c r="N229" s="8">
        <f>'MKT DATA'!R1262</f>
        <v>0</v>
      </c>
      <c r="O229" s="8">
        <f>'MKT DATA'!S1262</f>
        <v>-85621</v>
      </c>
      <c r="P229" s="8">
        <f>'MKT DATA'!T1262</f>
        <v>0</v>
      </c>
      <c r="Q229" s="43" t="str">
        <f t="shared" si="9"/>
        <v>syn BTCV6/BTCZ6/BTCG7/BTCH7/BTCX6/BTCF7</v>
      </c>
      <c r="R229" s="13">
        <f>'MKT DATA'!AB1262</f>
        <v>0</v>
      </c>
    </row>
    <row r="230" spans="5:18" x14ac:dyDescent="0.25">
      <c r="E230" s="43" t="str">
        <f>'MKT DATA'!B1263</f>
        <v>syn BTCV6/BTCZ6/BTCH7/BTCX6/BTCG7/BTCF7</v>
      </c>
      <c r="F230" s="13">
        <f>'MKT DATA'!J1263</f>
        <v>1</v>
      </c>
      <c r="G230" s="8">
        <f>'MKT DATA'!K1263</f>
        <v>83826</v>
      </c>
      <c r="H230" s="8">
        <f>'MKT DATA'!L1263</f>
        <v>85833</v>
      </c>
      <c r="I230" s="13">
        <f>'MKT DATA'!M1263</f>
        <v>1</v>
      </c>
      <c r="J230" s="43" t="str">
        <f t="shared" si="8"/>
        <v>syn BTCV6/BTCZ6/BTCH7/BTCX6/BTCG7/BTCF7</v>
      </c>
      <c r="K230" s="8">
        <f>'MKT DATA'!O1263</f>
        <v>0</v>
      </c>
      <c r="L230" s="8">
        <f>'MKT DATA'!P1263</f>
        <v>83826</v>
      </c>
      <c r="M230" s="8">
        <f>'MKT DATA'!Q1263</f>
        <v>0</v>
      </c>
      <c r="N230" s="8">
        <f>'MKT DATA'!R1263</f>
        <v>0</v>
      </c>
      <c r="O230" s="8">
        <f>'MKT DATA'!S1263</f>
        <v>-85833</v>
      </c>
      <c r="P230" s="8">
        <f>'MKT DATA'!T1263</f>
        <v>0</v>
      </c>
      <c r="Q230" s="43" t="str">
        <f t="shared" si="9"/>
        <v>syn BTCV6/BTCZ6/BTCH7/BTCX6/BTCG7/BTCF7</v>
      </c>
      <c r="R230" s="13">
        <f>'MKT DATA'!AB1263</f>
        <v>0</v>
      </c>
    </row>
    <row r="231" spans="5:18" x14ac:dyDescent="0.25">
      <c r="E231" s="43" t="str">
        <f>'MKT DATA'!B1264</f>
        <v>syn BTCV6/BTCZ6/BTCH7/BTCG7/BTCX6/BTCF7</v>
      </c>
      <c r="F231" s="13">
        <f>'MKT DATA'!J1264</f>
        <v>1</v>
      </c>
      <c r="G231" s="8">
        <f>'MKT DATA'!K1264</f>
        <v>84032</v>
      </c>
      <c r="H231" s="8">
        <f>'MKT DATA'!L1264</f>
        <v>85536</v>
      </c>
      <c r="I231" s="13">
        <f>'MKT DATA'!M1264</f>
        <v>1</v>
      </c>
      <c r="J231" s="43" t="str">
        <f t="shared" si="8"/>
        <v>syn BTCV6/BTCZ6/BTCH7/BTCG7/BTCX6/BTCF7</v>
      </c>
      <c r="K231" s="8">
        <f>'MKT DATA'!O1264</f>
        <v>0</v>
      </c>
      <c r="L231" s="8">
        <f>'MKT DATA'!P1264</f>
        <v>84032</v>
      </c>
      <c r="M231" s="8">
        <f>'MKT DATA'!Q1264</f>
        <v>0</v>
      </c>
      <c r="N231" s="8">
        <f>'MKT DATA'!R1264</f>
        <v>0</v>
      </c>
      <c r="O231" s="8">
        <f>'MKT DATA'!S1264</f>
        <v>-85536</v>
      </c>
      <c r="P231" s="8">
        <f>'MKT DATA'!T1264</f>
        <v>0</v>
      </c>
      <c r="Q231" s="43" t="str">
        <f t="shared" si="9"/>
        <v>syn BTCV6/BTCZ6/BTCH7/BTCG7/BTCX6/BTCF7</v>
      </c>
      <c r="R231" s="13">
        <f>'MKT DATA'!AB1264</f>
        <v>0</v>
      </c>
    </row>
    <row r="232" spans="5:18" x14ac:dyDescent="0.25">
      <c r="E232" s="43" t="str">
        <f>'MKT DATA'!B1265</f>
        <v>syn BTCV6/BTCG7/BTCX6/BTCZ6/BTCH7/BTCF7</v>
      </c>
      <c r="F232" s="13">
        <f>'MKT DATA'!J1265</f>
        <v>1</v>
      </c>
      <c r="G232" s="8">
        <f>'MKT DATA'!K1265</f>
        <v>83664</v>
      </c>
      <c r="H232" s="8">
        <f>'MKT DATA'!L1265</f>
        <v>85986</v>
      </c>
      <c r="I232" s="13">
        <f>'MKT DATA'!M1265</f>
        <v>1</v>
      </c>
      <c r="J232" s="43" t="str">
        <f t="shared" si="8"/>
        <v>syn BTCV6/BTCG7/BTCX6/BTCZ6/BTCH7/BTCF7</v>
      </c>
      <c r="K232" s="8">
        <f>'MKT DATA'!O1265</f>
        <v>0</v>
      </c>
      <c r="L232" s="8">
        <f>'MKT DATA'!P1265</f>
        <v>83664</v>
      </c>
      <c r="M232" s="8">
        <f>'MKT DATA'!Q1265</f>
        <v>0</v>
      </c>
      <c r="N232" s="8">
        <f>'MKT DATA'!R1265</f>
        <v>0</v>
      </c>
      <c r="O232" s="8">
        <f>'MKT DATA'!S1265</f>
        <v>-85986</v>
      </c>
      <c r="P232" s="8">
        <f>'MKT DATA'!T1265</f>
        <v>0</v>
      </c>
      <c r="Q232" s="43" t="str">
        <f t="shared" si="9"/>
        <v>syn BTCV6/BTCG7/BTCX6/BTCZ6/BTCH7/BTCF7</v>
      </c>
      <c r="R232" s="13">
        <f>'MKT DATA'!AB1265</f>
        <v>0</v>
      </c>
    </row>
    <row r="233" spans="5:18" x14ac:dyDescent="0.25">
      <c r="E233" s="43" t="str">
        <f>'MKT DATA'!B1266</f>
        <v>syn BTCV6/BTCG7/BTCX6/BTCH7/BTCZ6/BTCF7</v>
      </c>
      <c r="F233" s="13">
        <f>'MKT DATA'!J1266</f>
        <v>1</v>
      </c>
      <c r="G233" s="8">
        <f>'MKT DATA'!K1266</f>
        <v>83532</v>
      </c>
      <c r="H233" s="8">
        <f>'MKT DATA'!L1266</f>
        <v>85739</v>
      </c>
      <c r="I233" s="13">
        <f>'MKT DATA'!M1266</f>
        <v>1</v>
      </c>
      <c r="J233" s="43" t="str">
        <f t="shared" si="8"/>
        <v>syn BTCV6/BTCG7/BTCX6/BTCH7/BTCZ6/BTCF7</v>
      </c>
      <c r="K233" s="8">
        <f>'MKT DATA'!O1266</f>
        <v>0</v>
      </c>
      <c r="L233" s="8">
        <f>'MKT DATA'!P1266</f>
        <v>83532</v>
      </c>
      <c r="M233" s="8">
        <f>'MKT DATA'!Q1266</f>
        <v>0</v>
      </c>
      <c r="N233" s="8">
        <f>'MKT DATA'!R1266</f>
        <v>0</v>
      </c>
      <c r="O233" s="8">
        <f>'MKT DATA'!S1266</f>
        <v>-85739</v>
      </c>
      <c r="P233" s="8">
        <f>'MKT DATA'!T1266</f>
        <v>0</v>
      </c>
      <c r="Q233" s="43" t="str">
        <f t="shared" si="9"/>
        <v>syn BTCV6/BTCG7/BTCX6/BTCH7/BTCZ6/BTCF7</v>
      </c>
      <c r="R233" s="13">
        <f>'MKT DATA'!AB1266</f>
        <v>0</v>
      </c>
    </row>
    <row r="234" spans="5:18" x14ac:dyDescent="0.25">
      <c r="E234" s="43" t="str">
        <f>'MKT DATA'!B1267</f>
        <v>syn BTCV6/BTCG7/BTCZ6/BTCX6/BTCH7/BTCF7</v>
      </c>
      <c r="F234" s="13">
        <f>'MKT DATA'!J1267</f>
        <v>1</v>
      </c>
      <c r="G234" s="8">
        <f>'MKT DATA'!K1267</f>
        <v>83439</v>
      </c>
      <c r="H234" s="8">
        <f>'MKT DATA'!L1267</f>
        <v>86001</v>
      </c>
      <c r="I234" s="13">
        <f>'MKT DATA'!M1267</f>
        <v>1</v>
      </c>
      <c r="J234" s="43" t="str">
        <f t="shared" si="8"/>
        <v>syn BTCV6/BTCG7/BTCZ6/BTCX6/BTCH7/BTCF7</v>
      </c>
      <c r="K234" s="8">
        <f>'MKT DATA'!O1267</f>
        <v>0</v>
      </c>
      <c r="L234" s="8">
        <f>'MKT DATA'!P1267</f>
        <v>83439</v>
      </c>
      <c r="M234" s="8">
        <f>'MKT DATA'!Q1267</f>
        <v>0</v>
      </c>
      <c r="N234" s="8">
        <f>'MKT DATA'!R1267</f>
        <v>0</v>
      </c>
      <c r="O234" s="8">
        <f>'MKT DATA'!S1267</f>
        <v>-86001</v>
      </c>
      <c r="P234" s="8">
        <f>'MKT DATA'!T1267</f>
        <v>0</v>
      </c>
      <c r="Q234" s="43" t="str">
        <f t="shared" si="9"/>
        <v>syn BTCV6/BTCG7/BTCZ6/BTCX6/BTCH7/BTCF7</v>
      </c>
      <c r="R234" s="13">
        <f>'MKT DATA'!AB1267</f>
        <v>0</v>
      </c>
    </row>
    <row r="235" spans="5:18" x14ac:dyDescent="0.25">
      <c r="E235" s="43" t="str">
        <f>'MKT DATA'!B1268</f>
        <v>syn BTCV6/BTCG7/BTCZ6/BTCH7/BTCX6/BTCF7</v>
      </c>
      <c r="F235" s="13">
        <f>'MKT DATA'!J1268</f>
        <v>1</v>
      </c>
      <c r="G235" s="8">
        <f>'MKT DATA'!K1268</f>
        <v>83646</v>
      </c>
      <c r="H235" s="8">
        <f>'MKT DATA'!L1268</f>
        <v>85969</v>
      </c>
      <c r="I235" s="13">
        <f>'MKT DATA'!M1268</f>
        <v>1</v>
      </c>
      <c r="J235" s="43" t="str">
        <f t="shared" si="8"/>
        <v>syn BTCV6/BTCG7/BTCZ6/BTCH7/BTCX6/BTCF7</v>
      </c>
      <c r="K235" s="8">
        <f>'MKT DATA'!O1268</f>
        <v>0</v>
      </c>
      <c r="L235" s="8">
        <f>'MKT DATA'!P1268</f>
        <v>83646</v>
      </c>
      <c r="M235" s="8">
        <f>'MKT DATA'!Q1268</f>
        <v>0</v>
      </c>
      <c r="N235" s="8">
        <f>'MKT DATA'!R1268</f>
        <v>0</v>
      </c>
      <c r="O235" s="8">
        <f>'MKT DATA'!S1268</f>
        <v>-85969</v>
      </c>
      <c r="P235" s="8">
        <f>'MKT DATA'!T1268</f>
        <v>0</v>
      </c>
      <c r="Q235" s="43" t="str">
        <f t="shared" si="9"/>
        <v>syn BTCV6/BTCG7/BTCZ6/BTCH7/BTCX6/BTCF7</v>
      </c>
      <c r="R235" s="13">
        <f>'MKT DATA'!AB1268</f>
        <v>0</v>
      </c>
    </row>
    <row r="236" spans="5:18" x14ac:dyDescent="0.25">
      <c r="E236" s="43" t="str">
        <f>'MKT DATA'!B1269</f>
        <v>syn BTCV6/BTCG7/BTCH7/BTCX6/BTCZ6/BTCF7</v>
      </c>
      <c r="F236" s="13">
        <f>'MKT DATA'!J1269</f>
        <v>1</v>
      </c>
      <c r="G236" s="8">
        <f>'MKT DATA'!K1269</f>
        <v>83966</v>
      </c>
      <c r="H236" s="8">
        <f>'MKT DATA'!L1269</f>
        <v>85555</v>
      </c>
      <c r="I236" s="13">
        <f>'MKT DATA'!M1269</f>
        <v>1</v>
      </c>
      <c r="J236" s="43" t="str">
        <f t="shared" si="8"/>
        <v>syn BTCV6/BTCG7/BTCH7/BTCX6/BTCZ6/BTCF7</v>
      </c>
      <c r="K236" s="8">
        <f>'MKT DATA'!O1269</f>
        <v>0</v>
      </c>
      <c r="L236" s="8">
        <f>'MKT DATA'!P1269</f>
        <v>83966</v>
      </c>
      <c r="M236" s="8">
        <f>'MKT DATA'!Q1269</f>
        <v>0</v>
      </c>
      <c r="N236" s="8">
        <f>'MKT DATA'!R1269</f>
        <v>0</v>
      </c>
      <c r="O236" s="8">
        <f>'MKT DATA'!S1269</f>
        <v>-85555</v>
      </c>
      <c r="P236" s="8">
        <f>'MKT DATA'!T1269</f>
        <v>0</v>
      </c>
      <c r="Q236" s="43" t="str">
        <f t="shared" si="9"/>
        <v>syn BTCV6/BTCG7/BTCH7/BTCX6/BTCZ6/BTCF7</v>
      </c>
      <c r="R236" s="13">
        <f>'MKT DATA'!AB1269</f>
        <v>0</v>
      </c>
    </row>
    <row r="237" spans="5:18" x14ac:dyDescent="0.25">
      <c r="E237" s="43" t="str">
        <f>'MKT DATA'!B1270</f>
        <v>syn BTCV6/BTCG7/BTCH7/BTCZ6/BTCX6/BTCF7</v>
      </c>
      <c r="F237" s="13">
        <f>'MKT DATA'!J1270</f>
        <v>1</v>
      </c>
      <c r="G237" s="8">
        <f>'MKT DATA'!K1270</f>
        <v>83915</v>
      </c>
      <c r="H237" s="8">
        <f>'MKT DATA'!L1270</f>
        <v>85380</v>
      </c>
      <c r="I237" s="13">
        <f>'MKT DATA'!M1270</f>
        <v>1</v>
      </c>
      <c r="J237" s="43" t="str">
        <f t="shared" si="8"/>
        <v>syn BTCV6/BTCG7/BTCH7/BTCZ6/BTCX6/BTCF7</v>
      </c>
      <c r="K237" s="8">
        <f>'MKT DATA'!O1270</f>
        <v>0</v>
      </c>
      <c r="L237" s="8">
        <f>'MKT DATA'!P1270</f>
        <v>83915</v>
      </c>
      <c r="M237" s="8">
        <f>'MKT DATA'!Q1270</f>
        <v>0</v>
      </c>
      <c r="N237" s="8">
        <f>'MKT DATA'!R1270</f>
        <v>0</v>
      </c>
      <c r="O237" s="8">
        <f>'MKT DATA'!S1270</f>
        <v>-85380</v>
      </c>
      <c r="P237" s="8">
        <f>'MKT DATA'!T1270</f>
        <v>0</v>
      </c>
      <c r="Q237" s="43" t="str">
        <f t="shared" si="9"/>
        <v>syn BTCV6/BTCG7/BTCH7/BTCZ6/BTCX6/BTCF7</v>
      </c>
      <c r="R237" s="13">
        <f>'MKT DATA'!AB1270</f>
        <v>0</v>
      </c>
    </row>
    <row r="238" spans="5:18" x14ac:dyDescent="0.25">
      <c r="E238" s="43" t="str">
        <f>'MKT DATA'!B1271</f>
        <v>syn BTCV6/BTCH7/BTCX6/BTCZ6/BTCG7/BTCF7</v>
      </c>
      <c r="F238" s="13">
        <f>'MKT DATA'!J1271</f>
        <v>1</v>
      </c>
      <c r="G238" s="8">
        <f>'MKT DATA'!K1271</f>
        <v>83639</v>
      </c>
      <c r="H238" s="8">
        <f>'MKT DATA'!L1271</f>
        <v>85847</v>
      </c>
      <c r="I238" s="13">
        <f>'MKT DATA'!M1271</f>
        <v>1</v>
      </c>
      <c r="J238" s="43" t="str">
        <f t="shared" si="8"/>
        <v>syn BTCV6/BTCH7/BTCX6/BTCZ6/BTCG7/BTCF7</v>
      </c>
      <c r="K238" s="8">
        <f>'MKT DATA'!O1271</f>
        <v>0</v>
      </c>
      <c r="L238" s="8">
        <f>'MKT DATA'!P1271</f>
        <v>83639</v>
      </c>
      <c r="M238" s="8">
        <f>'MKT DATA'!Q1271</f>
        <v>0</v>
      </c>
      <c r="N238" s="8">
        <f>'MKT DATA'!R1271</f>
        <v>0</v>
      </c>
      <c r="O238" s="8">
        <f>'MKT DATA'!S1271</f>
        <v>-85847</v>
      </c>
      <c r="P238" s="8">
        <f>'MKT DATA'!T1271</f>
        <v>0</v>
      </c>
      <c r="Q238" s="43" t="str">
        <f t="shared" si="9"/>
        <v>syn BTCV6/BTCH7/BTCX6/BTCZ6/BTCG7/BTCF7</v>
      </c>
      <c r="R238" s="13">
        <f>'MKT DATA'!AB1271</f>
        <v>0</v>
      </c>
    </row>
    <row r="239" spans="5:18" x14ac:dyDescent="0.25">
      <c r="E239" s="43" t="str">
        <f>'MKT DATA'!B1272</f>
        <v>syn BTCV6/BTCH7/BTCX6/BTCG7/BTCZ6/BTCF7</v>
      </c>
      <c r="F239" s="13">
        <f>'MKT DATA'!J1272</f>
        <v>1</v>
      </c>
      <c r="G239" s="8">
        <f>'MKT DATA'!K1272</f>
        <v>83502</v>
      </c>
      <c r="H239" s="8">
        <f>'MKT DATA'!L1272</f>
        <v>85949</v>
      </c>
      <c r="I239" s="13">
        <f>'MKT DATA'!M1272</f>
        <v>1</v>
      </c>
      <c r="J239" s="43" t="str">
        <f t="shared" si="8"/>
        <v>syn BTCV6/BTCH7/BTCX6/BTCG7/BTCZ6/BTCF7</v>
      </c>
      <c r="K239" s="8">
        <f>'MKT DATA'!O1272</f>
        <v>0</v>
      </c>
      <c r="L239" s="8">
        <f>'MKT DATA'!P1272</f>
        <v>83502</v>
      </c>
      <c r="M239" s="8">
        <f>'MKT DATA'!Q1272</f>
        <v>0</v>
      </c>
      <c r="N239" s="8">
        <f>'MKT DATA'!R1272</f>
        <v>0</v>
      </c>
      <c r="O239" s="8">
        <f>'MKT DATA'!S1272</f>
        <v>-85949</v>
      </c>
      <c r="P239" s="8">
        <f>'MKT DATA'!T1272</f>
        <v>0</v>
      </c>
      <c r="Q239" s="43" t="str">
        <f t="shared" si="9"/>
        <v>syn BTCV6/BTCH7/BTCX6/BTCG7/BTCZ6/BTCF7</v>
      </c>
      <c r="R239" s="13">
        <f>'MKT DATA'!AB1272</f>
        <v>0</v>
      </c>
    </row>
    <row r="240" spans="5:18" x14ac:dyDescent="0.25">
      <c r="E240" s="43" t="str">
        <f>'MKT DATA'!B1273</f>
        <v>syn BTCV6/BTCH7/BTCZ6/BTCX6/BTCG7/BTCF7</v>
      </c>
      <c r="F240" s="13">
        <f>'MKT DATA'!J1273</f>
        <v>1</v>
      </c>
      <c r="G240" s="8">
        <f>'MKT DATA'!K1273</f>
        <v>83654</v>
      </c>
      <c r="H240" s="8">
        <f>'MKT DATA'!L1273</f>
        <v>85622</v>
      </c>
      <c r="I240" s="13">
        <f>'MKT DATA'!M1273</f>
        <v>1</v>
      </c>
      <c r="J240" s="43" t="str">
        <f t="shared" si="8"/>
        <v>syn BTCV6/BTCH7/BTCZ6/BTCX6/BTCG7/BTCF7</v>
      </c>
      <c r="K240" s="8">
        <f>'MKT DATA'!O1273</f>
        <v>0</v>
      </c>
      <c r="L240" s="8">
        <f>'MKT DATA'!P1273</f>
        <v>83654</v>
      </c>
      <c r="M240" s="8">
        <f>'MKT DATA'!Q1273</f>
        <v>0</v>
      </c>
      <c r="N240" s="8">
        <f>'MKT DATA'!R1273</f>
        <v>0</v>
      </c>
      <c r="O240" s="8">
        <f>'MKT DATA'!S1273</f>
        <v>-85622</v>
      </c>
      <c r="P240" s="8">
        <f>'MKT DATA'!T1273</f>
        <v>0</v>
      </c>
      <c r="Q240" s="43" t="str">
        <f t="shared" si="9"/>
        <v>syn BTCV6/BTCH7/BTCZ6/BTCX6/BTCG7/BTCF7</v>
      </c>
      <c r="R240" s="13">
        <f>'MKT DATA'!AB1273</f>
        <v>0</v>
      </c>
    </row>
    <row r="241" spans="5:18" x14ac:dyDescent="0.25">
      <c r="E241" s="43" t="str">
        <f>'MKT DATA'!B1274</f>
        <v>syn BTCV6/BTCH7/BTCZ6/BTCG7/BTCX6/BTCF7</v>
      </c>
      <c r="F241" s="13">
        <f>'MKT DATA'!J1274</f>
        <v>1</v>
      </c>
      <c r="G241" s="8">
        <f>'MKT DATA'!K1274</f>
        <v>83466</v>
      </c>
      <c r="H241" s="8">
        <f>'MKT DATA'!L1274</f>
        <v>85789</v>
      </c>
      <c r="I241" s="13">
        <f>'MKT DATA'!M1274</f>
        <v>1</v>
      </c>
      <c r="J241" s="43" t="str">
        <f t="shared" si="8"/>
        <v>syn BTCV6/BTCH7/BTCZ6/BTCG7/BTCX6/BTCF7</v>
      </c>
      <c r="K241" s="8">
        <f>'MKT DATA'!O1274</f>
        <v>0</v>
      </c>
      <c r="L241" s="8">
        <f>'MKT DATA'!P1274</f>
        <v>83466</v>
      </c>
      <c r="M241" s="8">
        <f>'MKT DATA'!Q1274</f>
        <v>0</v>
      </c>
      <c r="N241" s="8">
        <f>'MKT DATA'!R1274</f>
        <v>0</v>
      </c>
      <c r="O241" s="8">
        <f>'MKT DATA'!S1274</f>
        <v>-85789</v>
      </c>
      <c r="P241" s="8">
        <f>'MKT DATA'!T1274</f>
        <v>0</v>
      </c>
      <c r="Q241" s="43" t="str">
        <f t="shared" si="9"/>
        <v>syn BTCV6/BTCH7/BTCZ6/BTCG7/BTCX6/BTCF7</v>
      </c>
      <c r="R241" s="13">
        <f>'MKT DATA'!AB1274</f>
        <v>0</v>
      </c>
    </row>
    <row r="242" spans="5:18" x14ac:dyDescent="0.25">
      <c r="E242" s="43" t="str">
        <f>'MKT DATA'!B1275</f>
        <v>syn BTCV6/BTCH7/BTCG7/BTCX6/BTCZ6/BTCF7</v>
      </c>
      <c r="F242" s="13">
        <f>'MKT DATA'!J1275</f>
        <v>1</v>
      </c>
      <c r="G242" s="8">
        <f>'MKT DATA'!K1275</f>
        <v>83911</v>
      </c>
      <c r="H242" s="8">
        <f>'MKT DATA'!L1275</f>
        <v>85500</v>
      </c>
      <c r="I242" s="13">
        <f>'MKT DATA'!M1275</f>
        <v>1</v>
      </c>
      <c r="J242" s="43" t="str">
        <f t="shared" si="8"/>
        <v>syn BTCV6/BTCH7/BTCG7/BTCX6/BTCZ6/BTCF7</v>
      </c>
      <c r="K242" s="8">
        <f>'MKT DATA'!O1275</f>
        <v>0</v>
      </c>
      <c r="L242" s="8">
        <f>'MKT DATA'!P1275</f>
        <v>83911</v>
      </c>
      <c r="M242" s="8">
        <f>'MKT DATA'!Q1275</f>
        <v>0</v>
      </c>
      <c r="N242" s="8">
        <f>'MKT DATA'!R1275</f>
        <v>0</v>
      </c>
      <c r="O242" s="8">
        <f>'MKT DATA'!S1275</f>
        <v>-85500</v>
      </c>
      <c r="P242" s="8">
        <f>'MKT DATA'!T1275</f>
        <v>0</v>
      </c>
      <c r="Q242" s="43" t="str">
        <f t="shared" si="9"/>
        <v>syn BTCV6/BTCH7/BTCG7/BTCX6/BTCZ6/BTCF7</v>
      </c>
      <c r="R242" s="13">
        <f>'MKT DATA'!AB1275</f>
        <v>0</v>
      </c>
    </row>
    <row r="243" spans="5:18" x14ac:dyDescent="0.25">
      <c r="E243" s="43" t="str">
        <f>'MKT DATA'!B1276</f>
        <v>syn BTCV6/BTCH7/BTCG7/BTCZ6/BTCX6/BTCF7</v>
      </c>
      <c r="F243" s="13">
        <f>'MKT DATA'!J1276</f>
        <v>1</v>
      </c>
      <c r="G243" s="8">
        <f>'MKT DATA'!K1276</f>
        <v>83830</v>
      </c>
      <c r="H243" s="8">
        <f>'MKT DATA'!L1276</f>
        <v>85535</v>
      </c>
      <c r="I243" s="13">
        <f>'MKT DATA'!M1276</f>
        <v>1</v>
      </c>
      <c r="J243" s="43" t="str">
        <f t="shared" si="8"/>
        <v>syn BTCV6/BTCH7/BTCG7/BTCZ6/BTCX6/BTCF7</v>
      </c>
      <c r="K243" s="8">
        <f>'MKT DATA'!O1276</f>
        <v>0</v>
      </c>
      <c r="L243" s="8">
        <f>'MKT DATA'!P1276</f>
        <v>83830</v>
      </c>
      <c r="M243" s="8">
        <f>'MKT DATA'!Q1276</f>
        <v>0</v>
      </c>
      <c r="N243" s="8">
        <f>'MKT DATA'!R1276</f>
        <v>0</v>
      </c>
      <c r="O243" s="8">
        <f>'MKT DATA'!S1276</f>
        <v>-85535</v>
      </c>
      <c r="P243" s="8">
        <f>'MKT DATA'!T1276</f>
        <v>0</v>
      </c>
      <c r="Q243" s="43" t="str">
        <f t="shared" si="9"/>
        <v>syn BTCV6/BTCH7/BTCG7/BTCZ6/BTCX6/BTCF7</v>
      </c>
      <c r="R243" s="13">
        <f>'MKT DATA'!AB1276</f>
        <v>0</v>
      </c>
    </row>
    <row r="244" spans="5:18" x14ac:dyDescent="0.25">
      <c r="E244" s="43" t="str">
        <f>'MKT DATA'!B1277</f>
        <v>syn BTCX6/BTCV6/BTCZ6/BTCG7/BTCH7/BTCF7</v>
      </c>
      <c r="F244" s="13">
        <f>'MKT DATA'!J1277</f>
        <v>1</v>
      </c>
      <c r="G244" s="8">
        <f>'MKT DATA'!K1277</f>
        <v>83865</v>
      </c>
      <c r="H244" s="8">
        <f>'MKT DATA'!L1277</f>
        <v>85660</v>
      </c>
      <c r="I244" s="13">
        <f>'MKT DATA'!M1277</f>
        <v>1</v>
      </c>
      <c r="J244" s="43" t="str">
        <f t="shared" si="8"/>
        <v>syn BTCX6/BTCV6/BTCZ6/BTCG7/BTCH7/BTCF7</v>
      </c>
      <c r="K244" s="8">
        <f>'MKT DATA'!O1277</f>
        <v>0</v>
      </c>
      <c r="L244" s="8">
        <f>'MKT DATA'!P1277</f>
        <v>83865</v>
      </c>
      <c r="M244" s="8">
        <f>'MKT DATA'!Q1277</f>
        <v>0</v>
      </c>
      <c r="N244" s="8">
        <f>'MKT DATA'!R1277</f>
        <v>0</v>
      </c>
      <c r="O244" s="8">
        <f>'MKT DATA'!S1277</f>
        <v>-85660</v>
      </c>
      <c r="P244" s="8">
        <f>'MKT DATA'!T1277</f>
        <v>0</v>
      </c>
      <c r="Q244" s="43" t="str">
        <f t="shared" si="9"/>
        <v>syn BTCX6/BTCV6/BTCZ6/BTCG7/BTCH7/BTCF7</v>
      </c>
      <c r="R244" s="13">
        <f>'MKT DATA'!AB1277</f>
        <v>0</v>
      </c>
    </row>
    <row r="245" spans="5:18" x14ac:dyDescent="0.25">
      <c r="E245" s="43" t="str">
        <f>'MKT DATA'!B1278</f>
        <v>syn BTCX6/BTCV6/BTCZ6/BTCH7/BTCG7/BTCF7</v>
      </c>
      <c r="F245" s="13">
        <f>'MKT DATA'!J1278</f>
        <v>1</v>
      </c>
      <c r="G245" s="8">
        <f>'MKT DATA'!K1278</f>
        <v>84205</v>
      </c>
      <c r="H245" s="8">
        <f>'MKT DATA'!L1278</f>
        <v>85406</v>
      </c>
      <c r="I245" s="13">
        <f>'MKT DATA'!M1278</f>
        <v>1</v>
      </c>
      <c r="J245" s="43" t="str">
        <f t="shared" si="8"/>
        <v>syn BTCX6/BTCV6/BTCZ6/BTCH7/BTCG7/BTCF7</v>
      </c>
      <c r="K245" s="8">
        <f>'MKT DATA'!O1278</f>
        <v>0</v>
      </c>
      <c r="L245" s="8">
        <f>'MKT DATA'!P1278</f>
        <v>84205</v>
      </c>
      <c r="M245" s="8">
        <f>'MKT DATA'!Q1278</f>
        <v>0</v>
      </c>
      <c r="N245" s="8">
        <f>'MKT DATA'!R1278</f>
        <v>0</v>
      </c>
      <c r="O245" s="8">
        <f>'MKT DATA'!S1278</f>
        <v>-85406</v>
      </c>
      <c r="P245" s="8">
        <f>'MKT DATA'!T1278</f>
        <v>0</v>
      </c>
      <c r="Q245" s="43" t="str">
        <f t="shared" si="9"/>
        <v>syn BTCX6/BTCV6/BTCZ6/BTCH7/BTCG7/BTCF7</v>
      </c>
      <c r="R245" s="13">
        <f>'MKT DATA'!AB1278</f>
        <v>0</v>
      </c>
    </row>
    <row r="246" spans="5:18" x14ac:dyDescent="0.25">
      <c r="E246" s="43" t="str">
        <f>'MKT DATA'!B1279</f>
        <v>syn BTCX6/BTCV6/BTCG7/BTCZ6/BTCH7/BTCF7</v>
      </c>
      <c r="F246" s="13">
        <f>'MKT DATA'!J1279</f>
        <v>1</v>
      </c>
      <c r="G246" s="8">
        <f>'MKT DATA'!K1279</f>
        <v>83634</v>
      </c>
      <c r="H246" s="8">
        <f>'MKT DATA'!L1279</f>
        <v>86008</v>
      </c>
      <c r="I246" s="13">
        <f>'MKT DATA'!M1279</f>
        <v>1</v>
      </c>
      <c r="J246" s="43" t="str">
        <f t="shared" si="8"/>
        <v>syn BTCX6/BTCV6/BTCG7/BTCZ6/BTCH7/BTCF7</v>
      </c>
      <c r="K246" s="8">
        <f>'MKT DATA'!O1279</f>
        <v>0</v>
      </c>
      <c r="L246" s="8">
        <f>'MKT DATA'!P1279</f>
        <v>83634</v>
      </c>
      <c r="M246" s="8">
        <f>'MKT DATA'!Q1279</f>
        <v>0</v>
      </c>
      <c r="N246" s="8">
        <f>'MKT DATA'!R1279</f>
        <v>0</v>
      </c>
      <c r="O246" s="8">
        <f>'MKT DATA'!S1279</f>
        <v>-86008</v>
      </c>
      <c r="P246" s="8">
        <f>'MKT DATA'!T1279</f>
        <v>0</v>
      </c>
      <c r="Q246" s="43" t="str">
        <f t="shared" si="9"/>
        <v>syn BTCX6/BTCV6/BTCG7/BTCZ6/BTCH7/BTCF7</v>
      </c>
      <c r="R246" s="13">
        <f>'MKT DATA'!AB1279</f>
        <v>0</v>
      </c>
    </row>
    <row r="247" spans="5:18" x14ac:dyDescent="0.25">
      <c r="E247" s="43" t="str">
        <f>'MKT DATA'!B1280</f>
        <v>syn BTCX6/BTCV6/BTCG7/BTCH7/BTCZ6/BTCF7</v>
      </c>
      <c r="F247" s="13">
        <f>'MKT DATA'!J1280</f>
        <v>1</v>
      </c>
      <c r="G247" s="8">
        <f>'MKT DATA'!K1280</f>
        <v>83966</v>
      </c>
      <c r="H247" s="8">
        <f>'MKT DATA'!L1280</f>
        <v>85367</v>
      </c>
      <c r="I247" s="13">
        <f>'MKT DATA'!M1280</f>
        <v>1</v>
      </c>
      <c r="J247" s="43" t="str">
        <f t="shared" si="8"/>
        <v>syn BTCX6/BTCV6/BTCG7/BTCH7/BTCZ6/BTCF7</v>
      </c>
      <c r="K247" s="8">
        <f>'MKT DATA'!O1280</f>
        <v>0</v>
      </c>
      <c r="L247" s="8">
        <f>'MKT DATA'!P1280</f>
        <v>83966</v>
      </c>
      <c r="M247" s="8">
        <f>'MKT DATA'!Q1280</f>
        <v>0</v>
      </c>
      <c r="N247" s="8">
        <f>'MKT DATA'!R1280</f>
        <v>0</v>
      </c>
      <c r="O247" s="8">
        <f>'MKT DATA'!S1280</f>
        <v>-85367</v>
      </c>
      <c r="P247" s="8">
        <f>'MKT DATA'!T1280</f>
        <v>0</v>
      </c>
      <c r="Q247" s="43" t="str">
        <f t="shared" si="9"/>
        <v>syn BTCX6/BTCV6/BTCG7/BTCH7/BTCZ6/BTCF7</v>
      </c>
      <c r="R247" s="13">
        <f>'MKT DATA'!AB1280</f>
        <v>0</v>
      </c>
    </row>
    <row r="248" spans="5:18" x14ac:dyDescent="0.25">
      <c r="E248" s="43" t="str">
        <f>'MKT DATA'!B1281</f>
        <v>syn BTCX6/BTCV6/BTCH7/BTCZ6/BTCG7/BTCF7</v>
      </c>
      <c r="F248" s="13">
        <f>'MKT DATA'!J1281</f>
        <v>1</v>
      </c>
      <c r="G248" s="8">
        <f>'MKT DATA'!K1281</f>
        <v>83639</v>
      </c>
      <c r="H248" s="8">
        <f>'MKT DATA'!L1281</f>
        <v>85659</v>
      </c>
      <c r="I248" s="13">
        <f>'MKT DATA'!M1281</f>
        <v>1</v>
      </c>
      <c r="J248" s="43" t="str">
        <f t="shared" si="8"/>
        <v>syn BTCX6/BTCV6/BTCH7/BTCZ6/BTCG7/BTCF7</v>
      </c>
      <c r="K248" s="8">
        <f>'MKT DATA'!O1281</f>
        <v>0</v>
      </c>
      <c r="L248" s="8">
        <f>'MKT DATA'!P1281</f>
        <v>83639</v>
      </c>
      <c r="M248" s="8">
        <f>'MKT DATA'!Q1281</f>
        <v>0</v>
      </c>
      <c r="N248" s="8">
        <f>'MKT DATA'!R1281</f>
        <v>0</v>
      </c>
      <c r="O248" s="8">
        <f>'MKT DATA'!S1281</f>
        <v>-85659</v>
      </c>
      <c r="P248" s="8">
        <f>'MKT DATA'!T1281</f>
        <v>0</v>
      </c>
      <c r="Q248" s="43" t="str">
        <f t="shared" si="9"/>
        <v>syn BTCX6/BTCV6/BTCH7/BTCZ6/BTCG7/BTCF7</v>
      </c>
      <c r="R248" s="13">
        <f>'MKT DATA'!AB1281</f>
        <v>0</v>
      </c>
    </row>
    <row r="249" spans="5:18" x14ac:dyDescent="0.25">
      <c r="E249" s="43" t="str">
        <f>'MKT DATA'!B1282</f>
        <v>syn BTCX6/BTCV6/BTCH7/BTCG7/BTCZ6/BTCF7</v>
      </c>
      <c r="F249" s="13">
        <f>'MKT DATA'!J1282</f>
        <v>1</v>
      </c>
      <c r="G249" s="8">
        <f>'MKT DATA'!K1282</f>
        <v>83881</v>
      </c>
      <c r="H249" s="8">
        <f>'MKT DATA'!L1282</f>
        <v>85522</v>
      </c>
      <c r="I249" s="13">
        <f>'MKT DATA'!M1282</f>
        <v>1</v>
      </c>
      <c r="J249" s="43" t="str">
        <f t="shared" si="8"/>
        <v>syn BTCX6/BTCV6/BTCH7/BTCG7/BTCZ6/BTCF7</v>
      </c>
      <c r="K249" s="8">
        <f>'MKT DATA'!O1282</f>
        <v>0</v>
      </c>
      <c r="L249" s="8">
        <f>'MKT DATA'!P1282</f>
        <v>83881</v>
      </c>
      <c r="M249" s="8">
        <f>'MKT DATA'!Q1282</f>
        <v>0</v>
      </c>
      <c r="N249" s="8">
        <f>'MKT DATA'!R1282</f>
        <v>0</v>
      </c>
      <c r="O249" s="8">
        <f>'MKT DATA'!S1282</f>
        <v>-85522</v>
      </c>
      <c r="P249" s="8">
        <f>'MKT DATA'!T1282</f>
        <v>0</v>
      </c>
      <c r="Q249" s="43" t="str">
        <f t="shared" si="9"/>
        <v>syn BTCX6/BTCV6/BTCH7/BTCG7/BTCZ6/BTCF7</v>
      </c>
      <c r="R249" s="13">
        <f>'MKT DATA'!AB1282</f>
        <v>0</v>
      </c>
    </row>
    <row r="250" spans="5:18" x14ac:dyDescent="0.25">
      <c r="E250" s="43" t="str">
        <f>'MKT DATA'!B1283</f>
        <v>syn BTCX6/BTCZ6/BTCV6/BTCG7/BTCH7/BTCF7</v>
      </c>
      <c r="F250" s="13">
        <f>'MKT DATA'!J1283</f>
        <v>1</v>
      </c>
      <c r="G250" s="8">
        <f>'MKT DATA'!K1283</f>
        <v>83887</v>
      </c>
      <c r="H250" s="8">
        <f>'MKT DATA'!L1283</f>
        <v>85630</v>
      </c>
      <c r="I250" s="13">
        <f>'MKT DATA'!M1283</f>
        <v>1</v>
      </c>
      <c r="J250" s="43" t="str">
        <f t="shared" si="8"/>
        <v>syn BTCX6/BTCZ6/BTCV6/BTCG7/BTCH7/BTCF7</v>
      </c>
      <c r="K250" s="8">
        <f>'MKT DATA'!O1283</f>
        <v>0</v>
      </c>
      <c r="L250" s="8">
        <f>'MKT DATA'!P1283</f>
        <v>83887</v>
      </c>
      <c r="M250" s="8">
        <f>'MKT DATA'!Q1283</f>
        <v>0</v>
      </c>
      <c r="N250" s="8">
        <f>'MKT DATA'!R1283</f>
        <v>0</v>
      </c>
      <c r="O250" s="8">
        <f>'MKT DATA'!S1283</f>
        <v>-85630</v>
      </c>
      <c r="P250" s="8">
        <f>'MKT DATA'!T1283</f>
        <v>0</v>
      </c>
      <c r="Q250" s="43" t="str">
        <f t="shared" si="9"/>
        <v>syn BTCX6/BTCZ6/BTCV6/BTCG7/BTCH7/BTCF7</v>
      </c>
      <c r="R250" s="13">
        <f>'MKT DATA'!AB1283</f>
        <v>0</v>
      </c>
    </row>
    <row r="251" spans="5:18" x14ac:dyDescent="0.25">
      <c r="E251" s="43" t="str">
        <f>'MKT DATA'!B1284</f>
        <v>syn BTCX6/BTCZ6/BTCV6/BTCH7/BTCG7/BTCF7</v>
      </c>
      <c r="F251" s="13">
        <f>'MKT DATA'!J1284</f>
        <v>1</v>
      </c>
      <c r="G251" s="8">
        <f>'MKT DATA'!K1284</f>
        <v>84017</v>
      </c>
      <c r="H251" s="8">
        <f>'MKT DATA'!L1284</f>
        <v>85406</v>
      </c>
      <c r="I251" s="13">
        <f>'MKT DATA'!M1284</f>
        <v>1</v>
      </c>
      <c r="J251" s="43" t="str">
        <f t="shared" si="8"/>
        <v>syn BTCX6/BTCZ6/BTCV6/BTCH7/BTCG7/BTCF7</v>
      </c>
      <c r="K251" s="8">
        <f>'MKT DATA'!O1284</f>
        <v>0</v>
      </c>
      <c r="L251" s="8">
        <f>'MKT DATA'!P1284</f>
        <v>84017</v>
      </c>
      <c r="M251" s="8">
        <f>'MKT DATA'!Q1284</f>
        <v>0</v>
      </c>
      <c r="N251" s="8">
        <f>'MKT DATA'!R1284</f>
        <v>0</v>
      </c>
      <c r="O251" s="8">
        <f>'MKT DATA'!S1284</f>
        <v>-85406</v>
      </c>
      <c r="P251" s="8">
        <f>'MKT DATA'!T1284</f>
        <v>0</v>
      </c>
      <c r="Q251" s="43" t="str">
        <f t="shared" si="9"/>
        <v>syn BTCX6/BTCZ6/BTCV6/BTCH7/BTCG7/BTCF7</v>
      </c>
      <c r="R251" s="13">
        <f>'MKT DATA'!AB1284</f>
        <v>0</v>
      </c>
    </row>
    <row r="252" spans="5:18" x14ac:dyDescent="0.25">
      <c r="E252" s="43" t="str">
        <f>'MKT DATA'!B1285</f>
        <v>syn BTCX6/BTCZ6/BTCG7/BTCV6/BTCH7/BTCF7</v>
      </c>
      <c r="F252" s="13">
        <f>'MKT DATA'!J1285</f>
        <v>1</v>
      </c>
      <c r="G252" s="8">
        <f>'MKT DATA'!K1285</f>
        <v>83454</v>
      </c>
      <c r="H252" s="8">
        <f>'MKT DATA'!L1285</f>
        <v>86016</v>
      </c>
      <c r="I252" s="13">
        <f>'MKT DATA'!M1285</f>
        <v>1</v>
      </c>
      <c r="J252" s="43" t="str">
        <f t="shared" si="8"/>
        <v>syn BTCX6/BTCZ6/BTCG7/BTCV6/BTCH7/BTCF7</v>
      </c>
      <c r="K252" s="8">
        <f>'MKT DATA'!O1285</f>
        <v>0</v>
      </c>
      <c r="L252" s="8">
        <f>'MKT DATA'!P1285</f>
        <v>83454</v>
      </c>
      <c r="M252" s="8">
        <f>'MKT DATA'!Q1285</f>
        <v>0</v>
      </c>
      <c r="N252" s="8">
        <f>'MKT DATA'!R1285</f>
        <v>0</v>
      </c>
      <c r="O252" s="8">
        <f>'MKT DATA'!S1285</f>
        <v>-86016</v>
      </c>
      <c r="P252" s="8">
        <f>'MKT DATA'!T1285</f>
        <v>0</v>
      </c>
      <c r="Q252" s="43" t="str">
        <f t="shared" si="9"/>
        <v>syn BTCX6/BTCZ6/BTCG7/BTCV6/BTCH7/BTCF7</v>
      </c>
      <c r="R252" s="13">
        <f>'MKT DATA'!AB1285</f>
        <v>0</v>
      </c>
    </row>
    <row r="253" spans="5:18" x14ac:dyDescent="0.25">
      <c r="E253" s="43" t="str">
        <f>'MKT DATA'!B1286</f>
        <v>syn BTCX6/BTCZ6/BTCG7/BTCH7/BTCV6/BTCF7</v>
      </c>
      <c r="F253" s="13">
        <f>'MKT DATA'!J1286</f>
        <v>1</v>
      </c>
      <c r="G253" s="8">
        <f>'MKT DATA'!K1286</f>
        <v>83860</v>
      </c>
      <c r="H253" s="8">
        <f>'MKT DATA'!L1286</f>
        <v>85635</v>
      </c>
      <c r="I253" s="13">
        <f>'MKT DATA'!M1286</f>
        <v>1</v>
      </c>
      <c r="J253" s="43" t="str">
        <f t="shared" si="8"/>
        <v>syn BTCX6/BTCZ6/BTCG7/BTCH7/BTCV6/BTCF7</v>
      </c>
      <c r="K253" s="8">
        <f>'MKT DATA'!O1286</f>
        <v>0</v>
      </c>
      <c r="L253" s="8">
        <f>'MKT DATA'!P1286</f>
        <v>83860</v>
      </c>
      <c r="M253" s="8">
        <f>'MKT DATA'!Q1286</f>
        <v>0</v>
      </c>
      <c r="N253" s="8">
        <f>'MKT DATA'!R1286</f>
        <v>0</v>
      </c>
      <c r="O253" s="8">
        <f>'MKT DATA'!S1286</f>
        <v>-85635</v>
      </c>
      <c r="P253" s="8">
        <f>'MKT DATA'!T1286</f>
        <v>0</v>
      </c>
      <c r="Q253" s="43" t="str">
        <f t="shared" si="9"/>
        <v>syn BTCX6/BTCZ6/BTCG7/BTCH7/BTCV6/BTCF7</v>
      </c>
      <c r="R253" s="13">
        <f>'MKT DATA'!AB1286</f>
        <v>0</v>
      </c>
    </row>
    <row r="254" spans="5:18" x14ac:dyDescent="0.25">
      <c r="E254" s="43" t="str">
        <f>'MKT DATA'!B1287</f>
        <v>syn BTCX6/BTCZ6/BTCH7/BTCV6/BTCG7/BTCF7</v>
      </c>
      <c r="F254" s="13">
        <f>'MKT DATA'!J1287</f>
        <v>1</v>
      </c>
      <c r="G254" s="8">
        <f>'MKT DATA'!K1287</f>
        <v>83849</v>
      </c>
      <c r="H254" s="8">
        <f>'MKT DATA'!L1287</f>
        <v>85817</v>
      </c>
      <c r="I254" s="13">
        <f>'MKT DATA'!M1287</f>
        <v>1</v>
      </c>
      <c r="J254" s="43" t="str">
        <f t="shared" si="8"/>
        <v>syn BTCX6/BTCZ6/BTCH7/BTCV6/BTCG7/BTCF7</v>
      </c>
      <c r="K254" s="8">
        <f>'MKT DATA'!O1287</f>
        <v>0</v>
      </c>
      <c r="L254" s="8">
        <f>'MKT DATA'!P1287</f>
        <v>83849</v>
      </c>
      <c r="M254" s="8">
        <f>'MKT DATA'!Q1287</f>
        <v>0</v>
      </c>
      <c r="N254" s="8">
        <f>'MKT DATA'!R1287</f>
        <v>0</v>
      </c>
      <c r="O254" s="8">
        <f>'MKT DATA'!S1287</f>
        <v>-85817</v>
      </c>
      <c r="P254" s="8">
        <f>'MKT DATA'!T1287</f>
        <v>0</v>
      </c>
      <c r="Q254" s="43" t="str">
        <f t="shared" si="9"/>
        <v>syn BTCX6/BTCZ6/BTCH7/BTCV6/BTCG7/BTCF7</v>
      </c>
      <c r="R254" s="13">
        <f>'MKT DATA'!AB1287</f>
        <v>0</v>
      </c>
    </row>
    <row r="255" spans="5:18" x14ac:dyDescent="0.25">
      <c r="E255" s="43" t="str">
        <f>'MKT DATA'!B1288</f>
        <v>syn BTCX6/BTCZ6/BTCH7/BTCG7/BTCV6/BTCF7</v>
      </c>
      <c r="F255" s="13">
        <f>'MKT DATA'!J1288</f>
        <v>1</v>
      </c>
      <c r="G255" s="8">
        <f>'MKT DATA'!K1288</f>
        <v>84015</v>
      </c>
      <c r="H255" s="8">
        <f>'MKT DATA'!L1288</f>
        <v>85550</v>
      </c>
      <c r="I255" s="13">
        <f>'MKT DATA'!M1288</f>
        <v>1</v>
      </c>
      <c r="J255" s="43" t="str">
        <f t="shared" si="8"/>
        <v>syn BTCX6/BTCZ6/BTCH7/BTCG7/BTCV6/BTCF7</v>
      </c>
      <c r="K255" s="8">
        <f>'MKT DATA'!O1288</f>
        <v>0</v>
      </c>
      <c r="L255" s="8">
        <f>'MKT DATA'!P1288</f>
        <v>84015</v>
      </c>
      <c r="M255" s="8">
        <f>'MKT DATA'!Q1288</f>
        <v>0</v>
      </c>
      <c r="N255" s="8">
        <f>'MKT DATA'!R1288</f>
        <v>0</v>
      </c>
      <c r="O255" s="8">
        <f>'MKT DATA'!S1288</f>
        <v>-85550</v>
      </c>
      <c r="P255" s="8">
        <f>'MKT DATA'!T1288</f>
        <v>0</v>
      </c>
      <c r="Q255" s="43" t="str">
        <f t="shared" si="9"/>
        <v>syn BTCX6/BTCZ6/BTCH7/BTCG7/BTCV6/BTCF7</v>
      </c>
      <c r="R255" s="13">
        <f>'MKT DATA'!AB1288</f>
        <v>0</v>
      </c>
    </row>
    <row r="256" spans="5:18" x14ac:dyDescent="0.25">
      <c r="E256" s="43" t="str">
        <f>'MKT DATA'!B1289</f>
        <v>syn BTCX6/BTCG7/BTCV6/BTCZ6/BTCH7/BTCF7</v>
      </c>
      <c r="F256" s="13">
        <f>'MKT DATA'!J1289</f>
        <v>1</v>
      </c>
      <c r="G256" s="8">
        <f>'MKT DATA'!K1289</f>
        <v>83641</v>
      </c>
      <c r="H256" s="8">
        <f>'MKT DATA'!L1289</f>
        <v>86002</v>
      </c>
      <c r="I256" s="13">
        <f>'MKT DATA'!M1289</f>
        <v>1</v>
      </c>
      <c r="J256" s="43" t="str">
        <f t="shared" si="8"/>
        <v>syn BTCX6/BTCG7/BTCV6/BTCZ6/BTCH7/BTCF7</v>
      </c>
      <c r="K256" s="8">
        <f>'MKT DATA'!O1289</f>
        <v>0</v>
      </c>
      <c r="L256" s="8">
        <f>'MKT DATA'!P1289</f>
        <v>83641</v>
      </c>
      <c r="M256" s="8">
        <f>'MKT DATA'!Q1289</f>
        <v>0</v>
      </c>
      <c r="N256" s="8">
        <f>'MKT DATA'!R1289</f>
        <v>0</v>
      </c>
      <c r="O256" s="8">
        <f>'MKT DATA'!S1289</f>
        <v>-86002</v>
      </c>
      <c r="P256" s="8">
        <f>'MKT DATA'!T1289</f>
        <v>0</v>
      </c>
      <c r="Q256" s="43" t="str">
        <f t="shared" si="9"/>
        <v>syn BTCX6/BTCG7/BTCV6/BTCZ6/BTCH7/BTCF7</v>
      </c>
      <c r="R256" s="13">
        <f>'MKT DATA'!AB1289</f>
        <v>0</v>
      </c>
    </row>
    <row r="257" spans="5:18" x14ac:dyDescent="0.25">
      <c r="E257" s="43" t="str">
        <f>'MKT DATA'!B1290</f>
        <v>syn BTCX6/BTCG7/BTCV6/BTCH7/BTCZ6/BTCF7</v>
      </c>
      <c r="F257" s="13">
        <f>'MKT DATA'!J1290</f>
        <v>1</v>
      </c>
      <c r="G257" s="8">
        <f>'MKT DATA'!K1290</f>
        <v>83532</v>
      </c>
      <c r="H257" s="8">
        <f>'MKT DATA'!L1290</f>
        <v>85739</v>
      </c>
      <c r="I257" s="13">
        <f>'MKT DATA'!M1290</f>
        <v>1</v>
      </c>
      <c r="J257" s="43" t="str">
        <f t="shared" si="8"/>
        <v>syn BTCX6/BTCG7/BTCV6/BTCH7/BTCZ6/BTCF7</v>
      </c>
      <c r="K257" s="8">
        <f>'MKT DATA'!O1290</f>
        <v>0</v>
      </c>
      <c r="L257" s="8">
        <f>'MKT DATA'!P1290</f>
        <v>83532</v>
      </c>
      <c r="M257" s="8">
        <f>'MKT DATA'!Q1290</f>
        <v>0</v>
      </c>
      <c r="N257" s="8">
        <f>'MKT DATA'!R1290</f>
        <v>0</v>
      </c>
      <c r="O257" s="8">
        <f>'MKT DATA'!S1290</f>
        <v>-85739</v>
      </c>
      <c r="P257" s="8">
        <f>'MKT DATA'!T1290</f>
        <v>0</v>
      </c>
      <c r="Q257" s="43" t="str">
        <f t="shared" si="9"/>
        <v>syn BTCX6/BTCG7/BTCV6/BTCH7/BTCZ6/BTCF7</v>
      </c>
      <c r="R257" s="13">
        <f>'MKT DATA'!AB1290</f>
        <v>0</v>
      </c>
    </row>
    <row r="258" spans="5:18" x14ac:dyDescent="0.25">
      <c r="E258" s="43" t="str">
        <f>'MKT DATA'!B1291</f>
        <v>syn BTCX6/BTCG7/BTCZ6/BTCV6/BTCH7/BTCF7</v>
      </c>
      <c r="F258" s="13">
        <f>'MKT DATA'!J1291</f>
        <v>1</v>
      </c>
      <c r="G258" s="8">
        <f>'MKT DATA'!K1291</f>
        <v>83423</v>
      </c>
      <c r="H258" s="8">
        <f>'MKT DATA'!L1291</f>
        <v>86024</v>
      </c>
      <c r="I258" s="13">
        <f>'MKT DATA'!M1291</f>
        <v>1</v>
      </c>
      <c r="J258" s="43" t="str">
        <f t="shared" si="8"/>
        <v>syn BTCX6/BTCG7/BTCZ6/BTCV6/BTCH7/BTCF7</v>
      </c>
      <c r="K258" s="8">
        <f>'MKT DATA'!O1291</f>
        <v>0</v>
      </c>
      <c r="L258" s="8">
        <f>'MKT DATA'!P1291</f>
        <v>83423</v>
      </c>
      <c r="M258" s="8">
        <f>'MKT DATA'!Q1291</f>
        <v>0</v>
      </c>
      <c r="N258" s="8">
        <f>'MKT DATA'!R1291</f>
        <v>0</v>
      </c>
      <c r="O258" s="8">
        <f>'MKT DATA'!S1291</f>
        <v>-86024</v>
      </c>
      <c r="P258" s="8">
        <f>'MKT DATA'!T1291</f>
        <v>0</v>
      </c>
      <c r="Q258" s="43" t="str">
        <f t="shared" si="9"/>
        <v>syn BTCX6/BTCG7/BTCZ6/BTCV6/BTCH7/BTCF7</v>
      </c>
      <c r="R258" s="13">
        <f>'MKT DATA'!AB1291</f>
        <v>0</v>
      </c>
    </row>
    <row r="259" spans="5:18" x14ac:dyDescent="0.25">
      <c r="E259" s="43" t="str">
        <f>'MKT DATA'!B1292</f>
        <v>syn BTCX6/BTCG7/BTCZ6/BTCH7/BTCV6/BTCF7</v>
      </c>
      <c r="F259" s="13">
        <f>'MKT DATA'!J1292</f>
        <v>1</v>
      </c>
      <c r="G259" s="8">
        <f>'MKT DATA'!K1292</f>
        <v>83606</v>
      </c>
      <c r="H259" s="8">
        <f>'MKT DATA'!L1292</f>
        <v>85999</v>
      </c>
      <c r="I259" s="13">
        <f>'MKT DATA'!M1292</f>
        <v>1</v>
      </c>
      <c r="J259" s="43" t="str">
        <f t="shared" si="8"/>
        <v>syn BTCX6/BTCG7/BTCZ6/BTCH7/BTCV6/BTCF7</v>
      </c>
      <c r="K259" s="8">
        <f>'MKT DATA'!O1292</f>
        <v>0</v>
      </c>
      <c r="L259" s="8">
        <f>'MKT DATA'!P1292</f>
        <v>83606</v>
      </c>
      <c r="M259" s="8">
        <f>'MKT DATA'!Q1292</f>
        <v>0</v>
      </c>
      <c r="N259" s="8">
        <f>'MKT DATA'!R1292</f>
        <v>0</v>
      </c>
      <c r="O259" s="8">
        <f>'MKT DATA'!S1292</f>
        <v>-85999</v>
      </c>
      <c r="P259" s="8">
        <f>'MKT DATA'!T1292</f>
        <v>0</v>
      </c>
      <c r="Q259" s="43" t="str">
        <f t="shared" si="9"/>
        <v>syn BTCX6/BTCG7/BTCZ6/BTCH7/BTCV6/BTCF7</v>
      </c>
      <c r="R259" s="13">
        <f>'MKT DATA'!AB1292</f>
        <v>0</v>
      </c>
    </row>
    <row r="260" spans="5:18" x14ac:dyDescent="0.25">
      <c r="E260" s="43" t="str">
        <f>'MKT DATA'!B1293</f>
        <v>syn BTCX6/BTCG7/BTCH7/BTCV6/BTCZ6/BTCF7</v>
      </c>
      <c r="F260" s="13">
        <f>'MKT DATA'!J1293</f>
        <v>1</v>
      </c>
      <c r="G260" s="8">
        <f>'MKT DATA'!K1293</f>
        <v>83943</v>
      </c>
      <c r="H260" s="8">
        <f>'MKT DATA'!L1293</f>
        <v>85571</v>
      </c>
      <c r="I260" s="13">
        <f>'MKT DATA'!M1293</f>
        <v>1</v>
      </c>
      <c r="J260" s="43" t="str">
        <f t="shared" si="8"/>
        <v>syn BTCX6/BTCG7/BTCH7/BTCV6/BTCZ6/BTCF7</v>
      </c>
      <c r="K260" s="8">
        <f>'MKT DATA'!O1293</f>
        <v>0</v>
      </c>
      <c r="L260" s="8">
        <f>'MKT DATA'!P1293</f>
        <v>83943</v>
      </c>
      <c r="M260" s="8">
        <f>'MKT DATA'!Q1293</f>
        <v>0</v>
      </c>
      <c r="N260" s="8">
        <f>'MKT DATA'!R1293</f>
        <v>0</v>
      </c>
      <c r="O260" s="8">
        <f>'MKT DATA'!S1293</f>
        <v>-85571</v>
      </c>
      <c r="P260" s="8">
        <f>'MKT DATA'!T1293</f>
        <v>0</v>
      </c>
      <c r="Q260" s="43" t="str">
        <f t="shared" si="9"/>
        <v>syn BTCX6/BTCG7/BTCH7/BTCV6/BTCZ6/BTCF7</v>
      </c>
      <c r="R260" s="13">
        <f>'MKT DATA'!AB1293</f>
        <v>0</v>
      </c>
    </row>
    <row r="261" spans="5:18" x14ac:dyDescent="0.25">
      <c r="E261" s="43" t="str">
        <f>'MKT DATA'!B1294</f>
        <v>syn BTCX6/BTCG7/BTCH7/BTCZ6/BTCV6/BTCF7</v>
      </c>
      <c r="F261" s="13">
        <f>'MKT DATA'!J1294</f>
        <v>1</v>
      </c>
      <c r="G261" s="8">
        <f>'MKT DATA'!K1294</f>
        <v>83859</v>
      </c>
      <c r="H261" s="8">
        <f>'MKT DATA'!L1294</f>
        <v>85433</v>
      </c>
      <c r="I261" s="13">
        <f>'MKT DATA'!M1294</f>
        <v>1</v>
      </c>
      <c r="J261" s="43" t="str">
        <f t="shared" si="8"/>
        <v>syn BTCX6/BTCG7/BTCH7/BTCZ6/BTCV6/BTCF7</v>
      </c>
      <c r="K261" s="8">
        <f>'MKT DATA'!O1294</f>
        <v>0</v>
      </c>
      <c r="L261" s="8">
        <f>'MKT DATA'!P1294</f>
        <v>83859</v>
      </c>
      <c r="M261" s="8">
        <f>'MKT DATA'!Q1294</f>
        <v>0</v>
      </c>
      <c r="N261" s="8">
        <f>'MKT DATA'!R1294</f>
        <v>0</v>
      </c>
      <c r="O261" s="8">
        <f>'MKT DATA'!S1294</f>
        <v>-85433</v>
      </c>
      <c r="P261" s="8">
        <f>'MKT DATA'!T1294</f>
        <v>0</v>
      </c>
      <c r="Q261" s="43" t="str">
        <f t="shared" si="9"/>
        <v>syn BTCX6/BTCG7/BTCH7/BTCZ6/BTCV6/BTCF7</v>
      </c>
      <c r="R261" s="13">
        <f>'MKT DATA'!AB1294</f>
        <v>0</v>
      </c>
    </row>
    <row r="262" spans="5:18" x14ac:dyDescent="0.25">
      <c r="E262" s="43" t="str">
        <f>'MKT DATA'!B1295</f>
        <v>syn BTCX6/BTCH7/BTCV6/BTCZ6/BTCG7/BTCF7</v>
      </c>
      <c r="F262" s="13">
        <f>'MKT DATA'!J1295</f>
        <v>1</v>
      </c>
      <c r="G262" s="8">
        <f>'MKT DATA'!K1295</f>
        <v>83616</v>
      </c>
      <c r="H262" s="8">
        <f>'MKT DATA'!L1295</f>
        <v>85863</v>
      </c>
      <c r="I262" s="13">
        <f>'MKT DATA'!M1295</f>
        <v>1</v>
      </c>
      <c r="J262" s="43" t="str">
        <f t="shared" si="8"/>
        <v>syn BTCX6/BTCH7/BTCV6/BTCZ6/BTCG7/BTCF7</v>
      </c>
      <c r="K262" s="8">
        <f>'MKT DATA'!O1295</f>
        <v>0</v>
      </c>
      <c r="L262" s="8">
        <f>'MKT DATA'!P1295</f>
        <v>83616</v>
      </c>
      <c r="M262" s="8">
        <f>'MKT DATA'!Q1295</f>
        <v>0</v>
      </c>
      <c r="N262" s="8">
        <f>'MKT DATA'!R1295</f>
        <v>0</v>
      </c>
      <c r="O262" s="8">
        <f>'MKT DATA'!S1295</f>
        <v>-85863</v>
      </c>
      <c r="P262" s="8">
        <f>'MKT DATA'!T1295</f>
        <v>0</v>
      </c>
      <c r="Q262" s="43" t="str">
        <f t="shared" si="9"/>
        <v>syn BTCX6/BTCH7/BTCV6/BTCZ6/BTCG7/BTCF7</v>
      </c>
      <c r="R262" s="13">
        <f>'MKT DATA'!AB1295</f>
        <v>0</v>
      </c>
    </row>
    <row r="263" spans="5:18" x14ac:dyDescent="0.25">
      <c r="E263" s="43" t="str">
        <f>'MKT DATA'!B1296</f>
        <v>syn BTCX6/BTCH7/BTCV6/BTCG7/BTCZ6/BTCF7</v>
      </c>
      <c r="F263" s="13">
        <f>'MKT DATA'!J1296</f>
        <v>1</v>
      </c>
      <c r="G263" s="8">
        <f>'MKT DATA'!K1296</f>
        <v>83502</v>
      </c>
      <c r="H263" s="8">
        <f>'MKT DATA'!L1296</f>
        <v>85949</v>
      </c>
      <c r="I263" s="13">
        <f>'MKT DATA'!M1296</f>
        <v>1</v>
      </c>
      <c r="J263" s="43" t="str">
        <f t="shared" si="8"/>
        <v>syn BTCX6/BTCH7/BTCV6/BTCG7/BTCZ6/BTCF7</v>
      </c>
      <c r="K263" s="8">
        <f>'MKT DATA'!O1296</f>
        <v>0</v>
      </c>
      <c r="L263" s="8">
        <f>'MKT DATA'!P1296</f>
        <v>83502</v>
      </c>
      <c r="M263" s="8">
        <f>'MKT DATA'!Q1296</f>
        <v>0</v>
      </c>
      <c r="N263" s="8">
        <f>'MKT DATA'!R1296</f>
        <v>0</v>
      </c>
      <c r="O263" s="8">
        <f>'MKT DATA'!S1296</f>
        <v>-85949</v>
      </c>
      <c r="P263" s="8">
        <f>'MKT DATA'!T1296</f>
        <v>0</v>
      </c>
      <c r="Q263" s="43" t="str">
        <f t="shared" si="9"/>
        <v>syn BTCX6/BTCH7/BTCV6/BTCG7/BTCZ6/BTCF7</v>
      </c>
      <c r="R263" s="13">
        <f>'MKT DATA'!AB1296</f>
        <v>0</v>
      </c>
    </row>
    <row r="264" spans="5:18" x14ac:dyDescent="0.25">
      <c r="E264" s="43" t="str">
        <f>'MKT DATA'!B1297</f>
        <v>syn BTCX6/BTCH7/BTCZ6/BTCV6/BTCG7/BTCF7</v>
      </c>
      <c r="F264" s="13">
        <f>'MKT DATA'!J1297</f>
        <v>1</v>
      </c>
      <c r="G264" s="8">
        <f>'MKT DATA'!K1297</f>
        <v>83638</v>
      </c>
      <c r="H264" s="8">
        <f>'MKT DATA'!L1297</f>
        <v>85645</v>
      </c>
      <c r="I264" s="13">
        <f>'MKT DATA'!M1297</f>
        <v>1</v>
      </c>
      <c r="J264" s="43" t="str">
        <f t="shared" si="8"/>
        <v>syn BTCX6/BTCH7/BTCZ6/BTCV6/BTCG7/BTCF7</v>
      </c>
      <c r="K264" s="8">
        <f>'MKT DATA'!O1297</f>
        <v>0</v>
      </c>
      <c r="L264" s="8">
        <f>'MKT DATA'!P1297</f>
        <v>83638</v>
      </c>
      <c r="M264" s="8">
        <f>'MKT DATA'!Q1297</f>
        <v>0</v>
      </c>
      <c r="N264" s="8">
        <f>'MKT DATA'!R1297</f>
        <v>0</v>
      </c>
      <c r="O264" s="8">
        <f>'MKT DATA'!S1297</f>
        <v>-85645</v>
      </c>
      <c r="P264" s="8">
        <f>'MKT DATA'!T1297</f>
        <v>0</v>
      </c>
      <c r="Q264" s="43" t="str">
        <f t="shared" si="9"/>
        <v>syn BTCX6/BTCH7/BTCZ6/BTCV6/BTCG7/BTCF7</v>
      </c>
      <c r="R264" s="13">
        <f>'MKT DATA'!AB1297</f>
        <v>0</v>
      </c>
    </row>
    <row r="265" spans="5:18" x14ac:dyDescent="0.25">
      <c r="E265" s="43" t="str">
        <f>'MKT DATA'!B1298</f>
        <v>syn BTCX6/BTCH7/BTCZ6/BTCG7/BTCV6/BTCF7</v>
      </c>
      <c r="F265" s="13">
        <f>'MKT DATA'!J1298</f>
        <v>1</v>
      </c>
      <c r="G265" s="8">
        <f>'MKT DATA'!K1298</f>
        <v>83426</v>
      </c>
      <c r="H265" s="8">
        <f>'MKT DATA'!L1298</f>
        <v>85819</v>
      </c>
      <c r="I265" s="13">
        <f>'MKT DATA'!M1298</f>
        <v>1</v>
      </c>
      <c r="J265" s="43" t="str">
        <f t="shared" si="8"/>
        <v>syn BTCX6/BTCH7/BTCZ6/BTCG7/BTCV6/BTCF7</v>
      </c>
      <c r="K265" s="8">
        <f>'MKT DATA'!O1298</f>
        <v>0</v>
      </c>
      <c r="L265" s="8">
        <f>'MKT DATA'!P1298</f>
        <v>83426</v>
      </c>
      <c r="M265" s="8">
        <f>'MKT DATA'!Q1298</f>
        <v>0</v>
      </c>
      <c r="N265" s="8">
        <f>'MKT DATA'!R1298</f>
        <v>0</v>
      </c>
      <c r="O265" s="8">
        <f>'MKT DATA'!S1298</f>
        <v>-85819</v>
      </c>
      <c r="P265" s="8">
        <f>'MKT DATA'!T1298</f>
        <v>0</v>
      </c>
      <c r="Q265" s="43" t="str">
        <f t="shared" si="9"/>
        <v>syn BTCX6/BTCH7/BTCZ6/BTCG7/BTCV6/BTCF7</v>
      </c>
      <c r="R265" s="13">
        <f>'MKT DATA'!AB1298</f>
        <v>0</v>
      </c>
    </row>
    <row r="266" spans="5:18" x14ac:dyDescent="0.25">
      <c r="E266" s="43" t="str">
        <f>'MKT DATA'!B1299</f>
        <v>syn BTCX6/BTCH7/BTCG7/BTCV6/BTCZ6/BTCF7</v>
      </c>
      <c r="F266" s="13">
        <f>'MKT DATA'!J1299</f>
        <v>1</v>
      </c>
      <c r="G266" s="8">
        <f>'MKT DATA'!K1299</f>
        <v>83888</v>
      </c>
      <c r="H266" s="8">
        <f>'MKT DATA'!L1299</f>
        <v>85516</v>
      </c>
      <c r="I266" s="13">
        <f>'MKT DATA'!M1299</f>
        <v>1</v>
      </c>
      <c r="J266" s="43" t="str">
        <f t="shared" ref="J266:J329" si="10">E266</f>
        <v>syn BTCX6/BTCH7/BTCG7/BTCV6/BTCZ6/BTCF7</v>
      </c>
      <c r="K266" s="8">
        <f>'MKT DATA'!O1299</f>
        <v>0</v>
      </c>
      <c r="L266" s="8">
        <f>'MKT DATA'!P1299</f>
        <v>83888</v>
      </c>
      <c r="M266" s="8">
        <f>'MKT DATA'!Q1299</f>
        <v>0</v>
      </c>
      <c r="N266" s="8">
        <f>'MKT DATA'!R1299</f>
        <v>0</v>
      </c>
      <c r="O266" s="8">
        <f>'MKT DATA'!S1299</f>
        <v>-85516</v>
      </c>
      <c r="P266" s="8">
        <f>'MKT DATA'!T1299</f>
        <v>0</v>
      </c>
      <c r="Q266" s="43" t="str">
        <f t="shared" ref="Q266:Q329" si="11">J266</f>
        <v>syn BTCX6/BTCH7/BTCG7/BTCV6/BTCZ6/BTCF7</v>
      </c>
      <c r="R266" s="13">
        <f>'MKT DATA'!AB1299</f>
        <v>0</v>
      </c>
    </row>
    <row r="267" spans="5:18" x14ac:dyDescent="0.25">
      <c r="E267" s="43" t="str">
        <f>'MKT DATA'!B1300</f>
        <v>syn BTCX6/BTCH7/BTCG7/BTCZ6/BTCV6/BTCF7</v>
      </c>
      <c r="F267" s="13">
        <f>'MKT DATA'!J1300</f>
        <v>1</v>
      </c>
      <c r="G267" s="8">
        <f>'MKT DATA'!K1300</f>
        <v>83774</v>
      </c>
      <c r="H267" s="8">
        <f>'MKT DATA'!L1300</f>
        <v>85588</v>
      </c>
      <c r="I267" s="13">
        <f>'MKT DATA'!M1300</f>
        <v>1</v>
      </c>
      <c r="J267" s="43" t="str">
        <f t="shared" si="10"/>
        <v>syn BTCX6/BTCH7/BTCG7/BTCZ6/BTCV6/BTCF7</v>
      </c>
      <c r="K267" s="8">
        <f>'MKT DATA'!O1300</f>
        <v>0</v>
      </c>
      <c r="L267" s="8">
        <f>'MKT DATA'!P1300</f>
        <v>83774</v>
      </c>
      <c r="M267" s="8">
        <f>'MKT DATA'!Q1300</f>
        <v>0</v>
      </c>
      <c r="N267" s="8">
        <f>'MKT DATA'!R1300</f>
        <v>0</v>
      </c>
      <c r="O267" s="8">
        <f>'MKT DATA'!S1300</f>
        <v>-85588</v>
      </c>
      <c r="P267" s="8">
        <f>'MKT DATA'!T1300</f>
        <v>0</v>
      </c>
      <c r="Q267" s="43" t="str">
        <f t="shared" si="11"/>
        <v>syn BTCX6/BTCH7/BTCG7/BTCZ6/BTCV6/BTCF7</v>
      </c>
      <c r="R267" s="13">
        <f>'MKT DATA'!AB1300</f>
        <v>0</v>
      </c>
    </row>
    <row r="268" spans="5:18" x14ac:dyDescent="0.25">
      <c r="E268" s="43" t="str">
        <f>'MKT DATA'!B1301</f>
        <v>syn BTCZ6/BTCV6/BTCX6/BTCG7/BTCH7/BTCF7</v>
      </c>
      <c r="F268" s="13">
        <f>'MKT DATA'!J1301</f>
        <v>1</v>
      </c>
      <c r="G268" s="8">
        <f>'MKT DATA'!K1301</f>
        <v>83850</v>
      </c>
      <c r="H268" s="8">
        <f>'MKT DATA'!L1301</f>
        <v>85645</v>
      </c>
      <c r="I268" s="13">
        <f>'MKT DATA'!M1301</f>
        <v>1</v>
      </c>
      <c r="J268" s="43" t="str">
        <f t="shared" si="10"/>
        <v>syn BTCZ6/BTCV6/BTCX6/BTCG7/BTCH7/BTCF7</v>
      </c>
      <c r="K268" s="8">
        <f>'MKT DATA'!O1301</f>
        <v>0</v>
      </c>
      <c r="L268" s="8">
        <f>'MKT DATA'!P1301</f>
        <v>83850</v>
      </c>
      <c r="M268" s="8">
        <f>'MKT DATA'!Q1301</f>
        <v>0</v>
      </c>
      <c r="N268" s="8">
        <f>'MKT DATA'!R1301</f>
        <v>0</v>
      </c>
      <c r="O268" s="8">
        <f>'MKT DATA'!S1301</f>
        <v>-85645</v>
      </c>
      <c r="P268" s="8">
        <f>'MKT DATA'!T1301</f>
        <v>0</v>
      </c>
      <c r="Q268" s="43" t="str">
        <f t="shared" si="11"/>
        <v>syn BTCZ6/BTCV6/BTCX6/BTCG7/BTCH7/BTCF7</v>
      </c>
      <c r="R268" s="13">
        <f>'MKT DATA'!AB1301</f>
        <v>0</v>
      </c>
    </row>
    <row r="269" spans="5:18" x14ac:dyDescent="0.25">
      <c r="E269" s="43" t="str">
        <f>'MKT DATA'!B1302</f>
        <v>syn BTCZ6/BTCV6/BTCX6/BTCH7/BTCG7/BTCF7</v>
      </c>
      <c r="F269" s="13">
        <f>'MKT DATA'!J1302</f>
        <v>1</v>
      </c>
      <c r="G269" s="8">
        <f>'MKT DATA'!K1302</f>
        <v>83980</v>
      </c>
      <c r="H269" s="8">
        <f>'MKT DATA'!L1302</f>
        <v>85421</v>
      </c>
      <c r="I269" s="13">
        <f>'MKT DATA'!M1302</f>
        <v>1</v>
      </c>
      <c r="J269" s="43" t="str">
        <f t="shared" si="10"/>
        <v>syn BTCZ6/BTCV6/BTCX6/BTCH7/BTCG7/BTCF7</v>
      </c>
      <c r="K269" s="8">
        <f>'MKT DATA'!O1302</f>
        <v>0</v>
      </c>
      <c r="L269" s="8">
        <f>'MKT DATA'!P1302</f>
        <v>83980</v>
      </c>
      <c r="M269" s="8">
        <f>'MKT DATA'!Q1302</f>
        <v>0</v>
      </c>
      <c r="N269" s="8">
        <f>'MKT DATA'!R1302</f>
        <v>0</v>
      </c>
      <c r="O269" s="8">
        <f>'MKT DATA'!S1302</f>
        <v>-85421</v>
      </c>
      <c r="P269" s="8">
        <f>'MKT DATA'!T1302</f>
        <v>0</v>
      </c>
      <c r="Q269" s="43" t="str">
        <f t="shared" si="11"/>
        <v>syn BTCZ6/BTCV6/BTCX6/BTCH7/BTCG7/BTCF7</v>
      </c>
      <c r="R269" s="13">
        <f>'MKT DATA'!AB1302</f>
        <v>0</v>
      </c>
    </row>
    <row r="270" spans="5:18" x14ac:dyDescent="0.25">
      <c r="E270" s="43" t="str">
        <f>'MKT DATA'!B1303</f>
        <v>syn BTCZ6/BTCV6/BTCG7/BTCX6/BTCH7/BTCF7</v>
      </c>
      <c r="F270" s="13">
        <f>'MKT DATA'!J1303</f>
        <v>1</v>
      </c>
      <c r="G270" s="8">
        <f>'MKT DATA'!K1303</f>
        <v>83423</v>
      </c>
      <c r="H270" s="8">
        <f>'MKT DATA'!L1303</f>
        <v>86024</v>
      </c>
      <c r="I270" s="13">
        <f>'MKT DATA'!M1303</f>
        <v>1</v>
      </c>
      <c r="J270" s="43" t="str">
        <f t="shared" si="10"/>
        <v>syn BTCZ6/BTCV6/BTCG7/BTCX6/BTCH7/BTCF7</v>
      </c>
      <c r="K270" s="8">
        <f>'MKT DATA'!O1303</f>
        <v>0</v>
      </c>
      <c r="L270" s="8">
        <f>'MKT DATA'!P1303</f>
        <v>83423</v>
      </c>
      <c r="M270" s="8">
        <f>'MKT DATA'!Q1303</f>
        <v>0</v>
      </c>
      <c r="N270" s="8">
        <f>'MKT DATA'!R1303</f>
        <v>0</v>
      </c>
      <c r="O270" s="8">
        <f>'MKT DATA'!S1303</f>
        <v>-86024</v>
      </c>
      <c r="P270" s="8">
        <f>'MKT DATA'!T1303</f>
        <v>0</v>
      </c>
      <c r="Q270" s="43" t="str">
        <f t="shared" si="11"/>
        <v>syn BTCZ6/BTCV6/BTCG7/BTCX6/BTCH7/BTCF7</v>
      </c>
      <c r="R270" s="13">
        <f>'MKT DATA'!AB1303</f>
        <v>0</v>
      </c>
    </row>
    <row r="271" spans="5:18" x14ac:dyDescent="0.25">
      <c r="E271" s="43" t="str">
        <f>'MKT DATA'!B1304</f>
        <v>syn BTCZ6/BTCV6/BTCG7/BTCH7/BTCX6/BTCF7</v>
      </c>
      <c r="F271" s="13">
        <f>'MKT DATA'!J1304</f>
        <v>1</v>
      </c>
      <c r="G271" s="8">
        <f>'MKT DATA'!K1304</f>
        <v>83869</v>
      </c>
      <c r="H271" s="8">
        <f>'MKT DATA'!L1304</f>
        <v>85613</v>
      </c>
      <c r="I271" s="13">
        <f>'MKT DATA'!M1304</f>
        <v>1</v>
      </c>
      <c r="J271" s="43" t="str">
        <f t="shared" si="10"/>
        <v>syn BTCZ6/BTCV6/BTCG7/BTCH7/BTCX6/BTCF7</v>
      </c>
      <c r="K271" s="8">
        <f>'MKT DATA'!O1304</f>
        <v>0</v>
      </c>
      <c r="L271" s="8">
        <f>'MKT DATA'!P1304</f>
        <v>83869</v>
      </c>
      <c r="M271" s="8">
        <f>'MKT DATA'!Q1304</f>
        <v>0</v>
      </c>
      <c r="N271" s="8">
        <f>'MKT DATA'!R1304</f>
        <v>0</v>
      </c>
      <c r="O271" s="8">
        <f>'MKT DATA'!S1304</f>
        <v>-85613</v>
      </c>
      <c r="P271" s="8">
        <f>'MKT DATA'!T1304</f>
        <v>0</v>
      </c>
      <c r="Q271" s="43" t="str">
        <f t="shared" si="11"/>
        <v>syn BTCZ6/BTCV6/BTCG7/BTCH7/BTCX6/BTCF7</v>
      </c>
      <c r="R271" s="13">
        <f>'MKT DATA'!AB1304</f>
        <v>0</v>
      </c>
    </row>
    <row r="272" spans="5:18" x14ac:dyDescent="0.25">
      <c r="E272" s="43" t="str">
        <f>'MKT DATA'!B1305</f>
        <v>syn BTCZ6/BTCV6/BTCH7/BTCX6/BTCG7/BTCF7</v>
      </c>
      <c r="F272" s="13">
        <f>'MKT DATA'!J1305</f>
        <v>1</v>
      </c>
      <c r="G272" s="8">
        <f>'MKT DATA'!K1305</f>
        <v>83608</v>
      </c>
      <c r="H272" s="8">
        <f>'MKT DATA'!L1305</f>
        <v>85855</v>
      </c>
      <c r="I272" s="13">
        <f>'MKT DATA'!M1305</f>
        <v>1</v>
      </c>
      <c r="J272" s="43" t="str">
        <f t="shared" si="10"/>
        <v>syn BTCZ6/BTCV6/BTCH7/BTCX6/BTCG7/BTCF7</v>
      </c>
      <c r="K272" s="8">
        <f>'MKT DATA'!O1305</f>
        <v>0</v>
      </c>
      <c r="L272" s="8">
        <f>'MKT DATA'!P1305</f>
        <v>83608</v>
      </c>
      <c r="M272" s="8">
        <f>'MKT DATA'!Q1305</f>
        <v>0</v>
      </c>
      <c r="N272" s="8">
        <f>'MKT DATA'!R1305</f>
        <v>0</v>
      </c>
      <c r="O272" s="8">
        <f>'MKT DATA'!S1305</f>
        <v>-85855</v>
      </c>
      <c r="P272" s="8">
        <f>'MKT DATA'!T1305</f>
        <v>0</v>
      </c>
      <c r="Q272" s="43" t="str">
        <f t="shared" si="11"/>
        <v>syn BTCZ6/BTCV6/BTCH7/BTCX6/BTCG7/BTCF7</v>
      </c>
      <c r="R272" s="13">
        <f>'MKT DATA'!AB1305</f>
        <v>0</v>
      </c>
    </row>
    <row r="273" spans="5:18" x14ac:dyDescent="0.25">
      <c r="E273" s="43" t="str">
        <f>'MKT DATA'!B1306</f>
        <v>syn BTCZ6/BTCV6/BTCH7/BTCG7/BTCX6/BTCF7</v>
      </c>
      <c r="F273" s="13">
        <f>'MKT DATA'!J1306</f>
        <v>1</v>
      </c>
      <c r="G273" s="8">
        <f>'MKT DATA'!K1306</f>
        <v>83814</v>
      </c>
      <c r="H273" s="8">
        <f>'MKT DATA'!L1306</f>
        <v>85558</v>
      </c>
      <c r="I273" s="13">
        <f>'MKT DATA'!M1306</f>
        <v>1</v>
      </c>
      <c r="J273" s="43" t="str">
        <f t="shared" si="10"/>
        <v>syn BTCZ6/BTCV6/BTCH7/BTCG7/BTCX6/BTCF7</v>
      </c>
      <c r="K273" s="8">
        <f>'MKT DATA'!O1306</f>
        <v>0</v>
      </c>
      <c r="L273" s="8">
        <f>'MKT DATA'!P1306</f>
        <v>83814</v>
      </c>
      <c r="M273" s="8">
        <f>'MKT DATA'!Q1306</f>
        <v>0</v>
      </c>
      <c r="N273" s="8">
        <f>'MKT DATA'!R1306</f>
        <v>0</v>
      </c>
      <c r="O273" s="8">
        <f>'MKT DATA'!S1306</f>
        <v>-85558</v>
      </c>
      <c r="P273" s="8">
        <f>'MKT DATA'!T1306</f>
        <v>0</v>
      </c>
      <c r="Q273" s="43" t="str">
        <f t="shared" si="11"/>
        <v>syn BTCZ6/BTCV6/BTCH7/BTCG7/BTCX6/BTCF7</v>
      </c>
      <c r="R273" s="13">
        <f>'MKT DATA'!AB1306</f>
        <v>0</v>
      </c>
    </row>
    <row r="274" spans="5:18" x14ac:dyDescent="0.25">
      <c r="E274" s="43" t="str">
        <f>'MKT DATA'!B1307</f>
        <v>syn BTCZ6/BTCX6/BTCV6/BTCG7/BTCH7/BTCF7</v>
      </c>
      <c r="F274" s="13">
        <f>'MKT DATA'!J1307</f>
        <v>1</v>
      </c>
      <c r="G274" s="8">
        <f>'MKT DATA'!K1307</f>
        <v>83873</v>
      </c>
      <c r="H274" s="8">
        <f>'MKT DATA'!L1307</f>
        <v>85629</v>
      </c>
      <c r="I274" s="13">
        <f>'MKT DATA'!M1307</f>
        <v>1</v>
      </c>
      <c r="J274" s="43" t="str">
        <f t="shared" si="10"/>
        <v>syn BTCZ6/BTCX6/BTCV6/BTCG7/BTCH7/BTCF7</v>
      </c>
      <c r="K274" s="8">
        <f>'MKT DATA'!O1307</f>
        <v>0</v>
      </c>
      <c r="L274" s="8">
        <f>'MKT DATA'!P1307</f>
        <v>83873</v>
      </c>
      <c r="M274" s="8">
        <f>'MKT DATA'!Q1307</f>
        <v>0</v>
      </c>
      <c r="N274" s="8">
        <f>'MKT DATA'!R1307</f>
        <v>0</v>
      </c>
      <c r="O274" s="8">
        <f>'MKT DATA'!S1307</f>
        <v>-85629</v>
      </c>
      <c r="P274" s="8">
        <f>'MKT DATA'!T1307</f>
        <v>0</v>
      </c>
      <c r="Q274" s="43" t="str">
        <f t="shared" si="11"/>
        <v>syn BTCZ6/BTCX6/BTCV6/BTCG7/BTCH7/BTCF7</v>
      </c>
      <c r="R274" s="13">
        <f>'MKT DATA'!AB1307</f>
        <v>0</v>
      </c>
    </row>
    <row r="275" spans="5:18" x14ac:dyDescent="0.25">
      <c r="E275" s="43" t="str">
        <f>'MKT DATA'!B1308</f>
        <v>syn BTCZ6/BTCX6/BTCV6/BTCH7/BTCG7/BTCF7</v>
      </c>
      <c r="F275" s="13">
        <f>'MKT DATA'!J1308</f>
        <v>1</v>
      </c>
      <c r="G275" s="8">
        <f>'MKT DATA'!K1308</f>
        <v>84003</v>
      </c>
      <c r="H275" s="8">
        <f>'MKT DATA'!L1308</f>
        <v>85405</v>
      </c>
      <c r="I275" s="13">
        <f>'MKT DATA'!M1308</f>
        <v>1</v>
      </c>
      <c r="J275" s="43" t="str">
        <f t="shared" si="10"/>
        <v>syn BTCZ6/BTCX6/BTCV6/BTCH7/BTCG7/BTCF7</v>
      </c>
      <c r="K275" s="8">
        <f>'MKT DATA'!O1308</f>
        <v>0</v>
      </c>
      <c r="L275" s="8">
        <f>'MKT DATA'!P1308</f>
        <v>84003</v>
      </c>
      <c r="M275" s="8">
        <f>'MKT DATA'!Q1308</f>
        <v>0</v>
      </c>
      <c r="N275" s="8">
        <f>'MKT DATA'!R1308</f>
        <v>0</v>
      </c>
      <c r="O275" s="8">
        <f>'MKT DATA'!S1308</f>
        <v>-85405</v>
      </c>
      <c r="P275" s="8">
        <f>'MKT DATA'!T1308</f>
        <v>0</v>
      </c>
      <c r="Q275" s="43" t="str">
        <f t="shared" si="11"/>
        <v>syn BTCZ6/BTCX6/BTCV6/BTCH7/BTCG7/BTCF7</v>
      </c>
      <c r="R275" s="13">
        <f>'MKT DATA'!AB1308</f>
        <v>0</v>
      </c>
    </row>
    <row r="276" spans="5:18" x14ac:dyDescent="0.25">
      <c r="E276" s="43" t="str">
        <f>'MKT DATA'!B1309</f>
        <v>syn BTCZ6/BTCX6/BTCG7/BTCV6/BTCH7/BTCF7</v>
      </c>
      <c r="F276" s="13">
        <f>'MKT DATA'!J1309</f>
        <v>1</v>
      </c>
      <c r="G276" s="8">
        <f>'MKT DATA'!K1309</f>
        <v>83439</v>
      </c>
      <c r="H276" s="8">
        <f>'MKT DATA'!L1309</f>
        <v>86001</v>
      </c>
      <c r="I276" s="13">
        <f>'MKT DATA'!M1309</f>
        <v>1</v>
      </c>
      <c r="J276" s="43" t="str">
        <f t="shared" si="10"/>
        <v>syn BTCZ6/BTCX6/BTCG7/BTCV6/BTCH7/BTCF7</v>
      </c>
      <c r="K276" s="8">
        <f>'MKT DATA'!O1309</f>
        <v>0</v>
      </c>
      <c r="L276" s="8">
        <f>'MKT DATA'!P1309</f>
        <v>83439</v>
      </c>
      <c r="M276" s="8">
        <f>'MKT DATA'!Q1309</f>
        <v>0</v>
      </c>
      <c r="N276" s="8">
        <f>'MKT DATA'!R1309</f>
        <v>0</v>
      </c>
      <c r="O276" s="8">
        <f>'MKT DATA'!S1309</f>
        <v>-86001</v>
      </c>
      <c r="P276" s="8">
        <f>'MKT DATA'!T1309</f>
        <v>0</v>
      </c>
      <c r="Q276" s="43" t="str">
        <f t="shared" si="11"/>
        <v>syn BTCZ6/BTCX6/BTCG7/BTCV6/BTCH7/BTCF7</v>
      </c>
      <c r="R276" s="13">
        <f>'MKT DATA'!AB1309</f>
        <v>0</v>
      </c>
    </row>
    <row r="277" spans="5:18" x14ac:dyDescent="0.25">
      <c r="E277" s="43" t="str">
        <f>'MKT DATA'!B1310</f>
        <v>syn BTCZ6/BTCX6/BTCG7/BTCH7/BTCV6/BTCF7</v>
      </c>
      <c r="F277" s="13">
        <f>'MKT DATA'!J1310</f>
        <v>1</v>
      </c>
      <c r="G277" s="8">
        <f>'MKT DATA'!K1310</f>
        <v>83845</v>
      </c>
      <c r="H277" s="8">
        <f>'MKT DATA'!L1310</f>
        <v>85620</v>
      </c>
      <c r="I277" s="13">
        <f>'MKT DATA'!M1310</f>
        <v>1</v>
      </c>
      <c r="J277" s="43" t="str">
        <f t="shared" si="10"/>
        <v>syn BTCZ6/BTCX6/BTCG7/BTCH7/BTCV6/BTCF7</v>
      </c>
      <c r="K277" s="8">
        <f>'MKT DATA'!O1310</f>
        <v>0</v>
      </c>
      <c r="L277" s="8">
        <f>'MKT DATA'!P1310</f>
        <v>83845</v>
      </c>
      <c r="M277" s="8">
        <f>'MKT DATA'!Q1310</f>
        <v>0</v>
      </c>
      <c r="N277" s="8">
        <f>'MKT DATA'!R1310</f>
        <v>0</v>
      </c>
      <c r="O277" s="8">
        <f>'MKT DATA'!S1310</f>
        <v>-85620</v>
      </c>
      <c r="P277" s="8">
        <f>'MKT DATA'!T1310</f>
        <v>0</v>
      </c>
      <c r="Q277" s="43" t="str">
        <f t="shared" si="11"/>
        <v>syn BTCZ6/BTCX6/BTCG7/BTCH7/BTCV6/BTCF7</v>
      </c>
      <c r="R277" s="13">
        <f>'MKT DATA'!AB1310</f>
        <v>0</v>
      </c>
    </row>
    <row r="278" spans="5:18" x14ac:dyDescent="0.25">
      <c r="E278" s="43" t="str">
        <f>'MKT DATA'!B1311</f>
        <v>syn BTCZ6/BTCX6/BTCH7/BTCV6/BTCG7/BTCF7</v>
      </c>
      <c r="F278" s="13">
        <f>'MKT DATA'!J1311</f>
        <v>1</v>
      </c>
      <c r="G278" s="8">
        <f>'MKT DATA'!K1311</f>
        <v>83624</v>
      </c>
      <c r="H278" s="8">
        <f>'MKT DATA'!L1311</f>
        <v>85832</v>
      </c>
      <c r="I278" s="13">
        <f>'MKT DATA'!M1311</f>
        <v>1</v>
      </c>
      <c r="J278" s="43" t="str">
        <f t="shared" si="10"/>
        <v>syn BTCZ6/BTCX6/BTCH7/BTCV6/BTCG7/BTCF7</v>
      </c>
      <c r="K278" s="8">
        <f>'MKT DATA'!O1311</f>
        <v>0</v>
      </c>
      <c r="L278" s="8">
        <f>'MKT DATA'!P1311</f>
        <v>83624</v>
      </c>
      <c r="M278" s="8">
        <f>'MKT DATA'!Q1311</f>
        <v>0</v>
      </c>
      <c r="N278" s="8">
        <f>'MKT DATA'!R1311</f>
        <v>0</v>
      </c>
      <c r="O278" s="8">
        <f>'MKT DATA'!S1311</f>
        <v>-85832</v>
      </c>
      <c r="P278" s="8">
        <f>'MKT DATA'!T1311</f>
        <v>0</v>
      </c>
      <c r="Q278" s="43" t="str">
        <f t="shared" si="11"/>
        <v>syn BTCZ6/BTCX6/BTCH7/BTCV6/BTCG7/BTCF7</v>
      </c>
      <c r="R278" s="13">
        <f>'MKT DATA'!AB1311</f>
        <v>0</v>
      </c>
    </row>
    <row r="279" spans="5:18" x14ac:dyDescent="0.25">
      <c r="E279" s="43" t="str">
        <f>'MKT DATA'!B1312</f>
        <v>syn BTCZ6/BTCX6/BTCH7/BTCG7/BTCV6/BTCF7</v>
      </c>
      <c r="F279" s="13">
        <f>'MKT DATA'!J1312</f>
        <v>1</v>
      </c>
      <c r="G279" s="8">
        <f>'MKT DATA'!K1312</f>
        <v>83790</v>
      </c>
      <c r="H279" s="8">
        <f>'MKT DATA'!L1312</f>
        <v>85565</v>
      </c>
      <c r="I279" s="13">
        <f>'MKT DATA'!M1312</f>
        <v>1</v>
      </c>
      <c r="J279" s="43" t="str">
        <f t="shared" si="10"/>
        <v>syn BTCZ6/BTCX6/BTCH7/BTCG7/BTCV6/BTCF7</v>
      </c>
      <c r="K279" s="8">
        <f>'MKT DATA'!O1312</f>
        <v>0</v>
      </c>
      <c r="L279" s="8">
        <f>'MKT DATA'!P1312</f>
        <v>83790</v>
      </c>
      <c r="M279" s="8">
        <f>'MKT DATA'!Q1312</f>
        <v>0</v>
      </c>
      <c r="N279" s="8">
        <f>'MKT DATA'!R1312</f>
        <v>0</v>
      </c>
      <c r="O279" s="8">
        <f>'MKT DATA'!S1312</f>
        <v>-85565</v>
      </c>
      <c r="P279" s="8">
        <f>'MKT DATA'!T1312</f>
        <v>0</v>
      </c>
      <c r="Q279" s="43" t="str">
        <f t="shared" si="11"/>
        <v>syn BTCZ6/BTCX6/BTCH7/BTCG7/BTCV6/BTCF7</v>
      </c>
      <c r="R279" s="13">
        <f>'MKT DATA'!AB1312</f>
        <v>0</v>
      </c>
    </row>
    <row r="280" spans="5:18" x14ac:dyDescent="0.25">
      <c r="E280" s="43" t="str">
        <f>'MKT DATA'!B1313</f>
        <v>syn BTCZ6/BTCG7/BTCV6/BTCX6/BTCH7/BTCF7</v>
      </c>
      <c r="F280" s="13">
        <f>'MKT DATA'!J1313</f>
        <v>1</v>
      </c>
      <c r="G280" s="8">
        <f>'MKT DATA'!K1313</f>
        <v>83417</v>
      </c>
      <c r="H280" s="8">
        <f>'MKT DATA'!L1313</f>
        <v>86031</v>
      </c>
      <c r="I280" s="13">
        <f>'MKT DATA'!M1313</f>
        <v>1</v>
      </c>
      <c r="J280" s="43" t="str">
        <f t="shared" si="10"/>
        <v>syn BTCZ6/BTCG7/BTCV6/BTCX6/BTCH7/BTCF7</v>
      </c>
      <c r="K280" s="8">
        <f>'MKT DATA'!O1313</f>
        <v>0</v>
      </c>
      <c r="L280" s="8">
        <f>'MKT DATA'!P1313</f>
        <v>83417</v>
      </c>
      <c r="M280" s="8">
        <f>'MKT DATA'!Q1313</f>
        <v>0</v>
      </c>
      <c r="N280" s="8">
        <f>'MKT DATA'!R1313</f>
        <v>0</v>
      </c>
      <c r="O280" s="8">
        <f>'MKT DATA'!S1313</f>
        <v>-86031</v>
      </c>
      <c r="P280" s="8">
        <f>'MKT DATA'!T1313</f>
        <v>0</v>
      </c>
      <c r="Q280" s="43" t="str">
        <f t="shared" si="11"/>
        <v>syn BTCZ6/BTCG7/BTCV6/BTCX6/BTCH7/BTCF7</v>
      </c>
      <c r="R280" s="13">
        <f>'MKT DATA'!AB1313</f>
        <v>0</v>
      </c>
    </row>
    <row r="281" spans="5:18" x14ac:dyDescent="0.25">
      <c r="E281" s="43" t="str">
        <f>'MKT DATA'!B1314</f>
        <v>syn BTCZ6/BTCG7/BTCV6/BTCH7/BTCX6/BTCF7</v>
      </c>
      <c r="F281" s="13">
        <f>'MKT DATA'!J1314</f>
        <v>1</v>
      </c>
      <c r="G281" s="8">
        <f>'MKT DATA'!K1314</f>
        <v>83436</v>
      </c>
      <c r="H281" s="8">
        <f>'MKT DATA'!L1314</f>
        <v>85999</v>
      </c>
      <c r="I281" s="13">
        <f>'MKT DATA'!M1314</f>
        <v>1</v>
      </c>
      <c r="J281" s="43" t="str">
        <f t="shared" si="10"/>
        <v>syn BTCZ6/BTCG7/BTCV6/BTCH7/BTCX6/BTCF7</v>
      </c>
      <c r="K281" s="8">
        <f>'MKT DATA'!O1314</f>
        <v>0</v>
      </c>
      <c r="L281" s="8">
        <f>'MKT DATA'!P1314</f>
        <v>83436</v>
      </c>
      <c r="M281" s="8">
        <f>'MKT DATA'!Q1314</f>
        <v>0</v>
      </c>
      <c r="N281" s="8">
        <f>'MKT DATA'!R1314</f>
        <v>0</v>
      </c>
      <c r="O281" s="8">
        <f>'MKT DATA'!S1314</f>
        <v>-85999</v>
      </c>
      <c r="P281" s="8">
        <f>'MKT DATA'!T1314</f>
        <v>0</v>
      </c>
      <c r="Q281" s="43" t="str">
        <f t="shared" si="11"/>
        <v>syn BTCZ6/BTCG7/BTCV6/BTCH7/BTCX6/BTCF7</v>
      </c>
      <c r="R281" s="13">
        <f>'MKT DATA'!AB1314</f>
        <v>0</v>
      </c>
    </row>
    <row r="282" spans="5:18" x14ac:dyDescent="0.25">
      <c r="E282" s="43" t="str">
        <f>'MKT DATA'!B1315</f>
        <v>syn BTCZ6/BTCG7/BTCX6/BTCV6/BTCH7/BTCF7</v>
      </c>
      <c r="F282" s="13">
        <f>'MKT DATA'!J1315</f>
        <v>1</v>
      </c>
      <c r="G282" s="8">
        <f>'MKT DATA'!K1315</f>
        <v>83424</v>
      </c>
      <c r="H282" s="8">
        <f>'MKT DATA'!L1315</f>
        <v>86038</v>
      </c>
      <c r="I282" s="13">
        <f>'MKT DATA'!M1315</f>
        <v>1</v>
      </c>
      <c r="J282" s="43" t="str">
        <f t="shared" si="10"/>
        <v>syn BTCZ6/BTCG7/BTCX6/BTCV6/BTCH7/BTCF7</v>
      </c>
      <c r="K282" s="8">
        <f>'MKT DATA'!O1315</f>
        <v>0</v>
      </c>
      <c r="L282" s="8">
        <f>'MKT DATA'!P1315</f>
        <v>83424</v>
      </c>
      <c r="M282" s="8">
        <f>'MKT DATA'!Q1315</f>
        <v>0</v>
      </c>
      <c r="N282" s="8">
        <f>'MKT DATA'!R1315</f>
        <v>0</v>
      </c>
      <c r="O282" s="8">
        <f>'MKT DATA'!S1315</f>
        <v>-86038</v>
      </c>
      <c r="P282" s="8">
        <f>'MKT DATA'!T1315</f>
        <v>0</v>
      </c>
      <c r="Q282" s="43" t="str">
        <f t="shared" si="11"/>
        <v>syn BTCZ6/BTCG7/BTCX6/BTCV6/BTCH7/BTCF7</v>
      </c>
      <c r="R282" s="13">
        <f>'MKT DATA'!AB1315</f>
        <v>0</v>
      </c>
    </row>
    <row r="283" spans="5:18" x14ac:dyDescent="0.25">
      <c r="E283" s="43" t="str">
        <f>'MKT DATA'!B1316</f>
        <v>syn BTCZ6/BTCG7/BTCX6/BTCH7/BTCV6/BTCF7</v>
      </c>
      <c r="F283" s="13">
        <f>'MKT DATA'!J1316</f>
        <v>1</v>
      </c>
      <c r="G283" s="8">
        <f>'MKT DATA'!K1316</f>
        <v>83396</v>
      </c>
      <c r="H283" s="8">
        <f>'MKT DATA'!L1316</f>
        <v>86029</v>
      </c>
      <c r="I283" s="13">
        <f>'MKT DATA'!M1316</f>
        <v>1</v>
      </c>
      <c r="J283" s="43" t="str">
        <f t="shared" si="10"/>
        <v>syn BTCZ6/BTCG7/BTCX6/BTCH7/BTCV6/BTCF7</v>
      </c>
      <c r="K283" s="8">
        <f>'MKT DATA'!O1316</f>
        <v>0</v>
      </c>
      <c r="L283" s="8">
        <f>'MKT DATA'!P1316</f>
        <v>83396</v>
      </c>
      <c r="M283" s="8">
        <f>'MKT DATA'!Q1316</f>
        <v>0</v>
      </c>
      <c r="N283" s="8">
        <f>'MKT DATA'!R1316</f>
        <v>0</v>
      </c>
      <c r="O283" s="8">
        <f>'MKT DATA'!S1316</f>
        <v>-86029</v>
      </c>
      <c r="P283" s="8">
        <f>'MKT DATA'!T1316</f>
        <v>0</v>
      </c>
      <c r="Q283" s="43" t="str">
        <f t="shared" si="11"/>
        <v>syn BTCZ6/BTCG7/BTCX6/BTCH7/BTCV6/BTCF7</v>
      </c>
      <c r="R283" s="13">
        <f>'MKT DATA'!AB1316</f>
        <v>0</v>
      </c>
    </row>
    <row r="284" spans="5:18" x14ac:dyDescent="0.25">
      <c r="E284" s="43" t="str">
        <f>'MKT DATA'!B1317</f>
        <v>syn BTCZ6/BTCG7/BTCH7/BTCV6/BTCX6/BTCF7</v>
      </c>
      <c r="F284" s="13">
        <f>'MKT DATA'!J1317</f>
        <v>1</v>
      </c>
      <c r="G284" s="8">
        <f>'MKT DATA'!K1317</f>
        <v>83863</v>
      </c>
      <c r="H284" s="8">
        <f>'MKT DATA'!L1317</f>
        <v>85620</v>
      </c>
      <c r="I284" s="13">
        <f>'MKT DATA'!M1317</f>
        <v>1</v>
      </c>
      <c r="J284" s="43" t="str">
        <f t="shared" si="10"/>
        <v>syn BTCZ6/BTCG7/BTCH7/BTCV6/BTCX6/BTCF7</v>
      </c>
      <c r="K284" s="8">
        <f>'MKT DATA'!O1317</f>
        <v>0</v>
      </c>
      <c r="L284" s="8">
        <f>'MKT DATA'!P1317</f>
        <v>83863</v>
      </c>
      <c r="M284" s="8">
        <f>'MKT DATA'!Q1317</f>
        <v>0</v>
      </c>
      <c r="N284" s="8">
        <f>'MKT DATA'!R1317</f>
        <v>0</v>
      </c>
      <c r="O284" s="8">
        <f>'MKT DATA'!S1317</f>
        <v>-85620</v>
      </c>
      <c r="P284" s="8">
        <f>'MKT DATA'!T1317</f>
        <v>0</v>
      </c>
      <c r="Q284" s="43" t="str">
        <f t="shared" si="11"/>
        <v>syn BTCZ6/BTCG7/BTCH7/BTCV6/BTCX6/BTCF7</v>
      </c>
      <c r="R284" s="13">
        <f>'MKT DATA'!AB1317</f>
        <v>0</v>
      </c>
    </row>
    <row r="285" spans="5:18" x14ac:dyDescent="0.25">
      <c r="E285" s="43" t="str">
        <f>'MKT DATA'!B1318</f>
        <v>syn BTCZ6/BTCG7/BTCH7/BTCX6/BTCV6/BTCF7</v>
      </c>
      <c r="F285" s="13">
        <f>'MKT DATA'!J1318</f>
        <v>1</v>
      </c>
      <c r="G285" s="8">
        <f>'MKT DATA'!K1318</f>
        <v>83830</v>
      </c>
      <c r="H285" s="8">
        <f>'MKT DATA'!L1318</f>
        <v>85657</v>
      </c>
      <c r="I285" s="13">
        <f>'MKT DATA'!M1318</f>
        <v>1</v>
      </c>
      <c r="J285" s="43" t="str">
        <f t="shared" si="10"/>
        <v>syn BTCZ6/BTCG7/BTCH7/BTCX6/BTCV6/BTCF7</v>
      </c>
      <c r="K285" s="8">
        <f>'MKT DATA'!O1318</f>
        <v>0</v>
      </c>
      <c r="L285" s="8">
        <f>'MKT DATA'!P1318</f>
        <v>83830</v>
      </c>
      <c r="M285" s="8">
        <f>'MKT DATA'!Q1318</f>
        <v>0</v>
      </c>
      <c r="N285" s="8">
        <f>'MKT DATA'!R1318</f>
        <v>0</v>
      </c>
      <c r="O285" s="8">
        <f>'MKT DATA'!S1318</f>
        <v>-85657</v>
      </c>
      <c r="P285" s="8">
        <f>'MKT DATA'!T1318</f>
        <v>0</v>
      </c>
      <c r="Q285" s="43" t="str">
        <f t="shared" si="11"/>
        <v>syn BTCZ6/BTCG7/BTCH7/BTCX6/BTCV6/BTCF7</v>
      </c>
      <c r="R285" s="13">
        <f>'MKT DATA'!AB1318</f>
        <v>0</v>
      </c>
    </row>
    <row r="286" spans="5:18" x14ac:dyDescent="0.25">
      <c r="E286" s="43" t="str">
        <f>'MKT DATA'!B1319</f>
        <v>syn BTCZ6/BTCH7/BTCV6/BTCX6/BTCG7/BTCF7</v>
      </c>
      <c r="F286" s="13">
        <f>'MKT DATA'!J1319</f>
        <v>1</v>
      </c>
      <c r="G286" s="8">
        <f>'MKT DATA'!K1319</f>
        <v>83812</v>
      </c>
      <c r="H286" s="8">
        <f>'MKT DATA'!L1319</f>
        <v>85832</v>
      </c>
      <c r="I286" s="13">
        <f>'MKT DATA'!M1319</f>
        <v>1</v>
      </c>
      <c r="J286" s="43" t="str">
        <f t="shared" si="10"/>
        <v>syn BTCZ6/BTCH7/BTCV6/BTCX6/BTCG7/BTCF7</v>
      </c>
      <c r="K286" s="8">
        <f>'MKT DATA'!O1319</f>
        <v>0</v>
      </c>
      <c r="L286" s="8">
        <f>'MKT DATA'!P1319</f>
        <v>83812</v>
      </c>
      <c r="M286" s="8">
        <f>'MKT DATA'!Q1319</f>
        <v>0</v>
      </c>
      <c r="N286" s="8">
        <f>'MKT DATA'!R1319</f>
        <v>0</v>
      </c>
      <c r="O286" s="8">
        <f>'MKT DATA'!S1319</f>
        <v>-85832</v>
      </c>
      <c r="P286" s="8">
        <f>'MKT DATA'!T1319</f>
        <v>0</v>
      </c>
      <c r="Q286" s="43" t="str">
        <f t="shared" si="11"/>
        <v>syn BTCZ6/BTCH7/BTCV6/BTCX6/BTCG7/BTCF7</v>
      </c>
      <c r="R286" s="13">
        <f>'MKT DATA'!AB1319</f>
        <v>0</v>
      </c>
    </row>
    <row r="287" spans="5:18" x14ac:dyDescent="0.25">
      <c r="E287" s="43" t="str">
        <f>'MKT DATA'!B1320</f>
        <v>syn BTCZ6/BTCH7/BTCV6/BTCG7/BTCX6/BTCF7</v>
      </c>
      <c r="F287" s="13">
        <f>'MKT DATA'!J1320</f>
        <v>1</v>
      </c>
      <c r="G287" s="8">
        <f>'MKT DATA'!K1320</f>
        <v>83646</v>
      </c>
      <c r="H287" s="8">
        <f>'MKT DATA'!L1320</f>
        <v>85969</v>
      </c>
      <c r="I287" s="13">
        <f>'MKT DATA'!M1320</f>
        <v>1</v>
      </c>
      <c r="J287" s="43" t="str">
        <f t="shared" si="10"/>
        <v>syn BTCZ6/BTCH7/BTCV6/BTCG7/BTCX6/BTCF7</v>
      </c>
      <c r="K287" s="8">
        <f>'MKT DATA'!O1320</f>
        <v>0</v>
      </c>
      <c r="L287" s="8">
        <f>'MKT DATA'!P1320</f>
        <v>83646</v>
      </c>
      <c r="M287" s="8">
        <f>'MKT DATA'!Q1320</f>
        <v>0</v>
      </c>
      <c r="N287" s="8">
        <f>'MKT DATA'!R1320</f>
        <v>0</v>
      </c>
      <c r="O287" s="8">
        <f>'MKT DATA'!S1320</f>
        <v>-85969</v>
      </c>
      <c r="P287" s="8">
        <f>'MKT DATA'!T1320</f>
        <v>0</v>
      </c>
      <c r="Q287" s="43" t="str">
        <f t="shared" si="11"/>
        <v>syn BTCZ6/BTCH7/BTCV6/BTCG7/BTCX6/BTCF7</v>
      </c>
      <c r="R287" s="13">
        <f>'MKT DATA'!AB1320</f>
        <v>0</v>
      </c>
    </row>
    <row r="288" spans="5:18" x14ac:dyDescent="0.25">
      <c r="E288" s="43" t="str">
        <f>'MKT DATA'!B1321</f>
        <v>syn BTCZ6/BTCH7/BTCX6/BTCV6/BTCG7/BTCF7</v>
      </c>
      <c r="F288" s="13">
        <f>'MKT DATA'!J1321</f>
        <v>1</v>
      </c>
      <c r="G288" s="8">
        <f>'MKT DATA'!K1321</f>
        <v>83819</v>
      </c>
      <c r="H288" s="8">
        <f>'MKT DATA'!L1321</f>
        <v>85839</v>
      </c>
      <c r="I288" s="13">
        <f>'MKT DATA'!M1321</f>
        <v>1</v>
      </c>
      <c r="J288" s="43" t="str">
        <f t="shared" si="10"/>
        <v>syn BTCZ6/BTCH7/BTCX6/BTCV6/BTCG7/BTCF7</v>
      </c>
      <c r="K288" s="8">
        <f>'MKT DATA'!O1321</f>
        <v>0</v>
      </c>
      <c r="L288" s="8">
        <f>'MKT DATA'!P1321</f>
        <v>83819</v>
      </c>
      <c r="M288" s="8">
        <f>'MKT DATA'!Q1321</f>
        <v>0</v>
      </c>
      <c r="N288" s="8">
        <f>'MKT DATA'!R1321</f>
        <v>0</v>
      </c>
      <c r="O288" s="8">
        <f>'MKT DATA'!S1321</f>
        <v>-85839</v>
      </c>
      <c r="P288" s="8">
        <f>'MKT DATA'!T1321</f>
        <v>0</v>
      </c>
      <c r="Q288" s="43" t="str">
        <f t="shared" si="11"/>
        <v>syn BTCZ6/BTCH7/BTCX6/BTCV6/BTCG7/BTCF7</v>
      </c>
      <c r="R288" s="13">
        <f>'MKT DATA'!AB1321</f>
        <v>0</v>
      </c>
    </row>
    <row r="289" spans="5:18" x14ac:dyDescent="0.25">
      <c r="E289" s="43" t="str">
        <f>'MKT DATA'!B1322</f>
        <v>syn BTCZ6/BTCH7/BTCX6/BTCG7/BTCV6/BTCF7</v>
      </c>
      <c r="F289" s="13">
        <f>'MKT DATA'!J1322</f>
        <v>1</v>
      </c>
      <c r="G289" s="8">
        <f>'MKT DATA'!K1322</f>
        <v>83606</v>
      </c>
      <c r="H289" s="8">
        <f>'MKT DATA'!L1322</f>
        <v>85999</v>
      </c>
      <c r="I289" s="13">
        <f>'MKT DATA'!M1322</f>
        <v>1</v>
      </c>
      <c r="J289" s="43" t="str">
        <f t="shared" si="10"/>
        <v>syn BTCZ6/BTCH7/BTCX6/BTCG7/BTCV6/BTCF7</v>
      </c>
      <c r="K289" s="8">
        <f>'MKT DATA'!O1322</f>
        <v>0</v>
      </c>
      <c r="L289" s="8">
        <f>'MKT DATA'!P1322</f>
        <v>83606</v>
      </c>
      <c r="M289" s="8">
        <f>'MKT DATA'!Q1322</f>
        <v>0</v>
      </c>
      <c r="N289" s="8">
        <f>'MKT DATA'!R1322</f>
        <v>0</v>
      </c>
      <c r="O289" s="8">
        <f>'MKT DATA'!S1322</f>
        <v>-85999</v>
      </c>
      <c r="P289" s="8">
        <f>'MKT DATA'!T1322</f>
        <v>0</v>
      </c>
      <c r="Q289" s="43" t="str">
        <f t="shared" si="11"/>
        <v>syn BTCZ6/BTCH7/BTCX6/BTCG7/BTCV6/BTCF7</v>
      </c>
      <c r="R289" s="13">
        <f>'MKT DATA'!AB1322</f>
        <v>0</v>
      </c>
    </row>
    <row r="290" spans="5:18" x14ac:dyDescent="0.25">
      <c r="E290" s="43" t="str">
        <f>'MKT DATA'!B1323</f>
        <v>syn BTCZ6/BTCH7/BTCG7/BTCV6/BTCX6/BTCF7</v>
      </c>
      <c r="F290" s="13">
        <f>'MKT DATA'!J1323</f>
        <v>1</v>
      </c>
      <c r="G290" s="8">
        <f>'MKT DATA'!K1323</f>
        <v>84018</v>
      </c>
      <c r="H290" s="8">
        <f>'MKT DATA'!L1323</f>
        <v>85535</v>
      </c>
      <c r="I290" s="13">
        <f>'MKT DATA'!M1323</f>
        <v>1</v>
      </c>
      <c r="J290" s="43" t="str">
        <f t="shared" si="10"/>
        <v>syn BTCZ6/BTCH7/BTCG7/BTCV6/BTCX6/BTCF7</v>
      </c>
      <c r="K290" s="8">
        <f>'MKT DATA'!O1323</f>
        <v>0</v>
      </c>
      <c r="L290" s="8">
        <f>'MKT DATA'!P1323</f>
        <v>84018</v>
      </c>
      <c r="M290" s="8">
        <f>'MKT DATA'!Q1323</f>
        <v>0</v>
      </c>
      <c r="N290" s="8">
        <f>'MKT DATA'!R1323</f>
        <v>0</v>
      </c>
      <c r="O290" s="8">
        <f>'MKT DATA'!S1323</f>
        <v>-85535</v>
      </c>
      <c r="P290" s="8">
        <f>'MKT DATA'!T1323</f>
        <v>0</v>
      </c>
      <c r="Q290" s="43" t="str">
        <f t="shared" si="11"/>
        <v>syn BTCZ6/BTCH7/BTCG7/BTCV6/BTCX6/BTCF7</v>
      </c>
      <c r="R290" s="13">
        <f>'MKT DATA'!AB1323</f>
        <v>0</v>
      </c>
    </row>
    <row r="291" spans="5:18" x14ac:dyDescent="0.25">
      <c r="E291" s="43" t="str">
        <f>'MKT DATA'!B1324</f>
        <v>syn BTCZ6/BTCH7/BTCG7/BTCX6/BTCV6/BTCF7</v>
      </c>
      <c r="F291" s="13">
        <f>'MKT DATA'!J1324</f>
        <v>1</v>
      </c>
      <c r="G291" s="8">
        <f>'MKT DATA'!K1324</f>
        <v>83985</v>
      </c>
      <c r="H291" s="8">
        <f>'MKT DATA'!L1324</f>
        <v>85572</v>
      </c>
      <c r="I291" s="13">
        <f>'MKT DATA'!M1324</f>
        <v>1</v>
      </c>
      <c r="J291" s="43" t="str">
        <f t="shared" si="10"/>
        <v>syn BTCZ6/BTCH7/BTCG7/BTCX6/BTCV6/BTCF7</v>
      </c>
      <c r="K291" s="8">
        <f>'MKT DATA'!O1324</f>
        <v>0</v>
      </c>
      <c r="L291" s="8">
        <f>'MKT DATA'!P1324</f>
        <v>83985</v>
      </c>
      <c r="M291" s="8">
        <f>'MKT DATA'!Q1324</f>
        <v>0</v>
      </c>
      <c r="N291" s="8">
        <f>'MKT DATA'!R1324</f>
        <v>0</v>
      </c>
      <c r="O291" s="8">
        <f>'MKT DATA'!S1324</f>
        <v>-85572</v>
      </c>
      <c r="P291" s="8">
        <f>'MKT DATA'!T1324</f>
        <v>0</v>
      </c>
      <c r="Q291" s="43" t="str">
        <f t="shared" si="11"/>
        <v>syn BTCZ6/BTCH7/BTCG7/BTCX6/BTCV6/BTCF7</v>
      </c>
      <c r="R291" s="13">
        <f>'MKT DATA'!AB1324</f>
        <v>0</v>
      </c>
    </row>
    <row r="292" spans="5:18" x14ac:dyDescent="0.25">
      <c r="E292" s="43" t="str">
        <f>'MKT DATA'!B1325</f>
        <v>syn BTCG7/BTCV6/BTCX6/BTCZ6/BTCH7/BTCF7</v>
      </c>
      <c r="F292" s="13">
        <f>'MKT DATA'!J1325</f>
        <v>1</v>
      </c>
      <c r="G292" s="8">
        <f>'MKT DATA'!K1325</f>
        <v>83701</v>
      </c>
      <c r="H292" s="8">
        <f>'MKT DATA'!L1325</f>
        <v>85942</v>
      </c>
      <c r="I292" s="13">
        <f>'MKT DATA'!M1325</f>
        <v>1</v>
      </c>
      <c r="J292" s="43" t="str">
        <f t="shared" si="10"/>
        <v>syn BTCG7/BTCV6/BTCX6/BTCZ6/BTCH7/BTCF7</v>
      </c>
      <c r="K292" s="8">
        <f>'MKT DATA'!O1325</f>
        <v>0</v>
      </c>
      <c r="L292" s="8">
        <f>'MKT DATA'!P1325</f>
        <v>83701</v>
      </c>
      <c r="M292" s="8">
        <f>'MKT DATA'!Q1325</f>
        <v>0</v>
      </c>
      <c r="N292" s="8">
        <f>'MKT DATA'!R1325</f>
        <v>0</v>
      </c>
      <c r="O292" s="8">
        <f>'MKT DATA'!S1325</f>
        <v>-85942</v>
      </c>
      <c r="P292" s="8">
        <f>'MKT DATA'!T1325</f>
        <v>0</v>
      </c>
      <c r="Q292" s="43" t="str">
        <f t="shared" si="11"/>
        <v>syn BTCG7/BTCV6/BTCX6/BTCZ6/BTCH7/BTCF7</v>
      </c>
      <c r="R292" s="13">
        <f>'MKT DATA'!AB1325</f>
        <v>0</v>
      </c>
    </row>
    <row r="293" spans="5:18" x14ac:dyDescent="0.25">
      <c r="E293" s="43" t="str">
        <f>'MKT DATA'!B1326</f>
        <v>syn BTCG7/BTCV6/BTCX6/BTCH7/BTCZ6/BTCF7</v>
      </c>
      <c r="F293" s="13">
        <f>'MKT DATA'!J1326</f>
        <v>1</v>
      </c>
      <c r="G293" s="8">
        <f>'MKT DATA'!K1326</f>
        <v>83569</v>
      </c>
      <c r="H293" s="8">
        <f>'MKT DATA'!L1326</f>
        <v>85695</v>
      </c>
      <c r="I293" s="13">
        <f>'MKT DATA'!M1326</f>
        <v>1</v>
      </c>
      <c r="J293" s="43" t="str">
        <f t="shared" si="10"/>
        <v>syn BTCG7/BTCV6/BTCX6/BTCH7/BTCZ6/BTCF7</v>
      </c>
      <c r="K293" s="8">
        <f>'MKT DATA'!O1326</f>
        <v>0</v>
      </c>
      <c r="L293" s="8">
        <f>'MKT DATA'!P1326</f>
        <v>83569</v>
      </c>
      <c r="M293" s="8">
        <f>'MKT DATA'!Q1326</f>
        <v>0</v>
      </c>
      <c r="N293" s="8">
        <f>'MKT DATA'!R1326</f>
        <v>0</v>
      </c>
      <c r="O293" s="8">
        <f>'MKT DATA'!S1326</f>
        <v>-85695</v>
      </c>
      <c r="P293" s="8">
        <f>'MKT DATA'!T1326</f>
        <v>0</v>
      </c>
      <c r="Q293" s="43" t="str">
        <f t="shared" si="11"/>
        <v>syn BTCG7/BTCV6/BTCX6/BTCH7/BTCZ6/BTCF7</v>
      </c>
      <c r="R293" s="13">
        <f>'MKT DATA'!AB1326</f>
        <v>0</v>
      </c>
    </row>
    <row r="294" spans="5:18" x14ac:dyDescent="0.25">
      <c r="E294" s="43" t="str">
        <f>'MKT DATA'!B1327</f>
        <v>syn BTCG7/BTCV6/BTCZ6/BTCX6/BTCH7/BTCF7</v>
      </c>
      <c r="F294" s="13">
        <f>'MKT DATA'!J1327</f>
        <v>1</v>
      </c>
      <c r="G294" s="8">
        <f>'MKT DATA'!K1327</f>
        <v>83490</v>
      </c>
      <c r="H294" s="8">
        <f>'MKT DATA'!L1327</f>
        <v>85958</v>
      </c>
      <c r="I294" s="13">
        <f>'MKT DATA'!M1327</f>
        <v>1</v>
      </c>
      <c r="J294" s="43" t="str">
        <f t="shared" si="10"/>
        <v>syn BTCG7/BTCV6/BTCZ6/BTCX6/BTCH7/BTCF7</v>
      </c>
      <c r="K294" s="8">
        <f>'MKT DATA'!O1327</f>
        <v>0</v>
      </c>
      <c r="L294" s="8">
        <f>'MKT DATA'!P1327</f>
        <v>83490</v>
      </c>
      <c r="M294" s="8">
        <f>'MKT DATA'!Q1327</f>
        <v>0</v>
      </c>
      <c r="N294" s="8">
        <f>'MKT DATA'!R1327</f>
        <v>0</v>
      </c>
      <c r="O294" s="8">
        <f>'MKT DATA'!S1327</f>
        <v>-85958</v>
      </c>
      <c r="P294" s="8">
        <f>'MKT DATA'!T1327</f>
        <v>0</v>
      </c>
      <c r="Q294" s="43" t="str">
        <f t="shared" si="11"/>
        <v>syn BTCG7/BTCV6/BTCZ6/BTCX6/BTCH7/BTCF7</v>
      </c>
      <c r="R294" s="13">
        <f>'MKT DATA'!AB1327</f>
        <v>0</v>
      </c>
    </row>
    <row r="295" spans="5:18" x14ac:dyDescent="0.25">
      <c r="E295" s="43" t="str">
        <f>'MKT DATA'!B1328</f>
        <v>syn BTCG7/BTCV6/BTCZ6/BTCH7/BTCX6/BTCF7</v>
      </c>
      <c r="F295" s="13">
        <f>'MKT DATA'!J1328</f>
        <v>1</v>
      </c>
      <c r="G295" s="8">
        <f>'MKT DATA'!K1328</f>
        <v>83697</v>
      </c>
      <c r="H295" s="8">
        <f>'MKT DATA'!L1328</f>
        <v>85926</v>
      </c>
      <c r="I295" s="13">
        <f>'MKT DATA'!M1328</f>
        <v>1</v>
      </c>
      <c r="J295" s="43" t="str">
        <f t="shared" si="10"/>
        <v>syn BTCG7/BTCV6/BTCZ6/BTCH7/BTCX6/BTCF7</v>
      </c>
      <c r="K295" s="8">
        <f>'MKT DATA'!O1328</f>
        <v>0</v>
      </c>
      <c r="L295" s="8">
        <f>'MKT DATA'!P1328</f>
        <v>83697</v>
      </c>
      <c r="M295" s="8">
        <f>'MKT DATA'!Q1328</f>
        <v>0</v>
      </c>
      <c r="N295" s="8">
        <f>'MKT DATA'!R1328</f>
        <v>0</v>
      </c>
      <c r="O295" s="8">
        <f>'MKT DATA'!S1328</f>
        <v>-85926</v>
      </c>
      <c r="P295" s="8">
        <f>'MKT DATA'!T1328</f>
        <v>0</v>
      </c>
      <c r="Q295" s="43" t="str">
        <f t="shared" si="11"/>
        <v>syn BTCG7/BTCV6/BTCZ6/BTCH7/BTCX6/BTCF7</v>
      </c>
      <c r="R295" s="13">
        <f>'MKT DATA'!AB1328</f>
        <v>0</v>
      </c>
    </row>
    <row r="296" spans="5:18" x14ac:dyDescent="0.25">
      <c r="E296" s="43" t="str">
        <f>'MKT DATA'!B1329</f>
        <v>syn BTCG7/BTCV6/BTCH7/BTCX6/BTCZ6/BTCF7</v>
      </c>
      <c r="F296" s="13">
        <f>'MKT DATA'!J1329</f>
        <v>1</v>
      </c>
      <c r="G296" s="8">
        <f>'MKT DATA'!K1329</f>
        <v>83576</v>
      </c>
      <c r="H296" s="8">
        <f>'MKT DATA'!L1329</f>
        <v>85890</v>
      </c>
      <c r="I296" s="13">
        <f>'MKT DATA'!M1329</f>
        <v>1</v>
      </c>
      <c r="J296" s="43" t="str">
        <f t="shared" si="10"/>
        <v>syn BTCG7/BTCV6/BTCH7/BTCX6/BTCZ6/BTCF7</v>
      </c>
      <c r="K296" s="8">
        <f>'MKT DATA'!O1329</f>
        <v>0</v>
      </c>
      <c r="L296" s="8">
        <f>'MKT DATA'!P1329</f>
        <v>83576</v>
      </c>
      <c r="M296" s="8">
        <f>'MKT DATA'!Q1329</f>
        <v>0</v>
      </c>
      <c r="N296" s="8">
        <f>'MKT DATA'!R1329</f>
        <v>0</v>
      </c>
      <c r="O296" s="8">
        <f>'MKT DATA'!S1329</f>
        <v>-85890</v>
      </c>
      <c r="P296" s="8">
        <f>'MKT DATA'!T1329</f>
        <v>0</v>
      </c>
      <c r="Q296" s="43" t="str">
        <f t="shared" si="11"/>
        <v>syn BTCG7/BTCV6/BTCH7/BTCX6/BTCZ6/BTCF7</v>
      </c>
      <c r="R296" s="13">
        <f>'MKT DATA'!AB1329</f>
        <v>0</v>
      </c>
    </row>
    <row r="297" spans="5:18" x14ac:dyDescent="0.25">
      <c r="E297" s="43" t="str">
        <f>'MKT DATA'!B1330</f>
        <v>syn BTCG7/BTCV6/BTCH7/BTCZ6/BTCX6/BTCF7</v>
      </c>
      <c r="F297" s="13">
        <f>'MKT DATA'!J1330</f>
        <v>1</v>
      </c>
      <c r="G297" s="8">
        <f>'MKT DATA'!K1330</f>
        <v>83525</v>
      </c>
      <c r="H297" s="8">
        <f>'MKT DATA'!L1330</f>
        <v>85715</v>
      </c>
      <c r="I297" s="13">
        <f>'MKT DATA'!M1330</f>
        <v>1</v>
      </c>
      <c r="J297" s="43" t="str">
        <f t="shared" si="10"/>
        <v>syn BTCG7/BTCV6/BTCH7/BTCZ6/BTCX6/BTCF7</v>
      </c>
      <c r="K297" s="8">
        <f>'MKT DATA'!O1330</f>
        <v>0</v>
      </c>
      <c r="L297" s="8">
        <f>'MKT DATA'!P1330</f>
        <v>83525</v>
      </c>
      <c r="M297" s="8">
        <f>'MKT DATA'!Q1330</f>
        <v>0</v>
      </c>
      <c r="N297" s="8">
        <f>'MKT DATA'!R1330</f>
        <v>0</v>
      </c>
      <c r="O297" s="8">
        <f>'MKT DATA'!S1330</f>
        <v>-85715</v>
      </c>
      <c r="P297" s="8">
        <f>'MKT DATA'!T1330</f>
        <v>0</v>
      </c>
      <c r="Q297" s="43" t="str">
        <f t="shared" si="11"/>
        <v>syn BTCG7/BTCV6/BTCH7/BTCZ6/BTCX6/BTCF7</v>
      </c>
      <c r="R297" s="13">
        <f>'MKT DATA'!AB1330</f>
        <v>0</v>
      </c>
    </row>
    <row r="298" spans="5:18" x14ac:dyDescent="0.25">
      <c r="E298" s="43" t="str">
        <f>'MKT DATA'!B1331</f>
        <v>syn BTCG7/BTCX6/BTCV6/BTCZ6/BTCH7/BTCF7</v>
      </c>
      <c r="F298" s="13">
        <f>'MKT DATA'!J1331</f>
        <v>1</v>
      </c>
      <c r="G298" s="8">
        <f>'MKT DATA'!K1331</f>
        <v>83685</v>
      </c>
      <c r="H298" s="8">
        <f>'MKT DATA'!L1331</f>
        <v>85965</v>
      </c>
      <c r="I298" s="13">
        <f>'MKT DATA'!M1331</f>
        <v>1</v>
      </c>
      <c r="J298" s="43" t="str">
        <f t="shared" si="10"/>
        <v>syn BTCG7/BTCX6/BTCV6/BTCZ6/BTCH7/BTCF7</v>
      </c>
      <c r="K298" s="8">
        <f>'MKT DATA'!O1331</f>
        <v>0</v>
      </c>
      <c r="L298" s="8">
        <f>'MKT DATA'!P1331</f>
        <v>83685</v>
      </c>
      <c r="M298" s="8">
        <f>'MKT DATA'!Q1331</f>
        <v>0</v>
      </c>
      <c r="N298" s="8">
        <f>'MKT DATA'!R1331</f>
        <v>0</v>
      </c>
      <c r="O298" s="8">
        <f>'MKT DATA'!S1331</f>
        <v>-85965</v>
      </c>
      <c r="P298" s="8">
        <f>'MKT DATA'!T1331</f>
        <v>0</v>
      </c>
      <c r="Q298" s="43" t="str">
        <f t="shared" si="11"/>
        <v>syn BTCG7/BTCX6/BTCV6/BTCZ6/BTCH7/BTCF7</v>
      </c>
      <c r="R298" s="13">
        <f>'MKT DATA'!AB1331</f>
        <v>0</v>
      </c>
    </row>
    <row r="299" spans="5:18" x14ac:dyDescent="0.25">
      <c r="E299" s="43" t="str">
        <f>'MKT DATA'!B1332</f>
        <v>syn BTCG7/BTCX6/BTCV6/BTCH7/BTCZ6/BTCF7</v>
      </c>
      <c r="F299" s="13">
        <f>'MKT DATA'!J1332</f>
        <v>1</v>
      </c>
      <c r="G299" s="8">
        <f>'MKT DATA'!K1332</f>
        <v>83576</v>
      </c>
      <c r="H299" s="8">
        <f>'MKT DATA'!L1332</f>
        <v>85702</v>
      </c>
      <c r="I299" s="13">
        <f>'MKT DATA'!M1332</f>
        <v>1</v>
      </c>
      <c r="J299" s="43" t="str">
        <f t="shared" si="10"/>
        <v>syn BTCG7/BTCX6/BTCV6/BTCH7/BTCZ6/BTCF7</v>
      </c>
      <c r="K299" s="8">
        <f>'MKT DATA'!O1332</f>
        <v>0</v>
      </c>
      <c r="L299" s="8">
        <f>'MKT DATA'!P1332</f>
        <v>83576</v>
      </c>
      <c r="M299" s="8">
        <f>'MKT DATA'!Q1332</f>
        <v>0</v>
      </c>
      <c r="N299" s="8">
        <f>'MKT DATA'!R1332</f>
        <v>0</v>
      </c>
      <c r="O299" s="8">
        <f>'MKT DATA'!S1332</f>
        <v>-85702</v>
      </c>
      <c r="P299" s="8">
        <f>'MKT DATA'!T1332</f>
        <v>0</v>
      </c>
      <c r="Q299" s="43" t="str">
        <f t="shared" si="11"/>
        <v>syn BTCG7/BTCX6/BTCV6/BTCH7/BTCZ6/BTCF7</v>
      </c>
      <c r="R299" s="13">
        <f>'MKT DATA'!AB1332</f>
        <v>0</v>
      </c>
    </row>
    <row r="300" spans="5:18" x14ac:dyDescent="0.25">
      <c r="E300" s="43" t="str">
        <f>'MKT DATA'!B1333</f>
        <v>syn BTCG7/BTCX6/BTCZ6/BTCV6/BTCH7/BTCF7</v>
      </c>
      <c r="F300" s="13">
        <f>'MKT DATA'!J1333</f>
        <v>1</v>
      </c>
      <c r="G300" s="8">
        <f>'MKT DATA'!K1333</f>
        <v>83497</v>
      </c>
      <c r="H300" s="8">
        <f>'MKT DATA'!L1333</f>
        <v>85965</v>
      </c>
      <c r="I300" s="13">
        <f>'MKT DATA'!M1333</f>
        <v>1</v>
      </c>
      <c r="J300" s="43" t="str">
        <f t="shared" si="10"/>
        <v>syn BTCG7/BTCX6/BTCZ6/BTCV6/BTCH7/BTCF7</v>
      </c>
      <c r="K300" s="8">
        <f>'MKT DATA'!O1333</f>
        <v>0</v>
      </c>
      <c r="L300" s="8">
        <f>'MKT DATA'!P1333</f>
        <v>83497</v>
      </c>
      <c r="M300" s="8">
        <f>'MKT DATA'!Q1333</f>
        <v>0</v>
      </c>
      <c r="N300" s="8">
        <f>'MKT DATA'!R1333</f>
        <v>0</v>
      </c>
      <c r="O300" s="8">
        <f>'MKT DATA'!S1333</f>
        <v>-85965</v>
      </c>
      <c r="P300" s="8">
        <f>'MKT DATA'!T1333</f>
        <v>0</v>
      </c>
      <c r="Q300" s="43" t="str">
        <f t="shared" si="11"/>
        <v>syn BTCG7/BTCX6/BTCZ6/BTCV6/BTCH7/BTCF7</v>
      </c>
      <c r="R300" s="13">
        <f>'MKT DATA'!AB1333</f>
        <v>0</v>
      </c>
    </row>
    <row r="301" spans="5:18" x14ac:dyDescent="0.25">
      <c r="E301" s="43" t="str">
        <f>'MKT DATA'!B1334</f>
        <v>syn BTCG7/BTCX6/BTCZ6/BTCH7/BTCV6/BTCF7</v>
      </c>
      <c r="F301" s="13">
        <f>'MKT DATA'!J1334</f>
        <v>1</v>
      </c>
      <c r="G301" s="8">
        <f>'MKT DATA'!K1334</f>
        <v>83680</v>
      </c>
      <c r="H301" s="8">
        <f>'MKT DATA'!L1334</f>
        <v>85940</v>
      </c>
      <c r="I301" s="13">
        <f>'MKT DATA'!M1334</f>
        <v>1</v>
      </c>
      <c r="J301" s="43" t="str">
        <f t="shared" si="10"/>
        <v>syn BTCG7/BTCX6/BTCZ6/BTCH7/BTCV6/BTCF7</v>
      </c>
      <c r="K301" s="8">
        <f>'MKT DATA'!O1334</f>
        <v>0</v>
      </c>
      <c r="L301" s="8">
        <f>'MKT DATA'!P1334</f>
        <v>83680</v>
      </c>
      <c r="M301" s="8">
        <f>'MKT DATA'!Q1334</f>
        <v>0</v>
      </c>
      <c r="N301" s="8">
        <f>'MKT DATA'!R1334</f>
        <v>0</v>
      </c>
      <c r="O301" s="8">
        <f>'MKT DATA'!S1334</f>
        <v>-85940</v>
      </c>
      <c r="P301" s="8">
        <f>'MKT DATA'!T1334</f>
        <v>0</v>
      </c>
      <c r="Q301" s="43" t="str">
        <f t="shared" si="11"/>
        <v>syn BTCG7/BTCX6/BTCZ6/BTCH7/BTCV6/BTCF7</v>
      </c>
      <c r="R301" s="13">
        <f>'MKT DATA'!AB1334</f>
        <v>0</v>
      </c>
    </row>
    <row r="302" spans="5:18" x14ac:dyDescent="0.25">
      <c r="E302" s="43" t="str">
        <f>'MKT DATA'!B1335</f>
        <v>syn BTCG7/BTCX6/BTCH7/BTCV6/BTCZ6/BTCF7</v>
      </c>
      <c r="F302" s="13">
        <f>'MKT DATA'!J1335</f>
        <v>1</v>
      </c>
      <c r="G302" s="8">
        <f>'MKT DATA'!K1335</f>
        <v>83553</v>
      </c>
      <c r="H302" s="8">
        <f>'MKT DATA'!L1335</f>
        <v>85906</v>
      </c>
      <c r="I302" s="13">
        <f>'MKT DATA'!M1335</f>
        <v>1</v>
      </c>
      <c r="J302" s="43" t="str">
        <f t="shared" si="10"/>
        <v>syn BTCG7/BTCX6/BTCH7/BTCV6/BTCZ6/BTCF7</v>
      </c>
      <c r="K302" s="8">
        <f>'MKT DATA'!O1335</f>
        <v>0</v>
      </c>
      <c r="L302" s="8">
        <f>'MKT DATA'!P1335</f>
        <v>83553</v>
      </c>
      <c r="M302" s="8">
        <f>'MKT DATA'!Q1335</f>
        <v>0</v>
      </c>
      <c r="N302" s="8">
        <f>'MKT DATA'!R1335</f>
        <v>0</v>
      </c>
      <c r="O302" s="8">
        <f>'MKT DATA'!S1335</f>
        <v>-85906</v>
      </c>
      <c r="P302" s="8">
        <f>'MKT DATA'!T1335</f>
        <v>0</v>
      </c>
      <c r="Q302" s="43" t="str">
        <f t="shared" si="11"/>
        <v>syn BTCG7/BTCX6/BTCH7/BTCV6/BTCZ6/BTCF7</v>
      </c>
      <c r="R302" s="13">
        <f>'MKT DATA'!AB1335</f>
        <v>0</v>
      </c>
    </row>
    <row r="303" spans="5:18" x14ac:dyDescent="0.25">
      <c r="E303" s="43" t="str">
        <f>'MKT DATA'!B1336</f>
        <v>syn BTCG7/BTCX6/BTCH7/BTCZ6/BTCV6/BTCF7</v>
      </c>
      <c r="F303" s="13">
        <f>'MKT DATA'!J1336</f>
        <v>1</v>
      </c>
      <c r="G303" s="8">
        <f>'MKT DATA'!K1336</f>
        <v>83469</v>
      </c>
      <c r="H303" s="8">
        <f>'MKT DATA'!L1336</f>
        <v>85768</v>
      </c>
      <c r="I303" s="13">
        <f>'MKT DATA'!M1336</f>
        <v>1</v>
      </c>
      <c r="J303" s="43" t="str">
        <f t="shared" si="10"/>
        <v>syn BTCG7/BTCX6/BTCH7/BTCZ6/BTCV6/BTCF7</v>
      </c>
      <c r="K303" s="8">
        <f>'MKT DATA'!O1336</f>
        <v>0</v>
      </c>
      <c r="L303" s="8">
        <f>'MKT DATA'!P1336</f>
        <v>83469</v>
      </c>
      <c r="M303" s="8">
        <f>'MKT DATA'!Q1336</f>
        <v>0</v>
      </c>
      <c r="N303" s="8">
        <f>'MKT DATA'!R1336</f>
        <v>0</v>
      </c>
      <c r="O303" s="8">
        <f>'MKT DATA'!S1336</f>
        <v>-85768</v>
      </c>
      <c r="P303" s="8">
        <f>'MKT DATA'!T1336</f>
        <v>0</v>
      </c>
      <c r="Q303" s="43" t="str">
        <f t="shared" si="11"/>
        <v>syn BTCG7/BTCX6/BTCH7/BTCZ6/BTCV6/BTCF7</v>
      </c>
      <c r="R303" s="13">
        <f>'MKT DATA'!AB1336</f>
        <v>0</v>
      </c>
    </row>
    <row r="304" spans="5:18" x14ac:dyDescent="0.25">
      <c r="E304" s="43" t="str">
        <f>'MKT DATA'!B1337</f>
        <v>syn BTCG7/BTCZ6/BTCV6/BTCX6/BTCH7/BTCF7</v>
      </c>
      <c r="F304" s="13">
        <f>'MKT DATA'!J1337</f>
        <v>1</v>
      </c>
      <c r="G304" s="8">
        <f>'MKT DATA'!K1337</f>
        <v>83460</v>
      </c>
      <c r="H304" s="8">
        <f>'MKT DATA'!L1337</f>
        <v>85980</v>
      </c>
      <c r="I304" s="13">
        <f>'MKT DATA'!M1337</f>
        <v>1</v>
      </c>
      <c r="J304" s="43" t="str">
        <f t="shared" si="10"/>
        <v>syn BTCG7/BTCZ6/BTCV6/BTCX6/BTCH7/BTCF7</v>
      </c>
      <c r="K304" s="8">
        <f>'MKT DATA'!O1337</f>
        <v>0</v>
      </c>
      <c r="L304" s="8">
        <f>'MKT DATA'!P1337</f>
        <v>83460</v>
      </c>
      <c r="M304" s="8">
        <f>'MKT DATA'!Q1337</f>
        <v>0</v>
      </c>
      <c r="N304" s="8">
        <f>'MKT DATA'!R1337</f>
        <v>0</v>
      </c>
      <c r="O304" s="8">
        <f>'MKT DATA'!S1337</f>
        <v>-85980</v>
      </c>
      <c r="P304" s="8">
        <f>'MKT DATA'!T1337</f>
        <v>0</v>
      </c>
      <c r="Q304" s="43" t="str">
        <f t="shared" si="11"/>
        <v>syn BTCG7/BTCZ6/BTCV6/BTCX6/BTCH7/BTCF7</v>
      </c>
      <c r="R304" s="13">
        <f>'MKT DATA'!AB1337</f>
        <v>0</v>
      </c>
    </row>
    <row r="305" spans="5:18" x14ac:dyDescent="0.25">
      <c r="E305" s="43" t="str">
        <f>'MKT DATA'!B1338</f>
        <v>syn BTCG7/BTCZ6/BTCV6/BTCH7/BTCX6/BTCF7</v>
      </c>
      <c r="F305" s="13">
        <f>'MKT DATA'!J1338</f>
        <v>1</v>
      </c>
      <c r="G305" s="8">
        <f>'MKT DATA'!K1338</f>
        <v>83479</v>
      </c>
      <c r="H305" s="8">
        <f>'MKT DATA'!L1338</f>
        <v>85948</v>
      </c>
      <c r="I305" s="13">
        <f>'MKT DATA'!M1338</f>
        <v>1</v>
      </c>
      <c r="J305" s="43" t="str">
        <f t="shared" si="10"/>
        <v>syn BTCG7/BTCZ6/BTCV6/BTCH7/BTCX6/BTCF7</v>
      </c>
      <c r="K305" s="8">
        <f>'MKT DATA'!O1338</f>
        <v>0</v>
      </c>
      <c r="L305" s="8">
        <f>'MKT DATA'!P1338</f>
        <v>83479</v>
      </c>
      <c r="M305" s="8">
        <f>'MKT DATA'!Q1338</f>
        <v>0</v>
      </c>
      <c r="N305" s="8">
        <f>'MKT DATA'!R1338</f>
        <v>0</v>
      </c>
      <c r="O305" s="8">
        <f>'MKT DATA'!S1338</f>
        <v>-85948</v>
      </c>
      <c r="P305" s="8">
        <f>'MKT DATA'!T1338</f>
        <v>0</v>
      </c>
      <c r="Q305" s="43" t="str">
        <f t="shared" si="11"/>
        <v>syn BTCG7/BTCZ6/BTCV6/BTCH7/BTCX6/BTCF7</v>
      </c>
      <c r="R305" s="13">
        <f>'MKT DATA'!AB1338</f>
        <v>0</v>
      </c>
    </row>
    <row r="306" spans="5:18" x14ac:dyDescent="0.25">
      <c r="E306" s="43" t="str">
        <f>'MKT DATA'!B1339</f>
        <v>syn BTCG7/BTCZ6/BTCX6/BTCV6/BTCH7/BTCF7</v>
      </c>
      <c r="F306" s="13">
        <f>'MKT DATA'!J1339</f>
        <v>1</v>
      </c>
      <c r="G306" s="8">
        <f>'MKT DATA'!K1339</f>
        <v>83483</v>
      </c>
      <c r="H306" s="8">
        <f>'MKT DATA'!L1339</f>
        <v>85964</v>
      </c>
      <c r="I306" s="13">
        <f>'MKT DATA'!M1339</f>
        <v>1</v>
      </c>
      <c r="J306" s="43" t="str">
        <f t="shared" si="10"/>
        <v>syn BTCG7/BTCZ6/BTCX6/BTCV6/BTCH7/BTCF7</v>
      </c>
      <c r="K306" s="8">
        <f>'MKT DATA'!O1339</f>
        <v>0</v>
      </c>
      <c r="L306" s="8">
        <f>'MKT DATA'!P1339</f>
        <v>83483</v>
      </c>
      <c r="M306" s="8">
        <f>'MKT DATA'!Q1339</f>
        <v>0</v>
      </c>
      <c r="N306" s="8">
        <f>'MKT DATA'!R1339</f>
        <v>0</v>
      </c>
      <c r="O306" s="8">
        <f>'MKT DATA'!S1339</f>
        <v>-85964</v>
      </c>
      <c r="P306" s="8">
        <f>'MKT DATA'!T1339</f>
        <v>0</v>
      </c>
      <c r="Q306" s="43" t="str">
        <f t="shared" si="11"/>
        <v>syn BTCG7/BTCZ6/BTCX6/BTCV6/BTCH7/BTCF7</v>
      </c>
      <c r="R306" s="13">
        <f>'MKT DATA'!AB1339</f>
        <v>0</v>
      </c>
    </row>
    <row r="307" spans="5:18" x14ac:dyDescent="0.25">
      <c r="E307" s="43" t="str">
        <f>'MKT DATA'!B1340</f>
        <v>syn BTCG7/BTCZ6/BTCX6/BTCH7/BTCV6/BTCF7</v>
      </c>
      <c r="F307" s="13">
        <f>'MKT DATA'!J1340</f>
        <v>1</v>
      </c>
      <c r="G307" s="8">
        <f>'MKT DATA'!K1340</f>
        <v>83455</v>
      </c>
      <c r="H307" s="8">
        <f>'MKT DATA'!L1340</f>
        <v>85955</v>
      </c>
      <c r="I307" s="13">
        <f>'MKT DATA'!M1340</f>
        <v>1</v>
      </c>
      <c r="J307" s="43" t="str">
        <f t="shared" si="10"/>
        <v>syn BTCG7/BTCZ6/BTCX6/BTCH7/BTCV6/BTCF7</v>
      </c>
      <c r="K307" s="8">
        <f>'MKT DATA'!O1340</f>
        <v>0</v>
      </c>
      <c r="L307" s="8">
        <f>'MKT DATA'!P1340</f>
        <v>83455</v>
      </c>
      <c r="M307" s="8">
        <f>'MKT DATA'!Q1340</f>
        <v>0</v>
      </c>
      <c r="N307" s="8">
        <f>'MKT DATA'!R1340</f>
        <v>0</v>
      </c>
      <c r="O307" s="8">
        <f>'MKT DATA'!S1340</f>
        <v>-85955</v>
      </c>
      <c r="P307" s="8">
        <f>'MKT DATA'!T1340</f>
        <v>0</v>
      </c>
      <c r="Q307" s="43" t="str">
        <f t="shared" si="11"/>
        <v>syn BTCG7/BTCZ6/BTCX6/BTCH7/BTCV6/BTCF7</v>
      </c>
      <c r="R307" s="13">
        <f>'MKT DATA'!AB1340</f>
        <v>0</v>
      </c>
    </row>
    <row r="308" spans="5:18" x14ac:dyDescent="0.25">
      <c r="E308" s="43" t="str">
        <f>'MKT DATA'!B1341</f>
        <v>syn BTCG7/BTCZ6/BTCH7/BTCV6/BTCX6/BTCF7</v>
      </c>
      <c r="F308" s="13">
        <f>'MKT DATA'!J1341</f>
        <v>1</v>
      </c>
      <c r="G308" s="8">
        <f>'MKT DATA'!K1341</f>
        <v>83683</v>
      </c>
      <c r="H308" s="8">
        <f>'MKT DATA'!L1341</f>
        <v>85925</v>
      </c>
      <c r="I308" s="13">
        <f>'MKT DATA'!M1341</f>
        <v>1</v>
      </c>
      <c r="J308" s="43" t="str">
        <f t="shared" si="10"/>
        <v>syn BTCG7/BTCZ6/BTCH7/BTCV6/BTCX6/BTCF7</v>
      </c>
      <c r="K308" s="8">
        <f>'MKT DATA'!O1341</f>
        <v>0</v>
      </c>
      <c r="L308" s="8">
        <f>'MKT DATA'!P1341</f>
        <v>83683</v>
      </c>
      <c r="M308" s="8">
        <f>'MKT DATA'!Q1341</f>
        <v>0</v>
      </c>
      <c r="N308" s="8">
        <f>'MKT DATA'!R1341</f>
        <v>0</v>
      </c>
      <c r="O308" s="8">
        <f>'MKT DATA'!S1341</f>
        <v>-85925</v>
      </c>
      <c r="P308" s="8">
        <f>'MKT DATA'!T1341</f>
        <v>0</v>
      </c>
      <c r="Q308" s="43" t="str">
        <f t="shared" si="11"/>
        <v>syn BTCG7/BTCZ6/BTCH7/BTCV6/BTCX6/BTCF7</v>
      </c>
      <c r="R308" s="13">
        <f>'MKT DATA'!AB1341</f>
        <v>0</v>
      </c>
    </row>
    <row r="309" spans="5:18" x14ac:dyDescent="0.25">
      <c r="E309" s="43" t="str">
        <f>'MKT DATA'!B1342</f>
        <v>syn BTCG7/BTCZ6/BTCH7/BTCX6/BTCV6/BTCF7</v>
      </c>
      <c r="F309" s="13">
        <f>'MKT DATA'!J1342</f>
        <v>1</v>
      </c>
      <c r="G309" s="8">
        <f>'MKT DATA'!K1342</f>
        <v>83650</v>
      </c>
      <c r="H309" s="8">
        <f>'MKT DATA'!L1342</f>
        <v>85962</v>
      </c>
      <c r="I309" s="13">
        <f>'MKT DATA'!M1342</f>
        <v>1</v>
      </c>
      <c r="J309" s="43" t="str">
        <f t="shared" si="10"/>
        <v>syn BTCG7/BTCZ6/BTCH7/BTCX6/BTCV6/BTCF7</v>
      </c>
      <c r="K309" s="8">
        <f>'MKT DATA'!O1342</f>
        <v>0</v>
      </c>
      <c r="L309" s="8">
        <f>'MKT DATA'!P1342</f>
        <v>83650</v>
      </c>
      <c r="M309" s="8">
        <f>'MKT DATA'!Q1342</f>
        <v>0</v>
      </c>
      <c r="N309" s="8">
        <f>'MKT DATA'!R1342</f>
        <v>0</v>
      </c>
      <c r="O309" s="8">
        <f>'MKT DATA'!S1342</f>
        <v>-85962</v>
      </c>
      <c r="P309" s="8">
        <f>'MKT DATA'!T1342</f>
        <v>0</v>
      </c>
      <c r="Q309" s="43" t="str">
        <f t="shared" si="11"/>
        <v>syn BTCG7/BTCZ6/BTCH7/BTCX6/BTCV6/BTCF7</v>
      </c>
      <c r="R309" s="13">
        <f>'MKT DATA'!AB1342</f>
        <v>0</v>
      </c>
    </row>
    <row r="310" spans="5:18" x14ac:dyDescent="0.25">
      <c r="E310" s="43" t="str">
        <f>'MKT DATA'!B1343</f>
        <v>syn BTCG7/BTCH7/BTCV6/BTCX6/BTCZ6/BTCF7</v>
      </c>
      <c r="F310" s="13">
        <f>'MKT DATA'!J1343</f>
        <v>1</v>
      </c>
      <c r="G310" s="8">
        <f>'MKT DATA'!K1343</f>
        <v>84003</v>
      </c>
      <c r="H310" s="8">
        <f>'MKT DATA'!L1343</f>
        <v>85511</v>
      </c>
      <c r="I310" s="13">
        <f>'MKT DATA'!M1343</f>
        <v>1</v>
      </c>
      <c r="J310" s="43" t="str">
        <f t="shared" si="10"/>
        <v>syn BTCG7/BTCH7/BTCV6/BTCX6/BTCZ6/BTCF7</v>
      </c>
      <c r="K310" s="8">
        <f>'MKT DATA'!O1343</f>
        <v>0</v>
      </c>
      <c r="L310" s="8">
        <f>'MKT DATA'!P1343</f>
        <v>84003</v>
      </c>
      <c r="M310" s="8">
        <f>'MKT DATA'!Q1343</f>
        <v>0</v>
      </c>
      <c r="N310" s="8">
        <f>'MKT DATA'!R1343</f>
        <v>0</v>
      </c>
      <c r="O310" s="8">
        <f>'MKT DATA'!S1343</f>
        <v>-85511</v>
      </c>
      <c r="P310" s="8">
        <f>'MKT DATA'!T1343</f>
        <v>0</v>
      </c>
      <c r="Q310" s="43" t="str">
        <f t="shared" si="11"/>
        <v>syn BTCG7/BTCH7/BTCV6/BTCX6/BTCZ6/BTCF7</v>
      </c>
      <c r="R310" s="13">
        <f>'MKT DATA'!AB1343</f>
        <v>0</v>
      </c>
    </row>
    <row r="311" spans="5:18" x14ac:dyDescent="0.25">
      <c r="E311" s="43" t="str">
        <f>'MKT DATA'!B1344</f>
        <v>syn BTCG7/BTCH7/BTCV6/BTCZ6/BTCX6/BTCF7</v>
      </c>
      <c r="F311" s="13">
        <f>'MKT DATA'!J1344</f>
        <v>1</v>
      </c>
      <c r="G311" s="8">
        <f>'MKT DATA'!K1344</f>
        <v>83936</v>
      </c>
      <c r="H311" s="8">
        <f>'MKT DATA'!L1344</f>
        <v>85547</v>
      </c>
      <c r="I311" s="13">
        <f>'MKT DATA'!M1344</f>
        <v>1</v>
      </c>
      <c r="J311" s="43" t="str">
        <f t="shared" si="10"/>
        <v>syn BTCG7/BTCH7/BTCV6/BTCZ6/BTCX6/BTCF7</v>
      </c>
      <c r="K311" s="8">
        <f>'MKT DATA'!O1344</f>
        <v>0</v>
      </c>
      <c r="L311" s="8">
        <f>'MKT DATA'!P1344</f>
        <v>83936</v>
      </c>
      <c r="M311" s="8">
        <f>'MKT DATA'!Q1344</f>
        <v>0</v>
      </c>
      <c r="N311" s="8">
        <f>'MKT DATA'!R1344</f>
        <v>0</v>
      </c>
      <c r="O311" s="8">
        <f>'MKT DATA'!S1344</f>
        <v>-85547</v>
      </c>
      <c r="P311" s="8">
        <f>'MKT DATA'!T1344</f>
        <v>0</v>
      </c>
      <c r="Q311" s="43" t="str">
        <f t="shared" si="11"/>
        <v>syn BTCG7/BTCH7/BTCV6/BTCZ6/BTCX6/BTCF7</v>
      </c>
      <c r="R311" s="13">
        <f>'MKT DATA'!AB1344</f>
        <v>0</v>
      </c>
    </row>
    <row r="312" spans="5:18" x14ac:dyDescent="0.25">
      <c r="E312" s="43" t="str">
        <f>'MKT DATA'!B1345</f>
        <v>syn BTCG7/BTCH7/BTCX6/BTCV6/BTCZ6/BTCF7</v>
      </c>
      <c r="F312" s="13">
        <f>'MKT DATA'!J1345</f>
        <v>1</v>
      </c>
      <c r="G312" s="8">
        <f>'MKT DATA'!K1345</f>
        <v>83987</v>
      </c>
      <c r="H312" s="8">
        <f>'MKT DATA'!L1345</f>
        <v>85534</v>
      </c>
      <c r="I312" s="13">
        <f>'MKT DATA'!M1345</f>
        <v>1</v>
      </c>
      <c r="J312" s="43" t="str">
        <f t="shared" si="10"/>
        <v>syn BTCG7/BTCH7/BTCX6/BTCV6/BTCZ6/BTCF7</v>
      </c>
      <c r="K312" s="8">
        <f>'MKT DATA'!O1345</f>
        <v>0</v>
      </c>
      <c r="L312" s="8">
        <f>'MKT DATA'!P1345</f>
        <v>83987</v>
      </c>
      <c r="M312" s="8">
        <f>'MKT DATA'!Q1345</f>
        <v>0</v>
      </c>
      <c r="N312" s="8">
        <f>'MKT DATA'!R1345</f>
        <v>0</v>
      </c>
      <c r="O312" s="8">
        <f>'MKT DATA'!S1345</f>
        <v>-85534</v>
      </c>
      <c r="P312" s="8">
        <f>'MKT DATA'!T1345</f>
        <v>0</v>
      </c>
      <c r="Q312" s="43" t="str">
        <f t="shared" si="11"/>
        <v>syn BTCG7/BTCH7/BTCX6/BTCV6/BTCZ6/BTCF7</v>
      </c>
      <c r="R312" s="13">
        <f>'MKT DATA'!AB1345</f>
        <v>0</v>
      </c>
    </row>
    <row r="313" spans="5:18" x14ac:dyDescent="0.25">
      <c r="E313" s="43" t="str">
        <f>'MKT DATA'!B1346</f>
        <v>syn BTCG7/BTCH7/BTCX6/BTCZ6/BTCV6/BTCF7</v>
      </c>
      <c r="F313" s="13">
        <f>'MKT DATA'!J1346</f>
        <v>1</v>
      </c>
      <c r="G313" s="8">
        <f>'MKT DATA'!K1346</f>
        <v>83903</v>
      </c>
      <c r="H313" s="8">
        <f>'MKT DATA'!L1346</f>
        <v>85584</v>
      </c>
      <c r="I313" s="13">
        <f>'MKT DATA'!M1346</f>
        <v>1</v>
      </c>
      <c r="J313" s="43" t="str">
        <f t="shared" si="10"/>
        <v>syn BTCG7/BTCH7/BTCX6/BTCZ6/BTCV6/BTCF7</v>
      </c>
      <c r="K313" s="8">
        <f>'MKT DATA'!O1346</f>
        <v>0</v>
      </c>
      <c r="L313" s="8">
        <f>'MKT DATA'!P1346</f>
        <v>83903</v>
      </c>
      <c r="M313" s="8">
        <f>'MKT DATA'!Q1346</f>
        <v>0</v>
      </c>
      <c r="N313" s="8">
        <f>'MKT DATA'!R1346</f>
        <v>0</v>
      </c>
      <c r="O313" s="8">
        <f>'MKT DATA'!S1346</f>
        <v>-85584</v>
      </c>
      <c r="P313" s="8">
        <f>'MKT DATA'!T1346</f>
        <v>0</v>
      </c>
      <c r="Q313" s="43" t="str">
        <f t="shared" si="11"/>
        <v>syn BTCG7/BTCH7/BTCX6/BTCZ6/BTCV6/BTCF7</v>
      </c>
      <c r="R313" s="13">
        <f>'MKT DATA'!AB1346</f>
        <v>0</v>
      </c>
    </row>
    <row r="314" spans="5:18" x14ac:dyDescent="0.25">
      <c r="E314" s="43" t="str">
        <f>'MKT DATA'!B1347</f>
        <v>syn BTCG7/BTCH7/BTCZ6/BTCV6/BTCX6/BTCF7</v>
      </c>
      <c r="F314" s="13">
        <f>'MKT DATA'!J1347</f>
        <v>1</v>
      </c>
      <c r="G314" s="8">
        <f>'MKT DATA'!K1347</f>
        <v>83936</v>
      </c>
      <c r="H314" s="8">
        <f>'MKT DATA'!L1347</f>
        <v>85359</v>
      </c>
      <c r="I314" s="13">
        <f>'MKT DATA'!M1347</f>
        <v>1</v>
      </c>
      <c r="J314" s="43" t="str">
        <f t="shared" si="10"/>
        <v>syn BTCG7/BTCH7/BTCZ6/BTCV6/BTCX6/BTCF7</v>
      </c>
      <c r="K314" s="8">
        <f>'MKT DATA'!O1347</f>
        <v>0</v>
      </c>
      <c r="L314" s="8">
        <f>'MKT DATA'!P1347</f>
        <v>83936</v>
      </c>
      <c r="M314" s="8">
        <f>'MKT DATA'!Q1347</f>
        <v>0</v>
      </c>
      <c r="N314" s="8">
        <f>'MKT DATA'!R1347</f>
        <v>0</v>
      </c>
      <c r="O314" s="8">
        <f>'MKT DATA'!S1347</f>
        <v>-85359</v>
      </c>
      <c r="P314" s="8">
        <f>'MKT DATA'!T1347</f>
        <v>0</v>
      </c>
      <c r="Q314" s="43" t="str">
        <f t="shared" si="11"/>
        <v>syn BTCG7/BTCH7/BTCZ6/BTCV6/BTCX6/BTCF7</v>
      </c>
      <c r="R314" s="13">
        <f>'MKT DATA'!AB1347</f>
        <v>0</v>
      </c>
    </row>
    <row r="315" spans="5:18" x14ac:dyDescent="0.25">
      <c r="E315" s="43" t="str">
        <f>'MKT DATA'!B1348</f>
        <v>syn BTCG7/BTCH7/BTCZ6/BTCX6/BTCV6/BTCF7</v>
      </c>
      <c r="F315" s="13">
        <f>'MKT DATA'!J1348</f>
        <v>1</v>
      </c>
      <c r="G315" s="8">
        <f>'MKT DATA'!K1348</f>
        <v>83919</v>
      </c>
      <c r="H315" s="8">
        <f>'MKT DATA'!L1348</f>
        <v>85373</v>
      </c>
      <c r="I315" s="13">
        <f>'MKT DATA'!M1348</f>
        <v>1</v>
      </c>
      <c r="J315" s="43" t="str">
        <f t="shared" si="10"/>
        <v>syn BTCG7/BTCH7/BTCZ6/BTCX6/BTCV6/BTCF7</v>
      </c>
      <c r="K315" s="8">
        <f>'MKT DATA'!O1348</f>
        <v>0</v>
      </c>
      <c r="L315" s="8">
        <f>'MKT DATA'!P1348</f>
        <v>83919</v>
      </c>
      <c r="M315" s="8">
        <f>'MKT DATA'!Q1348</f>
        <v>0</v>
      </c>
      <c r="N315" s="8">
        <f>'MKT DATA'!R1348</f>
        <v>0</v>
      </c>
      <c r="O315" s="8">
        <f>'MKT DATA'!S1348</f>
        <v>-85373</v>
      </c>
      <c r="P315" s="8">
        <f>'MKT DATA'!T1348</f>
        <v>0</v>
      </c>
      <c r="Q315" s="43" t="str">
        <f t="shared" si="11"/>
        <v>syn BTCG7/BTCH7/BTCZ6/BTCX6/BTCV6/BTCF7</v>
      </c>
      <c r="R315" s="13">
        <f>'MKT DATA'!AB1348</f>
        <v>0</v>
      </c>
    </row>
    <row r="316" spans="5:18" x14ac:dyDescent="0.25">
      <c r="E316" s="43" t="str">
        <f>'MKT DATA'!B1349</f>
        <v>syn BTCH7/BTCV6/BTCX6/BTCZ6/BTCG7/BTCF7</v>
      </c>
      <c r="F316" s="13">
        <f>'MKT DATA'!J1349</f>
        <v>1</v>
      </c>
      <c r="G316" s="8">
        <f>'MKT DATA'!K1349</f>
        <v>83676</v>
      </c>
      <c r="H316" s="8">
        <f>'MKT DATA'!L1349</f>
        <v>85803</v>
      </c>
      <c r="I316" s="13">
        <f>'MKT DATA'!M1349</f>
        <v>1</v>
      </c>
      <c r="J316" s="43" t="str">
        <f t="shared" si="10"/>
        <v>syn BTCH7/BTCV6/BTCX6/BTCZ6/BTCG7/BTCF7</v>
      </c>
      <c r="K316" s="8">
        <f>'MKT DATA'!O1349</f>
        <v>0</v>
      </c>
      <c r="L316" s="8">
        <f>'MKT DATA'!P1349</f>
        <v>83676</v>
      </c>
      <c r="M316" s="8">
        <f>'MKT DATA'!Q1349</f>
        <v>0</v>
      </c>
      <c r="N316" s="8">
        <f>'MKT DATA'!R1349</f>
        <v>0</v>
      </c>
      <c r="O316" s="8">
        <f>'MKT DATA'!S1349</f>
        <v>-85803</v>
      </c>
      <c r="P316" s="8">
        <f>'MKT DATA'!T1349</f>
        <v>0</v>
      </c>
      <c r="Q316" s="43" t="str">
        <f t="shared" si="11"/>
        <v>syn BTCH7/BTCV6/BTCX6/BTCZ6/BTCG7/BTCF7</v>
      </c>
      <c r="R316" s="13">
        <f>'MKT DATA'!AB1349</f>
        <v>0</v>
      </c>
    </row>
    <row r="317" spans="5:18" x14ac:dyDescent="0.25">
      <c r="E317" s="43" t="str">
        <f>'MKT DATA'!B1350</f>
        <v>syn BTCH7/BTCV6/BTCX6/BTCG7/BTCZ6/BTCF7</v>
      </c>
      <c r="F317" s="13">
        <f>'MKT DATA'!J1350</f>
        <v>1</v>
      </c>
      <c r="G317" s="8">
        <f>'MKT DATA'!K1350</f>
        <v>83539</v>
      </c>
      <c r="H317" s="8">
        <f>'MKT DATA'!L1350</f>
        <v>85905</v>
      </c>
      <c r="I317" s="13">
        <f>'MKT DATA'!M1350</f>
        <v>1</v>
      </c>
      <c r="J317" s="43" t="str">
        <f t="shared" si="10"/>
        <v>syn BTCH7/BTCV6/BTCX6/BTCG7/BTCZ6/BTCF7</v>
      </c>
      <c r="K317" s="8">
        <f>'MKT DATA'!O1350</f>
        <v>0</v>
      </c>
      <c r="L317" s="8">
        <f>'MKT DATA'!P1350</f>
        <v>83539</v>
      </c>
      <c r="M317" s="8">
        <f>'MKT DATA'!Q1350</f>
        <v>0</v>
      </c>
      <c r="N317" s="8">
        <f>'MKT DATA'!R1350</f>
        <v>0</v>
      </c>
      <c r="O317" s="8">
        <f>'MKT DATA'!S1350</f>
        <v>-85905</v>
      </c>
      <c r="P317" s="8">
        <f>'MKT DATA'!T1350</f>
        <v>0</v>
      </c>
      <c r="Q317" s="43" t="str">
        <f t="shared" si="11"/>
        <v>syn BTCH7/BTCV6/BTCX6/BTCG7/BTCZ6/BTCF7</v>
      </c>
      <c r="R317" s="13">
        <f>'MKT DATA'!AB1350</f>
        <v>0</v>
      </c>
    </row>
    <row r="318" spans="5:18" x14ac:dyDescent="0.25">
      <c r="E318" s="43" t="str">
        <f>'MKT DATA'!B1351</f>
        <v>syn BTCH7/BTCV6/BTCZ6/BTCX6/BTCG7/BTCF7</v>
      </c>
      <c r="F318" s="13">
        <f>'MKT DATA'!J1351</f>
        <v>1</v>
      </c>
      <c r="G318" s="8">
        <f>'MKT DATA'!K1351</f>
        <v>83675</v>
      </c>
      <c r="H318" s="8">
        <f>'MKT DATA'!L1351</f>
        <v>85789</v>
      </c>
      <c r="I318" s="13">
        <f>'MKT DATA'!M1351</f>
        <v>1</v>
      </c>
      <c r="J318" s="43" t="str">
        <f t="shared" si="10"/>
        <v>syn BTCH7/BTCV6/BTCZ6/BTCX6/BTCG7/BTCF7</v>
      </c>
      <c r="K318" s="8">
        <f>'MKT DATA'!O1351</f>
        <v>0</v>
      </c>
      <c r="L318" s="8">
        <f>'MKT DATA'!P1351</f>
        <v>83675</v>
      </c>
      <c r="M318" s="8">
        <f>'MKT DATA'!Q1351</f>
        <v>0</v>
      </c>
      <c r="N318" s="8">
        <f>'MKT DATA'!R1351</f>
        <v>0</v>
      </c>
      <c r="O318" s="8">
        <f>'MKT DATA'!S1351</f>
        <v>-85789</v>
      </c>
      <c r="P318" s="8">
        <f>'MKT DATA'!T1351</f>
        <v>0</v>
      </c>
      <c r="Q318" s="43" t="str">
        <f t="shared" si="11"/>
        <v>syn BTCH7/BTCV6/BTCZ6/BTCX6/BTCG7/BTCF7</v>
      </c>
      <c r="R318" s="13">
        <f>'MKT DATA'!AB1351</f>
        <v>0</v>
      </c>
    </row>
    <row r="319" spans="5:18" x14ac:dyDescent="0.25">
      <c r="E319" s="43" t="str">
        <f>'MKT DATA'!B1352</f>
        <v>syn BTCH7/BTCV6/BTCZ6/BTCG7/BTCX6/BTCF7</v>
      </c>
      <c r="F319" s="13">
        <f>'MKT DATA'!J1352</f>
        <v>1</v>
      </c>
      <c r="G319" s="8">
        <f>'MKT DATA'!K1352</f>
        <v>83487</v>
      </c>
      <c r="H319" s="8">
        <f>'MKT DATA'!L1352</f>
        <v>85956</v>
      </c>
      <c r="I319" s="13">
        <f>'MKT DATA'!M1352</f>
        <v>1</v>
      </c>
      <c r="J319" s="43" t="str">
        <f t="shared" si="10"/>
        <v>syn BTCH7/BTCV6/BTCZ6/BTCG7/BTCX6/BTCF7</v>
      </c>
      <c r="K319" s="8">
        <f>'MKT DATA'!O1352</f>
        <v>0</v>
      </c>
      <c r="L319" s="8">
        <f>'MKT DATA'!P1352</f>
        <v>83487</v>
      </c>
      <c r="M319" s="8">
        <f>'MKT DATA'!Q1352</f>
        <v>0</v>
      </c>
      <c r="N319" s="8">
        <f>'MKT DATA'!R1352</f>
        <v>0</v>
      </c>
      <c r="O319" s="8">
        <f>'MKT DATA'!S1352</f>
        <v>-85956</v>
      </c>
      <c r="P319" s="8">
        <f>'MKT DATA'!T1352</f>
        <v>0</v>
      </c>
      <c r="Q319" s="43" t="str">
        <f t="shared" si="11"/>
        <v>syn BTCH7/BTCV6/BTCZ6/BTCG7/BTCX6/BTCF7</v>
      </c>
      <c r="R319" s="13">
        <f>'MKT DATA'!AB1352</f>
        <v>0</v>
      </c>
    </row>
    <row r="320" spans="5:18" x14ac:dyDescent="0.25">
      <c r="E320" s="43" t="str">
        <f>'MKT DATA'!B1353</f>
        <v>syn BTCH7/BTCV6/BTCG7/BTCX6/BTCZ6/BTCF7</v>
      </c>
      <c r="F320" s="13">
        <f>'MKT DATA'!J1353</f>
        <v>1</v>
      </c>
      <c r="G320" s="8">
        <f>'MKT DATA'!K1353</f>
        <v>83576</v>
      </c>
      <c r="H320" s="8">
        <f>'MKT DATA'!L1353</f>
        <v>85890</v>
      </c>
      <c r="I320" s="13">
        <f>'MKT DATA'!M1353</f>
        <v>1</v>
      </c>
      <c r="J320" s="43" t="str">
        <f t="shared" si="10"/>
        <v>syn BTCH7/BTCV6/BTCG7/BTCX6/BTCZ6/BTCF7</v>
      </c>
      <c r="K320" s="8">
        <f>'MKT DATA'!O1353</f>
        <v>0</v>
      </c>
      <c r="L320" s="8">
        <f>'MKT DATA'!P1353</f>
        <v>83576</v>
      </c>
      <c r="M320" s="8">
        <f>'MKT DATA'!Q1353</f>
        <v>0</v>
      </c>
      <c r="N320" s="8">
        <f>'MKT DATA'!R1353</f>
        <v>0</v>
      </c>
      <c r="O320" s="8">
        <f>'MKT DATA'!S1353</f>
        <v>-85890</v>
      </c>
      <c r="P320" s="8">
        <f>'MKT DATA'!T1353</f>
        <v>0</v>
      </c>
      <c r="Q320" s="43" t="str">
        <f t="shared" si="11"/>
        <v>syn BTCH7/BTCV6/BTCG7/BTCX6/BTCZ6/BTCF7</v>
      </c>
      <c r="R320" s="13">
        <f>'MKT DATA'!AB1353</f>
        <v>0</v>
      </c>
    </row>
    <row r="321" spans="5:18" x14ac:dyDescent="0.25">
      <c r="E321" s="43" t="str">
        <f>'MKT DATA'!B1354</f>
        <v>syn BTCH7/BTCV6/BTCG7/BTCZ6/BTCX6/BTCF7</v>
      </c>
      <c r="F321" s="13">
        <f>'MKT DATA'!J1354</f>
        <v>1</v>
      </c>
      <c r="G321" s="8">
        <f>'MKT DATA'!K1354</f>
        <v>83495</v>
      </c>
      <c r="H321" s="8">
        <f>'MKT DATA'!L1354</f>
        <v>85925</v>
      </c>
      <c r="I321" s="13">
        <f>'MKT DATA'!M1354</f>
        <v>1</v>
      </c>
      <c r="J321" s="43" t="str">
        <f t="shared" si="10"/>
        <v>syn BTCH7/BTCV6/BTCG7/BTCZ6/BTCX6/BTCF7</v>
      </c>
      <c r="K321" s="8">
        <f>'MKT DATA'!O1354</f>
        <v>0</v>
      </c>
      <c r="L321" s="8">
        <f>'MKT DATA'!P1354</f>
        <v>83495</v>
      </c>
      <c r="M321" s="8">
        <f>'MKT DATA'!Q1354</f>
        <v>0</v>
      </c>
      <c r="N321" s="8">
        <f>'MKT DATA'!R1354</f>
        <v>0</v>
      </c>
      <c r="O321" s="8">
        <f>'MKT DATA'!S1354</f>
        <v>-85925</v>
      </c>
      <c r="P321" s="8">
        <f>'MKT DATA'!T1354</f>
        <v>0</v>
      </c>
      <c r="Q321" s="43" t="str">
        <f t="shared" si="11"/>
        <v>syn BTCH7/BTCV6/BTCG7/BTCZ6/BTCX6/BTCF7</v>
      </c>
      <c r="R321" s="13">
        <f>'MKT DATA'!AB1354</f>
        <v>0</v>
      </c>
    </row>
    <row r="322" spans="5:18" x14ac:dyDescent="0.25">
      <c r="E322" s="43" t="str">
        <f>'MKT DATA'!B1355</f>
        <v>syn BTCH7/BTCX6/BTCV6/BTCZ6/BTCG7/BTCF7</v>
      </c>
      <c r="F322" s="13">
        <f>'MKT DATA'!J1355</f>
        <v>1</v>
      </c>
      <c r="G322" s="8">
        <f>'MKT DATA'!K1355</f>
        <v>83660</v>
      </c>
      <c r="H322" s="8">
        <f>'MKT DATA'!L1355</f>
        <v>85826</v>
      </c>
      <c r="I322" s="13">
        <f>'MKT DATA'!M1355</f>
        <v>1</v>
      </c>
      <c r="J322" s="43" t="str">
        <f t="shared" si="10"/>
        <v>syn BTCH7/BTCX6/BTCV6/BTCZ6/BTCG7/BTCF7</v>
      </c>
      <c r="K322" s="8">
        <f>'MKT DATA'!O1355</f>
        <v>0</v>
      </c>
      <c r="L322" s="8">
        <f>'MKT DATA'!P1355</f>
        <v>83660</v>
      </c>
      <c r="M322" s="8">
        <f>'MKT DATA'!Q1355</f>
        <v>0</v>
      </c>
      <c r="N322" s="8">
        <f>'MKT DATA'!R1355</f>
        <v>0</v>
      </c>
      <c r="O322" s="8">
        <f>'MKT DATA'!S1355</f>
        <v>-85826</v>
      </c>
      <c r="P322" s="8">
        <f>'MKT DATA'!T1355</f>
        <v>0</v>
      </c>
      <c r="Q322" s="43" t="str">
        <f t="shared" si="11"/>
        <v>syn BTCH7/BTCX6/BTCV6/BTCZ6/BTCG7/BTCF7</v>
      </c>
      <c r="R322" s="13">
        <f>'MKT DATA'!AB1355</f>
        <v>0</v>
      </c>
    </row>
    <row r="323" spans="5:18" x14ac:dyDescent="0.25">
      <c r="E323" s="43" t="str">
        <f>'MKT DATA'!B1356</f>
        <v>syn BTCH7/BTCX6/BTCV6/BTCG7/BTCZ6/BTCF7</v>
      </c>
      <c r="F323" s="13">
        <f>'MKT DATA'!J1356</f>
        <v>1</v>
      </c>
      <c r="G323" s="8">
        <f>'MKT DATA'!K1356</f>
        <v>83546</v>
      </c>
      <c r="H323" s="8">
        <f>'MKT DATA'!L1356</f>
        <v>85912</v>
      </c>
      <c r="I323" s="13">
        <f>'MKT DATA'!M1356</f>
        <v>1</v>
      </c>
      <c r="J323" s="43" t="str">
        <f t="shared" si="10"/>
        <v>syn BTCH7/BTCX6/BTCV6/BTCG7/BTCZ6/BTCF7</v>
      </c>
      <c r="K323" s="8">
        <f>'MKT DATA'!O1356</f>
        <v>0</v>
      </c>
      <c r="L323" s="8">
        <f>'MKT DATA'!P1356</f>
        <v>83546</v>
      </c>
      <c r="M323" s="8">
        <f>'MKT DATA'!Q1356</f>
        <v>0</v>
      </c>
      <c r="N323" s="8">
        <f>'MKT DATA'!R1356</f>
        <v>0</v>
      </c>
      <c r="O323" s="8">
        <f>'MKT DATA'!S1356</f>
        <v>-85912</v>
      </c>
      <c r="P323" s="8">
        <f>'MKT DATA'!T1356</f>
        <v>0</v>
      </c>
      <c r="Q323" s="43" t="str">
        <f t="shared" si="11"/>
        <v>syn BTCH7/BTCX6/BTCV6/BTCG7/BTCZ6/BTCF7</v>
      </c>
      <c r="R323" s="13">
        <f>'MKT DATA'!AB1356</f>
        <v>0</v>
      </c>
    </row>
    <row r="324" spans="5:18" x14ac:dyDescent="0.25">
      <c r="E324" s="43" t="str">
        <f>'MKT DATA'!B1357</f>
        <v>syn BTCH7/BTCX6/BTCZ6/BTCV6/BTCG7/BTCF7</v>
      </c>
      <c r="F324" s="13">
        <f>'MKT DATA'!J1357</f>
        <v>1</v>
      </c>
      <c r="G324" s="8">
        <f>'MKT DATA'!K1357</f>
        <v>83682</v>
      </c>
      <c r="H324" s="8">
        <f>'MKT DATA'!L1357</f>
        <v>85796</v>
      </c>
      <c r="I324" s="13">
        <f>'MKT DATA'!M1357</f>
        <v>1</v>
      </c>
      <c r="J324" s="43" t="str">
        <f t="shared" si="10"/>
        <v>syn BTCH7/BTCX6/BTCZ6/BTCV6/BTCG7/BTCF7</v>
      </c>
      <c r="K324" s="8">
        <f>'MKT DATA'!O1357</f>
        <v>0</v>
      </c>
      <c r="L324" s="8">
        <f>'MKT DATA'!P1357</f>
        <v>83682</v>
      </c>
      <c r="M324" s="8">
        <f>'MKT DATA'!Q1357</f>
        <v>0</v>
      </c>
      <c r="N324" s="8">
        <f>'MKT DATA'!R1357</f>
        <v>0</v>
      </c>
      <c r="O324" s="8">
        <f>'MKT DATA'!S1357</f>
        <v>-85796</v>
      </c>
      <c r="P324" s="8">
        <f>'MKT DATA'!T1357</f>
        <v>0</v>
      </c>
      <c r="Q324" s="43" t="str">
        <f t="shared" si="11"/>
        <v>syn BTCH7/BTCX6/BTCZ6/BTCV6/BTCG7/BTCF7</v>
      </c>
      <c r="R324" s="13">
        <f>'MKT DATA'!AB1357</f>
        <v>0</v>
      </c>
    </row>
    <row r="325" spans="5:18" x14ac:dyDescent="0.25">
      <c r="E325" s="43" t="str">
        <f>'MKT DATA'!B1358</f>
        <v>syn BTCH7/BTCX6/BTCZ6/BTCG7/BTCV6/BTCF7</v>
      </c>
      <c r="F325" s="13">
        <f>'MKT DATA'!J1358</f>
        <v>1</v>
      </c>
      <c r="G325" s="8">
        <f>'MKT DATA'!K1358</f>
        <v>83470</v>
      </c>
      <c r="H325" s="8">
        <f>'MKT DATA'!L1358</f>
        <v>85970</v>
      </c>
      <c r="I325" s="13">
        <f>'MKT DATA'!M1358</f>
        <v>1</v>
      </c>
      <c r="J325" s="43" t="str">
        <f t="shared" si="10"/>
        <v>syn BTCH7/BTCX6/BTCZ6/BTCG7/BTCV6/BTCF7</v>
      </c>
      <c r="K325" s="8">
        <f>'MKT DATA'!O1358</f>
        <v>0</v>
      </c>
      <c r="L325" s="8">
        <f>'MKT DATA'!P1358</f>
        <v>83470</v>
      </c>
      <c r="M325" s="8">
        <f>'MKT DATA'!Q1358</f>
        <v>0</v>
      </c>
      <c r="N325" s="8">
        <f>'MKT DATA'!R1358</f>
        <v>0</v>
      </c>
      <c r="O325" s="8">
        <f>'MKT DATA'!S1358</f>
        <v>-85970</v>
      </c>
      <c r="P325" s="8">
        <f>'MKT DATA'!T1358</f>
        <v>0</v>
      </c>
      <c r="Q325" s="43" t="str">
        <f t="shared" si="11"/>
        <v>syn BTCH7/BTCX6/BTCZ6/BTCG7/BTCV6/BTCF7</v>
      </c>
      <c r="R325" s="13">
        <f>'MKT DATA'!AB1358</f>
        <v>0</v>
      </c>
    </row>
    <row r="326" spans="5:18" x14ac:dyDescent="0.25">
      <c r="E326" s="43" t="str">
        <f>'MKT DATA'!B1359</f>
        <v>syn BTCH7/BTCX6/BTCG7/BTCV6/BTCZ6/BTCF7</v>
      </c>
      <c r="F326" s="13">
        <f>'MKT DATA'!J1359</f>
        <v>1</v>
      </c>
      <c r="G326" s="8">
        <f>'MKT DATA'!K1359</f>
        <v>83553</v>
      </c>
      <c r="H326" s="8">
        <f>'MKT DATA'!L1359</f>
        <v>85906</v>
      </c>
      <c r="I326" s="13">
        <f>'MKT DATA'!M1359</f>
        <v>1</v>
      </c>
      <c r="J326" s="43" t="str">
        <f t="shared" si="10"/>
        <v>syn BTCH7/BTCX6/BTCG7/BTCV6/BTCZ6/BTCF7</v>
      </c>
      <c r="K326" s="8">
        <f>'MKT DATA'!O1359</f>
        <v>0</v>
      </c>
      <c r="L326" s="8">
        <f>'MKT DATA'!P1359</f>
        <v>83553</v>
      </c>
      <c r="M326" s="8">
        <f>'MKT DATA'!Q1359</f>
        <v>0</v>
      </c>
      <c r="N326" s="8">
        <f>'MKT DATA'!R1359</f>
        <v>0</v>
      </c>
      <c r="O326" s="8">
        <f>'MKT DATA'!S1359</f>
        <v>-85906</v>
      </c>
      <c r="P326" s="8">
        <f>'MKT DATA'!T1359</f>
        <v>0</v>
      </c>
      <c r="Q326" s="43" t="str">
        <f t="shared" si="11"/>
        <v>syn BTCH7/BTCX6/BTCG7/BTCV6/BTCZ6/BTCF7</v>
      </c>
      <c r="R326" s="13">
        <f>'MKT DATA'!AB1359</f>
        <v>0</v>
      </c>
    </row>
    <row r="327" spans="5:18" x14ac:dyDescent="0.25">
      <c r="E327" s="43" t="str">
        <f>'MKT DATA'!B1360</f>
        <v>syn BTCH7/BTCX6/BTCG7/BTCZ6/BTCV6/BTCF7</v>
      </c>
      <c r="F327" s="13">
        <f>'MKT DATA'!J1360</f>
        <v>1</v>
      </c>
      <c r="G327" s="8">
        <f>'MKT DATA'!K1360</f>
        <v>83439</v>
      </c>
      <c r="H327" s="8">
        <f>'MKT DATA'!L1360</f>
        <v>85978</v>
      </c>
      <c r="I327" s="13">
        <f>'MKT DATA'!M1360</f>
        <v>1</v>
      </c>
      <c r="J327" s="43" t="str">
        <f t="shared" si="10"/>
        <v>syn BTCH7/BTCX6/BTCG7/BTCZ6/BTCV6/BTCF7</v>
      </c>
      <c r="K327" s="8">
        <f>'MKT DATA'!O1360</f>
        <v>0</v>
      </c>
      <c r="L327" s="8">
        <f>'MKT DATA'!P1360</f>
        <v>83439</v>
      </c>
      <c r="M327" s="8">
        <f>'MKT DATA'!Q1360</f>
        <v>0</v>
      </c>
      <c r="N327" s="8">
        <f>'MKT DATA'!R1360</f>
        <v>0</v>
      </c>
      <c r="O327" s="8">
        <f>'MKT DATA'!S1360</f>
        <v>-85978</v>
      </c>
      <c r="P327" s="8">
        <f>'MKT DATA'!T1360</f>
        <v>0</v>
      </c>
      <c r="Q327" s="43" t="str">
        <f t="shared" si="11"/>
        <v>syn BTCH7/BTCX6/BTCG7/BTCZ6/BTCV6/BTCF7</v>
      </c>
      <c r="R327" s="13">
        <f>'MKT DATA'!AB1360</f>
        <v>0</v>
      </c>
    </row>
    <row r="328" spans="5:18" x14ac:dyDescent="0.25">
      <c r="E328" s="43" t="str">
        <f>'MKT DATA'!B1361</f>
        <v>syn BTCH7/BTCZ6/BTCV6/BTCX6/BTCG7/BTCF7</v>
      </c>
      <c r="F328" s="13">
        <f>'MKT DATA'!J1361</f>
        <v>1</v>
      </c>
      <c r="G328" s="8">
        <f>'MKT DATA'!K1361</f>
        <v>83675</v>
      </c>
      <c r="H328" s="8">
        <f>'MKT DATA'!L1361</f>
        <v>85601</v>
      </c>
      <c r="I328" s="13">
        <f>'MKT DATA'!M1361</f>
        <v>1</v>
      </c>
      <c r="J328" s="43" t="str">
        <f t="shared" si="10"/>
        <v>syn BTCH7/BTCZ6/BTCV6/BTCX6/BTCG7/BTCF7</v>
      </c>
      <c r="K328" s="8">
        <f>'MKT DATA'!O1361</f>
        <v>0</v>
      </c>
      <c r="L328" s="8">
        <f>'MKT DATA'!P1361</f>
        <v>83675</v>
      </c>
      <c r="M328" s="8">
        <f>'MKT DATA'!Q1361</f>
        <v>0</v>
      </c>
      <c r="N328" s="8">
        <f>'MKT DATA'!R1361</f>
        <v>0</v>
      </c>
      <c r="O328" s="8">
        <f>'MKT DATA'!S1361</f>
        <v>-85601</v>
      </c>
      <c r="P328" s="8">
        <f>'MKT DATA'!T1361</f>
        <v>0</v>
      </c>
      <c r="Q328" s="43" t="str">
        <f t="shared" si="11"/>
        <v>syn BTCH7/BTCZ6/BTCV6/BTCX6/BTCG7/BTCF7</v>
      </c>
      <c r="R328" s="13">
        <f>'MKT DATA'!AB1361</f>
        <v>0</v>
      </c>
    </row>
    <row r="329" spans="5:18" x14ac:dyDescent="0.25">
      <c r="E329" s="43" t="str">
        <f>'MKT DATA'!B1362</f>
        <v>syn BTCH7/BTCZ6/BTCV6/BTCG7/BTCX6/BTCF7</v>
      </c>
      <c r="F329" s="13">
        <f>'MKT DATA'!J1362</f>
        <v>1</v>
      </c>
      <c r="G329" s="8">
        <f>'MKT DATA'!K1362</f>
        <v>83509</v>
      </c>
      <c r="H329" s="8">
        <f>'MKT DATA'!L1362</f>
        <v>85738</v>
      </c>
      <c r="I329" s="13">
        <f>'MKT DATA'!M1362</f>
        <v>1</v>
      </c>
      <c r="J329" s="43" t="str">
        <f t="shared" si="10"/>
        <v>syn BTCH7/BTCZ6/BTCV6/BTCG7/BTCX6/BTCF7</v>
      </c>
      <c r="K329" s="8">
        <f>'MKT DATA'!O1362</f>
        <v>0</v>
      </c>
      <c r="L329" s="8">
        <f>'MKT DATA'!P1362</f>
        <v>83509</v>
      </c>
      <c r="M329" s="8">
        <f>'MKT DATA'!Q1362</f>
        <v>0</v>
      </c>
      <c r="N329" s="8">
        <f>'MKT DATA'!R1362</f>
        <v>0</v>
      </c>
      <c r="O329" s="8">
        <f>'MKT DATA'!S1362</f>
        <v>-85738</v>
      </c>
      <c r="P329" s="8">
        <f>'MKT DATA'!T1362</f>
        <v>0</v>
      </c>
      <c r="Q329" s="43" t="str">
        <f t="shared" si="11"/>
        <v>syn BTCH7/BTCZ6/BTCV6/BTCG7/BTCX6/BTCF7</v>
      </c>
      <c r="R329" s="13">
        <f>'MKT DATA'!AB1362</f>
        <v>0</v>
      </c>
    </row>
    <row r="330" spans="5:18" x14ac:dyDescent="0.25">
      <c r="E330" s="43" t="str">
        <f>'MKT DATA'!B1363</f>
        <v>syn BTCH7/BTCZ6/BTCX6/BTCV6/BTCG7/BTCF7</v>
      </c>
      <c r="F330" s="13">
        <f>'MKT DATA'!J1363</f>
        <v>1</v>
      </c>
      <c r="G330" s="8">
        <f>'MKT DATA'!K1363</f>
        <v>83698</v>
      </c>
      <c r="H330" s="8">
        <f>'MKT DATA'!L1363</f>
        <v>85585</v>
      </c>
      <c r="I330" s="13">
        <f>'MKT DATA'!M1363</f>
        <v>1</v>
      </c>
      <c r="J330" s="43" t="str">
        <f t="shared" ref="J330:J333" si="12">E330</f>
        <v>syn BTCH7/BTCZ6/BTCX6/BTCV6/BTCG7/BTCF7</v>
      </c>
      <c r="K330" s="8">
        <f>'MKT DATA'!O1363</f>
        <v>0</v>
      </c>
      <c r="L330" s="8">
        <f>'MKT DATA'!P1363</f>
        <v>83698</v>
      </c>
      <c r="M330" s="8">
        <f>'MKT DATA'!Q1363</f>
        <v>0</v>
      </c>
      <c r="N330" s="8">
        <f>'MKT DATA'!R1363</f>
        <v>0</v>
      </c>
      <c r="O330" s="8">
        <f>'MKT DATA'!S1363</f>
        <v>-85585</v>
      </c>
      <c r="P330" s="8">
        <f>'MKT DATA'!T1363</f>
        <v>0</v>
      </c>
      <c r="Q330" s="43" t="str">
        <f t="shared" ref="Q330:Q333" si="13">J330</f>
        <v>syn BTCH7/BTCZ6/BTCX6/BTCV6/BTCG7/BTCF7</v>
      </c>
      <c r="R330" s="13">
        <f>'MKT DATA'!AB1363</f>
        <v>0</v>
      </c>
    </row>
    <row r="331" spans="5:18" x14ac:dyDescent="0.25">
      <c r="E331" s="43" t="str">
        <f>'MKT DATA'!B1364</f>
        <v>syn BTCH7/BTCZ6/BTCX6/BTCG7/BTCV6/BTCF7</v>
      </c>
      <c r="F331" s="13">
        <f>'MKT DATA'!J1364</f>
        <v>1</v>
      </c>
      <c r="G331" s="8">
        <f>'MKT DATA'!K1364</f>
        <v>83485</v>
      </c>
      <c r="H331" s="8">
        <f>'MKT DATA'!L1364</f>
        <v>85745</v>
      </c>
      <c r="I331" s="13">
        <f>'MKT DATA'!M1364</f>
        <v>1</v>
      </c>
      <c r="J331" s="43" t="str">
        <f t="shared" si="12"/>
        <v>syn BTCH7/BTCZ6/BTCX6/BTCG7/BTCV6/BTCF7</v>
      </c>
      <c r="K331" s="8">
        <f>'MKT DATA'!O1364</f>
        <v>0</v>
      </c>
      <c r="L331" s="8">
        <f>'MKT DATA'!P1364</f>
        <v>83485</v>
      </c>
      <c r="M331" s="8">
        <f>'MKT DATA'!Q1364</f>
        <v>0</v>
      </c>
      <c r="N331" s="8">
        <f>'MKT DATA'!R1364</f>
        <v>0</v>
      </c>
      <c r="O331" s="8">
        <f>'MKT DATA'!S1364</f>
        <v>-85745</v>
      </c>
      <c r="P331" s="8">
        <f>'MKT DATA'!T1364</f>
        <v>0</v>
      </c>
      <c r="Q331" s="43" t="str">
        <f t="shared" si="13"/>
        <v>syn BTCH7/BTCZ6/BTCX6/BTCG7/BTCV6/BTCF7</v>
      </c>
      <c r="R331" s="13">
        <f>'MKT DATA'!AB1364</f>
        <v>0</v>
      </c>
    </row>
    <row r="332" spans="5:18" x14ac:dyDescent="0.25">
      <c r="E332" s="43" t="str">
        <f>'MKT DATA'!B1365</f>
        <v>syn BTCH7/BTCZ6/BTCG7/BTCV6/BTCX6/BTCF7</v>
      </c>
      <c r="F332" s="13">
        <f>'MKT DATA'!J1365</f>
        <v>1</v>
      </c>
      <c r="G332" s="8">
        <f>'MKT DATA'!K1365</f>
        <v>83503</v>
      </c>
      <c r="H332" s="8">
        <f>'MKT DATA'!L1365</f>
        <v>85745</v>
      </c>
      <c r="I332" s="13">
        <f>'MKT DATA'!M1365</f>
        <v>1</v>
      </c>
      <c r="J332" s="43" t="str">
        <f t="shared" si="12"/>
        <v>syn BTCH7/BTCZ6/BTCG7/BTCV6/BTCX6/BTCF7</v>
      </c>
      <c r="K332" s="8">
        <f>'MKT DATA'!O1365</f>
        <v>0</v>
      </c>
      <c r="L332" s="8">
        <f>'MKT DATA'!P1365</f>
        <v>83503</v>
      </c>
      <c r="M332" s="8">
        <f>'MKT DATA'!Q1365</f>
        <v>0</v>
      </c>
      <c r="N332" s="8">
        <f>'MKT DATA'!R1365</f>
        <v>0</v>
      </c>
      <c r="O332" s="8">
        <f>'MKT DATA'!S1365</f>
        <v>-85745</v>
      </c>
      <c r="P332" s="8">
        <f>'MKT DATA'!T1365</f>
        <v>0</v>
      </c>
      <c r="Q332" s="43" t="str">
        <f t="shared" si="13"/>
        <v>syn BTCH7/BTCZ6/BTCG7/BTCV6/BTCX6/BTCF7</v>
      </c>
      <c r="R332" s="13">
        <f>'MKT DATA'!AB1365</f>
        <v>0</v>
      </c>
    </row>
    <row r="333" spans="5:18" x14ac:dyDescent="0.25">
      <c r="E333" s="43" t="str">
        <f>'MKT DATA'!B1366</f>
        <v>syn BTCH7/BTCZ6/BTCG7/BTCX6/BTCV6/BTCF7</v>
      </c>
      <c r="F333" s="13">
        <f>'MKT DATA'!J1366</f>
        <v>1</v>
      </c>
      <c r="G333" s="8">
        <f>'MKT DATA'!K1366</f>
        <v>83470</v>
      </c>
      <c r="H333" s="8">
        <f>'MKT DATA'!L1366</f>
        <v>85782</v>
      </c>
      <c r="I333" s="13">
        <f>'MKT DATA'!M1366</f>
        <v>1</v>
      </c>
      <c r="J333" s="43" t="str">
        <f t="shared" si="12"/>
        <v>syn BTCH7/BTCZ6/BTCG7/BTCX6/BTCV6/BTCF7</v>
      </c>
      <c r="K333" s="8">
        <f>'MKT DATA'!O1366</f>
        <v>0</v>
      </c>
      <c r="L333" s="8">
        <f>'MKT DATA'!P1366</f>
        <v>83470</v>
      </c>
      <c r="M333" s="8">
        <f>'MKT DATA'!Q1366</f>
        <v>0</v>
      </c>
      <c r="N333" s="8">
        <f>'MKT DATA'!R1366</f>
        <v>0</v>
      </c>
      <c r="O333" s="8">
        <f>'MKT DATA'!S1366</f>
        <v>-85782</v>
      </c>
      <c r="P333" s="8">
        <f>'MKT DATA'!T1366</f>
        <v>0</v>
      </c>
      <c r="Q333" s="43" t="str">
        <f t="shared" si="13"/>
        <v>syn BTCH7/BTCZ6/BTCG7/BTCX6/BTCV6/BTCF7</v>
      </c>
      <c r="R333" s="13">
        <f>'MKT DATA'!AB1366</f>
        <v>0</v>
      </c>
    </row>
    <row r="334" spans="5:18" x14ac:dyDescent="0.25">
      <c r="E334" s="43" t="str">
        <f>'MKT DATA'!B1367</f>
        <v>syn BTCH7/BTCG7/BTCV6/BTCX6/BTCZ6/BTCF7</v>
      </c>
      <c r="F334" s="13">
        <f>'MKT DATA'!J1367</f>
        <v>1</v>
      </c>
      <c r="G334" s="8">
        <f>'MKT DATA'!K1367</f>
        <v>83948</v>
      </c>
      <c r="H334" s="8">
        <f>'MKT DATA'!L1367</f>
        <v>85456</v>
      </c>
      <c r="I334" s="13">
        <f>'MKT DATA'!M1367</f>
        <v>1</v>
      </c>
      <c r="J334" s="43" t="str">
        <f t="shared" ref="J334:J339" si="14">E334</f>
        <v>syn BTCH7/BTCG7/BTCV6/BTCX6/BTCZ6/BTCF7</v>
      </c>
      <c r="K334" s="8">
        <f>'MKT DATA'!O1367</f>
        <v>0</v>
      </c>
      <c r="L334" s="8">
        <f>'MKT DATA'!P1367</f>
        <v>83948</v>
      </c>
      <c r="M334" s="8">
        <f>'MKT DATA'!Q1367</f>
        <v>0</v>
      </c>
      <c r="N334" s="8">
        <f>'MKT DATA'!R1367</f>
        <v>0</v>
      </c>
      <c r="O334" s="8">
        <f>'MKT DATA'!S1367</f>
        <v>-85456</v>
      </c>
      <c r="P334" s="8">
        <f>'MKT DATA'!T1367</f>
        <v>0</v>
      </c>
      <c r="Q334" s="43" t="str">
        <f t="shared" ref="Q334:Q339" si="15">J334</f>
        <v>syn BTCH7/BTCG7/BTCV6/BTCX6/BTCZ6/BTCF7</v>
      </c>
      <c r="R334" s="13">
        <f>'MKT DATA'!AB1367</f>
        <v>0</v>
      </c>
    </row>
    <row r="335" spans="5:18" x14ac:dyDescent="0.25">
      <c r="E335" s="43" t="str">
        <f>'MKT DATA'!B1368</f>
        <v>syn BTCH7/BTCG7/BTCV6/BTCZ6/BTCX6/BTCF7</v>
      </c>
      <c r="F335" s="13">
        <f>'MKT DATA'!J1368</f>
        <v>1</v>
      </c>
      <c r="G335" s="8">
        <f>'MKT DATA'!K1368</f>
        <v>83881</v>
      </c>
      <c r="H335" s="8">
        <f>'MKT DATA'!L1368</f>
        <v>85492</v>
      </c>
      <c r="I335" s="13">
        <f>'MKT DATA'!M1368</f>
        <v>1</v>
      </c>
      <c r="J335" s="43" t="str">
        <f t="shared" si="14"/>
        <v>syn BTCH7/BTCG7/BTCV6/BTCZ6/BTCX6/BTCF7</v>
      </c>
      <c r="K335" s="8">
        <f>'MKT DATA'!O1368</f>
        <v>0</v>
      </c>
      <c r="L335" s="8">
        <f>'MKT DATA'!P1368</f>
        <v>83881</v>
      </c>
      <c r="M335" s="8">
        <f>'MKT DATA'!Q1368</f>
        <v>0</v>
      </c>
      <c r="N335" s="8">
        <f>'MKT DATA'!R1368</f>
        <v>0</v>
      </c>
      <c r="O335" s="8">
        <f>'MKT DATA'!S1368</f>
        <v>-85492</v>
      </c>
      <c r="P335" s="8">
        <f>'MKT DATA'!T1368</f>
        <v>0</v>
      </c>
      <c r="Q335" s="43" t="str">
        <f t="shared" si="15"/>
        <v>syn BTCH7/BTCG7/BTCV6/BTCZ6/BTCX6/BTCF7</v>
      </c>
      <c r="R335" s="13">
        <f>'MKT DATA'!AB1368</f>
        <v>0</v>
      </c>
    </row>
    <row r="336" spans="5:18" x14ac:dyDescent="0.25">
      <c r="E336" s="43" t="str">
        <f>'MKT DATA'!B1369</f>
        <v>syn BTCH7/BTCG7/BTCX6/BTCV6/BTCZ6/BTCF7</v>
      </c>
      <c r="F336" s="13">
        <f>'MKT DATA'!J1369</f>
        <v>1</v>
      </c>
      <c r="G336" s="8">
        <f>'MKT DATA'!K1369</f>
        <v>83932</v>
      </c>
      <c r="H336" s="8">
        <f>'MKT DATA'!L1369</f>
        <v>85479</v>
      </c>
      <c r="I336" s="13">
        <f>'MKT DATA'!M1369</f>
        <v>1</v>
      </c>
      <c r="J336" s="43" t="str">
        <f t="shared" si="14"/>
        <v>syn BTCH7/BTCG7/BTCX6/BTCV6/BTCZ6/BTCF7</v>
      </c>
      <c r="K336" s="8">
        <f>'MKT DATA'!O1369</f>
        <v>0</v>
      </c>
      <c r="L336" s="8">
        <f>'MKT DATA'!P1369</f>
        <v>83932</v>
      </c>
      <c r="M336" s="8">
        <f>'MKT DATA'!Q1369</f>
        <v>0</v>
      </c>
      <c r="N336" s="8">
        <f>'MKT DATA'!R1369</f>
        <v>0</v>
      </c>
      <c r="O336" s="8">
        <f>'MKT DATA'!S1369</f>
        <v>-85479</v>
      </c>
      <c r="P336" s="8">
        <f>'MKT DATA'!T1369</f>
        <v>0</v>
      </c>
      <c r="Q336" s="43" t="str">
        <f t="shared" si="15"/>
        <v>syn BTCH7/BTCG7/BTCX6/BTCV6/BTCZ6/BTCF7</v>
      </c>
      <c r="R336" s="13">
        <f>'MKT DATA'!AB1369</f>
        <v>0</v>
      </c>
    </row>
    <row r="337" spans="5:18" x14ac:dyDescent="0.25">
      <c r="E337" s="43" t="str">
        <f>'MKT DATA'!B1370</f>
        <v>syn BTCH7/BTCG7/BTCX6/BTCZ6/BTCV6/BTCF7</v>
      </c>
      <c r="F337" s="13">
        <f>'MKT DATA'!J1370</f>
        <v>1</v>
      </c>
      <c r="G337" s="8">
        <f>'MKT DATA'!K1370</f>
        <v>83848</v>
      </c>
      <c r="H337" s="8">
        <f>'MKT DATA'!L1370</f>
        <v>85529</v>
      </c>
      <c r="I337" s="13">
        <f>'MKT DATA'!M1370</f>
        <v>1</v>
      </c>
      <c r="J337" s="43" t="str">
        <f t="shared" si="14"/>
        <v>syn BTCH7/BTCG7/BTCX6/BTCZ6/BTCV6/BTCF7</v>
      </c>
      <c r="K337" s="8">
        <f>'MKT DATA'!O1370</f>
        <v>0</v>
      </c>
      <c r="L337" s="8">
        <f>'MKT DATA'!P1370</f>
        <v>83848</v>
      </c>
      <c r="M337" s="8">
        <f>'MKT DATA'!Q1370</f>
        <v>0</v>
      </c>
      <c r="N337" s="8">
        <f>'MKT DATA'!R1370</f>
        <v>0</v>
      </c>
      <c r="O337" s="8">
        <f>'MKT DATA'!S1370</f>
        <v>-85529</v>
      </c>
      <c r="P337" s="8">
        <f>'MKT DATA'!T1370</f>
        <v>0</v>
      </c>
      <c r="Q337" s="43" t="str">
        <f t="shared" si="15"/>
        <v>syn BTCH7/BTCG7/BTCX6/BTCZ6/BTCV6/BTCF7</v>
      </c>
      <c r="R337" s="13">
        <f>'MKT DATA'!AB1370</f>
        <v>0</v>
      </c>
    </row>
    <row r="338" spans="5:18" x14ac:dyDescent="0.25">
      <c r="E338" s="43" t="str">
        <f>'MKT DATA'!B1371</f>
        <v>syn BTCH7/BTCG7/BTCZ6/BTCV6/BTCX6/BTCF7</v>
      </c>
      <c r="F338" s="13">
        <f>'MKT DATA'!J1371</f>
        <v>1</v>
      </c>
      <c r="G338" s="8">
        <f>'MKT DATA'!K1371</f>
        <v>83851</v>
      </c>
      <c r="H338" s="8">
        <f>'MKT DATA'!L1371</f>
        <v>85514</v>
      </c>
      <c r="I338" s="13">
        <f>'MKT DATA'!M1371</f>
        <v>1</v>
      </c>
      <c r="J338" s="43" t="str">
        <f t="shared" si="14"/>
        <v>syn BTCH7/BTCG7/BTCZ6/BTCV6/BTCX6/BTCF7</v>
      </c>
      <c r="K338" s="8">
        <f>'MKT DATA'!O1371</f>
        <v>0</v>
      </c>
      <c r="L338" s="8">
        <f>'MKT DATA'!P1371</f>
        <v>83851</v>
      </c>
      <c r="M338" s="8">
        <f>'MKT DATA'!Q1371</f>
        <v>0</v>
      </c>
      <c r="N338" s="8">
        <f>'MKT DATA'!R1371</f>
        <v>0</v>
      </c>
      <c r="O338" s="8">
        <f>'MKT DATA'!S1371</f>
        <v>-85514</v>
      </c>
      <c r="P338" s="8">
        <f>'MKT DATA'!T1371</f>
        <v>0</v>
      </c>
      <c r="Q338" s="43" t="str">
        <f t="shared" si="15"/>
        <v>syn BTCH7/BTCG7/BTCZ6/BTCV6/BTCX6/BTCF7</v>
      </c>
      <c r="R338" s="13">
        <f>'MKT DATA'!AB1371</f>
        <v>0</v>
      </c>
    </row>
    <row r="339" spans="5:18" x14ac:dyDescent="0.25">
      <c r="E339" s="43" t="str">
        <f>'MKT DATA'!B1372</f>
        <v>syn BTCH7/BTCG7/BTCZ6/BTCX6/BTCV6/BTCF7</v>
      </c>
      <c r="F339" s="13">
        <f>'MKT DATA'!J1372</f>
        <v>1</v>
      </c>
      <c r="G339" s="8">
        <f>'MKT DATA'!K1372</f>
        <v>83834</v>
      </c>
      <c r="H339" s="8">
        <f>'MKT DATA'!L1372</f>
        <v>85528</v>
      </c>
      <c r="I339" s="13">
        <f>'MKT DATA'!M1372</f>
        <v>1</v>
      </c>
      <c r="J339" s="43" t="str">
        <f t="shared" si="14"/>
        <v>syn BTCH7/BTCG7/BTCZ6/BTCX6/BTCV6/BTCF7</v>
      </c>
      <c r="K339" s="8">
        <f>'MKT DATA'!O1372</f>
        <v>0</v>
      </c>
      <c r="L339" s="8">
        <f>'MKT DATA'!P1372</f>
        <v>83834</v>
      </c>
      <c r="M339" s="8">
        <f>'MKT DATA'!Q1372</f>
        <v>0</v>
      </c>
      <c r="N339" s="8">
        <f>'MKT DATA'!R1372</f>
        <v>0</v>
      </c>
      <c r="O339" s="8">
        <f>'MKT DATA'!S1372</f>
        <v>-85528</v>
      </c>
      <c r="P339" s="8">
        <f>'MKT DATA'!T1372</f>
        <v>0</v>
      </c>
      <c r="Q339" s="43" t="str">
        <f t="shared" si="15"/>
        <v>syn BTCH7/BTCG7/BTCZ6/BTCX6/BTCV6/BTCF7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84927</v>
      </c>
      <c r="H1" s="48">
        <f>H11</f>
        <v>85181</v>
      </c>
      <c r="I1" s="45"/>
      <c r="J1" s="44" t="str">
        <f>E1</f>
        <v>best</v>
      </c>
      <c r="K1" s="46"/>
      <c r="L1" s="46"/>
      <c r="M1" s="48">
        <f>M9</f>
        <v>84892.495999999999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0</v>
      </c>
      <c r="I2" s="56"/>
      <c r="J2" s="58"/>
      <c r="K2" s="57"/>
      <c r="L2" s="57"/>
      <c r="M2" s="57">
        <f>'MKT DATA'!Q8-M1</f>
        <v>0</v>
      </c>
      <c r="N2" s="57">
        <f>'MKT DATA'!R8-N1</f>
        <v>-85227.504000000001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-254</v>
      </c>
      <c r="I4" s="57">
        <f>H4-(G14-H14)</f>
        <v>76</v>
      </c>
      <c r="J4" s="43" t="s">
        <v>5</v>
      </c>
      <c r="L4" s="13"/>
      <c r="M4" s="50"/>
      <c r="N4" s="48">
        <f>N1+M1</f>
        <v>84892.495999999999</v>
      </c>
      <c r="O4" s="57">
        <f>(N14+M14)-N4</f>
        <v>-85227.504000000001</v>
      </c>
    </row>
    <row r="5" spans="1:24" x14ac:dyDescent="0.25">
      <c r="E5" s="43" t="s">
        <v>6</v>
      </c>
      <c r="G5" s="8">
        <f>G9-G11</f>
        <v>1083</v>
      </c>
      <c r="H5" s="8">
        <f>H9-H11</f>
        <v>1095</v>
      </c>
      <c r="J5" s="43" t="s">
        <v>6</v>
      </c>
      <c r="M5" s="8">
        <f>M9-M11</f>
        <v>84892.495999999999</v>
      </c>
      <c r="N5" s="8">
        <f>N9-N11</f>
        <v>85227.504000000001</v>
      </c>
    </row>
    <row r="6" spans="1:24" x14ac:dyDescent="0.25">
      <c r="E6" s="43" t="s">
        <v>7</v>
      </c>
      <c r="G6" s="8">
        <f>G9-G10</f>
        <v>671.38650306747877</v>
      </c>
      <c r="H6" s="8">
        <f>H9-H10</f>
        <v>425.76993865030818</v>
      </c>
      <c r="J6" s="43" t="s">
        <v>7</v>
      </c>
      <c r="M6" s="8">
        <f>M9-M10</f>
        <v>84632.08957055214</v>
      </c>
      <c r="N6" s="8">
        <f>N9-N10</f>
        <v>261.43406134969325</v>
      </c>
    </row>
    <row r="7" spans="1:24" x14ac:dyDescent="0.25">
      <c r="E7" s="43" t="s">
        <v>8</v>
      </c>
      <c r="G7" s="8">
        <f>G10-G11</f>
        <v>411.61349693252123</v>
      </c>
      <c r="H7" s="8">
        <f>H10-H11</f>
        <v>669.23006134969182</v>
      </c>
      <c r="J7" s="43" t="s">
        <v>8</v>
      </c>
      <c r="M7" s="8">
        <f>M10-M11</f>
        <v>260.40642944785276</v>
      </c>
      <c r="N7" s="8">
        <f>N10-N11</f>
        <v>84966.069938650311</v>
      </c>
    </row>
    <row r="9" spans="1:24" x14ac:dyDescent="0.25">
      <c r="E9" s="43" t="s">
        <v>1</v>
      </c>
      <c r="G9" s="8">
        <f>MAX(G$14:G$339)</f>
        <v>84927</v>
      </c>
      <c r="H9" s="8">
        <f>MAX(H$14:H$339)</f>
        <v>86276</v>
      </c>
      <c r="J9" s="43" t="str">
        <f>E9</f>
        <v>max</v>
      </c>
      <c r="L9" s="8">
        <f>MAX(L$14:L$339)</f>
        <v>84927</v>
      </c>
      <c r="M9" s="8">
        <f>MAX(M$14:M$339)</f>
        <v>84892.495999999999</v>
      </c>
      <c r="N9" s="8">
        <f>MAX(N$14:N$339)</f>
        <v>0</v>
      </c>
      <c r="O9" s="8">
        <f>MAX(O$14:O$339)</f>
        <v>-85181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84255.613496932521</v>
      </c>
      <c r="H10" s="8">
        <f>AVERAGE(H$14:H$339)</f>
        <v>85850.230061349692</v>
      </c>
      <c r="J10" s="43" t="str">
        <f t="shared" ref="J10" si="0">E10</f>
        <v>avg</v>
      </c>
      <c r="L10" s="8">
        <f>AVERAGE(L$14:L$339)</f>
        <v>84255.613496932521</v>
      </c>
      <c r="M10" s="8">
        <f>AVERAGE(M$14:M$339)</f>
        <v>260.40642944785276</v>
      </c>
      <c r="N10" s="8">
        <f>AVERAGE(N$14:N$339)</f>
        <v>-261.43406134969325</v>
      </c>
      <c r="O10" s="8">
        <f>AVERAGE(O$14:O$339)</f>
        <v>-85850.230061349692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83844</v>
      </c>
      <c r="H11" s="8">
        <f>MIN(H$14:H$339)</f>
        <v>85181</v>
      </c>
      <c r="J11" s="43" t="str">
        <f>E11</f>
        <v>min</v>
      </c>
      <c r="L11" s="8">
        <f>MIN(L$14:L$339)</f>
        <v>83844</v>
      </c>
      <c r="M11" s="8">
        <f>MIN(M$14:M$339)</f>
        <v>0</v>
      </c>
      <c r="N11" s="8">
        <f>MIN(N$14:N$339)</f>
        <v>-85227.504000000001</v>
      </c>
      <c r="O11" s="8">
        <f>MIN(O$14:O$339)</f>
        <v>-86276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BTCG7</v>
      </c>
      <c r="F14" s="13">
        <f>'MKT DATA'!J35</f>
        <v>5</v>
      </c>
      <c r="G14" s="8">
        <f>'MKT DATA'!K35</f>
        <v>84895</v>
      </c>
      <c r="H14" s="8">
        <f>'MKT DATA'!L35</f>
        <v>85225</v>
      </c>
      <c r="I14" s="13">
        <f>'MKT DATA'!M35</f>
        <v>5</v>
      </c>
      <c r="J14" s="43" t="str">
        <f>E14</f>
        <v>BTCG7</v>
      </c>
      <c r="K14" s="8">
        <f>'MKT DATA'!O35</f>
        <v>-2.504</v>
      </c>
      <c r="L14" s="8">
        <f>'MKT DATA'!P35</f>
        <v>84895</v>
      </c>
      <c r="M14" s="8">
        <f>'MKT DATA'!Q35</f>
        <v>84892.495999999999</v>
      </c>
      <c r="N14" s="8">
        <f>'MKT DATA'!R35</f>
        <v>-85227.504000000001</v>
      </c>
      <c r="O14" s="8">
        <f>'MKT DATA'!S35</f>
        <v>-85225</v>
      </c>
      <c r="P14" s="8">
        <f>'MKT DATA'!T35</f>
        <v>-2.504</v>
      </c>
      <c r="Q14" s="43" t="str">
        <f>J14</f>
        <v>BTCG7</v>
      </c>
      <c r="R14" s="13">
        <f>'MKT DATA'!AB35</f>
        <v>0</v>
      </c>
    </row>
    <row r="15" spans="1:24" x14ac:dyDescent="0.25">
      <c r="E15" s="43" t="str">
        <f>'MKT DATA'!B1373</f>
        <v>syn BTCV6/BTCG7</v>
      </c>
      <c r="F15" s="13">
        <f>'MKT DATA'!J1373</f>
        <v>1</v>
      </c>
      <c r="G15" s="8">
        <f>'MKT DATA'!K1373</f>
        <v>84865</v>
      </c>
      <c r="H15" s="8">
        <f>'MKT DATA'!L1373</f>
        <v>85255</v>
      </c>
      <c r="I15" s="13">
        <f>'MKT DATA'!M1373</f>
        <v>1</v>
      </c>
      <c r="J15" s="43" t="str">
        <f t="shared" ref="J15:J73" si="2">E15</f>
        <v>syn BTCV6/BTCG7</v>
      </c>
      <c r="K15" s="8">
        <f>'MKT DATA'!O1373</f>
        <v>0</v>
      </c>
      <c r="L15" s="8">
        <f>'MKT DATA'!P1373</f>
        <v>84865</v>
      </c>
      <c r="M15" s="8">
        <f>'MKT DATA'!Q1373</f>
        <v>0</v>
      </c>
      <c r="N15" s="8">
        <f>'MKT DATA'!R1373</f>
        <v>0</v>
      </c>
      <c r="O15" s="8">
        <f>'MKT DATA'!S1373</f>
        <v>-85255</v>
      </c>
      <c r="P15" s="8">
        <f>'MKT DATA'!T1373</f>
        <v>0</v>
      </c>
      <c r="Q15" s="43" t="str">
        <f t="shared" ref="Q15:Q73" si="3">J15</f>
        <v>syn BTCV6/BTCG7</v>
      </c>
      <c r="R15" s="13">
        <f>'MKT DATA'!AB1373</f>
        <v>0</v>
      </c>
    </row>
    <row r="16" spans="1:24" x14ac:dyDescent="0.25">
      <c r="E16" s="43" t="str">
        <f>'MKT DATA'!B1374</f>
        <v>syn BTCX6/BTCG7</v>
      </c>
      <c r="F16" s="13">
        <f>'MKT DATA'!J1374</f>
        <v>1</v>
      </c>
      <c r="G16" s="8">
        <f>'MKT DATA'!K1374</f>
        <v>84840</v>
      </c>
      <c r="H16" s="8">
        <f>'MKT DATA'!L1374</f>
        <v>85280</v>
      </c>
      <c r="I16" s="13">
        <f>'MKT DATA'!M1374</f>
        <v>1</v>
      </c>
      <c r="J16" s="43" t="str">
        <f>E16</f>
        <v>syn BTCX6/BTCG7</v>
      </c>
      <c r="K16" s="8">
        <f>'MKT DATA'!O1374</f>
        <v>0</v>
      </c>
      <c r="L16" s="8">
        <f>'MKT DATA'!P1374</f>
        <v>84840</v>
      </c>
      <c r="M16" s="8">
        <f>'MKT DATA'!Q1374</f>
        <v>0</v>
      </c>
      <c r="N16" s="8">
        <f>'MKT DATA'!R1374</f>
        <v>0</v>
      </c>
      <c r="O16" s="8">
        <f>'MKT DATA'!S1374</f>
        <v>-85280</v>
      </c>
      <c r="P16" s="8">
        <f>'MKT DATA'!T1374</f>
        <v>0</v>
      </c>
      <c r="Q16" s="43" t="str">
        <f t="shared" si="3"/>
        <v>syn BTCX6/BTCG7</v>
      </c>
      <c r="R16" s="13">
        <f>'MKT DATA'!AB1374</f>
        <v>0</v>
      </c>
    </row>
    <row r="17" spans="5:18" x14ac:dyDescent="0.25">
      <c r="E17" s="43" t="str">
        <f>'MKT DATA'!B1375</f>
        <v>syn BTCZ6/BTCG7</v>
      </c>
      <c r="F17" s="13">
        <f>'MKT DATA'!J1375</f>
        <v>1</v>
      </c>
      <c r="G17" s="8">
        <f>'MKT DATA'!K1375</f>
        <v>84795</v>
      </c>
      <c r="H17" s="8">
        <f>'MKT DATA'!L1375</f>
        <v>85325</v>
      </c>
      <c r="I17" s="13">
        <f>'MKT DATA'!M1375</f>
        <v>1</v>
      </c>
      <c r="J17" s="43" t="str">
        <f t="shared" si="2"/>
        <v>syn BTCZ6/BTCG7</v>
      </c>
      <c r="K17" s="8">
        <f>'MKT DATA'!O1375</f>
        <v>0</v>
      </c>
      <c r="L17" s="8">
        <f>'MKT DATA'!P1375</f>
        <v>84795</v>
      </c>
      <c r="M17" s="8">
        <f>'MKT DATA'!Q1375</f>
        <v>0</v>
      </c>
      <c r="N17" s="8">
        <f>'MKT DATA'!R1375</f>
        <v>0</v>
      </c>
      <c r="O17" s="8">
        <f>'MKT DATA'!S1375</f>
        <v>-85325</v>
      </c>
      <c r="P17" s="8">
        <f>'MKT DATA'!T1375</f>
        <v>0</v>
      </c>
      <c r="Q17" s="43" t="str">
        <f t="shared" si="3"/>
        <v>syn BTCZ6/BTCG7</v>
      </c>
      <c r="R17" s="13">
        <f>'MKT DATA'!AB1375</f>
        <v>0</v>
      </c>
    </row>
    <row r="18" spans="5:18" x14ac:dyDescent="0.25">
      <c r="E18" s="43" t="str">
        <f>'MKT DATA'!B1376</f>
        <v>syn BTCF7/BTCG7</v>
      </c>
      <c r="F18" s="13">
        <f>'MKT DATA'!J1376</f>
        <v>3</v>
      </c>
      <c r="G18" s="8">
        <f>'MKT DATA'!K1376</f>
        <v>84879</v>
      </c>
      <c r="H18" s="8">
        <f>'MKT DATA'!L1376</f>
        <v>85225</v>
      </c>
      <c r="I18" s="13">
        <f>'MKT DATA'!M1376</f>
        <v>1</v>
      </c>
      <c r="J18" s="43" t="str">
        <f t="shared" si="2"/>
        <v>syn BTCF7/BTCG7</v>
      </c>
      <c r="K18" s="8">
        <f>'MKT DATA'!O1376</f>
        <v>0</v>
      </c>
      <c r="L18" s="8">
        <f>'MKT DATA'!P1376</f>
        <v>84879</v>
      </c>
      <c r="M18" s="8">
        <f>'MKT DATA'!Q1376</f>
        <v>0</v>
      </c>
      <c r="N18" s="8">
        <f>'MKT DATA'!R1376</f>
        <v>0</v>
      </c>
      <c r="O18" s="8">
        <f>'MKT DATA'!S1376</f>
        <v>-85225</v>
      </c>
      <c r="P18" s="8">
        <f>'MKT DATA'!T1376</f>
        <v>0</v>
      </c>
      <c r="Q18" s="43" t="str">
        <f t="shared" si="3"/>
        <v>syn BTCF7/BTCG7</v>
      </c>
      <c r="R18" s="13">
        <f>'MKT DATA'!AB1376</f>
        <v>0</v>
      </c>
    </row>
    <row r="19" spans="5:18" x14ac:dyDescent="0.25">
      <c r="E19" s="43" t="str">
        <f>'MKT DATA'!B1377</f>
        <v>syn BTCH7/BTCG7</v>
      </c>
      <c r="F19" s="13">
        <f>'MKT DATA'!J1377</f>
        <v>1</v>
      </c>
      <c r="G19" s="8">
        <f>'MKT DATA'!K1377</f>
        <v>84490</v>
      </c>
      <c r="H19" s="8">
        <f>'MKT DATA'!L1377</f>
        <v>85575</v>
      </c>
      <c r="I19" s="13">
        <f>'MKT DATA'!M1377</f>
        <v>1</v>
      </c>
      <c r="J19" s="43" t="str">
        <f t="shared" si="2"/>
        <v>syn BTCH7/BTCG7</v>
      </c>
      <c r="K19" s="8">
        <f>'MKT DATA'!O1377</f>
        <v>0</v>
      </c>
      <c r="L19" s="8">
        <f>'MKT DATA'!P1377</f>
        <v>84490</v>
      </c>
      <c r="M19" s="8">
        <f>'MKT DATA'!Q1377</f>
        <v>0</v>
      </c>
      <c r="N19" s="8">
        <f>'MKT DATA'!R1377</f>
        <v>0</v>
      </c>
      <c r="O19" s="8">
        <f>'MKT DATA'!S1377</f>
        <v>-85575</v>
      </c>
      <c r="P19" s="8">
        <f>'MKT DATA'!T1377</f>
        <v>0</v>
      </c>
      <c r="Q19" s="43" t="str">
        <f t="shared" si="3"/>
        <v>syn BTCH7/BTCG7</v>
      </c>
      <c r="R19" s="13">
        <f>'MKT DATA'!AB1377</f>
        <v>0</v>
      </c>
    </row>
    <row r="20" spans="5:18" x14ac:dyDescent="0.25">
      <c r="E20" s="43" t="str">
        <f>'MKT DATA'!B1378</f>
        <v>syn BTCV6/BTCX6/BTCG7</v>
      </c>
      <c r="F20" s="13">
        <f>'MKT DATA'!J1378</f>
        <v>1</v>
      </c>
      <c r="G20" s="8">
        <f>'MKT DATA'!K1378</f>
        <v>84847</v>
      </c>
      <c r="H20" s="8">
        <f>'MKT DATA'!L1378</f>
        <v>85266</v>
      </c>
      <c r="I20" s="13">
        <f>'MKT DATA'!M1378</f>
        <v>1</v>
      </c>
      <c r="J20" s="43" t="str">
        <f t="shared" si="2"/>
        <v>syn BTCV6/BTCX6/BTCG7</v>
      </c>
      <c r="K20" s="8">
        <f>'MKT DATA'!O1378</f>
        <v>0</v>
      </c>
      <c r="L20" s="8">
        <f>'MKT DATA'!P1378</f>
        <v>84847</v>
      </c>
      <c r="M20" s="8">
        <f>'MKT DATA'!Q1378</f>
        <v>0</v>
      </c>
      <c r="N20" s="8">
        <f>'MKT DATA'!R1378</f>
        <v>0</v>
      </c>
      <c r="O20" s="8">
        <f>'MKT DATA'!S1378</f>
        <v>-85266</v>
      </c>
      <c r="P20" s="8">
        <f>'MKT DATA'!T1378</f>
        <v>0</v>
      </c>
      <c r="Q20" s="43" t="str">
        <f t="shared" si="3"/>
        <v>syn BTCV6/BTCX6/BTCG7</v>
      </c>
      <c r="R20" s="13">
        <f>'MKT DATA'!AB1378</f>
        <v>0</v>
      </c>
    </row>
    <row r="21" spans="5:18" x14ac:dyDescent="0.25">
      <c r="E21" s="43" t="str">
        <f>'MKT DATA'!B1379</f>
        <v>syn BTCV6/BTCZ6/BTCG7</v>
      </c>
      <c r="F21" s="13">
        <f>'MKT DATA'!J1379</f>
        <v>1</v>
      </c>
      <c r="G21" s="8">
        <f>'MKT DATA'!K1379</f>
        <v>84816</v>
      </c>
      <c r="H21" s="8">
        <f>'MKT DATA'!L1379</f>
        <v>85312</v>
      </c>
      <c r="I21" s="13">
        <f>'MKT DATA'!M1379</f>
        <v>1</v>
      </c>
      <c r="J21" s="43" t="str">
        <f t="shared" si="2"/>
        <v>syn BTCV6/BTCZ6/BTCG7</v>
      </c>
      <c r="K21" s="8">
        <f>'MKT DATA'!O1379</f>
        <v>0</v>
      </c>
      <c r="L21" s="8">
        <f>'MKT DATA'!P1379</f>
        <v>84816</v>
      </c>
      <c r="M21" s="8">
        <f>'MKT DATA'!Q1379</f>
        <v>0</v>
      </c>
      <c r="N21" s="8">
        <f>'MKT DATA'!R1379</f>
        <v>0</v>
      </c>
      <c r="O21" s="8">
        <f>'MKT DATA'!S1379</f>
        <v>-85312</v>
      </c>
      <c r="P21" s="8">
        <f>'MKT DATA'!T1379</f>
        <v>0</v>
      </c>
      <c r="Q21" s="43" t="str">
        <f t="shared" si="3"/>
        <v>syn BTCV6/BTCZ6/BTCG7</v>
      </c>
      <c r="R21" s="13">
        <f>'MKT DATA'!AB1379</f>
        <v>0</v>
      </c>
    </row>
    <row r="22" spans="5:18" x14ac:dyDescent="0.25">
      <c r="E22" s="43" t="str">
        <f>'MKT DATA'!B1380</f>
        <v>syn BTCV6/BTCF7/BTCG7</v>
      </c>
      <c r="F22" s="13">
        <f>'MKT DATA'!J1380</f>
        <v>1</v>
      </c>
      <c r="G22" s="8">
        <f>'MKT DATA'!K1380</f>
        <v>84865</v>
      </c>
      <c r="H22" s="8">
        <f>'MKT DATA'!L1380</f>
        <v>85209</v>
      </c>
      <c r="I22" s="13">
        <f>'MKT DATA'!M1380</f>
        <v>1</v>
      </c>
      <c r="J22" s="43" t="str">
        <f t="shared" si="2"/>
        <v>syn BTCV6/BTCF7/BTCG7</v>
      </c>
      <c r="K22" s="8">
        <f>'MKT DATA'!O1380</f>
        <v>0</v>
      </c>
      <c r="L22" s="8">
        <f>'MKT DATA'!P1380</f>
        <v>84865</v>
      </c>
      <c r="M22" s="8">
        <f>'MKT DATA'!Q1380</f>
        <v>0</v>
      </c>
      <c r="N22" s="8">
        <f>'MKT DATA'!R1380</f>
        <v>0</v>
      </c>
      <c r="O22" s="8">
        <f>'MKT DATA'!S1380</f>
        <v>-85209</v>
      </c>
      <c r="P22" s="8">
        <f>'MKT DATA'!T1380</f>
        <v>0</v>
      </c>
      <c r="Q22" s="43" t="str">
        <f t="shared" si="3"/>
        <v>syn BTCV6/BTCF7/BTCG7</v>
      </c>
      <c r="R22" s="13">
        <f>'MKT DATA'!AB1380</f>
        <v>0</v>
      </c>
    </row>
    <row r="23" spans="5:18" x14ac:dyDescent="0.25">
      <c r="E23" s="43" t="str">
        <f>'MKT DATA'!B1381</f>
        <v>syn BTCV6/BTCH7/BTCG7</v>
      </c>
      <c r="F23" s="13">
        <f>'MKT DATA'!J1381</f>
        <v>1</v>
      </c>
      <c r="G23" s="8">
        <f>'MKT DATA'!K1381</f>
        <v>84460</v>
      </c>
      <c r="H23" s="8">
        <f>'MKT DATA'!L1381</f>
        <v>85605</v>
      </c>
      <c r="I23" s="13">
        <f>'MKT DATA'!M1381</f>
        <v>1</v>
      </c>
      <c r="J23" s="43" t="str">
        <f t="shared" si="2"/>
        <v>syn BTCV6/BTCH7/BTCG7</v>
      </c>
      <c r="K23" s="8">
        <f>'MKT DATA'!O1381</f>
        <v>0</v>
      </c>
      <c r="L23" s="8">
        <f>'MKT DATA'!P1381</f>
        <v>84460</v>
      </c>
      <c r="M23" s="8">
        <f>'MKT DATA'!Q1381</f>
        <v>0</v>
      </c>
      <c r="N23" s="8">
        <f>'MKT DATA'!R1381</f>
        <v>0</v>
      </c>
      <c r="O23" s="8">
        <f>'MKT DATA'!S1381</f>
        <v>-85605</v>
      </c>
      <c r="P23" s="8">
        <f>'MKT DATA'!T1381</f>
        <v>0</v>
      </c>
      <c r="Q23" s="43" t="str">
        <f t="shared" si="3"/>
        <v>syn BTCV6/BTCH7/BTCG7</v>
      </c>
      <c r="R23" s="13">
        <f>'MKT DATA'!AB1381</f>
        <v>0</v>
      </c>
    </row>
    <row r="24" spans="5:18" x14ac:dyDescent="0.25">
      <c r="E24" s="43" t="str">
        <f>'MKT DATA'!B1382</f>
        <v>syn BTCX6/BTCV6/BTCG7</v>
      </c>
      <c r="F24" s="13">
        <f>'MKT DATA'!J1382</f>
        <v>1</v>
      </c>
      <c r="G24" s="8">
        <f>'MKT DATA'!K1382</f>
        <v>84854</v>
      </c>
      <c r="H24" s="8">
        <f>'MKT DATA'!L1382</f>
        <v>85273</v>
      </c>
      <c r="I24" s="13">
        <f>'MKT DATA'!M1382</f>
        <v>1</v>
      </c>
      <c r="J24" s="43" t="str">
        <f t="shared" si="2"/>
        <v>syn BTCX6/BTCV6/BTCG7</v>
      </c>
      <c r="K24" s="8">
        <f>'MKT DATA'!O1382</f>
        <v>0</v>
      </c>
      <c r="L24" s="8">
        <f>'MKT DATA'!P1382</f>
        <v>84854</v>
      </c>
      <c r="M24" s="8">
        <f>'MKT DATA'!Q1382</f>
        <v>0</v>
      </c>
      <c r="N24" s="8">
        <f>'MKT DATA'!R1382</f>
        <v>0</v>
      </c>
      <c r="O24" s="8">
        <f>'MKT DATA'!S1382</f>
        <v>-85273</v>
      </c>
      <c r="P24" s="8">
        <f>'MKT DATA'!T1382</f>
        <v>0</v>
      </c>
      <c r="Q24" s="43" t="str">
        <f t="shared" si="3"/>
        <v>syn BTCX6/BTCV6/BTCG7</v>
      </c>
      <c r="R24" s="13">
        <f>'MKT DATA'!AB1382</f>
        <v>0</v>
      </c>
    </row>
    <row r="25" spans="5:18" x14ac:dyDescent="0.25">
      <c r="E25" s="43" t="str">
        <f>'MKT DATA'!B1383</f>
        <v>syn BTCX6/BTCZ6/BTCG7</v>
      </c>
      <c r="F25" s="13">
        <f>'MKT DATA'!J1383</f>
        <v>1</v>
      </c>
      <c r="G25" s="8">
        <f>'MKT DATA'!K1383</f>
        <v>84814</v>
      </c>
      <c r="H25" s="8">
        <f>'MKT DATA'!L1383</f>
        <v>85321</v>
      </c>
      <c r="I25" s="13">
        <f>'MKT DATA'!M1383</f>
        <v>1</v>
      </c>
      <c r="J25" s="43" t="str">
        <f t="shared" si="2"/>
        <v>syn BTCX6/BTCZ6/BTCG7</v>
      </c>
      <c r="K25" s="8">
        <f>'MKT DATA'!O1383</f>
        <v>0</v>
      </c>
      <c r="L25" s="8">
        <f>'MKT DATA'!P1383</f>
        <v>84814</v>
      </c>
      <c r="M25" s="8">
        <f>'MKT DATA'!Q1383</f>
        <v>0</v>
      </c>
      <c r="N25" s="8">
        <f>'MKT DATA'!R1383</f>
        <v>0</v>
      </c>
      <c r="O25" s="8">
        <f>'MKT DATA'!S1383</f>
        <v>-85321</v>
      </c>
      <c r="P25" s="8">
        <f>'MKT DATA'!T1383</f>
        <v>0</v>
      </c>
      <c r="Q25" s="43" t="str">
        <f t="shared" si="3"/>
        <v>syn BTCX6/BTCZ6/BTCG7</v>
      </c>
      <c r="R25" s="13">
        <f>'MKT DATA'!AB1383</f>
        <v>0</v>
      </c>
    </row>
    <row r="26" spans="5:18" x14ac:dyDescent="0.25">
      <c r="E26" s="43" t="str">
        <f>'MKT DATA'!B1384</f>
        <v>syn BTCX6/BTCF7/BTCG7</v>
      </c>
      <c r="F26" s="13">
        <f>'MKT DATA'!J1384</f>
        <v>1</v>
      </c>
      <c r="G26" s="8">
        <f>'MKT DATA'!K1384</f>
        <v>84880</v>
      </c>
      <c r="H26" s="8">
        <f>'MKT DATA'!L1384</f>
        <v>85204</v>
      </c>
      <c r="I26" s="13">
        <f>'MKT DATA'!M1384</f>
        <v>1</v>
      </c>
      <c r="J26" s="43" t="str">
        <f t="shared" si="2"/>
        <v>syn BTCX6/BTCF7/BTCG7</v>
      </c>
      <c r="K26" s="8">
        <f>'MKT DATA'!O1384</f>
        <v>0</v>
      </c>
      <c r="L26" s="8">
        <f>'MKT DATA'!P1384</f>
        <v>84880</v>
      </c>
      <c r="M26" s="8">
        <f>'MKT DATA'!Q1384</f>
        <v>0</v>
      </c>
      <c r="N26" s="8">
        <f>'MKT DATA'!R1384</f>
        <v>0</v>
      </c>
      <c r="O26" s="8">
        <f>'MKT DATA'!S1384</f>
        <v>-85204</v>
      </c>
      <c r="P26" s="8">
        <f>'MKT DATA'!T1384</f>
        <v>0</v>
      </c>
      <c r="Q26" s="43" t="str">
        <f t="shared" si="3"/>
        <v>syn BTCX6/BTCF7/BTCG7</v>
      </c>
      <c r="R26" s="13">
        <f>'MKT DATA'!AB1384</f>
        <v>0</v>
      </c>
    </row>
    <row r="27" spans="5:18" x14ac:dyDescent="0.25">
      <c r="E27" s="43" t="str">
        <f>'MKT DATA'!B1385</f>
        <v>syn BTCX6/BTCH7/BTCG7</v>
      </c>
      <c r="F27" s="13">
        <f>'MKT DATA'!J1385</f>
        <v>1</v>
      </c>
      <c r="G27" s="8">
        <f>'MKT DATA'!K1385</f>
        <v>84435</v>
      </c>
      <c r="H27" s="8">
        <f>'MKT DATA'!L1385</f>
        <v>85630</v>
      </c>
      <c r="I27" s="13">
        <f>'MKT DATA'!M1385</f>
        <v>1</v>
      </c>
      <c r="J27" s="43" t="str">
        <f t="shared" si="2"/>
        <v>syn BTCX6/BTCH7/BTCG7</v>
      </c>
      <c r="K27" s="8">
        <f>'MKT DATA'!O1385</f>
        <v>0</v>
      </c>
      <c r="L27" s="8">
        <f>'MKT DATA'!P1385</f>
        <v>84435</v>
      </c>
      <c r="M27" s="8">
        <f>'MKT DATA'!Q1385</f>
        <v>0</v>
      </c>
      <c r="N27" s="8">
        <f>'MKT DATA'!R1385</f>
        <v>0</v>
      </c>
      <c r="O27" s="8">
        <f>'MKT DATA'!S1385</f>
        <v>-85630</v>
      </c>
      <c r="P27" s="8">
        <f>'MKT DATA'!T1385</f>
        <v>0</v>
      </c>
      <c r="Q27" s="43" t="str">
        <f t="shared" si="3"/>
        <v>syn BTCX6/BTCH7/BTCG7</v>
      </c>
      <c r="R27" s="13">
        <f>'MKT DATA'!AB1385</f>
        <v>0</v>
      </c>
    </row>
    <row r="28" spans="5:18" x14ac:dyDescent="0.25">
      <c r="E28" s="43" t="str">
        <f>'MKT DATA'!B1386</f>
        <v>syn BTCZ6/BTCV6/BTCG7</v>
      </c>
      <c r="F28" s="13">
        <f>'MKT DATA'!J1386</f>
        <v>1</v>
      </c>
      <c r="G28" s="8">
        <f>'MKT DATA'!K1386</f>
        <v>84808</v>
      </c>
      <c r="H28" s="8">
        <f>'MKT DATA'!L1386</f>
        <v>85304</v>
      </c>
      <c r="I28" s="13">
        <f>'MKT DATA'!M1386</f>
        <v>1</v>
      </c>
      <c r="J28" s="43" t="str">
        <f t="shared" si="2"/>
        <v>syn BTCZ6/BTCV6/BTCG7</v>
      </c>
      <c r="K28" s="8">
        <f>'MKT DATA'!O1386</f>
        <v>0</v>
      </c>
      <c r="L28" s="8">
        <f>'MKT DATA'!P1386</f>
        <v>84808</v>
      </c>
      <c r="M28" s="8">
        <f>'MKT DATA'!Q1386</f>
        <v>0</v>
      </c>
      <c r="N28" s="8">
        <f>'MKT DATA'!R1386</f>
        <v>0</v>
      </c>
      <c r="O28" s="8">
        <f>'MKT DATA'!S1386</f>
        <v>-85304</v>
      </c>
      <c r="P28" s="8">
        <f>'MKT DATA'!T1386</f>
        <v>0</v>
      </c>
      <c r="Q28" s="43" t="str">
        <f t="shared" si="3"/>
        <v>syn BTCZ6/BTCV6/BTCG7</v>
      </c>
      <c r="R28" s="13">
        <f>'MKT DATA'!AB1386</f>
        <v>0</v>
      </c>
    </row>
    <row r="29" spans="5:18" x14ac:dyDescent="0.25">
      <c r="E29" s="43" t="str">
        <f>'MKT DATA'!B1387</f>
        <v>syn BTCZ6/BTCX6/BTCG7</v>
      </c>
      <c r="F29" s="13">
        <f>'MKT DATA'!J1387</f>
        <v>1</v>
      </c>
      <c r="G29" s="8">
        <f>'MKT DATA'!K1387</f>
        <v>84799</v>
      </c>
      <c r="H29" s="8">
        <f>'MKT DATA'!L1387</f>
        <v>85306</v>
      </c>
      <c r="I29" s="13">
        <f>'MKT DATA'!M1387</f>
        <v>1</v>
      </c>
      <c r="J29" s="43" t="str">
        <f t="shared" si="2"/>
        <v>syn BTCZ6/BTCX6/BTCG7</v>
      </c>
      <c r="K29" s="8">
        <f>'MKT DATA'!O1387</f>
        <v>0</v>
      </c>
      <c r="L29" s="8">
        <f>'MKT DATA'!P1387</f>
        <v>84799</v>
      </c>
      <c r="M29" s="8">
        <f>'MKT DATA'!Q1387</f>
        <v>0</v>
      </c>
      <c r="N29" s="8">
        <f>'MKT DATA'!R1387</f>
        <v>0</v>
      </c>
      <c r="O29" s="8">
        <f>'MKT DATA'!S1387</f>
        <v>-85306</v>
      </c>
      <c r="P29" s="8">
        <f>'MKT DATA'!T1387</f>
        <v>0</v>
      </c>
      <c r="Q29" s="43" t="str">
        <f t="shared" si="3"/>
        <v>syn BTCZ6/BTCX6/BTCG7</v>
      </c>
      <c r="R29" s="13">
        <f>'MKT DATA'!AB1387</f>
        <v>0</v>
      </c>
    </row>
    <row r="30" spans="5:18" x14ac:dyDescent="0.25">
      <c r="E30" s="43" t="str">
        <f>'MKT DATA'!B1388</f>
        <v>syn BTCZ6/BTCF7/BTCG7</v>
      </c>
      <c r="F30" s="13">
        <f>'MKT DATA'!J1388</f>
        <v>1</v>
      </c>
      <c r="G30" s="8">
        <f>'MKT DATA'!K1388</f>
        <v>84901</v>
      </c>
      <c r="H30" s="8">
        <f>'MKT DATA'!L1388</f>
        <v>85199</v>
      </c>
      <c r="I30" s="13">
        <f>'MKT DATA'!M1388</f>
        <v>1</v>
      </c>
      <c r="J30" s="43" t="str">
        <f t="shared" si="2"/>
        <v>syn BTCZ6/BTCF7/BTCG7</v>
      </c>
      <c r="K30" s="8">
        <f>'MKT DATA'!O1388</f>
        <v>0</v>
      </c>
      <c r="L30" s="8">
        <f>'MKT DATA'!P1388</f>
        <v>84901</v>
      </c>
      <c r="M30" s="8">
        <f>'MKT DATA'!Q1388</f>
        <v>0</v>
      </c>
      <c r="N30" s="8">
        <f>'MKT DATA'!R1388</f>
        <v>0</v>
      </c>
      <c r="O30" s="8">
        <f>'MKT DATA'!S1388</f>
        <v>-85199</v>
      </c>
      <c r="P30" s="8">
        <f>'MKT DATA'!T1388</f>
        <v>0</v>
      </c>
      <c r="Q30" s="43" t="str">
        <f t="shared" si="3"/>
        <v>syn BTCZ6/BTCF7/BTCG7</v>
      </c>
      <c r="R30" s="13">
        <f>'MKT DATA'!AB1388</f>
        <v>0</v>
      </c>
    </row>
    <row r="31" spans="5:18" x14ac:dyDescent="0.25">
      <c r="E31" s="43" t="str">
        <f>'MKT DATA'!B1389</f>
        <v>syn BTCZ6/BTCH7/BTCG7</v>
      </c>
      <c r="F31" s="13">
        <f>'MKT DATA'!J1389</f>
        <v>1</v>
      </c>
      <c r="G31" s="8">
        <f>'MKT DATA'!K1389</f>
        <v>84600</v>
      </c>
      <c r="H31" s="8">
        <f>'MKT DATA'!L1389</f>
        <v>85645</v>
      </c>
      <c r="I31" s="13">
        <f>'MKT DATA'!M1389</f>
        <v>1</v>
      </c>
      <c r="J31" s="43" t="str">
        <f t="shared" si="2"/>
        <v>syn BTCZ6/BTCH7/BTCG7</v>
      </c>
      <c r="K31" s="8">
        <f>'MKT DATA'!O1389</f>
        <v>0</v>
      </c>
      <c r="L31" s="8">
        <f>'MKT DATA'!P1389</f>
        <v>84600</v>
      </c>
      <c r="M31" s="8">
        <f>'MKT DATA'!Q1389</f>
        <v>0</v>
      </c>
      <c r="N31" s="8">
        <f>'MKT DATA'!R1389</f>
        <v>0</v>
      </c>
      <c r="O31" s="8">
        <f>'MKT DATA'!S1389</f>
        <v>-85645</v>
      </c>
      <c r="P31" s="8">
        <f>'MKT DATA'!T1389</f>
        <v>0</v>
      </c>
      <c r="Q31" s="43" t="str">
        <f t="shared" si="3"/>
        <v>syn BTCZ6/BTCH7/BTCG7</v>
      </c>
      <c r="R31" s="13">
        <f>'MKT DATA'!AB1389</f>
        <v>0</v>
      </c>
    </row>
    <row r="32" spans="5:18" x14ac:dyDescent="0.25">
      <c r="E32" s="43" t="str">
        <f>'MKT DATA'!B1390</f>
        <v>syn BTCF7/BTCV6/BTCG7</v>
      </c>
      <c r="F32" s="13">
        <f>'MKT DATA'!J1390</f>
        <v>1</v>
      </c>
      <c r="G32" s="8">
        <f>'MKT DATA'!K1390</f>
        <v>84726</v>
      </c>
      <c r="H32" s="8">
        <f>'MKT DATA'!L1390</f>
        <v>85424</v>
      </c>
      <c r="I32" s="13">
        <f>'MKT DATA'!M1390</f>
        <v>1</v>
      </c>
      <c r="J32" s="43" t="str">
        <f t="shared" si="2"/>
        <v>syn BTCF7/BTCV6/BTCG7</v>
      </c>
      <c r="K32" s="8">
        <f>'MKT DATA'!O1390</f>
        <v>0</v>
      </c>
      <c r="L32" s="8">
        <f>'MKT DATA'!P1390</f>
        <v>84726</v>
      </c>
      <c r="M32" s="8">
        <f>'MKT DATA'!Q1390</f>
        <v>0</v>
      </c>
      <c r="N32" s="8">
        <f>'MKT DATA'!R1390</f>
        <v>0</v>
      </c>
      <c r="O32" s="8">
        <f>'MKT DATA'!S1390</f>
        <v>-85424</v>
      </c>
      <c r="P32" s="8">
        <f>'MKT DATA'!T1390</f>
        <v>0</v>
      </c>
      <c r="Q32" s="43" t="str">
        <f t="shared" si="3"/>
        <v>syn BTCF7/BTCV6/BTCG7</v>
      </c>
      <c r="R32" s="13">
        <f>'MKT DATA'!AB1390</f>
        <v>0</v>
      </c>
    </row>
    <row r="33" spans="5:18" x14ac:dyDescent="0.25">
      <c r="E33" s="43" t="str">
        <f>'MKT DATA'!B1391</f>
        <v>syn BTCF7/BTCX6/BTCG7</v>
      </c>
      <c r="F33" s="13">
        <f>'MKT DATA'!J1391</f>
        <v>1</v>
      </c>
      <c r="G33" s="8">
        <f>'MKT DATA'!K1391</f>
        <v>84731</v>
      </c>
      <c r="H33" s="8">
        <f>'MKT DATA'!L1391</f>
        <v>85409</v>
      </c>
      <c r="I33" s="13">
        <f>'MKT DATA'!M1391</f>
        <v>1</v>
      </c>
      <c r="J33" s="43" t="str">
        <f t="shared" si="2"/>
        <v>syn BTCF7/BTCX6/BTCG7</v>
      </c>
      <c r="K33" s="8">
        <f>'MKT DATA'!O1391</f>
        <v>0</v>
      </c>
      <c r="L33" s="8">
        <f>'MKT DATA'!P1391</f>
        <v>84731</v>
      </c>
      <c r="M33" s="8">
        <f>'MKT DATA'!Q1391</f>
        <v>0</v>
      </c>
      <c r="N33" s="8">
        <f>'MKT DATA'!R1391</f>
        <v>0</v>
      </c>
      <c r="O33" s="8">
        <f>'MKT DATA'!S1391</f>
        <v>-85409</v>
      </c>
      <c r="P33" s="8">
        <f>'MKT DATA'!T1391</f>
        <v>0</v>
      </c>
      <c r="Q33" s="43" t="str">
        <f t="shared" si="3"/>
        <v>syn BTCF7/BTCX6/BTCG7</v>
      </c>
      <c r="R33" s="13">
        <f>'MKT DATA'!AB1391</f>
        <v>0</v>
      </c>
    </row>
    <row r="34" spans="5:18" x14ac:dyDescent="0.25">
      <c r="E34" s="43" t="str">
        <f>'MKT DATA'!B1392</f>
        <v>syn BTCF7/BTCZ6/BTCG7</v>
      </c>
      <c r="F34" s="13">
        <f>'MKT DATA'!J1392</f>
        <v>1</v>
      </c>
      <c r="G34" s="8">
        <f>'MKT DATA'!K1392</f>
        <v>84736</v>
      </c>
      <c r="H34" s="8">
        <f>'MKT DATA'!L1392</f>
        <v>85388</v>
      </c>
      <c r="I34" s="13">
        <f>'MKT DATA'!M1392</f>
        <v>1</v>
      </c>
      <c r="J34" s="43" t="str">
        <f t="shared" si="2"/>
        <v>syn BTCF7/BTCZ6/BTCG7</v>
      </c>
      <c r="K34" s="8">
        <f>'MKT DATA'!O1392</f>
        <v>0</v>
      </c>
      <c r="L34" s="8">
        <f>'MKT DATA'!P1392</f>
        <v>84736</v>
      </c>
      <c r="M34" s="8">
        <f>'MKT DATA'!Q1392</f>
        <v>0</v>
      </c>
      <c r="N34" s="8">
        <f>'MKT DATA'!R1392</f>
        <v>0</v>
      </c>
      <c r="O34" s="8">
        <f>'MKT DATA'!S1392</f>
        <v>-85388</v>
      </c>
      <c r="P34" s="8">
        <f>'MKT DATA'!T1392</f>
        <v>0</v>
      </c>
      <c r="Q34" s="43" t="str">
        <f t="shared" si="3"/>
        <v>syn BTCF7/BTCZ6/BTCG7</v>
      </c>
      <c r="R34" s="13">
        <f>'MKT DATA'!AB1392</f>
        <v>0</v>
      </c>
    </row>
    <row r="35" spans="5:18" x14ac:dyDescent="0.25">
      <c r="E35" s="43" t="str">
        <f>'MKT DATA'!B1393</f>
        <v>syn BTCF7/BTCH7/BTCG7</v>
      </c>
      <c r="F35" s="13">
        <f>'MKT DATA'!J1393</f>
        <v>1</v>
      </c>
      <c r="G35" s="8">
        <f>'MKT DATA'!K1393</f>
        <v>84305</v>
      </c>
      <c r="H35" s="8">
        <f>'MKT DATA'!L1393</f>
        <v>85760</v>
      </c>
      <c r="I35" s="13">
        <f>'MKT DATA'!M1393</f>
        <v>1</v>
      </c>
      <c r="J35" s="43" t="str">
        <f t="shared" si="2"/>
        <v>syn BTCF7/BTCH7/BTCG7</v>
      </c>
      <c r="K35" s="8">
        <f>'MKT DATA'!O1393</f>
        <v>0</v>
      </c>
      <c r="L35" s="8">
        <f>'MKT DATA'!P1393</f>
        <v>84305</v>
      </c>
      <c r="M35" s="8">
        <f>'MKT DATA'!Q1393</f>
        <v>0</v>
      </c>
      <c r="N35" s="8">
        <f>'MKT DATA'!R1393</f>
        <v>0</v>
      </c>
      <c r="O35" s="8">
        <f>'MKT DATA'!S1393</f>
        <v>-85760</v>
      </c>
      <c r="P35" s="8">
        <f>'MKT DATA'!T1393</f>
        <v>0</v>
      </c>
      <c r="Q35" s="43" t="str">
        <f t="shared" si="3"/>
        <v>syn BTCF7/BTCH7/BTCG7</v>
      </c>
      <c r="R35" s="13">
        <f>'MKT DATA'!AB1393</f>
        <v>0</v>
      </c>
    </row>
    <row r="36" spans="5:18" x14ac:dyDescent="0.25">
      <c r="E36" s="43" t="str">
        <f>'MKT DATA'!B1394</f>
        <v>syn BTCH7/BTCV6/BTCG7</v>
      </c>
      <c r="F36" s="13">
        <f>'MKT DATA'!J1394</f>
        <v>1</v>
      </c>
      <c r="G36" s="8">
        <f>'MKT DATA'!K1394</f>
        <v>84125</v>
      </c>
      <c r="H36" s="8">
        <f>'MKT DATA'!L1394</f>
        <v>85995</v>
      </c>
      <c r="I36" s="13">
        <f>'MKT DATA'!M1394</f>
        <v>1</v>
      </c>
      <c r="J36" s="43" t="str">
        <f t="shared" si="2"/>
        <v>syn BTCH7/BTCV6/BTCG7</v>
      </c>
      <c r="K36" s="8">
        <f>'MKT DATA'!O1394</f>
        <v>0</v>
      </c>
      <c r="L36" s="8">
        <f>'MKT DATA'!P1394</f>
        <v>84125</v>
      </c>
      <c r="M36" s="8">
        <f>'MKT DATA'!Q1394</f>
        <v>0</v>
      </c>
      <c r="N36" s="8">
        <f>'MKT DATA'!R1394</f>
        <v>0</v>
      </c>
      <c r="O36" s="8">
        <f>'MKT DATA'!S1394</f>
        <v>-85995</v>
      </c>
      <c r="P36" s="8">
        <f>'MKT DATA'!T1394</f>
        <v>0</v>
      </c>
      <c r="Q36" s="43" t="str">
        <f t="shared" si="3"/>
        <v>syn BTCH7/BTCV6/BTCG7</v>
      </c>
      <c r="R36" s="13">
        <f>'MKT DATA'!AB1394</f>
        <v>0</v>
      </c>
    </row>
    <row r="37" spans="5:18" x14ac:dyDescent="0.25">
      <c r="E37" s="43" t="str">
        <f>'MKT DATA'!B1395</f>
        <v>syn BTCH7/BTCX6/BTCG7</v>
      </c>
      <c r="F37" s="13">
        <f>'MKT DATA'!J1395</f>
        <v>1</v>
      </c>
      <c r="G37" s="8">
        <f>'MKT DATA'!K1395</f>
        <v>84100</v>
      </c>
      <c r="H37" s="8">
        <f>'MKT DATA'!L1395</f>
        <v>86020</v>
      </c>
      <c r="I37" s="13">
        <f>'MKT DATA'!M1395</f>
        <v>1</v>
      </c>
      <c r="J37" s="43" t="str">
        <f t="shared" si="2"/>
        <v>syn BTCH7/BTCX6/BTCG7</v>
      </c>
      <c r="K37" s="8">
        <f>'MKT DATA'!O1395</f>
        <v>0</v>
      </c>
      <c r="L37" s="8">
        <f>'MKT DATA'!P1395</f>
        <v>84100</v>
      </c>
      <c r="M37" s="8">
        <f>'MKT DATA'!Q1395</f>
        <v>0</v>
      </c>
      <c r="N37" s="8">
        <f>'MKT DATA'!R1395</f>
        <v>0</v>
      </c>
      <c r="O37" s="8">
        <f>'MKT DATA'!S1395</f>
        <v>-86020</v>
      </c>
      <c r="P37" s="8">
        <f>'MKT DATA'!T1395</f>
        <v>0</v>
      </c>
      <c r="Q37" s="43" t="str">
        <f t="shared" si="3"/>
        <v>syn BTCH7/BTCX6/BTCG7</v>
      </c>
      <c r="R37" s="13">
        <f>'MKT DATA'!AB1395</f>
        <v>0</v>
      </c>
    </row>
    <row r="38" spans="5:18" x14ac:dyDescent="0.25">
      <c r="E38" s="43" t="str">
        <f>'MKT DATA'!B1396</f>
        <v>syn BTCH7/BTCZ6/BTCG7</v>
      </c>
      <c r="F38" s="13">
        <f>'MKT DATA'!J1396</f>
        <v>1</v>
      </c>
      <c r="G38" s="8">
        <f>'MKT DATA'!K1396</f>
        <v>84085</v>
      </c>
      <c r="H38" s="8">
        <f>'MKT DATA'!L1396</f>
        <v>85855</v>
      </c>
      <c r="I38" s="13">
        <f>'MKT DATA'!M1396</f>
        <v>1</v>
      </c>
      <c r="J38" s="43" t="str">
        <f t="shared" si="2"/>
        <v>syn BTCH7/BTCZ6/BTCG7</v>
      </c>
      <c r="K38" s="8">
        <f>'MKT DATA'!O1396</f>
        <v>0</v>
      </c>
      <c r="L38" s="8">
        <f>'MKT DATA'!P1396</f>
        <v>84085</v>
      </c>
      <c r="M38" s="8">
        <f>'MKT DATA'!Q1396</f>
        <v>0</v>
      </c>
      <c r="N38" s="8">
        <f>'MKT DATA'!R1396</f>
        <v>0</v>
      </c>
      <c r="O38" s="8">
        <f>'MKT DATA'!S1396</f>
        <v>-85855</v>
      </c>
      <c r="P38" s="8">
        <f>'MKT DATA'!T1396</f>
        <v>0</v>
      </c>
      <c r="Q38" s="43" t="str">
        <f t="shared" si="3"/>
        <v>syn BTCH7/BTCZ6/BTCG7</v>
      </c>
      <c r="R38" s="13">
        <f>'MKT DATA'!AB1396</f>
        <v>0</v>
      </c>
    </row>
    <row r="39" spans="5:18" x14ac:dyDescent="0.25">
      <c r="E39" s="43" t="str">
        <f>'MKT DATA'!B1397</f>
        <v>syn BTCH7/BTCF7/BTCG7</v>
      </c>
      <c r="F39" s="13">
        <f>'MKT DATA'!J1397</f>
        <v>1</v>
      </c>
      <c r="G39" s="8">
        <f>'MKT DATA'!K1397</f>
        <v>84139</v>
      </c>
      <c r="H39" s="8">
        <f>'MKT DATA'!L1397</f>
        <v>85965</v>
      </c>
      <c r="I39" s="13">
        <f>'MKT DATA'!M1397</f>
        <v>1</v>
      </c>
      <c r="J39" s="43" t="str">
        <f t="shared" si="2"/>
        <v>syn BTCH7/BTCF7/BTCG7</v>
      </c>
      <c r="K39" s="8">
        <f>'MKT DATA'!O1397</f>
        <v>0</v>
      </c>
      <c r="L39" s="8">
        <f>'MKT DATA'!P1397</f>
        <v>84139</v>
      </c>
      <c r="M39" s="8">
        <f>'MKT DATA'!Q1397</f>
        <v>0</v>
      </c>
      <c r="N39" s="8">
        <f>'MKT DATA'!R1397</f>
        <v>0</v>
      </c>
      <c r="O39" s="8">
        <f>'MKT DATA'!S1397</f>
        <v>-85965</v>
      </c>
      <c r="P39" s="8">
        <f>'MKT DATA'!T1397</f>
        <v>0</v>
      </c>
      <c r="Q39" s="43" t="str">
        <f t="shared" si="3"/>
        <v>syn BTCH7/BTCF7/BTCG7</v>
      </c>
      <c r="R39" s="13">
        <f>'MKT DATA'!AB1397</f>
        <v>0</v>
      </c>
    </row>
    <row r="40" spans="5:18" x14ac:dyDescent="0.25">
      <c r="E40" s="43" t="str">
        <f>'MKT DATA'!B1398</f>
        <v>syn BTCV6/BTCX6/BTCZ6/BTCG7</v>
      </c>
      <c r="F40" s="13">
        <f>'MKT DATA'!J1398</f>
        <v>1</v>
      </c>
      <c r="G40" s="8">
        <f>'MKT DATA'!K1398</f>
        <v>84821</v>
      </c>
      <c r="H40" s="8">
        <f>'MKT DATA'!L1398</f>
        <v>85307</v>
      </c>
      <c r="I40" s="13">
        <f>'MKT DATA'!M1398</f>
        <v>1</v>
      </c>
      <c r="J40" s="43" t="str">
        <f t="shared" si="2"/>
        <v>syn BTCV6/BTCX6/BTCZ6/BTCG7</v>
      </c>
      <c r="K40" s="8">
        <f>'MKT DATA'!O1398</f>
        <v>0</v>
      </c>
      <c r="L40" s="8">
        <f>'MKT DATA'!P1398</f>
        <v>84821</v>
      </c>
      <c r="M40" s="8">
        <f>'MKT DATA'!Q1398</f>
        <v>0</v>
      </c>
      <c r="N40" s="8">
        <f>'MKT DATA'!R1398</f>
        <v>0</v>
      </c>
      <c r="O40" s="8">
        <f>'MKT DATA'!S1398</f>
        <v>-85307</v>
      </c>
      <c r="P40" s="8">
        <f>'MKT DATA'!T1398</f>
        <v>0</v>
      </c>
      <c r="Q40" s="43" t="str">
        <f t="shared" si="3"/>
        <v>syn BTCV6/BTCX6/BTCZ6/BTCG7</v>
      </c>
      <c r="R40" s="13">
        <f>'MKT DATA'!AB1398</f>
        <v>0</v>
      </c>
    </row>
    <row r="41" spans="5:18" x14ac:dyDescent="0.25">
      <c r="E41" s="43" t="str">
        <f>'MKT DATA'!B1399</f>
        <v>syn BTCV6/BTCX6/BTCF7/BTCG7</v>
      </c>
      <c r="F41" s="13">
        <f>'MKT DATA'!J1399</f>
        <v>1</v>
      </c>
      <c r="G41" s="8">
        <f>'MKT DATA'!K1399</f>
        <v>84887</v>
      </c>
      <c r="H41" s="8">
        <f>'MKT DATA'!L1399</f>
        <v>85190</v>
      </c>
      <c r="I41" s="13">
        <f>'MKT DATA'!M1399</f>
        <v>1</v>
      </c>
      <c r="J41" s="43" t="str">
        <f t="shared" si="2"/>
        <v>syn BTCV6/BTCX6/BTCF7/BTCG7</v>
      </c>
      <c r="K41" s="8">
        <f>'MKT DATA'!O1399</f>
        <v>0</v>
      </c>
      <c r="L41" s="8">
        <f>'MKT DATA'!P1399</f>
        <v>84887</v>
      </c>
      <c r="M41" s="8">
        <f>'MKT DATA'!Q1399</f>
        <v>0</v>
      </c>
      <c r="N41" s="8">
        <f>'MKT DATA'!R1399</f>
        <v>0</v>
      </c>
      <c r="O41" s="8">
        <f>'MKT DATA'!S1399</f>
        <v>-85190</v>
      </c>
      <c r="P41" s="8">
        <f>'MKT DATA'!T1399</f>
        <v>0</v>
      </c>
      <c r="Q41" s="43" t="str">
        <f t="shared" si="3"/>
        <v>syn BTCV6/BTCX6/BTCF7/BTCG7</v>
      </c>
      <c r="R41" s="13">
        <f>'MKT DATA'!AB1399</f>
        <v>0</v>
      </c>
    </row>
    <row r="42" spans="5:18" x14ac:dyDescent="0.25">
      <c r="E42" s="43" t="str">
        <f>'MKT DATA'!B1400</f>
        <v>syn BTCV6/BTCX6/BTCH7/BTCG7</v>
      </c>
      <c r="F42" s="13">
        <f>'MKT DATA'!J1400</f>
        <v>1</v>
      </c>
      <c r="G42" s="8">
        <f>'MKT DATA'!K1400</f>
        <v>84442</v>
      </c>
      <c r="H42" s="8">
        <f>'MKT DATA'!L1400</f>
        <v>85616</v>
      </c>
      <c r="I42" s="13">
        <f>'MKT DATA'!M1400</f>
        <v>1</v>
      </c>
      <c r="J42" s="43" t="str">
        <f t="shared" si="2"/>
        <v>syn BTCV6/BTCX6/BTCH7/BTCG7</v>
      </c>
      <c r="K42" s="8">
        <f>'MKT DATA'!O1400</f>
        <v>0</v>
      </c>
      <c r="L42" s="8">
        <f>'MKT DATA'!P1400</f>
        <v>84442</v>
      </c>
      <c r="M42" s="8">
        <f>'MKT DATA'!Q1400</f>
        <v>0</v>
      </c>
      <c r="N42" s="8">
        <f>'MKT DATA'!R1400</f>
        <v>0</v>
      </c>
      <c r="O42" s="8">
        <f>'MKT DATA'!S1400</f>
        <v>-85616</v>
      </c>
      <c r="P42" s="8">
        <f>'MKT DATA'!T1400</f>
        <v>0</v>
      </c>
      <c r="Q42" s="43" t="str">
        <f t="shared" si="3"/>
        <v>syn BTCV6/BTCX6/BTCH7/BTCG7</v>
      </c>
      <c r="R42" s="13">
        <f>'MKT DATA'!AB1400</f>
        <v>0</v>
      </c>
    </row>
    <row r="43" spans="5:18" x14ac:dyDescent="0.25">
      <c r="E43" s="43" t="str">
        <f>'MKT DATA'!B1401</f>
        <v>syn BTCV6/BTCZ6/BTCX6/BTCG7</v>
      </c>
      <c r="F43" s="13">
        <f>'MKT DATA'!J1401</f>
        <v>1</v>
      </c>
      <c r="G43" s="8">
        <f>'MKT DATA'!K1401</f>
        <v>84820</v>
      </c>
      <c r="H43" s="8">
        <f>'MKT DATA'!L1401</f>
        <v>85293</v>
      </c>
      <c r="I43" s="13">
        <f>'MKT DATA'!M1401</f>
        <v>1</v>
      </c>
      <c r="J43" s="43" t="str">
        <f t="shared" si="2"/>
        <v>syn BTCV6/BTCZ6/BTCX6/BTCG7</v>
      </c>
      <c r="K43" s="8">
        <f>'MKT DATA'!O1401</f>
        <v>0</v>
      </c>
      <c r="L43" s="8">
        <f>'MKT DATA'!P1401</f>
        <v>84820</v>
      </c>
      <c r="M43" s="8">
        <f>'MKT DATA'!Q1401</f>
        <v>0</v>
      </c>
      <c r="N43" s="8">
        <f>'MKT DATA'!R1401</f>
        <v>0</v>
      </c>
      <c r="O43" s="8">
        <f>'MKT DATA'!S1401</f>
        <v>-85293</v>
      </c>
      <c r="P43" s="8">
        <f>'MKT DATA'!T1401</f>
        <v>0</v>
      </c>
      <c r="Q43" s="43" t="str">
        <f t="shared" si="3"/>
        <v>syn BTCV6/BTCZ6/BTCX6/BTCG7</v>
      </c>
      <c r="R43" s="13">
        <f>'MKT DATA'!AB1401</f>
        <v>0</v>
      </c>
    </row>
    <row r="44" spans="5:18" x14ac:dyDescent="0.25">
      <c r="E44" s="43" t="str">
        <f>'MKT DATA'!B1402</f>
        <v>syn BTCV6/BTCZ6/BTCF7/BTCG7</v>
      </c>
      <c r="F44" s="13">
        <f>'MKT DATA'!J1402</f>
        <v>1</v>
      </c>
      <c r="G44" s="8">
        <f>'MKT DATA'!K1402</f>
        <v>84922</v>
      </c>
      <c r="H44" s="8">
        <f>'MKT DATA'!L1402</f>
        <v>85186</v>
      </c>
      <c r="I44" s="13">
        <f>'MKT DATA'!M1402</f>
        <v>1</v>
      </c>
      <c r="J44" s="43" t="str">
        <f t="shared" si="2"/>
        <v>syn BTCV6/BTCZ6/BTCF7/BTCG7</v>
      </c>
      <c r="K44" s="8">
        <f>'MKT DATA'!O1402</f>
        <v>0</v>
      </c>
      <c r="L44" s="8">
        <f>'MKT DATA'!P1402</f>
        <v>84922</v>
      </c>
      <c r="M44" s="8">
        <f>'MKT DATA'!Q1402</f>
        <v>0</v>
      </c>
      <c r="N44" s="8">
        <f>'MKT DATA'!R1402</f>
        <v>0</v>
      </c>
      <c r="O44" s="8">
        <f>'MKT DATA'!S1402</f>
        <v>-85186</v>
      </c>
      <c r="P44" s="8">
        <f>'MKT DATA'!T1402</f>
        <v>0</v>
      </c>
      <c r="Q44" s="43" t="str">
        <f t="shared" si="3"/>
        <v>syn BTCV6/BTCZ6/BTCF7/BTCG7</v>
      </c>
      <c r="R44" s="13">
        <f>'MKT DATA'!AB1402</f>
        <v>0</v>
      </c>
    </row>
    <row r="45" spans="5:18" x14ac:dyDescent="0.25">
      <c r="E45" s="43" t="str">
        <f>'MKT DATA'!B1403</f>
        <v>syn BTCV6/BTCZ6/BTCH7/BTCG7</v>
      </c>
      <c r="F45" s="13">
        <f>'MKT DATA'!J1403</f>
        <v>1</v>
      </c>
      <c r="G45" s="8">
        <f>'MKT DATA'!K1403</f>
        <v>84621</v>
      </c>
      <c r="H45" s="8">
        <f>'MKT DATA'!L1403</f>
        <v>85632</v>
      </c>
      <c r="I45" s="13">
        <f>'MKT DATA'!M1403</f>
        <v>1</v>
      </c>
      <c r="J45" s="43" t="str">
        <f t="shared" si="2"/>
        <v>syn BTCV6/BTCZ6/BTCH7/BTCG7</v>
      </c>
      <c r="K45" s="8">
        <f>'MKT DATA'!O1403</f>
        <v>0</v>
      </c>
      <c r="L45" s="8">
        <f>'MKT DATA'!P1403</f>
        <v>84621</v>
      </c>
      <c r="M45" s="8">
        <f>'MKT DATA'!Q1403</f>
        <v>0</v>
      </c>
      <c r="N45" s="8">
        <f>'MKT DATA'!R1403</f>
        <v>0</v>
      </c>
      <c r="O45" s="8">
        <f>'MKT DATA'!S1403</f>
        <v>-85632</v>
      </c>
      <c r="P45" s="8">
        <f>'MKT DATA'!T1403</f>
        <v>0</v>
      </c>
      <c r="Q45" s="43" t="str">
        <f t="shared" si="3"/>
        <v>syn BTCV6/BTCZ6/BTCH7/BTCG7</v>
      </c>
      <c r="R45" s="13">
        <f>'MKT DATA'!AB1403</f>
        <v>0</v>
      </c>
    </row>
    <row r="46" spans="5:18" x14ac:dyDescent="0.25">
      <c r="E46" s="43" t="str">
        <f>'MKT DATA'!B1404</f>
        <v>syn BTCV6/BTCF7/BTCX6/BTCG7</v>
      </c>
      <c r="F46" s="13">
        <f>'MKT DATA'!J1404</f>
        <v>1</v>
      </c>
      <c r="G46" s="8">
        <f>'MKT DATA'!K1404</f>
        <v>84717</v>
      </c>
      <c r="H46" s="8">
        <f>'MKT DATA'!L1404</f>
        <v>85393</v>
      </c>
      <c r="I46" s="13">
        <f>'MKT DATA'!M1404</f>
        <v>1</v>
      </c>
      <c r="J46" s="43" t="str">
        <f t="shared" si="2"/>
        <v>syn BTCV6/BTCF7/BTCX6/BTCG7</v>
      </c>
      <c r="K46" s="8">
        <f>'MKT DATA'!O1404</f>
        <v>0</v>
      </c>
      <c r="L46" s="8">
        <f>'MKT DATA'!P1404</f>
        <v>84717</v>
      </c>
      <c r="M46" s="8">
        <f>'MKT DATA'!Q1404</f>
        <v>0</v>
      </c>
      <c r="N46" s="8">
        <f>'MKT DATA'!R1404</f>
        <v>0</v>
      </c>
      <c r="O46" s="8">
        <f>'MKT DATA'!S1404</f>
        <v>-85393</v>
      </c>
      <c r="P46" s="8">
        <f>'MKT DATA'!T1404</f>
        <v>0</v>
      </c>
      <c r="Q46" s="43" t="str">
        <f t="shared" si="3"/>
        <v>syn BTCV6/BTCF7/BTCX6/BTCG7</v>
      </c>
      <c r="R46" s="13">
        <f>'MKT DATA'!AB1404</f>
        <v>0</v>
      </c>
    </row>
    <row r="47" spans="5:18" x14ac:dyDescent="0.25">
      <c r="E47" s="43" t="str">
        <f>'MKT DATA'!B1405</f>
        <v>syn BTCV6/BTCF7/BTCZ6/BTCG7</v>
      </c>
      <c r="F47" s="13">
        <f>'MKT DATA'!J1405</f>
        <v>1</v>
      </c>
      <c r="G47" s="8">
        <f>'MKT DATA'!K1405</f>
        <v>84722</v>
      </c>
      <c r="H47" s="8">
        <f>'MKT DATA'!L1405</f>
        <v>85372</v>
      </c>
      <c r="I47" s="13">
        <f>'MKT DATA'!M1405</f>
        <v>1</v>
      </c>
      <c r="J47" s="43" t="str">
        <f t="shared" si="2"/>
        <v>syn BTCV6/BTCF7/BTCZ6/BTCG7</v>
      </c>
      <c r="K47" s="8">
        <f>'MKT DATA'!O1405</f>
        <v>0</v>
      </c>
      <c r="L47" s="8">
        <f>'MKT DATA'!P1405</f>
        <v>84722</v>
      </c>
      <c r="M47" s="8">
        <f>'MKT DATA'!Q1405</f>
        <v>0</v>
      </c>
      <c r="N47" s="8">
        <f>'MKT DATA'!R1405</f>
        <v>0</v>
      </c>
      <c r="O47" s="8">
        <f>'MKT DATA'!S1405</f>
        <v>-85372</v>
      </c>
      <c r="P47" s="8">
        <f>'MKT DATA'!T1405</f>
        <v>0</v>
      </c>
      <c r="Q47" s="43" t="str">
        <f t="shared" si="3"/>
        <v>syn BTCV6/BTCF7/BTCZ6/BTCG7</v>
      </c>
      <c r="R47" s="13">
        <f>'MKT DATA'!AB1405</f>
        <v>0</v>
      </c>
    </row>
    <row r="48" spans="5:18" x14ac:dyDescent="0.25">
      <c r="E48" s="43" t="str">
        <f>'MKT DATA'!B1406</f>
        <v>syn BTCV6/BTCF7/BTCH7/BTCG7</v>
      </c>
      <c r="F48" s="13">
        <f>'MKT DATA'!J1406</f>
        <v>1</v>
      </c>
      <c r="G48" s="8">
        <f>'MKT DATA'!K1406</f>
        <v>84291</v>
      </c>
      <c r="H48" s="8">
        <f>'MKT DATA'!L1406</f>
        <v>85744</v>
      </c>
      <c r="I48" s="13">
        <f>'MKT DATA'!M1406</f>
        <v>1</v>
      </c>
      <c r="J48" s="43" t="str">
        <f t="shared" si="2"/>
        <v>syn BTCV6/BTCF7/BTCH7/BTCG7</v>
      </c>
      <c r="K48" s="8">
        <f>'MKT DATA'!O1406</f>
        <v>0</v>
      </c>
      <c r="L48" s="8">
        <f>'MKT DATA'!P1406</f>
        <v>84291</v>
      </c>
      <c r="M48" s="8">
        <f>'MKT DATA'!Q1406</f>
        <v>0</v>
      </c>
      <c r="N48" s="8">
        <f>'MKT DATA'!R1406</f>
        <v>0</v>
      </c>
      <c r="O48" s="8">
        <f>'MKT DATA'!S1406</f>
        <v>-85744</v>
      </c>
      <c r="P48" s="8">
        <f>'MKT DATA'!T1406</f>
        <v>0</v>
      </c>
      <c r="Q48" s="43" t="str">
        <f t="shared" si="3"/>
        <v>syn BTCV6/BTCF7/BTCH7/BTCG7</v>
      </c>
      <c r="R48" s="13">
        <f>'MKT DATA'!AB1406</f>
        <v>0</v>
      </c>
    </row>
    <row r="49" spans="5:18" x14ac:dyDescent="0.25">
      <c r="E49" s="43" t="str">
        <f>'MKT DATA'!B1407</f>
        <v>syn BTCV6/BTCH7/BTCX6/BTCG7</v>
      </c>
      <c r="F49" s="13">
        <f>'MKT DATA'!J1407</f>
        <v>1</v>
      </c>
      <c r="G49" s="8">
        <f>'MKT DATA'!K1407</f>
        <v>84070</v>
      </c>
      <c r="H49" s="8">
        <f>'MKT DATA'!L1407</f>
        <v>86050</v>
      </c>
      <c r="I49" s="13">
        <f>'MKT DATA'!M1407</f>
        <v>1</v>
      </c>
      <c r="J49" s="43" t="str">
        <f t="shared" si="2"/>
        <v>syn BTCV6/BTCH7/BTCX6/BTCG7</v>
      </c>
      <c r="K49" s="8">
        <f>'MKT DATA'!O1407</f>
        <v>0</v>
      </c>
      <c r="L49" s="8">
        <f>'MKT DATA'!P1407</f>
        <v>84070</v>
      </c>
      <c r="M49" s="8">
        <f>'MKT DATA'!Q1407</f>
        <v>0</v>
      </c>
      <c r="N49" s="8">
        <f>'MKT DATA'!R1407</f>
        <v>0</v>
      </c>
      <c r="O49" s="8">
        <f>'MKT DATA'!S1407</f>
        <v>-86050</v>
      </c>
      <c r="P49" s="8">
        <f>'MKT DATA'!T1407</f>
        <v>0</v>
      </c>
      <c r="Q49" s="43" t="str">
        <f t="shared" si="3"/>
        <v>syn BTCV6/BTCH7/BTCX6/BTCG7</v>
      </c>
      <c r="R49" s="13">
        <f>'MKT DATA'!AB1407</f>
        <v>0</v>
      </c>
    </row>
    <row r="50" spans="5:18" x14ac:dyDescent="0.25">
      <c r="E50" s="43" t="str">
        <f>'MKT DATA'!B1408</f>
        <v>syn BTCV6/BTCH7/BTCZ6/BTCG7</v>
      </c>
      <c r="F50" s="13">
        <f>'MKT DATA'!J1408</f>
        <v>1</v>
      </c>
      <c r="G50" s="8">
        <f>'MKT DATA'!K1408</f>
        <v>84055</v>
      </c>
      <c r="H50" s="8">
        <f>'MKT DATA'!L1408</f>
        <v>85885</v>
      </c>
      <c r="I50" s="13">
        <f>'MKT DATA'!M1408</f>
        <v>1</v>
      </c>
      <c r="J50" s="43" t="str">
        <f t="shared" si="2"/>
        <v>syn BTCV6/BTCH7/BTCZ6/BTCG7</v>
      </c>
      <c r="K50" s="8">
        <f>'MKT DATA'!O1408</f>
        <v>0</v>
      </c>
      <c r="L50" s="8">
        <f>'MKT DATA'!P1408</f>
        <v>84055</v>
      </c>
      <c r="M50" s="8">
        <f>'MKT DATA'!Q1408</f>
        <v>0</v>
      </c>
      <c r="N50" s="8">
        <f>'MKT DATA'!R1408</f>
        <v>0</v>
      </c>
      <c r="O50" s="8">
        <f>'MKT DATA'!S1408</f>
        <v>-85885</v>
      </c>
      <c r="P50" s="8">
        <f>'MKT DATA'!T1408</f>
        <v>0</v>
      </c>
      <c r="Q50" s="43" t="str">
        <f t="shared" si="3"/>
        <v>syn BTCV6/BTCH7/BTCZ6/BTCG7</v>
      </c>
      <c r="R50" s="13">
        <f>'MKT DATA'!AB1408</f>
        <v>0</v>
      </c>
    </row>
    <row r="51" spans="5:18" x14ac:dyDescent="0.25">
      <c r="E51" s="43" t="str">
        <f>'MKT DATA'!B1409</f>
        <v>syn BTCV6/BTCH7/BTCF7/BTCG7</v>
      </c>
      <c r="F51" s="13">
        <f>'MKT DATA'!J1409</f>
        <v>1</v>
      </c>
      <c r="G51" s="8">
        <f>'MKT DATA'!K1409</f>
        <v>84109</v>
      </c>
      <c r="H51" s="8">
        <f>'MKT DATA'!L1409</f>
        <v>85995</v>
      </c>
      <c r="I51" s="13">
        <f>'MKT DATA'!M1409</f>
        <v>1</v>
      </c>
      <c r="J51" s="43" t="str">
        <f t="shared" si="2"/>
        <v>syn BTCV6/BTCH7/BTCF7/BTCG7</v>
      </c>
      <c r="K51" s="8">
        <f>'MKT DATA'!O1409</f>
        <v>0</v>
      </c>
      <c r="L51" s="8">
        <f>'MKT DATA'!P1409</f>
        <v>84109</v>
      </c>
      <c r="M51" s="8">
        <f>'MKT DATA'!Q1409</f>
        <v>0</v>
      </c>
      <c r="N51" s="8">
        <f>'MKT DATA'!R1409</f>
        <v>0</v>
      </c>
      <c r="O51" s="8">
        <f>'MKT DATA'!S1409</f>
        <v>-85995</v>
      </c>
      <c r="P51" s="8">
        <f>'MKT DATA'!T1409</f>
        <v>0</v>
      </c>
      <c r="Q51" s="43" t="str">
        <f t="shared" si="3"/>
        <v>syn BTCV6/BTCH7/BTCF7/BTCG7</v>
      </c>
      <c r="R51" s="13">
        <f>'MKT DATA'!AB1409</f>
        <v>0</v>
      </c>
    </row>
    <row r="52" spans="5:18" x14ac:dyDescent="0.25">
      <c r="E52" s="43" t="str">
        <f>'MKT DATA'!B1410</f>
        <v>syn BTCX6/BTCV6/BTCZ6/BTCG7</v>
      </c>
      <c r="F52" s="13">
        <f>'MKT DATA'!J1410</f>
        <v>1</v>
      </c>
      <c r="G52" s="8">
        <f>'MKT DATA'!K1410</f>
        <v>84805</v>
      </c>
      <c r="H52" s="8">
        <f>'MKT DATA'!L1410</f>
        <v>85330</v>
      </c>
      <c r="I52" s="13">
        <f>'MKT DATA'!M1410</f>
        <v>1</v>
      </c>
      <c r="J52" s="43" t="str">
        <f t="shared" si="2"/>
        <v>syn BTCX6/BTCV6/BTCZ6/BTCG7</v>
      </c>
      <c r="K52" s="8">
        <f>'MKT DATA'!O1410</f>
        <v>0</v>
      </c>
      <c r="L52" s="8">
        <f>'MKT DATA'!P1410</f>
        <v>84805</v>
      </c>
      <c r="M52" s="8">
        <f>'MKT DATA'!Q1410</f>
        <v>0</v>
      </c>
      <c r="N52" s="8">
        <f>'MKT DATA'!R1410</f>
        <v>0</v>
      </c>
      <c r="O52" s="8">
        <f>'MKT DATA'!S1410</f>
        <v>-85330</v>
      </c>
      <c r="P52" s="8">
        <f>'MKT DATA'!T1410</f>
        <v>0</v>
      </c>
      <c r="Q52" s="43" t="str">
        <f t="shared" si="3"/>
        <v>syn BTCX6/BTCV6/BTCZ6/BTCG7</v>
      </c>
      <c r="R52" s="13">
        <f>'MKT DATA'!AB1410</f>
        <v>0</v>
      </c>
    </row>
    <row r="53" spans="5:18" x14ac:dyDescent="0.25">
      <c r="E53" s="43" t="str">
        <f>'MKT DATA'!B1411</f>
        <v>syn BTCX6/BTCV6/BTCF7/BTCG7</v>
      </c>
      <c r="F53" s="13">
        <f>'MKT DATA'!J1411</f>
        <v>1</v>
      </c>
      <c r="G53" s="8">
        <f>'MKT DATA'!K1411</f>
        <v>84854</v>
      </c>
      <c r="H53" s="8">
        <f>'MKT DATA'!L1411</f>
        <v>85227</v>
      </c>
      <c r="I53" s="13">
        <f>'MKT DATA'!M1411</f>
        <v>1</v>
      </c>
      <c r="J53" s="43" t="str">
        <f t="shared" si="2"/>
        <v>syn BTCX6/BTCV6/BTCF7/BTCG7</v>
      </c>
      <c r="K53" s="8">
        <f>'MKT DATA'!O1411</f>
        <v>0</v>
      </c>
      <c r="L53" s="8">
        <f>'MKT DATA'!P1411</f>
        <v>84854</v>
      </c>
      <c r="M53" s="8">
        <f>'MKT DATA'!Q1411</f>
        <v>0</v>
      </c>
      <c r="N53" s="8">
        <f>'MKT DATA'!R1411</f>
        <v>0</v>
      </c>
      <c r="O53" s="8">
        <f>'MKT DATA'!S1411</f>
        <v>-85227</v>
      </c>
      <c r="P53" s="8">
        <f>'MKT DATA'!T1411</f>
        <v>0</v>
      </c>
      <c r="Q53" s="43" t="str">
        <f t="shared" si="3"/>
        <v>syn BTCX6/BTCV6/BTCF7/BTCG7</v>
      </c>
      <c r="R53" s="13">
        <f>'MKT DATA'!AB1411</f>
        <v>0</v>
      </c>
    </row>
    <row r="54" spans="5:18" x14ac:dyDescent="0.25">
      <c r="E54" s="43" t="str">
        <f>'MKT DATA'!B1412</f>
        <v>syn BTCX6/BTCV6/BTCH7/BTCG7</v>
      </c>
      <c r="F54" s="13">
        <f>'MKT DATA'!J1412</f>
        <v>1</v>
      </c>
      <c r="G54" s="8">
        <f>'MKT DATA'!K1412</f>
        <v>84449</v>
      </c>
      <c r="H54" s="8">
        <f>'MKT DATA'!L1412</f>
        <v>85623</v>
      </c>
      <c r="I54" s="13">
        <f>'MKT DATA'!M1412</f>
        <v>1</v>
      </c>
      <c r="J54" s="43" t="str">
        <f t="shared" si="2"/>
        <v>syn BTCX6/BTCV6/BTCH7/BTCG7</v>
      </c>
      <c r="K54" s="8">
        <f>'MKT DATA'!O1412</f>
        <v>0</v>
      </c>
      <c r="L54" s="8">
        <f>'MKT DATA'!P1412</f>
        <v>84449</v>
      </c>
      <c r="M54" s="8">
        <f>'MKT DATA'!Q1412</f>
        <v>0</v>
      </c>
      <c r="N54" s="8">
        <f>'MKT DATA'!R1412</f>
        <v>0</v>
      </c>
      <c r="O54" s="8">
        <f>'MKT DATA'!S1412</f>
        <v>-85623</v>
      </c>
      <c r="P54" s="8">
        <f>'MKT DATA'!T1412</f>
        <v>0</v>
      </c>
      <c r="Q54" s="43" t="str">
        <f t="shared" si="3"/>
        <v>syn BTCX6/BTCV6/BTCH7/BTCG7</v>
      </c>
      <c r="R54" s="13">
        <f>'MKT DATA'!AB1412</f>
        <v>0</v>
      </c>
    </row>
    <row r="55" spans="5:18" x14ac:dyDescent="0.25">
      <c r="E55" s="43" t="str">
        <f>'MKT DATA'!B1413</f>
        <v>syn BTCX6/BTCZ6/BTCV6/BTCG7</v>
      </c>
      <c r="F55" s="13">
        <f>'MKT DATA'!J1413</f>
        <v>1</v>
      </c>
      <c r="G55" s="8">
        <f>'MKT DATA'!K1413</f>
        <v>84827</v>
      </c>
      <c r="H55" s="8">
        <f>'MKT DATA'!L1413</f>
        <v>85300</v>
      </c>
      <c r="I55" s="13">
        <f>'MKT DATA'!M1413</f>
        <v>1</v>
      </c>
      <c r="J55" s="43" t="str">
        <f t="shared" si="2"/>
        <v>syn BTCX6/BTCZ6/BTCV6/BTCG7</v>
      </c>
      <c r="K55" s="8">
        <f>'MKT DATA'!O1413</f>
        <v>0</v>
      </c>
      <c r="L55" s="8">
        <f>'MKT DATA'!P1413</f>
        <v>84827</v>
      </c>
      <c r="M55" s="8">
        <f>'MKT DATA'!Q1413</f>
        <v>0</v>
      </c>
      <c r="N55" s="8">
        <f>'MKT DATA'!R1413</f>
        <v>0</v>
      </c>
      <c r="O55" s="8">
        <f>'MKT DATA'!S1413</f>
        <v>-85300</v>
      </c>
      <c r="P55" s="8">
        <f>'MKT DATA'!T1413</f>
        <v>0</v>
      </c>
      <c r="Q55" s="43" t="str">
        <f t="shared" si="3"/>
        <v>syn BTCX6/BTCZ6/BTCV6/BTCG7</v>
      </c>
      <c r="R55" s="13">
        <f>'MKT DATA'!AB1413</f>
        <v>0</v>
      </c>
    </row>
    <row r="56" spans="5:18" x14ac:dyDescent="0.25">
      <c r="E56" s="43" t="str">
        <f>'MKT DATA'!B1414</f>
        <v>syn BTCX6/BTCZ6/BTCF7/BTCG7</v>
      </c>
      <c r="F56" s="13">
        <f>'MKT DATA'!J1414</f>
        <v>1</v>
      </c>
      <c r="G56" s="8">
        <f>'MKT DATA'!K1414</f>
        <v>84920</v>
      </c>
      <c r="H56" s="8">
        <f>'MKT DATA'!L1414</f>
        <v>85195</v>
      </c>
      <c r="I56" s="13">
        <f>'MKT DATA'!M1414</f>
        <v>1</v>
      </c>
      <c r="J56" s="43" t="str">
        <f t="shared" si="2"/>
        <v>syn BTCX6/BTCZ6/BTCF7/BTCG7</v>
      </c>
      <c r="K56" s="8">
        <f>'MKT DATA'!O1414</f>
        <v>0</v>
      </c>
      <c r="L56" s="8">
        <f>'MKT DATA'!P1414</f>
        <v>84920</v>
      </c>
      <c r="M56" s="8">
        <f>'MKT DATA'!Q1414</f>
        <v>0</v>
      </c>
      <c r="N56" s="8">
        <f>'MKT DATA'!R1414</f>
        <v>0</v>
      </c>
      <c r="O56" s="8">
        <f>'MKT DATA'!S1414</f>
        <v>-85195</v>
      </c>
      <c r="P56" s="8">
        <f>'MKT DATA'!T1414</f>
        <v>0</v>
      </c>
      <c r="Q56" s="43" t="str">
        <f t="shared" si="3"/>
        <v>syn BTCX6/BTCZ6/BTCF7/BTCG7</v>
      </c>
      <c r="R56" s="13">
        <f>'MKT DATA'!AB1414</f>
        <v>0</v>
      </c>
    </row>
    <row r="57" spans="5:18" x14ac:dyDescent="0.25">
      <c r="E57" s="43" t="str">
        <f>'MKT DATA'!B1415</f>
        <v>syn BTCX6/BTCZ6/BTCH7/BTCG7</v>
      </c>
      <c r="F57" s="13">
        <f>'MKT DATA'!J1415</f>
        <v>1</v>
      </c>
      <c r="G57" s="8">
        <f>'MKT DATA'!K1415</f>
        <v>84619</v>
      </c>
      <c r="H57" s="8">
        <f>'MKT DATA'!L1415</f>
        <v>85641</v>
      </c>
      <c r="I57" s="13">
        <f>'MKT DATA'!M1415</f>
        <v>1</v>
      </c>
      <c r="J57" s="43" t="str">
        <f t="shared" si="2"/>
        <v>syn BTCX6/BTCZ6/BTCH7/BTCG7</v>
      </c>
      <c r="K57" s="8">
        <f>'MKT DATA'!O1415</f>
        <v>0</v>
      </c>
      <c r="L57" s="8">
        <f>'MKT DATA'!P1415</f>
        <v>84619</v>
      </c>
      <c r="M57" s="8">
        <f>'MKT DATA'!Q1415</f>
        <v>0</v>
      </c>
      <c r="N57" s="8">
        <f>'MKT DATA'!R1415</f>
        <v>0</v>
      </c>
      <c r="O57" s="8">
        <f>'MKT DATA'!S1415</f>
        <v>-85641</v>
      </c>
      <c r="P57" s="8">
        <f>'MKT DATA'!T1415</f>
        <v>0</v>
      </c>
      <c r="Q57" s="43" t="str">
        <f t="shared" si="3"/>
        <v>syn BTCX6/BTCZ6/BTCH7/BTCG7</v>
      </c>
      <c r="R57" s="13">
        <f>'MKT DATA'!AB1415</f>
        <v>0</v>
      </c>
    </row>
    <row r="58" spans="5:18" x14ac:dyDescent="0.25">
      <c r="E58" s="43" t="str">
        <f>'MKT DATA'!B1416</f>
        <v>syn BTCX6/BTCF7/BTCV6/BTCG7</v>
      </c>
      <c r="F58" s="13">
        <f>'MKT DATA'!J1416</f>
        <v>1</v>
      </c>
      <c r="G58" s="8">
        <f>'MKT DATA'!K1416</f>
        <v>84727</v>
      </c>
      <c r="H58" s="8">
        <f>'MKT DATA'!L1416</f>
        <v>85403</v>
      </c>
      <c r="I58" s="13">
        <f>'MKT DATA'!M1416</f>
        <v>1</v>
      </c>
      <c r="J58" s="43" t="str">
        <f t="shared" si="2"/>
        <v>syn BTCX6/BTCF7/BTCV6/BTCG7</v>
      </c>
      <c r="K58" s="8">
        <f>'MKT DATA'!O1416</f>
        <v>0</v>
      </c>
      <c r="L58" s="8">
        <f>'MKT DATA'!P1416</f>
        <v>84727</v>
      </c>
      <c r="M58" s="8">
        <f>'MKT DATA'!Q1416</f>
        <v>0</v>
      </c>
      <c r="N58" s="8">
        <f>'MKT DATA'!R1416</f>
        <v>0</v>
      </c>
      <c r="O58" s="8">
        <f>'MKT DATA'!S1416</f>
        <v>-85403</v>
      </c>
      <c r="P58" s="8">
        <f>'MKT DATA'!T1416</f>
        <v>0</v>
      </c>
      <c r="Q58" s="43" t="str">
        <f t="shared" si="3"/>
        <v>syn BTCX6/BTCF7/BTCV6/BTCG7</v>
      </c>
      <c r="R58" s="13">
        <f>'MKT DATA'!AB1416</f>
        <v>0</v>
      </c>
    </row>
    <row r="59" spans="5:18" x14ac:dyDescent="0.25">
      <c r="E59" s="43" t="str">
        <f>'MKT DATA'!B1417</f>
        <v>syn BTCX6/BTCF7/BTCZ6/BTCG7</v>
      </c>
      <c r="F59" s="13">
        <f>'MKT DATA'!J1417</f>
        <v>1</v>
      </c>
      <c r="G59" s="8">
        <f>'MKT DATA'!K1417</f>
        <v>84737</v>
      </c>
      <c r="H59" s="8">
        <f>'MKT DATA'!L1417</f>
        <v>85367</v>
      </c>
      <c r="I59" s="13">
        <f>'MKT DATA'!M1417</f>
        <v>1</v>
      </c>
      <c r="J59" s="43" t="str">
        <f t="shared" si="2"/>
        <v>syn BTCX6/BTCF7/BTCZ6/BTCG7</v>
      </c>
      <c r="K59" s="8">
        <f>'MKT DATA'!O1417</f>
        <v>0</v>
      </c>
      <c r="L59" s="8">
        <f>'MKT DATA'!P1417</f>
        <v>84737</v>
      </c>
      <c r="M59" s="8">
        <f>'MKT DATA'!Q1417</f>
        <v>0</v>
      </c>
      <c r="N59" s="8">
        <f>'MKT DATA'!R1417</f>
        <v>0</v>
      </c>
      <c r="O59" s="8">
        <f>'MKT DATA'!S1417</f>
        <v>-85367</v>
      </c>
      <c r="P59" s="8">
        <f>'MKT DATA'!T1417</f>
        <v>0</v>
      </c>
      <c r="Q59" s="43" t="str">
        <f t="shared" si="3"/>
        <v>syn BTCX6/BTCF7/BTCZ6/BTCG7</v>
      </c>
      <c r="R59" s="13">
        <f>'MKT DATA'!AB1417</f>
        <v>0</v>
      </c>
    </row>
    <row r="60" spans="5:18" x14ac:dyDescent="0.25">
      <c r="E60" s="43" t="str">
        <f>'MKT DATA'!B1418</f>
        <v>syn BTCX6/BTCF7/BTCH7/BTCG7</v>
      </c>
      <c r="F60" s="13">
        <f>'MKT DATA'!J1418</f>
        <v>1</v>
      </c>
      <c r="G60" s="8">
        <f>'MKT DATA'!K1418</f>
        <v>84306</v>
      </c>
      <c r="H60" s="8">
        <f>'MKT DATA'!L1418</f>
        <v>85739</v>
      </c>
      <c r="I60" s="13">
        <f>'MKT DATA'!M1418</f>
        <v>1</v>
      </c>
      <c r="J60" s="43" t="str">
        <f t="shared" si="2"/>
        <v>syn BTCX6/BTCF7/BTCH7/BTCG7</v>
      </c>
      <c r="K60" s="8">
        <f>'MKT DATA'!O1418</f>
        <v>0</v>
      </c>
      <c r="L60" s="8">
        <f>'MKT DATA'!P1418</f>
        <v>84306</v>
      </c>
      <c r="M60" s="8">
        <f>'MKT DATA'!Q1418</f>
        <v>0</v>
      </c>
      <c r="N60" s="8">
        <f>'MKT DATA'!R1418</f>
        <v>0</v>
      </c>
      <c r="O60" s="8">
        <f>'MKT DATA'!S1418</f>
        <v>-85739</v>
      </c>
      <c r="P60" s="8">
        <f>'MKT DATA'!T1418</f>
        <v>0</v>
      </c>
      <c r="Q60" s="43" t="str">
        <f t="shared" si="3"/>
        <v>syn BTCX6/BTCF7/BTCH7/BTCG7</v>
      </c>
      <c r="R60" s="13">
        <f>'MKT DATA'!AB1418</f>
        <v>0</v>
      </c>
    </row>
    <row r="61" spans="5:18" x14ac:dyDescent="0.25">
      <c r="E61" s="43" t="str">
        <f>'MKT DATA'!B1419</f>
        <v>syn BTCX6/BTCH7/BTCV6/BTCG7</v>
      </c>
      <c r="F61" s="13">
        <f>'MKT DATA'!J1419</f>
        <v>1</v>
      </c>
      <c r="G61" s="8">
        <f>'MKT DATA'!K1419</f>
        <v>84070</v>
      </c>
      <c r="H61" s="8">
        <f>'MKT DATA'!L1419</f>
        <v>86050</v>
      </c>
      <c r="I61" s="13">
        <f>'MKT DATA'!M1419</f>
        <v>1</v>
      </c>
      <c r="J61" s="43" t="str">
        <f t="shared" si="2"/>
        <v>syn BTCX6/BTCH7/BTCV6/BTCG7</v>
      </c>
      <c r="K61" s="8">
        <f>'MKT DATA'!O1419</f>
        <v>0</v>
      </c>
      <c r="L61" s="8">
        <f>'MKT DATA'!P1419</f>
        <v>84070</v>
      </c>
      <c r="M61" s="8">
        <f>'MKT DATA'!Q1419</f>
        <v>0</v>
      </c>
      <c r="N61" s="8">
        <f>'MKT DATA'!R1419</f>
        <v>0</v>
      </c>
      <c r="O61" s="8">
        <f>'MKT DATA'!S1419</f>
        <v>-86050</v>
      </c>
      <c r="P61" s="8">
        <f>'MKT DATA'!T1419</f>
        <v>0</v>
      </c>
      <c r="Q61" s="43" t="str">
        <f t="shared" si="3"/>
        <v>syn BTCX6/BTCH7/BTCV6/BTCG7</v>
      </c>
      <c r="R61" s="13">
        <f>'MKT DATA'!AB1419</f>
        <v>0</v>
      </c>
    </row>
    <row r="62" spans="5:18" x14ac:dyDescent="0.25">
      <c r="E62" s="43" t="str">
        <f>'MKT DATA'!B1420</f>
        <v>syn BTCX6/BTCH7/BTCZ6/BTCG7</v>
      </c>
      <c r="F62" s="13">
        <f>'MKT DATA'!J1420</f>
        <v>1</v>
      </c>
      <c r="G62" s="8">
        <f>'MKT DATA'!K1420</f>
        <v>84030</v>
      </c>
      <c r="H62" s="8">
        <f>'MKT DATA'!L1420</f>
        <v>85910</v>
      </c>
      <c r="I62" s="13">
        <f>'MKT DATA'!M1420</f>
        <v>1</v>
      </c>
      <c r="J62" s="43" t="str">
        <f t="shared" si="2"/>
        <v>syn BTCX6/BTCH7/BTCZ6/BTCG7</v>
      </c>
      <c r="K62" s="8">
        <f>'MKT DATA'!O1420</f>
        <v>0</v>
      </c>
      <c r="L62" s="8">
        <f>'MKT DATA'!P1420</f>
        <v>84030</v>
      </c>
      <c r="M62" s="8">
        <f>'MKT DATA'!Q1420</f>
        <v>0</v>
      </c>
      <c r="N62" s="8">
        <f>'MKT DATA'!R1420</f>
        <v>0</v>
      </c>
      <c r="O62" s="8">
        <f>'MKT DATA'!S1420</f>
        <v>-85910</v>
      </c>
      <c r="P62" s="8">
        <f>'MKT DATA'!T1420</f>
        <v>0</v>
      </c>
      <c r="Q62" s="43" t="str">
        <f t="shared" si="3"/>
        <v>syn BTCX6/BTCH7/BTCZ6/BTCG7</v>
      </c>
      <c r="R62" s="13">
        <f>'MKT DATA'!AB1420</f>
        <v>0</v>
      </c>
    </row>
    <row r="63" spans="5:18" x14ac:dyDescent="0.25">
      <c r="E63" s="43" t="str">
        <f>'MKT DATA'!B1421</f>
        <v>syn BTCX6/BTCH7/BTCF7/BTCG7</v>
      </c>
      <c r="F63" s="13">
        <f>'MKT DATA'!J1421</f>
        <v>1</v>
      </c>
      <c r="G63" s="8">
        <f>'MKT DATA'!K1421</f>
        <v>84084</v>
      </c>
      <c r="H63" s="8">
        <f>'MKT DATA'!L1421</f>
        <v>86020</v>
      </c>
      <c r="I63" s="13">
        <f>'MKT DATA'!M1421</f>
        <v>1</v>
      </c>
      <c r="J63" s="43" t="str">
        <f t="shared" si="2"/>
        <v>syn BTCX6/BTCH7/BTCF7/BTCG7</v>
      </c>
      <c r="K63" s="8">
        <f>'MKT DATA'!O1421</f>
        <v>0</v>
      </c>
      <c r="L63" s="8">
        <f>'MKT DATA'!P1421</f>
        <v>84084</v>
      </c>
      <c r="M63" s="8">
        <f>'MKT DATA'!Q1421</f>
        <v>0</v>
      </c>
      <c r="N63" s="8">
        <f>'MKT DATA'!R1421</f>
        <v>0</v>
      </c>
      <c r="O63" s="8">
        <f>'MKT DATA'!S1421</f>
        <v>-86020</v>
      </c>
      <c r="P63" s="8">
        <f>'MKT DATA'!T1421</f>
        <v>0</v>
      </c>
      <c r="Q63" s="43" t="str">
        <f t="shared" si="3"/>
        <v>syn BTCX6/BTCH7/BTCF7/BTCG7</v>
      </c>
      <c r="R63" s="13">
        <f>'MKT DATA'!AB1421</f>
        <v>0</v>
      </c>
    </row>
    <row r="64" spans="5:18" x14ac:dyDescent="0.25">
      <c r="E64" s="43" t="str">
        <f>'MKT DATA'!B1422</f>
        <v>syn BTCZ6/BTCV6/BTCX6/BTCG7</v>
      </c>
      <c r="F64" s="13">
        <f>'MKT DATA'!J1422</f>
        <v>1</v>
      </c>
      <c r="G64" s="8">
        <f>'MKT DATA'!K1422</f>
        <v>84790</v>
      </c>
      <c r="H64" s="8">
        <f>'MKT DATA'!L1422</f>
        <v>85315</v>
      </c>
      <c r="I64" s="13">
        <f>'MKT DATA'!M1422</f>
        <v>1</v>
      </c>
      <c r="J64" s="43" t="str">
        <f t="shared" si="2"/>
        <v>syn BTCZ6/BTCV6/BTCX6/BTCG7</v>
      </c>
      <c r="K64" s="8">
        <f>'MKT DATA'!O1422</f>
        <v>0</v>
      </c>
      <c r="L64" s="8">
        <f>'MKT DATA'!P1422</f>
        <v>84790</v>
      </c>
      <c r="M64" s="8">
        <f>'MKT DATA'!Q1422</f>
        <v>0</v>
      </c>
      <c r="N64" s="8">
        <f>'MKT DATA'!R1422</f>
        <v>0</v>
      </c>
      <c r="O64" s="8">
        <f>'MKT DATA'!S1422</f>
        <v>-85315</v>
      </c>
      <c r="P64" s="8">
        <f>'MKT DATA'!T1422</f>
        <v>0</v>
      </c>
      <c r="Q64" s="43" t="str">
        <f t="shared" si="3"/>
        <v>syn BTCZ6/BTCV6/BTCX6/BTCG7</v>
      </c>
      <c r="R64" s="13">
        <f>'MKT DATA'!AB1422</f>
        <v>0</v>
      </c>
    </row>
    <row r="65" spans="5:18" x14ac:dyDescent="0.25">
      <c r="E65" s="43" t="str">
        <f>'MKT DATA'!B1423</f>
        <v>syn BTCZ6/BTCV6/BTCF7/BTCG7</v>
      </c>
      <c r="F65" s="13">
        <f>'MKT DATA'!J1423</f>
        <v>1</v>
      </c>
      <c r="G65" s="8">
        <f>'MKT DATA'!K1423</f>
        <v>84808</v>
      </c>
      <c r="H65" s="8">
        <f>'MKT DATA'!L1423</f>
        <v>85258</v>
      </c>
      <c r="I65" s="13">
        <f>'MKT DATA'!M1423</f>
        <v>1</v>
      </c>
      <c r="J65" s="43" t="str">
        <f t="shared" si="2"/>
        <v>syn BTCZ6/BTCV6/BTCF7/BTCG7</v>
      </c>
      <c r="K65" s="8">
        <f>'MKT DATA'!O1423</f>
        <v>0</v>
      </c>
      <c r="L65" s="8">
        <f>'MKT DATA'!P1423</f>
        <v>84808</v>
      </c>
      <c r="M65" s="8">
        <f>'MKT DATA'!Q1423</f>
        <v>0</v>
      </c>
      <c r="N65" s="8">
        <f>'MKT DATA'!R1423</f>
        <v>0</v>
      </c>
      <c r="O65" s="8">
        <f>'MKT DATA'!S1423</f>
        <v>-85258</v>
      </c>
      <c r="P65" s="8">
        <f>'MKT DATA'!T1423</f>
        <v>0</v>
      </c>
      <c r="Q65" s="43" t="str">
        <f t="shared" si="3"/>
        <v>syn BTCZ6/BTCV6/BTCF7/BTCG7</v>
      </c>
      <c r="R65" s="13">
        <f>'MKT DATA'!AB1423</f>
        <v>0</v>
      </c>
    </row>
    <row r="66" spans="5:18" x14ac:dyDescent="0.25">
      <c r="E66" s="43" t="str">
        <f>'MKT DATA'!B1424</f>
        <v>syn BTCZ6/BTCV6/BTCH7/BTCG7</v>
      </c>
      <c r="F66" s="13">
        <f>'MKT DATA'!J1424</f>
        <v>1</v>
      </c>
      <c r="G66" s="8">
        <f>'MKT DATA'!K1424</f>
        <v>84403</v>
      </c>
      <c r="H66" s="8">
        <f>'MKT DATA'!L1424</f>
        <v>85654</v>
      </c>
      <c r="I66" s="13">
        <f>'MKT DATA'!M1424</f>
        <v>1</v>
      </c>
      <c r="J66" s="43" t="str">
        <f t="shared" si="2"/>
        <v>syn BTCZ6/BTCV6/BTCH7/BTCG7</v>
      </c>
      <c r="K66" s="8">
        <f>'MKT DATA'!O1424</f>
        <v>0</v>
      </c>
      <c r="L66" s="8">
        <f>'MKT DATA'!P1424</f>
        <v>84403</v>
      </c>
      <c r="M66" s="8">
        <f>'MKT DATA'!Q1424</f>
        <v>0</v>
      </c>
      <c r="N66" s="8">
        <f>'MKT DATA'!R1424</f>
        <v>0</v>
      </c>
      <c r="O66" s="8">
        <f>'MKT DATA'!S1424</f>
        <v>-85654</v>
      </c>
      <c r="P66" s="8">
        <f>'MKT DATA'!T1424</f>
        <v>0</v>
      </c>
      <c r="Q66" s="43" t="str">
        <f t="shared" si="3"/>
        <v>syn BTCZ6/BTCV6/BTCH7/BTCG7</v>
      </c>
      <c r="R66" s="13">
        <f>'MKT DATA'!AB1424</f>
        <v>0</v>
      </c>
    </row>
    <row r="67" spans="5:18" x14ac:dyDescent="0.25">
      <c r="E67" s="43" t="str">
        <f>'MKT DATA'!B1425</f>
        <v>syn BTCZ6/BTCX6/BTCV6/BTCG7</v>
      </c>
      <c r="F67" s="13">
        <f>'MKT DATA'!J1425</f>
        <v>1</v>
      </c>
      <c r="G67" s="8">
        <f>'MKT DATA'!K1425</f>
        <v>84813</v>
      </c>
      <c r="H67" s="8">
        <f>'MKT DATA'!L1425</f>
        <v>85299</v>
      </c>
      <c r="I67" s="13">
        <f>'MKT DATA'!M1425</f>
        <v>1</v>
      </c>
      <c r="J67" s="43" t="str">
        <f t="shared" si="2"/>
        <v>syn BTCZ6/BTCX6/BTCV6/BTCG7</v>
      </c>
      <c r="K67" s="8">
        <f>'MKT DATA'!O1425</f>
        <v>0</v>
      </c>
      <c r="L67" s="8">
        <f>'MKT DATA'!P1425</f>
        <v>84813</v>
      </c>
      <c r="M67" s="8">
        <f>'MKT DATA'!Q1425</f>
        <v>0</v>
      </c>
      <c r="N67" s="8">
        <f>'MKT DATA'!R1425</f>
        <v>0</v>
      </c>
      <c r="O67" s="8">
        <f>'MKT DATA'!S1425</f>
        <v>-85299</v>
      </c>
      <c r="P67" s="8">
        <f>'MKT DATA'!T1425</f>
        <v>0</v>
      </c>
      <c r="Q67" s="43" t="str">
        <f t="shared" si="3"/>
        <v>syn BTCZ6/BTCX6/BTCV6/BTCG7</v>
      </c>
      <c r="R67" s="13">
        <f>'MKT DATA'!AB1425</f>
        <v>0</v>
      </c>
    </row>
    <row r="68" spans="5:18" x14ac:dyDescent="0.25">
      <c r="E68" s="43" t="str">
        <f>'MKT DATA'!B1426</f>
        <v>syn BTCZ6/BTCX6/BTCF7/BTCG7</v>
      </c>
      <c r="F68" s="13">
        <f>'MKT DATA'!J1426</f>
        <v>1</v>
      </c>
      <c r="G68" s="8">
        <f>'MKT DATA'!K1426</f>
        <v>84839</v>
      </c>
      <c r="H68" s="8">
        <f>'MKT DATA'!L1426</f>
        <v>85230</v>
      </c>
      <c r="I68" s="13">
        <f>'MKT DATA'!M1426</f>
        <v>1</v>
      </c>
      <c r="J68" s="43" t="str">
        <f t="shared" si="2"/>
        <v>syn BTCZ6/BTCX6/BTCF7/BTCG7</v>
      </c>
      <c r="K68" s="8">
        <f>'MKT DATA'!O1426</f>
        <v>0</v>
      </c>
      <c r="L68" s="8">
        <f>'MKT DATA'!P1426</f>
        <v>84839</v>
      </c>
      <c r="M68" s="8">
        <f>'MKT DATA'!Q1426</f>
        <v>0</v>
      </c>
      <c r="N68" s="8">
        <f>'MKT DATA'!R1426</f>
        <v>0</v>
      </c>
      <c r="O68" s="8">
        <f>'MKT DATA'!S1426</f>
        <v>-85230</v>
      </c>
      <c r="P68" s="8">
        <f>'MKT DATA'!T1426</f>
        <v>0</v>
      </c>
      <c r="Q68" s="43" t="str">
        <f t="shared" si="3"/>
        <v>syn BTCZ6/BTCX6/BTCF7/BTCG7</v>
      </c>
      <c r="R68" s="13">
        <f>'MKT DATA'!AB1426</f>
        <v>0</v>
      </c>
    </row>
    <row r="69" spans="5:18" x14ac:dyDescent="0.25">
      <c r="E69" s="43" t="str">
        <f>'MKT DATA'!B1427</f>
        <v>syn BTCZ6/BTCX6/BTCH7/BTCG7</v>
      </c>
      <c r="F69" s="13">
        <f>'MKT DATA'!J1427</f>
        <v>1</v>
      </c>
      <c r="G69" s="8">
        <f>'MKT DATA'!K1427</f>
        <v>84394</v>
      </c>
      <c r="H69" s="8">
        <f>'MKT DATA'!L1427</f>
        <v>85656</v>
      </c>
      <c r="I69" s="13">
        <f>'MKT DATA'!M1427</f>
        <v>1</v>
      </c>
      <c r="J69" s="43" t="str">
        <f t="shared" si="2"/>
        <v>syn BTCZ6/BTCX6/BTCH7/BTCG7</v>
      </c>
      <c r="K69" s="8">
        <f>'MKT DATA'!O1427</f>
        <v>0</v>
      </c>
      <c r="L69" s="8">
        <f>'MKT DATA'!P1427</f>
        <v>84394</v>
      </c>
      <c r="M69" s="8">
        <f>'MKT DATA'!Q1427</f>
        <v>0</v>
      </c>
      <c r="N69" s="8">
        <f>'MKT DATA'!R1427</f>
        <v>0</v>
      </c>
      <c r="O69" s="8">
        <f>'MKT DATA'!S1427</f>
        <v>-85656</v>
      </c>
      <c r="P69" s="8">
        <f>'MKT DATA'!T1427</f>
        <v>0</v>
      </c>
      <c r="Q69" s="43" t="str">
        <f t="shared" si="3"/>
        <v>syn BTCZ6/BTCX6/BTCH7/BTCG7</v>
      </c>
      <c r="R69" s="13">
        <f>'MKT DATA'!AB1427</f>
        <v>0</v>
      </c>
    </row>
    <row r="70" spans="5:18" x14ac:dyDescent="0.25">
      <c r="E70" s="43" t="str">
        <f>'MKT DATA'!B1428</f>
        <v>syn BTCZ6/BTCF7/BTCV6/BTCG7</v>
      </c>
      <c r="F70" s="13">
        <f>'MKT DATA'!J1428</f>
        <v>1</v>
      </c>
      <c r="G70" s="8">
        <f>'MKT DATA'!K1428</f>
        <v>84748</v>
      </c>
      <c r="H70" s="8">
        <f>'MKT DATA'!L1428</f>
        <v>85398</v>
      </c>
      <c r="I70" s="13">
        <f>'MKT DATA'!M1428</f>
        <v>1</v>
      </c>
      <c r="J70" s="43" t="str">
        <f t="shared" si="2"/>
        <v>syn BTCZ6/BTCF7/BTCV6/BTCG7</v>
      </c>
      <c r="K70" s="8">
        <f>'MKT DATA'!O1428</f>
        <v>0</v>
      </c>
      <c r="L70" s="8">
        <f>'MKT DATA'!P1428</f>
        <v>84748</v>
      </c>
      <c r="M70" s="8">
        <f>'MKT DATA'!Q1428</f>
        <v>0</v>
      </c>
      <c r="N70" s="8">
        <f>'MKT DATA'!R1428</f>
        <v>0</v>
      </c>
      <c r="O70" s="8">
        <f>'MKT DATA'!S1428</f>
        <v>-85398</v>
      </c>
      <c r="P70" s="8">
        <f>'MKT DATA'!T1428</f>
        <v>0</v>
      </c>
      <c r="Q70" s="43" t="str">
        <f t="shared" si="3"/>
        <v>syn BTCZ6/BTCF7/BTCV6/BTCG7</v>
      </c>
      <c r="R70" s="13">
        <f>'MKT DATA'!AB1428</f>
        <v>0</v>
      </c>
    </row>
    <row r="71" spans="5:18" x14ac:dyDescent="0.25">
      <c r="E71" s="43" t="str">
        <f>'MKT DATA'!B1429</f>
        <v>syn BTCZ6/BTCF7/BTCX6/BTCG7</v>
      </c>
      <c r="F71" s="13">
        <f>'MKT DATA'!J1429</f>
        <v>1</v>
      </c>
      <c r="G71" s="8">
        <f>'MKT DATA'!K1429</f>
        <v>84753</v>
      </c>
      <c r="H71" s="8">
        <f>'MKT DATA'!L1429</f>
        <v>85383</v>
      </c>
      <c r="I71" s="13">
        <f>'MKT DATA'!M1429</f>
        <v>1</v>
      </c>
      <c r="J71" s="43" t="str">
        <f t="shared" si="2"/>
        <v>syn BTCZ6/BTCF7/BTCX6/BTCG7</v>
      </c>
      <c r="K71" s="8">
        <f>'MKT DATA'!O1429</f>
        <v>0</v>
      </c>
      <c r="L71" s="8">
        <f>'MKT DATA'!P1429</f>
        <v>84753</v>
      </c>
      <c r="M71" s="8">
        <f>'MKT DATA'!Q1429</f>
        <v>0</v>
      </c>
      <c r="N71" s="8">
        <f>'MKT DATA'!R1429</f>
        <v>0</v>
      </c>
      <c r="O71" s="8">
        <f>'MKT DATA'!S1429</f>
        <v>-85383</v>
      </c>
      <c r="P71" s="8">
        <f>'MKT DATA'!T1429</f>
        <v>0</v>
      </c>
      <c r="Q71" s="43" t="str">
        <f t="shared" si="3"/>
        <v>syn BTCZ6/BTCF7/BTCX6/BTCG7</v>
      </c>
      <c r="R71" s="13">
        <f>'MKT DATA'!AB1429</f>
        <v>0</v>
      </c>
    </row>
    <row r="72" spans="5:18" x14ac:dyDescent="0.25">
      <c r="E72" s="43" t="str">
        <f>'MKT DATA'!B1430</f>
        <v>syn BTCZ6/BTCF7/BTCH7/BTCG7</v>
      </c>
      <c r="F72" s="13">
        <f>'MKT DATA'!J1430</f>
        <v>1</v>
      </c>
      <c r="G72" s="8">
        <f>'MKT DATA'!K1430</f>
        <v>84327</v>
      </c>
      <c r="H72" s="8">
        <f>'MKT DATA'!L1430</f>
        <v>85734</v>
      </c>
      <c r="I72" s="13">
        <f>'MKT DATA'!M1430</f>
        <v>1</v>
      </c>
      <c r="J72" s="43" t="str">
        <f t="shared" si="2"/>
        <v>syn BTCZ6/BTCF7/BTCH7/BTCG7</v>
      </c>
      <c r="K72" s="8">
        <f>'MKT DATA'!O1430</f>
        <v>0</v>
      </c>
      <c r="L72" s="8">
        <f>'MKT DATA'!P1430</f>
        <v>84327</v>
      </c>
      <c r="M72" s="8">
        <f>'MKT DATA'!Q1430</f>
        <v>0</v>
      </c>
      <c r="N72" s="8">
        <f>'MKT DATA'!R1430</f>
        <v>0</v>
      </c>
      <c r="O72" s="8">
        <f>'MKT DATA'!S1430</f>
        <v>-85734</v>
      </c>
      <c r="P72" s="8">
        <f>'MKT DATA'!T1430</f>
        <v>0</v>
      </c>
      <c r="Q72" s="43" t="str">
        <f t="shared" si="3"/>
        <v>syn BTCZ6/BTCF7/BTCH7/BTCG7</v>
      </c>
      <c r="R72" s="13">
        <f>'MKT DATA'!AB1430</f>
        <v>0</v>
      </c>
    </row>
    <row r="73" spans="5:18" x14ac:dyDescent="0.25">
      <c r="E73" s="43" t="str">
        <f>'MKT DATA'!B1431</f>
        <v>syn BTCZ6/BTCH7/BTCV6/BTCG7</v>
      </c>
      <c r="F73" s="13">
        <f>'MKT DATA'!J1431</f>
        <v>1</v>
      </c>
      <c r="G73" s="8">
        <f>'MKT DATA'!K1431</f>
        <v>84235</v>
      </c>
      <c r="H73" s="8">
        <f>'MKT DATA'!L1431</f>
        <v>86065</v>
      </c>
      <c r="I73" s="13">
        <f>'MKT DATA'!M1431</f>
        <v>1</v>
      </c>
      <c r="J73" s="43" t="str">
        <f t="shared" si="2"/>
        <v>syn BTCZ6/BTCH7/BTCV6/BTCG7</v>
      </c>
      <c r="K73" s="8">
        <f>'MKT DATA'!O1431</f>
        <v>0</v>
      </c>
      <c r="L73" s="8">
        <f>'MKT DATA'!P1431</f>
        <v>84235</v>
      </c>
      <c r="M73" s="8">
        <f>'MKT DATA'!Q1431</f>
        <v>0</v>
      </c>
      <c r="N73" s="8">
        <f>'MKT DATA'!R1431</f>
        <v>0</v>
      </c>
      <c r="O73" s="8">
        <f>'MKT DATA'!S1431</f>
        <v>-86065</v>
      </c>
      <c r="P73" s="8">
        <f>'MKT DATA'!T1431</f>
        <v>0</v>
      </c>
      <c r="Q73" s="43" t="str">
        <f t="shared" si="3"/>
        <v>syn BTCZ6/BTCH7/BTCV6/BTCG7</v>
      </c>
      <c r="R73" s="13">
        <f>'MKT DATA'!AB1431</f>
        <v>0</v>
      </c>
    </row>
    <row r="74" spans="5:18" x14ac:dyDescent="0.25">
      <c r="E74" s="43" t="str">
        <f>'MKT DATA'!B1432</f>
        <v>syn BTCZ6/BTCH7/BTCX6/BTCG7</v>
      </c>
      <c r="F74" s="13">
        <f>'MKT DATA'!J1432</f>
        <v>1</v>
      </c>
      <c r="G74" s="8">
        <f>'MKT DATA'!K1432</f>
        <v>84210</v>
      </c>
      <c r="H74" s="8">
        <f>'MKT DATA'!L1432</f>
        <v>86090</v>
      </c>
      <c r="I74" s="13">
        <f>'MKT DATA'!M1432</f>
        <v>1</v>
      </c>
      <c r="J74" s="43" t="str">
        <f t="shared" ref="J74:J137" si="4">E74</f>
        <v>syn BTCZ6/BTCH7/BTCX6/BTCG7</v>
      </c>
      <c r="K74" s="8">
        <f>'MKT DATA'!O1432</f>
        <v>0</v>
      </c>
      <c r="L74" s="8">
        <f>'MKT DATA'!P1432</f>
        <v>84210</v>
      </c>
      <c r="M74" s="8">
        <f>'MKT DATA'!Q1432</f>
        <v>0</v>
      </c>
      <c r="N74" s="8">
        <f>'MKT DATA'!R1432</f>
        <v>0</v>
      </c>
      <c r="O74" s="8">
        <f>'MKT DATA'!S1432</f>
        <v>-86090</v>
      </c>
      <c r="P74" s="8">
        <f>'MKT DATA'!T1432</f>
        <v>0</v>
      </c>
      <c r="Q74" s="43" t="str">
        <f t="shared" ref="Q74:Q137" si="5">J74</f>
        <v>syn BTCZ6/BTCH7/BTCX6/BTCG7</v>
      </c>
      <c r="R74" s="13">
        <f>'MKT DATA'!AB1432</f>
        <v>0</v>
      </c>
    </row>
    <row r="75" spans="5:18" x14ac:dyDescent="0.25">
      <c r="E75" s="43" t="str">
        <f>'MKT DATA'!B1433</f>
        <v>syn BTCZ6/BTCH7/BTCF7/BTCG7</v>
      </c>
      <c r="F75" s="13">
        <f>'MKT DATA'!J1433</f>
        <v>1</v>
      </c>
      <c r="G75" s="8">
        <f>'MKT DATA'!K1433</f>
        <v>84249</v>
      </c>
      <c r="H75" s="8">
        <f>'MKT DATA'!L1433</f>
        <v>86035</v>
      </c>
      <c r="I75" s="13">
        <f>'MKT DATA'!M1433</f>
        <v>1</v>
      </c>
      <c r="J75" s="43" t="str">
        <f t="shared" si="4"/>
        <v>syn BTCZ6/BTCH7/BTCF7/BTCG7</v>
      </c>
      <c r="K75" s="8">
        <f>'MKT DATA'!O1433</f>
        <v>0</v>
      </c>
      <c r="L75" s="8">
        <f>'MKT DATA'!P1433</f>
        <v>84249</v>
      </c>
      <c r="M75" s="8">
        <f>'MKT DATA'!Q1433</f>
        <v>0</v>
      </c>
      <c r="N75" s="8">
        <f>'MKT DATA'!R1433</f>
        <v>0</v>
      </c>
      <c r="O75" s="8">
        <f>'MKT DATA'!S1433</f>
        <v>-86035</v>
      </c>
      <c r="P75" s="8">
        <f>'MKT DATA'!T1433</f>
        <v>0</v>
      </c>
      <c r="Q75" s="43" t="str">
        <f t="shared" si="5"/>
        <v>syn BTCZ6/BTCH7/BTCF7/BTCG7</v>
      </c>
      <c r="R75" s="13">
        <f>'MKT DATA'!AB1433</f>
        <v>0</v>
      </c>
    </row>
    <row r="76" spans="5:18" x14ac:dyDescent="0.25">
      <c r="E76" s="43" t="str">
        <f>'MKT DATA'!B1434</f>
        <v>syn BTCF7/BTCV6/BTCX6/BTCG7</v>
      </c>
      <c r="F76" s="13">
        <f>'MKT DATA'!J1434</f>
        <v>1</v>
      </c>
      <c r="G76" s="8">
        <f>'MKT DATA'!K1434</f>
        <v>84708</v>
      </c>
      <c r="H76" s="8">
        <f>'MKT DATA'!L1434</f>
        <v>85435</v>
      </c>
      <c r="I76" s="13">
        <f>'MKT DATA'!M1434</f>
        <v>1</v>
      </c>
      <c r="J76" s="43" t="str">
        <f t="shared" si="4"/>
        <v>syn BTCF7/BTCV6/BTCX6/BTCG7</v>
      </c>
      <c r="K76" s="8">
        <f>'MKT DATA'!O1434</f>
        <v>0</v>
      </c>
      <c r="L76" s="8">
        <f>'MKT DATA'!P1434</f>
        <v>84708</v>
      </c>
      <c r="M76" s="8">
        <f>'MKT DATA'!Q1434</f>
        <v>0</v>
      </c>
      <c r="N76" s="8">
        <f>'MKT DATA'!R1434</f>
        <v>0</v>
      </c>
      <c r="O76" s="8">
        <f>'MKT DATA'!S1434</f>
        <v>-85435</v>
      </c>
      <c r="P76" s="8">
        <f>'MKT DATA'!T1434</f>
        <v>0</v>
      </c>
      <c r="Q76" s="43" t="str">
        <f t="shared" si="5"/>
        <v>syn BTCF7/BTCV6/BTCX6/BTCG7</v>
      </c>
      <c r="R76" s="13">
        <f>'MKT DATA'!AB1434</f>
        <v>0</v>
      </c>
    </row>
    <row r="77" spans="5:18" x14ac:dyDescent="0.25">
      <c r="E77" s="43" t="str">
        <f>'MKT DATA'!B1435</f>
        <v>syn BTCF7/BTCV6/BTCZ6/BTCG7</v>
      </c>
      <c r="F77" s="13">
        <f>'MKT DATA'!J1435</f>
        <v>1</v>
      </c>
      <c r="G77" s="8">
        <f>'MKT DATA'!K1435</f>
        <v>84677</v>
      </c>
      <c r="H77" s="8">
        <f>'MKT DATA'!L1435</f>
        <v>85481</v>
      </c>
      <c r="I77" s="13">
        <f>'MKT DATA'!M1435</f>
        <v>1</v>
      </c>
      <c r="J77" s="43" t="str">
        <f t="shared" si="4"/>
        <v>syn BTCF7/BTCV6/BTCZ6/BTCG7</v>
      </c>
      <c r="K77" s="8">
        <f>'MKT DATA'!O1435</f>
        <v>0</v>
      </c>
      <c r="L77" s="8">
        <f>'MKT DATA'!P1435</f>
        <v>84677</v>
      </c>
      <c r="M77" s="8">
        <f>'MKT DATA'!Q1435</f>
        <v>0</v>
      </c>
      <c r="N77" s="8">
        <f>'MKT DATA'!R1435</f>
        <v>0</v>
      </c>
      <c r="O77" s="8">
        <f>'MKT DATA'!S1435</f>
        <v>-85481</v>
      </c>
      <c r="P77" s="8">
        <f>'MKT DATA'!T1435</f>
        <v>0</v>
      </c>
      <c r="Q77" s="43" t="str">
        <f t="shared" si="5"/>
        <v>syn BTCF7/BTCV6/BTCZ6/BTCG7</v>
      </c>
      <c r="R77" s="13">
        <f>'MKT DATA'!AB1435</f>
        <v>0</v>
      </c>
    </row>
    <row r="78" spans="5:18" x14ac:dyDescent="0.25">
      <c r="E78" s="43" t="str">
        <f>'MKT DATA'!B1436</f>
        <v>syn BTCF7/BTCV6/BTCH7/BTCG7</v>
      </c>
      <c r="F78" s="13">
        <f>'MKT DATA'!J1436</f>
        <v>1</v>
      </c>
      <c r="G78" s="8">
        <f>'MKT DATA'!K1436</f>
        <v>84321</v>
      </c>
      <c r="H78" s="8">
        <f>'MKT DATA'!L1436</f>
        <v>85774</v>
      </c>
      <c r="I78" s="13">
        <f>'MKT DATA'!M1436</f>
        <v>1</v>
      </c>
      <c r="J78" s="43" t="str">
        <f t="shared" si="4"/>
        <v>syn BTCF7/BTCV6/BTCH7/BTCG7</v>
      </c>
      <c r="K78" s="8">
        <f>'MKT DATA'!O1436</f>
        <v>0</v>
      </c>
      <c r="L78" s="8">
        <f>'MKT DATA'!P1436</f>
        <v>84321</v>
      </c>
      <c r="M78" s="8">
        <f>'MKT DATA'!Q1436</f>
        <v>0</v>
      </c>
      <c r="N78" s="8">
        <f>'MKT DATA'!R1436</f>
        <v>0</v>
      </c>
      <c r="O78" s="8">
        <f>'MKT DATA'!S1436</f>
        <v>-85774</v>
      </c>
      <c r="P78" s="8">
        <f>'MKT DATA'!T1436</f>
        <v>0</v>
      </c>
      <c r="Q78" s="43" t="str">
        <f t="shared" si="5"/>
        <v>syn BTCF7/BTCV6/BTCH7/BTCG7</v>
      </c>
      <c r="R78" s="13">
        <f>'MKT DATA'!AB1436</f>
        <v>0</v>
      </c>
    </row>
    <row r="79" spans="5:18" x14ac:dyDescent="0.25">
      <c r="E79" s="43" t="str">
        <f>'MKT DATA'!B1437</f>
        <v>syn BTCF7/BTCX6/BTCV6/BTCG7</v>
      </c>
      <c r="F79" s="13">
        <f>'MKT DATA'!J1437</f>
        <v>1</v>
      </c>
      <c r="G79" s="8">
        <f>'MKT DATA'!K1437</f>
        <v>84745</v>
      </c>
      <c r="H79" s="8">
        <f>'MKT DATA'!L1437</f>
        <v>85402</v>
      </c>
      <c r="I79" s="13">
        <f>'MKT DATA'!M1437</f>
        <v>1</v>
      </c>
      <c r="J79" s="43" t="str">
        <f t="shared" si="4"/>
        <v>syn BTCF7/BTCX6/BTCV6/BTCG7</v>
      </c>
      <c r="K79" s="8">
        <f>'MKT DATA'!O1437</f>
        <v>0</v>
      </c>
      <c r="L79" s="8">
        <f>'MKT DATA'!P1437</f>
        <v>84745</v>
      </c>
      <c r="M79" s="8">
        <f>'MKT DATA'!Q1437</f>
        <v>0</v>
      </c>
      <c r="N79" s="8">
        <f>'MKT DATA'!R1437</f>
        <v>0</v>
      </c>
      <c r="O79" s="8">
        <f>'MKT DATA'!S1437</f>
        <v>-85402</v>
      </c>
      <c r="P79" s="8">
        <f>'MKT DATA'!T1437</f>
        <v>0</v>
      </c>
      <c r="Q79" s="43" t="str">
        <f t="shared" si="5"/>
        <v>syn BTCF7/BTCX6/BTCV6/BTCG7</v>
      </c>
      <c r="R79" s="13">
        <f>'MKT DATA'!AB1437</f>
        <v>0</v>
      </c>
    </row>
    <row r="80" spans="5:18" x14ac:dyDescent="0.25">
      <c r="E80" s="43" t="str">
        <f>'MKT DATA'!B1438</f>
        <v>syn BTCF7/BTCX6/BTCZ6/BTCG7</v>
      </c>
      <c r="F80" s="13">
        <f>'MKT DATA'!J1438</f>
        <v>1</v>
      </c>
      <c r="G80" s="8">
        <f>'MKT DATA'!K1438</f>
        <v>84705</v>
      </c>
      <c r="H80" s="8">
        <f>'MKT DATA'!L1438</f>
        <v>85450</v>
      </c>
      <c r="I80" s="13">
        <f>'MKT DATA'!M1438</f>
        <v>1</v>
      </c>
      <c r="J80" s="43" t="str">
        <f t="shared" si="4"/>
        <v>syn BTCF7/BTCX6/BTCZ6/BTCG7</v>
      </c>
      <c r="K80" s="8">
        <f>'MKT DATA'!O1438</f>
        <v>0</v>
      </c>
      <c r="L80" s="8">
        <f>'MKT DATA'!P1438</f>
        <v>84705</v>
      </c>
      <c r="M80" s="8">
        <f>'MKT DATA'!Q1438</f>
        <v>0</v>
      </c>
      <c r="N80" s="8">
        <f>'MKT DATA'!R1438</f>
        <v>0</v>
      </c>
      <c r="O80" s="8">
        <f>'MKT DATA'!S1438</f>
        <v>-85450</v>
      </c>
      <c r="P80" s="8">
        <f>'MKT DATA'!T1438</f>
        <v>0</v>
      </c>
      <c r="Q80" s="43" t="str">
        <f t="shared" si="5"/>
        <v>syn BTCF7/BTCX6/BTCZ6/BTCG7</v>
      </c>
      <c r="R80" s="13">
        <f>'MKT DATA'!AB1438</f>
        <v>0</v>
      </c>
    </row>
    <row r="81" spans="5:18" x14ac:dyDescent="0.25">
      <c r="E81" s="43" t="str">
        <f>'MKT DATA'!B1439</f>
        <v>syn BTCF7/BTCX6/BTCH7/BTCG7</v>
      </c>
      <c r="F81" s="13">
        <f>'MKT DATA'!J1439</f>
        <v>1</v>
      </c>
      <c r="G81" s="8">
        <f>'MKT DATA'!K1439</f>
        <v>84326</v>
      </c>
      <c r="H81" s="8">
        <f>'MKT DATA'!L1439</f>
        <v>85759</v>
      </c>
      <c r="I81" s="13">
        <f>'MKT DATA'!M1439</f>
        <v>1</v>
      </c>
      <c r="J81" s="43" t="str">
        <f t="shared" si="4"/>
        <v>syn BTCF7/BTCX6/BTCH7/BTCG7</v>
      </c>
      <c r="K81" s="8">
        <f>'MKT DATA'!O1439</f>
        <v>0</v>
      </c>
      <c r="L81" s="8">
        <f>'MKT DATA'!P1439</f>
        <v>84326</v>
      </c>
      <c r="M81" s="8">
        <f>'MKT DATA'!Q1439</f>
        <v>0</v>
      </c>
      <c r="N81" s="8">
        <f>'MKT DATA'!R1439</f>
        <v>0</v>
      </c>
      <c r="O81" s="8">
        <f>'MKT DATA'!S1439</f>
        <v>-85759</v>
      </c>
      <c r="P81" s="8">
        <f>'MKT DATA'!T1439</f>
        <v>0</v>
      </c>
      <c r="Q81" s="43" t="str">
        <f t="shared" si="5"/>
        <v>syn BTCF7/BTCX6/BTCH7/BTCG7</v>
      </c>
      <c r="R81" s="13">
        <f>'MKT DATA'!AB1439</f>
        <v>0</v>
      </c>
    </row>
    <row r="82" spans="5:18" x14ac:dyDescent="0.25">
      <c r="E82" s="43" t="str">
        <f>'MKT DATA'!B1440</f>
        <v>syn BTCF7/BTCZ6/BTCV6/BTCG7</v>
      </c>
      <c r="F82" s="13">
        <f>'MKT DATA'!J1440</f>
        <v>1</v>
      </c>
      <c r="G82" s="8">
        <f>'MKT DATA'!K1440</f>
        <v>84749</v>
      </c>
      <c r="H82" s="8">
        <f>'MKT DATA'!L1440</f>
        <v>85367</v>
      </c>
      <c r="I82" s="13">
        <f>'MKT DATA'!M1440</f>
        <v>1</v>
      </c>
      <c r="J82" s="43" t="str">
        <f t="shared" si="4"/>
        <v>syn BTCF7/BTCZ6/BTCV6/BTCG7</v>
      </c>
      <c r="K82" s="8">
        <f>'MKT DATA'!O1440</f>
        <v>0</v>
      </c>
      <c r="L82" s="8">
        <f>'MKT DATA'!P1440</f>
        <v>84749</v>
      </c>
      <c r="M82" s="8">
        <f>'MKT DATA'!Q1440</f>
        <v>0</v>
      </c>
      <c r="N82" s="8">
        <f>'MKT DATA'!R1440</f>
        <v>0</v>
      </c>
      <c r="O82" s="8">
        <f>'MKT DATA'!S1440</f>
        <v>-85367</v>
      </c>
      <c r="P82" s="8">
        <f>'MKT DATA'!T1440</f>
        <v>0</v>
      </c>
      <c r="Q82" s="43" t="str">
        <f t="shared" si="5"/>
        <v>syn BTCF7/BTCZ6/BTCV6/BTCG7</v>
      </c>
      <c r="R82" s="13">
        <f>'MKT DATA'!AB1440</f>
        <v>0</v>
      </c>
    </row>
    <row r="83" spans="5:18" x14ac:dyDescent="0.25">
      <c r="E83" s="43" t="str">
        <f>'MKT DATA'!B1441</f>
        <v>syn BTCF7/BTCZ6/BTCX6/BTCG7</v>
      </c>
      <c r="F83" s="13">
        <f>'MKT DATA'!J1441</f>
        <v>1</v>
      </c>
      <c r="G83" s="8">
        <f>'MKT DATA'!K1441</f>
        <v>84740</v>
      </c>
      <c r="H83" s="8">
        <f>'MKT DATA'!L1441</f>
        <v>85369</v>
      </c>
      <c r="I83" s="13">
        <f>'MKT DATA'!M1441</f>
        <v>1</v>
      </c>
      <c r="J83" s="43" t="str">
        <f t="shared" si="4"/>
        <v>syn BTCF7/BTCZ6/BTCX6/BTCG7</v>
      </c>
      <c r="K83" s="8">
        <f>'MKT DATA'!O1441</f>
        <v>0</v>
      </c>
      <c r="L83" s="8">
        <f>'MKT DATA'!P1441</f>
        <v>84740</v>
      </c>
      <c r="M83" s="8">
        <f>'MKT DATA'!Q1441</f>
        <v>0</v>
      </c>
      <c r="N83" s="8">
        <f>'MKT DATA'!R1441</f>
        <v>0</v>
      </c>
      <c r="O83" s="8">
        <f>'MKT DATA'!S1441</f>
        <v>-85369</v>
      </c>
      <c r="P83" s="8">
        <f>'MKT DATA'!T1441</f>
        <v>0</v>
      </c>
      <c r="Q83" s="43" t="str">
        <f t="shared" si="5"/>
        <v>syn BTCF7/BTCZ6/BTCX6/BTCG7</v>
      </c>
      <c r="R83" s="13">
        <f>'MKT DATA'!AB1441</f>
        <v>0</v>
      </c>
    </row>
    <row r="84" spans="5:18" x14ac:dyDescent="0.25">
      <c r="E84" s="43" t="str">
        <f>'MKT DATA'!B1442</f>
        <v>syn BTCF7/BTCZ6/BTCH7/BTCG7</v>
      </c>
      <c r="F84" s="13">
        <f>'MKT DATA'!J1442</f>
        <v>1</v>
      </c>
      <c r="G84" s="8">
        <f>'MKT DATA'!K1442</f>
        <v>84541</v>
      </c>
      <c r="H84" s="8">
        <f>'MKT DATA'!L1442</f>
        <v>85708</v>
      </c>
      <c r="I84" s="13">
        <f>'MKT DATA'!M1442</f>
        <v>1</v>
      </c>
      <c r="J84" s="43" t="str">
        <f t="shared" si="4"/>
        <v>syn BTCF7/BTCZ6/BTCH7/BTCG7</v>
      </c>
      <c r="K84" s="8">
        <f>'MKT DATA'!O1442</f>
        <v>0</v>
      </c>
      <c r="L84" s="8">
        <f>'MKT DATA'!P1442</f>
        <v>84541</v>
      </c>
      <c r="M84" s="8">
        <f>'MKT DATA'!Q1442</f>
        <v>0</v>
      </c>
      <c r="N84" s="8">
        <f>'MKT DATA'!R1442</f>
        <v>0</v>
      </c>
      <c r="O84" s="8">
        <f>'MKT DATA'!S1442</f>
        <v>-85708</v>
      </c>
      <c r="P84" s="8">
        <f>'MKT DATA'!T1442</f>
        <v>0</v>
      </c>
      <c r="Q84" s="43" t="str">
        <f t="shared" si="5"/>
        <v>syn BTCF7/BTCZ6/BTCH7/BTCG7</v>
      </c>
      <c r="R84" s="13">
        <f>'MKT DATA'!AB1442</f>
        <v>0</v>
      </c>
    </row>
    <row r="85" spans="5:18" x14ac:dyDescent="0.25">
      <c r="E85" s="43" t="str">
        <f>'MKT DATA'!B1443</f>
        <v>syn BTCF7/BTCH7/BTCV6/BTCG7</v>
      </c>
      <c r="F85" s="13">
        <f>'MKT DATA'!J1443</f>
        <v>1</v>
      </c>
      <c r="G85" s="8">
        <f>'MKT DATA'!K1443</f>
        <v>83940</v>
      </c>
      <c r="H85" s="8">
        <f>'MKT DATA'!L1443</f>
        <v>86180</v>
      </c>
      <c r="I85" s="13">
        <f>'MKT DATA'!M1443</f>
        <v>1</v>
      </c>
      <c r="J85" s="43" t="str">
        <f t="shared" si="4"/>
        <v>syn BTCF7/BTCH7/BTCV6/BTCG7</v>
      </c>
      <c r="K85" s="8">
        <f>'MKT DATA'!O1443</f>
        <v>0</v>
      </c>
      <c r="L85" s="8">
        <f>'MKT DATA'!P1443</f>
        <v>83940</v>
      </c>
      <c r="M85" s="8">
        <f>'MKT DATA'!Q1443</f>
        <v>0</v>
      </c>
      <c r="N85" s="8">
        <f>'MKT DATA'!R1443</f>
        <v>0</v>
      </c>
      <c r="O85" s="8">
        <f>'MKT DATA'!S1443</f>
        <v>-86180</v>
      </c>
      <c r="P85" s="8">
        <f>'MKT DATA'!T1443</f>
        <v>0</v>
      </c>
      <c r="Q85" s="43" t="str">
        <f t="shared" si="5"/>
        <v>syn BTCF7/BTCH7/BTCV6/BTCG7</v>
      </c>
      <c r="R85" s="13">
        <f>'MKT DATA'!AB1443</f>
        <v>0</v>
      </c>
    </row>
    <row r="86" spans="5:18" x14ac:dyDescent="0.25">
      <c r="E86" s="43" t="str">
        <f>'MKT DATA'!B1444</f>
        <v>syn BTCF7/BTCH7/BTCX6/BTCG7</v>
      </c>
      <c r="F86" s="13">
        <f>'MKT DATA'!J1444</f>
        <v>1</v>
      </c>
      <c r="G86" s="8">
        <f>'MKT DATA'!K1444</f>
        <v>83915</v>
      </c>
      <c r="H86" s="8">
        <f>'MKT DATA'!L1444</f>
        <v>86205</v>
      </c>
      <c r="I86" s="13">
        <f>'MKT DATA'!M1444</f>
        <v>1</v>
      </c>
      <c r="J86" s="43" t="str">
        <f t="shared" si="4"/>
        <v>syn BTCF7/BTCH7/BTCX6/BTCG7</v>
      </c>
      <c r="K86" s="8">
        <f>'MKT DATA'!O1444</f>
        <v>0</v>
      </c>
      <c r="L86" s="8">
        <f>'MKT DATA'!P1444</f>
        <v>83915</v>
      </c>
      <c r="M86" s="8">
        <f>'MKT DATA'!Q1444</f>
        <v>0</v>
      </c>
      <c r="N86" s="8">
        <f>'MKT DATA'!R1444</f>
        <v>0</v>
      </c>
      <c r="O86" s="8">
        <f>'MKT DATA'!S1444</f>
        <v>-86205</v>
      </c>
      <c r="P86" s="8">
        <f>'MKT DATA'!T1444</f>
        <v>0</v>
      </c>
      <c r="Q86" s="43" t="str">
        <f t="shared" si="5"/>
        <v>syn BTCF7/BTCH7/BTCX6/BTCG7</v>
      </c>
      <c r="R86" s="13">
        <f>'MKT DATA'!AB1444</f>
        <v>0</v>
      </c>
    </row>
    <row r="87" spans="5:18" x14ac:dyDescent="0.25">
      <c r="E87" s="43" t="str">
        <f>'MKT DATA'!B1445</f>
        <v>syn BTCF7/BTCH7/BTCZ6/BTCG7</v>
      </c>
      <c r="F87" s="13">
        <f>'MKT DATA'!J1445</f>
        <v>1</v>
      </c>
      <c r="G87" s="8">
        <f>'MKT DATA'!K1445</f>
        <v>83900</v>
      </c>
      <c r="H87" s="8">
        <f>'MKT DATA'!L1445</f>
        <v>86040</v>
      </c>
      <c r="I87" s="13">
        <f>'MKT DATA'!M1445</f>
        <v>1</v>
      </c>
      <c r="J87" s="43" t="str">
        <f t="shared" si="4"/>
        <v>syn BTCF7/BTCH7/BTCZ6/BTCG7</v>
      </c>
      <c r="K87" s="8">
        <f>'MKT DATA'!O1445</f>
        <v>0</v>
      </c>
      <c r="L87" s="8">
        <f>'MKT DATA'!P1445</f>
        <v>83900</v>
      </c>
      <c r="M87" s="8">
        <f>'MKT DATA'!Q1445</f>
        <v>0</v>
      </c>
      <c r="N87" s="8">
        <f>'MKT DATA'!R1445</f>
        <v>0</v>
      </c>
      <c r="O87" s="8">
        <f>'MKT DATA'!S1445</f>
        <v>-86040</v>
      </c>
      <c r="P87" s="8">
        <f>'MKT DATA'!T1445</f>
        <v>0</v>
      </c>
      <c r="Q87" s="43" t="str">
        <f t="shared" si="5"/>
        <v>syn BTCF7/BTCH7/BTCZ6/BTCG7</v>
      </c>
      <c r="R87" s="13">
        <f>'MKT DATA'!AB1445</f>
        <v>0</v>
      </c>
    </row>
    <row r="88" spans="5:18" x14ac:dyDescent="0.25">
      <c r="E88" s="43" t="str">
        <f>'MKT DATA'!B1446</f>
        <v>syn BTCH7/BTCV6/BTCX6/BTCG7</v>
      </c>
      <c r="F88" s="13">
        <f>'MKT DATA'!J1446</f>
        <v>1</v>
      </c>
      <c r="G88" s="8">
        <f>'MKT DATA'!K1446</f>
        <v>84107</v>
      </c>
      <c r="H88" s="8">
        <f>'MKT DATA'!L1446</f>
        <v>86006</v>
      </c>
      <c r="I88" s="13">
        <f>'MKT DATA'!M1446</f>
        <v>1</v>
      </c>
      <c r="J88" s="43" t="str">
        <f t="shared" si="4"/>
        <v>syn BTCH7/BTCV6/BTCX6/BTCG7</v>
      </c>
      <c r="K88" s="8">
        <f>'MKT DATA'!O1446</f>
        <v>0</v>
      </c>
      <c r="L88" s="8">
        <f>'MKT DATA'!P1446</f>
        <v>84107</v>
      </c>
      <c r="M88" s="8">
        <f>'MKT DATA'!Q1446</f>
        <v>0</v>
      </c>
      <c r="N88" s="8">
        <f>'MKT DATA'!R1446</f>
        <v>0</v>
      </c>
      <c r="O88" s="8">
        <f>'MKT DATA'!S1446</f>
        <v>-86006</v>
      </c>
      <c r="P88" s="8">
        <f>'MKT DATA'!T1446</f>
        <v>0</v>
      </c>
      <c r="Q88" s="43" t="str">
        <f t="shared" si="5"/>
        <v>syn BTCH7/BTCV6/BTCX6/BTCG7</v>
      </c>
      <c r="R88" s="13">
        <f>'MKT DATA'!AB1446</f>
        <v>0</v>
      </c>
    </row>
    <row r="89" spans="5:18" x14ac:dyDescent="0.25">
      <c r="E89" s="43" t="str">
        <f>'MKT DATA'!B1447</f>
        <v>syn BTCH7/BTCV6/BTCZ6/BTCG7</v>
      </c>
      <c r="F89" s="13">
        <f>'MKT DATA'!J1447</f>
        <v>1</v>
      </c>
      <c r="G89" s="8">
        <f>'MKT DATA'!K1447</f>
        <v>84076</v>
      </c>
      <c r="H89" s="8">
        <f>'MKT DATA'!L1447</f>
        <v>86052</v>
      </c>
      <c r="I89" s="13">
        <f>'MKT DATA'!M1447</f>
        <v>1</v>
      </c>
      <c r="J89" s="43" t="str">
        <f t="shared" si="4"/>
        <v>syn BTCH7/BTCV6/BTCZ6/BTCG7</v>
      </c>
      <c r="K89" s="8">
        <f>'MKT DATA'!O1447</f>
        <v>0</v>
      </c>
      <c r="L89" s="8">
        <f>'MKT DATA'!P1447</f>
        <v>84076</v>
      </c>
      <c r="M89" s="8">
        <f>'MKT DATA'!Q1447</f>
        <v>0</v>
      </c>
      <c r="N89" s="8">
        <f>'MKT DATA'!R1447</f>
        <v>0</v>
      </c>
      <c r="O89" s="8">
        <f>'MKT DATA'!S1447</f>
        <v>-86052</v>
      </c>
      <c r="P89" s="8">
        <f>'MKT DATA'!T1447</f>
        <v>0</v>
      </c>
      <c r="Q89" s="43" t="str">
        <f t="shared" si="5"/>
        <v>syn BTCH7/BTCV6/BTCZ6/BTCG7</v>
      </c>
      <c r="R89" s="13">
        <f>'MKT DATA'!AB1447</f>
        <v>0</v>
      </c>
    </row>
    <row r="90" spans="5:18" x14ac:dyDescent="0.25">
      <c r="E90" s="43" t="str">
        <f>'MKT DATA'!B1448</f>
        <v>syn BTCH7/BTCV6/BTCF7/BTCG7</v>
      </c>
      <c r="F90" s="13">
        <f>'MKT DATA'!J1448</f>
        <v>1</v>
      </c>
      <c r="G90" s="8">
        <f>'MKT DATA'!K1448</f>
        <v>84125</v>
      </c>
      <c r="H90" s="8">
        <f>'MKT DATA'!L1448</f>
        <v>85949</v>
      </c>
      <c r="I90" s="13">
        <f>'MKT DATA'!M1448</f>
        <v>1</v>
      </c>
      <c r="J90" s="43" t="str">
        <f t="shared" si="4"/>
        <v>syn BTCH7/BTCV6/BTCF7/BTCG7</v>
      </c>
      <c r="K90" s="8">
        <f>'MKT DATA'!O1448</f>
        <v>0</v>
      </c>
      <c r="L90" s="8">
        <f>'MKT DATA'!P1448</f>
        <v>84125</v>
      </c>
      <c r="M90" s="8">
        <f>'MKT DATA'!Q1448</f>
        <v>0</v>
      </c>
      <c r="N90" s="8">
        <f>'MKT DATA'!R1448</f>
        <v>0</v>
      </c>
      <c r="O90" s="8">
        <f>'MKT DATA'!S1448</f>
        <v>-85949</v>
      </c>
      <c r="P90" s="8">
        <f>'MKT DATA'!T1448</f>
        <v>0</v>
      </c>
      <c r="Q90" s="43" t="str">
        <f t="shared" si="5"/>
        <v>syn BTCH7/BTCV6/BTCF7/BTCG7</v>
      </c>
      <c r="R90" s="13">
        <f>'MKT DATA'!AB1448</f>
        <v>0</v>
      </c>
    </row>
    <row r="91" spans="5:18" x14ac:dyDescent="0.25">
      <c r="E91" s="43" t="str">
        <f>'MKT DATA'!B1449</f>
        <v>syn BTCH7/BTCX6/BTCV6/BTCG7</v>
      </c>
      <c r="F91" s="13">
        <f>'MKT DATA'!J1449</f>
        <v>1</v>
      </c>
      <c r="G91" s="8">
        <f>'MKT DATA'!K1449</f>
        <v>84114</v>
      </c>
      <c r="H91" s="8">
        <f>'MKT DATA'!L1449</f>
        <v>86013</v>
      </c>
      <c r="I91" s="13">
        <f>'MKT DATA'!M1449</f>
        <v>1</v>
      </c>
      <c r="J91" s="43" t="str">
        <f t="shared" si="4"/>
        <v>syn BTCH7/BTCX6/BTCV6/BTCG7</v>
      </c>
      <c r="K91" s="8">
        <f>'MKT DATA'!O1449</f>
        <v>0</v>
      </c>
      <c r="L91" s="8">
        <f>'MKT DATA'!P1449</f>
        <v>84114</v>
      </c>
      <c r="M91" s="8">
        <f>'MKT DATA'!Q1449</f>
        <v>0</v>
      </c>
      <c r="N91" s="8">
        <f>'MKT DATA'!R1449</f>
        <v>0</v>
      </c>
      <c r="O91" s="8">
        <f>'MKT DATA'!S1449</f>
        <v>-86013</v>
      </c>
      <c r="P91" s="8">
        <f>'MKT DATA'!T1449</f>
        <v>0</v>
      </c>
      <c r="Q91" s="43" t="str">
        <f t="shared" si="5"/>
        <v>syn BTCH7/BTCX6/BTCV6/BTCG7</v>
      </c>
      <c r="R91" s="13">
        <f>'MKT DATA'!AB1449</f>
        <v>0</v>
      </c>
    </row>
    <row r="92" spans="5:18" x14ac:dyDescent="0.25">
      <c r="E92" s="43" t="str">
        <f>'MKT DATA'!B1450</f>
        <v>syn BTCH7/BTCX6/BTCZ6/BTCG7</v>
      </c>
      <c r="F92" s="13">
        <f>'MKT DATA'!J1450</f>
        <v>1</v>
      </c>
      <c r="G92" s="8">
        <f>'MKT DATA'!K1450</f>
        <v>84074</v>
      </c>
      <c r="H92" s="8">
        <f>'MKT DATA'!L1450</f>
        <v>86061</v>
      </c>
      <c r="I92" s="13">
        <f>'MKT DATA'!M1450</f>
        <v>1</v>
      </c>
      <c r="J92" s="43" t="str">
        <f t="shared" si="4"/>
        <v>syn BTCH7/BTCX6/BTCZ6/BTCG7</v>
      </c>
      <c r="K92" s="8">
        <f>'MKT DATA'!O1450</f>
        <v>0</v>
      </c>
      <c r="L92" s="8">
        <f>'MKT DATA'!P1450</f>
        <v>84074</v>
      </c>
      <c r="M92" s="8">
        <f>'MKT DATA'!Q1450</f>
        <v>0</v>
      </c>
      <c r="N92" s="8">
        <f>'MKT DATA'!R1450</f>
        <v>0</v>
      </c>
      <c r="O92" s="8">
        <f>'MKT DATA'!S1450</f>
        <v>-86061</v>
      </c>
      <c r="P92" s="8">
        <f>'MKT DATA'!T1450</f>
        <v>0</v>
      </c>
      <c r="Q92" s="43" t="str">
        <f t="shared" si="5"/>
        <v>syn BTCH7/BTCX6/BTCZ6/BTCG7</v>
      </c>
      <c r="R92" s="13">
        <f>'MKT DATA'!AB1450</f>
        <v>0</v>
      </c>
    </row>
    <row r="93" spans="5:18" x14ac:dyDescent="0.25">
      <c r="E93" s="43" t="str">
        <f>'MKT DATA'!B1451</f>
        <v>syn BTCH7/BTCX6/BTCF7/BTCG7</v>
      </c>
      <c r="F93" s="13">
        <f>'MKT DATA'!J1451</f>
        <v>1</v>
      </c>
      <c r="G93" s="8">
        <f>'MKT DATA'!K1451</f>
        <v>84140</v>
      </c>
      <c r="H93" s="8">
        <f>'MKT DATA'!L1451</f>
        <v>85944</v>
      </c>
      <c r="I93" s="13">
        <f>'MKT DATA'!M1451</f>
        <v>1</v>
      </c>
      <c r="J93" s="43" t="str">
        <f t="shared" si="4"/>
        <v>syn BTCH7/BTCX6/BTCF7/BTCG7</v>
      </c>
      <c r="K93" s="8">
        <f>'MKT DATA'!O1451</f>
        <v>0</v>
      </c>
      <c r="L93" s="8">
        <f>'MKT DATA'!P1451</f>
        <v>84140</v>
      </c>
      <c r="M93" s="8">
        <f>'MKT DATA'!Q1451</f>
        <v>0</v>
      </c>
      <c r="N93" s="8">
        <f>'MKT DATA'!R1451</f>
        <v>0</v>
      </c>
      <c r="O93" s="8">
        <f>'MKT DATA'!S1451</f>
        <v>-85944</v>
      </c>
      <c r="P93" s="8">
        <f>'MKT DATA'!T1451</f>
        <v>0</v>
      </c>
      <c r="Q93" s="43" t="str">
        <f t="shared" si="5"/>
        <v>syn BTCH7/BTCX6/BTCF7/BTCG7</v>
      </c>
      <c r="R93" s="13">
        <f>'MKT DATA'!AB1451</f>
        <v>0</v>
      </c>
    </row>
    <row r="94" spans="5:18" x14ac:dyDescent="0.25">
      <c r="E94" s="43" t="str">
        <f>'MKT DATA'!B1452</f>
        <v>syn BTCH7/BTCZ6/BTCV6/BTCG7</v>
      </c>
      <c r="F94" s="13">
        <f>'MKT DATA'!J1452</f>
        <v>1</v>
      </c>
      <c r="G94" s="8">
        <f>'MKT DATA'!K1452</f>
        <v>84098</v>
      </c>
      <c r="H94" s="8">
        <f>'MKT DATA'!L1452</f>
        <v>85834</v>
      </c>
      <c r="I94" s="13">
        <f>'MKT DATA'!M1452</f>
        <v>1</v>
      </c>
      <c r="J94" s="43" t="str">
        <f t="shared" si="4"/>
        <v>syn BTCH7/BTCZ6/BTCV6/BTCG7</v>
      </c>
      <c r="K94" s="8">
        <f>'MKT DATA'!O1452</f>
        <v>0</v>
      </c>
      <c r="L94" s="8">
        <f>'MKT DATA'!P1452</f>
        <v>84098</v>
      </c>
      <c r="M94" s="8">
        <f>'MKT DATA'!Q1452</f>
        <v>0</v>
      </c>
      <c r="N94" s="8">
        <f>'MKT DATA'!R1452</f>
        <v>0</v>
      </c>
      <c r="O94" s="8">
        <f>'MKT DATA'!S1452</f>
        <v>-85834</v>
      </c>
      <c r="P94" s="8">
        <f>'MKT DATA'!T1452</f>
        <v>0</v>
      </c>
      <c r="Q94" s="43" t="str">
        <f t="shared" si="5"/>
        <v>syn BTCH7/BTCZ6/BTCV6/BTCG7</v>
      </c>
      <c r="R94" s="13">
        <f>'MKT DATA'!AB1452</f>
        <v>0</v>
      </c>
    </row>
    <row r="95" spans="5:18" x14ac:dyDescent="0.25">
      <c r="E95" s="43" t="str">
        <f>'MKT DATA'!B1453</f>
        <v>syn BTCH7/BTCZ6/BTCX6/BTCG7</v>
      </c>
      <c r="F95" s="13">
        <f>'MKT DATA'!J1453</f>
        <v>1</v>
      </c>
      <c r="G95" s="8">
        <f>'MKT DATA'!K1453</f>
        <v>84089</v>
      </c>
      <c r="H95" s="8">
        <f>'MKT DATA'!L1453</f>
        <v>85836</v>
      </c>
      <c r="I95" s="13">
        <f>'MKT DATA'!M1453</f>
        <v>1</v>
      </c>
      <c r="J95" s="43" t="str">
        <f t="shared" si="4"/>
        <v>syn BTCH7/BTCZ6/BTCX6/BTCG7</v>
      </c>
      <c r="K95" s="8">
        <f>'MKT DATA'!O1453</f>
        <v>0</v>
      </c>
      <c r="L95" s="8">
        <f>'MKT DATA'!P1453</f>
        <v>84089</v>
      </c>
      <c r="M95" s="8">
        <f>'MKT DATA'!Q1453</f>
        <v>0</v>
      </c>
      <c r="N95" s="8">
        <f>'MKT DATA'!R1453</f>
        <v>0</v>
      </c>
      <c r="O95" s="8">
        <f>'MKT DATA'!S1453</f>
        <v>-85836</v>
      </c>
      <c r="P95" s="8">
        <f>'MKT DATA'!T1453</f>
        <v>0</v>
      </c>
      <c r="Q95" s="43" t="str">
        <f t="shared" si="5"/>
        <v>syn BTCH7/BTCZ6/BTCX6/BTCG7</v>
      </c>
      <c r="R95" s="13">
        <f>'MKT DATA'!AB1453</f>
        <v>0</v>
      </c>
    </row>
    <row r="96" spans="5:18" x14ac:dyDescent="0.25">
      <c r="E96" s="43" t="str">
        <f>'MKT DATA'!B1454</f>
        <v>syn BTCH7/BTCZ6/BTCF7/BTCG7</v>
      </c>
      <c r="F96" s="13">
        <f>'MKT DATA'!J1454</f>
        <v>1</v>
      </c>
      <c r="G96" s="8">
        <f>'MKT DATA'!K1454</f>
        <v>84191</v>
      </c>
      <c r="H96" s="8">
        <f>'MKT DATA'!L1454</f>
        <v>85729</v>
      </c>
      <c r="I96" s="13">
        <f>'MKT DATA'!M1454</f>
        <v>1</v>
      </c>
      <c r="J96" s="43" t="str">
        <f t="shared" si="4"/>
        <v>syn BTCH7/BTCZ6/BTCF7/BTCG7</v>
      </c>
      <c r="K96" s="8">
        <f>'MKT DATA'!O1454</f>
        <v>0</v>
      </c>
      <c r="L96" s="8">
        <f>'MKT DATA'!P1454</f>
        <v>84191</v>
      </c>
      <c r="M96" s="8">
        <f>'MKT DATA'!Q1454</f>
        <v>0</v>
      </c>
      <c r="N96" s="8">
        <f>'MKT DATA'!R1454</f>
        <v>0</v>
      </c>
      <c r="O96" s="8">
        <f>'MKT DATA'!S1454</f>
        <v>-85729</v>
      </c>
      <c r="P96" s="8">
        <f>'MKT DATA'!T1454</f>
        <v>0</v>
      </c>
      <c r="Q96" s="43" t="str">
        <f t="shared" si="5"/>
        <v>syn BTCH7/BTCZ6/BTCF7/BTCG7</v>
      </c>
      <c r="R96" s="13">
        <f>'MKT DATA'!AB1454</f>
        <v>0</v>
      </c>
    </row>
    <row r="97" spans="5:18" x14ac:dyDescent="0.25">
      <c r="E97" s="43" t="str">
        <f>'MKT DATA'!B1455</f>
        <v>syn BTCH7/BTCF7/BTCV6/BTCG7</v>
      </c>
      <c r="F97" s="13">
        <f>'MKT DATA'!J1455</f>
        <v>1</v>
      </c>
      <c r="G97" s="8">
        <f>'MKT DATA'!K1455</f>
        <v>83986</v>
      </c>
      <c r="H97" s="8">
        <f>'MKT DATA'!L1455</f>
        <v>86164</v>
      </c>
      <c r="I97" s="13">
        <f>'MKT DATA'!M1455</f>
        <v>1</v>
      </c>
      <c r="J97" s="43" t="str">
        <f t="shared" si="4"/>
        <v>syn BTCH7/BTCF7/BTCV6/BTCG7</v>
      </c>
      <c r="K97" s="8">
        <f>'MKT DATA'!O1455</f>
        <v>0</v>
      </c>
      <c r="L97" s="8">
        <f>'MKT DATA'!P1455</f>
        <v>83986</v>
      </c>
      <c r="M97" s="8">
        <f>'MKT DATA'!Q1455</f>
        <v>0</v>
      </c>
      <c r="N97" s="8">
        <f>'MKT DATA'!R1455</f>
        <v>0</v>
      </c>
      <c r="O97" s="8">
        <f>'MKT DATA'!S1455</f>
        <v>-86164</v>
      </c>
      <c r="P97" s="8">
        <f>'MKT DATA'!T1455</f>
        <v>0</v>
      </c>
      <c r="Q97" s="43" t="str">
        <f t="shared" si="5"/>
        <v>syn BTCH7/BTCF7/BTCV6/BTCG7</v>
      </c>
      <c r="R97" s="13">
        <f>'MKT DATA'!AB1455</f>
        <v>0</v>
      </c>
    </row>
    <row r="98" spans="5:18" x14ac:dyDescent="0.25">
      <c r="E98" s="43" t="str">
        <f>'MKT DATA'!B1456</f>
        <v>syn BTCH7/BTCF7/BTCX6/BTCG7</v>
      </c>
      <c r="F98" s="13">
        <f>'MKT DATA'!J1456</f>
        <v>1</v>
      </c>
      <c r="G98" s="8">
        <f>'MKT DATA'!K1456</f>
        <v>83991</v>
      </c>
      <c r="H98" s="8">
        <f>'MKT DATA'!L1456</f>
        <v>86149</v>
      </c>
      <c r="I98" s="13">
        <f>'MKT DATA'!M1456</f>
        <v>1</v>
      </c>
      <c r="J98" s="43" t="str">
        <f t="shared" si="4"/>
        <v>syn BTCH7/BTCF7/BTCX6/BTCG7</v>
      </c>
      <c r="K98" s="8">
        <f>'MKT DATA'!O1456</f>
        <v>0</v>
      </c>
      <c r="L98" s="8">
        <f>'MKT DATA'!P1456</f>
        <v>83991</v>
      </c>
      <c r="M98" s="8">
        <f>'MKT DATA'!Q1456</f>
        <v>0</v>
      </c>
      <c r="N98" s="8">
        <f>'MKT DATA'!R1456</f>
        <v>0</v>
      </c>
      <c r="O98" s="8">
        <f>'MKT DATA'!S1456</f>
        <v>-86149</v>
      </c>
      <c r="P98" s="8">
        <f>'MKT DATA'!T1456</f>
        <v>0</v>
      </c>
      <c r="Q98" s="43" t="str">
        <f t="shared" si="5"/>
        <v>syn BTCH7/BTCF7/BTCX6/BTCG7</v>
      </c>
      <c r="R98" s="13">
        <f>'MKT DATA'!AB1456</f>
        <v>0</v>
      </c>
    </row>
    <row r="99" spans="5:18" x14ac:dyDescent="0.25">
      <c r="E99" s="43" t="str">
        <f>'MKT DATA'!B1457</f>
        <v>syn BTCH7/BTCF7/BTCZ6/BTCG7</v>
      </c>
      <c r="F99" s="13">
        <f>'MKT DATA'!J1457</f>
        <v>1</v>
      </c>
      <c r="G99" s="8">
        <f>'MKT DATA'!K1457</f>
        <v>83996</v>
      </c>
      <c r="H99" s="8">
        <f>'MKT DATA'!L1457</f>
        <v>86128</v>
      </c>
      <c r="I99" s="13">
        <f>'MKT DATA'!M1457</f>
        <v>1</v>
      </c>
      <c r="J99" s="43" t="str">
        <f t="shared" si="4"/>
        <v>syn BTCH7/BTCF7/BTCZ6/BTCG7</v>
      </c>
      <c r="K99" s="8">
        <f>'MKT DATA'!O1457</f>
        <v>0</v>
      </c>
      <c r="L99" s="8">
        <f>'MKT DATA'!P1457</f>
        <v>83996</v>
      </c>
      <c r="M99" s="8">
        <f>'MKT DATA'!Q1457</f>
        <v>0</v>
      </c>
      <c r="N99" s="8">
        <f>'MKT DATA'!R1457</f>
        <v>0</v>
      </c>
      <c r="O99" s="8">
        <f>'MKT DATA'!S1457</f>
        <v>-86128</v>
      </c>
      <c r="P99" s="8">
        <f>'MKT DATA'!T1457</f>
        <v>0</v>
      </c>
      <c r="Q99" s="43" t="str">
        <f t="shared" si="5"/>
        <v>syn BTCH7/BTCF7/BTCZ6/BTCG7</v>
      </c>
      <c r="R99" s="13">
        <f>'MKT DATA'!AB1457</f>
        <v>0</v>
      </c>
    </row>
    <row r="100" spans="5:18" x14ac:dyDescent="0.25">
      <c r="E100" s="43" t="str">
        <f>'MKT DATA'!B1458</f>
        <v>syn BTCV6/BTCX6/BTCZ6/BTCF7/BTCG7</v>
      </c>
      <c r="F100" s="13">
        <f>'MKT DATA'!J1458</f>
        <v>1</v>
      </c>
      <c r="G100" s="8">
        <f>'MKT DATA'!K1458</f>
        <v>84927</v>
      </c>
      <c r="H100" s="8">
        <f>'MKT DATA'!L1458</f>
        <v>85181</v>
      </c>
      <c r="I100" s="13">
        <f>'MKT DATA'!M1458</f>
        <v>1</v>
      </c>
      <c r="J100" s="43" t="str">
        <f t="shared" si="4"/>
        <v>syn BTCV6/BTCX6/BTCZ6/BTCF7/BTCG7</v>
      </c>
      <c r="K100" s="8">
        <f>'MKT DATA'!O1458</f>
        <v>0</v>
      </c>
      <c r="L100" s="8">
        <f>'MKT DATA'!P1458</f>
        <v>84927</v>
      </c>
      <c r="M100" s="8">
        <f>'MKT DATA'!Q1458</f>
        <v>0</v>
      </c>
      <c r="N100" s="8">
        <f>'MKT DATA'!R1458</f>
        <v>0</v>
      </c>
      <c r="O100" s="8">
        <f>'MKT DATA'!S1458</f>
        <v>-85181</v>
      </c>
      <c r="P100" s="8">
        <f>'MKT DATA'!T1458</f>
        <v>0</v>
      </c>
      <c r="Q100" s="43" t="str">
        <f t="shared" si="5"/>
        <v>syn BTCV6/BTCX6/BTCZ6/BTCF7/BTCG7</v>
      </c>
      <c r="R100" s="13">
        <f>'MKT DATA'!AB1458</f>
        <v>0</v>
      </c>
    </row>
    <row r="101" spans="5:18" x14ac:dyDescent="0.25">
      <c r="E101" s="43" t="str">
        <f>'MKT DATA'!B1459</f>
        <v>syn BTCV6/BTCX6/BTCZ6/BTCH7/BTCG7</v>
      </c>
      <c r="F101" s="13">
        <f>'MKT DATA'!J1459</f>
        <v>1</v>
      </c>
      <c r="G101" s="8">
        <f>'MKT DATA'!K1459</f>
        <v>84626</v>
      </c>
      <c r="H101" s="8">
        <f>'MKT DATA'!L1459</f>
        <v>85627</v>
      </c>
      <c r="I101" s="13">
        <f>'MKT DATA'!M1459</f>
        <v>1</v>
      </c>
      <c r="J101" s="43" t="str">
        <f t="shared" si="4"/>
        <v>syn BTCV6/BTCX6/BTCZ6/BTCH7/BTCG7</v>
      </c>
      <c r="K101" s="8">
        <f>'MKT DATA'!O1459</f>
        <v>0</v>
      </c>
      <c r="L101" s="8">
        <f>'MKT DATA'!P1459</f>
        <v>84626</v>
      </c>
      <c r="M101" s="8">
        <f>'MKT DATA'!Q1459</f>
        <v>0</v>
      </c>
      <c r="N101" s="8">
        <f>'MKT DATA'!R1459</f>
        <v>0</v>
      </c>
      <c r="O101" s="8">
        <f>'MKT DATA'!S1459</f>
        <v>-85627</v>
      </c>
      <c r="P101" s="8">
        <f>'MKT DATA'!T1459</f>
        <v>0</v>
      </c>
      <c r="Q101" s="43" t="str">
        <f t="shared" si="5"/>
        <v>syn BTCV6/BTCX6/BTCZ6/BTCH7/BTCG7</v>
      </c>
      <c r="R101" s="13">
        <f>'MKT DATA'!AB1459</f>
        <v>0</v>
      </c>
    </row>
    <row r="102" spans="5:18" x14ac:dyDescent="0.25">
      <c r="E102" s="43" t="str">
        <f>'MKT DATA'!B1460</f>
        <v>syn BTCV6/BTCX6/BTCF7/BTCZ6/BTCG7</v>
      </c>
      <c r="F102" s="13">
        <f>'MKT DATA'!J1460</f>
        <v>1</v>
      </c>
      <c r="G102" s="8">
        <f>'MKT DATA'!K1460</f>
        <v>84744</v>
      </c>
      <c r="H102" s="8">
        <f>'MKT DATA'!L1460</f>
        <v>85353</v>
      </c>
      <c r="I102" s="13">
        <f>'MKT DATA'!M1460</f>
        <v>1</v>
      </c>
      <c r="J102" s="43" t="str">
        <f t="shared" si="4"/>
        <v>syn BTCV6/BTCX6/BTCF7/BTCZ6/BTCG7</v>
      </c>
      <c r="K102" s="8">
        <f>'MKT DATA'!O1460</f>
        <v>0</v>
      </c>
      <c r="L102" s="8">
        <f>'MKT DATA'!P1460</f>
        <v>84744</v>
      </c>
      <c r="M102" s="8">
        <f>'MKT DATA'!Q1460</f>
        <v>0</v>
      </c>
      <c r="N102" s="8">
        <f>'MKT DATA'!R1460</f>
        <v>0</v>
      </c>
      <c r="O102" s="8">
        <f>'MKT DATA'!S1460</f>
        <v>-85353</v>
      </c>
      <c r="P102" s="8">
        <f>'MKT DATA'!T1460</f>
        <v>0</v>
      </c>
      <c r="Q102" s="43" t="str">
        <f t="shared" si="5"/>
        <v>syn BTCV6/BTCX6/BTCF7/BTCZ6/BTCG7</v>
      </c>
      <c r="R102" s="13">
        <f>'MKT DATA'!AB1460</f>
        <v>0</v>
      </c>
    </row>
    <row r="103" spans="5:18" x14ac:dyDescent="0.25">
      <c r="E103" s="43" t="str">
        <f>'MKT DATA'!B1461</f>
        <v>syn BTCV6/BTCX6/BTCF7/BTCH7/BTCG7</v>
      </c>
      <c r="F103" s="13">
        <f>'MKT DATA'!J1461</f>
        <v>1</v>
      </c>
      <c r="G103" s="8">
        <f>'MKT DATA'!K1461</f>
        <v>84313</v>
      </c>
      <c r="H103" s="8">
        <f>'MKT DATA'!L1461</f>
        <v>85725</v>
      </c>
      <c r="I103" s="13">
        <f>'MKT DATA'!M1461</f>
        <v>1</v>
      </c>
      <c r="J103" s="43" t="str">
        <f t="shared" si="4"/>
        <v>syn BTCV6/BTCX6/BTCF7/BTCH7/BTCG7</v>
      </c>
      <c r="K103" s="8">
        <f>'MKT DATA'!O1461</f>
        <v>0</v>
      </c>
      <c r="L103" s="8">
        <f>'MKT DATA'!P1461</f>
        <v>84313</v>
      </c>
      <c r="M103" s="8">
        <f>'MKT DATA'!Q1461</f>
        <v>0</v>
      </c>
      <c r="N103" s="8">
        <f>'MKT DATA'!R1461</f>
        <v>0</v>
      </c>
      <c r="O103" s="8">
        <f>'MKT DATA'!S1461</f>
        <v>-85725</v>
      </c>
      <c r="P103" s="8">
        <f>'MKT DATA'!T1461</f>
        <v>0</v>
      </c>
      <c r="Q103" s="43" t="str">
        <f t="shared" si="5"/>
        <v>syn BTCV6/BTCX6/BTCF7/BTCH7/BTCG7</v>
      </c>
      <c r="R103" s="13">
        <f>'MKT DATA'!AB1461</f>
        <v>0</v>
      </c>
    </row>
    <row r="104" spans="5:18" x14ac:dyDescent="0.25">
      <c r="E104" s="43" t="str">
        <f>'MKT DATA'!B1462</f>
        <v>syn BTCV6/BTCX6/BTCH7/BTCZ6/BTCG7</v>
      </c>
      <c r="F104" s="13">
        <f>'MKT DATA'!J1462</f>
        <v>1</v>
      </c>
      <c r="G104" s="8">
        <f>'MKT DATA'!K1462</f>
        <v>84037</v>
      </c>
      <c r="H104" s="8">
        <f>'MKT DATA'!L1462</f>
        <v>85896</v>
      </c>
      <c r="I104" s="13">
        <f>'MKT DATA'!M1462</f>
        <v>1</v>
      </c>
      <c r="J104" s="43" t="str">
        <f t="shared" si="4"/>
        <v>syn BTCV6/BTCX6/BTCH7/BTCZ6/BTCG7</v>
      </c>
      <c r="K104" s="8">
        <f>'MKT DATA'!O1462</f>
        <v>0</v>
      </c>
      <c r="L104" s="8">
        <f>'MKT DATA'!P1462</f>
        <v>84037</v>
      </c>
      <c r="M104" s="8">
        <f>'MKT DATA'!Q1462</f>
        <v>0</v>
      </c>
      <c r="N104" s="8">
        <f>'MKT DATA'!R1462</f>
        <v>0</v>
      </c>
      <c r="O104" s="8">
        <f>'MKT DATA'!S1462</f>
        <v>-85896</v>
      </c>
      <c r="P104" s="8">
        <f>'MKT DATA'!T1462</f>
        <v>0</v>
      </c>
      <c r="Q104" s="43" t="str">
        <f t="shared" si="5"/>
        <v>syn BTCV6/BTCX6/BTCH7/BTCZ6/BTCG7</v>
      </c>
      <c r="R104" s="13">
        <f>'MKT DATA'!AB1462</f>
        <v>0</v>
      </c>
    </row>
    <row r="105" spans="5:18" x14ac:dyDescent="0.25">
      <c r="E105" s="43" t="str">
        <f>'MKT DATA'!B1463</f>
        <v>syn BTCV6/BTCX6/BTCH7/BTCF7/BTCG7</v>
      </c>
      <c r="F105" s="13">
        <f>'MKT DATA'!J1463</f>
        <v>1</v>
      </c>
      <c r="G105" s="8">
        <f>'MKT DATA'!K1463</f>
        <v>84091</v>
      </c>
      <c r="H105" s="8">
        <f>'MKT DATA'!L1463</f>
        <v>86006</v>
      </c>
      <c r="I105" s="13">
        <f>'MKT DATA'!M1463</f>
        <v>1</v>
      </c>
      <c r="J105" s="43" t="str">
        <f t="shared" si="4"/>
        <v>syn BTCV6/BTCX6/BTCH7/BTCF7/BTCG7</v>
      </c>
      <c r="K105" s="8">
        <f>'MKT DATA'!O1463</f>
        <v>0</v>
      </c>
      <c r="L105" s="8">
        <f>'MKT DATA'!P1463</f>
        <v>84091</v>
      </c>
      <c r="M105" s="8">
        <f>'MKT DATA'!Q1463</f>
        <v>0</v>
      </c>
      <c r="N105" s="8">
        <f>'MKT DATA'!R1463</f>
        <v>0</v>
      </c>
      <c r="O105" s="8">
        <f>'MKT DATA'!S1463</f>
        <v>-86006</v>
      </c>
      <c r="P105" s="8">
        <f>'MKT DATA'!T1463</f>
        <v>0</v>
      </c>
      <c r="Q105" s="43" t="str">
        <f t="shared" si="5"/>
        <v>syn BTCV6/BTCX6/BTCH7/BTCF7/BTCG7</v>
      </c>
      <c r="R105" s="13">
        <f>'MKT DATA'!AB1463</f>
        <v>0</v>
      </c>
    </row>
    <row r="106" spans="5:18" x14ac:dyDescent="0.25">
      <c r="E106" s="43" t="str">
        <f>'MKT DATA'!B1464</f>
        <v>syn BTCV6/BTCZ6/BTCX6/BTCF7/BTCG7</v>
      </c>
      <c r="F106" s="13">
        <f>'MKT DATA'!J1464</f>
        <v>1</v>
      </c>
      <c r="G106" s="8">
        <f>'MKT DATA'!K1464</f>
        <v>84860</v>
      </c>
      <c r="H106" s="8">
        <f>'MKT DATA'!L1464</f>
        <v>85217</v>
      </c>
      <c r="I106" s="13">
        <f>'MKT DATA'!M1464</f>
        <v>1</v>
      </c>
      <c r="J106" s="43" t="str">
        <f t="shared" si="4"/>
        <v>syn BTCV6/BTCZ6/BTCX6/BTCF7/BTCG7</v>
      </c>
      <c r="K106" s="8">
        <f>'MKT DATA'!O1464</f>
        <v>0</v>
      </c>
      <c r="L106" s="8">
        <f>'MKT DATA'!P1464</f>
        <v>84860</v>
      </c>
      <c r="M106" s="8">
        <f>'MKT DATA'!Q1464</f>
        <v>0</v>
      </c>
      <c r="N106" s="8">
        <f>'MKT DATA'!R1464</f>
        <v>0</v>
      </c>
      <c r="O106" s="8">
        <f>'MKT DATA'!S1464</f>
        <v>-85217</v>
      </c>
      <c r="P106" s="8">
        <f>'MKT DATA'!T1464</f>
        <v>0</v>
      </c>
      <c r="Q106" s="43" t="str">
        <f t="shared" si="5"/>
        <v>syn BTCV6/BTCZ6/BTCX6/BTCF7/BTCG7</v>
      </c>
      <c r="R106" s="13">
        <f>'MKT DATA'!AB1464</f>
        <v>0</v>
      </c>
    </row>
    <row r="107" spans="5:18" x14ac:dyDescent="0.25">
      <c r="E107" s="43" t="str">
        <f>'MKT DATA'!B1465</f>
        <v>syn BTCV6/BTCZ6/BTCX6/BTCH7/BTCG7</v>
      </c>
      <c r="F107" s="13">
        <f>'MKT DATA'!J1465</f>
        <v>1</v>
      </c>
      <c r="G107" s="8">
        <f>'MKT DATA'!K1465</f>
        <v>84415</v>
      </c>
      <c r="H107" s="8">
        <f>'MKT DATA'!L1465</f>
        <v>85643</v>
      </c>
      <c r="I107" s="13">
        <f>'MKT DATA'!M1465</f>
        <v>1</v>
      </c>
      <c r="J107" s="43" t="str">
        <f t="shared" si="4"/>
        <v>syn BTCV6/BTCZ6/BTCX6/BTCH7/BTCG7</v>
      </c>
      <c r="K107" s="8">
        <f>'MKT DATA'!O1465</f>
        <v>0</v>
      </c>
      <c r="L107" s="8">
        <f>'MKT DATA'!P1465</f>
        <v>84415</v>
      </c>
      <c r="M107" s="8">
        <f>'MKT DATA'!Q1465</f>
        <v>0</v>
      </c>
      <c r="N107" s="8">
        <f>'MKT DATA'!R1465</f>
        <v>0</v>
      </c>
      <c r="O107" s="8">
        <f>'MKT DATA'!S1465</f>
        <v>-85643</v>
      </c>
      <c r="P107" s="8">
        <f>'MKT DATA'!T1465</f>
        <v>0</v>
      </c>
      <c r="Q107" s="43" t="str">
        <f t="shared" si="5"/>
        <v>syn BTCV6/BTCZ6/BTCX6/BTCH7/BTCG7</v>
      </c>
      <c r="R107" s="13">
        <f>'MKT DATA'!AB1465</f>
        <v>0</v>
      </c>
    </row>
    <row r="108" spans="5:18" x14ac:dyDescent="0.25">
      <c r="E108" s="43" t="str">
        <f>'MKT DATA'!B1466</f>
        <v>syn BTCV6/BTCZ6/BTCF7/BTCX6/BTCG7</v>
      </c>
      <c r="F108" s="13">
        <f>'MKT DATA'!J1466</f>
        <v>1</v>
      </c>
      <c r="G108" s="8">
        <f>'MKT DATA'!K1466</f>
        <v>84774</v>
      </c>
      <c r="H108" s="8">
        <f>'MKT DATA'!L1466</f>
        <v>85370</v>
      </c>
      <c r="I108" s="13">
        <f>'MKT DATA'!M1466</f>
        <v>1</v>
      </c>
      <c r="J108" s="43" t="str">
        <f t="shared" si="4"/>
        <v>syn BTCV6/BTCZ6/BTCF7/BTCX6/BTCG7</v>
      </c>
      <c r="K108" s="8">
        <f>'MKT DATA'!O1466</f>
        <v>0</v>
      </c>
      <c r="L108" s="8">
        <f>'MKT DATA'!P1466</f>
        <v>84774</v>
      </c>
      <c r="M108" s="8">
        <f>'MKT DATA'!Q1466</f>
        <v>0</v>
      </c>
      <c r="N108" s="8">
        <f>'MKT DATA'!R1466</f>
        <v>0</v>
      </c>
      <c r="O108" s="8">
        <f>'MKT DATA'!S1466</f>
        <v>-85370</v>
      </c>
      <c r="P108" s="8">
        <f>'MKT DATA'!T1466</f>
        <v>0</v>
      </c>
      <c r="Q108" s="43" t="str">
        <f t="shared" si="5"/>
        <v>syn BTCV6/BTCZ6/BTCF7/BTCX6/BTCG7</v>
      </c>
      <c r="R108" s="13">
        <f>'MKT DATA'!AB1466</f>
        <v>0</v>
      </c>
    </row>
    <row r="109" spans="5:18" x14ac:dyDescent="0.25">
      <c r="E109" s="43" t="str">
        <f>'MKT DATA'!B1467</f>
        <v>syn BTCV6/BTCZ6/BTCF7/BTCH7/BTCG7</v>
      </c>
      <c r="F109" s="13">
        <f>'MKT DATA'!J1467</f>
        <v>1</v>
      </c>
      <c r="G109" s="8">
        <f>'MKT DATA'!K1467</f>
        <v>84348</v>
      </c>
      <c r="H109" s="8">
        <f>'MKT DATA'!L1467</f>
        <v>85721</v>
      </c>
      <c r="I109" s="13">
        <f>'MKT DATA'!M1467</f>
        <v>1</v>
      </c>
      <c r="J109" s="43" t="str">
        <f t="shared" si="4"/>
        <v>syn BTCV6/BTCZ6/BTCF7/BTCH7/BTCG7</v>
      </c>
      <c r="K109" s="8">
        <f>'MKT DATA'!O1467</f>
        <v>0</v>
      </c>
      <c r="L109" s="8">
        <f>'MKT DATA'!P1467</f>
        <v>84348</v>
      </c>
      <c r="M109" s="8">
        <f>'MKT DATA'!Q1467</f>
        <v>0</v>
      </c>
      <c r="N109" s="8">
        <f>'MKT DATA'!R1467</f>
        <v>0</v>
      </c>
      <c r="O109" s="8">
        <f>'MKT DATA'!S1467</f>
        <v>-85721</v>
      </c>
      <c r="P109" s="8">
        <f>'MKT DATA'!T1467</f>
        <v>0</v>
      </c>
      <c r="Q109" s="43" t="str">
        <f t="shared" si="5"/>
        <v>syn BTCV6/BTCZ6/BTCF7/BTCH7/BTCG7</v>
      </c>
      <c r="R109" s="13">
        <f>'MKT DATA'!AB1467</f>
        <v>0</v>
      </c>
    </row>
    <row r="110" spans="5:18" x14ac:dyDescent="0.25">
      <c r="E110" s="43" t="str">
        <f>'MKT DATA'!B1468</f>
        <v>syn BTCV6/BTCZ6/BTCH7/BTCX6/BTCG7</v>
      </c>
      <c r="F110" s="13">
        <f>'MKT DATA'!J1468</f>
        <v>1</v>
      </c>
      <c r="G110" s="8">
        <f>'MKT DATA'!K1468</f>
        <v>84231</v>
      </c>
      <c r="H110" s="8">
        <f>'MKT DATA'!L1468</f>
        <v>86077</v>
      </c>
      <c r="I110" s="13">
        <f>'MKT DATA'!M1468</f>
        <v>1</v>
      </c>
      <c r="J110" s="43" t="str">
        <f t="shared" si="4"/>
        <v>syn BTCV6/BTCZ6/BTCH7/BTCX6/BTCG7</v>
      </c>
      <c r="K110" s="8">
        <f>'MKT DATA'!O1468</f>
        <v>0</v>
      </c>
      <c r="L110" s="8">
        <f>'MKT DATA'!P1468</f>
        <v>84231</v>
      </c>
      <c r="M110" s="8">
        <f>'MKT DATA'!Q1468</f>
        <v>0</v>
      </c>
      <c r="N110" s="8">
        <f>'MKT DATA'!R1468</f>
        <v>0</v>
      </c>
      <c r="O110" s="8">
        <f>'MKT DATA'!S1468</f>
        <v>-86077</v>
      </c>
      <c r="P110" s="8">
        <f>'MKT DATA'!T1468</f>
        <v>0</v>
      </c>
      <c r="Q110" s="43" t="str">
        <f t="shared" si="5"/>
        <v>syn BTCV6/BTCZ6/BTCH7/BTCX6/BTCG7</v>
      </c>
      <c r="R110" s="13">
        <f>'MKT DATA'!AB1468</f>
        <v>0</v>
      </c>
    </row>
    <row r="111" spans="5:18" x14ac:dyDescent="0.25">
      <c r="E111" s="43" t="str">
        <f>'MKT DATA'!B1469</f>
        <v>syn BTCV6/BTCZ6/BTCH7/BTCF7/BTCG7</v>
      </c>
      <c r="F111" s="13">
        <f>'MKT DATA'!J1469</f>
        <v>1</v>
      </c>
      <c r="G111" s="8">
        <f>'MKT DATA'!K1469</f>
        <v>84270</v>
      </c>
      <c r="H111" s="8">
        <f>'MKT DATA'!L1469</f>
        <v>86022</v>
      </c>
      <c r="I111" s="13">
        <f>'MKT DATA'!M1469</f>
        <v>1</v>
      </c>
      <c r="J111" s="43" t="str">
        <f t="shared" si="4"/>
        <v>syn BTCV6/BTCZ6/BTCH7/BTCF7/BTCG7</v>
      </c>
      <c r="K111" s="8">
        <f>'MKT DATA'!O1469</f>
        <v>0</v>
      </c>
      <c r="L111" s="8">
        <f>'MKT DATA'!P1469</f>
        <v>84270</v>
      </c>
      <c r="M111" s="8">
        <f>'MKT DATA'!Q1469</f>
        <v>0</v>
      </c>
      <c r="N111" s="8">
        <f>'MKT DATA'!R1469</f>
        <v>0</v>
      </c>
      <c r="O111" s="8">
        <f>'MKT DATA'!S1469</f>
        <v>-86022</v>
      </c>
      <c r="P111" s="8">
        <f>'MKT DATA'!T1469</f>
        <v>0</v>
      </c>
      <c r="Q111" s="43" t="str">
        <f t="shared" si="5"/>
        <v>syn BTCV6/BTCZ6/BTCH7/BTCF7/BTCG7</v>
      </c>
      <c r="R111" s="13">
        <f>'MKT DATA'!AB1469</f>
        <v>0</v>
      </c>
    </row>
    <row r="112" spans="5:18" x14ac:dyDescent="0.25">
      <c r="E112" s="43" t="str">
        <f>'MKT DATA'!B1470</f>
        <v>syn BTCV6/BTCF7/BTCX6/BTCZ6/BTCG7</v>
      </c>
      <c r="F112" s="13">
        <f>'MKT DATA'!J1470</f>
        <v>1</v>
      </c>
      <c r="G112" s="8">
        <f>'MKT DATA'!K1470</f>
        <v>84691</v>
      </c>
      <c r="H112" s="8">
        <f>'MKT DATA'!L1470</f>
        <v>85434</v>
      </c>
      <c r="I112" s="13">
        <f>'MKT DATA'!M1470</f>
        <v>1</v>
      </c>
      <c r="J112" s="43" t="str">
        <f t="shared" si="4"/>
        <v>syn BTCV6/BTCF7/BTCX6/BTCZ6/BTCG7</v>
      </c>
      <c r="K112" s="8">
        <f>'MKT DATA'!O1470</f>
        <v>0</v>
      </c>
      <c r="L112" s="8">
        <f>'MKT DATA'!P1470</f>
        <v>84691</v>
      </c>
      <c r="M112" s="8">
        <f>'MKT DATA'!Q1470</f>
        <v>0</v>
      </c>
      <c r="N112" s="8">
        <f>'MKT DATA'!R1470</f>
        <v>0</v>
      </c>
      <c r="O112" s="8">
        <f>'MKT DATA'!S1470</f>
        <v>-85434</v>
      </c>
      <c r="P112" s="8">
        <f>'MKT DATA'!T1470</f>
        <v>0</v>
      </c>
      <c r="Q112" s="43" t="str">
        <f t="shared" si="5"/>
        <v>syn BTCV6/BTCF7/BTCX6/BTCZ6/BTCG7</v>
      </c>
      <c r="R112" s="13">
        <f>'MKT DATA'!AB1470</f>
        <v>0</v>
      </c>
    </row>
    <row r="113" spans="5:18" x14ac:dyDescent="0.25">
      <c r="E113" s="43" t="str">
        <f>'MKT DATA'!B1471</f>
        <v>syn BTCV6/BTCF7/BTCX6/BTCH7/BTCG7</v>
      </c>
      <c r="F113" s="13">
        <f>'MKT DATA'!J1471</f>
        <v>1</v>
      </c>
      <c r="G113" s="8">
        <f>'MKT DATA'!K1471</f>
        <v>84312</v>
      </c>
      <c r="H113" s="8">
        <f>'MKT DATA'!L1471</f>
        <v>85743</v>
      </c>
      <c r="I113" s="13">
        <f>'MKT DATA'!M1471</f>
        <v>1</v>
      </c>
      <c r="J113" s="43" t="str">
        <f t="shared" si="4"/>
        <v>syn BTCV6/BTCF7/BTCX6/BTCH7/BTCG7</v>
      </c>
      <c r="K113" s="8">
        <f>'MKT DATA'!O1471</f>
        <v>0</v>
      </c>
      <c r="L113" s="8">
        <f>'MKT DATA'!P1471</f>
        <v>84312</v>
      </c>
      <c r="M113" s="8">
        <f>'MKT DATA'!Q1471</f>
        <v>0</v>
      </c>
      <c r="N113" s="8">
        <f>'MKT DATA'!R1471</f>
        <v>0</v>
      </c>
      <c r="O113" s="8">
        <f>'MKT DATA'!S1471</f>
        <v>-85743</v>
      </c>
      <c r="P113" s="8">
        <f>'MKT DATA'!T1471</f>
        <v>0</v>
      </c>
      <c r="Q113" s="43" t="str">
        <f t="shared" si="5"/>
        <v>syn BTCV6/BTCF7/BTCX6/BTCH7/BTCG7</v>
      </c>
      <c r="R113" s="13">
        <f>'MKT DATA'!AB1471</f>
        <v>0</v>
      </c>
    </row>
    <row r="114" spans="5:18" x14ac:dyDescent="0.25">
      <c r="E114" s="43" t="str">
        <f>'MKT DATA'!B1472</f>
        <v>syn BTCV6/BTCF7/BTCZ6/BTCX6/BTCG7</v>
      </c>
      <c r="F114" s="13">
        <f>'MKT DATA'!J1472</f>
        <v>1</v>
      </c>
      <c r="G114" s="8">
        <f>'MKT DATA'!K1472</f>
        <v>84726</v>
      </c>
      <c r="H114" s="8">
        <f>'MKT DATA'!L1472</f>
        <v>85353</v>
      </c>
      <c r="I114" s="13">
        <f>'MKT DATA'!M1472</f>
        <v>1</v>
      </c>
      <c r="J114" s="43" t="str">
        <f t="shared" si="4"/>
        <v>syn BTCV6/BTCF7/BTCZ6/BTCX6/BTCG7</v>
      </c>
      <c r="K114" s="8">
        <f>'MKT DATA'!O1472</f>
        <v>0</v>
      </c>
      <c r="L114" s="8">
        <f>'MKT DATA'!P1472</f>
        <v>84726</v>
      </c>
      <c r="M114" s="8">
        <f>'MKT DATA'!Q1472</f>
        <v>0</v>
      </c>
      <c r="N114" s="8">
        <f>'MKT DATA'!R1472</f>
        <v>0</v>
      </c>
      <c r="O114" s="8">
        <f>'MKT DATA'!S1472</f>
        <v>-85353</v>
      </c>
      <c r="P114" s="8">
        <f>'MKT DATA'!T1472</f>
        <v>0</v>
      </c>
      <c r="Q114" s="43" t="str">
        <f t="shared" si="5"/>
        <v>syn BTCV6/BTCF7/BTCZ6/BTCX6/BTCG7</v>
      </c>
      <c r="R114" s="13">
        <f>'MKT DATA'!AB1472</f>
        <v>0</v>
      </c>
    </row>
    <row r="115" spans="5:18" x14ac:dyDescent="0.25">
      <c r="E115" s="43" t="str">
        <f>'MKT DATA'!B1473</f>
        <v>syn BTCV6/BTCF7/BTCZ6/BTCH7/BTCG7</v>
      </c>
      <c r="F115" s="13">
        <f>'MKT DATA'!J1473</f>
        <v>1</v>
      </c>
      <c r="G115" s="8">
        <f>'MKT DATA'!K1473</f>
        <v>84527</v>
      </c>
      <c r="H115" s="8">
        <f>'MKT DATA'!L1473</f>
        <v>85692</v>
      </c>
      <c r="I115" s="13">
        <f>'MKT DATA'!M1473</f>
        <v>1</v>
      </c>
      <c r="J115" s="43" t="str">
        <f t="shared" si="4"/>
        <v>syn BTCV6/BTCF7/BTCZ6/BTCH7/BTCG7</v>
      </c>
      <c r="K115" s="8">
        <f>'MKT DATA'!O1473</f>
        <v>0</v>
      </c>
      <c r="L115" s="8">
        <f>'MKT DATA'!P1473</f>
        <v>84527</v>
      </c>
      <c r="M115" s="8">
        <f>'MKT DATA'!Q1473</f>
        <v>0</v>
      </c>
      <c r="N115" s="8">
        <f>'MKT DATA'!R1473</f>
        <v>0</v>
      </c>
      <c r="O115" s="8">
        <f>'MKT DATA'!S1473</f>
        <v>-85692</v>
      </c>
      <c r="P115" s="8">
        <f>'MKT DATA'!T1473</f>
        <v>0</v>
      </c>
      <c r="Q115" s="43" t="str">
        <f t="shared" si="5"/>
        <v>syn BTCV6/BTCF7/BTCZ6/BTCH7/BTCG7</v>
      </c>
      <c r="R115" s="13">
        <f>'MKT DATA'!AB1473</f>
        <v>0</v>
      </c>
    </row>
    <row r="116" spans="5:18" x14ac:dyDescent="0.25">
      <c r="E116" s="43" t="str">
        <f>'MKT DATA'!B1474</f>
        <v>syn BTCV6/BTCF7/BTCH7/BTCX6/BTCG7</v>
      </c>
      <c r="F116" s="13">
        <f>'MKT DATA'!J1474</f>
        <v>1</v>
      </c>
      <c r="G116" s="8">
        <f>'MKT DATA'!K1474</f>
        <v>83901</v>
      </c>
      <c r="H116" s="8">
        <f>'MKT DATA'!L1474</f>
        <v>86189</v>
      </c>
      <c r="I116" s="13">
        <f>'MKT DATA'!M1474</f>
        <v>1</v>
      </c>
      <c r="J116" s="43" t="str">
        <f t="shared" si="4"/>
        <v>syn BTCV6/BTCF7/BTCH7/BTCX6/BTCG7</v>
      </c>
      <c r="K116" s="8">
        <f>'MKT DATA'!O1474</f>
        <v>0</v>
      </c>
      <c r="L116" s="8">
        <f>'MKT DATA'!P1474</f>
        <v>83901</v>
      </c>
      <c r="M116" s="8">
        <f>'MKT DATA'!Q1474</f>
        <v>0</v>
      </c>
      <c r="N116" s="8">
        <f>'MKT DATA'!R1474</f>
        <v>0</v>
      </c>
      <c r="O116" s="8">
        <f>'MKT DATA'!S1474</f>
        <v>-86189</v>
      </c>
      <c r="P116" s="8">
        <f>'MKT DATA'!T1474</f>
        <v>0</v>
      </c>
      <c r="Q116" s="43" t="str">
        <f t="shared" si="5"/>
        <v>syn BTCV6/BTCF7/BTCH7/BTCX6/BTCG7</v>
      </c>
      <c r="R116" s="13">
        <f>'MKT DATA'!AB1474</f>
        <v>0</v>
      </c>
    </row>
    <row r="117" spans="5:18" x14ac:dyDescent="0.25">
      <c r="E117" s="43" t="str">
        <f>'MKT DATA'!B1475</f>
        <v>syn BTCV6/BTCF7/BTCH7/BTCZ6/BTCG7</v>
      </c>
      <c r="F117" s="13">
        <f>'MKT DATA'!J1475</f>
        <v>1</v>
      </c>
      <c r="G117" s="8">
        <f>'MKT DATA'!K1475</f>
        <v>83886</v>
      </c>
      <c r="H117" s="8">
        <f>'MKT DATA'!L1475</f>
        <v>86024</v>
      </c>
      <c r="I117" s="13">
        <f>'MKT DATA'!M1475</f>
        <v>1</v>
      </c>
      <c r="J117" s="43" t="str">
        <f t="shared" si="4"/>
        <v>syn BTCV6/BTCF7/BTCH7/BTCZ6/BTCG7</v>
      </c>
      <c r="K117" s="8">
        <f>'MKT DATA'!O1475</f>
        <v>0</v>
      </c>
      <c r="L117" s="8">
        <f>'MKT DATA'!P1475</f>
        <v>83886</v>
      </c>
      <c r="M117" s="8">
        <f>'MKT DATA'!Q1475</f>
        <v>0</v>
      </c>
      <c r="N117" s="8">
        <f>'MKT DATA'!R1475</f>
        <v>0</v>
      </c>
      <c r="O117" s="8">
        <f>'MKT DATA'!S1475</f>
        <v>-86024</v>
      </c>
      <c r="P117" s="8">
        <f>'MKT DATA'!T1475</f>
        <v>0</v>
      </c>
      <c r="Q117" s="43" t="str">
        <f t="shared" si="5"/>
        <v>syn BTCV6/BTCF7/BTCH7/BTCZ6/BTCG7</v>
      </c>
      <c r="R117" s="13">
        <f>'MKT DATA'!AB1475</f>
        <v>0</v>
      </c>
    </row>
    <row r="118" spans="5:18" x14ac:dyDescent="0.25">
      <c r="E118" s="43" t="str">
        <f>'MKT DATA'!B1476</f>
        <v>syn BTCV6/BTCH7/BTCX6/BTCZ6/BTCG7</v>
      </c>
      <c r="F118" s="13">
        <f>'MKT DATA'!J1476</f>
        <v>1</v>
      </c>
      <c r="G118" s="8">
        <f>'MKT DATA'!K1476</f>
        <v>84044</v>
      </c>
      <c r="H118" s="8">
        <f>'MKT DATA'!L1476</f>
        <v>86091</v>
      </c>
      <c r="I118" s="13">
        <f>'MKT DATA'!M1476</f>
        <v>1</v>
      </c>
      <c r="J118" s="43" t="str">
        <f t="shared" si="4"/>
        <v>syn BTCV6/BTCH7/BTCX6/BTCZ6/BTCG7</v>
      </c>
      <c r="K118" s="8">
        <f>'MKT DATA'!O1476</f>
        <v>0</v>
      </c>
      <c r="L118" s="8">
        <f>'MKT DATA'!P1476</f>
        <v>84044</v>
      </c>
      <c r="M118" s="8">
        <f>'MKT DATA'!Q1476</f>
        <v>0</v>
      </c>
      <c r="N118" s="8">
        <f>'MKT DATA'!R1476</f>
        <v>0</v>
      </c>
      <c r="O118" s="8">
        <f>'MKT DATA'!S1476</f>
        <v>-86091</v>
      </c>
      <c r="P118" s="8">
        <f>'MKT DATA'!T1476</f>
        <v>0</v>
      </c>
      <c r="Q118" s="43" t="str">
        <f t="shared" si="5"/>
        <v>syn BTCV6/BTCH7/BTCX6/BTCZ6/BTCG7</v>
      </c>
      <c r="R118" s="13">
        <f>'MKT DATA'!AB1476</f>
        <v>0</v>
      </c>
    </row>
    <row r="119" spans="5:18" x14ac:dyDescent="0.25">
      <c r="E119" s="43" t="str">
        <f>'MKT DATA'!B1477</f>
        <v>syn BTCV6/BTCH7/BTCX6/BTCF7/BTCG7</v>
      </c>
      <c r="F119" s="13">
        <f>'MKT DATA'!J1477</f>
        <v>1</v>
      </c>
      <c r="G119" s="8">
        <f>'MKT DATA'!K1477</f>
        <v>84110</v>
      </c>
      <c r="H119" s="8">
        <f>'MKT DATA'!L1477</f>
        <v>85974</v>
      </c>
      <c r="I119" s="13">
        <f>'MKT DATA'!M1477</f>
        <v>1</v>
      </c>
      <c r="J119" s="43" t="str">
        <f t="shared" si="4"/>
        <v>syn BTCV6/BTCH7/BTCX6/BTCF7/BTCG7</v>
      </c>
      <c r="K119" s="8">
        <f>'MKT DATA'!O1477</f>
        <v>0</v>
      </c>
      <c r="L119" s="8">
        <f>'MKT DATA'!P1477</f>
        <v>84110</v>
      </c>
      <c r="M119" s="8">
        <f>'MKT DATA'!Q1477</f>
        <v>0</v>
      </c>
      <c r="N119" s="8">
        <f>'MKT DATA'!R1477</f>
        <v>0</v>
      </c>
      <c r="O119" s="8">
        <f>'MKT DATA'!S1477</f>
        <v>-85974</v>
      </c>
      <c r="P119" s="8">
        <f>'MKT DATA'!T1477</f>
        <v>0</v>
      </c>
      <c r="Q119" s="43" t="str">
        <f t="shared" si="5"/>
        <v>syn BTCV6/BTCH7/BTCX6/BTCF7/BTCG7</v>
      </c>
      <c r="R119" s="13">
        <f>'MKT DATA'!AB1477</f>
        <v>0</v>
      </c>
    </row>
    <row r="120" spans="5:18" x14ac:dyDescent="0.25">
      <c r="E120" s="43" t="str">
        <f>'MKT DATA'!B1478</f>
        <v>syn BTCV6/BTCH7/BTCZ6/BTCX6/BTCG7</v>
      </c>
      <c r="F120" s="13">
        <f>'MKT DATA'!J1478</f>
        <v>1</v>
      </c>
      <c r="G120" s="8">
        <f>'MKT DATA'!K1478</f>
        <v>84059</v>
      </c>
      <c r="H120" s="8">
        <f>'MKT DATA'!L1478</f>
        <v>85866</v>
      </c>
      <c r="I120" s="13">
        <f>'MKT DATA'!M1478</f>
        <v>1</v>
      </c>
      <c r="J120" s="43" t="str">
        <f t="shared" si="4"/>
        <v>syn BTCV6/BTCH7/BTCZ6/BTCX6/BTCG7</v>
      </c>
      <c r="K120" s="8">
        <f>'MKT DATA'!O1478</f>
        <v>0</v>
      </c>
      <c r="L120" s="8">
        <f>'MKT DATA'!P1478</f>
        <v>84059</v>
      </c>
      <c r="M120" s="8">
        <f>'MKT DATA'!Q1478</f>
        <v>0</v>
      </c>
      <c r="N120" s="8">
        <f>'MKT DATA'!R1478</f>
        <v>0</v>
      </c>
      <c r="O120" s="8">
        <f>'MKT DATA'!S1478</f>
        <v>-85866</v>
      </c>
      <c r="P120" s="8">
        <f>'MKT DATA'!T1478</f>
        <v>0</v>
      </c>
      <c r="Q120" s="43" t="str">
        <f t="shared" si="5"/>
        <v>syn BTCV6/BTCH7/BTCZ6/BTCX6/BTCG7</v>
      </c>
      <c r="R120" s="13">
        <f>'MKT DATA'!AB1478</f>
        <v>0</v>
      </c>
    </row>
    <row r="121" spans="5:18" x14ac:dyDescent="0.25">
      <c r="E121" s="43" t="str">
        <f>'MKT DATA'!B1479</f>
        <v>syn BTCV6/BTCH7/BTCZ6/BTCF7/BTCG7</v>
      </c>
      <c r="F121" s="13">
        <f>'MKT DATA'!J1479</f>
        <v>1</v>
      </c>
      <c r="G121" s="8">
        <f>'MKT DATA'!K1479</f>
        <v>84161</v>
      </c>
      <c r="H121" s="8">
        <f>'MKT DATA'!L1479</f>
        <v>85759</v>
      </c>
      <c r="I121" s="13">
        <f>'MKT DATA'!M1479</f>
        <v>1</v>
      </c>
      <c r="J121" s="43" t="str">
        <f t="shared" si="4"/>
        <v>syn BTCV6/BTCH7/BTCZ6/BTCF7/BTCG7</v>
      </c>
      <c r="K121" s="8">
        <f>'MKT DATA'!O1479</f>
        <v>0</v>
      </c>
      <c r="L121" s="8">
        <f>'MKT DATA'!P1479</f>
        <v>84161</v>
      </c>
      <c r="M121" s="8">
        <f>'MKT DATA'!Q1479</f>
        <v>0</v>
      </c>
      <c r="N121" s="8">
        <f>'MKT DATA'!R1479</f>
        <v>0</v>
      </c>
      <c r="O121" s="8">
        <f>'MKT DATA'!S1479</f>
        <v>-85759</v>
      </c>
      <c r="P121" s="8">
        <f>'MKT DATA'!T1479</f>
        <v>0</v>
      </c>
      <c r="Q121" s="43" t="str">
        <f t="shared" si="5"/>
        <v>syn BTCV6/BTCH7/BTCZ6/BTCF7/BTCG7</v>
      </c>
      <c r="R121" s="13">
        <f>'MKT DATA'!AB1479</f>
        <v>0</v>
      </c>
    </row>
    <row r="122" spans="5:18" x14ac:dyDescent="0.25">
      <c r="E122" s="43" t="str">
        <f>'MKT DATA'!B1480</f>
        <v>syn BTCV6/BTCH7/BTCF7/BTCX6/BTCG7</v>
      </c>
      <c r="F122" s="13">
        <f>'MKT DATA'!J1480</f>
        <v>1</v>
      </c>
      <c r="G122" s="8">
        <f>'MKT DATA'!K1480</f>
        <v>83961</v>
      </c>
      <c r="H122" s="8">
        <f>'MKT DATA'!L1480</f>
        <v>86179</v>
      </c>
      <c r="I122" s="13">
        <f>'MKT DATA'!M1480</f>
        <v>1</v>
      </c>
      <c r="J122" s="43" t="str">
        <f t="shared" si="4"/>
        <v>syn BTCV6/BTCH7/BTCF7/BTCX6/BTCG7</v>
      </c>
      <c r="K122" s="8">
        <f>'MKT DATA'!O1480</f>
        <v>0</v>
      </c>
      <c r="L122" s="8">
        <f>'MKT DATA'!P1480</f>
        <v>83961</v>
      </c>
      <c r="M122" s="8">
        <f>'MKT DATA'!Q1480</f>
        <v>0</v>
      </c>
      <c r="N122" s="8">
        <f>'MKT DATA'!R1480</f>
        <v>0</v>
      </c>
      <c r="O122" s="8">
        <f>'MKT DATA'!S1480</f>
        <v>-86179</v>
      </c>
      <c r="P122" s="8">
        <f>'MKT DATA'!T1480</f>
        <v>0</v>
      </c>
      <c r="Q122" s="43" t="str">
        <f t="shared" si="5"/>
        <v>syn BTCV6/BTCH7/BTCF7/BTCX6/BTCG7</v>
      </c>
      <c r="R122" s="13">
        <f>'MKT DATA'!AB1480</f>
        <v>0</v>
      </c>
    </row>
    <row r="123" spans="5:18" x14ac:dyDescent="0.25">
      <c r="E123" s="43" t="str">
        <f>'MKT DATA'!B1481</f>
        <v>syn BTCV6/BTCH7/BTCF7/BTCZ6/BTCG7</v>
      </c>
      <c r="F123" s="13">
        <f>'MKT DATA'!J1481</f>
        <v>1</v>
      </c>
      <c r="G123" s="8">
        <f>'MKT DATA'!K1481</f>
        <v>83966</v>
      </c>
      <c r="H123" s="8">
        <f>'MKT DATA'!L1481</f>
        <v>86158</v>
      </c>
      <c r="I123" s="13">
        <f>'MKT DATA'!M1481</f>
        <v>1</v>
      </c>
      <c r="J123" s="43" t="str">
        <f t="shared" si="4"/>
        <v>syn BTCV6/BTCH7/BTCF7/BTCZ6/BTCG7</v>
      </c>
      <c r="K123" s="8">
        <f>'MKT DATA'!O1481</f>
        <v>0</v>
      </c>
      <c r="L123" s="8">
        <f>'MKT DATA'!P1481</f>
        <v>83966</v>
      </c>
      <c r="M123" s="8">
        <f>'MKT DATA'!Q1481</f>
        <v>0</v>
      </c>
      <c r="N123" s="8">
        <f>'MKT DATA'!R1481</f>
        <v>0</v>
      </c>
      <c r="O123" s="8">
        <f>'MKT DATA'!S1481</f>
        <v>-86158</v>
      </c>
      <c r="P123" s="8">
        <f>'MKT DATA'!T1481</f>
        <v>0</v>
      </c>
      <c r="Q123" s="43" t="str">
        <f t="shared" si="5"/>
        <v>syn BTCV6/BTCH7/BTCF7/BTCZ6/BTCG7</v>
      </c>
      <c r="R123" s="13">
        <f>'MKT DATA'!AB1481</f>
        <v>0</v>
      </c>
    </row>
    <row r="124" spans="5:18" x14ac:dyDescent="0.25">
      <c r="E124" s="43" t="str">
        <f>'MKT DATA'!B1482</f>
        <v>syn BTCX6/BTCV6/BTCZ6/BTCF7/BTCG7</v>
      </c>
      <c r="F124" s="13">
        <f>'MKT DATA'!J1482</f>
        <v>1</v>
      </c>
      <c r="G124" s="8">
        <f>'MKT DATA'!K1482</f>
        <v>84911</v>
      </c>
      <c r="H124" s="8">
        <f>'MKT DATA'!L1482</f>
        <v>85204</v>
      </c>
      <c r="I124" s="13">
        <f>'MKT DATA'!M1482</f>
        <v>1</v>
      </c>
      <c r="J124" s="43" t="str">
        <f t="shared" si="4"/>
        <v>syn BTCX6/BTCV6/BTCZ6/BTCF7/BTCG7</v>
      </c>
      <c r="K124" s="8">
        <f>'MKT DATA'!O1482</f>
        <v>0</v>
      </c>
      <c r="L124" s="8">
        <f>'MKT DATA'!P1482</f>
        <v>84911</v>
      </c>
      <c r="M124" s="8">
        <f>'MKT DATA'!Q1482</f>
        <v>0</v>
      </c>
      <c r="N124" s="8">
        <f>'MKT DATA'!R1482</f>
        <v>0</v>
      </c>
      <c r="O124" s="8">
        <f>'MKT DATA'!S1482</f>
        <v>-85204</v>
      </c>
      <c r="P124" s="8">
        <f>'MKT DATA'!T1482</f>
        <v>0</v>
      </c>
      <c r="Q124" s="43" t="str">
        <f t="shared" si="5"/>
        <v>syn BTCX6/BTCV6/BTCZ6/BTCF7/BTCG7</v>
      </c>
      <c r="R124" s="13">
        <f>'MKT DATA'!AB1482</f>
        <v>0</v>
      </c>
    </row>
    <row r="125" spans="5:18" x14ac:dyDescent="0.25">
      <c r="E125" s="43" t="str">
        <f>'MKT DATA'!B1483</f>
        <v>syn BTCX6/BTCV6/BTCZ6/BTCH7/BTCG7</v>
      </c>
      <c r="F125" s="13">
        <f>'MKT DATA'!J1483</f>
        <v>1</v>
      </c>
      <c r="G125" s="8">
        <f>'MKT DATA'!K1483</f>
        <v>84610</v>
      </c>
      <c r="H125" s="8">
        <f>'MKT DATA'!L1483</f>
        <v>85650</v>
      </c>
      <c r="I125" s="13">
        <f>'MKT DATA'!M1483</f>
        <v>1</v>
      </c>
      <c r="J125" s="43" t="str">
        <f t="shared" si="4"/>
        <v>syn BTCX6/BTCV6/BTCZ6/BTCH7/BTCG7</v>
      </c>
      <c r="K125" s="8">
        <f>'MKT DATA'!O1483</f>
        <v>0</v>
      </c>
      <c r="L125" s="8">
        <f>'MKT DATA'!P1483</f>
        <v>84610</v>
      </c>
      <c r="M125" s="8">
        <f>'MKT DATA'!Q1483</f>
        <v>0</v>
      </c>
      <c r="N125" s="8">
        <f>'MKT DATA'!R1483</f>
        <v>0</v>
      </c>
      <c r="O125" s="8">
        <f>'MKT DATA'!S1483</f>
        <v>-85650</v>
      </c>
      <c r="P125" s="8">
        <f>'MKT DATA'!T1483</f>
        <v>0</v>
      </c>
      <c r="Q125" s="43" t="str">
        <f t="shared" si="5"/>
        <v>syn BTCX6/BTCV6/BTCZ6/BTCH7/BTCG7</v>
      </c>
      <c r="R125" s="13">
        <f>'MKT DATA'!AB1483</f>
        <v>0</v>
      </c>
    </row>
    <row r="126" spans="5:18" x14ac:dyDescent="0.25">
      <c r="E126" s="43" t="str">
        <f>'MKT DATA'!B1484</f>
        <v>syn BTCX6/BTCV6/BTCF7/BTCZ6/BTCG7</v>
      </c>
      <c r="F126" s="13">
        <f>'MKT DATA'!J1484</f>
        <v>1</v>
      </c>
      <c r="G126" s="8">
        <f>'MKT DATA'!K1484</f>
        <v>84711</v>
      </c>
      <c r="H126" s="8">
        <f>'MKT DATA'!L1484</f>
        <v>85390</v>
      </c>
      <c r="I126" s="13">
        <f>'MKT DATA'!M1484</f>
        <v>1</v>
      </c>
      <c r="J126" s="43" t="str">
        <f t="shared" si="4"/>
        <v>syn BTCX6/BTCV6/BTCF7/BTCZ6/BTCG7</v>
      </c>
      <c r="K126" s="8">
        <f>'MKT DATA'!O1484</f>
        <v>0</v>
      </c>
      <c r="L126" s="8">
        <f>'MKT DATA'!P1484</f>
        <v>84711</v>
      </c>
      <c r="M126" s="8">
        <f>'MKT DATA'!Q1484</f>
        <v>0</v>
      </c>
      <c r="N126" s="8">
        <f>'MKT DATA'!R1484</f>
        <v>0</v>
      </c>
      <c r="O126" s="8">
        <f>'MKT DATA'!S1484</f>
        <v>-85390</v>
      </c>
      <c r="P126" s="8">
        <f>'MKT DATA'!T1484</f>
        <v>0</v>
      </c>
      <c r="Q126" s="43" t="str">
        <f t="shared" si="5"/>
        <v>syn BTCX6/BTCV6/BTCF7/BTCZ6/BTCG7</v>
      </c>
      <c r="R126" s="13">
        <f>'MKT DATA'!AB1484</f>
        <v>0</v>
      </c>
    </row>
    <row r="127" spans="5:18" x14ac:dyDescent="0.25">
      <c r="E127" s="43" t="str">
        <f>'MKT DATA'!B1485</f>
        <v>syn BTCX6/BTCV6/BTCF7/BTCH7/BTCG7</v>
      </c>
      <c r="F127" s="13">
        <f>'MKT DATA'!J1485</f>
        <v>1</v>
      </c>
      <c r="G127" s="8">
        <f>'MKT DATA'!K1485</f>
        <v>84280</v>
      </c>
      <c r="H127" s="8">
        <f>'MKT DATA'!L1485</f>
        <v>85762</v>
      </c>
      <c r="I127" s="13">
        <f>'MKT DATA'!M1485</f>
        <v>1</v>
      </c>
      <c r="J127" s="43" t="str">
        <f t="shared" si="4"/>
        <v>syn BTCX6/BTCV6/BTCF7/BTCH7/BTCG7</v>
      </c>
      <c r="K127" s="8">
        <f>'MKT DATA'!O1485</f>
        <v>0</v>
      </c>
      <c r="L127" s="8">
        <f>'MKT DATA'!P1485</f>
        <v>84280</v>
      </c>
      <c r="M127" s="8">
        <f>'MKT DATA'!Q1485</f>
        <v>0</v>
      </c>
      <c r="N127" s="8">
        <f>'MKT DATA'!R1485</f>
        <v>0</v>
      </c>
      <c r="O127" s="8">
        <f>'MKT DATA'!S1485</f>
        <v>-85762</v>
      </c>
      <c r="P127" s="8">
        <f>'MKT DATA'!T1485</f>
        <v>0</v>
      </c>
      <c r="Q127" s="43" t="str">
        <f t="shared" si="5"/>
        <v>syn BTCX6/BTCV6/BTCF7/BTCH7/BTCG7</v>
      </c>
      <c r="R127" s="13">
        <f>'MKT DATA'!AB1485</f>
        <v>0</v>
      </c>
    </row>
    <row r="128" spans="5:18" x14ac:dyDescent="0.25">
      <c r="E128" s="43" t="str">
        <f>'MKT DATA'!B1486</f>
        <v>syn BTCX6/BTCV6/BTCH7/BTCZ6/BTCG7</v>
      </c>
      <c r="F128" s="13">
        <f>'MKT DATA'!J1486</f>
        <v>1</v>
      </c>
      <c r="G128" s="8">
        <f>'MKT DATA'!K1486</f>
        <v>84044</v>
      </c>
      <c r="H128" s="8">
        <f>'MKT DATA'!L1486</f>
        <v>85903</v>
      </c>
      <c r="I128" s="13">
        <f>'MKT DATA'!M1486</f>
        <v>1</v>
      </c>
      <c r="J128" s="43" t="str">
        <f t="shared" si="4"/>
        <v>syn BTCX6/BTCV6/BTCH7/BTCZ6/BTCG7</v>
      </c>
      <c r="K128" s="8">
        <f>'MKT DATA'!O1486</f>
        <v>0</v>
      </c>
      <c r="L128" s="8">
        <f>'MKT DATA'!P1486</f>
        <v>84044</v>
      </c>
      <c r="M128" s="8">
        <f>'MKT DATA'!Q1486</f>
        <v>0</v>
      </c>
      <c r="N128" s="8">
        <f>'MKT DATA'!R1486</f>
        <v>0</v>
      </c>
      <c r="O128" s="8">
        <f>'MKT DATA'!S1486</f>
        <v>-85903</v>
      </c>
      <c r="P128" s="8">
        <f>'MKT DATA'!T1486</f>
        <v>0</v>
      </c>
      <c r="Q128" s="43" t="str">
        <f t="shared" si="5"/>
        <v>syn BTCX6/BTCV6/BTCH7/BTCZ6/BTCG7</v>
      </c>
      <c r="R128" s="13">
        <f>'MKT DATA'!AB1486</f>
        <v>0</v>
      </c>
    </row>
    <row r="129" spans="5:18" x14ac:dyDescent="0.25">
      <c r="E129" s="43" t="str">
        <f>'MKT DATA'!B1487</f>
        <v>syn BTCX6/BTCV6/BTCH7/BTCF7/BTCG7</v>
      </c>
      <c r="F129" s="13">
        <f>'MKT DATA'!J1487</f>
        <v>1</v>
      </c>
      <c r="G129" s="8">
        <f>'MKT DATA'!K1487</f>
        <v>84098</v>
      </c>
      <c r="H129" s="8">
        <f>'MKT DATA'!L1487</f>
        <v>86013</v>
      </c>
      <c r="I129" s="13">
        <f>'MKT DATA'!M1487</f>
        <v>1</v>
      </c>
      <c r="J129" s="43" t="str">
        <f t="shared" si="4"/>
        <v>syn BTCX6/BTCV6/BTCH7/BTCF7/BTCG7</v>
      </c>
      <c r="K129" s="8">
        <f>'MKT DATA'!O1487</f>
        <v>0</v>
      </c>
      <c r="L129" s="8">
        <f>'MKT DATA'!P1487</f>
        <v>84098</v>
      </c>
      <c r="M129" s="8">
        <f>'MKT DATA'!Q1487</f>
        <v>0</v>
      </c>
      <c r="N129" s="8">
        <f>'MKT DATA'!R1487</f>
        <v>0</v>
      </c>
      <c r="O129" s="8">
        <f>'MKT DATA'!S1487</f>
        <v>-86013</v>
      </c>
      <c r="P129" s="8">
        <f>'MKT DATA'!T1487</f>
        <v>0</v>
      </c>
      <c r="Q129" s="43" t="str">
        <f t="shared" si="5"/>
        <v>syn BTCX6/BTCV6/BTCH7/BTCF7/BTCG7</v>
      </c>
      <c r="R129" s="13">
        <f>'MKT DATA'!AB1487</f>
        <v>0</v>
      </c>
    </row>
    <row r="130" spans="5:18" x14ac:dyDescent="0.25">
      <c r="E130" s="43" t="str">
        <f>'MKT DATA'!B1488</f>
        <v>syn BTCX6/BTCZ6/BTCV6/BTCF7/BTCG7</v>
      </c>
      <c r="F130" s="13">
        <f>'MKT DATA'!J1488</f>
        <v>1</v>
      </c>
      <c r="G130" s="8">
        <f>'MKT DATA'!K1488</f>
        <v>84827</v>
      </c>
      <c r="H130" s="8">
        <f>'MKT DATA'!L1488</f>
        <v>85254</v>
      </c>
      <c r="I130" s="13">
        <f>'MKT DATA'!M1488</f>
        <v>1</v>
      </c>
      <c r="J130" s="43" t="str">
        <f t="shared" si="4"/>
        <v>syn BTCX6/BTCZ6/BTCV6/BTCF7/BTCG7</v>
      </c>
      <c r="K130" s="8">
        <f>'MKT DATA'!O1488</f>
        <v>0</v>
      </c>
      <c r="L130" s="8">
        <f>'MKT DATA'!P1488</f>
        <v>84827</v>
      </c>
      <c r="M130" s="8">
        <f>'MKT DATA'!Q1488</f>
        <v>0</v>
      </c>
      <c r="N130" s="8">
        <f>'MKT DATA'!R1488</f>
        <v>0</v>
      </c>
      <c r="O130" s="8">
        <f>'MKT DATA'!S1488</f>
        <v>-85254</v>
      </c>
      <c r="P130" s="8">
        <f>'MKT DATA'!T1488</f>
        <v>0</v>
      </c>
      <c r="Q130" s="43" t="str">
        <f t="shared" si="5"/>
        <v>syn BTCX6/BTCZ6/BTCV6/BTCF7/BTCG7</v>
      </c>
      <c r="R130" s="13">
        <f>'MKT DATA'!AB1488</f>
        <v>0</v>
      </c>
    </row>
    <row r="131" spans="5:18" x14ac:dyDescent="0.25">
      <c r="E131" s="43" t="str">
        <f>'MKT DATA'!B1489</f>
        <v>syn BTCX6/BTCZ6/BTCV6/BTCH7/BTCG7</v>
      </c>
      <c r="F131" s="13">
        <f>'MKT DATA'!J1489</f>
        <v>1</v>
      </c>
      <c r="G131" s="8">
        <f>'MKT DATA'!K1489</f>
        <v>84422</v>
      </c>
      <c r="H131" s="8">
        <f>'MKT DATA'!L1489</f>
        <v>85650</v>
      </c>
      <c r="I131" s="13">
        <f>'MKT DATA'!M1489</f>
        <v>1</v>
      </c>
      <c r="J131" s="43" t="str">
        <f t="shared" si="4"/>
        <v>syn BTCX6/BTCZ6/BTCV6/BTCH7/BTCG7</v>
      </c>
      <c r="K131" s="8">
        <f>'MKT DATA'!O1489</f>
        <v>0</v>
      </c>
      <c r="L131" s="8">
        <f>'MKT DATA'!P1489</f>
        <v>84422</v>
      </c>
      <c r="M131" s="8">
        <f>'MKT DATA'!Q1489</f>
        <v>0</v>
      </c>
      <c r="N131" s="8">
        <f>'MKT DATA'!R1489</f>
        <v>0</v>
      </c>
      <c r="O131" s="8">
        <f>'MKT DATA'!S1489</f>
        <v>-85650</v>
      </c>
      <c r="P131" s="8">
        <f>'MKT DATA'!T1489</f>
        <v>0</v>
      </c>
      <c r="Q131" s="43" t="str">
        <f t="shared" si="5"/>
        <v>syn BTCX6/BTCZ6/BTCV6/BTCH7/BTCG7</v>
      </c>
      <c r="R131" s="13">
        <f>'MKT DATA'!AB1489</f>
        <v>0</v>
      </c>
    </row>
    <row r="132" spans="5:18" x14ac:dyDescent="0.25">
      <c r="E132" s="43" t="str">
        <f>'MKT DATA'!B1490</f>
        <v>syn BTCX6/BTCZ6/BTCF7/BTCV6/BTCG7</v>
      </c>
      <c r="F132" s="13">
        <f>'MKT DATA'!J1490</f>
        <v>1</v>
      </c>
      <c r="G132" s="8">
        <f>'MKT DATA'!K1490</f>
        <v>84767</v>
      </c>
      <c r="H132" s="8">
        <f>'MKT DATA'!L1490</f>
        <v>85394</v>
      </c>
      <c r="I132" s="13">
        <f>'MKT DATA'!M1490</f>
        <v>1</v>
      </c>
      <c r="J132" s="43" t="str">
        <f t="shared" si="4"/>
        <v>syn BTCX6/BTCZ6/BTCF7/BTCV6/BTCG7</v>
      </c>
      <c r="K132" s="8">
        <f>'MKT DATA'!O1490</f>
        <v>0</v>
      </c>
      <c r="L132" s="8">
        <f>'MKT DATA'!P1490</f>
        <v>84767</v>
      </c>
      <c r="M132" s="8">
        <f>'MKT DATA'!Q1490</f>
        <v>0</v>
      </c>
      <c r="N132" s="8">
        <f>'MKT DATA'!R1490</f>
        <v>0</v>
      </c>
      <c r="O132" s="8">
        <f>'MKT DATA'!S1490</f>
        <v>-85394</v>
      </c>
      <c r="P132" s="8">
        <f>'MKT DATA'!T1490</f>
        <v>0</v>
      </c>
      <c r="Q132" s="43" t="str">
        <f t="shared" si="5"/>
        <v>syn BTCX6/BTCZ6/BTCF7/BTCV6/BTCG7</v>
      </c>
      <c r="R132" s="13">
        <f>'MKT DATA'!AB1490</f>
        <v>0</v>
      </c>
    </row>
    <row r="133" spans="5:18" x14ac:dyDescent="0.25">
      <c r="E133" s="43" t="str">
        <f>'MKT DATA'!B1491</f>
        <v>syn BTCX6/BTCZ6/BTCF7/BTCH7/BTCG7</v>
      </c>
      <c r="F133" s="13">
        <f>'MKT DATA'!J1491</f>
        <v>1</v>
      </c>
      <c r="G133" s="8">
        <f>'MKT DATA'!K1491</f>
        <v>84346</v>
      </c>
      <c r="H133" s="8">
        <f>'MKT DATA'!L1491</f>
        <v>85730</v>
      </c>
      <c r="I133" s="13">
        <f>'MKT DATA'!M1491</f>
        <v>1</v>
      </c>
      <c r="J133" s="43" t="str">
        <f t="shared" si="4"/>
        <v>syn BTCX6/BTCZ6/BTCF7/BTCH7/BTCG7</v>
      </c>
      <c r="K133" s="8">
        <f>'MKT DATA'!O1491</f>
        <v>0</v>
      </c>
      <c r="L133" s="8">
        <f>'MKT DATA'!P1491</f>
        <v>84346</v>
      </c>
      <c r="M133" s="8">
        <f>'MKT DATA'!Q1491</f>
        <v>0</v>
      </c>
      <c r="N133" s="8">
        <f>'MKT DATA'!R1491</f>
        <v>0</v>
      </c>
      <c r="O133" s="8">
        <f>'MKT DATA'!S1491</f>
        <v>-85730</v>
      </c>
      <c r="P133" s="8">
        <f>'MKT DATA'!T1491</f>
        <v>0</v>
      </c>
      <c r="Q133" s="43" t="str">
        <f t="shared" si="5"/>
        <v>syn BTCX6/BTCZ6/BTCF7/BTCH7/BTCG7</v>
      </c>
      <c r="R133" s="13">
        <f>'MKT DATA'!AB1491</f>
        <v>0</v>
      </c>
    </row>
    <row r="134" spans="5:18" x14ac:dyDescent="0.25">
      <c r="E134" s="43" t="str">
        <f>'MKT DATA'!B1492</f>
        <v>syn BTCX6/BTCZ6/BTCH7/BTCV6/BTCG7</v>
      </c>
      <c r="F134" s="13">
        <f>'MKT DATA'!J1492</f>
        <v>1</v>
      </c>
      <c r="G134" s="8">
        <f>'MKT DATA'!K1492</f>
        <v>84254</v>
      </c>
      <c r="H134" s="8">
        <f>'MKT DATA'!L1492</f>
        <v>86061</v>
      </c>
      <c r="I134" s="13">
        <f>'MKT DATA'!M1492</f>
        <v>1</v>
      </c>
      <c r="J134" s="43" t="str">
        <f t="shared" si="4"/>
        <v>syn BTCX6/BTCZ6/BTCH7/BTCV6/BTCG7</v>
      </c>
      <c r="K134" s="8">
        <f>'MKT DATA'!O1492</f>
        <v>0</v>
      </c>
      <c r="L134" s="8">
        <f>'MKT DATA'!P1492</f>
        <v>84254</v>
      </c>
      <c r="M134" s="8">
        <f>'MKT DATA'!Q1492</f>
        <v>0</v>
      </c>
      <c r="N134" s="8">
        <f>'MKT DATA'!R1492</f>
        <v>0</v>
      </c>
      <c r="O134" s="8">
        <f>'MKT DATA'!S1492</f>
        <v>-86061</v>
      </c>
      <c r="P134" s="8">
        <f>'MKT DATA'!T1492</f>
        <v>0</v>
      </c>
      <c r="Q134" s="43" t="str">
        <f t="shared" si="5"/>
        <v>syn BTCX6/BTCZ6/BTCH7/BTCV6/BTCG7</v>
      </c>
      <c r="R134" s="13">
        <f>'MKT DATA'!AB1492</f>
        <v>0</v>
      </c>
    </row>
    <row r="135" spans="5:18" x14ac:dyDescent="0.25">
      <c r="E135" s="43" t="str">
        <f>'MKT DATA'!B1493</f>
        <v>syn BTCX6/BTCZ6/BTCH7/BTCF7/BTCG7</v>
      </c>
      <c r="F135" s="13">
        <f>'MKT DATA'!J1493</f>
        <v>1</v>
      </c>
      <c r="G135" s="8">
        <f>'MKT DATA'!K1493</f>
        <v>84268</v>
      </c>
      <c r="H135" s="8">
        <f>'MKT DATA'!L1493</f>
        <v>86031</v>
      </c>
      <c r="I135" s="13">
        <f>'MKT DATA'!M1493</f>
        <v>1</v>
      </c>
      <c r="J135" s="43" t="str">
        <f t="shared" si="4"/>
        <v>syn BTCX6/BTCZ6/BTCH7/BTCF7/BTCG7</v>
      </c>
      <c r="K135" s="8">
        <f>'MKT DATA'!O1493</f>
        <v>0</v>
      </c>
      <c r="L135" s="8">
        <f>'MKT DATA'!P1493</f>
        <v>84268</v>
      </c>
      <c r="M135" s="8">
        <f>'MKT DATA'!Q1493</f>
        <v>0</v>
      </c>
      <c r="N135" s="8">
        <f>'MKT DATA'!R1493</f>
        <v>0</v>
      </c>
      <c r="O135" s="8">
        <f>'MKT DATA'!S1493</f>
        <v>-86031</v>
      </c>
      <c r="P135" s="8">
        <f>'MKT DATA'!T1493</f>
        <v>0</v>
      </c>
      <c r="Q135" s="43" t="str">
        <f t="shared" si="5"/>
        <v>syn BTCX6/BTCZ6/BTCH7/BTCF7/BTCG7</v>
      </c>
      <c r="R135" s="13">
        <f>'MKT DATA'!AB1493</f>
        <v>0</v>
      </c>
    </row>
    <row r="136" spans="5:18" x14ac:dyDescent="0.25">
      <c r="E136" s="43" t="str">
        <f>'MKT DATA'!B1494</f>
        <v>syn BTCX6/BTCF7/BTCV6/BTCZ6/BTCG7</v>
      </c>
      <c r="F136" s="13">
        <f>'MKT DATA'!J1494</f>
        <v>1</v>
      </c>
      <c r="G136" s="8">
        <f>'MKT DATA'!K1494</f>
        <v>84678</v>
      </c>
      <c r="H136" s="8">
        <f>'MKT DATA'!L1494</f>
        <v>85460</v>
      </c>
      <c r="I136" s="13">
        <f>'MKT DATA'!M1494</f>
        <v>1</v>
      </c>
      <c r="J136" s="43" t="str">
        <f t="shared" si="4"/>
        <v>syn BTCX6/BTCF7/BTCV6/BTCZ6/BTCG7</v>
      </c>
      <c r="K136" s="8">
        <f>'MKT DATA'!O1494</f>
        <v>0</v>
      </c>
      <c r="L136" s="8">
        <f>'MKT DATA'!P1494</f>
        <v>84678</v>
      </c>
      <c r="M136" s="8">
        <f>'MKT DATA'!Q1494</f>
        <v>0</v>
      </c>
      <c r="N136" s="8">
        <f>'MKT DATA'!R1494</f>
        <v>0</v>
      </c>
      <c r="O136" s="8">
        <f>'MKT DATA'!S1494</f>
        <v>-85460</v>
      </c>
      <c r="P136" s="8">
        <f>'MKT DATA'!T1494</f>
        <v>0</v>
      </c>
      <c r="Q136" s="43" t="str">
        <f t="shared" si="5"/>
        <v>syn BTCX6/BTCF7/BTCV6/BTCZ6/BTCG7</v>
      </c>
      <c r="R136" s="13">
        <f>'MKT DATA'!AB1494</f>
        <v>0</v>
      </c>
    </row>
    <row r="137" spans="5:18" x14ac:dyDescent="0.25">
      <c r="E137" s="43" t="str">
        <f>'MKT DATA'!B1495</f>
        <v>syn BTCX6/BTCF7/BTCV6/BTCH7/BTCG7</v>
      </c>
      <c r="F137" s="13">
        <f>'MKT DATA'!J1495</f>
        <v>1</v>
      </c>
      <c r="G137" s="8">
        <f>'MKT DATA'!K1495</f>
        <v>84322</v>
      </c>
      <c r="H137" s="8">
        <f>'MKT DATA'!L1495</f>
        <v>85753</v>
      </c>
      <c r="I137" s="13">
        <f>'MKT DATA'!M1495</f>
        <v>1</v>
      </c>
      <c r="J137" s="43" t="str">
        <f t="shared" si="4"/>
        <v>syn BTCX6/BTCF7/BTCV6/BTCH7/BTCG7</v>
      </c>
      <c r="K137" s="8">
        <f>'MKT DATA'!O1495</f>
        <v>0</v>
      </c>
      <c r="L137" s="8">
        <f>'MKT DATA'!P1495</f>
        <v>84322</v>
      </c>
      <c r="M137" s="8">
        <f>'MKT DATA'!Q1495</f>
        <v>0</v>
      </c>
      <c r="N137" s="8">
        <f>'MKT DATA'!R1495</f>
        <v>0</v>
      </c>
      <c r="O137" s="8">
        <f>'MKT DATA'!S1495</f>
        <v>-85753</v>
      </c>
      <c r="P137" s="8">
        <f>'MKT DATA'!T1495</f>
        <v>0</v>
      </c>
      <c r="Q137" s="43" t="str">
        <f t="shared" si="5"/>
        <v>syn BTCX6/BTCF7/BTCV6/BTCH7/BTCG7</v>
      </c>
      <c r="R137" s="13">
        <f>'MKT DATA'!AB1495</f>
        <v>0</v>
      </c>
    </row>
    <row r="138" spans="5:18" x14ac:dyDescent="0.25">
      <c r="E138" s="43" t="str">
        <f>'MKT DATA'!B1496</f>
        <v>syn BTCX6/BTCF7/BTCZ6/BTCV6/BTCG7</v>
      </c>
      <c r="F138" s="13">
        <f>'MKT DATA'!J1496</f>
        <v>1</v>
      </c>
      <c r="G138" s="8">
        <f>'MKT DATA'!K1496</f>
        <v>84750</v>
      </c>
      <c r="H138" s="8">
        <f>'MKT DATA'!L1496</f>
        <v>85346</v>
      </c>
      <c r="I138" s="13">
        <f>'MKT DATA'!M1496</f>
        <v>1</v>
      </c>
      <c r="J138" s="43" t="str">
        <f t="shared" ref="J138:J201" si="6">E138</f>
        <v>syn BTCX6/BTCF7/BTCZ6/BTCV6/BTCG7</v>
      </c>
      <c r="K138" s="8">
        <f>'MKT DATA'!O1496</f>
        <v>0</v>
      </c>
      <c r="L138" s="8">
        <f>'MKT DATA'!P1496</f>
        <v>84750</v>
      </c>
      <c r="M138" s="8">
        <f>'MKT DATA'!Q1496</f>
        <v>0</v>
      </c>
      <c r="N138" s="8">
        <f>'MKT DATA'!R1496</f>
        <v>0</v>
      </c>
      <c r="O138" s="8">
        <f>'MKT DATA'!S1496</f>
        <v>-85346</v>
      </c>
      <c r="P138" s="8">
        <f>'MKT DATA'!T1496</f>
        <v>0</v>
      </c>
      <c r="Q138" s="43" t="str">
        <f t="shared" ref="Q138:Q201" si="7">J138</f>
        <v>syn BTCX6/BTCF7/BTCZ6/BTCV6/BTCG7</v>
      </c>
      <c r="R138" s="13">
        <f>'MKT DATA'!AB1496</f>
        <v>0</v>
      </c>
    </row>
    <row r="139" spans="5:18" x14ac:dyDescent="0.25">
      <c r="E139" s="43" t="str">
        <f>'MKT DATA'!B1497</f>
        <v>syn BTCX6/BTCF7/BTCZ6/BTCH7/BTCG7</v>
      </c>
      <c r="F139" s="13">
        <f>'MKT DATA'!J1497</f>
        <v>1</v>
      </c>
      <c r="G139" s="8">
        <f>'MKT DATA'!K1497</f>
        <v>84542</v>
      </c>
      <c r="H139" s="8">
        <f>'MKT DATA'!L1497</f>
        <v>85687</v>
      </c>
      <c r="I139" s="13">
        <f>'MKT DATA'!M1497</f>
        <v>1</v>
      </c>
      <c r="J139" s="43" t="str">
        <f t="shared" si="6"/>
        <v>syn BTCX6/BTCF7/BTCZ6/BTCH7/BTCG7</v>
      </c>
      <c r="K139" s="8">
        <f>'MKT DATA'!O1497</f>
        <v>0</v>
      </c>
      <c r="L139" s="8">
        <f>'MKT DATA'!P1497</f>
        <v>84542</v>
      </c>
      <c r="M139" s="8">
        <f>'MKT DATA'!Q1497</f>
        <v>0</v>
      </c>
      <c r="N139" s="8">
        <f>'MKT DATA'!R1497</f>
        <v>0</v>
      </c>
      <c r="O139" s="8">
        <f>'MKT DATA'!S1497</f>
        <v>-85687</v>
      </c>
      <c r="P139" s="8">
        <f>'MKT DATA'!T1497</f>
        <v>0</v>
      </c>
      <c r="Q139" s="43" t="str">
        <f t="shared" si="7"/>
        <v>syn BTCX6/BTCF7/BTCZ6/BTCH7/BTCG7</v>
      </c>
      <c r="R139" s="13">
        <f>'MKT DATA'!AB1497</f>
        <v>0</v>
      </c>
    </row>
    <row r="140" spans="5:18" x14ac:dyDescent="0.25">
      <c r="E140" s="43" t="str">
        <f>'MKT DATA'!B1498</f>
        <v>syn BTCX6/BTCF7/BTCH7/BTCV6/BTCG7</v>
      </c>
      <c r="F140" s="13">
        <f>'MKT DATA'!J1498</f>
        <v>1</v>
      </c>
      <c r="G140" s="8">
        <f>'MKT DATA'!K1498</f>
        <v>83941</v>
      </c>
      <c r="H140" s="8">
        <f>'MKT DATA'!L1498</f>
        <v>86159</v>
      </c>
      <c r="I140" s="13">
        <f>'MKT DATA'!M1498</f>
        <v>1</v>
      </c>
      <c r="J140" s="43" t="str">
        <f t="shared" si="6"/>
        <v>syn BTCX6/BTCF7/BTCH7/BTCV6/BTCG7</v>
      </c>
      <c r="K140" s="8">
        <f>'MKT DATA'!O1498</f>
        <v>0</v>
      </c>
      <c r="L140" s="8">
        <f>'MKT DATA'!P1498</f>
        <v>83941</v>
      </c>
      <c r="M140" s="8">
        <f>'MKT DATA'!Q1498</f>
        <v>0</v>
      </c>
      <c r="N140" s="8">
        <f>'MKT DATA'!R1498</f>
        <v>0</v>
      </c>
      <c r="O140" s="8">
        <f>'MKT DATA'!S1498</f>
        <v>-86159</v>
      </c>
      <c r="P140" s="8">
        <f>'MKT DATA'!T1498</f>
        <v>0</v>
      </c>
      <c r="Q140" s="43" t="str">
        <f t="shared" si="7"/>
        <v>syn BTCX6/BTCF7/BTCH7/BTCV6/BTCG7</v>
      </c>
      <c r="R140" s="13">
        <f>'MKT DATA'!AB1498</f>
        <v>0</v>
      </c>
    </row>
    <row r="141" spans="5:18" x14ac:dyDescent="0.25">
      <c r="E141" s="43" t="str">
        <f>'MKT DATA'!B1499</f>
        <v>syn BTCX6/BTCF7/BTCH7/BTCZ6/BTCG7</v>
      </c>
      <c r="F141" s="13">
        <f>'MKT DATA'!J1499</f>
        <v>1</v>
      </c>
      <c r="G141" s="8">
        <f>'MKT DATA'!K1499</f>
        <v>83901</v>
      </c>
      <c r="H141" s="8">
        <f>'MKT DATA'!L1499</f>
        <v>86019</v>
      </c>
      <c r="I141" s="13">
        <f>'MKT DATA'!M1499</f>
        <v>1</v>
      </c>
      <c r="J141" s="43" t="str">
        <f t="shared" si="6"/>
        <v>syn BTCX6/BTCF7/BTCH7/BTCZ6/BTCG7</v>
      </c>
      <c r="K141" s="8">
        <f>'MKT DATA'!O1499</f>
        <v>0</v>
      </c>
      <c r="L141" s="8">
        <f>'MKT DATA'!P1499</f>
        <v>83901</v>
      </c>
      <c r="M141" s="8">
        <f>'MKT DATA'!Q1499</f>
        <v>0</v>
      </c>
      <c r="N141" s="8">
        <f>'MKT DATA'!R1499</f>
        <v>0</v>
      </c>
      <c r="O141" s="8">
        <f>'MKT DATA'!S1499</f>
        <v>-86019</v>
      </c>
      <c r="P141" s="8">
        <f>'MKT DATA'!T1499</f>
        <v>0</v>
      </c>
      <c r="Q141" s="43" t="str">
        <f t="shared" si="7"/>
        <v>syn BTCX6/BTCF7/BTCH7/BTCZ6/BTCG7</v>
      </c>
      <c r="R141" s="13">
        <f>'MKT DATA'!AB1499</f>
        <v>0</v>
      </c>
    </row>
    <row r="142" spans="5:18" x14ac:dyDescent="0.25">
      <c r="E142" s="43" t="str">
        <f>'MKT DATA'!B1500</f>
        <v>syn BTCX6/BTCH7/BTCV6/BTCZ6/BTCG7</v>
      </c>
      <c r="F142" s="13">
        <f>'MKT DATA'!J1500</f>
        <v>1</v>
      </c>
      <c r="G142" s="8">
        <f>'MKT DATA'!K1500</f>
        <v>84021</v>
      </c>
      <c r="H142" s="8">
        <f>'MKT DATA'!L1500</f>
        <v>86107</v>
      </c>
      <c r="I142" s="13">
        <f>'MKT DATA'!M1500</f>
        <v>1</v>
      </c>
      <c r="J142" s="43" t="str">
        <f t="shared" si="6"/>
        <v>syn BTCX6/BTCH7/BTCV6/BTCZ6/BTCG7</v>
      </c>
      <c r="K142" s="8">
        <f>'MKT DATA'!O1500</f>
        <v>0</v>
      </c>
      <c r="L142" s="8">
        <f>'MKT DATA'!P1500</f>
        <v>84021</v>
      </c>
      <c r="M142" s="8">
        <f>'MKT DATA'!Q1500</f>
        <v>0</v>
      </c>
      <c r="N142" s="8">
        <f>'MKT DATA'!R1500</f>
        <v>0</v>
      </c>
      <c r="O142" s="8">
        <f>'MKT DATA'!S1500</f>
        <v>-86107</v>
      </c>
      <c r="P142" s="8">
        <f>'MKT DATA'!T1500</f>
        <v>0</v>
      </c>
      <c r="Q142" s="43" t="str">
        <f t="shared" si="7"/>
        <v>syn BTCX6/BTCH7/BTCV6/BTCZ6/BTCG7</v>
      </c>
      <c r="R142" s="13">
        <f>'MKT DATA'!AB1500</f>
        <v>0</v>
      </c>
    </row>
    <row r="143" spans="5:18" x14ac:dyDescent="0.25">
      <c r="E143" s="43" t="str">
        <f>'MKT DATA'!B1501</f>
        <v>syn BTCX6/BTCH7/BTCV6/BTCF7/BTCG7</v>
      </c>
      <c r="F143" s="13">
        <f>'MKT DATA'!J1501</f>
        <v>1</v>
      </c>
      <c r="G143" s="8">
        <f>'MKT DATA'!K1501</f>
        <v>84070</v>
      </c>
      <c r="H143" s="8">
        <f>'MKT DATA'!L1501</f>
        <v>86004</v>
      </c>
      <c r="I143" s="13">
        <f>'MKT DATA'!M1501</f>
        <v>1</v>
      </c>
      <c r="J143" s="43" t="str">
        <f t="shared" si="6"/>
        <v>syn BTCX6/BTCH7/BTCV6/BTCF7/BTCG7</v>
      </c>
      <c r="K143" s="8">
        <f>'MKT DATA'!O1501</f>
        <v>0</v>
      </c>
      <c r="L143" s="8">
        <f>'MKT DATA'!P1501</f>
        <v>84070</v>
      </c>
      <c r="M143" s="8">
        <f>'MKT DATA'!Q1501</f>
        <v>0</v>
      </c>
      <c r="N143" s="8">
        <f>'MKT DATA'!R1501</f>
        <v>0</v>
      </c>
      <c r="O143" s="8">
        <f>'MKT DATA'!S1501</f>
        <v>-86004</v>
      </c>
      <c r="P143" s="8">
        <f>'MKT DATA'!T1501</f>
        <v>0</v>
      </c>
      <c r="Q143" s="43" t="str">
        <f t="shared" si="7"/>
        <v>syn BTCX6/BTCH7/BTCV6/BTCF7/BTCG7</v>
      </c>
      <c r="R143" s="13">
        <f>'MKT DATA'!AB1501</f>
        <v>0</v>
      </c>
    </row>
    <row r="144" spans="5:18" x14ac:dyDescent="0.25">
      <c r="E144" s="43" t="str">
        <f>'MKT DATA'!B1502</f>
        <v>syn BTCX6/BTCH7/BTCZ6/BTCV6/BTCG7</v>
      </c>
      <c r="F144" s="13">
        <f>'MKT DATA'!J1502</f>
        <v>1</v>
      </c>
      <c r="G144" s="8">
        <f>'MKT DATA'!K1502</f>
        <v>84043</v>
      </c>
      <c r="H144" s="8">
        <f>'MKT DATA'!L1502</f>
        <v>85889</v>
      </c>
      <c r="I144" s="13">
        <f>'MKT DATA'!M1502</f>
        <v>1</v>
      </c>
      <c r="J144" s="43" t="str">
        <f t="shared" si="6"/>
        <v>syn BTCX6/BTCH7/BTCZ6/BTCV6/BTCG7</v>
      </c>
      <c r="K144" s="8">
        <f>'MKT DATA'!O1502</f>
        <v>0</v>
      </c>
      <c r="L144" s="8">
        <f>'MKT DATA'!P1502</f>
        <v>84043</v>
      </c>
      <c r="M144" s="8">
        <f>'MKT DATA'!Q1502</f>
        <v>0</v>
      </c>
      <c r="N144" s="8">
        <f>'MKT DATA'!R1502</f>
        <v>0</v>
      </c>
      <c r="O144" s="8">
        <f>'MKT DATA'!S1502</f>
        <v>-85889</v>
      </c>
      <c r="P144" s="8">
        <f>'MKT DATA'!T1502</f>
        <v>0</v>
      </c>
      <c r="Q144" s="43" t="str">
        <f t="shared" si="7"/>
        <v>syn BTCX6/BTCH7/BTCZ6/BTCV6/BTCG7</v>
      </c>
      <c r="R144" s="13">
        <f>'MKT DATA'!AB1502</f>
        <v>0</v>
      </c>
    </row>
    <row r="145" spans="5:18" x14ac:dyDescent="0.25">
      <c r="E145" s="43" t="str">
        <f>'MKT DATA'!B1503</f>
        <v>syn BTCX6/BTCH7/BTCZ6/BTCF7/BTCG7</v>
      </c>
      <c r="F145" s="13">
        <f>'MKT DATA'!J1503</f>
        <v>1</v>
      </c>
      <c r="G145" s="8">
        <f>'MKT DATA'!K1503</f>
        <v>84136</v>
      </c>
      <c r="H145" s="8">
        <f>'MKT DATA'!L1503</f>
        <v>85784</v>
      </c>
      <c r="I145" s="13">
        <f>'MKT DATA'!M1503</f>
        <v>1</v>
      </c>
      <c r="J145" s="43" t="str">
        <f t="shared" si="6"/>
        <v>syn BTCX6/BTCH7/BTCZ6/BTCF7/BTCG7</v>
      </c>
      <c r="K145" s="8">
        <f>'MKT DATA'!O1503</f>
        <v>0</v>
      </c>
      <c r="L145" s="8">
        <f>'MKT DATA'!P1503</f>
        <v>84136</v>
      </c>
      <c r="M145" s="8">
        <f>'MKT DATA'!Q1503</f>
        <v>0</v>
      </c>
      <c r="N145" s="8">
        <f>'MKT DATA'!R1503</f>
        <v>0</v>
      </c>
      <c r="O145" s="8">
        <f>'MKT DATA'!S1503</f>
        <v>-85784</v>
      </c>
      <c r="P145" s="8">
        <f>'MKT DATA'!T1503</f>
        <v>0</v>
      </c>
      <c r="Q145" s="43" t="str">
        <f t="shared" si="7"/>
        <v>syn BTCX6/BTCH7/BTCZ6/BTCF7/BTCG7</v>
      </c>
      <c r="R145" s="13">
        <f>'MKT DATA'!AB1503</f>
        <v>0</v>
      </c>
    </row>
    <row r="146" spans="5:18" x14ac:dyDescent="0.25">
      <c r="E146" s="43" t="str">
        <f>'MKT DATA'!B1504</f>
        <v>syn BTCX6/BTCH7/BTCF7/BTCV6/BTCG7</v>
      </c>
      <c r="F146" s="13">
        <f>'MKT DATA'!J1504</f>
        <v>1</v>
      </c>
      <c r="G146" s="8">
        <f>'MKT DATA'!K1504</f>
        <v>83931</v>
      </c>
      <c r="H146" s="8">
        <f>'MKT DATA'!L1504</f>
        <v>86219</v>
      </c>
      <c r="I146" s="13">
        <f>'MKT DATA'!M1504</f>
        <v>1</v>
      </c>
      <c r="J146" s="43" t="str">
        <f t="shared" si="6"/>
        <v>syn BTCX6/BTCH7/BTCF7/BTCV6/BTCG7</v>
      </c>
      <c r="K146" s="8">
        <f>'MKT DATA'!O1504</f>
        <v>0</v>
      </c>
      <c r="L146" s="8">
        <f>'MKT DATA'!P1504</f>
        <v>83931</v>
      </c>
      <c r="M146" s="8">
        <f>'MKT DATA'!Q1504</f>
        <v>0</v>
      </c>
      <c r="N146" s="8">
        <f>'MKT DATA'!R1504</f>
        <v>0</v>
      </c>
      <c r="O146" s="8">
        <f>'MKT DATA'!S1504</f>
        <v>-86219</v>
      </c>
      <c r="P146" s="8">
        <f>'MKT DATA'!T1504</f>
        <v>0</v>
      </c>
      <c r="Q146" s="43" t="str">
        <f t="shared" si="7"/>
        <v>syn BTCX6/BTCH7/BTCF7/BTCV6/BTCG7</v>
      </c>
      <c r="R146" s="13">
        <f>'MKT DATA'!AB1504</f>
        <v>0</v>
      </c>
    </row>
    <row r="147" spans="5:18" x14ac:dyDescent="0.25">
      <c r="E147" s="43" t="str">
        <f>'MKT DATA'!B1505</f>
        <v>syn BTCX6/BTCH7/BTCF7/BTCZ6/BTCG7</v>
      </c>
      <c r="F147" s="13">
        <f>'MKT DATA'!J1505</f>
        <v>1</v>
      </c>
      <c r="G147" s="8">
        <f>'MKT DATA'!K1505</f>
        <v>83941</v>
      </c>
      <c r="H147" s="8">
        <f>'MKT DATA'!L1505</f>
        <v>86183</v>
      </c>
      <c r="I147" s="13">
        <f>'MKT DATA'!M1505</f>
        <v>1</v>
      </c>
      <c r="J147" s="43" t="str">
        <f t="shared" si="6"/>
        <v>syn BTCX6/BTCH7/BTCF7/BTCZ6/BTCG7</v>
      </c>
      <c r="K147" s="8">
        <f>'MKT DATA'!O1505</f>
        <v>0</v>
      </c>
      <c r="L147" s="8">
        <f>'MKT DATA'!P1505</f>
        <v>83941</v>
      </c>
      <c r="M147" s="8">
        <f>'MKT DATA'!Q1505</f>
        <v>0</v>
      </c>
      <c r="N147" s="8">
        <f>'MKT DATA'!R1505</f>
        <v>0</v>
      </c>
      <c r="O147" s="8">
        <f>'MKT DATA'!S1505</f>
        <v>-86183</v>
      </c>
      <c r="P147" s="8">
        <f>'MKT DATA'!T1505</f>
        <v>0</v>
      </c>
      <c r="Q147" s="43" t="str">
        <f t="shared" si="7"/>
        <v>syn BTCX6/BTCH7/BTCF7/BTCZ6/BTCG7</v>
      </c>
      <c r="R147" s="13">
        <f>'MKT DATA'!AB1505</f>
        <v>0</v>
      </c>
    </row>
    <row r="148" spans="5:18" x14ac:dyDescent="0.25">
      <c r="E148" s="43" t="str">
        <f>'MKT DATA'!B1506</f>
        <v>syn BTCZ6/BTCV6/BTCX6/BTCF7/BTCG7</v>
      </c>
      <c r="F148" s="13">
        <f>'MKT DATA'!J1506</f>
        <v>1</v>
      </c>
      <c r="G148" s="8">
        <f>'MKT DATA'!K1506</f>
        <v>84830</v>
      </c>
      <c r="H148" s="8">
        <f>'MKT DATA'!L1506</f>
        <v>85239</v>
      </c>
      <c r="I148" s="13">
        <f>'MKT DATA'!M1506</f>
        <v>1</v>
      </c>
      <c r="J148" s="43" t="str">
        <f t="shared" si="6"/>
        <v>syn BTCZ6/BTCV6/BTCX6/BTCF7/BTCG7</v>
      </c>
      <c r="K148" s="8">
        <f>'MKT DATA'!O1506</f>
        <v>0</v>
      </c>
      <c r="L148" s="8">
        <f>'MKT DATA'!P1506</f>
        <v>84830</v>
      </c>
      <c r="M148" s="8">
        <f>'MKT DATA'!Q1506</f>
        <v>0</v>
      </c>
      <c r="N148" s="8">
        <f>'MKT DATA'!R1506</f>
        <v>0</v>
      </c>
      <c r="O148" s="8">
        <f>'MKT DATA'!S1506</f>
        <v>-85239</v>
      </c>
      <c r="P148" s="8">
        <f>'MKT DATA'!T1506</f>
        <v>0</v>
      </c>
      <c r="Q148" s="43" t="str">
        <f t="shared" si="7"/>
        <v>syn BTCZ6/BTCV6/BTCX6/BTCF7/BTCG7</v>
      </c>
      <c r="R148" s="13">
        <f>'MKT DATA'!AB1506</f>
        <v>0</v>
      </c>
    </row>
    <row r="149" spans="5:18" x14ac:dyDescent="0.25">
      <c r="E149" s="43" t="str">
        <f>'MKT DATA'!B1507</f>
        <v>syn BTCZ6/BTCV6/BTCX6/BTCH7/BTCG7</v>
      </c>
      <c r="F149" s="13">
        <f>'MKT DATA'!J1507</f>
        <v>1</v>
      </c>
      <c r="G149" s="8">
        <f>'MKT DATA'!K1507</f>
        <v>84385</v>
      </c>
      <c r="H149" s="8">
        <f>'MKT DATA'!L1507</f>
        <v>85665</v>
      </c>
      <c r="I149" s="13">
        <f>'MKT DATA'!M1507</f>
        <v>1</v>
      </c>
      <c r="J149" s="43" t="str">
        <f t="shared" si="6"/>
        <v>syn BTCZ6/BTCV6/BTCX6/BTCH7/BTCG7</v>
      </c>
      <c r="K149" s="8">
        <f>'MKT DATA'!O1507</f>
        <v>0</v>
      </c>
      <c r="L149" s="8">
        <f>'MKT DATA'!P1507</f>
        <v>84385</v>
      </c>
      <c r="M149" s="8">
        <f>'MKT DATA'!Q1507</f>
        <v>0</v>
      </c>
      <c r="N149" s="8">
        <f>'MKT DATA'!R1507</f>
        <v>0</v>
      </c>
      <c r="O149" s="8">
        <f>'MKT DATA'!S1507</f>
        <v>-85665</v>
      </c>
      <c r="P149" s="8">
        <f>'MKT DATA'!T1507</f>
        <v>0</v>
      </c>
      <c r="Q149" s="43" t="str">
        <f t="shared" si="7"/>
        <v>syn BTCZ6/BTCV6/BTCX6/BTCH7/BTCG7</v>
      </c>
      <c r="R149" s="13">
        <f>'MKT DATA'!AB1507</f>
        <v>0</v>
      </c>
    </row>
    <row r="150" spans="5:18" x14ac:dyDescent="0.25">
      <c r="E150" s="43" t="str">
        <f>'MKT DATA'!B1508</f>
        <v>syn BTCZ6/BTCV6/BTCF7/BTCX6/BTCG7</v>
      </c>
      <c r="F150" s="13">
        <f>'MKT DATA'!J1508</f>
        <v>1</v>
      </c>
      <c r="G150" s="8">
        <f>'MKT DATA'!K1508</f>
        <v>84660</v>
      </c>
      <c r="H150" s="8">
        <f>'MKT DATA'!L1508</f>
        <v>85442</v>
      </c>
      <c r="I150" s="13">
        <f>'MKT DATA'!M1508</f>
        <v>1</v>
      </c>
      <c r="J150" s="43" t="str">
        <f t="shared" si="6"/>
        <v>syn BTCZ6/BTCV6/BTCF7/BTCX6/BTCG7</v>
      </c>
      <c r="K150" s="8">
        <f>'MKT DATA'!O1508</f>
        <v>0</v>
      </c>
      <c r="L150" s="8">
        <f>'MKT DATA'!P1508</f>
        <v>84660</v>
      </c>
      <c r="M150" s="8">
        <f>'MKT DATA'!Q1508</f>
        <v>0</v>
      </c>
      <c r="N150" s="8">
        <f>'MKT DATA'!R1508</f>
        <v>0</v>
      </c>
      <c r="O150" s="8">
        <f>'MKT DATA'!S1508</f>
        <v>-85442</v>
      </c>
      <c r="P150" s="8">
        <f>'MKT DATA'!T1508</f>
        <v>0</v>
      </c>
      <c r="Q150" s="43" t="str">
        <f t="shared" si="7"/>
        <v>syn BTCZ6/BTCV6/BTCF7/BTCX6/BTCG7</v>
      </c>
      <c r="R150" s="13">
        <f>'MKT DATA'!AB1508</f>
        <v>0</v>
      </c>
    </row>
    <row r="151" spans="5:18" x14ac:dyDescent="0.25">
      <c r="E151" s="43" t="str">
        <f>'MKT DATA'!B1509</f>
        <v>syn BTCZ6/BTCV6/BTCF7/BTCH7/BTCG7</v>
      </c>
      <c r="F151" s="13">
        <f>'MKT DATA'!J1509</f>
        <v>1</v>
      </c>
      <c r="G151" s="8">
        <f>'MKT DATA'!K1509</f>
        <v>84234</v>
      </c>
      <c r="H151" s="8">
        <f>'MKT DATA'!L1509</f>
        <v>85793</v>
      </c>
      <c r="I151" s="13">
        <f>'MKT DATA'!M1509</f>
        <v>1</v>
      </c>
      <c r="J151" s="43" t="str">
        <f t="shared" si="6"/>
        <v>syn BTCZ6/BTCV6/BTCF7/BTCH7/BTCG7</v>
      </c>
      <c r="K151" s="8">
        <f>'MKT DATA'!O1509</f>
        <v>0</v>
      </c>
      <c r="L151" s="8">
        <f>'MKT DATA'!P1509</f>
        <v>84234</v>
      </c>
      <c r="M151" s="8">
        <f>'MKT DATA'!Q1509</f>
        <v>0</v>
      </c>
      <c r="N151" s="8">
        <f>'MKT DATA'!R1509</f>
        <v>0</v>
      </c>
      <c r="O151" s="8">
        <f>'MKT DATA'!S1509</f>
        <v>-85793</v>
      </c>
      <c r="P151" s="8">
        <f>'MKT DATA'!T1509</f>
        <v>0</v>
      </c>
      <c r="Q151" s="43" t="str">
        <f t="shared" si="7"/>
        <v>syn BTCZ6/BTCV6/BTCF7/BTCH7/BTCG7</v>
      </c>
      <c r="R151" s="13">
        <f>'MKT DATA'!AB1509</f>
        <v>0</v>
      </c>
    </row>
    <row r="152" spans="5:18" x14ac:dyDescent="0.25">
      <c r="E152" s="43" t="str">
        <f>'MKT DATA'!B1510</f>
        <v>syn BTCZ6/BTCV6/BTCH7/BTCX6/BTCG7</v>
      </c>
      <c r="F152" s="13">
        <f>'MKT DATA'!J1510</f>
        <v>1</v>
      </c>
      <c r="G152" s="8">
        <f>'MKT DATA'!K1510</f>
        <v>84013</v>
      </c>
      <c r="H152" s="8">
        <f>'MKT DATA'!L1510</f>
        <v>86099</v>
      </c>
      <c r="I152" s="13">
        <f>'MKT DATA'!M1510</f>
        <v>1</v>
      </c>
      <c r="J152" s="43" t="str">
        <f t="shared" si="6"/>
        <v>syn BTCZ6/BTCV6/BTCH7/BTCX6/BTCG7</v>
      </c>
      <c r="K152" s="8">
        <f>'MKT DATA'!O1510</f>
        <v>0</v>
      </c>
      <c r="L152" s="8">
        <f>'MKT DATA'!P1510</f>
        <v>84013</v>
      </c>
      <c r="M152" s="8">
        <f>'MKT DATA'!Q1510</f>
        <v>0</v>
      </c>
      <c r="N152" s="8">
        <f>'MKT DATA'!R1510</f>
        <v>0</v>
      </c>
      <c r="O152" s="8">
        <f>'MKT DATA'!S1510</f>
        <v>-86099</v>
      </c>
      <c r="P152" s="8">
        <f>'MKT DATA'!T1510</f>
        <v>0</v>
      </c>
      <c r="Q152" s="43" t="str">
        <f t="shared" si="7"/>
        <v>syn BTCZ6/BTCV6/BTCH7/BTCX6/BTCG7</v>
      </c>
      <c r="R152" s="13">
        <f>'MKT DATA'!AB1510</f>
        <v>0</v>
      </c>
    </row>
    <row r="153" spans="5:18" x14ac:dyDescent="0.25">
      <c r="E153" s="43" t="str">
        <f>'MKT DATA'!B1511</f>
        <v>syn BTCZ6/BTCV6/BTCH7/BTCF7/BTCG7</v>
      </c>
      <c r="F153" s="13">
        <f>'MKT DATA'!J1511</f>
        <v>1</v>
      </c>
      <c r="G153" s="8">
        <f>'MKT DATA'!K1511</f>
        <v>84052</v>
      </c>
      <c r="H153" s="8">
        <f>'MKT DATA'!L1511</f>
        <v>86044</v>
      </c>
      <c r="I153" s="13">
        <f>'MKT DATA'!M1511</f>
        <v>1</v>
      </c>
      <c r="J153" s="43" t="str">
        <f t="shared" si="6"/>
        <v>syn BTCZ6/BTCV6/BTCH7/BTCF7/BTCG7</v>
      </c>
      <c r="K153" s="8">
        <f>'MKT DATA'!O1511</f>
        <v>0</v>
      </c>
      <c r="L153" s="8">
        <f>'MKT DATA'!P1511</f>
        <v>84052</v>
      </c>
      <c r="M153" s="8">
        <f>'MKT DATA'!Q1511</f>
        <v>0</v>
      </c>
      <c r="N153" s="8">
        <f>'MKT DATA'!R1511</f>
        <v>0</v>
      </c>
      <c r="O153" s="8">
        <f>'MKT DATA'!S1511</f>
        <v>-86044</v>
      </c>
      <c r="P153" s="8">
        <f>'MKT DATA'!T1511</f>
        <v>0</v>
      </c>
      <c r="Q153" s="43" t="str">
        <f t="shared" si="7"/>
        <v>syn BTCZ6/BTCV6/BTCH7/BTCF7/BTCG7</v>
      </c>
      <c r="R153" s="13">
        <f>'MKT DATA'!AB1511</f>
        <v>0</v>
      </c>
    </row>
    <row r="154" spans="5:18" x14ac:dyDescent="0.25">
      <c r="E154" s="43" t="str">
        <f>'MKT DATA'!B1512</f>
        <v>syn BTCZ6/BTCX6/BTCV6/BTCF7/BTCG7</v>
      </c>
      <c r="F154" s="13">
        <f>'MKT DATA'!J1512</f>
        <v>1</v>
      </c>
      <c r="G154" s="8">
        <f>'MKT DATA'!K1512</f>
        <v>84813</v>
      </c>
      <c r="H154" s="8">
        <f>'MKT DATA'!L1512</f>
        <v>85253</v>
      </c>
      <c r="I154" s="13">
        <f>'MKT DATA'!M1512</f>
        <v>1</v>
      </c>
      <c r="J154" s="43" t="str">
        <f t="shared" si="6"/>
        <v>syn BTCZ6/BTCX6/BTCV6/BTCF7/BTCG7</v>
      </c>
      <c r="K154" s="8">
        <f>'MKT DATA'!O1512</f>
        <v>0</v>
      </c>
      <c r="L154" s="8">
        <f>'MKT DATA'!P1512</f>
        <v>84813</v>
      </c>
      <c r="M154" s="8">
        <f>'MKT DATA'!Q1512</f>
        <v>0</v>
      </c>
      <c r="N154" s="8">
        <f>'MKT DATA'!R1512</f>
        <v>0</v>
      </c>
      <c r="O154" s="8">
        <f>'MKT DATA'!S1512</f>
        <v>-85253</v>
      </c>
      <c r="P154" s="8">
        <f>'MKT DATA'!T1512</f>
        <v>0</v>
      </c>
      <c r="Q154" s="43" t="str">
        <f t="shared" si="7"/>
        <v>syn BTCZ6/BTCX6/BTCV6/BTCF7/BTCG7</v>
      </c>
      <c r="R154" s="13">
        <f>'MKT DATA'!AB1512</f>
        <v>0</v>
      </c>
    </row>
    <row r="155" spans="5:18" x14ac:dyDescent="0.25">
      <c r="E155" s="43" t="str">
        <f>'MKT DATA'!B1513</f>
        <v>syn BTCZ6/BTCX6/BTCV6/BTCH7/BTCG7</v>
      </c>
      <c r="F155" s="13">
        <f>'MKT DATA'!J1513</f>
        <v>1</v>
      </c>
      <c r="G155" s="8">
        <f>'MKT DATA'!K1513</f>
        <v>84408</v>
      </c>
      <c r="H155" s="8">
        <f>'MKT DATA'!L1513</f>
        <v>85649</v>
      </c>
      <c r="I155" s="13">
        <f>'MKT DATA'!M1513</f>
        <v>1</v>
      </c>
      <c r="J155" s="43" t="str">
        <f t="shared" si="6"/>
        <v>syn BTCZ6/BTCX6/BTCV6/BTCH7/BTCG7</v>
      </c>
      <c r="K155" s="8">
        <f>'MKT DATA'!O1513</f>
        <v>0</v>
      </c>
      <c r="L155" s="8">
        <f>'MKT DATA'!P1513</f>
        <v>84408</v>
      </c>
      <c r="M155" s="8">
        <f>'MKT DATA'!Q1513</f>
        <v>0</v>
      </c>
      <c r="N155" s="8">
        <f>'MKT DATA'!R1513</f>
        <v>0</v>
      </c>
      <c r="O155" s="8">
        <f>'MKT DATA'!S1513</f>
        <v>-85649</v>
      </c>
      <c r="P155" s="8">
        <f>'MKT DATA'!T1513</f>
        <v>0</v>
      </c>
      <c r="Q155" s="43" t="str">
        <f t="shared" si="7"/>
        <v>syn BTCZ6/BTCX6/BTCV6/BTCH7/BTCG7</v>
      </c>
      <c r="R155" s="13">
        <f>'MKT DATA'!AB1513</f>
        <v>0</v>
      </c>
    </row>
    <row r="156" spans="5:18" x14ac:dyDescent="0.25">
      <c r="E156" s="43" t="str">
        <f>'MKT DATA'!B1514</f>
        <v>syn BTCZ6/BTCX6/BTCF7/BTCV6/BTCG7</v>
      </c>
      <c r="F156" s="13">
        <f>'MKT DATA'!J1514</f>
        <v>1</v>
      </c>
      <c r="G156" s="8">
        <f>'MKT DATA'!K1514</f>
        <v>84686</v>
      </c>
      <c r="H156" s="8">
        <f>'MKT DATA'!L1514</f>
        <v>85429</v>
      </c>
      <c r="I156" s="13">
        <f>'MKT DATA'!M1514</f>
        <v>1</v>
      </c>
      <c r="J156" s="43" t="str">
        <f t="shared" si="6"/>
        <v>syn BTCZ6/BTCX6/BTCF7/BTCV6/BTCG7</v>
      </c>
      <c r="K156" s="8">
        <f>'MKT DATA'!O1514</f>
        <v>0</v>
      </c>
      <c r="L156" s="8">
        <f>'MKT DATA'!P1514</f>
        <v>84686</v>
      </c>
      <c r="M156" s="8">
        <f>'MKT DATA'!Q1514</f>
        <v>0</v>
      </c>
      <c r="N156" s="8">
        <f>'MKT DATA'!R1514</f>
        <v>0</v>
      </c>
      <c r="O156" s="8">
        <f>'MKT DATA'!S1514</f>
        <v>-85429</v>
      </c>
      <c r="P156" s="8">
        <f>'MKT DATA'!T1514</f>
        <v>0</v>
      </c>
      <c r="Q156" s="43" t="str">
        <f t="shared" si="7"/>
        <v>syn BTCZ6/BTCX6/BTCF7/BTCV6/BTCG7</v>
      </c>
      <c r="R156" s="13">
        <f>'MKT DATA'!AB1514</f>
        <v>0</v>
      </c>
    </row>
    <row r="157" spans="5:18" x14ac:dyDescent="0.25">
      <c r="E157" s="43" t="str">
        <f>'MKT DATA'!B1515</f>
        <v>syn BTCZ6/BTCX6/BTCF7/BTCH7/BTCG7</v>
      </c>
      <c r="F157" s="13">
        <f>'MKT DATA'!J1515</f>
        <v>1</v>
      </c>
      <c r="G157" s="8">
        <f>'MKT DATA'!K1515</f>
        <v>84265</v>
      </c>
      <c r="H157" s="8">
        <f>'MKT DATA'!L1515</f>
        <v>85765</v>
      </c>
      <c r="I157" s="13">
        <f>'MKT DATA'!M1515</f>
        <v>1</v>
      </c>
      <c r="J157" s="43" t="str">
        <f t="shared" si="6"/>
        <v>syn BTCZ6/BTCX6/BTCF7/BTCH7/BTCG7</v>
      </c>
      <c r="K157" s="8">
        <f>'MKT DATA'!O1515</f>
        <v>0</v>
      </c>
      <c r="L157" s="8">
        <f>'MKT DATA'!P1515</f>
        <v>84265</v>
      </c>
      <c r="M157" s="8">
        <f>'MKT DATA'!Q1515</f>
        <v>0</v>
      </c>
      <c r="N157" s="8">
        <f>'MKT DATA'!R1515</f>
        <v>0</v>
      </c>
      <c r="O157" s="8">
        <f>'MKT DATA'!S1515</f>
        <v>-85765</v>
      </c>
      <c r="P157" s="8">
        <f>'MKT DATA'!T1515</f>
        <v>0</v>
      </c>
      <c r="Q157" s="43" t="str">
        <f t="shared" si="7"/>
        <v>syn BTCZ6/BTCX6/BTCF7/BTCH7/BTCG7</v>
      </c>
      <c r="R157" s="13">
        <f>'MKT DATA'!AB1515</f>
        <v>0</v>
      </c>
    </row>
    <row r="158" spans="5:18" x14ac:dyDescent="0.25">
      <c r="E158" s="43" t="str">
        <f>'MKT DATA'!B1516</f>
        <v>syn BTCZ6/BTCX6/BTCH7/BTCV6/BTCG7</v>
      </c>
      <c r="F158" s="13">
        <f>'MKT DATA'!J1516</f>
        <v>1</v>
      </c>
      <c r="G158" s="8">
        <f>'MKT DATA'!K1516</f>
        <v>84029</v>
      </c>
      <c r="H158" s="8">
        <f>'MKT DATA'!L1516</f>
        <v>86076</v>
      </c>
      <c r="I158" s="13">
        <f>'MKT DATA'!M1516</f>
        <v>1</v>
      </c>
      <c r="J158" s="43" t="str">
        <f t="shared" si="6"/>
        <v>syn BTCZ6/BTCX6/BTCH7/BTCV6/BTCG7</v>
      </c>
      <c r="K158" s="8">
        <f>'MKT DATA'!O1516</f>
        <v>0</v>
      </c>
      <c r="L158" s="8">
        <f>'MKT DATA'!P1516</f>
        <v>84029</v>
      </c>
      <c r="M158" s="8">
        <f>'MKT DATA'!Q1516</f>
        <v>0</v>
      </c>
      <c r="N158" s="8">
        <f>'MKT DATA'!R1516</f>
        <v>0</v>
      </c>
      <c r="O158" s="8">
        <f>'MKT DATA'!S1516</f>
        <v>-86076</v>
      </c>
      <c r="P158" s="8">
        <f>'MKT DATA'!T1516</f>
        <v>0</v>
      </c>
      <c r="Q158" s="43" t="str">
        <f t="shared" si="7"/>
        <v>syn BTCZ6/BTCX6/BTCH7/BTCV6/BTCG7</v>
      </c>
      <c r="R158" s="13">
        <f>'MKT DATA'!AB1516</f>
        <v>0</v>
      </c>
    </row>
    <row r="159" spans="5:18" x14ac:dyDescent="0.25">
      <c r="E159" s="43" t="str">
        <f>'MKT DATA'!B1517</f>
        <v>syn BTCZ6/BTCX6/BTCH7/BTCF7/BTCG7</v>
      </c>
      <c r="F159" s="13">
        <f>'MKT DATA'!J1517</f>
        <v>1</v>
      </c>
      <c r="G159" s="8">
        <f>'MKT DATA'!K1517</f>
        <v>84043</v>
      </c>
      <c r="H159" s="8">
        <f>'MKT DATA'!L1517</f>
        <v>86046</v>
      </c>
      <c r="I159" s="13">
        <f>'MKT DATA'!M1517</f>
        <v>1</v>
      </c>
      <c r="J159" s="43" t="str">
        <f t="shared" si="6"/>
        <v>syn BTCZ6/BTCX6/BTCH7/BTCF7/BTCG7</v>
      </c>
      <c r="K159" s="8">
        <f>'MKT DATA'!O1517</f>
        <v>0</v>
      </c>
      <c r="L159" s="8">
        <f>'MKT DATA'!P1517</f>
        <v>84043</v>
      </c>
      <c r="M159" s="8">
        <f>'MKT DATA'!Q1517</f>
        <v>0</v>
      </c>
      <c r="N159" s="8">
        <f>'MKT DATA'!R1517</f>
        <v>0</v>
      </c>
      <c r="O159" s="8">
        <f>'MKT DATA'!S1517</f>
        <v>-86046</v>
      </c>
      <c r="P159" s="8">
        <f>'MKT DATA'!T1517</f>
        <v>0</v>
      </c>
      <c r="Q159" s="43" t="str">
        <f t="shared" si="7"/>
        <v>syn BTCZ6/BTCX6/BTCH7/BTCF7/BTCG7</v>
      </c>
      <c r="R159" s="13">
        <f>'MKT DATA'!AB1517</f>
        <v>0</v>
      </c>
    </row>
    <row r="160" spans="5:18" x14ac:dyDescent="0.25">
      <c r="E160" s="43" t="str">
        <f>'MKT DATA'!B1518</f>
        <v>syn BTCZ6/BTCF7/BTCV6/BTCX6/BTCG7</v>
      </c>
      <c r="F160" s="13">
        <f>'MKT DATA'!J1518</f>
        <v>1</v>
      </c>
      <c r="G160" s="8">
        <f>'MKT DATA'!K1518</f>
        <v>84730</v>
      </c>
      <c r="H160" s="8">
        <f>'MKT DATA'!L1518</f>
        <v>85409</v>
      </c>
      <c r="I160" s="13">
        <f>'MKT DATA'!M1518</f>
        <v>1</v>
      </c>
      <c r="J160" s="43" t="str">
        <f t="shared" si="6"/>
        <v>syn BTCZ6/BTCF7/BTCV6/BTCX6/BTCG7</v>
      </c>
      <c r="K160" s="8">
        <f>'MKT DATA'!O1518</f>
        <v>0</v>
      </c>
      <c r="L160" s="8">
        <f>'MKT DATA'!P1518</f>
        <v>84730</v>
      </c>
      <c r="M160" s="8">
        <f>'MKT DATA'!Q1518</f>
        <v>0</v>
      </c>
      <c r="N160" s="8">
        <f>'MKT DATA'!R1518</f>
        <v>0</v>
      </c>
      <c r="O160" s="8">
        <f>'MKT DATA'!S1518</f>
        <v>-85409</v>
      </c>
      <c r="P160" s="8">
        <f>'MKT DATA'!T1518</f>
        <v>0</v>
      </c>
      <c r="Q160" s="43" t="str">
        <f t="shared" si="7"/>
        <v>syn BTCZ6/BTCF7/BTCV6/BTCX6/BTCG7</v>
      </c>
      <c r="R160" s="13">
        <f>'MKT DATA'!AB1518</f>
        <v>0</v>
      </c>
    </row>
    <row r="161" spans="5:18" x14ac:dyDescent="0.25">
      <c r="E161" s="43" t="str">
        <f>'MKT DATA'!B1519</f>
        <v>syn BTCZ6/BTCF7/BTCV6/BTCH7/BTCG7</v>
      </c>
      <c r="F161" s="13">
        <f>'MKT DATA'!J1519</f>
        <v>1</v>
      </c>
      <c r="G161" s="8">
        <f>'MKT DATA'!K1519</f>
        <v>84343</v>
      </c>
      <c r="H161" s="8">
        <f>'MKT DATA'!L1519</f>
        <v>85748</v>
      </c>
      <c r="I161" s="13">
        <f>'MKT DATA'!M1519</f>
        <v>1</v>
      </c>
      <c r="J161" s="43" t="str">
        <f t="shared" si="6"/>
        <v>syn BTCZ6/BTCF7/BTCV6/BTCH7/BTCG7</v>
      </c>
      <c r="K161" s="8">
        <f>'MKT DATA'!O1519</f>
        <v>0</v>
      </c>
      <c r="L161" s="8">
        <f>'MKT DATA'!P1519</f>
        <v>84343</v>
      </c>
      <c r="M161" s="8">
        <f>'MKT DATA'!Q1519</f>
        <v>0</v>
      </c>
      <c r="N161" s="8">
        <f>'MKT DATA'!R1519</f>
        <v>0</v>
      </c>
      <c r="O161" s="8">
        <f>'MKT DATA'!S1519</f>
        <v>-85748</v>
      </c>
      <c r="P161" s="8">
        <f>'MKT DATA'!T1519</f>
        <v>0</v>
      </c>
      <c r="Q161" s="43" t="str">
        <f t="shared" si="7"/>
        <v>syn BTCZ6/BTCF7/BTCV6/BTCH7/BTCG7</v>
      </c>
      <c r="R161" s="13">
        <f>'MKT DATA'!AB1519</f>
        <v>0</v>
      </c>
    </row>
    <row r="162" spans="5:18" x14ac:dyDescent="0.25">
      <c r="E162" s="43" t="str">
        <f>'MKT DATA'!B1520</f>
        <v>syn BTCZ6/BTCF7/BTCX6/BTCV6/BTCG7</v>
      </c>
      <c r="F162" s="13">
        <f>'MKT DATA'!J1520</f>
        <v>1</v>
      </c>
      <c r="G162" s="8">
        <f>'MKT DATA'!K1520</f>
        <v>84767</v>
      </c>
      <c r="H162" s="8">
        <f>'MKT DATA'!L1520</f>
        <v>85376</v>
      </c>
      <c r="I162" s="13">
        <f>'MKT DATA'!M1520</f>
        <v>1</v>
      </c>
      <c r="J162" s="43" t="str">
        <f t="shared" si="6"/>
        <v>syn BTCZ6/BTCF7/BTCX6/BTCV6/BTCG7</v>
      </c>
      <c r="K162" s="8">
        <f>'MKT DATA'!O1520</f>
        <v>0</v>
      </c>
      <c r="L162" s="8">
        <f>'MKT DATA'!P1520</f>
        <v>84767</v>
      </c>
      <c r="M162" s="8">
        <f>'MKT DATA'!Q1520</f>
        <v>0</v>
      </c>
      <c r="N162" s="8">
        <f>'MKT DATA'!R1520</f>
        <v>0</v>
      </c>
      <c r="O162" s="8">
        <f>'MKT DATA'!S1520</f>
        <v>-85376</v>
      </c>
      <c r="P162" s="8">
        <f>'MKT DATA'!T1520</f>
        <v>0</v>
      </c>
      <c r="Q162" s="43" t="str">
        <f t="shared" si="7"/>
        <v>syn BTCZ6/BTCF7/BTCX6/BTCV6/BTCG7</v>
      </c>
      <c r="R162" s="13">
        <f>'MKT DATA'!AB1520</f>
        <v>0</v>
      </c>
    </row>
    <row r="163" spans="5:18" x14ac:dyDescent="0.25">
      <c r="E163" s="43" t="str">
        <f>'MKT DATA'!B1521</f>
        <v>syn BTCZ6/BTCF7/BTCX6/BTCH7/BTCG7</v>
      </c>
      <c r="F163" s="13">
        <f>'MKT DATA'!J1521</f>
        <v>1</v>
      </c>
      <c r="G163" s="8">
        <f>'MKT DATA'!K1521</f>
        <v>84348</v>
      </c>
      <c r="H163" s="8">
        <f>'MKT DATA'!L1521</f>
        <v>85733</v>
      </c>
      <c r="I163" s="13">
        <f>'MKT DATA'!M1521</f>
        <v>1</v>
      </c>
      <c r="J163" s="43" t="str">
        <f t="shared" si="6"/>
        <v>syn BTCZ6/BTCF7/BTCX6/BTCH7/BTCG7</v>
      </c>
      <c r="K163" s="8">
        <f>'MKT DATA'!O1521</f>
        <v>0</v>
      </c>
      <c r="L163" s="8">
        <f>'MKT DATA'!P1521</f>
        <v>84348</v>
      </c>
      <c r="M163" s="8">
        <f>'MKT DATA'!Q1521</f>
        <v>0</v>
      </c>
      <c r="N163" s="8">
        <f>'MKT DATA'!R1521</f>
        <v>0</v>
      </c>
      <c r="O163" s="8">
        <f>'MKT DATA'!S1521</f>
        <v>-85733</v>
      </c>
      <c r="P163" s="8">
        <f>'MKT DATA'!T1521</f>
        <v>0</v>
      </c>
      <c r="Q163" s="43" t="str">
        <f t="shared" si="7"/>
        <v>syn BTCZ6/BTCF7/BTCX6/BTCH7/BTCG7</v>
      </c>
      <c r="R163" s="13">
        <f>'MKT DATA'!AB1521</f>
        <v>0</v>
      </c>
    </row>
    <row r="164" spans="5:18" x14ac:dyDescent="0.25">
      <c r="E164" s="43" t="str">
        <f>'MKT DATA'!B1522</f>
        <v>syn BTCZ6/BTCF7/BTCH7/BTCV6/BTCG7</v>
      </c>
      <c r="F164" s="13">
        <f>'MKT DATA'!J1522</f>
        <v>1</v>
      </c>
      <c r="G164" s="8">
        <f>'MKT DATA'!K1522</f>
        <v>83962</v>
      </c>
      <c r="H164" s="8">
        <f>'MKT DATA'!L1522</f>
        <v>86154</v>
      </c>
      <c r="I164" s="13">
        <f>'MKT DATA'!M1522</f>
        <v>1</v>
      </c>
      <c r="J164" s="43" t="str">
        <f t="shared" si="6"/>
        <v>syn BTCZ6/BTCF7/BTCH7/BTCV6/BTCG7</v>
      </c>
      <c r="K164" s="8">
        <f>'MKT DATA'!O1522</f>
        <v>0</v>
      </c>
      <c r="L164" s="8">
        <f>'MKT DATA'!P1522</f>
        <v>83962</v>
      </c>
      <c r="M164" s="8">
        <f>'MKT DATA'!Q1522</f>
        <v>0</v>
      </c>
      <c r="N164" s="8">
        <f>'MKT DATA'!R1522</f>
        <v>0</v>
      </c>
      <c r="O164" s="8">
        <f>'MKT DATA'!S1522</f>
        <v>-86154</v>
      </c>
      <c r="P164" s="8">
        <f>'MKT DATA'!T1522</f>
        <v>0</v>
      </c>
      <c r="Q164" s="43" t="str">
        <f t="shared" si="7"/>
        <v>syn BTCZ6/BTCF7/BTCH7/BTCV6/BTCG7</v>
      </c>
      <c r="R164" s="13">
        <f>'MKT DATA'!AB1522</f>
        <v>0</v>
      </c>
    </row>
    <row r="165" spans="5:18" x14ac:dyDescent="0.25">
      <c r="E165" s="43" t="str">
        <f>'MKT DATA'!B1523</f>
        <v>syn BTCZ6/BTCF7/BTCH7/BTCX6/BTCG7</v>
      </c>
      <c r="F165" s="13">
        <f>'MKT DATA'!J1523</f>
        <v>1</v>
      </c>
      <c r="G165" s="8">
        <f>'MKT DATA'!K1523</f>
        <v>83937</v>
      </c>
      <c r="H165" s="8">
        <f>'MKT DATA'!L1523</f>
        <v>86179</v>
      </c>
      <c r="I165" s="13">
        <f>'MKT DATA'!M1523</f>
        <v>1</v>
      </c>
      <c r="J165" s="43" t="str">
        <f t="shared" si="6"/>
        <v>syn BTCZ6/BTCF7/BTCH7/BTCX6/BTCG7</v>
      </c>
      <c r="K165" s="8">
        <f>'MKT DATA'!O1523</f>
        <v>0</v>
      </c>
      <c r="L165" s="8">
        <f>'MKT DATA'!P1523</f>
        <v>83937</v>
      </c>
      <c r="M165" s="8">
        <f>'MKT DATA'!Q1523</f>
        <v>0</v>
      </c>
      <c r="N165" s="8">
        <f>'MKT DATA'!R1523</f>
        <v>0</v>
      </c>
      <c r="O165" s="8">
        <f>'MKT DATA'!S1523</f>
        <v>-86179</v>
      </c>
      <c r="P165" s="8">
        <f>'MKT DATA'!T1523</f>
        <v>0</v>
      </c>
      <c r="Q165" s="43" t="str">
        <f t="shared" si="7"/>
        <v>syn BTCZ6/BTCF7/BTCH7/BTCX6/BTCG7</v>
      </c>
      <c r="R165" s="13">
        <f>'MKT DATA'!AB1523</f>
        <v>0</v>
      </c>
    </row>
    <row r="166" spans="5:18" x14ac:dyDescent="0.25">
      <c r="E166" s="43" t="str">
        <f>'MKT DATA'!B1524</f>
        <v>syn BTCZ6/BTCH7/BTCV6/BTCX6/BTCG7</v>
      </c>
      <c r="F166" s="13">
        <f>'MKT DATA'!J1524</f>
        <v>1</v>
      </c>
      <c r="G166" s="8">
        <f>'MKT DATA'!K1524</f>
        <v>84217</v>
      </c>
      <c r="H166" s="8">
        <f>'MKT DATA'!L1524</f>
        <v>86076</v>
      </c>
      <c r="I166" s="13">
        <f>'MKT DATA'!M1524</f>
        <v>1</v>
      </c>
      <c r="J166" s="43" t="str">
        <f t="shared" si="6"/>
        <v>syn BTCZ6/BTCH7/BTCV6/BTCX6/BTCG7</v>
      </c>
      <c r="K166" s="8">
        <f>'MKT DATA'!O1524</f>
        <v>0</v>
      </c>
      <c r="L166" s="8">
        <f>'MKT DATA'!P1524</f>
        <v>84217</v>
      </c>
      <c r="M166" s="8">
        <f>'MKT DATA'!Q1524</f>
        <v>0</v>
      </c>
      <c r="N166" s="8">
        <f>'MKT DATA'!R1524</f>
        <v>0</v>
      </c>
      <c r="O166" s="8">
        <f>'MKT DATA'!S1524</f>
        <v>-86076</v>
      </c>
      <c r="P166" s="8">
        <f>'MKT DATA'!T1524</f>
        <v>0</v>
      </c>
      <c r="Q166" s="43" t="str">
        <f t="shared" si="7"/>
        <v>syn BTCZ6/BTCH7/BTCV6/BTCX6/BTCG7</v>
      </c>
      <c r="R166" s="13">
        <f>'MKT DATA'!AB1524</f>
        <v>0</v>
      </c>
    </row>
    <row r="167" spans="5:18" x14ac:dyDescent="0.25">
      <c r="E167" s="43" t="str">
        <f>'MKT DATA'!B1525</f>
        <v>syn BTCZ6/BTCH7/BTCV6/BTCF7/BTCG7</v>
      </c>
      <c r="F167" s="13">
        <f>'MKT DATA'!J1525</f>
        <v>1</v>
      </c>
      <c r="G167" s="8">
        <f>'MKT DATA'!K1525</f>
        <v>84235</v>
      </c>
      <c r="H167" s="8">
        <f>'MKT DATA'!L1525</f>
        <v>86019</v>
      </c>
      <c r="I167" s="13">
        <f>'MKT DATA'!M1525</f>
        <v>1</v>
      </c>
      <c r="J167" s="43" t="str">
        <f t="shared" si="6"/>
        <v>syn BTCZ6/BTCH7/BTCV6/BTCF7/BTCG7</v>
      </c>
      <c r="K167" s="8">
        <f>'MKT DATA'!O1525</f>
        <v>0</v>
      </c>
      <c r="L167" s="8">
        <f>'MKT DATA'!P1525</f>
        <v>84235</v>
      </c>
      <c r="M167" s="8">
        <f>'MKT DATA'!Q1525</f>
        <v>0</v>
      </c>
      <c r="N167" s="8">
        <f>'MKT DATA'!R1525</f>
        <v>0</v>
      </c>
      <c r="O167" s="8">
        <f>'MKT DATA'!S1525</f>
        <v>-86019</v>
      </c>
      <c r="P167" s="8">
        <f>'MKT DATA'!T1525</f>
        <v>0</v>
      </c>
      <c r="Q167" s="43" t="str">
        <f t="shared" si="7"/>
        <v>syn BTCZ6/BTCH7/BTCV6/BTCF7/BTCG7</v>
      </c>
      <c r="R167" s="13">
        <f>'MKT DATA'!AB1525</f>
        <v>0</v>
      </c>
    </row>
    <row r="168" spans="5:18" x14ac:dyDescent="0.25">
      <c r="E168" s="43" t="str">
        <f>'MKT DATA'!B1526</f>
        <v>syn BTCZ6/BTCH7/BTCX6/BTCV6/BTCG7</v>
      </c>
      <c r="F168" s="13">
        <f>'MKT DATA'!J1526</f>
        <v>1</v>
      </c>
      <c r="G168" s="8">
        <f>'MKT DATA'!K1526</f>
        <v>84224</v>
      </c>
      <c r="H168" s="8">
        <f>'MKT DATA'!L1526</f>
        <v>86083</v>
      </c>
      <c r="I168" s="13">
        <f>'MKT DATA'!M1526</f>
        <v>1</v>
      </c>
      <c r="J168" s="43" t="str">
        <f t="shared" si="6"/>
        <v>syn BTCZ6/BTCH7/BTCX6/BTCV6/BTCG7</v>
      </c>
      <c r="K168" s="8">
        <f>'MKT DATA'!O1526</f>
        <v>0</v>
      </c>
      <c r="L168" s="8">
        <f>'MKT DATA'!P1526</f>
        <v>84224</v>
      </c>
      <c r="M168" s="8">
        <f>'MKT DATA'!Q1526</f>
        <v>0</v>
      </c>
      <c r="N168" s="8">
        <f>'MKT DATA'!R1526</f>
        <v>0</v>
      </c>
      <c r="O168" s="8">
        <f>'MKT DATA'!S1526</f>
        <v>-86083</v>
      </c>
      <c r="P168" s="8">
        <f>'MKT DATA'!T1526</f>
        <v>0</v>
      </c>
      <c r="Q168" s="43" t="str">
        <f t="shared" si="7"/>
        <v>syn BTCZ6/BTCH7/BTCX6/BTCV6/BTCG7</v>
      </c>
      <c r="R168" s="13">
        <f>'MKT DATA'!AB1526</f>
        <v>0</v>
      </c>
    </row>
    <row r="169" spans="5:18" x14ac:dyDescent="0.25">
      <c r="E169" s="43" t="str">
        <f>'MKT DATA'!B1527</f>
        <v>syn BTCZ6/BTCH7/BTCX6/BTCF7/BTCG7</v>
      </c>
      <c r="F169" s="13">
        <f>'MKT DATA'!J1527</f>
        <v>1</v>
      </c>
      <c r="G169" s="8">
        <f>'MKT DATA'!K1527</f>
        <v>84250</v>
      </c>
      <c r="H169" s="8">
        <f>'MKT DATA'!L1527</f>
        <v>86014</v>
      </c>
      <c r="I169" s="13">
        <f>'MKT DATA'!M1527</f>
        <v>1</v>
      </c>
      <c r="J169" s="43" t="str">
        <f t="shared" si="6"/>
        <v>syn BTCZ6/BTCH7/BTCX6/BTCF7/BTCG7</v>
      </c>
      <c r="K169" s="8">
        <f>'MKT DATA'!O1527</f>
        <v>0</v>
      </c>
      <c r="L169" s="8">
        <f>'MKT DATA'!P1527</f>
        <v>84250</v>
      </c>
      <c r="M169" s="8">
        <f>'MKT DATA'!Q1527</f>
        <v>0</v>
      </c>
      <c r="N169" s="8">
        <f>'MKT DATA'!R1527</f>
        <v>0</v>
      </c>
      <c r="O169" s="8">
        <f>'MKT DATA'!S1527</f>
        <v>-86014</v>
      </c>
      <c r="P169" s="8">
        <f>'MKT DATA'!T1527</f>
        <v>0</v>
      </c>
      <c r="Q169" s="43" t="str">
        <f t="shared" si="7"/>
        <v>syn BTCZ6/BTCH7/BTCX6/BTCF7/BTCG7</v>
      </c>
      <c r="R169" s="13">
        <f>'MKT DATA'!AB1527</f>
        <v>0</v>
      </c>
    </row>
    <row r="170" spans="5:18" x14ac:dyDescent="0.25">
      <c r="E170" s="43" t="str">
        <f>'MKT DATA'!B1528</f>
        <v>syn BTCZ6/BTCH7/BTCF7/BTCV6/BTCG7</v>
      </c>
      <c r="F170" s="13">
        <f>'MKT DATA'!J1528</f>
        <v>1</v>
      </c>
      <c r="G170" s="8">
        <f>'MKT DATA'!K1528</f>
        <v>84096</v>
      </c>
      <c r="H170" s="8">
        <f>'MKT DATA'!L1528</f>
        <v>86234</v>
      </c>
      <c r="I170" s="13">
        <f>'MKT DATA'!M1528</f>
        <v>1</v>
      </c>
      <c r="J170" s="43" t="str">
        <f t="shared" si="6"/>
        <v>syn BTCZ6/BTCH7/BTCF7/BTCV6/BTCG7</v>
      </c>
      <c r="K170" s="8">
        <f>'MKT DATA'!O1528</f>
        <v>0</v>
      </c>
      <c r="L170" s="8">
        <f>'MKT DATA'!P1528</f>
        <v>84096</v>
      </c>
      <c r="M170" s="8">
        <f>'MKT DATA'!Q1528</f>
        <v>0</v>
      </c>
      <c r="N170" s="8">
        <f>'MKT DATA'!R1528</f>
        <v>0</v>
      </c>
      <c r="O170" s="8">
        <f>'MKT DATA'!S1528</f>
        <v>-86234</v>
      </c>
      <c r="P170" s="8">
        <f>'MKT DATA'!T1528</f>
        <v>0</v>
      </c>
      <c r="Q170" s="43" t="str">
        <f t="shared" si="7"/>
        <v>syn BTCZ6/BTCH7/BTCF7/BTCV6/BTCG7</v>
      </c>
      <c r="R170" s="13">
        <f>'MKT DATA'!AB1528</f>
        <v>0</v>
      </c>
    </row>
    <row r="171" spans="5:18" x14ac:dyDescent="0.25">
      <c r="E171" s="43" t="str">
        <f>'MKT DATA'!B1529</f>
        <v>syn BTCZ6/BTCH7/BTCF7/BTCX6/BTCG7</v>
      </c>
      <c r="F171" s="13">
        <f>'MKT DATA'!J1529</f>
        <v>1</v>
      </c>
      <c r="G171" s="8">
        <f>'MKT DATA'!K1529</f>
        <v>84101</v>
      </c>
      <c r="H171" s="8">
        <f>'MKT DATA'!L1529</f>
        <v>86219</v>
      </c>
      <c r="I171" s="13">
        <f>'MKT DATA'!M1529</f>
        <v>1</v>
      </c>
      <c r="J171" s="43" t="str">
        <f t="shared" si="6"/>
        <v>syn BTCZ6/BTCH7/BTCF7/BTCX6/BTCG7</v>
      </c>
      <c r="K171" s="8">
        <f>'MKT DATA'!O1529</f>
        <v>0</v>
      </c>
      <c r="L171" s="8">
        <f>'MKT DATA'!P1529</f>
        <v>84101</v>
      </c>
      <c r="M171" s="8">
        <f>'MKT DATA'!Q1529</f>
        <v>0</v>
      </c>
      <c r="N171" s="8">
        <f>'MKT DATA'!R1529</f>
        <v>0</v>
      </c>
      <c r="O171" s="8">
        <f>'MKT DATA'!S1529</f>
        <v>-86219</v>
      </c>
      <c r="P171" s="8">
        <f>'MKT DATA'!T1529</f>
        <v>0</v>
      </c>
      <c r="Q171" s="43" t="str">
        <f t="shared" si="7"/>
        <v>syn BTCZ6/BTCH7/BTCF7/BTCX6/BTCG7</v>
      </c>
      <c r="R171" s="13">
        <f>'MKT DATA'!AB1529</f>
        <v>0</v>
      </c>
    </row>
    <row r="172" spans="5:18" x14ac:dyDescent="0.25">
      <c r="E172" s="43" t="str">
        <f>'MKT DATA'!B1530</f>
        <v>syn BTCF7/BTCV6/BTCX6/BTCZ6/BTCG7</v>
      </c>
      <c r="F172" s="13">
        <f>'MKT DATA'!J1530</f>
        <v>1</v>
      </c>
      <c r="G172" s="8">
        <f>'MKT DATA'!K1530</f>
        <v>84682</v>
      </c>
      <c r="H172" s="8">
        <f>'MKT DATA'!L1530</f>
        <v>85476</v>
      </c>
      <c r="I172" s="13">
        <f>'MKT DATA'!M1530</f>
        <v>1</v>
      </c>
      <c r="J172" s="43" t="str">
        <f t="shared" si="6"/>
        <v>syn BTCF7/BTCV6/BTCX6/BTCZ6/BTCG7</v>
      </c>
      <c r="K172" s="8">
        <f>'MKT DATA'!O1530</f>
        <v>0</v>
      </c>
      <c r="L172" s="8">
        <f>'MKT DATA'!P1530</f>
        <v>84682</v>
      </c>
      <c r="M172" s="8">
        <f>'MKT DATA'!Q1530</f>
        <v>0</v>
      </c>
      <c r="N172" s="8">
        <f>'MKT DATA'!R1530</f>
        <v>0</v>
      </c>
      <c r="O172" s="8">
        <f>'MKT DATA'!S1530</f>
        <v>-85476</v>
      </c>
      <c r="P172" s="8">
        <f>'MKT DATA'!T1530</f>
        <v>0</v>
      </c>
      <c r="Q172" s="43" t="str">
        <f t="shared" si="7"/>
        <v>syn BTCF7/BTCV6/BTCX6/BTCZ6/BTCG7</v>
      </c>
      <c r="R172" s="13">
        <f>'MKT DATA'!AB1530</f>
        <v>0</v>
      </c>
    </row>
    <row r="173" spans="5:18" x14ac:dyDescent="0.25">
      <c r="E173" s="43" t="str">
        <f>'MKT DATA'!B1531</f>
        <v>syn BTCF7/BTCV6/BTCX6/BTCH7/BTCG7</v>
      </c>
      <c r="F173" s="13">
        <f>'MKT DATA'!J1531</f>
        <v>1</v>
      </c>
      <c r="G173" s="8">
        <f>'MKT DATA'!K1531</f>
        <v>84303</v>
      </c>
      <c r="H173" s="8">
        <f>'MKT DATA'!L1531</f>
        <v>85785</v>
      </c>
      <c r="I173" s="13">
        <f>'MKT DATA'!M1531</f>
        <v>1</v>
      </c>
      <c r="J173" s="43" t="str">
        <f t="shared" si="6"/>
        <v>syn BTCF7/BTCV6/BTCX6/BTCH7/BTCG7</v>
      </c>
      <c r="K173" s="8">
        <f>'MKT DATA'!O1531</f>
        <v>0</v>
      </c>
      <c r="L173" s="8">
        <f>'MKT DATA'!P1531</f>
        <v>84303</v>
      </c>
      <c r="M173" s="8">
        <f>'MKT DATA'!Q1531</f>
        <v>0</v>
      </c>
      <c r="N173" s="8">
        <f>'MKT DATA'!R1531</f>
        <v>0</v>
      </c>
      <c r="O173" s="8">
        <f>'MKT DATA'!S1531</f>
        <v>-85785</v>
      </c>
      <c r="P173" s="8">
        <f>'MKT DATA'!T1531</f>
        <v>0</v>
      </c>
      <c r="Q173" s="43" t="str">
        <f t="shared" si="7"/>
        <v>syn BTCF7/BTCV6/BTCX6/BTCH7/BTCG7</v>
      </c>
      <c r="R173" s="13">
        <f>'MKT DATA'!AB1531</f>
        <v>0</v>
      </c>
    </row>
    <row r="174" spans="5:18" x14ac:dyDescent="0.25">
      <c r="E174" s="43" t="str">
        <f>'MKT DATA'!B1532</f>
        <v>syn BTCF7/BTCV6/BTCZ6/BTCX6/BTCG7</v>
      </c>
      <c r="F174" s="13">
        <f>'MKT DATA'!J1532</f>
        <v>1</v>
      </c>
      <c r="G174" s="8">
        <f>'MKT DATA'!K1532</f>
        <v>84681</v>
      </c>
      <c r="H174" s="8">
        <f>'MKT DATA'!L1532</f>
        <v>85462</v>
      </c>
      <c r="I174" s="13">
        <f>'MKT DATA'!M1532</f>
        <v>1</v>
      </c>
      <c r="J174" s="43" t="str">
        <f t="shared" si="6"/>
        <v>syn BTCF7/BTCV6/BTCZ6/BTCX6/BTCG7</v>
      </c>
      <c r="K174" s="8">
        <f>'MKT DATA'!O1532</f>
        <v>0</v>
      </c>
      <c r="L174" s="8">
        <f>'MKT DATA'!P1532</f>
        <v>84681</v>
      </c>
      <c r="M174" s="8">
        <f>'MKT DATA'!Q1532</f>
        <v>0</v>
      </c>
      <c r="N174" s="8">
        <f>'MKT DATA'!R1532</f>
        <v>0</v>
      </c>
      <c r="O174" s="8">
        <f>'MKT DATA'!S1532</f>
        <v>-85462</v>
      </c>
      <c r="P174" s="8">
        <f>'MKT DATA'!T1532</f>
        <v>0</v>
      </c>
      <c r="Q174" s="43" t="str">
        <f t="shared" si="7"/>
        <v>syn BTCF7/BTCV6/BTCZ6/BTCX6/BTCG7</v>
      </c>
      <c r="R174" s="13">
        <f>'MKT DATA'!AB1532</f>
        <v>0</v>
      </c>
    </row>
    <row r="175" spans="5:18" x14ac:dyDescent="0.25">
      <c r="E175" s="43" t="str">
        <f>'MKT DATA'!B1533</f>
        <v>syn BTCF7/BTCV6/BTCZ6/BTCH7/BTCG7</v>
      </c>
      <c r="F175" s="13">
        <f>'MKT DATA'!J1533</f>
        <v>1</v>
      </c>
      <c r="G175" s="8">
        <f>'MKT DATA'!K1533</f>
        <v>84482</v>
      </c>
      <c r="H175" s="8">
        <f>'MKT DATA'!L1533</f>
        <v>85801</v>
      </c>
      <c r="I175" s="13">
        <f>'MKT DATA'!M1533</f>
        <v>1</v>
      </c>
      <c r="J175" s="43" t="str">
        <f t="shared" si="6"/>
        <v>syn BTCF7/BTCV6/BTCZ6/BTCH7/BTCG7</v>
      </c>
      <c r="K175" s="8">
        <f>'MKT DATA'!O1533</f>
        <v>0</v>
      </c>
      <c r="L175" s="8">
        <f>'MKT DATA'!P1533</f>
        <v>84482</v>
      </c>
      <c r="M175" s="8">
        <f>'MKT DATA'!Q1533</f>
        <v>0</v>
      </c>
      <c r="N175" s="8">
        <f>'MKT DATA'!R1533</f>
        <v>0</v>
      </c>
      <c r="O175" s="8">
        <f>'MKT DATA'!S1533</f>
        <v>-85801</v>
      </c>
      <c r="P175" s="8">
        <f>'MKT DATA'!T1533</f>
        <v>0</v>
      </c>
      <c r="Q175" s="43" t="str">
        <f t="shared" si="7"/>
        <v>syn BTCF7/BTCV6/BTCZ6/BTCH7/BTCG7</v>
      </c>
      <c r="R175" s="13">
        <f>'MKT DATA'!AB1533</f>
        <v>0</v>
      </c>
    </row>
    <row r="176" spans="5:18" x14ac:dyDescent="0.25">
      <c r="E176" s="43" t="str">
        <f>'MKT DATA'!B1534</f>
        <v>syn BTCF7/BTCV6/BTCH7/BTCX6/BTCG7</v>
      </c>
      <c r="F176" s="13">
        <f>'MKT DATA'!J1534</f>
        <v>1</v>
      </c>
      <c r="G176" s="8">
        <f>'MKT DATA'!K1534</f>
        <v>83931</v>
      </c>
      <c r="H176" s="8">
        <f>'MKT DATA'!L1534</f>
        <v>86219</v>
      </c>
      <c r="I176" s="13">
        <f>'MKT DATA'!M1534</f>
        <v>1</v>
      </c>
      <c r="J176" s="43" t="str">
        <f t="shared" si="6"/>
        <v>syn BTCF7/BTCV6/BTCH7/BTCX6/BTCG7</v>
      </c>
      <c r="K176" s="8">
        <f>'MKT DATA'!O1534</f>
        <v>0</v>
      </c>
      <c r="L176" s="8">
        <f>'MKT DATA'!P1534</f>
        <v>83931</v>
      </c>
      <c r="M176" s="8">
        <f>'MKT DATA'!Q1534</f>
        <v>0</v>
      </c>
      <c r="N176" s="8">
        <f>'MKT DATA'!R1534</f>
        <v>0</v>
      </c>
      <c r="O176" s="8">
        <f>'MKT DATA'!S1534</f>
        <v>-86219</v>
      </c>
      <c r="P176" s="8">
        <f>'MKT DATA'!T1534</f>
        <v>0</v>
      </c>
      <c r="Q176" s="43" t="str">
        <f t="shared" si="7"/>
        <v>syn BTCF7/BTCV6/BTCH7/BTCX6/BTCG7</v>
      </c>
      <c r="R176" s="13">
        <f>'MKT DATA'!AB1534</f>
        <v>0</v>
      </c>
    </row>
    <row r="177" spans="5:18" x14ac:dyDescent="0.25">
      <c r="E177" s="43" t="str">
        <f>'MKT DATA'!B1535</f>
        <v>syn BTCF7/BTCV6/BTCH7/BTCZ6/BTCG7</v>
      </c>
      <c r="F177" s="13">
        <f>'MKT DATA'!J1535</f>
        <v>1</v>
      </c>
      <c r="G177" s="8">
        <f>'MKT DATA'!K1535</f>
        <v>83916</v>
      </c>
      <c r="H177" s="8">
        <f>'MKT DATA'!L1535</f>
        <v>86054</v>
      </c>
      <c r="I177" s="13">
        <f>'MKT DATA'!M1535</f>
        <v>1</v>
      </c>
      <c r="J177" s="43" t="str">
        <f t="shared" si="6"/>
        <v>syn BTCF7/BTCV6/BTCH7/BTCZ6/BTCG7</v>
      </c>
      <c r="K177" s="8">
        <f>'MKT DATA'!O1535</f>
        <v>0</v>
      </c>
      <c r="L177" s="8">
        <f>'MKT DATA'!P1535</f>
        <v>83916</v>
      </c>
      <c r="M177" s="8">
        <f>'MKT DATA'!Q1535</f>
        <v>0</v>
      </c>
      <c r="N177" s="8">
        <f>'MKT DATA'!R1535</f>
        <v>0</v>
      </c>
      <c r="O177" s="8">
        <f>'MKT DATA'!S1535</f>
        <v>-86054</v>
      </c>
      <c r="P177" s="8">
        <f>'MKT DATA'!T1535</f>
        <v>0</v>
      </c>
      <c r="Q177" s="43" t="str">
        <f t="shared" si="7"/>
        <v>syn BTCF7/BTCV6/BTCH7/BTCZ6/BTCG7</v>
      </c>
      <c r="R177" s="13">
        <f>'MKT DATA'!AB1535</f>
        <v>0</v>
      </c>
    </row>
    <row r="178" spans="5:18" x14ac:dyDescent="0.25">
      <c r="E178" s="43" t="str">
        <f>'MKT DATA'!B1536</f>
        <v>syn BTCF7/BTCX6/BTCV6/BTCZ6/BTCG7</v>
      </c>
      <c r="F178" s="13">
        <f>'MKT DATA'!J1536</f>
        <v>1</v>
      </c>
      <c r="G178" s="8">
        <f>'MKT DATA'!K1536</f>
        <v>84696</v>
      </c>
      <c r="H178" s="8">
        <f>'MKT DATA'!L1536</f>
        <v>85459</v>
      </c>
      <c r="I178" s="13">
        <f>'MKT DATA'!M1536</f>
        <v>1</v>
      </c>
      <c r="J178" s="43" t="str">
        <f t="shared" si="6"/>
        <v>syn BTCF7/BTCX6/BTCV6/BTCZ6/BTCG7</v>
      </c>
      <c r="K178" s="8">
        <f>'MKT DATA'!O1536</f>
        <v>0</v>
      </c>
      <c r="L178" s="8">
        <f>'MKT DATA'!P1536</f>
        <v>84696</v>
      </c>
      <c r="M178" s="8">
        <f>'MKT DATA'!Q1536</f>
        <v>0</v>
      </c>
      <c r="N178" s="8">
        <f>'MKT DATA'!R1536</f>
        <v>0</v>
      </c>
      <c r="O178" s="8">
        <f>'MKT DATA'!S1536</f>
        <v>-85459</v>
      </c>
      <c r="P178" s="8">
        <f>'MKT DATA'!T1536</f>
        <v>0</v>
      </c>
      <c r="Q178" s="43" t="str">
        <f t="shared" si="7"/>
        <v>syn BTCF7/BTCX6/BTCV6/BTCZ6/BTCG7</v>
      </c>
      <c r="R178" s="13">
        <f>'MKT DATA'!AB1536</f>
        <v>0</v>
      </c>
    </row>
    <row r="179" spans="5:18" x14ac:dyDescent="0.25">
      <c r="E179" s="43" t="str">
        <f>'MKT DATA'!B1537</f>
        <v>syn BTCF7/BTCX6/BTCV6/BTCH7/BTCG7</v>
      </c>
      <c r="F179" s="13">
        <f>'MKT DATA'!J1537</f>
        <v>1</v>
      </c>
      <c r="G179" s="8">
        <f>'MKT DATA'!K1537</f>
        <v>84340</v>
      </c>
      <c r="H179" s="8">
        <f>'MKT DATA'!L1537</f>
        <v>85752</v>
      </c>
      <c r="I179" s="13">
        <f>'MKT DATA'!M1537</f>
        <v>1</v>
      </c>
      <c r="J179" s="43" t="str">
        <f t="shared" si="6"/>
        <v>syn BTCF7/BTCX6/BTCV6/BTCH7/BTCG7</v>
      </c>
      <c r="K179" s="8">
        <f>'MKT DATA'!O1537</f>
        <v>0</v>
      </c>
      <c r="L179" s="8">
        <f>'MKT DATA'!P1537</f>
        <v>84340</v>
      </c>
      <c r="M179" s="8">
        <f>'MKT DATA'!Q1537</f>
        <v>0</v>
      </c>
      <c r="N179" s="8">
        <f>'MKT DATA'!R1537</f>
        <v>0</v>
      </c>
      <c r="O179" s="8">
        <f>'MKT DATA'!S1537</f>
        <v>-85752</v>
      </c>
      <c r="P179" s="8">
        <f>'MKT DATA'!T1537</f>
        <v>0</v>
      </c>
      <c r="Q179" s="43" t="str">
        <f t="shared" si="7"/>
        <v>syn BTCF7/BTCX6/BTCV6/BTCH7/BTCG7</v>
      </c>
      <c r="R179" s="13">
        <f>'MKT DATA'!AB1537</f>
        <v>0</v>
      </c>
    </row>
    <row r="180" spans="5:18" x14ac:dyDescent="0.25">
      <c r="E180" s="43" t="str">
        <f>'MKT DATA'!B1538</f>
        <v>syn BTCF7/BTCX6/BTCZ6/BTCV6/BTCG7</v>
      </c>
      <c r="F180" s="13">
        <f>'MKT DATA'!J1538</f>
        <v>1</v>
      </c>
      <c r="G180" s="8">
        <f>'MKT DATA'!K1538</f>
        <v>84718</v>
      </c>
      <c r="H180" s="8">
        <f>'MKT DATA'!L1538</f>
        <v>85429</v>
      </c>
      <c r="I180" s="13">
        <f>'MKT DATA'!M1538</f>
        <v>1</v>
      </c>
      <c r="J180" s="43" t="str">
        <f t="shared" si="6"/>
        <v>syn BTCF7/BTCX6/BTCZ6/BTCV6/BTCG7</v>
      </c>
      <c r="K180" s="8">
        <f>'MKT DATA'!O1538</f>
        <v>0</v>
      </c>
      <c r="L180" s="8">
        <f>'MKT DATA'!P1538</f>
        <v>84718</v>
      </c>
      <c r="M180" s="8">
        <f>'MKT DATA'!Q1538</f>
        <v>0</v>
      </c>
      <c r="N180" s="8">
        <f>'MKT DATA'!R1538</f>
        <v>0</v>
      </c>
      <c r="O180" s="8">
        <f>'MKT DATA'!S1538</f>
        <v>-85429</v>
      </c>
      <c r="P180" s="8">
        <f>'MKT DATA'!T1538</f>
        <v>0</v>
      </c>
      <c r="Q180" s="43" t="str">
        <f t="shared" si="7"/>
        <v>syn BTCF7/BTCX6/BTCZ6/BTCV6/BTCG7</v>
      </c>
      <c r="R180" s="13">
        <f>'MKT DATA'!AB1538</f>
        <v>0</v>
      </c>
    </row>
    <row r="181" spans="5:18" x14ac:dyDescent="0.25">
      <c r="E181" s="43" t="str">
        <f>'MKT DATA'!B1539</f>
        <v>syn BTCF7/BTCX6/BTCZ6/BTCH7/BTCG7</v>
      </c>
      <c r="F181" s="13">
        <f>'MKT DATA'!J1539</f>
        <v>1</v>
      </c>
      <c r="G181" s="8">
        <f>'MKT DATA'!K1539</f>
        <v>84510</v>
      </c>
      <c r="H181" s="8">
        <f>'MKT DATA'!L1539</f>
        <v>85770</v>
      </c>
      <c r="I181" s="13">
        <f>'MKT DATA'!M1539</f>
        <v>1</v>
      </c>
      <c r="J181" s="43" t="str">
        <f t="shared" si="6"/>
        <v>syn BTCF7/BTCX6/BTCZ6/BTCH7/BTCG7</v>
      </c>
      <c r="K181" s="8">
        <f>'MKT DATA'!O1539</f>
        <v>0</v>
      </c>
      <c r="L181" s="8">
        <f>'MKT DATA'!P1539</f>
        <v>84510</v>
      </c>
      <c r="M181" s="8">
        <f>'MKT DATA'!Q1539</f>
        <v>0</v>
      </c>
      <c r="N181" s="8">
        <f>'MKT DATA'!R1539</f>
        <v>0</v>
      </c>
      <c r="O181" s="8">
        <f>'MKT DATA'!S1539</f>
        <v>-85770</v>
      </c>
      <c r="P181" s="8">
        <f>'MKT DATA'!T1539</f>
        <v>0</v>
      </c>
      <c r="Q181" s="43" t="str">
        <f t="shared" si="7"/>
        <v>syn BTCF7/BTCX6/BTCZ6/BTCH7/BTCG7</v>
      </c>
      <c r="R181" s="13">
        <f>'MKT DATA'!AB1539</f>
        <v>0</v>
      </c>
    </row>
    <row r="182" spans="5:18" x14ac:dyDescent="0.25">
      <c r="E182" s="43" t="str">
        <f>'MKT DATA'!B1540</f>
        <v>syn BTCF7/BTCX6/BTCH7/BTCV6/BTCG7</v>
      </c>
      <c r="F182" s="13">
        <f>'MKT DATA'!J1540</f>
        <v>1</v>
      </c>
      <c r="G182" s="8">
        <f>'MKT DATA'!K1540</f>
        <v>83961</v>
      </c>
      <c r="H182" s="8">
        <f>'MKT DATA'!L1540</f>
        <v>86179</v>
      </c>
      <c r="I182" s="13">
        <f>'MKT DATA'!M1540</f>
        <v>1</v>
      </c>
      <c r="J182" s="43" t="str">
        <f t="shared" si="6"/>
        <v>syn BTCF7/BTCX6/BTCH7/BTCV6/BTCG7</v>
      </c>
      <c r="K182" s="8">
        <f>'MKT DATA'!O1540</f>
        <v>0</v>
      </c>
      <c r="L182" s="8">
        <f>'MKT DATA'!P1540</f>
        <v>83961</v>
      </c>
      <c r="M182" s="8">
        <f>'MKT DATA'!Q1540</f>
        <v>0</v>
      </c>
      <c r="N182" s="8">
        <f>'MKT DATA'!R1540</f>
        <v>0</v>
      </c>
      <c r="O182" s="8">
        <f>'MKT DATA'!S1540</f>
        <v>-86179</v>
      </c>
      <c r="P182" s="8">
        <f>'MKT DATA'!T1540</f>
        <v>0</v>
      </c>
      <c r="Q182" s="43" t="str">
        <f t="shared" si="7"/>
        <v>syn BTCF7/BTCX6/BTCH7/BTCV6/BTCG7</v>
      </c>
      <c r="R182" s="13">
        <f>'MKT DATA'!AB1540</f>
        <v>0</v>
      </c>
    </row>
    <row r="183" spans="5:18" x14ac:dyDescent="0.25">
      <c r="E183" s="43" t="str">
        <f>'MKT DATA'!B1541</f>
        <v>syn BTCF7/BTCX6/BTCH7/BTCZ6/BTCG7</v>
      </c>
      <c r="F183" s="13">
        <f>'MKT DATA'!J1541</f>
        <v>1</v>
      </c>
      <c r="G183" s="8">
        <f>'MKT DATA'!K1541</f>
        <v>83921</v>
      </c>
      <c r="H183" s="8">
        <f>'MKT DATA'!L1541</f>
        <v>86039</v>
      </c>
      <c r="I183" s="13">
        <f>'MKT DATA'!M1541</f>
        <v>1</v>
      </c>
      <c r="J183" s="43" t="str">
        <f t="shared" si="6"/>
        <v>syn BTCF7/BTCX6/BTCH7/BTCZ6/BTCG7</v>
      </c>
      <c r="K183" s="8">
        <f>'MKT DATA'!O1541</f>
        <v>0</v>
      </c>
      <c r="L183" s="8">
        <f>'MKT DATA'!P1541</f>
        <v>83921</v>
      </c>
      <c r="M183" s="8">
        <f>'MKT DATA'!Q1541</f>
        <v>0</v>
      </c>
      <c r="N183" s="8">
        <f>'MKT DATA'!R1541</f>
        <v>0</v>
      </c>
      <c r="O183" s="8">
        <f>'MKT DATA'!S1541</f>
        <v>-86039</v>
      </c>
      <c r="P183" s="8">
        <f>'MKT DATA'!T1541</f>
        <v>0</v>
      </c>
      <c r="Q183" s="43" t="str">
        <f t="shared" si="7"/>
        <v>syn BTCF7/BTCX6/BTCH7/BTCZ6/BTCG7</v>
      </c>
      <c r="R183" s="13">
        <f>'MKT DATA'!AB1541</f>
        <v>0</v>
      </c>
    </row>
    <row r="184" spans="5:18" x14ac:dyDescent="0.25">
      <c r="E184" s="43" t="str">
        <f>'MKT DATA'!B1542</f>
        <v>syn BTCF7/BTCZ6/BTCV6/BTCX6/BTCG7</v>
      </c>
      <c r="F184" s="13">
        <f>'MKT DATA'!J1542</f>
        <v>1</v>
      </c>
      <c r="G184" s="8">
        <f>'MKT DATA'!K1542</f>
        <v>84731</v>
      </c>
      <c r="H184" s="8">
        <f>'MKT DATA'!L1542</f>
        <v>85378</v>
      </c>
      <c r="I184" s="13">
        <f>'MKT DATA'!M1542</f>
        <v>1</v>
      </c>
      <c r="J184" s="43" t="str">
        <f t="shared" si="6"/>
        <v>syn BTCF7/BTCZ6/BTCV6/BTCX6/BTCG7</v>
      </c>
      <c r="K184" s="8">
        <f>'MKT DATA'!O1542</f>
        <v>0</v>
      </c>
      <c r="L184" s="8">
        <f>'MKT DATA'!P1542</f>
        <v>84731</v>
      </c>
      <c r="M184" s="8">
        <f>'MKT DATA'!Q1542</f>
        <v>0</v>
      </c>
      <c r="N184" s="8">
        <f>'MKT DATA'!R1542</f>
        <v>0</v>
      </c>
      <c r="O184" s="8">
        <f>'MKT DATA'!S1542</f>
        <v>-85378</v>
      </c>
      <c r="P184" s="8">
        <f>'MKT DATA'!T1542</f>
        <v>0</v>
      </c>
      <c r="Q184" s="43" t="str">
        <f t="shared" si="7"/>
        <v>syn BTCF7/BTCZ6/BTCV6/BTCX6/BTCG7</v>
      </c>
      <c r="R184" s="13">
        <f>'MKT DATA'!AB1542</f>
        <v>0</v>
      </c>
    </row>
    <row r="185" spans="5:18" x14ac:dyDescent="0.25">
      <c r="E185" s="43" t="str">
        <f>'MKT DATA'!B1543</f>
        <v>syn BTCF7/BTCZ6/BTCV6/BTCH7/BTCG7</v>
      </c>
      <c r="F185" s="13">
        <f>'MKT DATA'!J1543</f>
        <v>1</v>
      </c>
      <c r="G185" s="8">
        <f>'MKT DATA'!K1543</f>
        <v>84344</v>
      </c>
      <c r="H185" s="8">
        <f>'MKT DATA'!L1543</f>
        <v>85717</v>
      </c>
      <c r="I185" s="13">
        <f>'MKT DATA'!M1543</f>
        <v>1</v>
      </c>
      <c r="J185" s="43" t="str">
        <f t="shared" si="6"/>
        <v>syn BTCF7/BTCZ6/BTCV6/BTCH7/BTCG7</v>
      </c>
      <c r="K185" s="8">
        <f>'MKT DATA'!O1543</f>
        <v>0</v>
      </c>
      <c r="L185" s="8">
        <f>'MKT DATA'!P1543</f>
        <v>84344</v>
      </c>
      <c r="M185" s="8">
        <f>'MKT DATA'!Q1543</f>
        <v>0</v>
      </c>
      <c r="N185" s="8">
        <f>'MKT DATA'!R1543</f>
        <v>0</v>
      </c>
      <c r="O185" s="8">
        <f>'MKT DATA'!S1543</f>
        <v>-85717</v>
      </c>
      <c r="P185" s="8">
        <f>'MKT DATA'!T1543</f>
        <v>0</v>
      </c>
      <c r="Q185" s="43" t="str">
        <f t="shared" si="7"/>
        <v>syn BTCF7/BTCZ6/BTCV6/BTCH7/BTCG7</v>
      </c>
      <c r="R185" s="13">
        <f>'MKT DATA'!AB1543</f>
        <v>0</v>
      </c>
    </row>
    <row r="186" spans="5:18" x14ac:dyDescent="0.25">
      <c r="E186" s="43" t="str">
        <f>'MKT DATA'!B1544</f>
        <v>syn BTCF7/BTCZ6/BTCX6/BTCV6/BTCG7</v>
      </c>
      <c r="F186" s="13">
        <f>'MKT DATA'!J1544</f>
        <v>1</v>
      </c>
      <c r="G186" s="8">
        <f>'MKT DATA'!K1544</f>
        <v>84754</v>
      </c>
      <c r="H186" s="8">
        <f>'MKT DATA'!L1544</f>
        <v>85362</v>
      </c>
      <c r="I186" s="13">
        <f>'MKT DATA'!M1544</f>
        <v>1</v>
      </c>
      <c r="J186" s="43" t="str">
        <f t="shared" si="6"/>
        <v>syn BTCF7/BTCZ6/BTCX6/BTCV6/BTCG7</v>
      </c>
      <c r="K186" s="8">
        <f>'MKT DATA'!O1544</f>
        <v>0</v>
      </c>
      <c r="L186" s="8">
        <f>'MKT DATA'!P1544</f>
        <v>84754</v>
      </c>
      <c r="M186" s="8">
        <f>'MKT DATA'!Q1544</f>
        <v>0</v>
      </c>
      <c r="N186" s="8">
        <f>'MKT DATA'!R1544</f>
        <v>0</v>
      </c>
      <c r="O186" s="8">
        <f>'MKT DATA'!S1544</f>
        <v>-85362</v>
      </c>
      <c r="P186" s="8">
        <f>'MKT DATA'!T1544</f>
        <v>0</v>
      </c>
      <c r="Q186" s="43" t="str">
        <f t="shared" si="7"/>
        <v>syn BTCF7/BTCZ6/BTCX6/BTCV6/BTCG7</v>
      </c>
      <c r="R186" s="13">
        <f>'MKT DATA'!AB1544</f>
        <v>0</v>
      </c>
    </row>
    <row r="187" spans="5:18" x14ac:dyDescent="0.25">
      <c r="E187" s="43" t="str">
        <f>'MKT DATA'!B1545</f>
        <v>syn BTCF7/BTCZ6/BTCX6/BTCH7/BTCG7</v>
      </c>
      <c r="F187" s="13">
        <f>'MKT DATA'!J1545</f>
        <v>1</v>
      </c>
      <c r="G187" s="8">
        <f>'MKT DATA'!K1545</f>
        <v>84335</v>
      </c>
      <c r="H187" s="8">
        <f>'MKT DATA'!L1545</f>
        <v>85719</v>
      </c>
      <c r="I187" s="13">
        <f>'MKT DATA'!M1545</f>
        <v>1</v>
      </c>
      <c r="J187" s="43" t="str">
        <f t="shared" si="6"/>
        <v>syn BTCF7/BTCZ6/BTCX6/BTCH7/BTCG7</v>
      </c>
      <c r="K187" s="8">
        <f>'MKT DATA'!O1545</f>
        <v>0</v>
      </c>
      <c r="L187" s="8">
        <f>'MKT DATA'!P1545</f>
        <v>84335</v>
      </c>
      <c r="M187" s="8">
        <f>'MKT DATA'!Q1545</f>
        <v>0</v>
      </c>
      <c r="N187" s="8">
        <f>'MKT DATA'!R1545</f>
        <v>0</v>
      </c>
      <c r="O187" s="8">
        <f>'MKT DATA'!S1545</f>
        <v>-85719</v>
      </c>
      <c r="P187" s="8">
        <f>'MKT DATA'!T1545</f>
        <v>0</v>
      </c>
      <c r="Q187" s="43" t="str">
        <f t="shared" si="7"/>
        <v>syn BTCF7/BTCZ6/BTCX6/BTCH7/BTCG7</v>
      </c>
      <c r="R187" s="13">
        <f>'MKT DATA'!AB1545</f>
        <v>0</v>
      </c>
    </row>
    <row r="188" spans="5:18" x14ac:dyDescent="0.25">
      <c r="E188" s="43" t="str">
        <f>'MKT DATA'!B1546</f>
        <v>syn BTCF7/BTCZ6/BTCH7/BTCV6/BTCG7</v>
      </c>
      <c r="F188" s="13">
        <f>'MKT DATA'!J1546</f>
        <v>1</v>
      </c>
      <c r="G188" s="8">
        <f>'MKT DATA'!K1546</f>
        <v>84176</v>
      </c>
      <c r="H188" s="8">
        <f>'MKT DATA'!L1546</f>
        <v>86128</v>
      </c>
      <c r="I188" s="13">
        <f>'MKT DATA'!M1546</f>
        <v>1</v>
      </c>
      <c r="J188" s="43" t="str">
        <f t="shared" si="6"/>
        <v>syn BTCF7/BTCZ6/BTCH7/BTCV6/BTCG7</v>
      </c>
      <c r="K188" s="8">
        <f>'MKT DATA'!O1546</f>
        <v>0</v>
      </c>
      <c r="L188" s="8">
        <f>'MKT DATA'!P1546</f>
        <v>84176</v>
      </c>
      <c r="M188" s="8">
        <f>'MKT DATA'!Q1546</f>
        <v>0</v>
      </c>
      <c r="N188" s="8">
        <f>'MKT DATA'!R1546</f>
        <v>0</v>
      </c>
      <c r="O188" s="8">
        <f>'MKT DATA'!S1546</f>
        <v>-86128</v>
      </c>
      <c r="P188" s="8">
        <f>'MKT DATA'!T1546</f>
        <v>0</v>
      </c>
      <c r="Q188" s="43" t="str">
        <f t="shared" si="7"/>
        <v>syn BTCF7/BTCZ6/BTCH7/BTCV6/BTCG7</v>
      </c>
      <c r="R188" s="13">
        <f>'MKT DATA'!AB1546</f>
        <v>0</v>
      </c>
    </row>
    <row r="189" spans="5:18" x14ac:dyDescent="0.25">
      <c r="E189" s="43" t="str">
        <f>'MKT DATA'!B1547</f>
        <v>syn BTCF7/BTCZ6/BTCH7/BTCX6/BTCG7</v>
      </c>
      <c r="F189" s="13">
        <f>'MKT DATA'!J1547</f>
        <v>1</v>
      </c>
      <c r="G189" s="8">
        <f>'MKT DATA'!K1547</f>
        <v>84151</v>
      </c>
      <c r="H189" s="8">
        <f>'MKT DATA'!L1547</f>
        <v>86153</v>
      </c>
      <c r="I189" s="13">
        <f>'MKT DATA'!M1547</f>
        <v>1</v>
      </c>
      <c r="J189" s="43" t="str">
        <f t="shared" si="6"/>
        <v>syn BTCF7/BTCZ6/BTCH7/BTCX6/BTCG7</v>
      </c>
      <c r="K189" s="8">
        <f>'MKT DATA'!O1547</f>
        <v>0</v>
      </c>
      <c r="L189" s="8">
        <f>'MKT DATA'!P1547</f>
        <v>84151</v>
      </c>
      <c r="M189" s="8">
        <f>'MKT DATA'!Q1547</f>
        <v>0</v>
      </c>
      <c r="N189" s="8">
        <f>'MKT DATA'!R1547</f>
        <v>0</v>
      </c>
      <c r="O189" s="8">
        <f>'MKT DATA'!S1547</f>
        <v>-86153</v>
      </c>
      <c r="P189" s="8">
        <f>'MKT DATA'!T1547</f>
        <v>0</v>
      </c>
      <c r="Q189" s="43" t="str">
        <f t="shared" si="7"/>
        <v>syn BTCF7/BTCZ6/BTCH7/BTCX6/BTCG7</v>
      </c>
      <c r="R189" s="13">
        <f>'MKT DATA'!AB1547</f>
        <v>0</v>
      </c>
    </row>
    <row r="190" spans="5:18" x14ac:dyDescent="0.25">
      <c r="E190" s="43" t="str">
        <f>'MKT DATA'!B1548</f>
        <v>syn BTCF7/BTCH7/BTCV6/BTCX6/BTCG7</v>
      </c>
      <c r="F190" s="13">
        <f>'MKT DATA'!J1548</f>
        <v>1</v>
      </c>
      <c r="G190" s="8">
        <f>'MKT DATA'!K1548</f>
        <v>83922</v>
      </c>
      <c r="H190" s="8">
        <f>'MKT DATA'!L1548</f>
        <v>86191</v>
      </c>
      <c r="I190" s="13">
        <f>'MKT DATA'!M1548</f>
        <v>1</v>
      </c>
      <c r="J190" s="43" t="str">
        <f t="shared" si="6"/>
        <v>syn BTCF7/BTCH7/BTCV6/BTCX6/BTCG7</v>
      </c>
      <c r="K190" s="8">
        <f>'MKT DATA'!O1548</f>
        <v>0</v>
      </c>
      <c r="L190" s="8">
        <f>'MKT DATA'!P1548</f>
        <v>83922</v>
      </c>
      <c r="M190" s="8">
        <f>'MKT DATA'!Q1548</f>
        <v>0</v>
      </c>
      <c r="N190" s="8">
        <f>'MKT DATA'!R1548</f>
        <v>0</v>
      </c>
      <c r="O190" s="8">
        <f>'MKT DATA'!S1548</f>
        <v>-86191</v>
      </c>
      <c r="P190" s="8">
        <f>'MKT DATA'!T1548</f>
        <v>0</v>
      </c>
      <c r="Q190" s="43" t="str">
        <f t="shared" si="7"/>
        <v>syn BTCF7/BTCH7/BTCV6/BTCX6/BTCG7</v>
      </c>
      <c r="R190" s="13">
        <f>'MKT DATA'!AB1548</f>
        <v>0</v>
      </c>
    </row>
    <row r="191" spans="5:18" x14ac:dyDescent="0.25">
      <c r="E191" s="43" t="str">
        <f>'MKT DATA'!B1549</f>
        <v>syn BTCF7/BTCH7/BTCV6/BTCZ6/BTCG7</v>
      </c>
      <c r="F191" s="13">
        <f>'MKT DATA'!J1549</f>
        <v>1</v>
      </c>
      <c r="G191" s="8">
        <f>'MKT DATA'!K1549</f>
        <v>83891</v>
      </c>
      <c r="H191" s="8">
        <f>'MKT DATA'!L1549</f>
        <v>86237</v>
      </c>
      <c r="I191" s="13">
        <f>'MKT DATA'!M1549</f>
        <v>1</v>
      </c>
      <c r="J191" s="43" t="str">
        <f t="shared" si="6"/>
        <v>syn BTCF7/BTCH7/BTCV6/BTCZ6/BTCG7</v>
      </c>
      <c r="K191" s="8">
        <f>'MKT DATA'!O1549</f>
        <v>0</v>
      </c>
      <c r="L191" s="8">
        <f>'MKT DATA'!P1549</f>
        <v>83891</v>
      </c>
      <c r="M191" s="8">
        <f>'MKT DATA'!Q1549</f>
        <v>0</v>
      </c>
      <c r="N191" s="8">
        <f>'MKT DATA'!R1549</f>
        <v>0</v>
      </c>
      <c r="O191" s="8">
        <f>'MKT DATA'!S1549</f>
        <v>-86237</v>
      </c>
      <c r="P191" s="8">
        <f>'MKT DATA'!T1549</f>
        <v>0</v>
      </c>
      <c r="Q191" s="43" t="str">
        <f t="shared" si="7"/>
        <v>syn BTCF7/BTCH7/BTCV6/BTCZ6/BTCG7</v>
      </c>
      <c r="R191" s="13">
        <f>'MKT DATA'!AB1549</f>
        <v>0</v>
      </c>
    </row>
    <row r="192" spans="5:18" x14ac:dyDescent="0.25">
      <c r="E192" s="43" t="str">
        <f>'MKT DATA'!B1550</f>
        <v>syn BTCF7/BTCH7/BTCX6/BTCV6/BTCG7</v>
      </c>
      <c r="F192" s="13">
        <f>'MKT DATA'!J1550</f>
        <v>1</v>
      </c>
      <c r="G192" s="8">
        <f>'MKT DATA'!K1550</f>
        <v>83929</v>
      </c>
      <c r="H192" s="8">
        <f>'MKT DATA'!L1550</f>
        <v>86198</v>
      </c>
      <c r="I192" s="13">
        <f>'MKT DATA'!M1550</f>
        <v>1</v>
      </c>
      <c r="J192" s="43" t="str">
        <f t="shared" si="6"/>
        <v>syn BTCF7/BTCH7/BTCX6/BTCV6/BTCG7</v>
      </c>
      <c r="K192" s="8">
        <f>'MKT DATA'!O1550</f>
        <v>0</v>
      </c>
      <c r="L192" s="8">
        <f>'MKT DATA'!P1550</f>
        <v>83929</v>
      </c>
      <c r="M192" s="8">
        <f>'MKT DATA'!Q1550</f>
        <v>0</v>
      </c>
      <c r="N192" s="8">
        <f>'MKT DATA'!R1550</f>
        <v>0</v>
      </c>
      <c r="O192" s="8">
        <f>'MKT DATA'!S1550</f>
        <v>-86198</v>
      </c>
      <c r="P192" s="8">
        <f>'MKT DATA'!T1550</f>
        <v>0</v>
      </c>
      <c r="Q192" s="43" t="str">
        <f t="shared" si="7"/>
        <v>syn BTCF7/BTCH7/BTCX6/BTCV6/BTCG7</v>
      </c>
      <c r="R192" s="13">
        <f>'MKT DATA'!AB1550</f>
        <v>0</v>
      </c>
    </row>
    <row r="193" spans="5:18" x14ac:dyDescent="0.25">
      <c r="E193" s="43" t="str">
        <f>'MKT DATA'!B1551</f>
        <v>syn BTCF7/BTCH7/BTCX6/BTCZ6/BTCG7</v>
      </c>
      <c r="F193" s="13">
        <f>'MKT DATA'!J1551</f>
        <v>1</v>
      </c>
      <c r="G193" s="8">
        <f>'MKT DATA'!K1551</f>
        <v>83889</v>
      </c>
      <c r="H193" s="8">
        <f>'MKT DATA'!L1551</f>
        <v>86246</v>
      </c>
      <c r="I193" s="13">
        <f>'MKT DATA'!M1551</f>
        <v>1</v>
      </c>
      <c r="J193" s="43" t="str">
        <f t="shared" si="6"/>
        <v>syn BTCF7/BTCH7/BTCX6/BTCZ6/BTCG7</v>
      </c>
      <c r="K193" s="8">
        <f>'MKT DATA'!O1551</f>
        <v>0</v>
      </c>
      <c r="L193" s="8">
        <f>'MKT DATA'!P1551</f>
        <v>83889</v>
      </c>
      <c r="M193" s="8">
        <f>'MKT DATA'!Q1551</f>
        <v>0</v>
      </c>
      <c r="N193" s="8">
        <f>'MKT DATA'!R1551</f>
        <v>0</v>
      </c>
      <c r="O193" s="8">
        <f>'MKT DATA'!S1551</f>
        <v>-86246</v>
      </c>
      <c r="P193" s="8">
        <f>'MKT DATA'!T1551</f>
        <v>0</v>
      </c>
      <c r="Q193" s="43" t="str">
        <f t="shared" si="7"/>
        <v>syn BTCF7/BTCH7/BTCX6/BTCZ6/BTCG7</v>
      </c>
      <c r="R193" s="13">
        <f>'MKT DATA'!AB1551</f>
        <v>0</v>
      </c>
    </row>
    <row r="194" spans="5:18" x14ac:dyDescent="0.25">
      <c r="E194" s="43" t="str">
        <f>'MKT DATA'!B1552</f>
        <v>syn BTCF7/BTCH7/BTCZ6/BTCV6/BTCG7</v>
      </c>
      <c r="F194" s="13">
        <f>'MKT DATA'!J1552</f>
        <v>1</v>
      </c>
      <c r="G194" s="8">
        <f>'MKT DATA'!K1552</f>
        <v>83913</v>
      </c>
      <c r="H194" s="8">
        <f>'MKT DATA'!L1552</f>
        <v>86019</v>
      </c>
      <c r="I194" s="13">
        <f>'MKT DATA'!M1552</f>
        <v>1</v>
      </c>
      <c r="J194" s="43" t="str">
        <f t="shared" si="6"/>
        <v>syn BTCF7/BTCH7/BTCZ6/BTCV6/BTCG7</v>
      </c>
      <c r="K194" s="8">
        <f>'MKT DATA'!O1552</f>
        <v>0</v>
      </c>
      <c r="L194" s="8">
        <f>'MKT DATA'!P1552</f>
        <v>83913</v>
      </c>
      <c r="M194" s="8">
        <f>'MKT DATA'!Q1552</f>
        <v>0</v>
      </c>
      <c r="N194" s="8">
        <f>'MKT DATA'!R1552</f>
        <v>0</v>
      </c>
      <c r="O194" s="8">
        <f>'MKT DATA'!S1552</f>
        <v>-86019</v>
      </c>
      <c r="P194" s="8">
        <f>'MKT DATA'!T1552</f>
        <v>0</v>
      </c>
      <c r="Q194" s="43" t="str">
        <f t="shared" si="7"/>
        <v>syn BTCF7/BTCH7/BTCZ6/BTCV6/BTCG7</v>
      </c>
      <c r="R194" s="13">
        <f>'MKT DATA'!AB1552</f>
        <v>0</v>
      </c>
    </row>
    <row r="195" spans="5:18" x14ac:dyDescent="0.25">
      <c r="E195" s="43" t="str">
        <f>'MKT DATA'!B1553</f>
        <v>syn BTCF7/BTCH7/BTCZ6/BTCX6/BTCG7</v>
      </c>
      <c r="F195" s="13">
        <f>'MKT DATA'!J1553</f>
        <v>1</v>
      </c>
      <c r="G195" s="8">
        <f>'MKT DATA'!K1553</f>
        <v>83904</v>
      </c>
      <c r="H195" s="8">
        <f>'MKT DATA'!L1553</f>
        <v>86021</v>
      </c>
      <c r="I195" s="13">
        <f>'MKT DATA'!M1553</f>
        <v>1</v>
      </c>
      <c r="J195" s="43" t="str">
        <f t="shared" si="6"/>
        <v>syn BTCF7/BTCH7/BTCZ6/BTCX6/BTCG7</v>
      </c>
      <c r="K195" s="8">
        <f>'MKT DATA'!O1553</f>
        <v>0</v>
      </c>
      <c r="L195" s="8">
        <f>'MKT DATA'!P1553</f>
        <v>83904</v>
      </c>
      <c r="M195" s="8">
        <f>'MKT DATA'!Q1553</f>
        <v>0</v>
      </c>
      <c r="N195" s="8">
        <f>'MKT DATA'!R1553</f>
        <v>0</v>
      </c>
      <c r="O195" s="8">
        <f>'MKT DATA'!S1553</f>
        <v>-86021</v>
      </c>
      <c r="P195" s="8">
        <f>'MKT DATA'!T1553</f>
        <v>0</v>
      </c>
      <c r="Q195" s="43" t="str">
        <f t="shared" si="7"/>
        <v>syn BTCF7/BTCH7/BTCZ6/BTCX6/BTCG7</v>
      </c>
      <c r="R195" s="13">
        <f>'MKT DATA'!AB1553</f>
        <v>0</v>
      </c>
    </row>
    <row r="196" spans="5:18" x14ac:dyDescent="0.25">
      <c r="E196" s="43" t="str">
        <f>'MKT DATA'!B1554</f>
        <v>syn BTCH7/BTCV6/BTCX6/BTCZ6/BTCG7</v>
      </c>
      <c r="F196" s="13">
        <f>'MKT DATA'!J1554</f>
        <v>1</v>
      </c>
      <c r="G196" s="8">
        <f>'MKT DATA'!K1554</f>
        <v>84081</v>
      </c>
      <c r="H196" s="8">
        <f>'MKT DATA'!L1554</f>
        <v>86047</v>
      </c>
      <c r="I196" s="13">
        <f>'MKT DATA'!M1554</f>
        <v>1</v>
      </c>
      <c r="J196" s="43" t="str">
        <f t="shared" si="6"/>
        <v>syn BTCH7/BTCV6/BTCX6/BTCZ6/BTCG7</v>
      </c>
      <c r="K196" s="8">
        <f>'MKT DATA'!O1554</f>
        <v>0</v>
      </c>
      <c r="L196" s="8">
        <f>'MKT DATA'!P1554</f>
        <v>84081</v>
      </c>
      <c r="M196" s="8">
        <f>'MKT DATA'!Q1554</f>
        <v>0</v>
      </c>
      <c r="N196" s="8">
        <f>'MKT DATA'!R1554</f>
        <v>0</v>
      </c>
      <c r="O196" s="8">
        <f>'MKT DATA'!S1554</f>
        <v>-86047</v>
      </c>
      <c r="P196" s="8">
        <f>'MKT DATA'!T1554</f>
        <v>0</v>
      </c>
      <c r="Q196" s="43" t="str">
        <f t="shared" si="7"/>
        <v>syn BTCH7/BTCV6/BTCX6/BTCZ6/BTCG7</v>
      </c>
      <c r="R196" s="13">
        <f>'MKT DATA'!AB1554</f>
        <v>0</v>
      </c>
    </row>
    <row r="197" spans="5:18" x14ac:dyDescent="0.25">
      <c r="E197" s="43" t="str">
        <f>'MKT DATA'!B1555</f>
        <v>syn BTCH7/BTCV6/BTCX6/BTCF7/BTCG7</v>
      </c>
      <c r="F197" s="13">
        <f>'MKT DATA'!J1555</f>
        <v>1</v>
      </c>
      <c r="G197" s="8">
        <f>'MKT DATA'!K1555</f>
        <v>84147</v>
      </c>
      <c r="H197" s="8">
        <f>'MKT DATA'!L1555</f>
        <v>85930</v>
      </c>
      <c r="I197" s="13">
        <f>'MKT DATA'!M1555</f>
        <v>1</v>
      </c>
      <c r="J197" s="43" t="str">
        <f t="shared" si="6"/>
        <v>syn BTCH7/BTCV6/BTCX6/BTCF7/BTCG7</v>
      </c>
      <c r="K197" s="8">
        <f>'MKT DATA'!O1555</f>
        <v>0</v>
      </c>
      <c r="L197" s="8">
        <f>'MKT DATA'!P1555</f>
        <v>84147</v>
      </c>
      <c r="M197" s="8">
        <f>'MKT DATA'!Q1555</f>
        <v>0</v>
      </c>
      <c r="N197" s="8">
        <f>'MKT DATA'!R1555</f>
        <v>0</v>
      </c>
      <c r="O197" s="8">
        <f>'MKT DATA'!S1555</f>
        <v>-85930</v>
      </c>
      <c r="P197" s="8">
        <f>'MKT DATA'!T1555</f>
        <v>0</v>
      </c>
      <c r="Q197" s="43" t="str">
        <f t="shared" si="7"/>
        <v>syn BTCH7/BTCV6/BTCX6/BTCF7/BTCG7</v>
      </c>
      <c r="R197" s="13">
        <f>'MKT DATA'!AB1555</f>
        <v>0</v>
      </c>
    </row>
    <row r="198" spans="5:18" x14ac:dyDescent="0.25">
      <c r="E198" s="43" t="str">
        <f>'MKT DATA'!B1556</f>
        <v>syn BTCH7/BTCV6/BTCZ6/BTCX6/BTCG7</v>
      </c>
      <c r="F198" s="13">
        <f>'MKT DATA'!J1556</f>
        <v>1</v>
      </c>
      <c r="G198" s="8">
        <f>'MKT DATA'!K1556</f>
        <v>84080</v>
      </c>
      <c r="H198" s="8">
        <f>'MKT DATA'!L1556</f>
        <v>86033</v>
      </c>
      <c r="I198" s="13">
        <f>'MKT DATA'!M1556</f>
        <v>1</v>
      </c>
      <c r="J198" s="43" t="str">
        <f t="shared" si="6"/>
        <v>syn BTCH7/BTCV6/BTCZ6/BTCX6/BTCG7</v>
      </c>
      <c r="K198" s="8">
        <f>'MKT DATA'!O1556</f>
        <v>0</v>
      </c>
      <c r="L198" s="8">
        <f>'MKT DATA'!P1556</f>
        <v>84080</v>
      </c>
      <c r="M198" s="8">
        <f>'MKT DATA'!Q1556</f>
        <v>0</v>
      </c>
      <c r="N198" s="8">
        <f>'MKT DATA'!R1556</f>
        <v>0</v>
      </c>
      <c r="O198" s="8">
        <f>'MKT DATA'!S1556</f>
        <v>-86033</v>
      </c>
      <c r="P198" s="8">
        <f>'MKT DATA'!T1556</f>
        <v>0</v>
      </c>
      <c r="Q198" s="43" t="str">
        <f t="shared" si="7"/>
        <v>syn BTCH7/BTCV6/BTCZ6/BTCX6/BTCG7</v>
      </c>
      <c r="R198" s="13">
        <f>'MKT DATA'!AB1556</f>
        <v>0</v>
      </c>
    </row>
    <row r="199" spans="5:18" x14ac:dyDescent="0.25">
      <c r="E199" s="43" t="str">
        <f>'MKT DATA'!B1557</f>
        <v>syn BTCH7/BTCV6/BTCZ6/BTCF7/BTCG7</v>
      </c>
      <c r="F199" s="13">
        <f>'MKT DATA'!J1557</f>
        <v>1</v>
      </c>
      <c r="G199" s="8">
        <f>'MKT DATA'!K1557</f>
        <v>84182</v>
      </c>
      <c r="H199" s="8">
        <f>'MKT DATA'!L1557</f>
        <v>85926</v>
      </c>
      <c r="I199" s="13">
        <f>'MKT DATA'!M1557</f>
        <v>1</v>
      </c>
      <c r="J199" s="43" t="str">
        <f t="shared" si="6"/>
        <v>syn BTCH7/BTCV6/BTCZ6/BTCF7/BTCG7</v>
      </c>
      <c r="K199" s="8">
        <f>'MKT DATA'!O1557</f>
        <v>0</v>
      </c>
      <c r="L199" s="8">
        <f>'MKT DATA'!P1557</f>
        <v>84182</v>
      </c>
      <c r="M199" s="8">
        <f>'MKT DATA'!Q1557</f>
        <v>0</v>
      </c>
      <c r="N199" s="8">
        <f>'MKT DATA'!R1557</f>
        <v>0</v>
      </c>
      <c r="O199" s="8">
        <f>'MKT DATA'!S1557</f>
        <v>-85926</v>
      </c>
      <c r="P199" s="8">
        <f>'MKT DATA'!T1557</f>
        <v>0</v>
      </c>
      <c r="Q199" s="43" t="str">
        <f t="shared" si="7"/>
        <v>syn BTCH7/BTCV6/BTCZ6/BTCF7/BTCG7</v>
      </c>
      <c r="R199" s="13">
        <f>'MKT DATA'!AB1557</f>
        <v>0</v>
      </c>
    </row>
    <row r="200" spans="5:18" x14ac:dyDescent="0.25">
      <c r="E200" s="43" t="str">
        <f>'MKT DATA'!B1558</f>
        <v>syn BTCH7/BTCV6/BTCF7/BTCX6/BTCG7</v>
      </c>
      <c r="F200" s="13">
        <f>'MKT DATA'!J1558</f>
        <v>1</v>
      </c>
      <c r="G200" s="8">
        <f>'MKT DATA'!K1558</f>
        <v>83977</v>
      </c>
      <c r="H200" s="8">
        <f>'MKT DATA'!L1558</f>
        <v>86133</v>
      </c>
      <c r="I200" s="13">
        <f>'MKT DATA'!M1558</f>
        <v>1</v>
      </c>
      <c r="J200" s="43" t="str">
        <f t="shared" si="6"/>
        <v>syn BTCH7/BTCV6/BTCF7/BTCX6/BTCG7</v>
      </c>
      <c r="K200" s="8">
        <f>'MKT DATA'!O1558</f>
        <v>0</v>
      </c>
      <c r="L200" s="8">
        <f>'MKT DATA'!P1558</f>
        <v>83977</v>
      </c>
      <c r="M200" s="8">
        <f>'MKT DATA'!Q1558</f>
        <v>0</v>
      </c>
      <c r="N200" s="8">
        <f>'MKT DATA'!R1558</f>
        <v>0</v>
      </c>
      <c r="O200" s="8">
        <f>'MKT DATA'!S1558</f>
        <v>-86133</v>
      </c>
      <c r="P200" s="8">
        <f>'MKT DATA'!T1558</f>
        <v>0</v>
      </c>
      <c r="Q200" s="43" t="str">
        <f t="shared" si="7"/>
        <v>syn BTCH7/BTCV6/BTCF7/BTCX6/BTCG7</v>
      </c>
      <c r="R200" s="13">
        <f>'MKT DATA'!AB1558</f>
        <v>0</v>
      </c>
    </row>
    <row r="201" spans="5:18" x14ac:dyDescent="0.25">
      <c r="E201" s="43" t="str">
        <f>'MKT DATA'!B1559</f>
        <v>syn BTCH7/BTCV6/BTCF7/BTCZ6/BTCG7</v>
      </c>
      <c r="F201" s="13">
        <f>'MKT DATA'!J1559</f>
        <v>1</v>
      </c>
      <c r="G201" s="8">
        <f>'MKT DATA'!K1559</f>
        <v>83982</v>
      </c>
      <c r="H201" s="8">
        <f>'MKT DATA'!L1559</f>
        <v>86112</v>
      </c>
      <c r="I201" s="13">
        <f>'MKT DATA'!M1559</f>
        <v>1</v>
      </c>
      <c r="J201" s="43" t="str">
        <f t="shared" si="6"/>
        <v>syn BTCH7/BTCV6/BTCF7/BTCZ6/BTCG7</v>
      </c>
      <c r="K201" s="8">
        <f>'MKT DATA'!O1559</f>
        <v>0</v>
      </c>
      <c r="L201" s="8">
        <f>'MKT DATA'!P1559</f>
        <v>83982</v>
      </c>
      <c r="M201" s="8">
        <f>'MKT DATA'!Q1559</f>
        <v>0</v>
      </c>
      <c r="N201" s="8">
        <f>'MKT DATA'!R1559</f>
        <v>0</v>
      </c>
      <c r="O201" s="8">
        <f>'MKT DATA'!S1559</f>
        <v>-86112</v>
      </c>
      <c r="P201" s="8">
        <f>'MKT DATA'!T1559</f>
        <v>0</v>
      </c>
      <c r="Q201" s="43" t="str">
        <f t="shared" si="7"/>
        <v>syn BTCH7/BTCV6/BTCF7/BTCZ6/BTCG7</v>
      </c>
      <c r="R201" s="13">
        <f>'MKT DATA'!AB1559</f>
        <v>0</v>
      </c>
    </row>
    <row r="202" spans="5:18" x14ac:dyDescent="0.25">
      <c r="E202" s="43" t="str">
        <f>'MKT DATA'!B1560</f>
        <v>syn BTCH7/BTCX6/BTCV6/BTCZ6/BTCG7</v>
      </c>
      <c r="F202" s="13">
        <f>'MKT DATA'!J1560</f>
        <v>1</v>
      </c>
      <c r="G202" s="8">
        <f>'MKT DATA'!K1560</f>
        <v>84065</v>
      </c>
      <c r="H202" s="8">
        <f>'MKT DATA'!L1560</f>
        <v>86070</v>
      </c>
      <c r="I202" s="13">
        <f>'MKT DATA'!M1560</f>
        <v>1</v>
      </c>
      <c r="J202" s="43" t="str">
        <f t="shared" ref="J202:J265" si="8">E202</f>
        <v>syn BTCH7/BTCX6/BTCV6/BTCZ6/BTCG7</v>
      </c>
      <c r="K202" s="8">
        <f>'MKT DATA'!O1560</f>
        <v>0</v>
      </c>
      <c r="L202" s="8">
        <f>'MKT DATA'!P1560</f>
        <v>84065</v>
      </c>
      <c r="M202" s="8">
        <f>'MKT DATA'!Q1560</f>
        <v>0</v>
      </c>
      <c r="N202" s="8">
        <f>'MKT DATA'!R1560</f>
        <v>0</v>
      </c>
      <c r="O202" s="8">
        <f>'MKT DATA'!S1560</f>
        <v>-86070</v>
      </c>
      <c r="P202" s="8">
        <f>'MKT DATA'!T1560</f>
        <v>0</v>
      </c>
      <c r="Q202" s="43" t="str">
        <f t="shared" ref="Q202:Q265" si="9">J202</f>
        <v>syn BTCH7/BTCX6/BTCV6/BTCZ6/BTCG7</v>
      </c>
      <c r="R202" s="13">
        <f>'MKT DATA'!AB1560</f>
        <v>0</v>
      </c>
    </row>
    <row r="203" spans="5:18" x14ac:dyDescent="0.25">
      <c r="E203" s="43" t="str">
        <f>'MKT DATA'!B1561</f>
        <v>syn BTCH7/BTCX6/BTCV6/BTCF7/BTCG7</v>
      </c>
      <c r="F203" s="13">
        <f>'MKT DATA'!J1561</f>
        <v>1</v>
      </c>
      <c r="G203" s="8">
        <f>'MKT DATA'!K1561</f>
        <v>84114</v>
      </c>
      <c r="H203" s="8">
        <f>'MKT DATA'!L1561</f>
        <v>85967</v>
      </c>
      <c r="I203" s="13">
        <f>'MKT DATA'!M1561</f>
        <v>1</v>
      </c>
      <c r="J203" s="43" t="str">
        <f t="shared" si="8"/>
        <v>syn BTCH7/BTCX6/BTCV6/BTCF7/BTCG7</v>
      </c>
      <c r="K203" s="8">
        <f>'MKT DATA'!O1561</f>
        <v>0</v>
      </c>
      <c r="L203" s="8">
        <f>'MKT DATA'!P1561</f>
        <v>84114</v>
      </c>
      <c r="M203" s="8">
        <f>'MKT DATA'!Q1561</f>
        <v>0</v>
      </c>
      <c r="N203" s="8">
        <f>'MKT DATA'!R1561</f>
        <v>0</v>
      </c>
      <c r="O203" s="8">
        <f>'MKT DATA'!S1561</f>
        <v>-85967</v>
      </c>
      <c r="P203" s="8">
        <f>'MKT DATA'!T1561</f>
        <v>0</v>
      </c>
      <c r="Q203" s="43" t="str">
        <f t="shared" si="9"/>
        <v>syn BTCH7/BTCX6/BTCV6/BTCF7/BTCG7</v>
      </c>
      <c r="R203" s="13">
        <f>'MKT DATA'!AB1561</f>
        <v>0</v>
      </c>
    </row>
    <row r="204" spans="5:18" x14ac:dyDescent="0.25">
      <c r="E204" s="43" t="str">
        <f>'MKT DATA'!B1562</f>
        <v>syn BTCH7/BTCX6/BTCZ6/BTCV6/BTCG7</v>
      </c>
      <c r="F204" s="13">
        <f>'MKT DATA'!J1562</f>
        <v>1</v>
      </c>
      <c r="G204" s="8">
        <f>'MKT DATA'!K1562</f>
        <v>84087</v>
      </c>
      <c r="H204" s="8">
        <f>'MKT DATA'!L1562</f>
        <v>86040</v>
      </c>
      <c r="I204" s="13">
        <f>'MKT DATA'!M1562</f>
        <v>1</v>
      </c>
      <c r="J204" s="43" t="str">
        <f t="shared" si="8"/>
        <v>syn BTCH7/BTCX6/BTCZ6/BTCV6/BTCG7</v>
      </c>
      <c r="K204" s="8">
        <f>'MKT DATA'!O1562</f>
        <v>0</v>
      </c>
      <c r="L204" s="8">
        <f>'MKT DATA'!P1562</f>
        <v>84087</v>
      </c>
      <c r="M204" s="8">
        <f>'MKT DATA'!Q1562</f>
        <v>0</v>
      </c>
      <c r="N204" s="8">
        <f>'MKT DATA'!R1562</f>
        <v>0</v>
      </c>
      <c r="O204" s="8">
        <f>'MKT DATA'!S1562</f>
        <v>-86040</v>
      </c>
      <c r="P204" s="8">
        <f>'MKT DATA'!T1562</f>
        <v>0</v>
      </c>
      <c r="Q204" s="43" t="str">
        <f t="shared" si="9"/>
        <v>syn BTCH7/BTCX6/BTCZ6/BTCV6/BTCG7</v>
      </c>
      <c r="R204" s="13">
        <f>'MKT DATA'!AB1562</f>
        <v>0</v>
      </c>
    </row>
    <row r="205" spans="5:18" x14ac:dyDescent="0.25">
      <c r="E205" s="43" t="str">
        <f>'MKT DATA'!B1563</f>
        <v>syn BTCH7/BTCX6/BTCZ6/BTCF7/BTCG7</v>
      </c>
      <c r="F205" s="13">
        <f>'MKT DATA'!J1563</f>
        <v>1</v>
      </c>
      <c r="G205" s="8">
        <f>'MKT DATA'!K1563</f>
        <v>84180</v>
      </c>
      <c r="H205" s="8">
        <f>'MKT DATA'!L1563</f>
        <v>85935</v>
      </c>
      <c r="I205" s="13">
        <f>'MKT DATA'!M1563</f>
        <v>1</v>
      </c>
      <c r="J205" s="43" t="str">
        <f t="shared" si="8"/>
        <v>syn BTCH7/BTCX6/BTCZ6/BTCF7/BTCG7</v>
      </c>
      <c r="K205" s="8">
        <f>'MKT DATA'!O1563</f>
        <v>0</v>
      </c>
      <c r="L205" s="8">
        <f>'MKT DATA'!P1563</f>
        <v>84180</v>
      </c>
      <c r="M205" s="8">
        <f>'MKT DATA'!Q1563</f>
        <v>0</v>
      </c>
      <c r="N205" s="8">
        <f>'MKT DATA'!R1563</f>
        <v>0</v>
      </c>
      <c r="O205" s="8">
        <f>'MKT DATA'!S1563</f>
        <v>-85935</v>
      </c>
      <c r="P205" s="8">
        <f>'MKT DATA'!T1563</f>
        <v>0</v>
      </c>
      <c r="Q205" s="43" t="str">
        <f t="shared" si="9"/>
        <v>syn BTCH7/BTCX6/BTCZ6/BTCF7/BTCG7</v>
      </c>
      <c r="R205" s="13">
        <f>'MKT DATA'!AB1563</f>
        <v>0</v>
      </c>
    </row>
    <row r="206" spans="5:18" x14ac:dyDescent="0.25">
      <c r="E206" s="43" t="str">
        <f>'MKT DATA'!B1564</f>
        <v>syn BTCH7/BTCX6/BTCF7/BTCV6/BTCG7</v>
      </c>
      <c r="F206" s="13">
        <f>'MKT DATA'!J1564</f>
        <v>1</v>
      </c>
      <c r="G206" s="8">
        <f>'MKT DATA'!K1564</f>
        <v>83987</v>
      </c>
      <c r="H206" s="8">
        <f>'MKT DATA'!L1564</f>
        <v>86143</v>
      </c>
      <c r="I206" s="13">
        <f>'MKT DATA'!M1564</f>
        <v>1</v>
      </c>
      <c r="J206" s="43" t="str">
        <f t="shared" si="8"/>
        <v>syn BTCH7/BTCX6/BTCF7/BTCV6/BTCG7</v>
      </c>
      <c r="K206" s="8">
        <f>'MKT DATA'!O1564</f>
        <v>0</v>
      </c>
      <c r="L206" s="8">
        <f>'MKT DATA'!P1564</f>
        <v>83987</v>
      </c>
      <c r="M206" s="8">
        <f>'MKT DATA'!Q1564</f>
        <v>0</v>
      </c>
      <c r="N206" s="8">
        <f>'MKT DATA'!R1564</f>
        <v>0</v>
      </c>
      <c r="O206" s="8">
        <f>'MKT DATA'!S1564</f>
        <v>-86143</v>
      </c>
      <c r="P206" s="8">
        <f>'MKT DATA'!T1564</f>
        <v>0</v>
      </c>
      <c r="Q206" s="43" t="str">
        <f t="shared" si="9"/>
        <v>syn BTCH7/BTCX6/BTCF7/BTCV6/BTCG7</v>
      </c>
      <c r="R206" s="13">
        <f>'MKT DATA'!AB1564</f>
        <v>0</v>
      </c>
    </row>
    <row r="207" spans="5:18" x14ac:dyDescent="0.25">
      <c r="E207" s="43" t="str">
        <f>'MKT DATA'!B1565</f>
        <v>syn BTCH7/BTCX6/BTCF7/BTCZ6/BTCG7</v>
      </c>
      <c r="F207" s="13">
        <f>'MKT DATA'!J1565</f>
        <v>1</v>
      </c>
      <c r="G207" s="8">
        <f>'MKT DATA'!K1565</f>
        <v>83997</v>
      </c>
      <c r="H207" s="8">
        <f>'MKT DATA'!L1565</f>
        <v>86107</v>
      </c>
      <c r="I207" s="13">
        <f>'MKT DATA'!M1565</f>
        <v>1</v>
      </c>
      <c r="J207" s="43" t="str">
        <f t="shared" si="8"/>
        <v>syn BTCH7/BTCX6/BTCF7/BTCZ6/BTCG7</v>
      </c>
      <c r="K207" s="8">
        <f>'MKT DATA'!O1565</f>
        <v>0</v>
      </c>
      <c r="L207" s="8">
        <f>'MKT DATA'!P1565</f>
        <v>83997</v>
      </c>
      <c r="M207" s="8">
        <f>'MKT DATA'!Q1565</f>
        <v>0</v>
      </c>
      <c r="N207" s="8">
        <f>'MKT DATA'!R1565</f>
        <v>0</v>
      </c>
      <c r="O207" s="8">
        <f>'MKT DATA'!S1565</f>
        <v>-86107</v>
      </c>
      <c r="P207" s="8">
        <f>'MKT DATA'!T1565</f>
        <v>0</v>
      </c>
      <c r="Q207" s="43" t="str">
        <f t="shared" si="9"/>
        <v>syn BTCH7/BTCX6/BTCF7/BTCZ6/BTCG7</v>
      </c>
      <c r="R207" s="13">
        <f>'MKT DATA'!AB1565</f>
        <v>0</v>
      </c>
    </row>
    <row r="208" spans="5:18" x14ac:dyDescent="0.25">
      <c r="E208" s="43" t="str">
        <f>'MKT DATA'!B1566</f>
        <v>syn BTCH7/BTCZ6/BTCV6/BTCX6/BTCG7</v>
      </c>
      <c r="F208" s="13">
        <f>'MKT DATA'!J1566</f>
        <v>1</v>
      </c>
      <c r="G208" s="8">
        <f>'MKT DATA'!K1566</f>
        <v>84080</v>
      </c>
      <c r="H208" s="8">
        <f>'MKT DATA'!L1566</f>
        <v>85845</v>
      </c>
      <c r="I208" s="13">
        <f>'MKT DATA'!M1566</f>
        <v>1</v>
      </c>
      <c r="J208" s="43" t="str">
        <f t="shared" si="8"/>
        <v>syn BTCH7/BTCZ6/BTCV6/BTCX6/BTCG7</v>
      </c>
      <c r="K208" s="8">
        <f>'MKT DATA'!O1566</f>
        <v>0</v>
      </c>
      <c r="L208" s="8">
        <f>'MKT DATA'!P1566</f>
        <v>84080</v>
      </c>
      <c r="M208" s="8">
        <f>'MKT DATA'!Q1566</f>
        <v>0</v>
      </c>
      <c r="N208" s="8">
        <f>'MKT DATA'!R1566</f>
        <v>0</v>
      </c>
      <c r="O208" s="8">
        <f>'MKT DATA'!S1566</f>
        <v>-85845</v>
      </c>
      <c r="P208" s="8">
        <f>'MKT DATA'!T1566</f>
        <v>0</v>
      </c>
      <c r="Q208" s="43" t="str">
        <f t="shared" si="9"/>
        <v>syn BTCH7/BTCZ6/BTCV6/BTCX6/BTCG7</v>
      </c>
      <c r="R208" s="13">
        <f>'MKT DATA'!AB1566</f>
        <v>0</v>
      </c>
    </row>
    <row r="209" spans="5:18" x14ac:dyDescent="0.25">
      <c r="E209" s="43" t="str">
        <f>'MKT DATA'!B1567</f>
        <v>syn BTCH7/BTCZ6/BTCV6/BTCF7/BTCG7</v>
      </c>
      <c r="F209" s="13">
        <f>'MKT DATA'!J1567</f>
        <v>1</v>
      </c>
      <c r="G209" s="8">
        <f>'MKT DATA'!K1567</f>
        <v>84098</v>
      </c>
      <c r="H209" s="8">
        <f>'MKT DATA'!L1567</f>
        <v>85788</v>
      </c>
      <c r="I209" s="13">
        <f>'MKT DATA'!M1567</f>
        <v>1</v>
      </c>
      <c r="J209" s="43" t="str">
        <f t="shared" si="8"/>
        <v>syn BTCH7/BTCZ6/BTCV6/BTCF7/BTCG7</v>
      </c>
      <c r="K209" s="8">
        <f>'MKT DATA'!O1567</f>
        <v>0</v>
      </c>
      <c r="L209" s="8">
        <f>'MKT DATA'!P1567</f>
        <v>84098</v>
      </c>
      <c r="M209" s="8">
        <f>'MKT DATA'!Q1567</f>
        <v>0</v>
      </c>
      <c r="N209" s="8">
        <f>'MKT DATA'!R1567</f>
        <v>0</v>
      </c>
      <c r="O209" s="8">
        <f>'MKT DATA'!S1567</f>
        <v>-85788</v>
      </c>
      <c r="P209" s="8">
        <f>'MKT DATA'!T1567</f>
        <v>0</v>
      </c>
      <c r="Q209" s="43" t="str">
        <f t="shared" si="9"/>
        <v>syn BTCH7/BTCZ6/BTCV6/BTCF7/BTCG7</v>
      </c>
      <c r="R209" s="13">
        <f>'MKT DATA'!AB1567</f>
        <v>0</v>
      </c>
    </row>
    <row r="210" spans="5:18" x14ac:dyDescent="0.25">
      <c r="E210" s="43" t="str">
        <f>'MKT DATA'!B1568</f>
        <v>syn BTCH7/BTCZ6/BTCX6/BTCV6/BTCG7</v>
      </c>
      <c r="F210" s="13">
        <f>'MKT DATA'!J1568</f>
        <v>1</v>
      </c>
      <c r="G210" s="8">
        <f>'MKT DATA'!K1568</f>
        <v>84103</v>
      </c>
      <c r="H210" s="8">
        <f>'MKT DATA'!L1568</f>
        <v>85829</v>
      </c>
      <c r="I210" s="13">
        <f>'MKT DATA'!M1568</f>
        <v>1</v>
      </c>
      <c r="J210" s="43" t="str">
        <f t="shared" si="8"/>
        <v>syn BTCH7/BTCZ6/BTCX6/BTCV6/BTCG7</v>
      </c>
      <c r="K210" s="8">
        <f>'MKT DATA'!O1568</f>
        <v>0</v>
      </c>
      <c r="L210" s="8">
        <f>'MKT DATA'!P1568</f>
        <v>84103</v>
      </c>
      <c r="M210" s="8">
        <f>'MKT DATA'!Q1568</f>
        <v>0</v>
      </c>
      <c r="N210" s="8">
        <f>'MKT DATA'!R1568</f>
        <v>0</v>
      </c>
      <c r="O210" s="8">
        <f>'MKT DATA'!S1568</f>
        <v>-85829</v>
      </c>
      <c r="P210" s="8">
        <f>'MKT DATA'!T1568</f>
        <v>0</v>
      </c>
      <c r="Q210" s="43" t="str">
        <f t="shared" si="9"/>
        <v>syn BTCH7/BTCZ6/BTCX6/BTCV6/BTCG7</v>
      </c>
      <c r="R210" s="13">
        <f>'MKT DATA'!AB1568</f>
        <v>0</v>
      </c>
    </row>
    <row r="211" spans="5:18" x14ac:dyDescent="0.25">
      <c r="E211" s="43" t="str">
        <f>'MKT DATA'!B1569</f>
        <v>syn BTCH7/BTCZ6/BTCX6/BTCF7/BTCG7</v>
      </c>
      <c r="F211" s="13">
        <f>'MKT DATA'!J1569</f>
        <v>1</v>
      </c>
      <c r="G211" s="8">
        <f>'MKT DATA'!K1569</f>
        <v>84129</v>
      </c>
      <c r="H211" s="8">
        <f>'MKT DATA'!L1569</f>
        <v>85760</v>
      </c>
      <c r="I211" s="13">
        <f>'MKT DATA'!M1569</f>
        <v>1</v>
      </c>
      <c r="J211" s="43" t="str">
        <f t="shared" si="8"/>
        <v>syn BTCH7/BTCZ6/BTCX6/BTCF7/BTCG7</v>
      </c>
      <c r="K211" s="8">
        <f>'MKT DATA'!O1569</f>
        <v>0</v>
      </c>
      <c r="L211" s="8">
        <f>'MKT DATA'!P1569</f>
        <v>84129</v>
      </c>
      <c r="M211" s="8">
        <f>'MKT DATA'!Q1569</f>
        <v>0</v>
      </c>
      <c r="N211" s="8">
        <f>'MKT DATA'!R1569</f>
        <v>0</v>
      </c>
      <c r="O211" s="8">
        <f>'MKT DATA'!S1569</f>
        <v>-85760</v>
      </c>
      <c r="P211" s="8">
        <f>'MKT DATA'!T1569</f>
        <v>0</v>
      </c>
      <c r="Q211" s="43" t="str">
        <f t="shared" si="9"/>
        <v>syn BTCH7/BTCZ6/BTCX6/BTCF7/BTCG7</v>
      </c>
      <c r="R211" s="13">
        <f>'MKT DATA'!AB1569</f>
        <v>0</v>
      </c>
    </row>
    <row r="212" spans="5:18" x14ac:dyDescent="0.25">
      <c r="E212" s="43" t="str">
        <f>'MKT DATA'!B1570</f>
        <v>syn BTCH7/BTCZ6/BTCF7/BTCV6/BTCG7</v>
      </c>
      <c r="F212" s="13">
        <f>'MKT DATA'!J1570</f>
        <v>1</v>
      </c>
      <c r="G212" s="8">
        <f>'MKT DATA'!K1570</f>
        <v>84038</v>
      </c>
      <c r="H212" s="8">
        <f>'MKT DATA'!L1570</f>
        <v>85928</v>
      </c>
      <c r="I212" s="13">
        <f>'MKT DATA'!M1570</f>
        <v>1</v>
      </c>
      <c r="J212" s="43" t="str">
        <f t="shared" si="8"/>
        <v>syn BTCH7/BTCZ6/BTCF7/BTCV6/BTCG7</v>
      </c>
      <c r="K212" s="8">
        <f>'MKT DATA'!O1570</f>
        <v>0</v>
      </c>
      <c r="L212" s="8">
        <f>'MKT DATA'!P1570</f>
        <v>84038</v>
      </c>
      <c r="M212" s="8">
        <f>'MKT DATA'!Q1570</f>
        <v>0</v>
      </c>
      <c r="N212" s="8">
        <f>'MKT DATA'!R1570</f>
        <v>0</v>
      </c>
      <c r="O212" s="8">
        <f>'MKT DATA'!S1570</f>
        <v>-85928</v>
      </c>
      <c r="P212" s="8">
        <f>'MKT DATA'!T1570</f>
        <v>0</v>
      </c>
      <c r="Q212" s="43" t="str">
        <f t="shared" si="9"/>
        <v>syn BTCH7/BTCZ6/BTCF7/BTCV6/BTCG7</v>
      </c>
      <c r="R212" s="13">
        <f>'MKT DATA'!AB1570</f>
        <v>0</v>
      </c>
    </row>
    <row r="213" spans="5:18" x14ac:dyDescent="0.25">
      <c r="E213" s="43" t="str">
        <f>'MKT DATA'!B1571</f>
        <v>syn BTCH7/BTCZ6/BTCF7/BTCX6/BTCG7</v>
      </c>
      <c r="F213" s="13">
        <f>'MKT DATA'!J1571</f>
        <v>1</v>
      </c>
      <c r="G213" s="8">
        <f>'MKT DATA'!K1571</f>
        <v>84043</v>
      </c>
      <c r="H213" s="8">
        <f>'MKT DATA'!L1571</f>
        <v>85913</v>
      </c>
      <c r="I213" s="13">
        <f>'MKT DATA'!M1571</f>
        <v>1</v>
      </c>
      <c r="J213" s="43" t="str">
        <f t="shared" si="8"/>
        <v>syn BTCH7/BTCZ6/BTCF7/BTCX6/BTCG7</v>
      </c>
      <c r="K213" s="8">
        <f>'MKT DATA'!O1571</f>
        <v>0</v>
      </c>
      <c r="L213" s="8">
        <f>'MKT DATA'!P1571</f>
        <v>84043</v>
      </c>
      <c r="M213" s="8">
        <f>'MKT DATA'!Q1571</f>
        <v>0</v>
      </c>
      <c r="N213" s="8">
        <f>'MKT DATA'!R1571</f>
        <v>0</v>
      </c>
      <c r="O213" s="8">
        <f>'MKT DATA'!S1571</f>
        <v>-85913</v>
      </c>
      <c r="P213" s="8">
        <f>'MKT DATA'!T1571</f>
        <v>0</v>
      </c>
      <c r="Q213" s="43" t="str">
        <f t="shared" si="9"/>
        <v>syn BTCH7/BTCZ6/BTCF7/BTCX6/BTCG7</v>
      </c>
      <c r="R213" s="13">
        <f>'MKT DATA'!AB1571</f>
        <v>0</v>
      </c>
    </row>
    <row r="214" spans="5:18" x14ac:dyDescent="0.25">
      <c r="E214" s="43" t="str">
        <f>'MKT DATA'!B1572</f>
        <v>syn BTCH7/BTCF7/BTCV6/BTCX6/BTCG7</v>
      </c>
      <c r="F214" s="13">
        <f>'MKT DATA'!J1572</f>
        <v>1</v>
      </c>
      <c r="G214" s="8">
        <f>'MKT DATA'!K1572</f>
        <v>83968</v>
      </c>
      <c r="H214" s="8">
        <f>'MKT DATA'!L1572</f>
        <v>86175</v>
      </c>
      <c r="I214" s="13">
        <f>'MKT DATA'!M1572</f>
        <v>1</v>
      </c>
      <c r="J214" s="43" t="str">
        <f t="shared" si="8"/>
        <v>syn BTCH7/BTCF7/BTCV6/BTCX6/BTCG7</v>
      </c>
      <c r="K214" s="8">
        <f>'MKT DATA'!O1572</f>
        <v>0</v>
      </c>
      <c r="L214" s="8">
        <f>'MKT DATA'!P1572</f>
        <v>83968</v>
      </c>
      <c r="M214" s="8">
        <f>'MKT DATA'!Q1572</f>
        <v>0</v>
      </c>
      <c r="N214" s="8">
        <f>'MKT DATA'!R1572</f>
        <v>0</v>
      </c>
      <c r="O214" s="8">
        <f>'MKT DATA'!S1572</f>
        <v>-86175</v>
      </c>
      <c r="P214" s="8">
        <f>'MKT DATA'!T1572</f>
        <v>0</v>
      </c>
      <c r="Q214" s="43" t="str">
        <f t="shared" si="9"/>
        <v>syn BTCH7/BTCF7/BTCV6/BTCX6/BTCG7</v>
      </c>
      <c r="R214" s="13">
        <f>'MKT DATA'!AB1572</f>
        <v>0</v>
      </c>
    </row>
    <row r="215" spans="5:18" x14ac:dyDescent="0.25">
      <c r="E215" s="43" t="str">
        <f>'MKT DATA'!B1573</f>
        <v>syn BTCH7/BTCF7/BTCV6/BTCZ6/BTCG7</v>
      </c>
      <c r="F215" s="13">
        <f>'MKT DATA'!J1573</f>
        <v>1</v>
      </c>
      <c r="G215" s="8">
        <f>'MKT DATA'!K1573</f>
        <v>83937</v>
      </c>
      <c r="H215" s="8">
        <f>'MKT DATA'!L1573</f>
        <v>86221</v>
      </c>
      <c r="I215" s="13">
        <f>'MKT DATA'!M1573</f>
        <v>1</v>
      </c>
      <c r="J215" s="43" t="str">
        <f t="shared" si="8"/>
        <v>syn BTCH7/BTCF7/BTCV6/BTCZ6/BTCG7</v>
      </c>
      <c r="K215" s="8">
        <f>'MKT DATA'!O1573</f>
        <v>0</v>
      </c>
      <c r="L215" s="8">
        <f>'MKT DATA'!P1573</f>
        <v>83937</v>
      </c>
      <c r="M215" s="8">
        <f>'MKT DATA'!Q1573</f>
        <v>0</v>
      </c>
      <c r="N215" s="8">
        <f>'MKT DATA'!R1573</f>
        <v>0</v>
      </c>
      <c r="O215" s="8">
        <f>'MKT DATA'!S1573</f>
        <v>-86221</v>
      </c>
      <c r="P215" s="8">
        <f>'MKT DATA'!T1573</f>
        <v>0</v>
      </c>
      <c r="Q215" s="43" t="str">
        <f t="shared" si="9"/>
        <v>syn BTCH7/BTCF7/BTCV6/BTCZ6/BTCG7</v>
      </c>
      <c r="R215" s="13">
        <f>'MKT DATA'!AB1573</f>
        <v>0</v>
      </c>
    </row>
    <row r="216" spans="5:18" x14ac:dyDescent="0.25">
      <c r="E216" s="43" t="str">
        <f>'MKT DATA'!B1574</f>
        <v>syn BTCH7/BTCF7/BTCX6/BTCV6/BTCG7</v>
      </c>
      <c r="F216" s="13">
        <f>'MKT DATA'!J1574</f>
        <v>1</v>
      </c>
      <c r="G216" s="8">
        <f>'MKT DATA'!K1574</f>
        <v>84005</v>
      </c>
      <c r="H216" s="8">
        <f>'MKT DATA'!L1574</f>
        <v>86142</v>
      </c>
      <c r="I216" s="13">
        <f>'MKT DATA'!M1574</f>
        <v>1</v>
      </c>
      <c r="J216" s="43" t="str">
        <f t="shared" si="8"/>
        <v>syn BTCH7/BTCF7/BTCX6/BTCV6/BTCG7</v>
      </c>
      <c r="K216" s="8">
        <f>'MKT DATA'!O1574</f>
        <v>0</v>
      </c>
      <c r="L216" s="8">
        <f>'MKT DATA'!P1574</f>
        <v>84005</v>
      </c>
      <c r="M216" s="8">
        <f>'MKT DATA'!Q1574</f>
        <v>0</v>
      </c>
      <c r="N216" s="8">
        <f>'MKT DATA'!R1574</f>
        <v>0</v>
      </c>
      <c r="O216" s="8">
        <f>'MKT DATA'!S1574</f>
        <v>-86142</v>
      </c>
      <c r="P216" s="8">
        <f>'MKT DATA'!T1574</f>
        <v>0</v>
      </c>
      <c r="Q216" s="43" t="str">
        <f t="shared" si="9"/>
        <v>syn BTCH7/BTCF7/BTCX6/BTCV6/BTCG7</v>
      </c>
      <c r="R216" s="13">
        <f>'MKT DATA'!AB1574</f>
        <v>0</v>
      </c>
    </row>
    <row r="217" spans="5:18" x14ac:dyDescent="0.25">
      <c r="E217" s="43" t="str">
        <f>'MKT DATA'!B1575</f>
        <v>syn BTCH7/BTCF7/BTCX6/BTCZ6/BTCG7</v>
      </c>
      <c r="F217" s="13">
        <f>'MKT DATA'!J1575</f>
        <v>1</v>
      </c>
      <c r="G217" s="8">
        <f>'MKT DATA'!K1575</f>
        <v>83965</v>
      </c>
      <c r="H217" s="8">
        <f>'MKT DATA'!L1575</f>
        <v>86190</v>
      </c>
      <c r="I217" s="13">
        <f>'MKT DATA'!M1575</f>
        <v>1</v>
      </c>
      <c r="J217" s="43" t="str">
        <f t="shared" si="8"/>
        <v>syn BTCH7/BTCF7/BTCX6/BTCZ6/BTCG7</v>
      </c>
      <c r="K217" s="8">
        <f>'MKT DATA'!O1575</f>
        <v>0</v>
      </c>
      <c r="L217" s="8">
        <f>'MKT DATA'!P1575</f>
        <v>83965</v>
      </c>
      <c r="M217" s="8">
        <f>'MKT DATA'!Q1575</f>
        <v>0</v>
      </c>
      <c r="N217" s="8">
        <f>'MKT DATA'!R1575</f>
        <v>0</v>
      </c>
      <c r="O217" s="8">
        <f>'MKT DATA'!S1575</f>
        <v>-86190</v>
      </c>
      <c r="P217" s="8">
        <f>'MKT DATA'!T1575</f>
        <v>0</v>
      </c>
      <c r="Q217" s="43" t="str">
        <f t="shared" si="9"/>
        <v>syn BTCH7/BTCF7/BTCX6/BTCZ6/BTCG7</v>
      </c>
      <c r="R217" s="13">
        <f>'MKT DATA'!AB1575</f>
        <v>0</v>
      </c>
    </row>
    <row r="218" spans="5:18" x14ac:dyDescent="0.25">
      <c r="E218" s="43" t="str">
        <f>'MKT DATA'!B1576</f>
        <v>syn BTCH7/BTCF7/BTCZ6/BTCV6/BTCG7</v>
      </c>
      <c r="F218" s="13">
        <f>'MKT DATA'!J1576</f>
        <v>1</v>
      </c>
      <c r="G218" s="8">
        <f>'MKT DATA'!K1576</f>
        <v>84009</v>
      </c>
      <c r="H218" s="8">
        <f>'MKT DATA'!L1576</f>
        <v>86107</v>
      </c>
      <c r="I218" s="13">
        <f>'MKT DATA'!M1576</f>
        <v>1</v>
      </c>
      <c r="J218" s="43" t="str">
        <f t="shared" si="8"/>
        <v>syn BTCH7/BTCF7/BTCZ6/BTCV6/BTCG7</v>
      </c>
      <c r="K218" s="8">
        <f>'MKT DATA'!O1576</f>
        <v>0</v>
      </c>
      <c r="L218" s="8">
        <f>'MKT DATA'!P1576</f>
        <v>84009</v>
      </c>
      <c r="M218" s="8">
        <f>'MKT DATA'!Q1576</f>
        <v>0</v>
      </c>
      <c r="N218" s="8">
        <f>'MKT DATA'!R1576</f>
        <v>0</v>
      </c>
      <c r="O218" s="8">
        <f>'MKT DATA'!S1576</f>
        <v>-86107</v>
      </c>
      <c r="P218" s="8">
        <f>'MKT DATA'!T1576</f>
        <v>0</v>
      </c>
      <c r="Q218" s="43" t="str">
        <f t="shared" si="9"/>
        <v>syn BTCH7/BTCF7/BTCZ6/BTCV6/BTCG7</v>
      </c>
      <c r="R218" s="13">
        <f>'MKT DATA'!AB1576</f>
        <v>0</v>
      </c>
    </row>
    <row r="219" spans="5:18" x14ac:dyDescent="0.25">
      <c r="E219" s="43" t="str">
        <f>'MKT DATA'!B1577</f>
        <v>syn BTCH7/BTCF7/BTCZ6/BTCX6/BTCG7</v>
      </c>
      <c r="F219" s="13">
        <f>'MKT DATA'!J1577</f>
        <v>1</v>
      </c>
      <c r="G219" s="8">
        <f>'MKT DATA'!K1577</f>
        <v>84000</v>
      </c>
      <c r="H219" s="8">
        <f>'MKT DATA'!L1577</f>
        <v>86109</v>
      </c>
      <c r="I219" s="13">
        <f>'MKT DATA'!M1577</f>
        <v>1</v>
      </c>
      <c r="J219" s="43" t="str">
        <f t="shared" si="8"/>
        <v>syn BTCH7/BTCF7/BTCZ6/BTCX6/BTCG7</v>
      </c>
      <c r="K219" s="8">
        <f>'MKT DATA'!O1577</f>
        <v>0</v>
      </c>
      <c r="L219" s="8">
        <f>'MKT DATA'!P1577</f>
        <v>84000</v>
      </c>
      <c r="M219" s="8">
        <f>'MKT DATA'!Q1577</f>
        <v>0</v>
      </c>
      <c r="N219" s="8">
        <f>'MKT DATA'!R1577</f>
        <v>0</v>
      </c>
      <c r="O219" s="8">
        <f>'MKT DATA'!S1577</f>
        <v>-86109</v>
      </c>
      <c r="P219" s="8">
        <f>'MKT DATA'!T1577</f>
        <v>0</v>
      </c>
      <c r="Q219" s="43" t="str">
        <f t="shared" si="9"/>
        <v>syn BTCH7/BTCF7/BTCZ6/BTCX6/BTCG7</v>
      </c>
      <c r="R219" s="13">
        <f>'MKT DATA'!AB1577</f>
        <v>0</v>
      </c>
    </row>
    <row r="220" spans="5:18" x14ac:dyDescent="0.25">
      <c r="E220" s="43" t="str">
        <f>'MKT DATA'!B1578</f>
        <v>syn BTCV6/BTCX6/BTCZ6/BTCF7/BTCH7/BTCG7</v>
      </c>
      <c r="F220" s="13">
        <f>'MKT DATA'!J1578</f>
        <v>1</v>
      </c>
      <c r="G220" s="8">
        <f>'MKT DATA'!K1578</f>
        <v>84353</v>
      </c>
      <c r="H220" s="8">
        <f>'MKT DATA'!L1578</f>
        <v>85716</v>
      </c>
      <c r="I220" s="13">
        <f>'MKT DATA'!M1578</f>
        <v>1</v>
      </c>
      <c r="J220" s="43" t="str">
        <f t="shared" si="8"/>
        <v>syn BTCV6/BTCX6/BTCZ6/BTCF7/BTCH7/BTCG7</v>
      </c>
      <c r="K220" s="8">
        <f>'MKT DATA'!O1578</f>
        <v>0</v>
      </c>
      <c r="L220" s="8">
        <f>'MKT DATA'!P1578</f>
        <v>84353</v>
      </c>
      <c r="M220" s="8">
        <f>'MKT DATA'!Q1578</f>
        <v>0</v>
      </c>
      <c r="N220" s="8">
        <f>'MKT DATA'!R1578</f>
        <v>0</v>
      </c>
      <c r="O220" s="8">
        <f>'MKT DATA'!S1578</f>
        <v>-85716</v>
      </c>
      <c r="P220" s="8">
        <f>'MKT DATA'!T1578</f>
        <v>0</v>
      </c>
      <c r="Q220" s="43" t="str">
        <f t="shared" si="9"/>
        <v>syn BTCV6/BTCX6/BTCZ6/BTCF7/BTCH7/BTCG7</v>
      </c>
      <c r="R220" s="13">
        <f>'MKT DATA'!AB1578</f>
        <v>0</v>
      </c>
    </row>
    <row r="221" spans="5:18" x14ac:dyDescent="0.25">
      <c r="E221" s="43" t="str">
        <f>'MKT DATA'!B1579</f>
        <v>syn BTCV6/BTCX6/BTCZ6/BTCH7/BTCF7/BTCG7</v>
      </c>
      <c r="F221" s="13">
        <f>'MKT DATA'!J1579</f>
        <v>1</v>
      </c>
      <c r="G221" s="8">
        <f>'MKT DATA'!K1579</f>
        <v>84275</v>
      </c>
      <c r="H221" s="8">
        <f>'MKT DATA'!L1579</f>
        <v>86017</v>
      </c>
      <c r="I221" s="13">
        <f>'MKT DATA'!M1579</f>
        <v>1</v>
      </c>
      <c r="J221" s="43" t="str">
        <f t="shared" si="8"/>
        <v>syn BTCV6/BTCX6/BTCZ6/BTCH7/BTCF7/BTCG7</v>
      </c>
      <c r="K221" s="8">
        <f>'MKT DATA'!O1579</f>
        <v>0</v>
      </c>
      <c r="L221" s="8">
        <f>'MKT DATA'!P1579</f>
        <v>84275</v>
      </c>
      <c r="M221" s="8">
        <f>'MKT DATA'!Q1579</f>
        <v>0</v>
      </c>
      <c r="N221" s="8">
        <f>'MKT DATA'!R1579</f>
        <v>0</v>
      </c>
      <c r="O221" s="8">
        <f>'MKT DATA'!S1579</f>
        <v>-86017</v>
      </c>
      <c r="P221" s="8">
        <f>'MKT DATA'!T1579</f>
        <v>0</v>
      </c>
      <c r="Q221" s="43" t="str">
        <f t="shared" si="9"/>
        <v>syn BTCV6/BTCX6/BTCZ6/BTCH7/BTCF7/BTCG7</v>
      </c>
      <c r="R221" s="13">
        <f>'MKT DATA'!AB1579</f>
        <v>0</v>
      </c>
    </row>
    <row r="222" spans="5:18" x14ac:dyDescent="0.25">
      <c r="E222" s="43" t="str">
        <f>'MKT DATA'!B1580</f>
        <v>syn BTCV6/BTCX6/BTCF7/BTCZ6/BTCH7/BTCG7</v>
      </c>
      <c r="F222" s="13">
        <f>'MKT DATA'!J1580</f>
        <v>1</v>
      </c>
      <c r="G222" s="8">
        <f>'MKT DATA'!K1580</f>
        <v>84549</v>
      </c>
      <c r="H222" s="8">
        <f>'MKT DATA'!L1580</f>
        <v>85673</v>
      </c>
      <c r="I222" s="13">
        <f>'MKT DATA'!M1580</f>
        <v>1</v>
      </c>
      <c r="J222" s="43" t="str">
        <f t="shared" si="8"/>
        <v>syn BTCV6/BTCX6/BTCF7/BTCZ6/BTCH7/BTCG7</v>
      </c>
      <c r="K222" s="8">
        <f>'MKT DATA'!O1580</f>
        <v>0</v>
      </c>
      <c r="L222" s="8">
        <f>'MKT DATA'!P1580</f>
        <v>84549</v>
      </c>
      <c r="M222" s="8">
        <f>'MKT DATA'!Q1580</f>
        <v>0</v>
      </c>
      <c r="N222" s="8">
        <f>'MKT DATA'!R1580</f>
        <v>0</v>
      </c>
      <c r="O222" s="8">
        <f>'MKT DATA'!S1580</f>
        <v>-85673</v>
      </c>
      <c r="P222" s="8">
        <f>'MKT DATA'!T1580</f>
        <v>0</v>
      </c>
      <c r="Q222" s="43" t="str">
        <f t="shared" si="9"/>
        <v>syn BTCV6/BTCX6/BTCF7/BTCZ6/BTCH7/BTCG7</v>
      </c>
      <c r="R222" s="13">
        <f>'MKT DATA'!AB1580</f>
        <v>0</v>
      </c>
    </row>
    <row r="223" spans="5:18" x14ac:dyDescent="0.25">
      <c r="E223" s="43" t="str">
        <f>'MKT DATA'!B1581</f>
        <v>syn BTCV6/BTCX6/BTCF7/BTCH7/BTCZ6/BTCG7</v>
      </c>
      <c r="F223" s="13">
        <f>'MKT DATA'!J1581</f>
        <v>1</v>
      </c>
      <c r="G223" s="8">
        <f>'MKT DATA'!K1581</f>
        <v>83908</v>
      </c>
      <c r="H223" s="8">
        <f>'MKT DATA'!L1581</f>
        <v>86005</v>
      </c>
      <c r="I223" s="13">
        <f>'MKT DATA'!M1581</f>
        <v>1</v>
      </c>
      <c r="J223" s="43" t="str">
        <f t="shared" si="8"/>
        <v>syn BTCV6/BTCX6/BTCF7/BTCH7/BTCZ6/BTCG7</v>
      </c>
      <c r="K223" s="8">
        <f>'MKT DATA'!O1581</f>
        <v>0</v>
      </c>
      <c r="L223" s="8">
        <f>'MKT DATA'!P1581</f>
        <v>83908</v>
      </c>
      <c r="M223" s="8">
        <f>'MKT DATA'!Q1581</f>
        <v>0</v>
      </c>
      <c r="N223" s="8">
        <f>'MKT DATA'!R1581</f>
        <v>0</v>
      </c>
      <c r="O223" s="8">
        <f>'MKT DATA'!S1581</f>
        <v>-86005</v>
      </c>
      <c r="P223" s="8">
        <f>'MKT DATA'!T1581</f>
        <v>0</v>
      </c>
      <c r="Q223" s="43" t="str">
        <f t="shared" si="9"/>
        <v>syn BTCV6/BTCX6/BTCF7/BTCH7/BTCZ6/BTCG7</v>
      </c>
      <c r="R223" s="13">
        <f>'MKT DATA'!AB1581</f>
        <v>0</v>
      </c>
    </row>
    <row r="224" spans="5:18" x14ac:dyDescent="0.25">
      <c r="E224" s="43" t="str">
        <f>'MKT DATA'!B1582</f>
        <v>syn BTCV6/BTCX6/BTCH7/BTCZ6/BTCF7/BTCG7</v>
      </c>
      <c r="F224" s="13">
        <f>'MKT DATA'!J1582</f>
        <v>1</v>
      </c>
      <c r="G224" s="8">
        <f>'MKT DATA'!K1582</f>
        <v>84143</v>
      </c>
      <c r="H224" s="8">
        <f>'MKT DATA'!L1582</f>
        <v>85770</v>
      </c>
      <c r="I224" s="13">
        <f>'MKT DATA'!M1582</f>
        <v>1</v>
      </c>
      <c r="J224" s="43" t="str">
        <f t="shared" si="8"/>
        <v>syn BTCV6/BTCX6/BTCH7/BTCZ6/BTCF7/BTCG7</v>
      </c>
      <c r="K224" s="8">
        <f>'MKT DATA'!O1582</f>
        <v>0</v>
      </c>
      <c r="L224" s="8">
        <f>'MKT DATA'!P1582</f>
        <v>84143</v>
      </c>
      <c r="M224" s="8">
        <f>'MKT DATA'!Q1582</f>
        <v>0</v>
      </c>
      <c r="N224" s="8">
        <f>'MKT DATA'!R1582</f>
        <v>0</v>
      </c>
      <c r="O224" s="8">
        <f>'MKT DATA'!S1582</f>
        <v>-85770</v>
      </c>
      <c r="P224" s="8">
        <f>'MKT DATA'!T1582</f>
        <v>0</v>
      </c>
      <c r="Q224" s="43" t="str">
        <f t="shared" si="9"/>
        <v>syn BTCV6/BTCX6/BTCH7/BTCZ6/BTCF7/BTCG7</v>
      </c>
      <c r="R224" s="13">
        <f>'MKT DATA'!AB1582</f>
        <v>0</v>
      </c>
    </row>
    <row r="225" spans="5:18" x14ac:dyDescent="0.25">
      <c r="E225" s="43" t="str">
        <f>'MKT DATA'!B1583</f>
        <v>syn BTCV6/BTCX6/BTCH7/BTCF7/BTCZ6/BTCG7</v>
      </c>
      <c r="F225" s="13">
        <f>'MKT DATA'!J1583</f>
        <v>1</v>
      </c>
      <c r="G225" s="8">
        <f>'MKT DATA'!K1583</f>
        <v>83948</v>
      </c>
      <c r="H225" s="8">
        <f>'MKT DATA'!L1583</f>
        <v>86169</v>
      </c>
      <c r="I225" s="13">
        <f>'MKT DATA'!M1583</f>
        <v>1</v>
      </c>
      <c r="J225" s="43" t="str">
        <f t="shared" si="8"/>
        <v>syn BTCV6/BTCX6/BTCH7/BTCF7/BTCZ6/BTCG7</v>
      </c>
      <c r="K225" s="8">
        <f>'MKT DATA'!O1583</f>
        <v>0</v>
      </c>
      <c r="L225" s="8">
        <f>'MKT DATA'!P1583</f>
        <v>83948</v>
      </c>
      <c r="M225" s="8">
        <f>'MKT DATA'!Q1583</f>
        <v>0</v>
      </c>
      <c r="N225" s="8">
        <f>'MKT DATA'!R1583</f>
        <v>0</v>
      </c>
      <c r="O225" s="8">
        <f>'MKT DATA'!S1583</f>
        <v>-86169</v>
      </c>
      <c r="P225" s="8">
        <f>'MKT DATA'!T1583</f>
        <v>0</v>
      </c>
      <c r="Q225" s="43" t="str">
        <f t="shared" si="9"/>
        <v>syn BTCV6/BTCX6/BTCH7/BTCF7/BTCZ6/BTCG7</v>
      </c>
      <c r="R225" s="13">
        <f>'MKT DATA'!AB1583</f>
        <v>0</v>
      </c>
    </row>
    <row r="226" spans="5:18" x14ac:dyDescent="0.25">
      <c r="E226" s="43" t="str">
        <f>'MKT DATA'!B1584</f>
        <v>syn BTCV6/BTCZ6/BTCX6/BTCF7/BTCH7/BTCG7</v>
      </c>
      <c r="F226" s="13">
        <f>'MKT DATA'!J1584</f>
        <v>1</v>
      </c>
      <c r="G226" s="8">
        <f>'MKT DATA'!K1584</f>
        <v>84286</v>
      </c>
      <c r="H226" s="8">
        <f>'MKT DATA'!L1584</f>
        <v>85752</v>
      </c>
      <c r="I226" s="13">
        <f>'MKT DATA'!M1584</f>
        <v>1</v>
      </c>
      <c r="J226" s="43" t="str">
        <f t="shared" si="8"/>
        <v>syn BTCV6/BTCZ6/BTCX6/BTCF7/BTCH7/BTCG7</v>
      </c>
      <c r="K226" s="8">
        <f>'MKT DATA'!O1584</f>
        <v>0</v>
      </c>
      <c r="L226" s="8">
        <f>'MKT DATA'!P1584</f>
        <v>84286</v>
      </c>
      <c r="M226" s="8">
        <f>'MKT DATA'!Q1584</f>
        <v>0</v>
      </c>
      <c r="N226" s="8">
        <f>'MKT DATA'!R1584</f>
        <v>0</v>
      </c>
      <c r="O226" s="8">
        <f>'MKT DATA'!S1584</f>
        <v>-85752</v>
      </c>
      <c r="P226" s="8">
        <f>'MKT DATA'!T1584</f>
        <v>0</v>
      </c>
      <c r="Q226" s="43" t="str">
        <f t="shared" si="9"/>
        <v>syn BTCV6/BTCZ6/BTCX6/BTCF7/BTCH7/BTCG7</v>
      </c>
      <c r="R226" s="13">
        <f>'MKT DATA'!AB1584</f>
        <v>0</v>
      </c>
    </row>
    <row r="227" spans="5:18" x14ac:dyDescent="0.25">
      <c r="E227" s="43" t="str">
        <f>'MKT DATA'!B1585</f>
        <v>syn BTCV6/BTCZ6/BTCX6/BTCH7/BTCF7/BTCG7</v>
      </c>
      <c r="F227" s="13">
        <f>'MKT DATA'!J1585</f>
        <v>1</v>
      </c>
      <c r="G227" s="8">
        <f>'MKT DATA'!K1585</f>
        <v>84064</v>
      </c>
      <c r="H227" s="8">
        <f>'MKT DATA'!L1585</f>
        <v>86033</v>
      </c>
      <c r="I227" s="13">
        <f>'MKT DATA'!M1585</f>
        <v>1</v>
      </c>
      <c r="J227" s="43" t="str">
        <f t="shared" si="8"/>
        <v>syn BTCV6/BTCZ6/BTCX6/BTCH7/BTCF7/BTCG7</v>
      </c>
      <c r="K227" s="8">
        <f>'MKT DATA'!O1585</f>
        <v>0</v>
      </c>
      <c r="L227" s="8">
        <f>'MKT DATA'!P1585</f>
        <v>84064</v>
      </c>
      <c r="M227" s="8">
        <f>'MKT DATA'!Q1585</f>
        <v>0</v>
      </c>
      <c r="N227" s="8">
        <f>'MKT DATA'!R1585</f>
        <v>0</v>
      </c>
      <c r="O227" s="8">
        <f>'MKT DATA'!S1585</f>
        <v>-86033</v>
      </c>
      <c r="P227" s="8">
        <f>'MKT DATA'!T1585</f>
        <v>0</v>
      </c>
      <c r="Q227" s="43" t="str">
        <f t="shared" si="9"/>
        <v>syn BTCV6/BTCZ6/BTCX6/BTCH7/BTCF7/BTCG7</v>
      </c>
      <c r="R227" s="13">
        <f>'MKT DATA'!AB1585</f>
        <v>0</v>
      </c>
    </row>
    <row r="228" spans="5:18" x14ac:dyDescent="0.25">
      <c r="E228" s="43" t="str">
        <f>'MKT DATA'!B1586</f>
        <v>syn BTCV6/BTCZ6/BTCF7/BTCX6/BTCH7/BTCG7</v>
      </c>
      <c r="F228" s="13">
        <f>'MKT DATA'!J1586</f>
        <v>1</v>
      </c>
      <c r="G228" s="8">
        <f>'MKT DATA'!K1586</f>
        <v>84369</v>
      </c>
      <c r="H228" s="8">
        <f>'MKT DATA'!L1586</f>
        <v>85720</v>
      </c>
      <c r="I228" s="13">
        <f>'MKT DATA'!M1586</f>
        <v>1</v>
      </c>
      <c r="J228" s="43" t="str">
        <f t="shared" si="8"/>
        <v>syn BTCV6/BTCZ6/BTCF7/BTCX6/BTCH7/BTCG7</v>
      </c>
      <c r="K228" s="8">
        <f>'MKT DATA'!O1586</f>
        <v>0</v>
      </c>
      <c r="L228" s="8">
        <f>'MKT DATA'!P1586</f>
        <v>84369</v>
      </c>
      <c r="M228" s="8">
        <f>'MKT DATA'!Q1586</f>
        <v>0</v>
      </c>
      <c r="N228" s="8">
        <f>'MKT DATA'!R1586</f>
        <v>0</v>
      </c>
      <c r="O228" s="8">
        <f>'MKT DATA'!S1586</f>
        <v>-85720</v>
      </c>
      <c r="P228" s="8">
        <f>'MKT DATA'!T1586</f>
        <v>0</v>
      </c>
      <c r="Q228" s="43" t="str">
        <f t="shared" si="9"/>
        <v>syn BTCV6/BTCZ6/BTCF7/BTCX6/BTCH7/BTCG7</v>
      </c>
      <c r="R228" s="13">
        <f>'MKT DATA'!AB1586</f>
        <v>0</v>
      </c>
    </row>
    <row r="229" spans="5:18" x14ac:dyDescent="0.25">
      <c r="E229" s="43" t="str">
        <f>'MKT DATA'!B1587</f>
        <v>syn BTCV6/BTCZ6/BTCF7/BTCH7/BTCX6/BTCG7</v>
      </c>
      <c r="F229" s="13">
        <f>'MKT DATA'!J1587</f>
        <v>1</v>
      </c>
      <c r="G229" s="8">
        <f>'MKT DATA'!K1587</f>
        <v>83958</v>
      </c>
      <c r="H229" s="8">
        <f>'MKT DATA'!L1587</f>
        <v>86166</v>
      </c>
      <c r="I229" s="13">
        <f>'MKT DATA'!M1587</f>
        <v>1</v>
      </c>
      <c r="J229" s="43" t="str">
        <f t="shared" si="8"/>
        <v>syn BTCV6/BTCZ6/BTCF7/BTCH7/BTCX6/BTCG7</v>
      </c>
      <c r="K229" s="8">
        <f>'MKT DATA'!O1587</f>
        <v>0</v>
      </c>
      <c r="L229" s="8">
        <f>'MKT DATA'!P1587</f>
        <v>83958</v>
      </c>
      <c r="M229" s="8">
        <f>'MKT DATA'!Q1587</f>
        <v>0</v>
      </c>
      <c r="N229" s="8">
        <f>'MKT DATA'!R1587</f>
        <v>0</v>
      </c>
      <c r="O229" s="8">
        <f>'MKT DATA'!S1587</f>
        <v>-86166</v>
      </c>
      <c r="P229" s="8">
        <f>'MKT DATA'!T1587</f>
        <v>0</v>
      </c>
      <c r="Q229" s="43" t="str">
        <f t="shared" si="9"/>
        <v>syn BTCV6/BTCZ6/BTCF7/BTCH7/BTCX6/BTCG7</v>
      </c>
      <c r="R229" s="13">
        <f>'MKT DATA'!AB1587</f>
        <v>0</v>
      </c>
    </row>
    <row r="230" spans="5:18" x14ac:dyDescent="0.25">
      <c r="E230" s="43" t="str">
        <f>'MKT DATA'!B1588</f>
        <v>syn BTCV6/BTCZ6/BTCH7/BTCX6/BTCF7/BTCG7</v>
      </c>
      <c r="F230" s="13">
        <f>'MKT DATA'!J1588</f>
        <v>1</v>
      </c>
      <c r="G230" s="8">
        <f>'MKT DATA'!K1588</f>
        <v>84271</v>
      </c>
      <c r="H230" s="8">
        <f>'MKT DATA'!L1588</f>
        <v>86001</v>
      </c>
      <c r="I230" s="13">
        <f>'MKT DATA'!M1588</f>
        <v>1</v>
      </c>
      <c r="J230" s="43" t="str">
        <f t="shared" si="8"/>
        <v>syn BTCV6/BTCZ6/BTCH7/BTCX6/BTCF7/BTCG7</v>
      </c>
      <c r="K230" s="8">
        <f>'MKT DATA'!O1588</f>
        <v>0</v>
      </c>
      <c r="L230" s="8">
        <f>'MKT DATA'!P1588</f>
        <v>84271</v>
      </c>
      <c r="M230" s="8">
        <f>'MKT DATA'!Q1588</f>
        <v>0</v>
      </c>
      <c r="N230" s="8">
        <f>'MKT DATA'!R1588</f>
        <v>0</v>
      </c>
      <c r="O230" s="8">
        <f>'MKT DATA'!S1588</f>
        <v>-86001</v>
      </c>
      <c r="P230" s="8">
        <f>'MKT DATA'!T1588</f>
        <v>0</v>
      </c>
      <c r="Q230" s="43" t="str">
        <f t="shared" si="9"/>
        <v>syn BTCV6/BTCZ6/BTCH7/BTCX6/BTCF7/BTCG7</v>
      </c>
      <c r="R230" s="13">
        <f>'MKT DATA'!AB1588</f>
        <v>0</v>
      </c>
    </row>
    <row r="231" spans="5:18" x14ac:dyDescent="0.25">
      <c r="E231" s="43" t="str">
        <f>'MKT DATA'!B1589</f>
        <v>syn BTCV6/BTCZ6/BTCH7/BTCF7/BTCX6/BTCG7</v>
      </c>
      <c r="F231" s="13">
        <f>'MKT DATA'!J1589</f>
        <v>1</v>
      </c>
      <c r="G231" s="8">
        <f>'MKT DATA'!K1589</f>
        <v>84122</v>
      </c>
      <c r="H231" s="8">
        <f>'MKT DATA'!L1589</f>
        <v>86206</v>
      </c>
      <c r="I231" s="13">
        <f>'MKT DATA'!M1589</f>
        <v>1</v>
      </c>
      <c r="J231" s="43" t="str">
        <f t="shared" si="8"/>
        <v>syn BTCV6/BTCZ6/BTCH7/BTCF7/BTCX6/BTCG7</v>
      </c>
      <c r="K231" s="8">
        <f>'MKT DATA'!O1589</f>
        <v>0</v>
      </c>
      <c r="L231" s="8">
        <f>'MKT DATA'!P1589</f>
        <v>84122</v>
      </c>
      <c r="M231" s="8">
        <f>'MKT DATA'!Q1589</f>
        <v>0</v>
      </c>
      <c r="N231" s="8">
        <f>'MKT DATA'!R1589</f>
        <v>0</v>
      </c>
      <c r="O231" s="8">
        <f>'MKT DATA'!S1589</f>
        <v>-86206</v>
      </c>
      <c r="P231" s="8">
        <f>'MKT DATA'!T1589</f>
        <v>0</v>
      </c>
      <c r="Q231" s="43" t="str">
        <f t="shared" si="9"/>
        <v>syn BTCV6/BTCZ6/BTCH7/BTCF7/BTCX6/BTCG7</v>
      </c>
      <c r="R231" s="13">
        <f>'MKT DATA'!AB1589</f>
        <v>0</v>
      </c>
    </row>
    <row r="232" spans="5:18" x14ac:dyDescent="0.25">
      <c r="E232" s="43" t="str">
        <f>'MKT DATA'!B1590</f>
        <v>syn BTCV6/BTCF7/BTCX6/BTCZ6/BTCH7/BTCG7</v>
      </c>
      <c r="F232" s="13">
        <f>'MKT DATA'!J1590</f>
        <v>1</v>
      </c>
      <c r="G232" s="8">
        <f>'MKT DATA'!K1590</f>
        <v>84496</v>
      </c>
      <c r="H232" s="8">
        <f>'MKT DATA'!L1590</f>
        <v>85754</v>
      </c>
      <c r="I232" s="13">
        <f>'MKT DATA'!M1590</f>
        <v>1</v>
      </c>
      <c r="J232" s="43" t="str">
        <f t="shared" si="8"/>
        <v>syn BTCV6/BTCF7/BTCX6/BTCZ6/BTCH7/BTCG7</v>
      </c>
      <c r="K232" s="8">
        <f>'MKT DATA'!O1590</f>
        <v>0</v>
      </c>
      <c r="L232" s="8">
        <f>'MKT DATA'!P1590</f>
        <v>84496</v>
      </c>
      <c r="M232" s="8">
        <f>'MKT DATA'!Q1590</f>
        <v>0</v>
      </c>
      <c r="N232" s="8">
        <f>'MKT DATA'!R1590</f>
        <v>0</v>
      </c>
      <c r="O232" s="8">
        <f>'MKT DATA'!S1590</f>
        <v>-85754</v>
      </c>
      <c r="P232" s="8">
        <f>'MKT DATA'!T1590</f>
        <v>0</v>
      </c>
      <c r="Q232" s="43" t="str">
        <f t="shared" si="9"/>
        <v>syn BTCV6/BTCF7/BTCX6/BTCZ6/BTCH7/BTCG7</v>
      </c>
      <c r="R232" s="13">
        <f>'MKT DATA'!AB1590</f>
        <v>0</v>
      </c>
    </row>
    <row r="233" spans="5:18" x14ac:dyDescent="0.25">
      <c r="E233" s="43" t="str">
        <f>'MKT DATA'!B1591</f>
        <v>syn BTCV6/BTCF7/BTCX6/BTCH7/BTCZ6/BTCG7</v>
      </c>
      <c r="F233" s="13">
        <f>'MKT DATA'!J1591</f>
        <v>1</v>
      </c>
      <c r="G233" s="8">
        <f>'MKT DATA'!K1591</f>
        <v>83907</v>
      </c>
      <c r="H233" s="8">
        <f>'MKT DATA'!L1591</f>
        <v>86023</v>
      </c>
      <c r="I233" s="13">
        <f>'MKT DATA'!M1591</f>
        <v>1</v>
      </c>
      <c r="J233" s="43" t="str">
        <f t="shared" si="8"/>
        <v>syn BTCV6/BTCF7/BTCX6/BTCH7/BTCZ6/BTCG7</v>
      </c>
      <c r="K233" s="8">
        <f>'MKT DATA'!O1591</f>
        <v>0</v>
      </c>
      <c r="L233" s="8">
        <f>'MKT DATA'!P1591</f>
        <v>83907</v>
      </c>
      <c r="M233" s="8">
        <f>'MKT DATA'!Q1591</f>
        <v>0</v>
      </c>
      <c r="N233" s="8">
        <f>'MKT DATA'!R1591</f>
        <v>0</v>
      </c>
      <c r="O233" s="8">
        <f>'MKT DATA'!S1591</f>
        <v>-86023</v>
      </c>
      <c r="P233" s="8">
        <f>'MKT DATA'!T1591</f>
        <v>0</v>
      </c>
      <c r="Q233" s="43" t="str">
        <f t="shared" si="9"/>
        <v>syn BTCV6/BTCF7/BTCX6/BTCH7/BTCZ6/BTCG7</v>
      </c>
      <c r="R233" s="13">
        <f>'MKT DATA'!AB1591</f>
        <v>0</v>
      </c>
    </row>
    <row r="234" spans="5:18" x14ac:dyDescent="0.25">
      <c r="E234" s="43" t="str">
        <f>'MKT DATA'!B1592</f>
        <v>syn BTCV6/BTCF7/BTCZ6/BTCX6/BTCH7/BTCG7</v>
      </c>
      <c r="F234" s="13">
        <f>'MKT DATA'!J1592</f>
        <v>1</v>
      </c>
      <c r="G234" s="8">
        <f>'MKT DATA'!K1592</f>
        <v>84321</v>
      </c>
      <c r="H234" s="8">
        <f>'MKT DATA'!L1592</f>
        <v>85703</v>
      </c>
      <c r="I234" s="13">
        <f>'MKT DATA'!M1592</f>
        <v>1</v>
      </c>
      <c r="J234" s="43" t="str">
        <f t="shared" si="8"/>
        <v>syn BTCV6/BTCF7/BTCZ6/BTCX6/BTCH7/BTCG7</v>
      </c>
      <c r="K234" s="8">
        <f>'MKT DATA'!O1592</f>
        <v>0</v>
      </c>
      <c r="L234" s="8">
        <f>'MKT DATA'!P1592</f>
        <v>84321</v>
      </c>
      <c r="M234" s="8">
        <f>'MKT DATA'!Q1592</f>
        <v>0</v>
      </c>
      <c r="N234" s="8">
        <f>'MKT DATA'!R1592</f>
        <v>0</v>
      </c>
      <c r="O234" s="8">
        <f>'MKT DATA'!S1592</f>
        <v>-85703</v>
      </c>
      <c r="P234" s="8">
        <f>'MKT DATA'!T1592</f>
        <v>0</v>
      </c>
      <c r="Q234" s="43" t="str">
        <f t="shared" si="9"/>
        <v>syn BTCV6/BTCF7/BTCZ6/BTCX6/BTCH7/BTCG7</v>
      </c>
      <c r="R234" s="13">
        <f>'MKT DATA'!AB1592</f>
        <v>0</v>
      </c>
    </row>
    <row r="235" spans="5:18" x14ac:dyDescent="0.25">
      <c r="E235" s="43" t="str">
        <f>'MKT DATA'!B1593</f>
        <v>syn BTCV6/BTCF7/BTCZ6/BTCH7/BTCX6/BTCG7</v>
      </c>
      <c r="F235" s="13">
        <f>'MKT DATA'!J1593</f>
        <v>1</v>
      </c>
      <c r="G235" s="8">
        <f>'MKT DATA'!K1593</f>
        <v>84137</v>
      </c>
      <c r="H235" s="8">
        <f>'MKT DATA'!L1593</f>
        <v>86137</v>
      </c>
      <c r="I235" s="13">
        <f>'MKT DATA'!M1593</f>
        <v>1</v>
      </c>
      <c r="J235" s="43" t="str">
        <f t="shared" si="8"/>
        <v>syn BTCV6/BTCF7/BTCZ6/BTCH7/BTCX6/BTCG7</v>
      </c>
      <c r="K235" s="8">
        <f>'MKT DATA'!O1593</f>
        <v>0</v>
      </c>
      <c r="L235" s="8">
        <f>'MKT DATA'!P1593</f>
        <v>84137</v>
      </c>
      <c r="M235" s="8">
        <f>'MKT DATA'!Q1593</f>
        <v>0</v>
      </c>
      <c r="N235" s="8">
        <f>'MKT DATA'!R1593</f>
        <v>0</v>
      </c>
      <c r="O235" s="8">
        <f>'MKT DATA'!S1593</f>
        <v>-86137</v>
      </c>
      <c r="P235" s="8">
        <f>'MKT DATA'!T1593</f>
        <v>0</v>
      </c>
      <c r="Q235" s="43" t="str">
        <f t="shared" si="9"/>
        <v>syn BTCV6/BTCF7/BTCZ6/BTCH7/BTCX6/BTCG7</v>
      </c>
      <c r="R235" s="13">
        <f>'MKT DATA'!AB1593</f>
        <v>0</v>
      </c>
    </row>
    <row r="236" spans="5:18" x14ac:dyDescent="0.25">
      <c r="E236" s="43" t="str">
        <f>'MKT DATA'!B1594</f>
        <v>syn BTCV6/BTCF7/BTCH7/BTCX6/BTCZ6/BTCG7</v>
      </c>
      <c r="F236" s="13">
        <f>'MKT DATA'!J1594</f>
        <v>1</v>
      </c>
      <c r="G236" s="8">
        <f>'MKT DATA'!K1594</f>
        <v>83875</v>
      </c>
      <c r="H236" s="8">
        <f>'MKT DATA'!L1594</f>
        <v>86230</v>
      </c>
      <c r="I236" s="13">
        <f>'MKT DATA'!M1594</f>
        <v>1</v>
      </c>
      <c r="J236" s="43" t="str">
        <f t="shared" si="8"/>
        <v>syn BTCV6/BTCF7/BTCH7/BTCX6/BTCZ6/BTCG7</v>
      </c>
      <c r="K236" s="8">
        <f>'MKT DATA'!O1594</f>
        <v>0</v>
      </c>
      <c r="L236" s="8">
        <f>'MKT DATA'!P1594</f>
        <v>83875</v>
      </c>
      <c r="M236" s="8">
        <f>'MKT DATA'!Q1594</f>
        <v>0</v>
      </c>
      <c r="N236" s="8">
        <f>'MKT DATA'!R1594</f>
        <v>0</v>
      </c>
      <c r="O236" s="8">
        <f>'MKT DATA'!S1594</f>
        <v>-86230</v>
      </c>
      <c r="P236" s="8">
        <f>'MKT DATA'!T1594</f>
        <v>0</v>
      </c>
      <c r="Q236" s="43" t="str">
        <f t="shared" si="9"/>
        <v>syn BTCV6/BTCF7/BTCH7/BTCX6/BTCZ6/BTCG7</v>
      </c>
      <c r="R236" s="13">
        <f>'MKT DATA'!AB1594</f>
        <v>0</v>
      </c>
    </row>
    <row r="237" spans="5:18" x14ac:dyDescent="0.25">
      <c r="E237" s="43" t="str">
        <f>'MKT DATA'!B1595</f>
        <v>syn BTCV6/BTCF7/BTCH7/BTCZ6/BTCX6/BTCG7</v>
      </c>
      <c r="F237" s="13">
        <f>'MKT DATA'!J1595</f>
        <v>1</v>
      </c>
      <c r="G237" s="8">
        <f>'MKT DATA'!K1595</f>
        <v>83890</v>
      </c>
      <c r="H237" s="8">
        <f>'MKT DATA'!L1595</f>
        <v>86005</v>
      </c>
      <c r="I237" s="13">
        <f>'MKT DATA'!M1595</f>
        <v>1</v>
      </c>
      <c r="J237" s="43" t="str">
        <f t="shared" si="8"/>
        <v>syn BTCV6/BTCF7/BTCH7/BTCZ6/BTCX6/BTCG7</v>
      </c>
      <c r="K237" s="8">
        <f>'MKT DATA'!O1595</f>
        <v>0</v>
      </c>
      <c r="L237" s="8">
        <f>'MKT DATA'!P1595</f>
        <v>83890</v>
      </c>
      <c r="M237" s="8">
        <f>'MKT DATA'!Q1595</f>
        <v>0</v>
      </c>
      <c r="N237" s="8">
        <f>'MKT DATA'!R1595</f>
        <v>0</v>
      </c>
      <c r="O237" s="8">
        <f>'MKT DATA'!S1595</f>
        <v>-86005</v>
      </c>
      <c r="P237" s="8">
        <f>'MKT DATA'!T1595</f>
        <v>0</v>
      </c>
      <c r="Q237" s="43" t="str">
        <f t="shared" si="9"/>
        <v>syn BTCV6/BTCF7/BTCH7/BTCZ6/BTCX6/BTCG7</v>
      </c>
      <c r="R237" s="13">
        <f>'MKT DATA'!AB1595</f>
        <v>0</v>
      </c>
    </row>
    <row r="238" spans="5:18" x14ac:dyDescent="0.25">
      <c r="E238" s="43" t="str">
        <f>'MKT DATA'!B1596</f>
        <v>syn BTCV6/BTCH7/BTCX6/BTCZ6/BTCF7/BTCG7</v>
      </c>
      <c r="F238" s="13">
        <f>'MKT DATA'!J1596</f>
        <v>1</v>
      </c>
      <c r="G238" s="8">
        <f>'MKT DATA'!K1596</f>
        <v>84150</v>
      </c>
      <c r="H238" s="8">
        <f>'MKT DATA'!L1596</f>
        <v>85965</v>
      </c>
      <c r="I238" s="13">
        <f>'MKT DATA'!M1596</f>
        <v>1</v>
      </c>
      <c r="J238" s="43" t="str">
        <f t="shared" si="8"/>
        <v>syn BTCV6/BTCH7/BTCX6/BTCZ6/BTCF7/BTCG7</v>
      </c>
      <c r="K238" s="8">
        <f>'MKT DATA'!O1596</f>
        <v>0</v>
      </c>
      <c r="L238" s="8">
        <f>'MKT DATA'!P1596</f>
        <v>84150</v>
      </c>
      <c r="M238" s="8">
        <f>'MKT DATA'!Q1596</f>
        <v>0</v>
      </c>
      <c r="N238" s="8">
        <f>'MKT DATA'!R1596</f>
        <v>0</v>
      </c>
      <c r="O238" s="8">
        <f>'MKT DATA'!S1596</f>
        <v>-85965</v>
      </c>
      <c r="P238" s="8">
        <f>'MKT DATA'!T1596</f>
        <v>0</v>
      </c>
      <c r="Q238" s="43" t="str">
        <f t="shared" si="9"/>
        <v>syn BTCV6/BTCH7/BTCX6/BTCZ6/BTCF7/BTCG7</v>
      </c>
      <c r="R238" s="13">
        <f>'MKT DATA'!AB1596</f>
        <v>0</v>
      </c>
    </row>
    <row r="239" spans="5:18" x14ac:dyDescent="0.25">
      <c r="E239" s="43" t="str">
        <f>'MKT DATA'!B1597</f>
        <v>syn BTCV6/BTCH7/BTCX6/BTCF7/BTCZ6/BTCG7</v>
      </c>
      <c r="F239" s="13">
        <f>'MKT DATA'!J1597</f>
        <v>1</v>
      </c>
      <c r="G239" s="8">
        <f>'MKT DATA'!K1597</f>
        <v>83967</v>
      </c>
      <c r="H239" s="8">
        <f>'MKT DATA'!L1597</f>
        <v>86137</v>
      </c>
      <c r="I239" s="13">
        <f>'MKT DATA'!M1597</f>
        <v>1</v>
      </c>
      <c r="J239" s="43" t="str">
        <f t="shared" si="8"/>
        <v>syn BTCV6/BTCH7/BTCX6/BTCF7/BTCZ6/BTCG7</v>
      </c>
      <c r="K239" s="8">
        <f>'MKT DATA'!O1597</f>
        <v>0</v>
      </c>
      <c r="L239" s="8">
        <f>'MKT DATA'!P1597</f>
        <v>83967</v>
      </c>
      <c r="M239" s="8">
        <f>'MKT DATA'!Q1597</f>
        <v>0</v>
      </c>
      <c r="N239" s="8">
        <f>'MKT DATA'!R1597</f>
        <v>0</v>
      </c>
      <c r="O239" s="8">
        <f>'MKT DATA'!S1597</f>
        <v>-86137</v>
      </c>
      <c r="P239" s="8">
        <f>'MKT DATA'!T1597</f>
        <v>0</v>
      </c>
      <c r="Q239" s="43" t="str">
        <f t="shared" si="9"/>
        <v>syn BTCV6/BTCH7/BTCX6/BTCF7/BTCZ6/BTCG7</v>
      </c>
      <c r="R239" s="13">
        <f>'MKT DATA'!AB1597</f>
        <v>0</v>
      </c>
    </row>
    <row r="240" spans="5:18" x14ac:dyDescent="0.25">
      <c r="E240" s="43" t="str">
        <f>'MKT DATA'!B1598</f>
        <v>syn BTCV6/BTCH7/BTCZ6/BTCX6/BTCF7/BTCG7</v>
      </c>
      <c r="F240" s="13">
        <f>'MKT DATA'!J1598</f>
        <v>1</v>
      </c>
      <c r="G240" s="8">
        <f>'MKT DATA'!K1598</f>
        <v>84099</v>
      </c>
      <c r="H240" s="8">
        <f>'MKT DATA'!L1598</f>
        <v>85790</v>
      </c>
      <c r="I240" s="13">
        <f>'MKT DATA'!M1598</f>
        <v>1</v>
      </c>
      <c r="J240" s="43" t="str">
        <f t="shared" si="8"/>
        <v>syn BTCV6/BTCH7/BTCZ6/BTCX6/BTCF7/BTCG7</v>
      </c>
      <c r="K240" s="8">
        <f>'MKT DATA'!O1598</f>
        <v>0</v>
      </c>
      <c r="L240" s="8">
        <f>'MKT DATA'!P1598</f>
        <v>84099</v>
      </c>
      <c r="M240" s="8">
        <f>'MKT DATA'!Q1598</f>
        <v>0</v>
      </c>
      <c r="N240" s="8">
        <f>'MKT DATA'!R1598</f>
        <v>0</v>
      </c>
      <c r="O240" s="8">
        <f>'MKT DATA'!S1598</f>
        <v>-85790</v>
      </c>
      <c r="P240" s="8">
        <f>'MKT DATA'!T1598</f>
        <v>0</v>
      </c>
      <c r="Q240" s="43" t="str">
        <f t="shared" si="9"/>
        <v>syn BTCV6/BTCH7/BTCZ6/BTCX6/BTCF7/BTCG7</v>
      </c>
      <c r="R240" s="13">
        <f>'MKT DATA'!AB1598</f>
        <v>0</v>
      </c>
    </row>
    <row r="241" spans="5:18" x14ac:dyDescent="0.25">
      <c r="E241" s="43" t="str">
        <f>'MKT DATA'!B1599</f>
        <v>syn BTCV6/BTCH7/BTCZ6/BTCF7/BTCX6/BTCG7</v>
      </c>
      <c r="F241" s="13">
        <f>'MKT DATA'!J1599</f>
        <v>1</v>
      </c>
      <c r="G241" s="8">
        <f>'MKT DATA'!K1599</f>
        <v>84013</v>
      </c>
      <c r="H241" s="8">
        <f>'MKT DATA'!L1599</f>
        <v>85943</v>
      </c>
      <c r="I241" s="13">
        <f>'MKT DATA'!M1599</f>
        <v>1</v>
      </c>
      <c r="J241" s="43" t="str">
        <f t="shared" si="8"/>
        <v>syn BTCV6/BTCH7/BTCZ6/BTCF7/BTCX6/BTCG7</v>
      </c>
      <c r="K241" s="8">
        <f>'MKT DATA'!O1599</f>
        <v>0</v>
      </c>
      <c r="L241" s="8">
        <f>'MKT DATA'!P1599</f>
        <v>84013</v>
      </c>
      <c r="M241" s="8">
        <f>'MKT DATA'!Q1599</f>
        <v>0</v>
      </c>
      <c r="N241" s="8">
        <f>'MKT DATA'!R1599</f>
        <v>0</v>
      </c>
      <c r="O241" s="8">
        <f>'MKT DATA'!S1599</f>
        <v>-85943</v>
      </c>
      <c r="P241" s="8">
        <f>'MKT DATA'!T1599</f>
        <v>0</v>
      </c>
      <c r="Q241" s="43" t="str">
        <f t="shared" si="9"/>
        <v>syn BTCV6/BTCH7/BTCZ6/BTCF7/BTCX6/BTCG7</v>
      </c>
      <c r="R241" s="13">
        <f>'MKT DATA'!AB1599</f>
        <v>0</v>
      </c>
    </row>
    <row r="242" spans="5:18" x14ac:dyDescent="0.25">
      <c r="E242" s="43" t="str">
        <f>'MKT DATA'!B1600</f>
        <v>syn BTCV6/BTCH7/BTCF7/BTCX6/BTCZ6/BTCG7</v>
      </c>
      <c r="F242" s="13">
        <f>'MKT DATA'!J1600</f>
        <v>1</v>
      </c>
      <c r="G242" s="8">
        <f>'MKT DATA'!K1600</f>
        <v>83935</v>
      </c>
      <c r="H242" s="8">
        <f>'MKT DATA'!L1600</f>
        <v>86220</v>
      </c>
      <c r="I242" s="13">
        <f>'MKT DATA'!M1600</f>
        <v>1</v>
      </c>
      <c r="J242" s="43" t="str">
        <f t="shared" si="8"/>
        <v>syn BTCV6/BTCH7/BTCF7/BTCX6/BTCZ6/BTCG7</v>
      </c>
      <c r="K242" s="8">
        <f>'MKT DATA'!O1600</f>
        <v>0</v>
      </c>
      <c r="L242" s="8">
        <f>'MKT DATA'!P1600</f>
        <v>83935</v>
      </c>
      <c r="M242" s="8">
        <f>'MKT DATA'!Q1600</f>
        <v>0</v>
      </c>
      <c r="N242" s="8">
        <f>'MKT DATA'!R1600</f>
        <v>0</v>
      </c>
      <c r="O242" s="8">
        <f>'MKT DATA'!S1600</f>
        <v>-86220</v>
      </c>
      <c r="P242" s="8">
        <f>'MKT DATA'!T1600</f>
        <v>0</v>
      </c>
      <c r="Q242" s="43" t="str">
        <f t="shared" si="9"/>
        <v>syn BTCV6/BTCH7/BTCF7/BTCX6/BTCZ6/BTCG7</v>
      </c>
      <c r="R242" s="13">
        <f>'MKT DATA'!AB1600</f>
        <v>0</v>
      </c>
    </row>
    <row r="243" spans="5:18" x14ac:dyDescent="0.25">
      <c r="E243" s="43" t="str">
        <f>'MKT DATA'!B1601</f>
        <v>syn BTCV6/BTCH7/BTCF7/BTCZ6/BTCX6/BTCG7</v>
      </c>
      <c r="F243" s="13">
        <f>'MKT DATA'!J1601</f>
        <v>1</v>
      </c>
      <c r="G243" s="8">
        <f>'MKT DATA'!K1601</f>
        <v>83970</v>
      </c>
      <c r="H243" s="8">
        <f>'MKT DATA'!L1601</f>
        <v>86139</v>
      </c>
      <c r="I243" s="13">
        <f>'MKT DATA'!M1601</f>
        <v>1</v>
      </c>
      <c r="J243" s="43" t="str">
        <f t="shared" si="8"/>
        <v>syn BTCV6/BTCH7/BTCF7/BTCZ6/BTCX6/BTCG7</v>
      </c>
      <c r="K243" s="8">
        <f>'MKT DATA'!O1601</f>
        <v>0</v>
      </c>
      <c r="L243" s="8">
        <f>'MKT DATA'!P1601</f>
        <v>83970</v>
      </c>
      <c r="M243" s="8">
        <f>'MKT DATA'!Q1601</f>
        <v>0</v>
      </c>
      <c r="N243" s="8">
        <f>'MKT DATA'!R1601</f>
        <v>0</v>
      </c>
      <c r="O243" s="8">
        <f>'MKT DATA'!S1601</f>
        <v>-86139</v>
      </c>
      <c r="P243" s="8">
        <f>'MKT DATA'!T1601</f>
        <v>0</v>
      </c>
      <c r="Q243" s="43" t="str">
        <f t="shared" si="9"/>
        <v>syn BTCV6/BTCH7/BTCF7/BTCZ6/BTCX6/BTCG7</v>
      </c>
      <c r="R243" s="13">
        <f>'MKT DATA'!AB1601</f>
        <v>0</v>
      </c>
    </row>
    <row r="244" spans="5:18" x14ac:dyDescent="0.25">
      <c r="E244" s="43" t="str">
        <f>'MKT DATA'!B1602</f>
        <v>syn BTCX6/BTCV6/BTCZ6/BTCF7/BTCH7/BTCG7</v>
      </c>
      <c r="F244" s="13">
        <f>'MKT DATA'!J1602</f>
        <v>1</v>
      </c>
      <c r="G244" s="8">
        <f>'MKT DATA'!K1602</f>
        <v>84337</v>
      </c>
      <c r="H244" s="8">
        <f>'MKT DATA'!L1602</f>
        <v>85739</v>
      </c>
      <c r="I244" s="13">
        <f>'MKT DATA'!M1602</f>
        <v>1</v>
      </c>
      <c r="J244" s="43" t="str">
        <f t="shared" si="8"/>
        <v>syn BTCX6/BTCV6/BTCZ6/BTCF7/BTCH7/BTCG7</v>
      </c>
      <c r="K244" s="8">
        <f>'MKT DATA'!O1602</f>
        <v>0</v>
      </c>
      <c r="L244" s="8">
        <f>'MKT DATA'!P1602</f>
        <v>84337</v>
      </c>
      <c r="M244" s="8">
        <f>'MKT DATA'!Q1602</f>
        <v>0</v>
      </c>
      <c r="N244" s="8">
        <f>'MKT DATA'!R1602</f>
        <v>0</v>
      </c>
      <c r="O244" s="8">
        <f>'MKT DATA'!S1602</f>
        <v>-85739</v>
      </c>
      <c r="P244" s="8">
        <f>'MKT DATA'!T1602</f>
        <v>0</v>
      </c>
      <c r="Q244" s="43" t="str">
        <f t="shared" si="9"/>
        <v>syn BTCX6/BTCV6/BTCZ6/BTCF7/BTCH7/BTCG7</v>
      </c>
      <c r="R244" s="13">
        <f>'MKT DATA'!AB1602</f>
        <v>0</v>
      </c>
    </row>
    <row r="245" spans="5:18" x14ac:dyDescent="0.25">
      <c r="E245" s="43" t="str">
        <f>'MKT DATA'!B1603</f>
        <v>syn BTCX6/BTCV6/BTCZ6/BTCH7/BTCF7/BTCG7</v>
      </c>
      <c r="F245" s="13">
        <f>'MKT DATA'!J1603</f>
        <v>1</v>
      </c>
      <c r="G245" s="8">
        <f>'MKT DATA'!K1603</f>
        <v>84259</v>
      </c>
      <c r="H245" s="8">
        <f>'MKT DATA'!L1603</f>
        <v>86040</v>
      </c>
      <c r="I245" s="13">
        <f>'MKT DATA'!M1603</f>
        <v>1</v>
      </c>
      <c r="J245" s="43" t="str">
        <f t="shared" si="8"/>
        <v>syn BTCX6/BTCV6/BTCZ6/BTCH7/BTCF7/BTCG7</v>
      </c>
      <c r="K245" s="8">
        <f>'MKT DATA'!O1603</f>
        <v>0</v>
      </c>
      <c r="L245" s="8">
        <f>'MKT DATA'!P1603</f>
        <v>84259</v>
      </c>
      <c r="M245" s="8">
        <f>'MKT DATA'!Q1603</f>
        <v>0</v>
      </c>
      <c r="N245" s="8">
        <f>'MKT DATA'!R1603</f>
        <v>0</v>
      </c>
      <c r="O245" s="8">
        <f>'MKT DATA'!S1603</f>
        <v>-86040</v>
      </c>
      <c r="P245" s="8">
        <f>'MKT DATA'!T1603</f>
        <v>0</v>
      </c>
      <c r="Q245" s="43" t="str">
        <f t="shared" si="9"/>
        <v>syn BTCX6/BTCV6/BTCZ6/BTCH7/BTCF7/BTCG7</v>
      </c>
      <c r="R245" s="13">
        <f>'MKT DATA'!AB1603</f>
        <v>0</v>
      </c>
    </row>
    <row r="246" spans="5:18" x14ac:dyDescent="0.25">
      <c r="E246" s="43" t="str">
        <f>'MKT DATA'!B1604</f>
        <v>syn BTCX6/BTCV6/BTCF7/BTCZ6/BTCH7/BTCG7</v>
      </c>
      <c r="F246" s="13">
        <f>'MKT DATA'!J1604</f>
        <v>1</v>
      </c>
      <c r="G246" s="8">
        <f>'MKT DATA'!K1604</f>
        <v>84516</v>
      </c>
      <c r="H246" s="8">
        <f>'MKT DATA'!L1604</f>
        <v>85710</v>
      </c>
      <c r="I246" s="13">
        <f>'MKT DATA'!M1604</f>
        <v>1</v>
      </c>
      <c r="J246" s="43" t="str">
        <f t="shared" si="8"/>
        <v>syn BTCX6/BTCV6/BTCF7/BTCZ6/BTCH7/BTCG7</v>
      </c>
      <c r="K246" s="8">
        <f>'MKT DATA'!O1604</f>
        <v>0</v>
      </c>
      <c r="L246" s="8">
        <f>'MKT DATA'!P1604</f>
        <v>84516</v>
      </c>
      <c r="M246" s="8">
        <f>'MKT DATA'!Q1604</f>
        <v>0</v>
      </c>
      <c r="N246" s="8">
        <f>'MKT DATA'!R1604</f>
        <v>0</v>
      </c>
      <c r="O246" s="8">
        <f>'MKT DATA'!S1604</f>
        <v>-85710</v>
      </c>
      <c r="P246" s="8">
        <f>'MKT DATA'!T1604</f>
        <v>0</v>
      </c>
      <c r="Q246" s="43" t="str">
        <f t="shared" si="9"/>
        <v>syn BTCX6/BTCV6/BTCF7/BTCZ6/BTCH7/BTCG7</v>
      </c>
      <c r="R246" s="13">
        <f>'MKT DATA'!AB1604</f>
        <v>0</v>
      </c>
    </row>
    <row r="247" spans="5:18" x14ac:dyDescent="0.25">
      <c r="E247" s="43" t="str">
        <f>'MKT DATA'!B1605</f>
        <v>syn BTCX6/BTCV6/BTCF7/BTCH7/BTCZ6/BTCG7</v>
      </c>
      <c r="F247" s="13">
        <f>'MKT DATA'!J1605</f>
        <v>1</v>
      </c>
      <c r="G247" s="8">
        <f>'MKT DATA'!K1605</f>
        <v>83875</v>
      </c>
      <c r="H247" s="8">
        <f>'MKT DATA'!L1605</f>
        <v>86042</v>
      </c>
      <c r="I247" s="13">
        <f>'MKT DATA'!M1605</f>
        <v>1</v>
      </c>
      <c r="J247" s="43" t="str">
        <f t="shared" si="8"/>
        <v>syn BTCX6/BTCV6/BTCF7/BTCH7/BTCZ6/BTCG7</v>
      </c>
      <c r="K247" s="8">
        <f>'MKT DATA'!O1605</f>
        <v>0</v>
      </c>
      <c r="L247" s="8">
        <f>'MKT DATA'!P1605</f>
        <v>83875</v>
      </c>
      <c r="M247" s="8">
        <f>'MKT DATA'!Q1605</f>
        <v>0</v>
      </c>
      <c r="N247" s="8">
        <f>'MKT DATA'!R1605</f>
        <v>0</v>
      </c>
      <c r="O247" s="8">
        <f>'MKT DATA'!S1605</f>
        <v>-86042</v>
      </c>
      <c r="P247" s="8">
        <f>'MKT DATA'!T1605</f>
        <v>0</v>
      </c>
      <c r="Q247" s="43" t="str">
        <f t="shared" si="9"/>
        <v>syn BTCX6/BTCV6/BTCF7/BTCH7/BTCZ6/BTCG7</v>
      </c>
      <c r="R247" s="13">
        <f>'MKT DATA'!AB1605</f>
        <v>0</v>
      </c>
    </row>
    <row r="248" spans="5:18" x14ac:dyDescent="0.25">
      <c r="E248" s="43" t="str">
        <f>'MKT DATA'!B1606</f>
        <v>syn BTCX6/BTCV6/BTCH7/BTCZ6/BTCF7/BTCG7</v>
      </c>
      <c r="F248" s="13">
        <f>'MKT DATA'!J1606</f>
        <v>1</v>
      </c>
      <c r="G248" s="8">
        <f>'MKT DATA'!K1606</f>
        <v>84150</v>
      </c>
      <c r="H248" s="8">
        <f>'MKT DATA'!L1606</f>
        <v>85777</v>
      </c>
      <c r="I248" s="13">
        <f>'MKT DATA'!M1606</f>
        <v>1</v>
      </c>
      <c r="J248" s="43" t="str">
        <f t="shared" si="8"/>
        <v>syn BTCX6/BTCV6/BTCH7/BTCZ6/BTCF7/BTCG7</v>
      </c>
      <c r="K248" s="8">
        <f>'MKT DATA'!O1606</f>
        <v>0</v>
      </c>
      <c r="L248" s="8">
        <f>'MKT DATA'!P1606</f>
        <v>84150</v>
      </c>
      <c r="M248" s="8">
        <f>'MKT DATA'!Q1606</f>
        <v>0</v>
      </c>
      <c r="N248" s="8">
        <f>'MKT DATA'!R1606</f>
        <v>0</v>
      </c>
      <c r="O248" s="8">
        <f>'MKT DATA'!S1606</f>
        <v>-85777</v>
      </c>
      <c r="P248" s="8">
        <f>'MKT DATA'!T1606</f>
        <v>0</v>
      </c>
      <c r="Q248" s="43" t="str">
        <f t="shared" si="9"/>
        <v>syn BTCX6/BTCV6/BTCH7/BTCZ6/BTCF7/BTCG7</v>
      </c>
      <c r="R248" s="13">
        <f>'MKT DATA'!AB1606</f>
        <v>0</v>
      </c>
    </row>
    <row r="249" spans="5:18" x14ac:dyDescent="0.25">
      <c r="E249" s="43" t="str">
        <f>'MKT DATA'!B1607</f>
        <v>syn BTCX6/BTCV6/BTCH7/BTCF7/BTCZ6/BTCG7</v>
      </c>
      <c r="F249" s="13">
        <f>'MKT DATA'!J1607</f>
        <v>1</v>
      </c>
      <c r="G249" s="8">
        <f>'MKT DATA'!K1607</f>
        <v>83955</v>
      </c>
      <c r="H249" s="8">
        <f>'MKT DATA'!L1607</f>
        <v>86176</v>
      </c>
      <c r="I249" s="13">
        <f>'MKT DATA'!M1607</f>
        <v>1</v>
      </c>
      <c r="J249" s="43" t="str">
        <f t="shared" si="8"/>
        <v>syn BTCX6/BTCV6/BTCH7/BTCF7/BTCZ6/BTCG7</v>
      </c>
      <c r="K249" s="8">
        <f>'MKT DATA'!O1607</f>
        <v>0</v>
      </c>
      <c r="L249" s="8">
        <f>'MKT DATA'!P1607</f>
        <v>83955</v>
      </c>
      <c r="M249" s="8">
        <f>'MKT DATA'!Q1607</f>
        <v>0</v>
      </c>
      <c r="N249" s="8">
        <f>'MKT DATA'!R1607</f>
        <v>0</v>
      </c>
      <c r="O249" s="8">
        <f>'MKT DATA'!S1607</f>
        <v>-86176</v>
      </c>
      <c r="P249" s="8">
        <f>'MKT DATA'!T1607</f>
        <v>0</v>
      </c>
      <c r="Q249" s="43" t="str">
        <f t="shared" si="9"/>
        <v>syn BTCX6/BTCV6/BTCH7/BTCF7/BTCZ6/BTCG7</v>
      </c>
      <c r="R249" s="13">
        <f>'MKT DATA'!AB1607</f>
        <v>0</v>
      </c>
    </row>
    <row r="250" spans="5:18" x14ac:dyDescent="0.25">
      <c r="E250" s="43" t="str">
        <f>'MKT DATA'!B1608</f>
        <v>syn BTCX6/BTCZ6/BTCV6/BTCF7/BTCH7/BTCG7</v>
      </c>
      <c r="F250" s="13">
        <f>'MKT DATA'!J1608</f>
        <v>1</v>
      </c>
      <c r="G250" s="8">
        <f>'MKT DATA'!K1608</f>
        <v>84253</v>
      </c>
      <c r="H250" s="8">
        <f>'MKT DATA'!L1608</f>
        <v>85789</v>
      </c>
      <c r="I250" s="13">
        <f>'MKT DATA'!M1608</f>
        <v>1</v>
      </c>
      <c r="J250" s="43" t="str">
        <f t="shared" si="8"/>
        <v>syn BTCX6/BTCZ6/BTCV6/BTCF7/BTCH7/BTCG7</v>
      </c>
      <c r="K250" s="8">
        <f>'MKT DATA'!O1608</f>
        <v>0</v>
      </c>
      <c r="L250" s="8">
        <f>'MKT DATA'!P1608</f>
        <v>84253</v>
      </c>
      <c r="M250" s="8">
        <f>'MKT DATA'!Q1608</f>
        <v>0</v>
      </c>
      <c r="N250" s="8">
        <f>'MKT DATA'!R1608</f>
        <v>0</v>
      </c>
      <c r="O250" s="8">
        <f>'MKT DATA'!S1608</f>
        <v>-85789</v>
      </c>
      <c r="P250" s="8">
        <f>'MKT DATA'!T1608</f>
        <v>0</v>
      </c>
      <c r="Q250" s="43" t="str">
        <f t="shared" si="9"/>
        <v>syn BTCX6/BTCZ6/BTCV6/BTCF7/BTCH7/BTCG7</v>
      </c>
      <c r="R250" s="13">
        <f>'MKT DATA'!AB1608</f>
        <v>0</v>
      </c>
    </row>
    <row r="251" spans="5:18" x14ac:dyDescent="0.25">
      <c r="E251" s="43" t="str">
        <f>'MKT DATA'!B1609</f>
        <v>syn BTCX6/BTCZ6/BTCV6/BTCH7/BTCF7/BTCG7</v>
      </c>
      <c r="F251" s="13">
        <f>'MKT DATA'!J1609</f>
        <v>1</v>
      </c>
      <c r="G251" s="8">
        <f>'MKT DATA'!K1609</f>
        <v>84071</v>
      </c>
      <c r="H251" s="8">
        <f>'MKT DATA'!L1609</f>
        <v>86040</v>
      </c>
      <c r="I251" s="13">
        <f>'MKT DATA'!M1609</f>
        <v>1</v>
      </c>
      <c r="J251" s="43" t="str">
        <f t="shared" si="8"/>
        <v>syn BTCX6/BTCZ6/BTCV6/BTCH7/BTCF7/BTCG7</v>
      </c>
      <c r="K251" s="8">
        <f>'MKT DATA'!O1609</f>
        <v>0</v>
      </c>
      <c r="L251" s="8">
        <f>'MKT DATA'!P1609</f>
        <v>84071</v>
      </c>
      <c r="M251" s="8">
        <f>'MKT DATA'!Q1609</f>
        <v>0</v>
      </c>
      <c r="N251" s="8">
        <f>'MKT DATA'!R1609</f>
        <v>0</v>
      </c>
      <c r="O251" s="8">
        <f>'MKT DATA'!S1609</f>
        <v>-86040</v>
      </c>
      <c r="P251" s="8">
        <f>'MKT DATA'!T1609</f>
        <v>0</v>
      </c>
      <c r="Q251" s="43" t="str">
        <f t="shared" si="9"/>
        <v>syn BTCX6/BTCZ6/BTCV6/BTCH7/BTCF7/BTCG7</v>
      </c>
      <c r="R251" s="13">
        <f>'MKT DATA'!AB1609</f>
        <v>0</v>
      </c>
    </row>
    <row r="252" spans="5:18" x14ac:dyDescent="0.25">
      <c r="E252" s="43" t="str">
        <f>'MKT DATA'!B1610</f>
        <v>syn BTCX6/BTCZ6/BTCF7/BTCV6/BTCH7/BTCG7</v>
      </c>
      <c r="F252" s="13">
        <f>'MKT DATA'!J1610</f>
        <v>1</v>
      </c>
      <c r="G252" s="8">
        <f>'MKT DATA'!K1610</f>
        <v>84362</v>
      </c>
      <c r="H252" s="8">
        <f>'MKT DATA'!L1610</f>
        <v>85744</v>
      </c>
      <c r="I252" s="13">
        <f>'MKT DATA'!M1610</f>
        <v>1</v>
      </c>
      <c r="J252" s="43" t="str">
        <f t="shared" si="8"/>
        <v>syn BTCX6/BTCZ6/BTCF7/BTCV6/BTCH7/BTCG7</v>
      </c>
      <c r="K252" s="8">
        <f>'MKT DATA'!O1610</f>
        <v>0</v>
      </c>
      <c r="L252" s="8">
        <f>'MKT DATA'!P1610</f>
        <v>84362</v>
      </c>
      <c r="M252" s="8">
        <f>'MKT DATA'!Q1610</f>
        <v>0</v>
      </c>
      <c r="N252" s="8">
        <f>'MKT DATA'!R1610</f>
        <v>0</v>
      </c>
      <c r="O252" s="8">
        <f>'MKT DATA'!S1610</f>
        <v>-85744</v>
      </c>
      <c r="P252" s="8">
        <f>'MKT DATA'!T1610</f>
        <v>0</v>
      </c>
      <c r="Q252" s="43" t="str">
        <f t="shared" si="9"/>
        <v>syn BTCX6/BTCZ6/BTCF7/BTCV6/BTCH7/BTCG7</v>
      </c>
      <c r="R252" s="13">
        <f>'MKT DATA'!AB1610</f>
        <v>0</v>
      </c>
    </row>
    <row r="253" spans="5:18" x14ac:dyDescent="0.25">
      <c r="E253" s="43" t="str">
        <f>'MKT DATA'!B1611</f>
        <v>syn BTCX6/BTCZ6/BTCF7/BTCH7/BTCV6/BTCG7</v>
      </c>
      <c r="F253" s="13">
        <f>'MKT DATA'!J1611</f>
        <v>1</v>
      </c>
      <c r="G253" s="8">
        <f>'MKT DATA'!K1611</f>
        <v>83981</v>
      </c>
      <c r="H253" s="8">
        <f>'MKT DATA'!L1611</f>
        <v>86150</v>
      </c>
      <c r="I253" s="13">
        <f>'MKT DATA'!M1611</f>
        <v>1</v>
      </c>
      <c r="J253" s="43" t="str">
        <f t="shared" si="8"/>
        <v>syn BTCX6/BTCZ6/BTCF7/BTCH7/BTCV6/BTCG7</v>
      </c>
      <c r="K253" s="8">
        <f>'MKT DATA'!O1611</f>
        <v>0</v>
      </c>
      <c r="L253" s="8">
        <f>'MKT DATA'!P1611</f>
        <v>83981</v>
      </c>
      <c r="M253" s="8">
        <f>'MKT DATA'!Q1611</f>
        <v>0</v>
      </c>
      <c r="N253" s="8">
        <f>'MKT DATA'!R1611</f>
        <v>0</v>
      </c>
      <c r="O253" s="8">
        <f>'MKT DATA'!S1611</f>
        <v>-86150</v>
      </c>
      <c r="P253" s="8">
        <f>'MKT DATA'!T1611</f>
        <v>0</v>
      </c>
      <c r="Q253" s="43" t="str">
        <f t="shared" si="9"/>
        <v>syn BTCX6/BTCZ6/BTCF7/BTCH7/BTCV6/BTCG7</v>
      </c>
      <c r="R253" s="13">
        <f>'MKT DATA'!AB1611</f>
        <v>0</v>
      </c>
    </row>
    <row r="254" spans="5:18" x14ac:dyDescent="0.25">
      <c r="E254" s="43" t="str">
        <f>'MKT DATA'!B1612</f>
        <v>syn BTCX6/BTCZ6/BTCH7/BTCV6/BTCF7/BTCG7</v>
      </c>
      <c r="F254" s="13">
        <f>'MKT DATA'!J1612</f>
        <v>1</v>
      </c>
      <c r="G254" s="8">
        <f>'MKT DATA'!K1612</f>
        <v>84254</v>
      </c>
      <c r="H254" s="8">
        <f>'MKT DATA'!L1612</f>
        <v>86015</v>
      </c>
      <c r="I254" s="13">
        <f>'MKT DATA'!M1612</f>
        <v>1</v>
      </c>
      <c r="J254" s="43" t="str">
        <f t="shared" si="8"/>
        <v>syn BTCX6/BTCZ6/BTCH7/BTCV6/BTCF7/BTCG7</v>
      </c>
      <c r="K254" s="8">
        <f>'MKT DATA'!O1612</f>
        <v>0</v>
      </c>
      <c r="L254" s="8">
        <f>'MKT DATA'!P1612</f>
        <v>84254</v>
      </c>
      <c r="M254" s="8">
        <f>'MKT DATA'!Q1612</f>
        <v>0</v>
      </c>
      <c r="N254" s="8">
        <f>'MKT DATA'!R1612</f>
        <v>0</v>
      </c>
      <c r="O254" s="8">
        <f>'MKT DATA'!S1612</f>
        <v>-86015</v>
      </c>
      <c r="P254" s="8">
        <f>'MKT DATA'!T1612</f>
        <v>0</v>
      </c>
      <c r="Q254" s="43" t="str">
        <f t="shared" si="9"/>
        <v>syn BTCX6/BTCZ6/BTCH7/BTCV6/BTCF7/BTCG7</v>
      </c>
      <c r="R254" s="13">
        <f>'MKT DATA'!AB1612</f>
        <v>0</v>
      </c>
    </row>
    <row r="255" spans="5:18" x14ac:dyDescent="0.25">
      <c r="E255" s="43" t="str">
        <f>'MKT DATA'!B1613</f>
        <v>syn BTCX6/BTCZ6/BTCH7/BTCF7/BTCV6/BTCG7</v>
      </c>
      <c r="F255" s="13">
        <f>'MKT DATA'!J1613</f>
        <v>1</v>
      </c>
      <c r="G255" s="8">
        <f>'MKT DATA'!K1613</f>
        <v>84115</v>
      </c>
      <c r="H255" s="8">
        <f>'MKT DATA'!L1613</f>
        <v>86230</v>
      </c>
      <c r="I255" s="13">
        <f>'MKT DATA'!M1613</f>
        <v>1</v>
      </c>
      <c r="J255" s="43" t="str">
        <f t="shared" si="8"/>
        <v>syn BTCX6/BTCZ6/BTCH7/BTCF7/BTCV6/BTCG7</v>
      </c>
      <c r="K255" s="8">
        <f>'MKT DATA'!O1613</f>
        <v>0</v>
      </c>
      <c r="L255" s="8">
        <f>'MKT DATA'!P1613</f>
        <v>84115</v>
      </c>
      <c r="M255" s="8">
        <f>'MKT DATA'!Q1613</f>
        <v>0</v>
      </c>
      <c r="N255" s="8">
        <f>'MKT DATA'!R1613</f>
        <v>0</v>
      </c>
      <c r="O255" s="8">
        <f>'MKT DATA'!S1613</f>
        <v>-86230</v>
      </c>
      <c r="P255" s="8">
        <f>'MKT DATA'!T1613</f>
        <v>0</v>
      </c>
      <c r="Q255" s="43" t="str">
        <f t="shared" si="9"/>
        <v>syn BTCX6/BTCZ6/BTCH7/BTCF7/BTCV6/BTCG7</v>
      </c>
      <c r="R255" s="13">
        <f>'MKT DATA'!AB1613</f>
        <v>0</v>
      </c>
    </row>
    <row r="256" spans="5:18" x14ac:dyDescent="0.25">
      <c r="E256" s="43" t="str">
        <f>'MKT DATA'!B1614</f>
        <v>syn BTCX6/BTCF7/BTCV6/BTCZ6/BTCH7/BTCG7</v>
      </c>
      <c r="F256" s="13">
        <f>'MKT DATA'!J1614</f>
        <v>1</v>
      </c>
      <c r="G256" s="8">
        <f>'MKT DATA'!K1614</f>
        <v>84483</v>
      </c>
      <c r="H256" s="8">
        <f>'MKT DATA'!L1614</f>
        <v>85780</v>
      </c>
      <c r="I256" s="13">
        <f>'MKT DATA'!M1614</f>
        <v>1</v>
      </c>
      <c r="J256" s="43" t="str">
        <f t="shared" si="8"/>
        <v>syn BTCX6/BTCF7/BTCV6/BTCZ6/BTCH7/BTCG7</v>
      </c>
      <c r="K256" s="8">
        <f>'MKT DATA'!O1614</f>
        <v>0</v>
      </c>
      <c r="L256" s="8">
        <f>'MKT DATA'!P1614</f>
        <v>84483</v>
      </c>
      <c r="M256" s="8">
        <f>'MKT DATA'!Q1614</f>
        <v>0</v>
      </c>
      <c r="N256" s="8">
        <f>'MKT DATA'!R1614</f>
        <v>0</v>
      </c>
      <c r="O256" s="8">
        <f>'MKT DATA'!S1614</f>
        <v>-85780</v>
      </c>
      <c r="P256" s="8">
        <f>'MKT DATA'!T1614</f>
        <v>0</v>
      </c>
      <c r="Q256" s="43" t="str">
        <f t="shared" si="9"/>
        <v>syn BTCX6/BTCF7/BTCV6/BTCZ6/BTCH7/BTCG7</v>
      </c>
      <c r="R256" s="13">
        <f>'MKT DATA'!AB1614</f>
        <v>0</v>
      </c>
    </row>
    <row r="257" spans="5:18" x14ac:dyDescent="0.25">
      <c r="E257" s="43" t="str">
        <f>'MKT DATA'!B1615</f>
        <v>syn BTCX6/BTCF7/BTCV6/BTCH7/BTCZ6/BTCG7</v>
      </c>
      <c r="F257" s="13">
        <f>'MKT DATA'!J1615</f>
        <v>1</v>
      </c>
      <c r="G257" s="8">
        <f>'MKT DATA'!K1615</f>
        <v>83917</v>
      </c>
      <c r="H257" s="8">
        <f>'MKT DATA'!L1615</f>
        <v>86033</v>
      </c>
      <c r="I257" s="13">
        <f>'MKT DATA'!M1615</f>
        <v>1</v>
      </c>
      <c r="J257" s="43" t="str">
        <f t="shared" si="8"/>
        <v>syn BTCX6/BTCF7/BTCV6/BTCH7/BTCZ6/BTCG7</v>
      </c>
      <c r="K257" s="8">
        <f>'MKT DATA'!O1615</f>
        <v>0</v>
      </c>
      <c r="L257" s="8">
        <f>'MKT DATA'!P1615</f>
        <v>83917</v>
      </c>
      <c r="M257" s="8">
        <f>'MKT DATA'!Q1615</f>
        <v>0</v>
      </c>
      <c r="N257" s="8">
        <f>'MKT DATA'!R1615</f>
        <v>0</v>
      </c>
      <c r="O257" s="8">
        <f>'MKT DATA'!S1615</f>
        <v>-86033</v>
      </c>
      <c r="P257" s="8">
        <f>'MKT DATA'!T1615</f>
        <v>0</v>
      </c>
      <c r="Q257" s="43" t="str">
        <f t="shared" si="9"/>
        <v>syn BTCX6/BTCF7/BTCV6/BTCH7/BTCZ6/BTCG7</v>
      </c>
      <c r="R257" s="13">
        <f>'MKT DATA'!AB1615</f>
        <v>0</v>
      </c>
    </row>
    <row r="258" spans="5:18" x14ac:dyDescent="0.25">
      <c r="E258" s="43" t="str">
        <f>'MKT DATA'!B1616</f>
        <v>syn BTCX6/BTCF7/BTCZ6/BTCV6/BTCH7/BTCG7</v>
      </c>
      <c r="F258" s="13">
        <f>'MKT DATA'!J1616</f>
        <v>1</v>
      </c>
      <c r="G258" s="8">
        <f>'MKT DATA'!K1616</f>
        <v>84345</v>
      </c>
      <c r="H258" s="8">
        <f>'MKT DATA'!L1616</f>
        <v>85696</v>
      </c>
      <c r="I258" s="13">
        <f>'MKT DATA'!M1616</f>
        <v>1</v>
      </c>
      <c r="J258" s="43" t="str">
        <f t="shared" si="8"/>
        <v>syn BTCX6/BTCF7/BTCZ6/BTCV6/BTCH7/BTCG7</v>
      </c>
      <c r="K258" s="8">
        <f>'MKT DATA'!O1616</f>
        <v>0</v>
      </c>
      <c r="L258" s="8">
        <f>'MKT DATA'!P1616</f>
        <v>84345</v>
      </c>
      <c r="M258" s="8">
        <f>'MKT DATA'!Q1616</f>
        <v>0</v>
      </c>
      <c r="N258" s="8">
        <f>'MKT DATA'!R1616</f>
        <v>0</v>
      </c>
      <c r="O258" s="8">
        <f>'MKT DATA'!S1616</f>
        <v>-85696</v>
      </c>
      <c r="P258" s="8">
        <f>'MKT DATA'!T1616</f>
        <v>0</v>
      </c>
      <c r="Q258" s="43" t="str">
        <f t="shared" si="9"/>
        <v>syn BTCX6/BTCF7/BTCZ6/BTCV6/BTCH7/BTCG7</v>
      </c>
      <c r="R258" s="13">
        <f>'MKT DATA'!AB1616</f>
        <v>0</v>
      </c>
    </row>
    <row r="259" spans="5:18" x14ac:dyDescent="0.25">
      <c r="E259" s="43" t="str">
        <f>'MKT DATA'!B1617</f>
        <v>syn BTCX6/BTCF7/BTCZ6/BTCH7/BTCV6/BTCG7</v>
      </c>
      <c r="F259" s="13">
        <f>'MKT DATA'!J1617</f>
        <v>1</v>
      </c>
      <c r="G259" s="8">
        <f>'MKT DATA'!K1617</f>
        <v>84177</v>
      </c>
      <c r="H259" s="8">
        <f>'MKT DATA'!L1617</f>
        <v>86107</v>
      </c>
      <c r="I259" s="13">
        <f>'MKT DATA'!M1617</f>
        <v>1</v>
      </c>
      <c r="J259" s="43" t="str">
        <f t="shared" si="8"/>
        <v>syn BTCX6/BTCF7/BTCZ6/BTCH7/BTCV6/BTCG7</v>
      </c>
      <c r="K259" s="8">
        <f>'MKT DATA'!O1617</f>
        <v>0</v>
      </c>
      <c r="L259" s="8">
        <f>'MKT DATA'!P1617</f>
        <v>84177</v>
      </c>
      <c r="M259" s="8">
        <f>'MKT DATA'!Q1617</f>
        <v>0</v>
      </c>
      <c r="N259" s="8">
        <f>'MKT DATA'!R1617</f>
        <v>0</v>
      </c>
      <c r="O259" s="8">
        <f>'MKT DATA'!S1617</f>
        <v>-86107</v>
      </c>
      <c r="P259" s="8">
        <f>'MKT DATA'!T1617</f>
        <v>0</v>
      </c>
      <c r="Q259" s="43" t="str">
        <f t="shared" si="9"/>
        <v>syn BTCX6/BTCF7/BTCZ6/BTCH7/BTCV6/BTCG7</v>
      </c>
      <c r="R259" s="13">
        <f>'MKT DATA'!AB1617</f>
        <v>0</v>
      </c>
    </row>
    <row r="260" spans="5:18" x14ac:dyDescent="0.25">
      <c r="E260" s="43" t="str">
        <f>'MKT DATA'!B1618</f>
        <v>syn BTCX6/BTCF7/BTCH7/BTCV6/BTCZ6/BTCG7</v>
      </c>
      <c r="F260" s="13">
        <f>'MKT DATA'!J1618</f>
        <v>1</v>
      </c>
      <c r="G260" s="8">
        <f>'MKT DATA'!K1618</f>
        <v>83892</v>
      </c>
      <c r="H260" s="8">
        <f>'MKT DATA'!L1618</f>
        <v>86216</v>
      </c>
      <c r="I260" s="13">
        <f>'MKT DATA'!M1618</f>
        <v>1</v>
      </c>
      <c r="J260" s="43" t="str">
        <f t="shared" si="8"/>
        <v>syn BTCX6/BTCF7/BTCH7/BTCV6/BTCZ6/BTCG7</v>
      </c>
      <c r="K260" s="8">
        <f>'MKT DATA'!O1618</f>
        <v>0</v>
      </c>
      <c r="L260" s="8">
        <f>'MKT DATA'!P1618</f>
        <v>83892</v>
      </c>
      <c r="M260" s="8">
        <f>'MKT DATA'!Q1618</f>
        <v>0</v>
      </c>
      <c r="N260" s="8">
        <f>'MKT DATA'!R1618</f>
        <v>0</v>
      </c>
      <c r="O260" s="8">
        <f>'MKT DATA'!S1618</f>
        <v>-86216</v>
      </c>
      <c r="P260" s="8">
        <f>'MKT DATA'!T1618</f>
        <v>0</v>
      </c>
      <c r="Q260" s="43" t="str">
        <f t="shared" si="9"/>
        <v>syn BTCX6/BTCF7/BTCH7/BTCV6/BTCZ6/BTCG7</v>
      </c>
      <c r="R260" s="13">
        <f>'MKT DATA'!AB1618</f>
        <v>0</v>
      </c>
    </row>
    <row r="261" spans="5:18" x14ac:dyDescent="0.25">
      <c r="E261" s="43" t="str">
        <f>'MKT DATA'!B1619</f>
        <v>syn BTCX6/BTCF7/BTCH7/BTCZ6/BTCV6/BTCG7</v>
      </c>
      <c r="F261" s="13">
        <f>'MKT DATA'!J1619</f>
        <v>1</v>
      </c>
      <c r="G261" s="8">
        <f>'MKT DATA'!K1619</f>
        <v>83914</v>
      </c>
      <c r="H261" s="8">
        <f>'MKT DATA'!L1619</f>
        <v>85998</v>
      </c>
      <c r="I261" s="13">
        <f>'MKT DATA'!M1619</f>
        <v>1</v>
      </c>
      <c r="J261" s="43" t="str">
        <f t="shared" si="8"/>
        <v>syn BTCX6/BTCF7/BTCH7/BTCZ6/BTCV6/BTCG7</v>
      </c>
      <c r="K261" s="8">
        <f>'MKT DATA'!O1619</f>
        <v>0</v>
      </c>
      <c r="L261" s="8">
        <f>'MKT DATA'!P1619</f>
        <v>83914</v>
      </c>
      <c r="M261" s="8">
        <f>'MKT DATA'!Q1619</f>
        <v>0</v>
      </c>
      <c r="N261" s="8">
        <f>'MKT DATA'!R1619</f>
        <v>0</v>
      </c>
      <c r="O261" s="8">
        <f>'MKT DATA'!S1619</f>
        <v>-85998</v>
      </c>
      <c r="P261" s="8">
        <f>'MKT DATA'!T1619</f>
        <v>0</v>
      </c>
      <c r="Q261" s="43" t="str">
        <f t="shared" si="9"/>
        <v>syn BTCX6/BTCF7/BTCH7/BTCZ6/BTCV6/BTCG7</v>
      </c>
      <c r="R261" s="13">
        <f>'MKT DATA'!AB1619</f>
        <v>0</v>
      </c>
    </row>
    <row r="262" spans="5:18" x14ac:dyDescent="0.25">
      <c r="E262" s="43" t="str">
        <f>'MKT DATA'!B1620</f>
        <v>syn BTCX6/BTCH7/BTCV6/BTCZ6/BTCF7/BTCG7</v>
      </c>
      <c r="F262" s="13">
        <f>'MKT DATA'!J1620</f>
        <v>1</v>
      </c>
      <c r="G262" s="8">
        <f>'MKT DATA'!K1620</f>
        <v>84127</v>
      </c>
      <c r="H262" s="8">
        <f>'MKT DATA'!L1620</f>
        <v>85981</v>
      </c>
      <c r="I262" s="13">
        <f>'MKT DATA'!M1620</f>
        <v>1</v>
      </c>
      <c r="J262" s="43" t="str">
        <f t="shared" si="8"/>
        <v>syn BTCX6/BTCH7/BTCV6/BTCZ6/BTCF7/BTCG7</v>
      </c>
      <c r="K262" s="8">
        <f>'MKT DATA'!O1620</f>
        <v>0</v>
      </c>
      <c r="L262" s="8">
        <f>'MKT DATA'!P1620</f>
        <v>84127</v>
      </c>
      <c r="M262" s="8">
        <f>'MKT DATA'!Q1620</f>
        <v>0</v>
      </c>
      <c r="N262" s="8">
        <f>'MKT DATA'!R1620</f>
        <v>0</v>
      </c>
      <c r="O262" s="8">
        <f>'MKT DATA'!S1620</f>
        <v>-85981</v>
      </c>
      <c r="P262" s="8">
        <f>'MKT DATA'!T1620</f>
        <v>0</v>
      </c>
      <c r="Q262" s="43" t="str">
        <f t="shared" si="9"/>
        <v>syn BTCX6/BTCH7/BTCV6/BTCZ6/BTCF7/BTCG7</v>
      </c>
      <c r="R262" s="13">
        <f>'MKT DATA'!AB1620</f>
        <v>0</v>
      </c>
    </row>
    <row r="263" spans="5:18" x14ac:dyDescent="0.25">
      <c r="E263" s="43" t="str">
        <f>'MKT DATA'!B1621</f>
        <v>syn BTCX6/BTCH7/BTCV6/BTCF7/BTCZ6/BTCG7</v>
      </c>
      <c r="F263" s="13">
        <f>'MKT DATA'!J1621</f>
        <v>1</v>
      </c>
      <c r="G263" s="8">
        <f>'MKT DATA'!K1621</f>
        <v>83927</v>
      </c>
      <c r="H263" s="8">
        <f>'MKT DATA'!L1621</f>
        <v>86167</v>
      </c>
      <c r="I263" s="13">
        <f>'MKT DATA'!M1621</f>
        <v>1</v>
      </c>
      <c r="J263" s="43" t="str">
        <f t="shared" si="8"/>
        <v>syn BTCX6/BTCH7/BTCV6/BTCF7/BTCZ6/BTCG7</v>
      </c>
      <c r="K263" s="8">
        <f>'MKT DATA'!O1621</f>
        <v>0</v>
      </c>
      <c r="L263" s="8">
        <f>'MKT DATA'!P1621</f>
        <v>83927</v>
      </c>
      <c r="M263" s="8">
        <f>'MKT DATA'!Q1621</f>
        <v>0</v>
      </c>
      <c r="N263" s="8">
        <f>'MKT DATA'!R1621</f>
        <v>0</v>
      </c>
      <c r="O263" s="8">
        <f>'MKT DATA'!S1621</f>
        <v>-86167</v>
      </c>
      <c r="P263" s="8">
        <f>'MKT DATA'!T1621</f>
        <v>0</v>
      </c>
      <c r="Q263" s="43" t="str">
        <f t="shared" si="9"/>
        <v>syn BTCX6/BTCH7/BTCV6/BTCF7/BTCZ6/BTCG7</v>
      </c>
      <c r="R263" s="13">
        <f>'MKT DATA'!AB1621</f>
        <v>0</v>
      </c>
    </row>
    <row r="264" spans="5:18" x14ac:dyDescent="0.25">
      <c r="E264" s="43" t="str">
        <f>'MKT DATA'!B1622</f>
        <v>syn BTCX6/BTCH7/BTCZ6/BTCV6/BTCF7/BTCG7</v>
      </c>
      <c r="F264" s="13">
        <f>'MKT DATA'!J1622</f>
        <v>1</v>
      </c>
      <c r="G264" s="8">
        <f>'MKT DATA'!K1622</f>
        <v>84043</v>
      </c>
      <c r="H264" s="8">
        <f>'MKT DATA'!L1622</f>
        <v>85843</v>
      </c>
      <c r="I264" s="13">
        <f>'MKT DATA'!M1622</f>
        <v>1</v>
      </c>
      <c r="J264" s="43" t="str">
        <f t="shared" si="8"/>
        <v>syn BTCX6/BTCH7/BTCZ6/BTCV6/BTCF7/BTCG7</v>
      </c>
      <c r="K264" s="8">
        <f>'MKT DATA'!O1622</f>
        <v>0</v>
      </c>
      <c r="L264" s="8">
        <f>'MKT DATA'!P1622</f>
        <v>84043</v>
      </c>
      <c r="M264" s="8">
        <f>'MKT DATA'!Q1622</f>
        <v>0</v>
      </c>
      <c r="N264" s="8">
        <f>'MKT DATA'!R1622</f>
        <v>0</v>
      </c>
      <c r="O264" s="8">
        <f>'MKT DATA'!S1622</f>
        <v>-85843</v>
      </c>
      <c r="P264" s="8">
        <f>'MKT DATA'!T1622</f>
        <v>0</v>
      </c>
      <c r="Q264" s="43" t="str">
        <f t="shared" si="9"/>
        <v>syn BTCX6/BTCH7/BTCZ6/BTCV6/BTCF7/BTCG7</v>
      </c>
      <c r="R264" s="13">
        <f>'MKT DATA'!AB1622</f>
        <v>0</v>
      </c>
    </row>
    <row r="265" spans="5:18" x14ac:dyDescent="0.25">
      <c r="E265" s="43" t="str">
        <f>'MKT DATA'!B1623</f>
        <v>syn BTCX6/BTCH7/BTCZ6/BTCF7/BTCV6/BTCG7</v>
      </c>
      <c r="F265" s="13">
        <f>'MKT DATA'!J1623</f>
        <v>1</v>
      </c>
      <c r="G265" s="8">
        <f>'MKT DATA'!K1623</f>
        <v>83983</v>
      </c>
      <c r="H265" s="8">
        <f>'MKT DATA'!L1623</f>
        <v>85983</v>
      </c>
      <c r="I265" s="13">
        <f>'MKT DATA'!M1623</f>
        <v>1</v>
      </c>
      <c r="J265" s="43" t="str">
        <f t="shared" si="8"/>
        <v>syn BTCX6/BTCH7/BTCZ6/BTCF7/BTCV6/BTCG7</v>
      </c>
      <c r="K265" s="8">
        <f>'MKT DATA'!O1623</f>
        <v>0</v>
      </c>
      <c r="L265" s="8">
        <f>'MKT DATA'!P1623</f>
        <v>83983</v>
      </c>
      <c r="M265" s="8">
        <f>'MKT DATA'!Q1623</f>
        <v>0</v>
      </c>
      <c r="N265" s="8">
        <f>'MKT DATA'!R1623</f>
        <v>0</v>
      </c>
      <c r="O265" s="8">
        <f>'MKT DATA'!S1623</f>
        <v>-85983</v>
      </c>
      <c r="P265" s="8">
        <f>'MKT DATA'!T1623</f>
        <v>0</v>
      </c>
      <c r="Q265" s="43" t="str">
        <f t="shared" si="9"/>
        <v>syn BTCX6/BTCH7/BTCZ6/BTCF7/BTCV6/BTCG7</v>
      </c>
      <c r="R265" s="13">
        <f>'MKT DATA'!AB1623</f>
        <v>0</v>
      </c>
    </row>
    <row r="266" spans="5:18" x14ac:dyDescent="0.25">
      <c r="E266" s="43" t="str">
        <f>'MKT DATA'!B1624</f>
        <v>syn BTCX6/BTCH7/BTCF7/BTCV6/BTCZ6/BTCG7</v>
      </c>
      <c r="F266" s="13">
        <f>'MKT DATA'!J1624</f>
        <v>1</v>
      </c>
      <c r="G266" s="8">
        <f>'MKT DATA'!K1624</f>
        <v>83882</v>
      </c>
      <c r="H266" s="8">
        <f>'MKT DATA'!L1624</f>
        <v>86276</v>
      </c>
      <c r="I266" s="13">
        <f>'MKT DATA'!M1624</f>
        <v>1</v>
      </c>
      <c r="J266" s="43" t="str">
        <f t="shared" ref="J266:J329" si="10">E266</f>
        <v>syn BTCX6/BTCH7/BTCF7/BTCV6/BTCZ6/BTCG7</v>
      </c>
      <c r="K266" s="8">
        <f>'MKT DATA'!O1624</f>
        <v>0</v>
      </c>
      <c r="L266" s="8">
        <f>'MKT DATA'!P1624</f>
        <v>83882</v>
      </c>
      <c r="M266" s="8">
        <f>'MKT DATA'!Q1624</f>
        <v>0</v>
      </c>
      <c r="N266" s="8">
        <f>'MKT DATA'!R1624</f>
        <v>0</v>
      </c>
      <c r="O266" s="8">
        <f>'MKT DATA'!S1624</f>
        <v>-86276</v>
      </c>
      <c r="P266" s="8">
        <f>'MKT DATA'!T1624</f>
        <v>0</v>
      </c>
      <c r="Q266" s="43" t="str">
        <f t="shared" ref="Q266:Q329" si="11">J266</f>
        <v>syn BTCX6/BTCH7/BTCF7/BTCV6/BTCZ6/BTCG7</v>
      </c>
      <c r="R266" s="13">
        <f>'MKT DATA'!AB1624</f>
        <v>0</v>
      </c>
    </row>
    <row r="267" spans="5:18" x14ac:dyDescent="0.25">
      <c r="E267" s="43" t="str">
        <f>'MKT DATA'!B1625</f>
        <v>syn BTCX6/BTCH7/BTCF7/BTCZ6/BTCV6/BTCG7</v>
      </c>
      <c r="F267" s="13">
        <f>'MKT DATA'!J1625</f>
        <v>1</v>
      </c>
      <c r="G267" s="8">
        <f>'MKT DATA'!K1625</f>
        <v>83954</v>
      </c>
      <c r="H267" s="8">
        <f>'MKT DATA'!L1625</f>
        <v>86162</v>
      </c>
      <c r="I267" s="13">
        <f>'MKT DATA'!M1625</f>
        <v>1</v>
      </c>
      <c r="J267" s="43" t="str">
        <f t="shared" si="10"/>
        <v>syn BTCX6/BTCH7/BTCF7/BTCZ6/BTCV6/BTCG7</v>
      </c>
      <c r="K267" s="8">
        <f>'MKT DATA'!O1625</f>
        <v>0</v>
      </c>
      <c r="L267" s="8">
        <f>'MKT DATA'!P1625</f>
        <v>83954</v>
      </c>
      <c r="M267" s="8">
        <f>'MKT DATA'!Q1625</f>
        <v>0</v>
      </c>
      <c r="N267" s="8">
        <f>'MKT DATA'!R1625</f>
        <v>0</v>
      </c>
      <c r="O267" s="8">
        <f>'MKT DATA'!S1625</f>
        <v>-86162</v>
      </c>
      <c r="P267" s="8">
        <f>'MKT DATA'!T1625</f>
        <v>0</v>
      </c>
      <c r="Q267" s="43" t="str">
        <f t="shared" si="11"/>
        <v>syn BTCX6/BTCH7/BTCF7/BTCZ6/BTCV6/BTCG7</v>
      </c>
      <c r="R267" s="13">
        <f>'MKT DATA'!AB1625</f>
        <v>0</v>
      </c>
    </row>
    <row r="268" spans="5:18" x14ac:dyDescent="0.25">
      <c r="E268" s="43" t="str">
        <f>'MKT DATA'!B1626</f>
        <v>syn BTCZ6/BTCV6/BTCX6/BTCF7/BTCH7/BTCG7</v>
      </c>
      <c r="F268" s="13">
        <f>'MKT DATA'!J1626</f>
        <v>1</v>
      </c>
      <c r="G268" s="8">
        <f>'MKT DATA'!K1626</f>
        <v>84256</v>
      </c>
      <c r="H268" s="8">
        <f>'MKT DATA'!L1626</f>
        <v>85774</v>
      </c>
      <c r="I268" s="13">
        <f>'MKT DATA'!M1626</f>
        <v>1</v>
      </c>
      <c r="J268" s="43" t="str">
        <f t="shared" si="10"/>
        <v>syn BTCZ6/BTCV6/BTCX6/BTCF7/BTCH7/BTCG7</v>
      </c>
      <c r="K268" s="8">
        <f>'MKT DATA'!O1626</f>
        <v>0</v>
      </c>
      <c r="L268" s="8">
        <f>'MKT DATA'!P1626</f>
        <v>84256</v>
      </c>
      <c r="M268" s="8">
        <f>'MKT DATA'!Q1626</f>
        <v>0</v>
      </c>
      <c r="N268" s="8">
        <f>'MKT DATA'!R1626</f>
        <v>0</v>
      </c>
      <c r="O268" s="8">
        <f>'MKT DATA'!S1626</f>
        <v>-85774</v>
      </c>
      <c r="P268" s="8">
        <f>'MKT DATA'!T1626</f>
        <v>0</v>
      </c>
      <c r="Q268" s="43" t="str">
        <f t="shared" si="11"/>
        <v>syn BTCZ6/BTCV6/BTCX6/BTCF7/BTCH7/BTCG7</v>
      </c>
      <c r="R268" s="13">
        <f>'MKT DATA'!AB1626</f>
        <v>0</v>
      </c>
    </row>
    <row r="269" spans="5:18" x14ac:dyDescent="0.25">
      <c r="E269" s="43" t="str">
        <f>'MKT DATA'!B1627</f>
        <v>syn BTCZ6/BTCV6/BTCX6/BTCH7/BTCF7/BTCG7</v>
      </c>
      <c r="F269" s="13">
        <f>'MKT DATA'!J1627</f>
        <v>1</v>
      </c>
      <c r="G269" s="8">
        <f>'MKT DATA'!K1627</f>
        <v>84034</v>
      </c>
      <c r="H269" s="8">
        <f>'MKT DATA'!L1627</f>
        <v>86055</v>
      </c>
      <c r="I269" s="13">
        <f>'MKT DATA'!M1627</f>
        <v>1</v>
      </c>
      <c r="J269" s="43" t="str">
        <f t="shared" si="10"/>
        <v>syn BTCZ6/BTCV6/BTCX6/BTCH7/BTCF7/BTCG7</v>
      </c>
      <c r="K269" s="8">
        <f>'MKT DATA'!O1627</f>
        <v>0</v>
      </c>
      <c r="L269" s="8">
        <f>'MKT DATA'!P1627</f>
        <v>84034</v>
      </c>
      <c r="M269" s="8">
        <f>'MKT DATA'!Q1627</f>
        <v>0</v>
      </c>
      <c r="N269" s="8">
        <f>'MKT DATA'!R1627</f>
        <v>0</v>
      </c>
      <c r="O269" s="8">
        <f>'MKT DATA'!S1627</f>
        <v>-86055</v>
      </c>
      <c r="P269" s="8">
        <f>'MKT DATA'!T1627</f>
        <v>0</v>
      </c>
      <c r="Q269" s="43" t="str">
        <f t="shared" si="11"/>
        <v>syn BTCZ6/BTCV6/BTCX6/BTCH7/BTCF7/BTCG7</v>
      </c>
      <c r="R269" s="13">
        <f>'MKT DATA'!AB1627</f>
        <v>0</v>
      </c>
    </row>
    <row r="270" spans="5:18" x14ac:dyDescent="0.25">
      <c r="E270" s="43" t="str">
        <f>'MKT DATA'!B1628</f>
        <v>syn BTCZ6/BTCV6/BTCF7/BTCX6/BTCH7/BTCG7</v>
      </c>
      <c r="F270" s="13">
        <f>'MKT DATA'!J1628</f>
        <v>1</v>
      </c>
      <c r="G270" s="8">
        <f>'MKT DATA'!K1628</f>
        <v>84255</v>
      </c>
      <c r="H270" s="8">
        <f>'MKT DATA'!L1628</f>
        <v>85792</v>
      </c>
      <c r="I270" s="13">
        <f>'MKT DATA'!M1628</f>
        <v>1</v>
      </c>
      <c r="J270" s="43" t="str">
        <f t="shared" si="10"/>
        <v>syn BTCZ6/BTCV6/BTCF7/BTCX6/BTCH7/BTCG7</v>
      </c>
      <c r="K270" s="8">
        <f>'MKT DATA'!O1628</f>
        <v>0</v>
      </c>
      <c r="L270" s="8">
        <f>'MKT DATA'!P1628</f>
        <v>84255</v>
      </c>
      <c r="M270" s="8">
        <f>'MKT DATA'!Q1628</f>
        <v>0</v>
      </c>
      <c r="N270" s="8">
        <f>'MKT DATA'!R1628</f>
        <v>0</v>
      </c>
      <c r="O270" s="8">
        <f>'MKT DATA'!S1628</f>
        <v>-85792</v>
      </c>
      <c r="P270" s="8">
        <f>'MKT DATA'!T1628</f>
        <v>0</v>
      </c>
      <c r="Q270" s="43" t="str">
        <f t="shared" si="11"/>
        <v>syn BTCZ6/BTCV6/BTCF7/BTCX6/BTCH7/BTCG7</v>
      </c>
      <c r="R270" s="13">
        <f>'MKT DATA'!AB1628</f>
        <v>0</v>
      </c>
    </row>
    <row r="271" spans="5:18" x14ac:dyDescent="0.25">
      <c r="E271" s="43" t="str">
        <f>'MKT DATA'!B1629</f>
        <v>syn BTCZ6/BTCV6/BTCF7/BTCH7/BTCX6/BTCG7</v>
      </c>
      <c r="F271" s="13">
        <f>'MKT DATA'!J1629</f>
        <v>1</v>
      </c>
      <c r="G271" s="8">
        <f>'MKT DATA'!K1629</f>
        <v>83844</v>
      </c>
      <c r="H271" s="8">
        <f>'MKT DATA'!L1629</f>
        <v>86238</v>
      </c>
      <c r="I271" s="13">
        <f>'MKT DATA'!M1629</f>
        <v>1</v>
      </c>
      <c r="J271" s="43" t="str">
        <f t="shared" si="10"/>
        <v>syn BTCZ6/BTCV6/BTCF7/BTCH7/BTCX6/BTCG7</v>
      </c>
      <c r="K271" s="8">
        <f>'MKT DATA'!O1629</f>
        <v>0</v>
      </c>
      <c r="L271" s="8">
        <f>'MKT DATA'!P1629</f>
        <v>83844</v>
      </c>
      <c r="M271" s="8">
        <f>'MKT DATA'!Q1629</f>
        <v>0</v>
      </c>
      <c r="N271" s="8">
        <f>'MKT DATA'!R1629</f>
        <v>0</v>
      </c>
      <c r="O271" s="8">
        <f>'MKT DATA'!S1629</f>
        <v>-86238</v>
      </c>
      <c r="P271" s="8">
        <f>'MKT DATA'!T1629</f>
        <v>0</v>
      </c>
      <c r="Q271" s="43" t="str">
        <f t="shared" si="11"/>
        <v>syn BTCZ6/BTCV6/BTCF7/BTCH7/BTCX6/BTCG7</v>
      </c>
      <c r="R271" s="13">
        <f>'MKT DATA'!AB1629</f>
        <v>0</v>
      </c>
    </row>
    <row r="272" spans="5:18" x14ac:dyDescent="0.25">
      <c r="E272" s="43" t="str">
        <f>'MKT DATA'!B1630</f>
        <v>syn BTCZ6/BTCV6/BTCH7/BTCX6/BTCF7/BTCG7</v>
      </c>
      <c r="F272" s="13">
        <f>'MKT DATA'!J1630</f>
        <v>1</v>
      </c>
      <c r="G272" s="8">
        <f>'MKT DATA'!K1630</f>
        <v>84053</v>
      </c>
      <c r="H272" s="8">
        <f>'MKT DATA'!L1630</f>
        <v>86023</v>
      </c>
      <c r="I272" s="13">
        <f>'MKT DATA'!M1630</f>
        <v>1</v>
      </c>
      <c r="J272" s="43" t="str">
        <f t="shared" si="10"/>
        <v>syn BTCZ6/BTCV6/BTCH7/BTCX6/BTCF7/BTCG7</v>
      </c>
      <c r="K272" s="8">
        <f>'MKT DATA'!O1630</f>
        <v>0</v>
      </c>
      <c r="L272" s="8">
        <f>'MKT DATA'!P1630</f>
        <v>84053</v>
      </c>
      <c r="M272" s="8">
        <f>'MKT DATA'!Q1630</f>
        <v>0</v>
      </c>
      <c r="N272" s="8">
        <f>'MKT DATA'!R1630</f>
        <v>0</v>
      </c>
      <c r="O272" s="8">
        <f>'MKT DATA'!S1630</f>
        <v>-86023</v>
      </c>
      <c r="P272" s="8">
        <f>'MKT DATA'!T1630</f>
        <v>0</v>
      </c>
      <c r="Q272" s="43" t="str">
        <f t="shared" si="11"/>
        <v>syn BTCZ6/BTCV6/BTCH7/BTCX6/BTCF7/BTCG7</v>
      </c>
      <c r="R272" s="13">
        <f>'MKT DATA'!AB1630</f>
        <v>0</v>
      </c>
    </row>
    <row r="273" spans="5:18" x14ac:dyDescent="0.25">
      <c r="E273" s="43" t="str">
        <f>'MKT DATA'!B1631</f>
        <v>syn BTCZ6/BTCV6/BTCH7/BTCF7/BTCX6/BTCG7</v>
      </c>
      <c r="F273" s="13">
        <f>'MKT DATA'!J1631</f>
        <v>1</v>
      </c>
      <c r="G273" s="8">
        <f>'MKT DATA'!K1631</f>
        <v>83904</v>
      </c>
      <c r="H273" s="8">
        <f>'MKT DATA'!L1631</f>
        <v>86228</v>
      </c>
      <c r="I273" s="13">
        <f>'MKT DATA'!M1631</f>
        <v>1</v>
      </c>
      <c r="J273" s="43" t="str">
        <f t="shared" si="10"/>
        <v>syn BTCZ6/BTCV6/BTCH7/BTCF7/BTCX6/BTCG7</v>
      </c>
      <c r="K273" s="8">
        <f>'MKT DATA'!O1631</f>
        <v>0</v>
      </c>
      <c r="L273" s="8">
        <f>'MKT DATA'!P1631</f>
        <v>83904</v>
      </c>
      <c r="M273" s="8">
        <f>'MKT DATA'!Q1631</f>
        <v>0</v>
      </c>
      <c r="N273" s="8">
        <f>'MKT DATA'!R1631</f>
        <v>0</v>
      </c>
      <c r="O273" s="8">
        <f>'MKT DATA'!S1631</f>
        <v>-86228</v>
      </c>
      <c r="P273" s="8">
        <f>'MKT DATA'!T1631</f>
        <v>0</v>
      </c>
      <c r="Q273" s="43" t="str">
        <f t="shared" si="11"/>
        <v>syn BTCZ6/BTCV6/BTCH7/BTCF7/BTCX6/BTCG7</v>
      </c>
      <c r="R273" s="13">
        <f>'MKT DATA'!AB1631</f>
        <v>0</v>
      </c>
    </row>
    <row r="274" spans="5:18" x14ac:dyDescent="0.25">
      <c r="E274" s="43" t="str">
        <f>'MKT DATA'!B1632</f>
        <v>syn BTCZ6/BTCX6/BTCV6/BTCF7/BTCH7/BTCG7</v>
      </c>
      <c r="F274" s="13">
        <f>'MKT DATA'!J1632</f>
        <v>1</v>
      </c>
      <c r="G274" s="8">
        <f>'MKT DATA'!K1632</f>
        <v>84239</v>
      </c>
      <c r="H274" s="8">
        <f>'MKT DATA'!L1632</f>
        <v>85788</v>
      </c>
      <c r="I274" s="13">
        <f>'MKT DATA'!M1632</f>
        <v>1</v>
      </c>
      <c r="J274" s="43" t="str">
        <f t="shared" si="10"/>
        <v>syn BTCZ6/BTCX6/BTCV6/BTCF7/BTCH7/BTCG7</v>
      </c>
      <c r="K274" s="8">
        <f>'MKT DATA'!O1632</f>
        <v>0</v>
      </c>
      <c r="L274" s="8">
        <f>'MKT DATA'!P1632</f>
        <v>84239</v>
      </c>
      <c r="M274" s="8">
        <f>'MKT DATA'!Q1632</f>
        <v>0</v>
      </c>
      <c r="N274" s="8">
        <f>'MKT DATA'!R1632</f>
        <v>0</v>
      </c>
      <c r="O274" s="8">
        <f>'MKT DATA'!S1632</f>
        <v>-85788</v>
      </c>
      <c r="P274" s="8">
        <f>'MKT DATA'!T1632</f>
        <v>0</v>
      </c>
      <c r="Q274" s="43" t="str">
        <f t="shared" si="11"/>
        <v>syn BTCZ6/BTCX6/BTCV6/BTCF7/BTCH7/BTCG7</v>
      </c>
      <c r="R274" s="13">
        <f>'MKT DATA'!AB1632</f>
        <v>0</v>
      </c>
    </row>
    <row r="275" spans="5:18" x14ac:dyDescent="0.25">
      <c r="E275" s="43" t="str">
        <f>'MKT DATA'!B1633</f>
        <v>syn BTCZ6/BTCX6/BTCV6/BTCH7/BTCF7/BTCG7</v>
      </c>
      <c r="F275" s="13">
        <f>'MKT DATA'!J1633</f>
        <v>1</v>
      </c>
      <c r="G275" s="8">
        <f>'MKT DATA'!K1633</f>
        <v>84057</v>
      </c>
      <c r="H275" s="8">
        <f>'MKT DATA'!L1633</f>
        <v>86039</v>
      </c>
      <c r="I275" s="13">
        <f>'MKT DATA'!M1633</f>
        <v>1</v>
      </c>
      <c r="J275" s="43" t="str">
        <f t="shared" si="10"/>
        <v>syn BTCZ6/BTCX6/BTCV6/BTCH7/BTCF7/BTCG7</v>
      </c>
      <c r="K275" s="8">
        <f>'MKT DATA'!O1633</f>
        <v>0</v>
      </c>
      <c r="L275" s="8">
        <f>'MKT DATA'!P1633</f>
        <v>84057</v>
      </c>
      <c r="M275" s="8">
        <f>'MKT DATA'!Q1633</f>
        <v>0</v>
      </c>
      <c r="N275" s="8">
        <f>'MKT DATA'!R1633</f>
        <v>0</v>
      </c>
      <c r="O275" s="8">
        <f>'MKT DATA'!S1633</f>
        <v>-86039</v>
      </c>
      <c r="P275" s="8">
        <f>'MKT DATA'!T1633</f>
        <v>0</v>
      </c>
      <c r="Q275" s="43" t="str">
        <f t="shared" si="11"/>
        <v>syn BTCZ6/BTCX6/BTCV6/BTCH7/BTCF7/BTCG7</v>
      </c>
      <c r="R275" s="13">
        <f>'MKT DATA'!AB1633</f>
        <v>0</v>
      </c>
    </row>
    <row r="276" spans="5:18" x14ac:dyDescent="0.25">
      <c r="E276" s="43" t="str">
        <f>'MKT DATA'!B1634</f>
        <v>syn BTCZ6/BTCX6/BTCF7/BTCV6/BTCH7/BTCG7</v>
      </c>
      <c r="F276" s="13">
        <f>'MKT DATA'!J1634</f>
        <v>1</v>
      </c>
      <c r="G276" s="8">
        <f>'MKT DATA'!K1634</f>
        <v>84281</v>
      </c>
      <c r="H276" s="8">
        <f>'MKT DATA'!L1634</f>
        <v>85779</v>
      </c>
      <c r="I276" s="13">
        <f>'MKT DATA'!M1634</f>
        <v>1</v>
      </c>
      <c r="J276" s="43" t="str">
        <f t="shared" si="10"/>
        <v>syn BTCZ6/BTCX6/BTCF7/BTCV6/BTCH7/BTCG7</v>
      </c>
      <c r="K276" s="8">
        <f>'MKT DATA'!O1634</f>
        <v>0</v>
      </c>
      <c r="L276" s="8">
        <f>'MKT DATA'!P1634</f>
        <v>84281</v>
      </c>
      <c r="M276" s="8">
        <f>'MKT DATA'!Q1634</f>
        <v>0</v>
      </c>
      <c r="N276" s="8">
        <f>'MKT DATA'!R1634</f>
        <v>0</v>
      </c>
      <c r="O276" s="8">
        <f>'MKT DATA'!S1634</f>
        <v>-85779</v>
      </c>
      <c r="P276" s="8">
        <f>'MKT DATA'!T1634</f>
        <v>0</v>
      </c>
      <c r="Q276" s="43" t="str">
        <f t="shared" si="11"/>
        <v>syn BTCZ6/BTCX6/BTCF7/BTCV6/BTCH7/BTCG7</v>
      </c>
      <c r="R276" s="13">
        <f>'MKT DATA'!AB1634</f>
        <v>0</v>
      </c>
    </row>
    <row r="277" spans="5:18" x14ac:dyDescent="0.25">
      <c r="E277" s="43" t="str">
        <f>'MKT DATA'!B1635</f>
        <v>syn BTCZ6/BTCX6/BTCF7/BTCH7/BTCV6/BTCG7</v>
      </c>
      <c r="F277" s="13">
        <f>'MKT DATA'!J1635</f>
        <v>1</v>
      </c>
      <c r="G277" s="8">
        <f>'MKT DATA'!K1635</f>
        <v>83900</v>
      </c>
      <c r="H277" s="8">
        <f>'MKT DATA'!L1635</f>
        <v>86185</v>
      </c>
      <c r="I277" s="13">
        <f>'MKT DATA'!M1635</f>
        <v>1</v>
      </c>
      <c r="J277" s="43" t="str">
        <f t="shared" si="10"/>
        <v>syn BTCZ6/BTCX6/BTCF7/BTCH7/BTCV6/BTCG7</v>
      </c>
      <c r="K277" s="8">
        <f>'MKT DATA'!O1635</f>
        <v>0</v>
      </c>
      <c r="L277" s="8">
        <f>'MKT DATA'!P1635</f>
        <v>83900</v>
      </c>
      <c r="M277" s="8">
        <f>'MKT DATA'!Q1635</f>
        <v>0</v>
      </c>
      <c r="N277" s="8">
        <f>'MKT DATA'!R1635</f>
        <v>0</v>
      </c>
      <c r="O277" s="8">
        <f>'MKT DATA'!S1635</f>
        <v>-86185</v>
      </c>
      <c r="P277" s="8">
        <f>'MKT DATA'!T1635</f>
        <v>0</v>
      </c>
      <c r="Q277" s="43" t="str">
        <f t="shared" si="11"/>
        <v>syn BTCZ6/BTCX6/BTCF7/BTCH7/BTCV6/BTCG7</v>
      </c>
      <c r="R277" s="13">
        <f>'MKT DATA'!AB1635</f>
        <v>0</v>
      </c>
    </row>
    <row r="278" spans="5:18" x14ac:dyDescent="0.25">
      <c r="E278" s="43" t="str">
        <f>'MKT DATA'!B1636</f>
        <v>syn BTCZ6/BTCX6/BTCH7/BTCV6/BTCF7/BTCG7</v>
      </c>
      <c r="F278" s="13">
        <f>'MKT DATA'!J1636</f>
        <v>1</v>
      </c>
      <c r="G278" s="8">
        <f>'MKT DATA'!K1636</f>
        <v>84029</v>
      </c>
      <c r="H278" s="8">
        <f>'MKT DATA'!L1636</f>
        <v>86030</v>
      </c>
      <c r="I278" s="13">
        <f>'MKT DATA'!M1636</f>
        <v>1</v>
      </c>
      <c r="J278" s="43" t="str">
        <f t="shared" si="10"/>
        <v>syn BTCZ6/BTCX6/BTCH7/BTCV6/BTCF7/BTCG7</v>
      </c>
      <c r="K278" s="8">
        <f>'MKT DATA'!O1636</f>
        <v>0</v>
      </c>
      <c r="L278" s="8">
        <f>'MKT DATA'!P1636</f>
        <v>84029</v>
      </c>
      <c r="M278" s="8">
        <f>'MKT DATA'!Q1636</f>
        <v>0</v>
      </c>
      <c r="N278" s="8">
        <f>'MKT DATA'!R1636</f>
        <v>0</v>
      </c>
      <c r="O278" s="8">
        <f>'MKT DATA'!S1636</f>
        <v>-86030</v>
      </c>
      <c r="P278" s="8">
        <f>'MKT DATA'!T1636</f>
        <v>0</v>
      </c>
      <c r="Q278" s="43" t="str">
        <f t="shared" si="11"/>
        <v>syn BTCZ6/BTCX6/BTCH7/BTCV6/BTCF7/BTCG7</v>
      </c>
      <c r="R278" s="13">
        <f>'MKT DATA'!AB1636</f>
        <v>0</v>
      </c>
    </row>
    <row r="279" spans="5:18" x14ac:dyDescent="0.25">
      <c r="E279" s="43" t="str">
        <f>'MKT DATA'!B1637</f>
        <v>syn BTCZ6/BTCX6/BTCH7/BTCF7/BTCV6/BTCG7</v>
      </c>
      <c r="F279" s="13">
        <f>'MKT DATA'!J1637</f>
        <v>1</v>
      </c>
      <c r="G279" s="8">
        <f>'MKT DATA'!K1637</f>
        <v>83890</v>
      </c>
      <c r="H279" s="8">
        <f>'MKT DATA'!L1637</f>
        <v>86245</v>
      </c>
      <c r="I279" s="13">
        <f>'MKT DATA'!M1637</f>
        <v>1</v>
      </c>
      <c r="J279" s="43" t="str">
        <f t="shared" si="10"/>
        <v>syn BTCZ6/BTCX6/BTCH7/BTCF7/BTCV6/BTCG7</v>
      </c>
      <c r="K279" s="8">
        <f>'MKT DATA'!O1637</f>
        <v>0</v>
      </c>
      <c r="L279" s="8">
        <f>'MKT DATA'!P1637</f>
        <v>83890</v>
      </c>
      <c r="M279" s="8">
        <f>'MKT DATA'!Q1637</f>
        <v>0</v>
      </c>
      <c r="N279" s="8">
        <f>'MKT DATA'!R1637</f>
        <v>0</v>
      </c>
      <c r="O279" s="8">
        <f>'MKT DATA'!S1637</f>
        <v>-86245</v>
      </c>
      <c r="P279" s="8">
        <f>'MKT DATA'!T1637</f>
        <v>0</v>
      </c>
      <c r="Q279" s="43" t="str">
        <f t="shared" si="11"/>
        <v>syn BTCZ6/BTCX6/BTCH7/BTCF7/BTCV6/BTCG7</v>
      </c>
      <c r="R279" s="13">
        <f>'MKT DATA'!AB1637</f>
        <v>0</v>
      </c>
    </row>
    <row r="280" spans="5:18" x14ac:dyDescent="0.25">
      <c r="E280" s="43" t="str">
        <f>'MKT DATA'!B1638</f>
        <v>syn BTCZ6/BTCF7/BTCV6/BTCX6/BTCH7/BTCG7</v>
      </c>
      <c r="F280" s="13">
        <f>'MKT DATA'!J1638</f>
        <v>1</v>
      </c>
      <c r="G280" s="8">
        <f>'MKT DATA'!K1638</f>
        <v>84325</v>
      </c>
      <c r="H280" s="8">
        <f>'MKT DATA'!L1638</f>
        <v>85759</v>
      </c>
      <c r="I280" s="13">
        <f>'MKT DATA'!M1638</f>
        <v>1</v>
      </c>
      <c r="J280" s="43" t="str">
        <f t="shared" si="10"/>
        <v>syn BTCZ6/BTCF7/BTCV6/BTCX6/BTCH7/BTCG7</v>
      </c>
      <c r="K280" s="8">
        <f>'MKT DATA'!O1638</f>
        <v>0</v>
      </c>
      <c r="L280" s="8">
        <f>'MKT DATA'!P1638</f>
        <v>84325</v>
      </c>
      <c r="M280" s="8">
        <f>'MKT DATA'!Q1638</f>
        <v>0</v>
      </c>
      <c r="N280" s="8">
        <f>'MKT DATA'!R1638</f>
        <v>0</v>
      </c>
      <c r="O280" s="8">
        <f>'MKT DATA'!S1638</f>
        <v>-85759</v>
      </c>
      <c r="P280" s="8">
        <f>'MKT DATA'!T1638</f>
        <v>0</v>
      </c>
      <c r="Q280" s="43" t="str">
        <f t="shared" si="11"/>
        <v>syn BTCZ6/BTCF7/BTCV6/BTCX6/BTCH7/BTCG7</v>
      </c>
      <c r="R280" s="13">
        <f>'MKT DATA'!AB1638</f>
        <v>0</v>
      </c>
    </row>
    <row r="281" spans="5:18" x14ac:dyDescent="0.25">
      <c r="E281" s="43" t="str">
        <f>'MKT DATA'!B1639</f>
        <v>syn BTCZ6/BTCF7/BTCV6/BTCH7/BTCX6/BTCG7</v>
      </c>
      <c r="F281" s="13">
        <f>'MKT DATA'!J1639</f>
        <v>1</v>
      </c>
      <c r="G281" s="8">
        <f>'MKT DATA'!K1639</f>
        <v>83953</v>
      </c>
      <c r="H281" s="8">
        <f>'MKT DATA'!L1639</f>
        <v>86193</v>
      </c>
      <c r="I281" s="13">
        <f>'MKT DATA'!M1639</f>
        <v>1</v>
      </c>
      <c r="J281" s="43" t="str">
        <f t="shared" si="10"/>
        <v>syn BTCZ6/BTCF7/BTCV6/BTCH7/BTCX6/BTCG7</v>
      </c>
      <c r="K281" s="8">
        <f>'MKT DATA'!O1639</f>
        <v>0</v>
      </c>
      <c r="L281" s="8">
        <f>'MKT DATA'!P1639</f>
        <v>83953</v>
      </c>
      <c r="M281" s="8">
        <f>'MKT DATA'!Q1639</f>
        <v>0</v>
      </c>
      <c r="N281" s="8">
        <f>'MKT DATA'!R1639</f>
        <v>0</v>
      </c>
      <c r="O281" s="8">
        <f>'MKT DATA'!S1639</f>
        <v>-86193</v>
      </c>
      <c r="P281" s="8">
        <f>'MKT DATA'!T1639</f>
        <v>0</v>
      </c>
      <c r="Q281" s="43" t="str">
        <f t="shared" si="11"/>
        <v>syn BTCZ6/BTCF7/BTCV6/BTCH7/BTCX6/BTCG7</v>
      </c>
      <c r="R281" s="13">
        <f>'MKT DATA'!AB1639</f>
        <v>0</v>
      </c>
    </row>
    <row r="282" spans="5:18" x14ac:dyDescent="0.25">
      <c r="E282" s="43" t="str">
        <f>'MKT DATA'!B1640</f>
        <v>syn BTCZ6/BTCF7/BTCX6/BTCV6/BTCH7/BTCG7</v>
      </c>
      <c r="F282" s="13">
        <f>'MKT DATA'!J1640</f>
        <v>1</v>
      </c>
      <c r="G282" s="8">
        <f>'MKT DATA'!K1640</f>
        <v>84362</v>
      </c>
      <c r="H282" s="8">
        <f>'MKT DATA'!L1640</f>
        <v>85726</v>
      </c>
      <c r="I282" s="13">
        <f>'MKT DATA'!M1640</f>
        <v>1</v>
      </c>
      <c r="J282" s="43" t="str">
        <f t="shared" si="10"/>
        <v>syn BTCZ6/BTCF7/BTCX6/BTCV6/BTCH7/BTCG7</v>
      </c>
      <c r="K282" s="8">
        <f>'MKT DATA'!O1640</f>
        <v>0</v>
      </c>
      <c r="L282" s="8">
        <f>'MKT DATA'!P1640</f>
        <v>84362</v>
      </c>
      <c r="M282" s="8">
        <f>'MKT DATA'!Q1640</f>
        <v>0</v>
      </c>
      <c r="N282" s="8">
        <f>'MKT DATA'!R1640</f>
        <v>0</v>
      </c>
      <c r="O282" s="8">
        <f>'MKT DATA'!S1640</f>
        <v>-85726</v>
      </c>
      <c r="P282" s="8">
        <f>'MKT DATA'!T1640</f>
        <v>0</v>
      </c>
      <c r="Q282" s="43" t="str">
        <f t="shared" si="11"/>
        <v>syn BTCZ6/BTCF7/BTCX6/BTCV6/BTCH7/BTCG7</v>
      </c>
      <c r="R282" s="13">
        <f>'MKT DATA'!AB1640</f>
        <v>0</v>
      </c>
    </row>
    <row r="283" spans="5:18" x14ac:dyDescent="0.25">
      <c r="E283" s="43" t="str">
        <f>'MKT DATA'!B1641</f>
        <v>syn BTCZ6/BTCF7/BTCX6/BTCH7/BTCV6/BTCG7</v>
      </c>
      <c r="F283" s="13">
        <f>'MKT DATA'!J1641</f>
        <v>1</v>
      </c>
      <c r="G283" s="8">
        <f>'MKT DATA'!K1641</f>
        <v>83983</v>
      </c>
      <c r="H283" s="8">
        <f>'MKT DATA'!L1641</f>
        <v>86153</v>
      </c>
      <c r="I283" s="13">
        <f>'MKT DATA'!M1641</f>
        <v>1</v>
      </c>
      <c r="J283" s="43" t="str">
        <f t="shared" si="10"/>
        <v>syn BTCZ6/BTCF7/BTCX6/BTCH7/BTCV6/BTCG7</v>
      </c>
      <c r="K283" s="8">
        <f>'MKT DATA'!O1641</f>
        <v>0</v>
      </c>
      <c r="L283" s="8">
        <f>'MKT DATA'!P1641</f>
        <v>83983</v>
      </c>
      <c r="M283" s="8">
        <f>'MKT DATA'!Q1641</f>
        <v>0</v>
      </c>
      <c r="N283" s="8">
        <f>'MKT DATA'!R1641</f>
        <v>0</v>
      </c>
      <c r="O283" s="8">
        <f>'MKT DATA'!S1641</f>
        <v>-86153</v>
      </c>
      <c r="P283" s="8">
        <f>'MKT DATA'!T1641</f>
        <v>0</v>
      </c>
      <c r="Q283" s="43" t="str">
        <f t="shared" si="11"/>
        <v>syn BTCZ6/BTCF7/BTCX6/BTCH7/BTCV6/BTCG7</v>
      </c>
      <c r="R283" s="13">
        <f>'MKT DATA'!AB1641</f>
        <v>0</v>
      </c>
    </row>
    <row r="284" spans="5:18" x14ac:dyDescent="0.25">
      <c r="E284" s="43" t="str">
        <f>'MKT DATA'!B1642</f>
        <v>syn BTCZ6/BTCF7/BTCH7/BTCV6/BTCX6/BTCG7</v>
      </c>
      <c r="F284" s="13">
        <f>'MKT DATA'!J1642</f>
        <v>1</v>
      </c>
      <c r="G284" s="8">
        <f>'MKT DATA'!K1642</f>
        <v>83944</v>
      </c>
      <c r="H284" s="8">
        <f>'MKT DATA'!L1642</f>
        <v>86165</v>
      </c>
      <c r="I284" s="13">
        <f>'MKT DATA'!M1642</f>
        <v>1</v>
      </c>
      <c r="J284" s="43" t="str">
        <f t="shared" si="10"/>
        <v>syn BTCZ6/BTCF7/BTCH7/BTCV6/BTCX6/BTCG7</v>
      </c>
      <c r="K284" s="8">
        <f>'MKT DATA'!O1642</f>
        <v>0</v>
      </c>
      <c r="L284" s="8">
        <f>'MKT DATA'!P1642</f>
        <v>83944</v>
      </c>
      <c r="M284" s="8">
        <f>'MKT DATA'!Q1642</f>
        <v>0</v>
      </c>
      <c r="N284" s="8">
        <f>'MKT DATA'!R1642</f>
        <v>0</v>
      </c>
      <c r="O284" s="8">
        <f>'MKT DATA'!S1642</f>
        <v>-86165</v>
      </c>
      <c r="P284" s="8">
        <f>'MKT DATA'!T1642</f>
        <v>0</v>
      </c>
      <c r="Q284" s="43" t="str">
        <f t="shared" si="11"/>
        <v>syn BTCZ6/BTCF7/BTCH7/BTCV6/BTCX6/BTCG7</v>
      </c>
      <c r="R284" s="13">
        <f>'MKT DATA'!AB1642</f>
        <v>0</v>
      </c>
    </row>
    <row r="285" spans="5:18" x14ac:dyDescent="0.25">
      <c r="E285" s="43" t="str">
        <f>'MKT DATA'!B1643</f>
        <v>syn BTCZ6/BTCF7/BTCH7/BTCX6/BTCV6/BTCG7</v>
      </c>
      <c r="F285" s="13">
        <f>'MKT DATA'!J1643</f>
        <v>1</v>
      </c>
      <c r="G285" s="8">
        <f>'MKT DATA'!K1643</f>
        <v>83951</v>
      </c>
      <c r="H285" s="8">
        <f>'MKT DATA'!L1643</f>
        <v>86172</v>
      </c>
      <c r="I285" s="13">
        <f>'MKT DATA'!M1643</f>
        <v>1</v>
      </c>
      <c r="J285" s="43" t="str">
        <f t="shared" si="10"/>
        <v>syn BTCZ6/BTCF7/BTCH7/BTCX6/BTCV6/BTCG7</v>
      </c>
      <c r="K285" s="8">
        <f>'MKT DATA'!O1643</f>
        <v>0</v>
      </c>
      <c r="L285" s="8">
        <f>'MKT DATA'!P1643</f>
        <v>83951</v>
      </c>
      <c r="M285" s="8">
        <f>'MKT DATA'!Q1643</f>
        <v>0</v>
      </c>
      <c r="N285" s="8">
        <f>'MKT DATA'!R1643</f>
        <v>0</v>
      </c>
      <c r="O285" s="8">
        <f>'MKT DATA'!S1643</f>
        <v>-86172</v>
      </c>
      <c r="P285" s="8">
        <f>'MKT DATA'!T1643</f>
        <v>0</v>
      </c>
      <c r="Q285" s="43" t="str">
        <f t="shared" si="11"/>
        <v>syn BTCZ6/BTCF7/BTCH7/BTCX6/BTCV6/BTCG7</v>
      </c>
      <c r="R285" s="13">
        <f>'MKT DATA'!AB1643</f>
        <v>0</v>
      </c>
    </row>
    <row r="286" spans="5:18" x14ac:dyDescent="0.25">
      <c r="E286" s="43" t="str">
        <f>'MKT DATA'!B1644</f>
        <v>syn BTCZ6/BTCH7/BTCV6/BTCX6/BTCF7/BTCG7</v>
      </c>
      <c r="F286" s="13">
        <f>'MKT DATA'!J1644</f>
        <v>1</v>
      </c>
      <c r="G286" s="8">
        <f>'MKT DATA'!K1644</f>
        <v>84257</v>
      </c>
      <c r="H286" s="8">
        <f>'MKT DATA'!L1644</f>
        <v>86000</v>
      </c>
      <c r="I286" s="13">
        <f>'MKT DATA'!M1644</f>
        <v>1</v>
      </c>
      <c r="J286" s="43" t="str">
        <f t="shared" si="10"/>
        <v>syn BTCZ6/BTCH7/BTCV6/BTCX6/BTCF7/BTCG7</v>
      </c>
      <c r="K286" s="8">
        <f>'MKT DATA'!O1644</f>
        <v>0</v>
      </c>
      <c r="L286" s="8">
        <f>'MKT DATA'!P1644</f>
        <v>84257</v>
      </c>
      <c r="M286" s="8">
        <f>'MKT DATA'!Q1644</f>
        <v>0</v>
      </c>
      <c r="N286" s="8">
        <f>'MKT DATA'!R1644</f>
        <v>0</v>
      </c>
      <c r="O286" s="8">
        <f>'MKT DATA'!S1644</f>
        <v>-86000</v>
      </c>
      <c r="P286" s="8">
        <f>'MKT DATA'!T1644</f>
        <v>0</v>
      </c>
      <c r="Q286" s="43" t="str">
        <f t="shared" si="11"/>
        <v>syn BTCZ6/BTCH7/BTCV6/BTCX6/BTCF7/BTCG7</v>
      </c>
      <c r="R286" s="13">
        <f>'MKT DATA'!AB1644</f>
        <v>0</v>
      </c>
    </row>
    <row r="287" spans="5:18" x14ac:dyDescent="0.25">
      <c r="E287" s="43" t="str">
        <f>'MKT DATA'!B1645</f>
        <v>syn BTCZ6/BTCH7/BTCV6/BTCF7/BTCX6/BTCG7</v>
      </c>
      <c r="F287" s="13">
        <f>'MKT DATA'!J1645</f>
        <v>1</v>
      </c>
      <c r="G287" s="8">
        <f>'MKT DATA'!K1645</f>
        <v>84087</v>
      </c>
      <c r="H287" s="8">
        <f>'MKT DATA'!L1645</f>
        <v>86203</v>
      </c>
      <c r="I287" s="13">
        <f>'MKT DATA'!M1645</f>
        <v>1</v>
      </c>
      <c r="J287" s="43" t="str">
        <f t="shared" si="10"/>
        <v>syn BTCZ6/BTCH7/BTCV6/BTCF7/BTCX6/BTCG7</v>
      </c>
      <c r="K287" s="8">
        <f>'MKT DATA'!O1645</f>
        <v>0</v>
      </c>
      <c r="L287" s="8">
        <f>'MKT DATA'!P1645</f>
        <v>84087</v>
      </c>
      <c r="M287" s="8">
        <f>'MKT DATA'!Q1645</f>
        <v>0</v>
      </c>
      <c r="N287" s="8">
        <f>'MKT DATA'!R1645</f>
        <v>0</v>
      </c>
      <c r="O287" s="8">
        <f>'MKT DATA'!S1645</f>
        <v>-86203</v>
      </c>
      <c r="P287" s="8">
        <f>'MKT DATA'!T1645</f>
        <v>0</v>
      </c>
      <c r="Q287" s="43" t="str">
        <f t="shared" si="11"/>
        <v>syn BTCZ6/BTCH7/BTCV6/BTCF7/BTCX6/BTCG7</v>
      </c>
      <c r="R287" s="13">
        <f>'MKT DATA'!AB1645</f>
        <v>0</v>
      </c>
    </row>
    <row r="288" spans="5:18" x14ac:dyDescent="0.25">
      <c r="E288" s="43" t="str">
        <f>'MKT DATA'!B1646</f>
        <v>syn BTCZ6/BTCH7/BTCX6/BTCV6/BTCF7/BTCG7</v>
      </c>
      <c r="F288" s="13">
        <f>'MKT DATA'!J1646</f>
        <v>1</v>
      </c>
      <c r="G288" s="8">
        <f>'MKT DATA'!K1646</f>
        <v>84224</v>
      </c>
      <c r="H288" s="8">
        <f>'MKT DATA'!L1646</f>
        <v>86037</v>
      </c>
      <c r="I288" s="13">
        <f>'MKT DATA'!M1646</f>
        <v>1</v>
      </c>
      <c r="J288" s="43" t="str">
        <f t="shared" si="10"/>
        <v>syn BTCZ6/BTCH7/BTCX6/BTCV6/BTCF7/BTCG7</v>
      </c>
      <c r="K288" s="8">
        <f>'MKT DATA'!O1646</f>
        <v>0</v>
      </c>
      <c r="L288" s="8">
        <f>'MKT DATA'!P1646</f>
        <v>84224</v>
      </c>
      <c r="M288" s="8">
        <f>'MKT DATA'!Q1646</f>
        <v>0</v>
      </c>
      <c r="N288" s="8">
        <f>'MKT DATA'!R1646</f>
        <v>0</v>
      </c>
      <c r="O288" s="8">
        <f>'MKT DATA'!S1646</f>
        <v>-86037</v>
      </c>
      <c r="P288" s="8">
        <f>'MKT DATA'!T1646</f>
        <v>0</v>
      </c>
      <c r="Q288" s="43" t="str">
        <f t="shared" si="11"/>
        <v>syn BTCZ6/BTCH7/BTCX6/BTCV6/BTCF7/BTCG7</v>
      </c>
      <c r="R288" s="13">
        <f>'MKT DATA'!AB1646</f>
        <v>0</v>
      </c>
    </row>
    <row r="289" spans="5:18" x14ac:dyDescent="0.25">
      <c r="E289" s="43" t="str">
        <f>'MKT DATA'!B1647</f>
        <v>syn BTCZ6/BTCH7/BTCX6/BTCF7/BTCV6/BTCG7</v>
      </c>
      <c r="F289" s="13">
        <f>'MKT DATA'!J1647</f>
        <v>1</v>
      </c>
      <c r="G289" s="8">
        <f>'MKT DATA'!K1647</f>
        <v>84097</v>
      </c>
      <c r="H289" s="8">
        <f>'MKT DATA'!L1647</f>
        <v>86213</v>
      </c>
      <c r="I289" s="13">
        <f>'MKT DATA'!M1647</f>
        <v>1</v>
      </c>
      <c r="J289" s="43" t="str">
        <f t="shared" si="10"/>
        <v>syn BTCZ6/BTCH7/BTCX6/BTCF7/BTCV6/BTCG7</v>
      </c>
      <c r="K289" s="8">
        <f>'MKT DATA'!O1647</f>
        <v>0</v>
      </c>
      <c r="L289" s="8">
        <f>'MKT DATA'!P1647</f>
        <v>84097</v>
      </c>
      <c r="M289" s="8">
        <f>'MKT DATA'!Q1647</f>
        <v>0</v>
      </c>
      <c r="N289" s="8">
        <f>'MKT DATA'!R1647</f>
        <v>0</v>
      </c>
      <c r="O289" s="8">
        <f>'MKT DATA'!S1647</f>
        <v>-86213</v>
      </c>
      <c r="P289" s="8">
        <f>'MKT DATA'!T1647</f>
        <v>0</v>
      </c>
      <c r="Q289" s="43" t="str">
        <f t="shared" si="11"/>
        <v>syn BTCZ6/BTCH7/BTCX6/BTCF7/BTCV6/BTCG7</v>
      </c>
      <c r="R289" s="13">
        <f>'MKT DATA'!AB1647</f>
        <v>0</v>
      </c>
    </row>
    <row r="290" spans="5:18" x14ac:dyDescent="0.25">
      <c r="E290" s="43" t="str">
        <f>'MKT DATA'!B1648</f>
        <v>syn BTCZ6/BTCH7/BTCF7/BTCV6/BTCX6/BTCG7</v>
      </c>
      <c r="F290" s="13">
        <f>'MKT DATA'!J1648</f>
        <v>1</v>
      </c>
      <c r="G290" s="8">
        <f>'MKT DATA'!K1648</f>
        <v>84078</v>
      </c>
      <c r="H290" s="8">
        <f>'MKT DATA'!L1648</f>
        <v>86245</v>
      </c>
      <c r="I290" s="13">
        <f>'MKT DATA'!M1648</f>
        <v>1</v>
      </c>
      <c r="J290" s="43" t="str">
        <f t="shared" si="10"/>
        <v>syn BTCZ6/BTCH7/BTCF7/BTCV6/BTCX6/BTCG7</v>
      </c>
      <c r="K290" s="8">
        <f>'MKT DATA'!O1648</f>
        <v>0</v>
      </c>
      <c r="L290" s="8">
        <f>'MKT DATA'!P1648</f>
        <v>84078</v>
      </c>
      <c r="M290" s="8">
        <f>'MKT DATA'!Q1648</f>
        <v>0</v>
      </c>
      <c r="N290" s="8">
        <f>'MKT DATA'!R1648</f>
        <v>0</v>
      </c>
      <c r="O290" s="8">
        <f>'MKT DATA'!S1648</f>
        <v>-86245</v>
      </c>
      <c r="P290" s="8">
        <f>'MKT DATA'!T1648</f>
        <v>0</v>
      </c>
      <c r="Q290" s="43" t="str">
        <f t="shared" si="11"/>
        <v>syn BTCZ6/BTCH7/BTCF7/BTCV6/BTCX6/BTCG7</v>
      </c>
      <c r="R290" s="13">
        <f>'MKT DATA'!AB1648</f>
        <v>0</v>
      </c>
    </row>
    <row r="291" spans="5:18" x14ac:dyDescent="0.25">
      <c r="E291" s="43" t="str">
        <f>'MKT DATA'!B1649</f>
        <v>syn BTCZ6/BTCH7/BTCF7/BTCX6/BTCV6/BTCG7</v>
      </c>
      <c r="F291" s="13">
        <f>'MKT DATA'!J1649</f>
        <v>1</v>
      </c>
      <c r="G291" s="8">
        <f>'MKT DATA'!K1649</f>
        <v>84115</v>
      </c>
      <c r="H291" s="8">
        <f>'MKT DATA'!L1649</f>
        <v>86212</v>
      </c>
      <c r="I291" s="13">
        <f>'MKT DATA'!M1649</f>
        <v>1</v>
      </c>
      <c r="J291" s="43" t="str">
        <f t="shared" si="10"/>
        <v>syn BTCZ6/BTCH7/BTCF7/BTCX6/BTCV6/BTCG7</v>
      </c>
      <c r="K291" s="8">
        <f>'MKT DATA'!O1649</f>
        <v>0</v>
      </c>
      <c r="L291" s="8">
        <f>'MKT DATA'!P1649</f>
        <v>84115</v>
      </c>
      <c r="M291" s="8">
        <f>'MKT DATA'!Q1649</f>
        <v>0</v>
      </c>
      <c r="N291" s="8">
        <f>'MKT DATA'!R1649</f>
        <v>0</v>
      </c>
      <c r="O291" s="8">
        <f>'MKT DATA'!S1649</f>
        <v>-86212</v>
      </c>
      <c r="P291" s="8">
        <f>'MKT DATA'!T1649</f>
        <v>0</v>
      </c>
      <c r="Q291" s="43" t="str">
        <f t="shared" si="11"/>
        <v>syn BTCZ6/BTCH7/BTCF7/BTCX6/BTCV6/BTCG7</v>
      </c>
      <c r="R291" s="13">
        <f>'MKT DATA'!AB1649</f>
        <v>0</v>
      </c>
    </row>
    <row r="292" spans="5:18" x14ac:dyDescent="0.25">
      <c r="E292" s="43" t="str">
        <f>'MKT DATA'!B1650</f>
        <v>syn BTCF7/BTCV6/BTCX6/BTCZ6/BTCH7/BTCG7</v>
      </c>
      <c r="F292" s="13">
        <f>'MKT DATA'!J1650</f>
        <v>1</v>
      </c>
      <c r="G292" s="8">
        <f>'MKT DATA'!K1650</f>
        <v>84487</v>
      </c>
      <c r="H292" s="8">
        <f>'MKT DATA'!L1650</f>
        <v>85796</v>
      </c>
      <c r="I292" s="13">
        <f>'MKT DATA'!M1650</f>
        <v>1</v>
      </c>
      <c r="J292" s="43" t="str">
        <f t="shared" si="10"/>
        <v>syn BTCF7/BTCV6/BTCX6/BTCZ6/BTCH7/BTCG7</v>
      </c>
      <c r="K292" s="8">
        <f>'MKT DATA'!O1650</f>
        <v>0</v>
      </c>
      <c r="L292" s="8">
        <f>'MKT DATA'!P1650</f>
        <v>84487</v>
      </c>
      <c r="M292" s="8">
        <f>'MKT DATA'!Q1650</f>
        <v>0</v>
      </c>
      <c r="N292" s="8">
        <f>'MKT DATA'!R1650</f>
        <v>0</v>
      </c>
      <c r="O292" s="8">
        <f>'MKT DATA'!S1650</f>
        <v>-85796</v>
      </c>
      <c r="P292" s="8">
        <f>'MKT DATA'!T1650</f>
        <v>0</v>
      </c>
      <c r="Q292" s="43" t="str">
        <f t="shared" si="11"/>
        <v>syn BTCF7/BTCV6/BTCX6/BTCZ6/BTCH7/BTCG7</v>
      </c>
      <c r="R292" s="13">
        <f>'MKT DATA'!AB1650</f>
        <v>0</v>
      </c>
    </row>
    <row r="293" spans="5:18" x14ac:dyDescent="0.25">
      <c r="E293" s="43" t="str">
        <f>'MKT DATA'!B1651</f>
        <v>syn BTCF7/BTCV6/BTCX6/BTCH7/BTCZ6/BTCG7</v>
      </c>
      <c r="F293" s="13">
        <f>'MKT DATA'!J1651</f>
        <v>1</v>
      </c>
      <c r="G293" s="8">
        <f>'MKT DATA'!K1651</f>
        <v>83898</v>
      </c>
      <c r="H293" s="8">
        <f>'MKT DATA'!L1651</f>
        <v>86065</v>
      </c>
      <c r="I293" s="13">
        <f>'MKT DATA'!M1651</f>
        <v>1</v>
      </c>
      <c r="J293" s="43" t="str">
        <f t="shared" si="10"/>
        <v>syn BTCF7/BTCV6/BTCX6/BTCH7/BTCZ6/BTCG7</v>
      </c>
      <c r="K293" s="8">
        <f>'MKT DATA'!O1651</f>
        <v>0</v>
      </c>
      <c r="L293" s="8">
        <f>'MKT DATA'!P1651</f>
        <v>83898</v>
      </c>
      <c r="M293" s="8">
        <f>'MKT DATA'!Q1651</f>
        <v>0</v>
      </c>
      <c r="N293" s="8">
        <f>'MKT DATA'!R1651</f>
        <v>0</v>
      </c>
      <c r="O293" s="8">
        <f>'MKT DATA'!S1651</f>
        <v>-86065</v>
      </c>
      <c r="P293" s="8">
        <f>'MKT DATA'!T1651</f>
        <v>0</v>
      </c>
      <c r="Q293" s="43" t="str">
        <f t="shared" si="11"/>
        <v>syn BTCF7/BTCV6/BTCX6/BTCH7/BTCZ6/BTCG7</v>
      </c>
      <c r="R293" s="13">
        <f>'MKT DATA'!AB1651</f>
        <v>0</v>
      </c>
    </row>
    <row r="294" spans="5:18" x14ac:dyDescent="0.25">
      <c r="E294" s="43" t="str">
        <f>'MKT DATA'!B1652</f>
        <v>syn BTCF7/BTCV6/BTCZ6/BTCX6/BTCH7/BTCG7</v>
      </c>
      <c r="F294" s="13">
        <f>'MKT DATA'!J1652</f>
        <v>1</v>
      </c>
      <c r="G294" s="8">
        <f>'MKT DATA'!K1652</f>
        <v>84276</v>
      </c>
      <c r="H294" s="8">
        <f>'MKT DATA'!L1652</f>
        <v>85812</v>
      </c>
      <c r="I294" s="13">
        <f>'MKT DATA'!M1652</f>
        <v>1</v>
      </c>
      <c r="J294" s="43" t="str">
        <f t="shared" si="10"/>
        <v>syn BTCF7/BTCV6/BTCZ6/BTCX6/BTCH7/BTCG7</v>
      </c>
      <c r="K294" s="8">
        <f>'MKT DATA'!O1652</f>
        <v>0</v>
      </c>
      <c r="L294" s="8">
        <f>'MKT DATA'!P1652</f>
        <v>84276</v>
      </c>
      <c r="M294" s="8">
        <f>'MKT DATA'!Q1652</f>
        <v>0</v>
      </c>
      <c r="N294" s="8">
        <f>'MKT DATA'!R1652</f>
        <v>0</v>
      </c>
      <c r="O294" s="8">
        <f>'MKT DATA'!S1652</f>
        <v>-85812</v>
      </c>
      <c r="P294" s="8">
        <f>'MKT DATA'!T1652</f>
        <v>0</v>
      </c>
      <c r="Q294" s="43" t="str">
        <f t="shared" si="11"/>
        <v>syn BTCF7/BTCV6/BTCZ6/BTCX6/BTCH7/BTCG7</v>
      </c>
      <c r="R294" s="13">
        <f>'MKT DATA'!AB1652</f>
        <v>0</v>
      </c>
    </row>
    <row r="295" spans="5:18" x14ac:dyDescent="0.25">
      <c r="E295" s="43" t="str">
        <f>'MKT DATA'!B1653</f>
        <v>syn BTCF7/BTCV6/BTCZ6/BTCH7/BTCX6/BTCG7</v>
      </c>
      <c r="F295" s="13">
        <f>'MKT DATA'!J1653</f>
        <v>1</v>
      </c>
      <c r="G295" s="8">
        <f>'MKT DATA'!K1653</f>
        <v>84092</v>
      </c>
      <c r="H295" s="8">
        <f>'MKT DATA'!L1653</f>
        <v>86246</v>
      </c>
      <c r="I295" s="13">
        <f>'MKT DATA'!M1653</f>
        <v>1</v>
      </c>
      <c r="J295" s="43" t="str">
        <f t="shared" si="10"/>
        <v>syn BTCF7/BTCV6/BTCZ6/BTCH7/BTCX6/BTCG7</v>
      </c>
      <c r="K295" s="8">
        <f>'MKT DATA'!O1653</f>
        <v>0</v>
      </c>
      <c r="L295" s="8">
        <f>'MKT DATA'!P1653</f>
        <v>84092</v>
      </c>
      <c r="M295" s="8">
        <f>'MKT DATA'!Q1653</f>
        <v>0</v>
      </c>
      <c r="N295" s="8">
        <f>'MKT DATA'!R1653</f>
        <v>0</v>
      </c>
      <c r="O295" s="8">
        <f>'MKT DATA'!S1653</f>
        <v>-86246</v>
      </c>
      <c r="P295" s="8">
        <f>'MKT DATA'!T1653</f>
        <v>0</v>
      </c>
      <c r="Q295" s="43" t="str">
        <f t="shared" si="11"/>
        <v>syn BTCF7/BTCV6/BTCZ6/BTCH7/BTCX6/BTCG7</v>
      </c>
      <c r="R295" s="13">
        <f>'MKT DATA'!AB1653</f>
        <v>0</v>
      </c>
    </row>
    <row r="296" spans="5:18" x14ac:dyDescent="0.25">
      <c r="E296" s="43" t="str">
        <f>'MKT DATA'!B1654</f>
        <v>syn BTCF7/BTCV6/BTCH7/BTCX6/BTCZ6/BTCG7</v>
      </c>
      <c r="F296" s="13">
        <f>'MKT DATA'!J1654</f>
        <v>1</v>
      </c>
      <c r="G296" s="8">
        <f>'MKT DATA'!K1654</f>
        <v>83905</v>
      </c>
      <c r="H296" s="8">
        <f>'MKT DATA'!L1654</f>
        <v>86260</v>
      </c>
      <c r="I296" s="13">
        <f>'MKT DATA'!M1654</f>
        <v>1</v>
      </c>
      <c r="J296" s="43" t="str">
        <f t="shared" si="10"/>
        <v>syn BTCF7/BTCV6/BTCH7/BTCX6/BTCZ6/BTCG7</v>
      </c>
      <c r="K296" s="8">
        <f>'MKT DATA'!O1654</f>
        <v>0</v>
      </c>
      <c r="L296" s="8">
        <f>'MKT DATA'!P1654</f>
        <v>83905</v>
      </c>
      <c r="M296" s="8">
        <f>'MKT DATA'!Q1654</f>
        <v>0</v>
      </c>
      <c r="N296" s="8">
        <f>'MKT DATA'!R1654</f>
        <v>0</v>
      </c>
      <c r="O296" s="8">
        <f>'MKT DATA'!S1654</f>
        <v>-86260</v>
      </c>
      <c r="P296" s="8">
        <f>'MKT DATA'!T1654</f>
        <v>0</v>
      </c>
      <c r="Q296" s="43" t="str">
        <f t="shared" si="11"/>
        <v>syn BTCF7/BTCV6/BTCH7/BTCX6/BTCZ6/BTCG7</v>
      </c>
      <c r="R296" s="13">
        <f>'MKT DATA'!AB1654</f>
        <v>0</v>
      </c>
    </row>
    <row r="297" spans="5:18" x14ac:dyDescent="0.25">
      <c r="E297" s="43" t="str">
        <f>'MKT DATA'!B1655</f>
        <v>syn BTCF7/BTCV6/BTCH7/BTCZ6/BTCX6/BTCG7</v>
      </c>
      <c r="F297" s="13">
        <f>'MKT DATA'!J1655</f>
        <v>1</v>
      </c>
      <c r="G297" s="8">
        <f>'MKT DATA'!K1655</f>
        <v>83920</v>
      </c>
      <c r="H297" s="8">
        <f>'MKT DATA'!L1655</f>
        <v>86035</v>
      </c>
      <c r="I297" s="13">
        <f>'MKT DATA'!M1655</f>
        <v>1</v>
      </c>
      <c r="J297" s="43" t="str">
        <f t="shared" si="10"/>
        <v>syn BTCF7/BTCV6/BTCH7/BTCZ6/BTCX6/BTCG7</v>
      </c>
      <c r="K297" s="8">
        <f>'MKT DATA'!O1655</f>
        <v>0</v>
      </c>
      <c r="L297" s="8">
        <f>'MKT DATA'!P1655</f>
        <v>83920</v>
      </c>
      <c r="M297" s="8">
        <f>'MKT DATA'!Q1655</f>
        <v>0</v>
      </c>
      <c r="N297" s="8">
        <f>'MKT DATA'!R1655</f>
        <v>0</v>
      </c>
      <c r="O297" s="8">
        <f>'MKT DATA'!S1655</f>
        <v>-86035</v>
      </c>
      <c r="P297" s="8">
        <f>'MKT DATA'!T1655</f>
        <v>0</v>
      </c>
      <c r="Q297" s="43" t="str">
        <f t="shared" si="11"/>
        <v>syn BTCF7/BTCV6/BTCH7/BTCZ6/BTCX6/BTCG7</v>
      </c>
      <c r="R297" s="13">
        <f>'MKT DATA'!AB1655</f>
        <v>0</v>
      </c>
    </row>
    <row r="298" spans="5:18" x14ac:dyDescent="0.25">
      <c r="E298" s="43" t="str">
        <f>'MKT DATA'!B1656</f>
        <v>syn BTCF7/BTCX6/BTCV6/BTCZ6/BTCH7/BTCG7</v>
      </c>
      <c r="F298" s="13">
        <f>'MKT DATA'!J1656</f>
        <v>1</v>
      </c>
      <c r="G298" s="8">
        <f>'MKT DATA'!K1656</f>
        <v>84501</v>
      </c>
      <c r="H298" s="8">
        <f>'MKT DATA'!L1656</f>
        <v>85779</v>
      </c>
      <c r="I298" s="13">
        <f>'MKT DATA'!M1656</f>
        <v>1</v>
      </c>
      <c r="J298" s="43" t="str">
        <f t="shared" si="10"/>
        <v>syn BTCF7/BTCX6/BTCV6/BTCZ6/BTCH7/BTCG7</v>
      </c>
      <c r="K298" s="8">
        <f>'MKT DATA'!O1656</f>
        <v>0</v>
      </c>
      <c r="L298" s="8">
        <f>'MKT DATA'!P1656</f>
        <v>84501</v>
      </c>
      <c r="M298" s="8">
        <f>'MKT DATA'!Q1656</f>
        <v>0</v>
      </c>
      <c r="N298" s="8">
        <f>'MKT DATA'!R1656</f>
        <v>0</v>
      </c>
      <c r="O298" s="8">
        <f>'MKT DATA'!S1656</f>
        <v>-85779</v>
      </c>
      <c r="P298" s="8">
        <f>'MKT DATA'!T1656</f>
        <v>0</v>
      </c>
      <c r="Q298" s="43" t="str">
        <f t="shared" si="11"/>
        <v>syn BTCF7/BTCX6/BTCV6/BTCZ6/BTCH7/BTCG7</v>
      </c>
      <c r="R298" s="13">
        <f>'MKT DATA'!AB1656</f>
        <v>0</v>
      </c>
    </row>
    <row r="299" spans="5:18" x14ac:dyDescent="0.25">
      <c r="E299" s="43" t="str">
        <f>'MKT DATA'!B1657</f>
        <v>syn BTCF7/BTCX6/BTCV6/BTCH7/BTCZ6/BTCG7</v>
      </c>
      <c r="F299" s="13">
        <f>'MKT DATA'!J1657</f>
        <v>1</v>
      </c>
      <c r="G299" s="8">
        <f>'MKT DATA'!K1657</f>
        <v>83935</v>
      </c>
      <c r="H299" s="8">
        <f>'MKT DATA'!L1657</f>
        <v>86032</v>
      </c>
      <c r="I299" s="13">
        <f>'MKT DATA'!M1657</f>
        <v>1</v>
      </c>
      <c r="J299" s="43" t="str">
        <f t="shared" si="10"/>
        <v>syn BTCF7/BTCX6/BTCV6/BTCH7/BTCZ6/BTCG7</v>
      </c>
      <c r="K299" s="8">
        <f>'MKT DATA'!O1657</f>
        <v>0</v>
      </c>
      <c r="L299" s="8">
        <f>'MKT DATA'!P1657</f>
        <v>83935</v>
      </c>
      <c r="M299" s="8">
        <f>'MKT DATA'!Q1657</f>
        <v>0</v>
      </c>
      <c r="N299" s="8">
        <f>'MKT DATA'!R1657</f>
        <v>0</v>
      </c>
      <c r="O299" s="8">
        <f>'MKT DATA'!S1657</f>
        <v>-86032</v>
      </c>
      <c r="P299" s="8">
        <f>'MKT DATA'!T1657</f>
        <v>0</v>
      </c>
      <c r="Q299" s="43" t="str">
        <f t="shared" si="11"/>
        <v>syn BTCF7/BTCX6/BTCV6/BTCH7/BTCZ6/BTCG7</v>
      </c>
      <c r="R299" s="13">
        <f>'MKT DATA'!AB1657</f>
        <v>0</v>
      </c>
    </row>
    <row r="300" spans="5:18" x14ac:dyDescent="0.25">
      <c r="E300" s="43" t="str">
        <f>'MKT DATA'!B1658</f>
        <v>syn BTCF7/BTCX6/BTCZ6/BTCV6/BTCH7/BTCG7</v>
      </c>
      <c r="F300" s="13">
        <f>'MKT DATA'!J1658</f>
        <v>1</v>
      </c>
      <c r="G300" s="8">
        <f>'MKT DATA'!K1658</f>
        <v>84313</v>
      </c>
      <c r="H300" s="8">
        <f>'MKT DATA'!L1658</f>
        <v>85779</v>
      </c>
      <c r="I300" s="13">
        <f>'MKT DATA'!M1658</f>
        <v>1</v>
      </c>
      <c r="J300" s="43" t="str">
        <f t="shared" si="10"/>
        <v>syn BTCF7/BTCX6/BTCZ6/BTCV6/BTCH7/BTCG7</v>
      </c>
      <c r="K300" s="8">
        <f>'MKT DATA'!O1658</f>
        <v>0</v>
      </c>
      <c r="L300" s="8">
        <f>'MKT DATA'!P1658</f>
        <v>84313</v>
      </c>
      <c r="M300" s="8">
        <f>'MKT DATA'!Q1658</f>
        <v>0</v>
      </c>
      <c r="N300" s="8">
        <f>'MKT DATA'!R1658</f>
        <v>0</v>
      </c>
      <c r="O300" s="8">
        <f>'MKT DATA'!S1658</f>
        <v>-85779</v>
      </c>
      <c r="P300" s="8">
        <f>'MKT DATA'!T1658</f>
        <v>0</v>
      </c>
      <c r="Q300" s="43" t="str">
        <f t="shared" si="11"/>
        <v>syn BTCF7/BTCX6/BTCZ6/BTCV6/BTCH7/BTCG7</v>
      </c>
      <c r="R300" s="13">
        <f>'MKT DATA'!AB1658</f>
        <v>0</v>
      </c>
    </row>
    <row r="301" spans="5:18" x14ac:dyDescent="0.25">
      <c r="E301" s="43" t="str">
        <f>'MKT DATA'!B1659</f>
        <v>syn BTCF7/BTCX6/BTCZ6/BTCH7/BTCV6/BTCG7</v>
      </c>
      <c r="F301" s="13">
        <f>'MKT DATA'!J1659</f>
        <v>1</v>
      </c>
      <c r="G301" s="8">
        <f>'MKT DATA'!K1659</f>
        <v>84145</v>
      </c>
      <c r="H301" s="8">
        <f>'MKT DATA'!L1659</f>
        <v>86190</v>
      </c>
      <c r="I301" s="13">
        <f>'MKT DATA'!M1659</f>
        <v>1</v>
      </c>
      <c r="J301" s="43" t="str">
        <f t="shared" si="10"/>
        <v>syn BTCF7/BTCX6/BTCZ6/BTCH7/BTCV6/BTCG7</v>
      </c>
      <c r="K301" s="8">
        <f>'MKT DATA'!O1659</f>
        <v>0</v>
      </c>
      <c r="L301" s="8">
        <f>'MKT DATA'!P1659</f>
        <v>84145</v>
      </c>
      <c r="M301" s="8">
        <f>'MKT DATA'!Q1659</f>
        <v>0</v>
      </c>
      <c r="N301" s="8">
        <f>'MKT DATA'!R1659</f>
        <v>0</v>
      </c>
      <c r="O301" s="8">
        <f>'MKT DATA'!S1659</f>
        <v>-86190</v>
      </c>
      <c r="P301" s="8">
        <f>'MKT DATA'!T1659</f>
        <v>0</v>
      </c>
      <c r="Q301" s="43" t="str">
        <f t="shared" si="11"/>
        <v>syn BTCF7/BTCX6/BTCZ6/BTCH7/BTCV6/BTCG7</v>
      </c>
      <c r="R301" s="13">
        <f>'MKT DATA'!AB1659</f>
        <v>0</v>
      </c>
    </row>
    <row r="302" spans="5:18" x14ac:dyDescent="0.25">
      <c r="E302" s="43" t="str">
        <f>'MKT DATA'!B1660</f>
        <v>syn BTCF7/BTCX6/BTCH7/BTCV6/BTCZ6/BTCG7</v>
      </c>
      <c r="F302" s="13">
        <f>'MKT DATA'!J1660</f>
        <v>1</v>
      </c>
      <c r="G302" s="8">
        <f>'MKT DATA'!K1660</f>
        <v>83912</v>
      </c>
      <c r="H302" s="8">
        <f>'MKT DATA'!L1660</f>
        <v>86236</v>
      </c>
      <c r="I302" s="13">
        <f>'MKT DATA'!M1660</f>
        <v>1</v>
      </c>
      <c r="J302" s="43" t="str">
        <f t="shared" si="10"/>
        <v>syn BTCF7/BTCX6/BTCH7/BTCV6/BTCZ6/BTCG7</v>
      </c>
      <c r="K302" s="8">
        <f>'MKT DATA'!O1660</f>
        <v>0</v>
      </c>
      <c r="L302" s="8">
        <f>'MKT DATA'!P1660</f>
        <v>83912</v>
      </c>
      <c r="M302" s="8">
        <f>'MKT DATA'!Q1660</f>
        <v>0</v>
      </c>
      <c r="N302" s="8">
        <f>'MKT DATA'!R1660</f>
        <v>0</v>
      </c>
      <c r="O302" s="8">
        <f>'MKT DATA'!S1660</f>
        <v>-86236</v>
      </c>
      <c r="P302" s="8">
        <f>'MKT DATA'!T1660</f>
        <v>0</v>
      </c>
      <c r="Q302" s="43" t="str">
        <f t="shared" si="11"/>
        <v>syn BTCF7/BTCX6/BTCH7/BTCV6/BTCZ6/BTCG7</v>
      </c>
      <c r="R302" s="13">
        <f>'MKT DATA'!AB1660</f>
        <v>0</v>
      </c>
    </row>
    <row r="303" spans="5:18" x14ac:dyDescent="0.25">
      <c r="E303" s="43" t="str">
        <f>'MKT DATA'!B1661</f>
        <v>syn BTCF7/BTCX6/BTCH7/BTCZ6/BTCV6/BTCG7</v>
      </c>
      <c r="F303" s="13">
        <f>'MKT DATA'!J1661</f>
        <v>1</v>
      </c>
      <c r="G303" s="8">
        <f>'MKT DATA'!K1661</f>
        <v>83934</v>
      </c>
      <c r="H303" s="8">
        <f>'MKT DATA'!L1661</f>
        <v>86018</v>
      </c>
      <c r="I303" s="13">
        <f>'MKT DATA'!M1661</f>
        <v>1</v>
      </c>
      <c r="J303" s="43" t="str">
        <f t="shared" si="10"/>
        <v>syn BTCF7/BTCX6/BTCH7/BTCZ6/BTCV6/BTCG7</v>
      </c>
      <c r="K303" s="8">
        <f>'MKT DATA'!O1661</f>
        <v>0</v>
      </c>
      <c r="L303" s="8">
        <f>'MKT DATA'!P1661</f>
        <v>83934</v>
      </c>
      <c r="M303" s="8">
        <f>'MKT DATA'!Q1661</f>
        <v>0</v>
      </c>
      <c r="N303" s="8">
        <f>'MKT DATA'!R1661</f>
        <v>0</v>
      </c>
      <c r="O303" s="8">
        <f>'MKT DATA'!S1661</f>
        <v>-86018</v>
      </c>
      <c r="P303" s="8">
        <f>'MKT DATA'!T1661</f>
        <v>0</v>
      </c>
      <c r="Q303" s="43" t="str">
        <f t="shared" si="11"/>
        <v>syn BTCF7/BTCX6/BTCH7/BTCZ6/BTCV6/BTCG7</v>
      </c>
      <c r="R303" s="13">
        <f>'MKT DATA'!AB1661</f>
        <v>0</v>
      </c>
    </row>
    <row r="304" spans="5:18" x14ac:dyDescent="0.25">
      <c r="E304" s="43" t="str">
        <f>'MKT DATA'!B1662</f>
        <v>syn BTCF7/BTCZ6/BTCV6/BTCX6/BTCH7/BTCG7</v>
      </c>
      <c r="F304" s="13">
        <f>'MKT DATA'!J1662</f>
        <v>1</v>
      </c>
      <c r="G304" s="8">
        <f>'MKT DATA'!K1662</f>
        <v>84326</v>
      </c>
      <c r="H304" s="8">
        <f>'MKT DATA'!L1662</f>
        <v>85728</v>
      </c>
      <c r="I304" s="13">
        <f>'MKT DATA'!M1662</f>
        <v>1</v>
      </c>
      <c r="J304" s="43" t="str">
        <f t="shared" si="10"/>
        <v>syn BTCF7/BTCZ6/BTCV6/BTCX6/BTCH7/BTCG7</v>
      </c>
      <c r="K304" s="8">
        <f>'MKT DATA'!O1662</f>
        <v>0</v>
      </c>
      <c r="L304" s="8">
        <f>'MKT DATA'!P1662</f>
        <v>84326</v>
      </c>
      <c r="M304" s="8">
        <f>'MKT DATA'!Q1662</f>
        <v>0</v>
      </c>
      <c r="N304" s="8">
        <f>'MKT DATA'!R1662</f>
        <v>0</v>
      </c>
      <c r="O304" s="8">
        <f>'MKT DATA'!S1662</f>
        <v>-85728</v>
      </c>
      <c r="P304" s="8">
        <f>'MKT DATA'!T1662</f>
        <v>0</v>
      </c>
      <c r="Q304" s="43" t="str">
        <f t="shared" si="11"/>
        <v>syn BTCF7/BTCZ6/BTCV6/BTCX6/BTCH7/BTCG7</v>
      </c>
      <c r="R304" s="13">
        <f>'MKT DATA'!AB1662</f>
        <v>0</v>
      </c>
    </row>
    <row r="305" spans="5:18" x14ac:dyDescent="0.25">
      <c r="E305" s="43" t="str">
        <f>'MKT DATA'!B1663</f>
        <v>syn BTCF7/BTCZ6/BTCV6/BTCH7/BTCX6/BTCG7</v>
      </c>
      <c r="F305" s="13">
        <f>'MKT DATA'!J1663</f>
        <v>1</v>
      </c>
      <c r="G305" s="8">
        <f>'MKT DATA'!K1663</f>
        <v>83954</v>
      </c>
      <c r="H305" s="8">
        <f>'MKT DATA'!L1663</f>
        <v>86162</v>
      </c>
      <c r="I305" s="13">
        <f>'MKT DATA'!M1663</f>
        <v>1</v>
      </c>
      <c r="J305" s="43" t="str">
        <f t="shared" si="10"/>
        <v>syn BTCF7/BTCZ6/BTCV6/BTCH7/BTCX6/BTCG7</v>
      </c>
      <c r="K305" s="8">
        <f>'MKT DATA'!O1663</f>
        <v>0</v>
      </c>
      <c r="L305" s="8">
        <f>'MKT DATA'!P1663</f>
        <v>83954</v>
      </c>
      <c r="M305" s="8">
        <f>'MKT DATA'!Q1663</f>
        <v>0</v>
      </c>
      <c r="N305" s="8">
        <f>'MKT DATA'!R1663</f>
        <v>0</v>
      </c>
      <c r="O305" s="8">
        <f>'MKT DATA'!S1663</f>
        <v>-86162</v>
      </c>
      <c r="P305" s="8">
        <f>'MKT DATA'!T1663</f>
        <v>0</v>
      </c>
      <c r="Q305" s="43" t="str">
        <f t="shared" si="11"/>
        <v>syn BTCF7/BTCZ6/BTCV6/BTCH7/BTCX6/BTCG7</v>
      </c>
      <c r="R305" s="13">
        <f>'MKT DATA'!AB1663</f>
        <v>0</v>
      </c>
    </row>
    <row r="306" spans="5:18" x14ac:dyDescent="0.25">
      <c r="E306" s="43" t="str">
        <f>'MKT DATA'!B1664</f>
        <v>syn BTCF7/BTCZ6/BTCX6/BTCV6/BTCH7/BTCG7</v>
      </c>
      <c r="F306" s="13">
        <f>'MKT DATA'!J1664</f>
        <v>1</v>
      </c>
      <c r="G306" s="8">
        <f>'MKT DATA'!K1664</f>
        <v>84349</v>
      </c>
      <c r="H306" s="8">
        <f>'MKT DATA'!L1664</f>
        <v>85712</v>
      </c>
      <c r="I306" s="13">
        <f>'MKT DATA'!M1664</f>
        <v>1</v>
      </c>
      <c r="J306" s="43" t="str">
        <f t="shared" si="10"/>
        <v>syn BTCF7/BTCZ6/BTCX6/BTCV6/BTCH7/BTCG7</v>
      </c>
      <c r="K306" s="8">
        <f>'MKT DATA'!O1664</f>
        <v>0</v>
      </c>
      <c r="L306" s="8">
        <f>'MKT DATA'!P1664</f>
        <v>84349</v>
      </c>
      <c r="M306" s="8">
        <f>'MKT DATA'!Q1664</f>
        <v>0</v>
      </c>
      <c r="N306" s="8">
        <f>'MKT DATA'!R1664</f>
        <v>0</v>
      </c>
      <c r="O306" s="8">
        <f>'MKT DATA'!S1664</f>
        <v>-85712</v>
      </c>
      <c r="P306" s="8">
        <f>'MKT DATA'!T1664</f>
        <v>0</v>
      </c>
      <c r="Q306" s="43" t="str">
        <f t="shared" si="11"/>
        <v>syn BTCF7/BTCZ6/BTCX6/BTCV6/BTCH7/BTCG7</v>
      </c>
      <c r="R306" s="13">
        <f>'MKT DATA'!AB1664</f>
        <v>0</v>
      </c>
    </row>
    <row r="307" spans="5:18" x14ac:dyDescent="0.25">
      <c r="E307" s="43" t="str">
        <f>'MKT DATA'!B1665</f>
        <v>syn BTCF7/BTCZ6/BTCX6/BTCH7/BTCV6/BTCG7</v>
      </c>
      <c r="F307" s="13">
        <f>'MKT DATA'!J1665</f>
        <v>1</v>
      </c>
      <c r="G307" s="8">
        <f>'MKT DATA'!K1665</f>
        <v>83970</v>
      </c>
      <c r="H307" s="8">
        <f>'MKT DATA'!L1665</f>
        <v>86139</v>
      </c>
      <c r="I307" s="13">
        <f>'MKT DATA'!M1665</f>
        <v>1</v>
      </c>
      <c r="J307" s="43" t="str">
        <f t="shared" si="10"/>
        <v>syn BTCF7/BTCZ6/BTCX6/BTCH7/BTCV6/BTCG7</v>
      </c>
      <c r="K307" s="8">
        <f>'MKT DATA'!O1665</f>
        <v>0</v>
      </c>
      <c r="L307" s="8">
        <f>'MKT DATA'!P1665</f>
        <v>83970</v>
      </c>
      <c r="M307" s="8">
        <f>'MKT DATA'!Q1665</f>
        <v>0</v>
      </c>
      <c r="N307" s="8">
        <f>'MKT DATA'!R1665</f>
        <v>0</v>
      </c>
      <c r="O307" s="8">
        <f>'MKT DATA'!S1665</f>
        <v>-86139</v>
      </c>
      <c r="P307" s="8">
        <f>'MKT DATA'!T1665</f>
        <v>0</v>
      </c>
      <c r="Q307" s="43" t="str">
        <f t="shared" si="11"/>
        <v>syn BTCF7/BTCZ6/BTCX6/BTCH7/BTCV6/BTCG7</v>
      </c>
      <c r="R307" s="13">
        <f>'MKT DATA'!AB1665</f>
        <v>0</v>
      </c>
    </row>
    <row r="308" spans="5:18" x14ac:dyDescent="0.25">
      <c r="E308" s="43" t="str">
        <f>'MKT DATA'!B1666</f>
        <v>syn BTCF7/BTCZ6/BTCH7/BTCV6/BTCX6/BTCG7</v>
      </c>
      <c r="F308" s="13">
        <f>'MKT DATA'!J1666</f>
        <v>1</v>
      </c>
      <c r="G308" s="8">
        <f>'MKT DATA'!K1666</f>
        <v>84158</v>
      </c>
      <c r="H308" s="8">
        <f>'MKT DATA'!L1666</f>
        <v>86139</v>
      </c>
      <c r="I308" s="13">
        <f>'MKT DATA'!M1666</f>
        <v>1</v>
      </c>
      <c r="J308" s="43" t="str">
        <f t="shared" si="10"/>
        <v>syn BTCF7/BTCZ6/BTCH7/BTCV6/BTCX6/BTCG7</v>
      </c>
      <c r="K308" s="8">
        <f>'MKT DATA'!O1666</f>
        <v>0</v>
      </c>
      <c r="L308" s="8">
        <f>'MKT DATA'!P1666</f>
        <v>84158</v>
      </c>
      <c r="M308" s="8">
        <f>'MKT DATA'!Q1666</f>
        <v>0</v>
      </c>
      <c r="N308" s="8">
        <f>'MKT DATA'!R1666</f>
        <v>0</v>
      </c>
      <c r="O308" s="8">
        <f>'MKT DATA'!S1666</f>
        <v>-86139</v>
      </c>
      <c r="P308" s="8">
        <f>'MKT DATA'!T1666</f>
        <v>0</v>
      </c>
      <c r="Q308" s="43" t="str">
        <f t="shared" si="11"/>
        <v>syn BTCF7/BTCZ6/BTCH7/BTCV6/BTCX6/BTCG7</v>
      </c>
      <c r="R308" s="13">
        <f>'MKT DATA'!AB1666</f>
        <v>0</v>
      </c>
    </row>
    <row r="309" spans="5:18" x14ac:dyDescent="0.25">
      <c r="E309" s="43" t="str">
        <f>'MKT DATA'!B1667</f>
        <v>syn BTCF7/BTCZ6/BTCH7/BTCX6/BTCV6/BTCG7</v>
      </c>
      <c r="F309" s="13">
        <f>'MKT DATA'!J1667</f>
        <v>1</v>
      </c>
      <c r="G309" s="8">
        <f>'MKT DATA'!K1667</f>
        <v>84165</v>
      </c>
      <c r="H309" s="8">
        <f>'MKT DATA'!L1667</f>
        <v>86146</v>
      </c>
      <c r="I309" s="13">
        <f>'MKT DATA'!M1667</f>
        <v>1</v>
      </c>
      <c r="J309" s="43" t="str">
        <f t="shared" si="10"/>
        <v>syn BTCF7/BTCZ6/BTCH7/BTCX6/BTCV6/BTCG7</v>
      </c>
      <c r="K309" s="8">
        <f>'MKT DATA'!O1667</f>
        <v>0</v>
      </c>
      <c r="L309" s="8">
        <f>'MKT DATA'!P1667</f>
        <v>84165</v>
      </c>
      <c r="M309" s="8">
        <f>'MKT DATA'!Q1667</f>
        <v>0</v>
      </c>
      <c r="N309" s="8">
        <f>'MKT DATA'!R1667</f>
        <v>0</v>
      </c>
      <c r="O309" s="8">
        <f>'MKT DATA'!S1667</f>
        <v>-86146</v>
      </c>
      <c r="P309" s="8">
        <f>'MKT DATA'!T1667</f>
        <v>0</v>
      </c>
      <c r="Q309" s="43" t="str">
        <f t="shared" si="11"/>
        <v>syn BTCF7/BTCZ6/BTCH7/BTCX6/BTCV6/BTCG7</v>
      </c>
      <c r="R309" s="13">
        <f>'MKT DATA'!AB1667</f>
        <v>0</v>
      </c>
    </row>
    <row r="310" spans="5:18" x14ac:dyDescent="0.25">
      <c r="E310" s="43" t="str">
        <f>'MKT DATA'!B1668</f>
        <v>syn BTCF7/BTCH7/BTCV6/BTCX6/BTCZ6/BTCG7</v>
      </c>
      <c r="F310" s="13">
        <f>'MKT DATA'!J1668</f>
        <v>1</v>
      </c>
      <c r="G310" s="8">
        <f>'MKT DATA'!K1668</f>
        <v>83896</v>
      </c>
      <c r="H310" s="8">
        <f>'MKT DATA'!L1668</f>
        <v>86232</v>
      </c>
      <c r="I310" s="13">
        <f>'MKT DATA'!M1668</f>
        <v>1</v>
      </c>
      <c r="J310" s="43" t="str">
        <f t="shared" si="10"/>
        <v>syn BTCF7/BTCH7/BTCV6/BTCX6/BTCZ6/BTCG7</v>
      </c>
      <c r="K310" s="8">
        <f>'MKT DATA'!O1668</f>
        <v>0</v>
      </c>
      <c r="L310" s="8">
        <f>'MKT DATA'!P1668</f>
        <v>83896</v>
      </c>
      <c r="M310" s="8">
        <f>'MKT DATA'!Q1668</f>
        <v>0</v>
      </c>
      <c r="N310" s="8">
        <f>'MKT DATA'!R1668</f>
        <v>0</v>
      </c>
      <c r="O310" s="8">
        <f>'MKT DATA'!S1668</f>
        <v>-86232</v>
      </c>
      <c r="P310" s="8">
        <f>'MKT DATA'!T1668</f>
        <v>0</v>
      </c>
      <c r="Q310" s="43" t="str">
        <f t="shared" si="11"/>
        <v>syn BTCF7/BTCH7/BTCV6/BTCX6/BTCZ6/BTCG7</v>
      </c>
      <c r="R310" s="13">
        <f>'MKT DATA'!AB1668</f>
        <v>0</v>
      </c>
    </row>
    <row r="311" spans="5:18" x14ac:dyDescent="0.25">
      <c r="E311" s="43" t="str">
        <f>'MKT DATA'!B1669</f>
        <v>syn BTCF7/BTCH7/BTCV6/BTCZ6/BTCX6/BTCG7</v>
      </c>
      <c r="F311" s="13">
        <f>'MKT DATA'!J1669</f>
        <v>1</v>
      </c>
      <c r="G311" s="8">
        <f>'MKT DATA'!K1669</f>
        <v>83895</v>
      </c>
      <c r="H311" s="8">
        <f>'MKT DATA'!L1669</f>
        <v>86218</v>
      </c>
      <c r="I311" s="13">
        <f>'MKT DATA'!M1669</f>
        <v>1</v>
      </c>
      <c r="J311" s="43" t="str">
        <f t="shared" si="10"/>
        <v>syn BTCF7/BTCH7/BTCV6/BTCZ6/BTCX6/BTCG7</v>
      </c>
      <c r="K311" s="8">
        <f>'MKT DATA'!O1669</f>
        <v>0</v>
      </c>
      <c r="L311" s="8">
        <f>'MKT DATA'!P1669</f>
        <v>83895</v>
      </c>
      <c r="M311" s="8">
        <f>'MKT DATA'!Q1669</f>
        <v>0</v>
      </c>
      <c r="N311" s="8">
        <f>'MKT DATA'!R1669</f>
        <v>0</v>
      </c>
      <c r="O311" s="8">
        <f>'MKT DATA'!S1669</f>
        <v>-86218</v>
      </c>
      <c r="P311" s="8">
        <f>'MKT DATA'!T1669</f>
        <v>0</v>
      </c>
      <c r="Q311" s="43" t="str">
        <f t="shared" si="11"/>
        <v>syn BTCF7/BTCH7/BTCV6/BTCZ6/BTCX6/BTCG7</v>
      </c>
      <c r="R311" s="13">
        <f>'MKT DATA'!AB1669</f>
        <v>0</v>
      </c>
    </row>
    <row r="312" spans="5:18" x14ac:dyDescent="0.25">
      <c r="E312" s="43" t="str">
        <f>'MKT DATA'!B1670</f>
        <v>syn BTCF7/BTCH7/BTCX6/BTCV6/BTCZ6/BTCG7</v>
      </c>
      <c r="F312" s="13">
        <f>'MKT DATA'!J1670</f>
        <v>1</v>
      </c>
      <c r="G312" s="8">
        <f>'MKT DATA'!K1670</f>
        <v>83880</v>
      </c>
      <c r="H312" s="8">
        <f>'MKT DATA'!L1670</f>
        <v>86255</v>
      </c>
      <c r="I312" s="13">
        <f>'MKT DATA'!M1670</f>
        <v>1</v>
      </c>
      <c r="J312" s="43" t="str">
        <f t="shared" si="10"/>
        <v>syn BTCF7/BTCH7/BTCX6/BTCV6/BTCZ6/BTCG7</v>
      </c>
      <c r="K312" s="8">
        <f>'MKT DATA'!O1670</f>
        <v>0</v>
      </c>
      <c r="L312" s="8">
        <f>'MKT DATA'!P1670</f>
        <v>83880</v>
      </c>
      <c r="M312" s="8">
        <f>'MKT DATA'!Q1670</f>
        <v>0</v>
      </c>
      <c r="N312" s="8">
        <f>'MKT DATA'!R1670</f>
        <v>0</v>
      </c>
      <c r="O312" s="8">
        <f>'MKT DATA'!S1670</f>
        <v>-86255</v>
      </c>
      <c r="P312" s="8">
        <f>'MKT DATA'!T1670</f>
        <v>0</v>
      </c>
      <c r="Q312" s="43" t="str">
        <f t="shared" si="11"/>
        <v>syn BTCF7/BTCH7/BTCX6/BTCV6/BTCZ6/BTCG7</v>
      </c>
      <c r="R312" s="13">
        <f>'MKT DATA'!AB1670</f>
        <v>0</v>
      </c>
    </row>
    <row r="313" spans="5:18" x14ac:dyDescent="0.25">
      <c r="E313" s="43" t="str">
        <f>'MKT DATA'!B1671</f>
        <v>syn BTCF7/BTCH7/BTCX6/BTCZ6/BTCV6/BTCG7</v>
      </c>
      <c r="F313" s="13">
        <f>'MKT DATA'!J1671</f>
        <v>1</v>
      </c>
      <c r="G313" s="8">
        <f>'MKT DATA'!K1671</f>
        <v>83902</v>
      </c>
      <c r="H313" s="8">
        <f>'MKT DATA'!L1671</f>
        <v>86225</v>
      </c>
      <c r="I313" s="13">
        <f>'MKT DATA'!M1671</f>
        <v>1</v>
      </c>
      <c r="J313" s="43" t="str">
        <f t="shared" si="10"/>
        <v>syn BTCF7/BTCH7/BTCX6/BTCZ6/BTCV6/BTCG7</v>
      </c>
      <c r="K313" s="8">
        <f>'MKT DATA'!O1671</f>
        <v>0</v>
      </c>
      <c r="L313" s="8">
        <f>'MKT DATA'!P1671</f>
        <v>83902</v>
      </c>
      <c r="M313" s="8">
        <f>'MKT DATA'!Q1671</f>
        <v>0</v>
      </c>
      <c r="N313" s="8">
        <f>'MKT DATA'!R1671</f>
        <v>0</v>
      </c>
      <c r="O313" s="8">
        <f>'MKT DATA'!S1671</f>
        <v>-86225</v>
      </c>
      <c r="P313" s="8">
        <f>'MKT DATA'!T1671</f>
        <v>0</v>
      </c>
      <c r="Q313" s="43" t="str">
        <f t="shared" si="11"/>
        <v>syn BTCF7/BTCH7/BTCX6/BTCZ6/BTCV6/BTCG7</v>
      </c>
      <c r="R313" s="13">
        <f>'MKT DATA'!AB1671</f>
        <v>0</v>
      </c>
    </row>
    <row r="314" spans="5:18" x14ac:dyDescent="0.25">
      <c r="E314" s="43" t="str">
        <f>'MKT DATA'!B1672</f>
        <v>syn BTCF7/BTCH7/BTCZ6/BTCV6/BTCX6/BTCG7</v>
      </c>
      <c r="F314" s="13">
        <f>'MKT DATA'!J1672</f>
        <v>1</v>
      </c>
      <c r="G314" s="8">
        <f>'MKT DATA'!K1672</f>
        <v>83895</v>
      </c>
      <c r="H314" s="8">
        <f>'MKT DATA'!L1672</f>
        <v>86030</v>
      </c>
      <c r="I314" s="13">
        <f>'MKT DATA'!M1672</f>
        <v>1</v>
      </c>
      <c r="J314" s="43" t="str">
        <f t="shared" si="10"/>
        <v>syn BTCF7/BTCH7/BTCZ6/BTCV6/BTCX6/BTCG7</v>
      </c>
      <c r="K314" s="8">
        <f>'MKT DATA'!O1672</f>
        <v>0</v>
      </c>
      <c r="L314" s="8">
        <f>'MKT DATA'!P1672</f>
        <v>83895</v>
      </c>
      <c r="M314" s="8">
        <f>'MKT DATA'!Q1672</f>
        <v>0</v>
      </c>
      <c r="N314" s="8">
        <f>'MKT DATA'!R1672</f>
        <v>0</v>
      </c>
      <c r="O314" s="8">
        <f>'MKT DATA'!S1672</f>
        <v>-86030</v>
      </c>
      <c r="P314" s="8">
        <f>'MKT DATA'!T1672</f>
        <v>0</v>
      </c>
      <c r="Q314" s="43" t="str">
        <f t="shared" si="11"/>
        <v>syn BTCF7/BTCH7/BTCZ6/BTCV6/BTCX6/BTCG7</v>
      </c>
      <c r="R314" s="13">
        <f>'MKT DATA'!AB1672</f>
        <v>0</v>
      </c>
    </row>
    <row r="315" spans="5:18" x14ac:dyDescent="0.25">
      <c r="E315" s="43" t="str">
        <f>'MKT DATA'!B1673</f>
        <v>syn BTCF7/BTCH7/BTCZ6/BTCX6/BTCV6/BTCG7</v>
      </c>
      <c r="F315" s="13">
        <f>'MKT DATA'!J1673</f>
        <v>1</v>
      </c>
      <c r="G315" s="8">
        <f>'MKT DATA'!K1673</f>
        <v>83918</v>
      </c>
      <c r="H315" s="8">
        <f>'MKT DATA'!L1673</f>
        <v>86014</v>
      </c>
      <c r="I315" s="13">
        <f>'MKT DATA'!M1673</f>
        <v>1</v>
      </c>
      <c r="J315" s="43" t="str">
        <f t="shared" si="10"/>
        <v>syn BTCF7/BTCH7/BTCZ6/BTCX6/BTCV6/BTCG7</v>
      </c>
      <c r="K315" s="8">
        <f>'MKT DATA'!O1673</f>
        <v>0</v>
      </c>
      <c r="L315" s="8">
        <f>'MKT DATA'!P1673</f>
        <v>83918</v>
      </c>
      <c r="M315" s="8">
        <f>'MKT DATA'!Q1673</f>
        <v>0</v>
      </c>
      <c r="N315" s="8">
        <f>'MKT DATA'!R1673</f>
        <v>0</v>
      </c>
      <c r="O315" s="8">
        <f>'MKT DATA'!S1673</f>
        <v>-86014</v>
      </c>
      <c r="P315" s="8">
        <f>'MKT DATA'!T1673</f>
        <v>0</v>
      </c>
      <c r="Q315" s="43" t="str">
        <f t="shared" si="11"/>
        <v>syn BTCF7/BTCH7/BTCZ6/BTCX6/BTCV6/BTCG7</v>
      </c>
      <c r="R315" s="13">
        <f>'MKT DATA'!AB1673</f>
        <v>0</v>
      </c>
    </row>
    <row r="316" spans="5:18" x14ac:dyDescent="0.25">
      <c r="E316" s="43" t="str">
        <f>'MKT DATA'!B1674</f>
        <v>syn BTCH7/BTCV6/BTCX6/BTCZ6/BTCF7/BTCG7</v>
      </c>
      <c r="F316" s="13">
        <f>'MKT DATA'!J1674</f>
        <v>1</v>
      </c>
      <c r="G316" s="8">
        <f>'MKT DATA'!K1674</f>
        <v>84187</v>
      </c>
      <c r="H316" s="8">
        <f>'MKT DATA'!L1674</f>
        <v>85921</v>
      </c>
      <c r="I316" s="13">
        <f>'MKT DATA'!M1674</f>
        <v>1</v>
      </c>
      <c r="J316" s="43" t="str">
        <f t="shared" si="10"/>
        <v>syn BTCH7/BTCV6/BTCX6/BTCZ6/BTCF7/BTCG7</v>
      </c>
      <c r="K316" s="8">
        <f>'MKT DATA'!O1674</f>
        <v>0</v>
      </c>
      <c r="L316" s="8">
        <f>'MKT DATA'!P1674</f>
        <v>84187</v>
      </c>
      <c r="M316" s="8">
        <f>'MKT DATA'!Q1674</f>
        <v>0</v>
      </c>
      <c r="N316" s="8">
        <f>'MKT DATA'!R1674</f>
        <v>0</v>
      </c>
      <c r="O316" s="8">
        <f>'MKT DATA'!S1674</f>
        <v>-85921</v>
      </c>
      <c r="P316" s="8">
        <f>'MKT DATA'!T1674</f>
        <v>0</v>
      </c>
      <c r="Q316" s="43" t="str">
        <f t="shared" si="11"/>
        <v>syn BTCH7/BTCV6/BTCX6/BTCZ6/BTCF7/BTCG7</v>
      </c>
      <c r="R316" s="13">
        <f>'MKT DATA'!AB1674</f>
        <v>0</v>
      </c>
    </row>
    <row r="317" spans="5:18" x14ac:dyDescent="0.25">
      <c r="E317" s="43" t="str">
        <f>'MKT DATA'!B1675</f>
        <v>syn BTCH7/BTCV6/BTCX6/BTCF7/BTCZ6/BTCG7</v>
      </c>
      <c r="F317" s="13">
        <f>'MKT DATA'!J1675</f>
        <v>1</v>
      </c>
      <c r="G317" s="8">
        <f>'MKT DATA'!K1675</f>
        <v>84004</v>
      </c>
      <c r="H317" s="8">
        <f>'MKT DATA'!L1675</f>
        <v>86093</v>
      </c>
      <c r="I317" s="13">
        <f>'MKT DATA'!M1675</f>
        <v>1</v>
      </c>
      <c r="J317" s="43" t="str">
        <f t="shared" si="10"/>
        <v>syn BTCH7/BTCV6/BTCX6/BTCF7/BTCZ6/BTCG7</v>
      </c>
      <c r="K317" s="8">
        <f>'MKT DATA'!O1675</f>
        <v>0</v>
      </c>
      <c r="L317" s="8">
        <f>'MKT DATA'!P1675</f>
        <v>84004</v>
      </c>
      <c r="M317" s="8">
        <f>'MKT DATA'!Q1675</f>
        <v>0</v>
      </c>
      <c r="N317" s="8">
        <f>'MKT DATA'!R1675</f>
        <v>0</v>
      </c>
      <c r="O317" s="8">
        <f>'MKT DATA'!S1675</f>
        <v>-86093</v>
      </c>
      <c r="P317" s="8">
        <f>'MKT DATA'!T1675</f>
        <v>0</v>
      </c>
      <c r="Q317" s="43" t="str">
        <f t="shared" si="11"/>
        <v>syn BTCH7/BTCV6/BTCX6/BTCF7/BTCZ6/BTCG7</v>
      </c>
      <c r="R317" s="13">
        <f>'MKT DATA'!AB1675</f>
        <v>0</v>
      </c>
    </row>
    <row r="318" spans="5:18" x14ac:dyDescent="0.25">
      <c r="E318" s="43" t="str">
        <f>'MKT DATA'!B1676</f>
        <v>syn BTCH7/BTCV6/BTCZ6/BTCX6/BTCF7/BTCG7</v>
      </c>
      <c r="F318" s="13">
        <f>'MKT DATA'!J1676</f>
        <v>1</v>
      </c>
      <c r="G318" s="8">
        <f>'MKT DATA'!K1676</f>
        <v>84120</v>
      </c>
      <c r="H318" s="8">
        <f>'MKT DATA'!L1676</f>
        <v>85957</v>
      </c>
      <c r="I318" s="13">
        <f>'MKT DATA'!M1676</f>
        <v>1</v>
      </c>
      <c r="J318" s="43" t="str">
        <f t="shared" si="10"/>
        <v>syn BTCH7/BTCV6/BTCZ6/BTCX6/BTCF7/BTCG7</v>
      </c>
      <c r="K318" s="8">
        <f>'MKT DATA'!O1676</f>
        <v>0</v>
      </c>
      <c r="L318" s="8">
        <f>'MKT DATA'!P1676</f>
        <v>84120</v>
      </c>
      <c r="M318" s="8">
        <f>'MKT DATA'!Q1676</f>
        <v>0</v>
      </c>
      <c r="N318" s="8">
        <f>'MKT DATA'!R1676</f>
        <v>0</v>
      </c>
      <c r="O318" s="8">
        <f>'MKT DATA'!S1676</f>
        <v>-85957</v>
      </c>
      <c r="P318" s="8">
        <f>'MKT DATA'!T1676</f>
        <v>0</v>
      </c>
      <c r="Q318" s="43" t="str">
        <f t="shared" si="11"/>
        <v>syn BTCH7/BTCV6/BTCZ6/BTCX6/BTCF7/BTCG7</v>
      </c>
      <c r="R318" s="13">
        <f>'MKT DATA'!AB1676</f>
        <v>0</v>
      </c>
    </row>
    <row r="319" spans="5:18" x14ac:dyDescent="0.25">
      <c r="E319" s="43" t="str">
        <f>'MKT DATA'!B1677</f>
        <v>syn BTCH7/BTCV6/BTCZ6/BTCF7/BTCX6/BTCG7</v>
      </c>
      <c r="F319" s="13">
        <f>'MKT DATA'!J1677</f>
        <v>1</v>
      </c>
      <c r="G319" s="8">
        <f>'MKT DATA'!K1677</f>
        <v>84034</v>
      </c>
      <c r="H319" s="8">
        <f>'MKT DATA'!L1677</f>
        <v>86110</v>
      </c>
      <c r="I319" s="13">
        <f>'MKT DATA'!M1677</f>
        <v>1</v>
      </c>
      <c r="J319" s="43" t="str">
        <f t="shared" si="10"/>
        <v>syn BTCH7/BTCV6/BTCZ6/BTCF7/BTCX6/BTCG7</v>
      </c>
      <c r="K319" s="8">
        <f>'MKT DATA'!O1677</f>
        <v>0</v>
      </c>
      <c r="L319" s="8">
        <f>'MKT DATA'!P1677</f>
        <v>84034</v>
      </c>
      <c r="M319" s="8">
        <f>'MKT DATA'!Q1677</f>
        <v>0</v>
      </c>
      <c r="N319" s="8">
        <f>'MKT DATA'!R1677</f>
        <v>0</v>
      </c>
      <c r="O319" s="8">
        <f>'MKT DATA'!S1677</f>
        <v>-86110</v>
      </c>
      <c r="P319" s="8">
        <f>'MKT DATA'!T1677</f>
        <v>0</v>
      </c>
      <c r="Q319" s="43" t="str">
        <f t="shared" si="11"/>
        <v>syn BTCH7/BTCV6/BTCZ6/BTCF7/BTCX6/BTCG7</v>
      </c>
      <c r="R319" s="13">
        <f>'MKT DATA'!AB1677</f>
        <v>0</v>
      </c>
    </row>
    <row r="320" spans="5:18" x14ac:dyDescent="0.25">
      <c r="E320" s="43" t="str">
        <f>'MKT DATA'!B1678</f>
        <v>syn BTCH7/BTCV6/BTCF7/BTCX6/BTCZ6/BTCG7</v>
      </c>
      <c r="F320" s="13">
        <f>'MKT DATA'!J1678</f>
        <v>1</v>
      </c>
      <c r="G320" s="8">
        <f>'MKT DATA'!K1678</f>
        <v>83951</v>
      </c>
      <c r="H320" s="8">
        <f>'MKT DATA'!L1678</f>
        <v>86174</v>
      </c>
      <c r="I320" s="13">
        <f>'MKT DATA'!M1678</f>
        <v>1</v>
      </c>
      <c r="J320" s="43" t="str">
        <f t="shared" si="10"/>
        <v>syn BTCH7/BTCV6/BTCF7/BTCX6/BTCZ6/BTCG7</v>
      </c>
      <c r="K320" s="8">
        <f>'MKT DATA'!O1678</f>
        <v>0</v>
      </c>
      <c r="L320" s="8">
        <f>'MKT DATA'!P1678</f>
        <v>83951</v>
      </c>
      <c r="M320" s="8">
        <f>'MKT DATA'!Q1678</f>
        <v>0</v>
      </c>
      <c r="N320" s="8">
        <f>'MKT DATA'!R1678</f>
        <v>0</v>
      </c>
      <c r="O320" s="8">
        <f>'MKT DATA'!S1678</f>
        <v>-86174</v>
      </c>
      <c r="P320" s="8">
        <f>'MKT DATA'!T1678</f>
        <v>0</v>
      </c>
      <c r="Q320" s="43" t="str">
        <f t="shared" si="11"/>
        <v>syn BTCH7/BTCV6/BTCF7/BTCX6/BTCZ6/BTCG7</v>
      </c>
      <c r="R320" s="13">
        <f>'MKT DATA'!AB1678</f>
        <v>0</v>
      </c>
    </row>
    <row r="321" spans="5:18" x14ac:dyDescent="0.25">
      <c r="E321" s="43" t="str">
        <f>'MKT DATA'!B1679</f>
        <v>syn BTCH7/BTCV6/BTCF7/BTCZ6/BTCX6/BTCG7</v>
      </c>
      <c r="F321" s="13">
        <f>'MKT DATA'!J1679</f>
        <v>1</v>
      </c>
      <c r="G321" s="8">
        <f>'MKT DATA'!K1679</f>
        <v>83986</v>
      </c>
      <c r="H321" s="8">
        <f>'MKT DATA'!L1679</f>
        <v>86093</v>
      </c>
      <c r="I321" s="13">
        <f>'MKT DATA'!M1679</f>
        <v>1</v>
      </c>
      <c r="J321" s="43" t="str">
        <f t="shared" si="10"/>
        <v>syn BTCH7/BTCV6/BTCF7/BTCZ6/BTCX6/BTCG7</v>
      </c>
      <c r="K321" s="8">
        <f>'MKT DATA'!O1679</f>
        <v>0</v>
      </c>
      <c r="L321" s="8">
        <f>'MKT DATA'!P1679</f>
        <v>83986</v>
      </c>
      <c r="M321" s="8">
        <f>'MKT DATA'!Q1679</f>
        <v>0</v>
      </c>
      <c r="N321" s="8">
        <f>'MKT DATA'!R1679</f>
        <v>0</v>
      </c>
      <c r="O321" s="8">
        <f>'MKT DATA'!S1679</f>
        <v>-86093</v>
      </c>
      <c r="P321" s="8">
        <f>'MKT DATA'!T1679</f>
        <v>0</v>
      </c>
      <c r="Q321" s="43" t="str">
        <f t="shared" si="11"/>
        <v>syn BTCH7/BTCV6/BTCF7/BTCZ6/BTCX6/BTCG7</v>
      </c>
      <c r="R321" s="13">
        <f>'MKT DATA'!AB1679</f>
        <v>0</v>
      </c>
    </row>
    <row r="322" spans="5:18" x14ac:dyDescent="0.25">
      <c r="E322" s="43" t="str">
        <f>'MKT DATA'!B1680</f>
        <v>syn BTCH7/BTCX6/BTCV6/BTCZ6/BTCF7/BTCG7</v>
      </c>
      <c r="F322" s="13">
        <f>'MKT DATA'!J1680</f>
        <v>1</v>
      </c>
      <c r="G322" s="8">
        <f>'MKT DATA'!K1680</f>
        <v>84171</v>
      </c>
      <c r="H322" s="8">
        <f>'MKT DATA'!L1680</f>
        <v>85944</v>
      </c>
      <c r="I322" s="13">
        <f>'MKT DATA'!M1680</f>
        <v>1</v>
      </c>
      <c r="J322" s="43" t="str">
        <f t="shared" si="10"/>
        <v>syn BTCH7/BTCX6/BTCV6/BTCZ6/BTCF7/BTCG7</v>
      </c>
      <c r="K322" s="8">
        <f>'MKT DATA'!O1680</f>
        <v>0</v>
      </c>
      <c r="L322" s="8">
        <f>'MKT DATA'!P1680</f>
        <v>84171</v>
      </c>
      <c r="M322" s="8">
        <f>'MKT DATA'!Q1680</f>
        <v>0</v>
      </c>
      <c r="N322" s="8">
        <f>'MKT DATA'!R1680</f>
        <v>0</v>
      </c>
      <c r="O322" s="8">
        <f>'MKT DATA'!S1680</f>
        <v>-85944</v>
      </c>
      <c r="P322" s="8">
        <f>'MKT DATA'!T1680</f>
        <v>0</v>
      </c>
      <c r="Q322" s="43" t="str">
        <f t="shared" si="11"/>
        <v>syn BTCH7/BTCX6/BTCV6/BTCZ6/BTCF7/BTCG7</v>
      </c>
      <c r="R322" s="13">
        <f>'MKT DATA'!AB1680</f>
        <v>0</v>
      </c>
    </row>
    <row r="323" spans="5:18" x14ac:dyDescent="0.25">
      <c r="E323" s="43" t="str">
        <f>'MKT DATA'!B1681</f>
        <v>syn BTCH7/BTCX6/BTCV6/BTCF7/BTCZ6/BTCG7</v>
      </c>
      <c r="F323" s="13">
        <f>'MKT DATA'!J1681</f>
        <v>1</v>
      </c>
      <c r="G323" s="8">
        <f>'MKT DATA'!K1681</f>
        <v>83971</v>
      </c>
      <c r="H323" s="8">
        <f>'MKT DATA'!L1681</f>
        <v>86130</v>
      </c>
      <c r="I323" s="13">
        <f>'MKT DATA'!M1681</f>
        <v>1</v>
      </c>
      <c r="J323" s="43" t="str">
        <f t="shared" si="10"/>
        <v>syn BTCH7/BTCX6/BTCV6/BTCF7/BTCZ6/BTCG7</v>
      </c>
      <c r="K323" s="8">
        <f>'MKT DATA'!O1681</f>
        <v>0</v>
      </c>
      <c r="L323" s="8">
        <f>'MKT DATA'!P1681</f>
        <v>83971</v>
      </c>
      <c r="M323" s="8">
        <f>'MKT DATA'!Q1681</f>
        <v>0</v>
      </c>
      <c r="N323" s="8">
        <f>'MKT DATA'!R1681</f>
        <v>0</v>
      </c>
      <c r="O323" s="8">
        <f>'MKT DATA'!S1681</f>
        <v>-86130</v>
      </c>
      <c r="P323" s="8">
        <f>'MKT DATA'!T1681</f>
        <v>0</v>
      </c>
      <c r="Q323" s="43" t="str">
        <f t="shared" si="11"/>
        <v>syn BTCH7/BTCX6/BTCV6/BTCF7/BTCZ6/BTCG7</v>
      </c>
      <c r="R323" s="13">
        <f>'MKT DATA'!AB1681</f>
        <v>0</v>
      </c>
    </row>
    <row r="324" spans="5:18" x14ac:dyDescent="0.25">
      <c r="E324" s="43" t="str">
        <f>'MKT DATA'!B1682</f>
        <v>syn BTCH7/BTCX6/BTCZ6/BTCV6/BTCF7/BTCG7</v>
      </c>
      <c r="F324" s="13">
        <f>'MKT DATA'!J1682</f>
        <v>1</v>
      </c>
      <c r="G324" s="8">
        <f>'MKT DATA'!K1682</f>
        <v>84087</v>
      </c>
      <c r="H324" s="8">
        <f>'MKT DATA'!L1682</f>
        <v>85994</v>
      </c>
      <c r="I324" s="13">
        <f>'MKT DATA'!M1682</f>
        <v>1</v>
      </c>
      <c r="J324" s="43" t="str">
        <f t="shared" si="10"/>
        <v>syn BTCH7/BTCX6/BTCZ6/BTCV6/BTCF7/BTCG7</v>
      </c>
      <c r="K324" s="8">
        <f>'MKT DATA'!O1682</f>
        <v>0</v>
      </c>
      <c r="L324" s="8">
        <f>'MKT DATA'!P1682</f>
        <v>84087</v>
      </c>
      <c r="M324" s="8">
        <f>'MKT DATA'!Q1682</f>
        <v>0</v>
      </c>
      <c r="N324" s="8">
        <f>'MKT DATA'!R1682</f>
        <v>0</v>
      </c>
      <c r="O324" s="8">
        <f>'MKT DATA'!S1682</f>
        <v>-85994</v>
      </c>
      <c r="P324" s="8">
        <f>'MKT DATA'!T1682</f>
        <v>0</v>
      </c>
      <c r="Q324" s="43" t="str">
        <f t="shared" si="11"/>
        <v>syn BTCH7/BTCX6/BTCZ6/BTCV6/BTCF7/BTCG7</v>
      </c>
      <c r="R324" s="13">
        <f>'MKT DATA'!AB1682</f>
        <v>0</v>
      </c>
    </row>
    <row r="325" spans="5:18" x14ac:dyDescent="0.25">
      <c r="E325" s="43" t="str">
        <f>'MKT DATA'!B1683</f>
        <v>syn BTCH7/BTCX6/BTCZ6/BTCF7/BTCV6/BTCG7</v>
      </c>
      <c r="F325" s="13">
        <f>'MKT DATA'!J1683</f>
        <v>1</v>
      </c>
      <c r="G325" s="8">
        <f>'MKT DATA'!K1683</f>
        <v>84027</v>
      </c>
      <c r="H325" s="8">
        <f>'MKT DATA'!L1683</f>
        <v>86134</v>
      </c>
      <c r="I325" s="13">
        <f>'MKT DATA'!M1683</f>
        <v>1</v>
      </c>
      <c r="J325" s="43" t="str">
        <f t="shared" si="10"/>
        <v>syn BTCH7/BTCX6/BTCZ6/BTCF7/BTCV6/BTCG7</v>
      </c>
      <c r="K325" s="8">
        <f>'MKT DATA'!O1683</f>
        <v>0</v>
      </c>
      <c r="L325" s="8">
        <f>'MKT DATA'!P1683</f>
        <v>84027</v>
      </c>
      <c r="M325" s="8">
        <f>'MKT DATA'!Q1683</f>
        <v>0</v>
      </c>
      <c r="N325" s="8">
        <f>'MKT DATA'!R1683</f>
        <v>0</v>
      </c>
      <c r="O325" s="8">
        <f>'MKT DATA'!S1683</f>
        <v>-86134</v>
      </c>
      <c r="P325" s="8">
        <f>'MKT DATA'!T1683</f>
        <v>0</v>
      </c>
      <c r="Q325" s="43" t="str">
        <f t="shared" si="11"/>
        <v>syn BTCH7/BTCX6/BTCZ6/BTCF7/BTCV6/BTCG7</v>
      </c>
      <c r="R325" s="13">
        <f>'MKT DATA'!AB1683</f>
        <v>0</v>
      </c>
    </row>
    <row r="326" spans="5:18" x14ac:dyDescent="0.25">
      <c r="E326" s="43" t="str">
        <f>'MKT DATA'!B1684</f>
        <v>syn BTCH7/BTCX6/BTCF7/BTCV6/BTCZ6/BTCG7</v>
      </c>
      <c r="F326" s="13">
        <f>'MKT DATA'!J1684</f>
        <v>1</v>
      </c>
      <c r="G326" s="8">
        <f>'MKT DATA'!K1684</f>
        <v>83938</v>
      </c>
      <c r="H326" s="8">
        <f>'MKT DATA'!L1684</f>
        <v>86200</v>
      </c>
      <c r="I326" s="13">
        <f>'MKT DATA'!M1684</f>
        <v>1</v>
      </c>
      <c r="J326" s="43" t="str">
        <f t="shared" si="10"/>
        <v>syn BTCH7/BTCX6/BTCF7/BTCV6/BTCZ6/BTCG7</v>
      </c>
      <c r="K326" s="8">
        <f>'MKT DATA'!O1684</f>
        <v>0</v>
      </c>
      <c r="L326" s="8">
        <f>'MKT DATA'!P1684</f>
        <v>83938</v>
      </c>
      <c r="M326" s="8">
        <f>'MKT DATA'!Q1684</f>
        <v>0</v>
      </c>
      <c r="N326" s="8">
        <f>'MKT DATA'!R1684</f>
        <v>0</v>
      </c>
      <c r="O326" s="8">
        <f>'MKT DATA'!S1684</f>
        <v>-86200</v>
      </c>
      <c r="P326" s="8">
        <f>'MKT DATA'!T1684</f>
        <v>0</v>
      </c>
      <c r="Q326" s="43" t="str">
        <f t="shared" si="11"/>
        <v>syn BTCH7/BTCX6/BTCF7/BTCV6/BTCZ6/BTCG7</v>
      </c>
      <c r="R326" s="13">
        <f>'MKT DATA'!AB1684</f>
        <v>0</v>
      </c>
    </row>
    <row r="327" spans="5:18" x14ac:dyDescent="0.25">
      <c r="E327" s="43" t="str">
        <f>'MKT DATA'!B1685</f>
        <v>syn BTCH7/BTCX6/BTCF7/BTCZ6/BTCV6/BTCG7</v>
      </c>
      <c r="F327" s="13">
        <f>'MKT DATA'!J1685</f>
        <v>1</v>
      </c>
      <c r="G327" s="8">
        <f>'MKT DATA'!K1685</f>
        <v>84010</v>
      </c>
      <c r="H327" s="8">
        <f>'MKT DATA'!L1685</f>
        <v>86086</v>
      </c>
      <c r="I327" s="13">
        <f>'MKT DATA'!M1685</f>
        <v>1</v>
      </c>
      <c r="J327" s="43" t="str">
        <f t="shared" si="10"/>
        <v>syn BTCH7/BTCX6/BTCF7/BTCZ6/BTCV6/BTCG7</v>
      </c>
      <c r="K327" s="8">
        <f>'MKT DATA'!O1685</f>
        <v>0</v>
      </c>
      <c r="L327" s="8">
        <f>'MKT DATA'!P1685</f>
        <v>84010</v>
      </c>
      <c r="M327" s="8">
        <f>'MKT DATA'!Q1685</f>
        <v>0</v>
      </c>
      <c r="N327" s="8">
        <f>'MKT DATA'!R1685</f>
        <v>0</v>
      </c>
      <c r="O327" s="8">
        <f>'MKT DATA'!S1685</f>
        <v>-86086</v>
      </c>
      <c r="P327" s="8">
        <f>'MKT DATA'!T1685</f>
        <v>0</v>
      </c>
      <c r="Q327" s="43" t="str">
        <f t="shared" si="11"/>
        <v>syn BTCH7/BTCX6/BTCF7/BTCZ6/BTCV6/BTCG7</v>
      </c>
      <c r="R327" s="13">
        <f>'MKT DATA'!AB1685</f>
        <v>0</v>
      </c>
    </row>
    <row r="328" spans="5:18" x14ac:dyDescent="0.25">
      <c r="E328" s="43" t="str">
        <f>'MKT DATA'!B1686</f>
        <v>syn BTCH7/BTCZ6/BTCV6/BTCX6/BTCF7/BTCG7</v>
      </c>
      <c r="F328" s="13">
        <f>'MKT DATA'!J1686</f>
        <v>1</v>
      </c>
      <c r="G328" s="8">
        <f>'MKT DATA'!K1686</f>
        <v>84120</v>
      </c>
      <c r="H328" s="8">
        <f>'MKT DATA'!L1686</f>
        <v>85769</v>
      </c>
      <c r="I328" s="13">
        <f>'MKT DATA'!M1686</f>
        <v>1</v>
      </c>
      <c r="J328" s="43" t="str">
        <f t="shared" si="10"/>
        <v>syn BTCH7/BTCZ6/BTCV6/BTCX6/BTCF7/BTCG7</v>
      </c>
      <c r="K328" s="8">
        <f>'MKT DATA'!O1686</f>
        <v>0</v>
      </c>
      <c r="L328" s="8">
        <f>'MKT DATA'!P1686</f>
        <v>84120</v>
      </c>
      <c r="M328" s="8">
        <f>'MKT DATA'!Q1686</f>
        <v>0</v>
      </c>
      <c r="N328" s="8">
        <f>'MKT DATA'!R1686</f>
        <v>0</v>
      </c>
      <c r="O328" s="8">
        <f>'MKT DATA'!S1686</f>
        <v>-85769</v>
      </c>
      <c r="P328" s="8">
        <f>'MKT DATA'!T1686</f>
        <v>0</v>
      </c>
      <c r="Q328" s="43" t="str">
        <f t="shared" si="11"/>
        <v>syn BTCH7/BTCZ6/BTCV6/BTCX6/BTCF7/BTCG7</v>
      </c>
      <c r="R328" s="13">
        <f>'MKT DATA'!AB1686</f>
        <v>0</v>
      </c>
    </row>
    <row r="329" spans="5:18" x14ac:dyDescent="0.25">
      <c r="E329" s="43" t="str">
        <f>'MKT DATA'!B1687</f>
        <v>syn BTCH7/BTCZ6/BTCV6/BTCF7/BTCX6/BTCG7</v>
      </c>
      <c r="F329" s="13">
        <f>'MKT DATA'!J1687</f>
        <v>1</v>
      </c>
      <c r="G329" s="8">
        <f>'MKT DATA'!K1687</f>
        <v>83950</v>
      </c>
      <c r="H329" s="8">
        <f>'MKT DATA'!L1687</f>
        <v>85972</v>
      </c>
      <c r="I329" s="13">
        <f>'MKT DATA'!M1687</f>
        <v>1</v>
      </c>
      <c r="J329" s="43" t="str">
        <f t="shared" si="10"/>
        <v>syn BTCH7/BTCZ6/BTCV6/BTCF7/BTCX6/BTCG7</v>
      </c>
      <c r="K329" s="8">
        <f>'MKT DATA'!O1687</f>
        <v>0</v>
      </c>
      <c r="L329" s="8">
        <f>'MKT DATA'!P1687</f>
        <v>83950</v>
      </c>
      <c r="M329" s="8">
        <f>'MKT DATA'!Q1687</f>
        <v>0</v>
      </c>
      <c r="N329" s="8">
        <f>'MKT DATA'!R1687</f>
        <v>0</v>
      </c>
      <c r="O329" s="8">
        <f>'MKT DATA'!S1687</f>
        <v>-85972</v>
      </c>
      <c r="P329" s="8">
        <f>'MKT DATA'!T1687</f>
        <v>0</v>
      </c>
      <c r="Q329" s="43" t="str">
        <f t="shared" si="11"/>
        <v>syn BTCH7/BTCZ6/BTCV6/BTCF7/BTCX6/BTCG7</v>
      </c>
      <c r="R329" s="13">
        <f>'MKT DATA'!AB1687</f>
        <v>0</v>
      </c>
    </row>
    <row r="330" spans="5:18" x14ac:dyDescent="0.25">
      <c r="E330" s="43" t="str">
        <f>'MKT DATA'!B1688</f>
        <v>syn BTCH7/BTCZ6/BTCX6/BTCV6/BTCF7/BTCG7</v>
      </c>
      <c r="F330" s="13">
        <f>'MKT DATA'!J1688</f>
        <v>1</v>
      </c>
      <c r="G330" s="8">
        <f>'MKT DATA'!K1688</f>
        <v>84103</v>
      </c>
      <c r="H330" s="8">
        <f>'MKT DATA'!L1688</f>
        <v>85783</v>
      </c>
      <c r="I330" s="13">
        <f>'MKT DATA'!M1688</f>
        <v>1</v>
      </c>
      <c r="J330" s="43" t="str">
        <f t="shared" ref="J330:J333" si="12">E330</f>
        <v>syn BTCH7/BTCZ6/BTCX6/BTCV6/BTCF7/BTCG7</v>
      </c>
      <c r="K330" s="8">
        <f>'MKT DATA'!O1688</f>
        <v>0</v>
      </c>
      <c r="L330" s="8">
        <f>'MKT DATA'!P1688</f>
        <v>84103</v>
      </c>
      <c r="M330" s="8">
        <f>'MKT DATA'!Q1688</f>
        <v>0</v>
      </c>
      <c r="N330" s="8">
        <f>'MKT DATA'!R1688</f>
        <v>0</v>
      </c>
      <c r="O330" s="8">
        <f>'MKT DATA'!S1688</f>
        <v>-85783</v>
      </c>
      <c r="P330" s="8">
        <f>'MKT DATA'!T1688</f>
        <v>0</v>
      </c>
      <c r="Q330" s="43" t="str">
        <f t="shared" ref="Q330:Q333" si="13">J330</f>
        <v>syn BTCH7/BTCZ6/BTCX6/BTCV6/BTCF7/BTCG7</v>
      </c>
      <c r="R330" s="13">
        <f>'MKT DATA'!AB1688</f>
        <v>0</v>
      </c>
    </row>
    <row r="331" spans="5:18" x14ac:dyDescent="0.25">
      <c r="E331" s="43" t="str">
        <f>'MKT DATA'!B1689</f>
        <v>syn BTCH7/BTCZ6/BTCX6/BTCF7/BTCV6/BTCG7</v>
      </c>
      <c r="F331" s="13">
        <f>'MKT DATA'!J1689</f>
        <v>1</v>
      </c>
      <c r="G331" s="8">
        <f>'MKT DATA'!K1689</f>
        <v>83976</v>
      </c>
      <c r="H331" s="8">
        <f>'MKT DATA'!L1689</f>
        <v>85959</v>
      </c>
      <c r="I331" s="13">
        <f>'MKT DATA'!M1689</f>
        <v>1</v>
      </c>
      <c r="J331" s="43" t="str">
        <f t="shared" si="12"/>
        <v>syn BTCH7/BTCZ6/BTCX6/BTCF7/BTCV6/BTCG7</v>
      </c>
      <c r="K331" s="8">
        <f>'MKT DATA'!O1689</f>
        <v>0</v>
      </c>
      <c r="L331" s="8">
        <f>'MKT DATA'!P1689</f>
        <v>83976</v>
      </c>
      <c r="M331" s="8">
        <f>'MKT DATA'!Q1689</f>
        <v>0</v>
      </c>
      <c r="N331" s="8">
        <f>'MKT DATA'!R1689</f>
        <v>0</v>
      </c>
      <c r="O331" s="8">
        <f>'MKT DATA'!S1689</f>
        <v>-85959</v>
      </c>
      <c r="P331" s="8">
        <f>'MKT DATA'!T1689</f>
        <v>0</v>
      </c>
      <c r="Q331" s="43" t="str">
        <f t="shared" si="13"/>
        <v>syn BTCH7/BTCZ6/BTCX6/BTCF7/BTCV6/BTCG7</v>
      </c>
      <c r="R331" s="13">
        <f>'MKT DATA'!AB1689</f>
        <v>0</v>
      </c>
    </row>
    <row r="332" spans="5:18" x14ac:dyDescent="0.25">
      <c r="E332" s="43" t="str">
        <f>'MKT DATA'!B1690</f>
        <v>syn BTCH7/BTCZ6/BTCF7/BTCV6/BTCX6/BTCG7</v>
      </c>
      <c r="F332" s="13">
        <f>'MKT DATA'!J1690</f>
        <v>1</v>
      </c>
      <c r="G332" s="8">
        <f>'MKT DATA'!K1690</f>
        <v>84020</v>
      </c>
      <c r="H332" s="8">
        <f>'MKT DATA'!L1690</f>
        <v>85939</v>
      </c>
      <c r="I332" s="13">
        <f>'MKT DATA'!M1690</f>
        <v>1</v>
      </c>
      <c r="J332" s="43" t="str">
        <f t="shared" si="12"/>
        <v>syn BTCH7/BTCZ6/BTCF7/BTCV6/BTCX6/BTCG7</v>
      </c>
      <c r="K332" s="8">
        <f>'MKT DATA'!O1690</f>
        <v>0</v>
      </c>
      <c r="L332" s="8">
        <f>'MKT DATA'!P1690</f>
        <v>84020</v>
      </c>
      <c r="M332" s="8">
        <f>'MKT DATA'!Q1690</f>
        <v>0</v>
      </c>
      <c r="N332" s="8">
        <f>'MKT DATA'!R1690</f>
        <v>0</v>
      </c>
      <c r="O332" s="8">
        <f>'MKT DATA'!S1690</f>
        <v>-85939</v>
      </c>
      <c r="P332" s="8">
        <f>'MKT DATA'!T1690</f>
        <v>0</v>
      </c>
      <c r="Q332" s="43" t="str">
        <f t="shared" si="13"/>
        <v>syn BTCH7/BTCZ6/BTCF7/BTCV6/BTCX6/BTCG7</v>
      </c>
      <c r="R332" s="13">
        <f>'MKT DATA'!AB1690</f>
        <v>0</v>
      </c>
    </row>
    <row r="333" spans="5:18" x14ac:dyDescent="0.25">
      <c r="E333" s="43" t="str">
        <f>'MKT DATA'!B1691</f>
        <v>syn BTCH7/BTCZ6/BTCF7/BTCX6/BTCV6/BTCG7</v>
      </c>
      <c r="F333" s="13">
        <f>'MKT DATA'!J1691</f>
        <v>1</v>
      </c>
      <c r="G333" s="8">
        <f>'MKT DATA'!K1691</f>
        <v>84057</v>
      </c>
      <c r="H333" s="8">
        <f>'MKT DATA'!L1691</f>
        <v>85906</v>
      </c>
      <c r="I333" s="13">
        <f>'MKT DATA'!M1691</f>
        <v>1</v>
      </c>
      <c r="J333" s="43" t="str">
        <f t="shared" si="12"/>
        <v>syn BTCH7/BTCZ6/BTCF7/BTCX6/BTCV6/BTCG7</v>
      </c>
      <c r="K333" s="8">
        <f>'MKT DATA'!O1691</f>
        <v>0</v>
      </c>
      <c r="L333" s="8">
        <f>'MKT DATA'!P1691</f>
        <v>84057</v>
      </c>
      <c r="M333" s="8">
        <f>'MKT DATA'!Q1691</f>
        <v>0</v>
      </c>
      <c r="N333" s="8">
        <f>'MKT DATA'!R1691</f>
        <v>0</v>
      </c>
      <c r="O333" s="8">
        <f>'MKT DATA'!S1691</f>
        <v>-85906</v>
      </c>
      <c r="P333" s="8">
        <f>'MKT DATA'!T1691</f>
        <v>0</v>
      </c>
      <c r="Q333" s="43" t="str">
        <f t="shared" si="13"/>
        <v>syn BTCH7/BTCZ6/BTCF7/BTCX6/BTCV6/BTCG7</v>
      </c>
      <c r="R333" s="13">
        <f>'MKT DATA'!AB1691</f>
        <v>0</v>
      </c>
    </row>
    <row r="334" spans="5:18" x14ac:dyDescent="0.25">
      <c r="E334" s="43" t="str">
        <f>'MKT DATA'!B1692</f>
        <v>syn BTCH7/BTCF7/BTCV6/BTCX6/BTCZ6/BTCG7</v>
      </c>
      <c r="F334" s="13">
        <f>'MKT DATA'!J1692</f>
        <v>1</v>
      </c>
      <c r="G334" s="8">
        <f>'MKT DATA'!K1692</f>
        <v>83942</v>
      </c>
      <c r="H334" s="8">
        <f>'MKT DATA'!L1692</f>
        <v>86216</v>
      </c>
      <c r="I334" s="13">
        <f>'MKT DATA'!M1692</f>
        <v>1</v>
      </c>
      <c r="J334" s="43" t="str">
        <f t="shared" ref="J334:J339" si="14">E334</f>
        <v>syn BTCH7/BTCF7/BTCV6/BTCX6/BTCZ6/BTCG7</v>
      </c>
      <c r="K334" s="8">
        <f>'MKT DATA'!O1692</f>
        <v>0</v>
      </c>
      <c r="L334" s="8">
        <f>'MKT DATA'!P1692</f>
        <v>83942</v>
      </c>
      <c r="M334" s="8">
        <f>'MKT DATA'!Q1692</f>
        <v>0</v>
      </c>
      <c r="N334" s="8">
        <f>'MKT DATA'!R1692</f>
        <v>0</v>
      </c>
      <c r="O334" s="8">
        <f>'MKT DATA'!S1692</f>
        <v>-86216</v>
      </c>
      <c r="P334" s="8">
        <f>'MKT DATA'!T1692</f>
        <v>0</v>
      </c>
      <c r="Q334" s="43" t="str">
        <f t="shared" ref="Q334:Q339" si="15">J334</f>
        <v>syn BTCH7/BTCF7/BTCV6/BTCX6/BTCZ6/BTCG7</v>
      </c>
      <c r="R334" s="13">
        <f>'MKT DATA'!AB1692</f>
        <v>0</v>
      </c>
    </row>
    <row r="335" spans="5:18" x14ac:dyDescent="0.25">
      <c r="E335" s="43" t="str">
        <f>'MKT DATA'!B1693</f>
        <v>syn BTCH7/BTCF7/BTCV6/BTCZ6/BTCX6/BTCG7</v>
      </c>
      <c r="F335" s="13">
        <f>'MKT DATA'!J1693</f>
        <v>1</v>
      </c>
      <c r="G335" s="8">
        <f>'MKT DATA'!K1693</f>
        <v>83941</v>
      </c>
      <c r="H335" s="8">
        <f>'MKT DATA'!L1693</f>
        <v>86202</v>
      </c>
      <c r="I335" s="13">
        <f>'MKT DATA'!M1693</f>
        <v>1</v>
      </c>
      <c r="J335" s="43" t="str">
        <f t="shared" si="14"/>
        <v>syn BTCH7/BTCF7/BTCV6/BTCZ6/BTCX6/BTCG7</v>
      </c>
      <c r="K335" s="8">
        <f>'MKT DATA'!O1693</f>
        <v>0</v>
      </c>
      <c r="L335" s="8">
        <f>'MKT DATA'!P1693</f>
        <v>83941</v>
      </c>
      <c r="M335" s="8">
        <f>'MKT DATA'!Q1693</f>
        <v>0</v>
      </c>
      <c r="N335" s="8">
        <f>'MKT DATA'!R1693</f>
        <v>0</v>
      </c>
      <c r="O335" s="8">
        <f>'MKT DATA'!S1693</f>
        <v>-86202</v>
      </c>
      <c r="P335" s="8">
        <f>'MKT DATA'!T1693</f>
        <v>0</v>
      </c>
      <c r="Q335" s="43" t="str">
        <f t="shared" si="15"/>
        <v>syn BTCH7/BTCF7/BTCV6/BTCZ6/BTCX6/BTCG7</v>
      </c>
      <c r="R335" s="13">
        <f>'MKT DATA'!AB1693</f>
        <v>0</v>
      </c>
    </row>
    <row r="336" spans="5:18" x14ac:dyDescent="0.25">
      <c r="E336" s="43" t="str">
        <f>'MKT DATA'!B1694</f>
        <v>syn BTCH7/BTCF7/BTCX6/BTCV6/BTCZ6/BTCG7</v>
      </c>
      <c r="F336" s="13">
        <f>'MKT DATA'!J1694</f>
        <v>1</v>
      </c>
      <c r="G336" s="8">
        <f>'MKT DATA'!K1694</f>
        <v>83956</v>
      </c>
      <c r="H336" s="8">
        <f>'MKT DATA'!L1694</f>
        <v>86199</v>
      </c>
      <c r="I336" s="13">
        <f>'MKT DATA'!M1694</f>
        <v>1</v>
      </c>
      <c r="J336" s="43" t="str">
        <f t="shared" si="14"/>
        <v>syn BTCH7/BTCF7/BTCX6/BTCV6/BTCZ6/BTCG7</v>
      </c>
      <c r="K336" s="8">
        <f>'MKT DATA'!O1694</f>
        <v>0</v>
      </c>
      <c r="L336" s="8">
        <f>'MKT DATA'!P1694</f>
        <v>83956</v>
      </c>
      <c r="M336" s="8">
        <f>'MKT DATA'!Q1694</f>
        <v>0</v>
      </c>
      <c r="N336" s="8">
        <f>'MKT DATA'!R1694</f>
        <v>0</v>
      </c>
      <c r="O336" s="8">
        <f>'MKT DATA'!S1694</f>
        <v>-86199</v>
      </c>
      <c r="P336" s="8">
        <f>'MKT DATA'!T1694</f>
        <v>0</v>
      </c>
      <c r="Q336" s="43" t="str">
        <f t="shared" si="15"/>
        <v>syn BTCH7/BTCF7/BTCX6/BTCV6/BTCZ6/BTCG7</v>
      </c>
      <c r="R336" s="13">
        <f>'MKT DATA'!AB1694</f>
        <v>0</v>
      </c>
    </row>
    <row r="337" spans="5:18" x14ac:dyDescent="0.25">
      <c r="E337" s="43" t="str">
        <f>'MKT DATA'!B1695</f>
        <v>syn BTCH7/BTCF7/BTCX6/BTCZ6/BTCV6/BTCG7</v>
      </c>
      <c r="F337" s="13">
        <f>'MKT DATA'!J1695</f>
        <v>1</v>
      </c>
      <c r="G337" s="8">
        <f>'MKT DATA'!K1695</f>
        <v>83978</v>
      </c>
      <c r="H337" s="8">
        <f>'MKT DATA'!L1695</f>
        <v>86169</v>
      </c>
      <c r="I337" s="13">
        <f>'MKT DATA'!M1695</f>
        <v>1</v>
      </c>
      <c r="J337" s="43" t="str">
        <f t="shared" si="14"/>
        <v>syn BTCH7/BTCF7/BTCX6/BTCZ6/BTCV6/BTCG7</v>
      </c>
      <c r="K337" s="8">
        <f>'MKT DATA'!O1695</f>
        <v>0</v>
      </c>
      <c r="L337" s="8">
        <f>'MKT DATA'!P1695</f>
        <v>83978</v>
      </c>
      <c r="M337" s="8">
        <f>'MKT DATA'!Q1695</f>
        <v>0</v>
      </c>
      <c r="N337" s="8">
        <f>'MKT DATA'!R1695</f>
        <v>0</v>
      </c>
      <c r="O337" s="8">
        <f>'MKT DATA'!S1695</f>
        <v>-86169</v>
      </c>
      <c r="P337" s="8">
        <f>'MKT DATA'!T1695</f>
        <v>0</v>
      </c>
      <c r="Q337" s="43" t="str">
        <f t="shared" si="15"/>
        <v>syn BTCH7/BTCF7/BTCX6/BTCZ6/BTCV6/BTCG7</v>
      </c>
      <c r="R337" s="13">
        <f>'MKT DATA'!AB1695</f>
        <v>0</v>
      </c>
    </row>
    <row r="338" spans="5:18" x14ac:dyDescent="0.25">
      <c r="E338" s="43" t="str">
        <f>'MKT DATA'!B1696</f>
        <v>syn BTCH7/BTCF7/BTCZ6/BTCV6/BTCX6/BTCG7</v>
      </c>
      <c r="F338" s="13">
        <f>'MKT DATA'!J1696</f>
        <v>1</v>
      </c>
      <c r="G338" s="8">
        <f>'MKT DATA'!K1696</f>
        <v>83991</v>
      </c>
      <c r="H338" s="8">
        <f>'MKT DATA'!L1696</f>
        <v>86118</v>
      </c>
      <c r="I338" s="13">
        <f>'MKT DATA'!M1696</f>
        <v>1</v>
      </c>
      <c r="J338" s="43" t="str">
        <f t="shared" si="14"/>
        <v>syn BTCH7/BTCF7/BTCZ6/BTCV6/BTCX6/BTCG7</v>
      </c>
      <c r="K338" s="8">
        <f>'MKT DATA'!O1696</f>
        <v>0</v>
      </c>
      <c r="L338" s="8">
        <f>'MKT DATA'!P1696</f>
        <v>83991</v>
      </c>
      <c r="M338" s="8">
        <f>'MKT DATA'!Q1696</f>
        <v>0</v>
      </c>
      <c r="N338" s="8">
        <f>'MKT DATA'!R1696</f>
        <v>0</v>
      </c>
      <c r="O338" s="8">
        <f>'MKT DATA'!S1696</f>
        <v>-86118</v>
      </c>
      <c r="P338" s="8">
        <f>'MKT DATA'!T1696</f>
        <v>0</v>
      </c>
      <c r="Q338" s="43" t="str">
        <f t="shared" si="15"/>
        <v>syn BTCH7/BTCF7/BTCZ6/BTCV6/BTCX6/BTCG7</v>
      </c>
      <c r="R338" s="13">
        <f>'MKT DATA'!AB1696</f>
        <v>0</v>
      </c>
    </row>
    <row r="339" spans="5:18" x14ac:dyDescent="0.25">
      <c r="E339" s="43" t="str">
        <f>'MKT DATA'!B1697</f>
        <v>syn BTCH7/BTCF7/BTCZ6/BTCX6/BTCV6/BTCG7</v>
      </c>
      <c r="F339" s="13">
        <f>'MKT DATA'!J1697</f>
        <v>1</v>
      </c>
      <c r="G339" s="8">
        <f>'MKT DATA'!K1697</f>
        <v>84014</v>
      </c>
      <c r="H339" s="8">
        <f>'MKT DATA'!L1697</f>
        <v>86102</v>
      </c>
      <c r="I339" s="13">
        <f>'MKT DATA'!M1697</f>
        <v>1</v>
      </c>
      <c r="J339" s="43" t="str">
        <f t="shared" si="14"/>
        <v>syn BTCH7/BTCF7/BTCZ6/BTCX6/BTCV6/BTCG7</v>
      </c>
      <c r="K339" s="8">
        <f>'MKT DATA'!O1697</f>
        <v>0</v>
      </c>
      <c r="L339" s="8">
        <f>'MKT DATA'!P1697</f>
        <v>84014</v>
      </c>
      <c r="M339" s="8">
        <f>'MKT DATA'!Q1697</f>
        <v>0</v>
      </c>
      <c r="N339" s="8">
        <f>'MKT DATA'!R1697</f>
        <v>0</v>
      </c>
      <c r="O339" s="8">
        <f>'MKT DATA'!S1697</f>
        <v>-86102</v>
      </c>
      <c r="P339" s="8">
        <f>'MKT DATA'!T1697</f>
        <v>0</v>
      </c>
      <c r="Q339" s="43" t="str">
        <f t="shared" si="15"/>
        <v>syn BTCH7/BTCF7/BTCZ6/BTCX6/BTCV6/BTCG7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85171</v>
      </c>
      <c r="H1" s="48">
        <f>H11</f>
        <v>85726</v>
      </c>
      <c r="I1" s="45"/>
      <c r="J1" s="44" t="str">
        <f>E1</f>
        <v>best</v>
      </c>
      <c r="K1" s="46"/>
      <c r="L1" s="46"/>
      <c r="M1" s="48">
        <f>M9</f>
        <v>85032.495999999999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-85777.504000000001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-555</v>
      </c>
      <c r="I4" s="57">
        <f>H4-(G14-H14)</f>
        <v>185</v>
      </c>
      <c r="J4" s="43" t="s">
        <v>5</v>
      </c>
      <c r="L4" s="13"/>
      <c r="M4" s="50"/>
      <c r="N4" s="48">
        <f>N1+M1</f>
        <v>85032.495999999999</v>
      </c>
      <c r="O4" s="57">
        <f>(N14+M14)-N4</f>
        <v>-85777.504000000001</v>
      </c>
    </row>
    <row r="5" spans="1:24" x14ac:dyDescent="0.25">
      <c r="E5" s="43" t="s">
        <v>6</v>
      </c>
      <c r="G5" s="8">
        <f>G9-G11</f>
        <v>777</v>
      </c>
      <c r="H5" s="8">
        <f>H9-H11</f>
        <v>690</v>
      </c>
      <c r="J5" s="43" t="s">
        <v>6</v>
      </c>
      <c r="M5" s="8">
        <f>M9-M11</f>
        <v>85032.495999999999</v>
      </c>
      <c r="N5" s="8">
        <f>N9-N11</f>
        <v>85777.504000000001</v>
      </c>
    </row>
    <row r="6" spans="1:24" x14ac:dyDescent="0.25">
      <c r="E6" s="43" t="s">
        <v>7</v>
      </c>
      <c r="G6" s="8">
        <f>G9-G10</f>
        <v>410.85889570551808</v>
      </c>
      <c r="H6" s="8">
        <f>H9-H10</f>
        <v>319.2852760736132</v>
      </c>
      <c r="J6" s="43" t="s">
        <v>7</v>
      </c>
      <c r="M6" s="8">
        <f>M9-M10</f>
        <v>84771.660122699381</v>
      </c>
      <c r="N6" s="8">
        <f>N9-N10</f>
        <v>263.12117791411043</v>
      </c>
    </row>
    <row r="7" spans="1:24" x14ac:dyDescent="0.25">
      <c r="E7" s="43" t="s">
        <v>8</v>
      </c>
      <c r="G7" s="8">
        <f>G10-G11</f>
        <v>366.14110429448192</v>
      </c>
      <c r="H7" s="8">
        <f>H10-H11</f>
        <v>370.7147239263868</v>
      </c>
      <c r="J7" s="43" t="s">
        <v>8</v>
      </c>
      <c r="M7" s="8">
        <f>M10-M11</f>
        <v>260.8358773006135</v>
      </c>
      <c r="N7" s="8">
        <f>N10-N11</f>
        <v>85514.382822085885</v>
      </c>
    </row>
    <row r="9" spans="1:24" x14ac:dyDescent="0.25">
      <c r="E9" s="43" t="s">
        <v>1</v>
      </c>
      <c r="G9" s="8">
        <f>MAX(G$14:G$339)</f>
        <v>85171</v>
      </c>
      <c r="H9" s="8">
        <f>MAX(H$14:H$339)</f>
        <v>86416</v>
      </c>
      <c r="J9" s="43" t="str">
        <f>E9</f>
        <v>max</v>
      </c>
      <c r="L9" s="8">
        <f>MAX(L$14:L$339)</f>
        <v>85171</v>
      </c>
      <c r="M9" s="8">
        <f>MAX(M$14:M$339)</f>
        <v>85032.495999999999</v>
      </c>
      <c r="N9" s="8">
        <f>MAX(N$14:N$339)</f>
        <v>0</v>
      </c>
      <c r="O9" s="8">
        <f>MAX(O$14:O$339)</f>
        <v>-85726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84760.141104294482</v>
      </c>
      <c r="H10" s="8">
        <f>AVERAGE(H$14:H$339)</f>
        <v>86096.714723926387</v>
      </c>
      <c r="J10" s="43" t="str">
        <f t="shared" ref="J10" si="0">E10</f>
        <v>avg</v>
      </c>
      <c r="L10" s="8">
        <f>AVERAGE(L$14:L$339)</f>
        <v>84760.141104294482</v>
      </c>
      <c r="M10" s="8">
        <f>AVERAGE(M$14:M$339)</f>
        <v>260.8358773006135</v>
      </c>
      <c r="N10" s="8">
        <f>AVERAGE(N$14:N$339)</f>
        <v>-263.12117791411043</v>
      </c>
      <c r="O10" s="8">
        <f>AVERAGE(O$14:O$339)</f>
        <v>-86096.714723926387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84394</v>
      </c>
      <c r="H11" s="8">
        <f>MIN(H$14:H$339)</f>
        <v>85726</v>
      </c>
      <c r="J11" s="43" t="str">
        <f>E11</f>
        <v>min</v>
      </c>
      <c r="L11" s="8">
        <f>MIN(L$14:L$339)</f>
        <v>84394</v>
      </c>
      <c r="M11" s="8">
        <f>MIN(M$14:M$339)</f>
        <v>0</v>
      </c>
      <c r="N11" s="8">
        <f>MIN(N$14:N$339)</f>
        <v>-85777.504000000001</v>
      </c>
      <c r="O11" s="8">
        <f>MIN(O$14:O$339)</f>
        <v>-86416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BTCH7</v>
      </c>
      <c r="F14" s="13">
        <f>'MKT DATA'!J36</f>
        <v>5</v>
      </c>
      <c r="G14" s="8">
        <f>'MKT DATA'!K36</f>
        <v>85035</v>
      </c>
      <c r="H14" s="8">
        <f>'MKT DATA'!L36</f>
        <v>85775</v>
      </c>
      <c r="I14" s="13">
        <f>'MKT DATA'!M36</f>
        <v>5</v>
      </c>
      <c r="J14" s="43" t="str">
        <f>E14</f>
        <v>BTCH7</v>
      </c>
      <c r="K14" s="8">
        <f>'MKT DATA'!O36</f>
        <v>-2.504</v>
      </c>
      <c r="L14" s="8">
        <f>'MKT DATA'!P36</f>
        <v>85035</v>
      </c>
      <c r="M14" s="8">
        <f>'MKT DATA'!Q36</f>
        <v>85032.495999999999</v>
      </c>
      <c r="N14" s="8">
        <f>'MKT DATA'!R36</f>
        <v>-85777.504000000001</v>
      </c>
      <c r="O14" s="8">
        <f>'MKT DATA'!S36</f>
        <v>-85775</v>
      </c>
      <c r="P14" s="8">
        <f>'MKT DATA'!T36</f>
        <v>-2.504</v>
      </c>
      <c r="Q14" s="43" t="str">
        <f>J14</f>
        <v>BTCH7</v>
      </c>
      <c r="R14" s="13">
        <f>'MKT DATA'!AB36</f>
        <v>0</v>
      </c>
    </row>
    <row r="15" spans="1:24" x14ac:dyDescent="0.25">
      <c r="E15" s="43" t="str">
        <f>'MKT DATA'!B1698</f>
        <v>syn BTCV6/BTCH7</v>
      </c>
      <c r="F15" s="13">
        <f>'MKT DATA'!J1698</f>
        <v>1</v>
      </c>
      <c r="G15" s="8">
        <f>'MKT DATA'!K1698</f>
        <v>85005</v>
      </c>
      <c r="H15" s="8">
        <f>'MKT DATA'!L1698</f>
        <v>85805</v>
      </c>
      <c r="I15" s="13">
        <f>'MKT DATA'!M1698</f>
        <v>1</v>
      </c>
      <c r="J15" s="43" t="str">
        <f t="shared" ref="J15:J73" si="2">E15</f>
        <v>syn BTCV6/BTCH7</v>
      </c>
      <c r="K15" s="8">
        <f>'MKT DATA'!O1698</f>
        <v>0</v>
      </c>
      <c r="L15" s="8">
        <f>'MKT DATA'!P1698</f>
        <v>85005</v>
      </c>
      <c r="M15" s="8">
        <f>'MKT DATA'!Q1698</f>
        <v>0</v>
      </c>
      <c r="N15" s="8">
        <f>'MKT DATA'!R1698</f>
        <v>0</v>
      </c>
      <c r="O15" s="8">
        <f>'MKT DATA'!S1698</f>
        <v>-85805</v>
      </c>
      <c r="P15" s="8">
        <f>'MKT DATA'!T1698</f>
        <v>0</v>
      </c>
      <c r="Q15" s="43" t="str">
        <f t="shared" ref="Q15:Q73" si="3">J15</f>
        <v>syn BTCV6/BTCH7</v>
      </c>
      <c r="R15" s="13">
        <f>'MKT DATA'!AB1698</f>
        <v>0</v>
      </c>
    </row>
    <row r="16" spans="1:24" x14ac:dyDescent="0.25">
      <c r="E16" s="43" t="str">
        <f>'MKT DATA'!B1699</f>
        <v>syn BTCX6/BTCH7</v>
      </c>
      <c r="F16" s="13">
        <f>'MKT DATA'!J1699</f>
        <v>1</v>
      </c>
      <c r="G16" s="8">
        <f>'MKT DATA'!K1699</f>
        <v>84980</v>
      </c>
      <c r="H16" s="8">
        <f>'MKT DATA'!L1699</f>
        <v>85830</v>
      </c>
      <c r="I16" s="13">
        <f>'MKT DATA'!M1699</f>
        <v>1</v>
      </c>
      <c r="J16" s="43" t="str">
        <f t="shared" si="2"/>
        <v>syn BTCX6/BTCH7</v>
      </c>
      <c r="K16" s="8">
        <f>'MKT DATA'!O1699</f>
        <v>0</v>
      </c>
      <c r="L16" s="8">
        <f>'MKT DATA'!P1699</f>
        <v>84980</v>
      </c>
      <c r="M16" s="8">
        <f>'MKT DATA'!Q1699</f>
        <v>0</v>
      </c>
      <c r="N16" s="8">
        <f>'MKT DATA'!R1699</f>
        <v>0</v>
      </c>
      <c r="O16" s="8">
        <f>'MKT DATA'!S1699</f>
        <v>-85830</v>
      </c>
      <c r="P16" s="8">
        <f>'MKT DATA'!T1699</f>
        <v>0</v>
      </c>
      <c r="Q16" s="43" t="str">
        <f t="shared" si="3"/>
        <v>syn BTCX6/BTCH7</v>
      </c>
      <c r="R16" s="13">
        <f>'MKT DATA'!AB1699</f>
        <v>0</v>
      </c>
    </row>
    <row r="17" spans="5:18" x14ac:dyDescent="0.25">
      <c r="E17" s="43" t="str">
        <f>'MKT DATA'!B1700</f>
        <v>syn BTCZ6/BTCH7</v>
      </c>
      <c r="F17" s="13">
        <f>'MKT DATA'!J1700</f>
        <v>1</v>
      </c>
      <c r="G17" s="8">
        <f>'MKT DATA'!K1700</f>
        <v>85145</v>
      </c>
      <c r="H17" s="8">
        <f>'MKT DATA'!L1700</f>
        <v>85845</v>
      </c>
      <c r="I17" s="13">
        <f>'MKT DATA'!M1700</f>
        <v>1</v>
      </c>
      <c r="J17" s="43" t="str">
        <f t="shared" si="2"/>
        <v>syn BTCZ6/BTCH7</v>
      </c>
      <c r="K17" s="8">
        <f>'MKT DATA'!O1700</f>
        <v>0</v>
      </c>
      <c r="L17" s="8">
        <f>'MKT DATA'!P1700</f>
        <v>85145</v>
      </c>
      <c r="M17" s="8">
        <f>'MKT DATA'!Q1700</f>
        <v>0</v>
      </c>
      <c r="N17" s="8">
        <f>'MKT DATA'!R1700</f>
        <v>0</v>
      </c>
      <c r="O17" s="8">
        <f>'MKT DATA'!S1700</f>
        <v>-85845</v>
      </c>
      <c r="P17" s="8">
        <f>'MKT DATA'!T1700</f>
        <v>0</v>
      </c>
      <c r="Q17" s="43" t="str">
        <f t="shared" si="3"/>
        <v>syn BTCZ6/BTCH7</v>
      </c>
      <c r="R17" s="13">
        <f>'MKT DATA'!AB1700</f>
        <v>0</v>
      </c>
    </row>
    <row r="18" spans="5:18" x14ac:dyDescent="0.25">
      <c r="E18" s="43" t="str">
        <f>'MKT DATA'!B1701</f>
        <v>syn BTCF7/BTCH7</v>
      </c>
      <c r="F18" s="13">
        <f>'MKT DATA'!J1701</f>
        <v>1</v>
      </c>
      <c r="G18" s="8">
        <f>'MKT DATA'!K1701</f>
        <v>84850</v>
      </c>
      <c r="H18" s="8">
        <f>'MKT DATA'!L1701</f>
        <v>85960</v>
      </c>
      <c r="I18" s="13">
        <f>'MKT DATA'!M1701</f>
        <v>1</v>
      </c>
      <c r="J18" s="43" t="str">
        <f t="shared" si="2"/>
        <v>syn BTCF7/BTCH7</v>
      </c>
      <c r="K18" s="8">
        <f>'MKT DATA'!O1701</f>
        <v>0</v>
      </c>
      <c r="L18" s="8">
        <f>'MKT DATA'!P1701</f>
        <v>84850</v>
      </c>
      <c r="M18" s="8">
        <f>'MKT DATA'!Q1701</f>
        <v>0</v>
      </c>
      <c r="N18" s="8">
        <f>'MKT DATA'!R1701</f>
        <v>0</v>
      </c>
      <c r="O18" s="8">
        <f>'MKT DATA'!S1701</f>
        <v>-85960</v>
      </c>
      <c r="P18" s="8">
        <f>'MKT DATA'!T1701</f>
        <v>0</v>
      </c>
      <c r="Q18" s="43" t="str">
        <f t="shared" si="3"/>
        <v>syn BTCF7/BTCH7</v>
      </c>
      <c r="R18" s="13">
        <f>'MKT DATA'!AB1701</f>
        <v>0</v>
      </c>
    </row>
    <row r="19" spans="5:18" x14ac:dyDescent="0.25">
      <c r="E19" s="43" t="str">
        <f>'MKT DATA'!B1702</f>
        <v>syn BTCG7/BTCH7</v>
      </c>
      <c r="F19" s="13">
        <f>'MKT DATA'!J1702</f>
        <v>1</v>
      </c>
      <c r="G19" s="8">
        <f>'MKT DATA'!K1702</f>
        <v>85095</v>
      </c>
      <c r="H19" s="8">
        <f>'MKT DATA'!L1702</f>
        <v>85770</v>
      </c>
      <c r="I19" s="13">
        <f>'MKT DATA'!M1702</f>
        <v>1</v>
      </c>
      <c r="J19" s="43" t="str">
        <f t="shared" si="2"/>
        <v>syn BTCG7/BTCH7</v>
      </c>
      <c r="K19" s="8">
        <f>'MKT DATA'!O1702</f>
        <v>0</v>
      </c>
      <c r="L19" s="8">
        <f>'MKT DATA'!P1702</f>
        <v>85095</v>
      </c>
      <c r="M19" s="8">
        <f>'MKT DATA'!Q1702</f>
        <v>0</v>
      </c>
      <c r="N19" s="8">
        <f>'MKT DATA'!R1702</f>
        <v>0</v>
      </c>
      <c r="O19" s="8">
        <f>'MKT DATA'!S1702</f>
        <v>-85770</v>
      </c>
      <c r="P19" s="8">
        <f>'MKT DATA'!T1702</f>
        <v>0</v>
      </c>
      <c r="Q19" s="43" t="str">
        <f t="shared" si="3"/>
        <v>syn BTCG7/BTCH7</v>
      </c>
      <c r="R19" s="13">
        <f>'MKT DATA'!AB1702</f>
        <v>0</v>
      </c>
    </row>
    <row r="20" spans="5:18" x14ac:dyDescent="0.25">
      <c r="E20" s="43" t="str">
        <f>'MKT DATA'!B1703</f>
        <v>syn BTCV6/BTCX6/BTCH7</v>
      </c>
      <c r="F20" s="13">
        <f>'MKT DATA'!J1703</f>
        <v>1</v>
      </c>
      <c r="G20" s="8">
        <f>'MKT DATA'!K1703</f>
        <v>84987</v>
      </c>
      <c r="H20" s="8">
        <f>'MKT DATA'!L1703</f>
        <v>85816</v>
      </c>
      <c r="I20" s="13">
        <f>'MKT DATA'!M1703</f>
        <v>1</v>
      </c>
      <c r="J20" s="43" t="str">
        <f t="shared" si="2"/>
        <v>syn BTCV6/BTCX6/BTCH7</v>
      </c>
      <c r="K20" s="8">
        <f>'MKT DATA'!O1703</f>
        <v>0</v>
      </c>
      <c r="L20" s="8">
        <f>'MKT DATA'!P1703</f>
        <v>84987</v>
      </c>
      <c r="M20" s="8">
        <f>'MKT DATA'!Q1703</f>
        <v>0</v>
      </c>
      <c r="N20" s="8">
        <f>'MKT DATA'!R1703</f>
        <v>0</v>
      </c>
      <c r="O20" s="8">
        <f>'MKT DATA'!S1703</f>
        <v>-85816</v>
      </c>
      <c r="P20" s="8">
        <f>'MKT DATA'!T1703</f>
        <v>0</v>
      </c>
      <c r="Q20" s="43" t="str">
        <f t="shared" si="3"/>
        <v>syn BTCV6/BTCX6/BTCH7</v>
      </c>
      <c r="R20" s="13">
        <f>'MKT DATA'!AB1703</f>
        <v>0</v>
      </c>
    </row>
    <row r="21" spans="5:18" x14ac:dyDescent="0.25">
      <c r="E21" s="43" t="str">
        <f>'MKT DATA'!B1704</f>
        <v>syn BTCV6/BTCZ6/BTCH7</v>
      </c>
      <c r="F21" s="13">
        <f>'MKT DATA'!J1704</f>
        <v>1</v>
      </c>
      <c r="G21" s="8">
        <f>'MKT DATA'!K1704</f>
        <v>85166</v>
      </c>
      <c r="H21" s="8">
        <f>'MKT DATA'!L1704</f>
        <v>85832</v>
      </c>
      <c r="I21" s="13">
        <f>'MKT DATA'!M1704</f>
        <v>1</v>
      </c>
      <c r="J21" s="43" t="str">
        <f t="shared" si="2"/>
        <v>syn BTCV6/BTCZ6/BTCH7</v>
      </c>
      <c r="K21" s="8">
        <f>'MKT DATA'!O1704</f>
        <v>0</v>
      </c>
      <c r="L21" s="8">
        <f>'MKT DATA'!P1704</f>
        <v>85166</v>
      </c>
      <c r="M21" s="8">
        <f>'MKT DATA'!Q1704</f>
        <v>0</v>
      </c>
      <c r="N21" s="8">
        <f>'MKT DATA'!R1704</f>
        <v>0</v>
      </c>
      <c r="O21" s="8">
        <f>'MKT DATA'!S1704</f>
        <v>-85832</v>
      </c>
      <c r="P21" s="8">
        <f>'MKT DATA'!T1704</f>
        <v>0</v>
      </c>
      <c r="Q21" s="43" t="str">
        <f t="shared" si="3"/>
        <v>syn BTCV6/BTCZ6/BTCH7</v>
      </c>
      <c r="R21" s="13">
        <f>'MKT DATA'!AB1704</f>
        <v>0</v>
      </c>
    </row>
    <row r="22" spans="5:18" x14ac:dyDescent="0.25">
      <c r="E22" s="43" t="str">
        <f>'MKT DATA'!B1705</f>
        <v>syn BTCV6/BTCF7/BTCH7</v>
      </c>
      <c r="F22" s="13">
        <f>'MKT DATA'!J1705</f>
        <v>1</v>
      </c>
      <c r="G22" s="8">
        <f>'MKT DATA'!K1705</f>
        <v>84836</v>
      </c>
      <c r="H22" s="8">
        <f>'MKT DATA'!L1705</f>
        <v>85944</v>
      </c>
      <c r="I22" s="13">
        <f>'MKT DATA'!M1705</f>
        <v>1</v>
      </c>
      <c r="J22" s="43" t="str">
        <f t="shared" si="2"/>
        <v>syn BTCV6/BTCF7/BTCH7</v>
      </c>
      <c r="K22" s="8">
        <f>'MKT DATA'!O1705</f>
        <v>0</v>
      </c>
      <c r="L22" s="8">
        <f>'MKT DATA'!P1705</f>
        <v>84836</v>
      </c>
      <c r="M22" s="8">
        <f>'MKT DATA'!Q1705</f>
        <v>0</v>
      </c>
      <c r="N22" s="8">
        <f>'MKT DATA'!R1705</f>
        <v>0</v>
      </c>
      <c r="O22" s="8">
        <f>'MKT DATA'!S1705</f>
        <v>-85944</v>
      </c>
      <c r="P22" s="8">
        <f>'MKT DATA'!T1705</f>
        <v>0</v>
      </c>
      <c r="Q22" s="43" t="str">
        <f t="shared" si="3"/>
        <v>syn BTCV6/BTCF7/BTCH7</v>
      </c>
      <c r="R22" s="13">
        <f>'MKT DATA'!AB1705</f>
        <v>0</v>
      </c>
    </row>
    <row r="23" spans="5:18" x14ac:dyDescent="0.25">
      <c r="E23" s="43" t="str">
        <f>'MKT DATA'!B1706</f>
        <v>syn BTCV6/BTCG7/BTCH7</v>
      </c>
      <c r="F23" s="13">
        <f>'MKT DATA'!J1706</f>
        <v>1</v>
      </c>
      <c r="G23" s="8">
        <f>'MKT DATA'!K1706</f>
        <v>85065</v>
      </c>
      <c r="H23" s="8">
        <f>'MKT DATA'!L1706</f>
        <v>85800</v>
      </c>
      <c r="I23" s="13">
        <f>'MKT DATA'!M1706</f>
        <v>1</v>
      </c>
      <c r="J23" s="43" t="str">
        <f t="shared" si="2"/>
        <v>syn BTCV6/BTCG7/BTCH7</v>
      </c>
      <c r="K23" s="8">
        <f>'MKT DATA'!O1706</f>
        <v>0</v>
      </c>
      <c r="L23" s="8">
        <f>'MKT DATA'!P1706</f>
        <v>85065</v>
      </c>
      <c r="M23" s="8">
        <f>'MKT DATA'!Q1706</f>
        <v>0</v>
      </c>
      <c r="N23" s="8">
        <f>'MKT DATA'!R1706</f>
        <v>0</v>
      </c>
      <c r="O23" s="8">
        <f>'MKT DATA'!S1706</f>
        <v>-85800</v>
      </c>
      <c r="P23" s="8">
        <f>'MKT DATA'!T1706</f>
        <v>0</v>
      </c>
      <c r="Q23" s="43" t="str">
        <f t="shared" si="3"/>
        <v>syn BTCV6/BTCG7/BTCH7</v>
      </c>
      <c r="R23" s="13">
        <f>'MKT DATA'!AB1706</f>
        <v>0</v>
      </c>
    </row>
    <row r="24" spans="5:18" x14ac:dyDescent="0.25">
      <c r="E24" s="43" t="str">
        <f>'MKT DATA'!B1707</f>
        <v>syn BTCX6/BTCV6/BTCH7</v>
      </c>
      <c r="F24" s="13">
        <f>'MKT DATA'!J1707</f>
        <v>1</v>
      </c>
      <c r="G24" s="8">
        <f>'MKT DATA'!K1707</f>
        <v>84994</v>
      </c>
      <c r="H24" s="8">
        <f>'MKT DATA'!L1707</f>
        <v>85823</v>
      </c>
      <c r="I24" s="13">
        <f>'MKT DATA'!M1707</f>
        <v>1</v>
      </c>
      <c r="J24" s="43" t="str">
        <f t="shared" si="2"/>
        <v>syn BTCX6/BTCV6/BTCH7</v>
      </c>
      <c r="K24" s="8">
        <f>'MKT DATA'!O1707</f>
        <v>0</v>
      </c>
      <c r="L24" s="8">
        <f>'MKT DATA'!P1707</f>
        <v>84994</v>
      </c>
      <c r="M24" s="8">
        <f>'MKT DATA'!Q1707</f>
        <v>0</v>
      </c>
      <c r="N24" s="8">
        <f>'MKT DATA'!R1707</f>
        <v>0</v>
      </c>
      <c r="O24" s="8">
        <f>'MKT DATA'!S1707</f>
        <v>-85823</v>
      </c>
      <c r="P24" s="8">
        <f>'MKT DATA'!T1707</f>
        <v>0</v>
      </c>
      <c r="Q24" s="43" t="str">
        <f t="shared" si="3"/>
        <v>syn BTCX6/BTCV6/BTCH7</v>
      </c>
      <c r="R24" s="13">
        <f>'MKT DATA'!AB1707</f>
        <v>0</v>
      </c>
    </row>
    <row r="25" spans="5:18" x14ac:dyDescent="0.25">
      <c r="E25" s="43" t="str">
        <f>'MKT DATA'!B1708</f>
        <v>syn BTCX6/BTCZ6/BTCH7</v>
      </c>
      <c r="F25" s="13">
        <f>'MKT DATA'!J1708</f>
        <v>1</v>
      </c>
      <c r="G25" s="8">
        <f>'MKT DATA'!K1708</f>
        <v>85164</v>
      </c>
      <c r="H25" s="8">
        <f>'MKT DATA'!L1708</f>
        <v>85841</v>
      </c>
      <c r="I25" s="13">
        <f>'MKT DATA'!M1708</f>
        <v>1</v>
      </c>
      <c r="J25" s="43" t="str">
        <f t="shared" si="2"/>
        <v>syn BTCX6/BTCZ6/BTCH7</v>
      </c>
      <c r="K25" s="8">
        <f>'MKT DATA'!O1708</f>
        <v>0</v>
      </c>
      <c r="L25" s="8">
        <f>'MKT DATA'!P1708</f>
        <v>85164</v>
      </c>
      <c r="M25" s="8">
        <f>'MKT DATA'!Q1708</f>
        <v>0</v>
      </c>
      <c r="N25" s="8">
        <f>'MKT DATA'!R1708</f>
        <v>0</v>
      </c>
      <c r="O25" s="8">
        <f>'MKT DATA'!S1708</f>
        <v>-85841</v>
      </c>
      <c r="P25" s="8">
        <f>'MKT DATA'!T1708</f>
        <v>0</v>
      </c>
      <c r="Q25" s="43" t="str">
        <f t="shared" si="3"/>
        <v>syn BTCX6/BTCZ6/BTCH7</v>
      </c>
      <c r="R25" s="13">
        <f>'MKT DATA'!AB1708</f>
        <v>0</v>
      </c>
    </row>
    <row r="26" spans="5:18" x14ac:dyDescent="0.25">
      <c r="E26" s="43" t="str">
        <f>'MKT DATA'!B1709</f>
        <v>syn BTCX6/BTCF7/BTCH7</v>
      </c>
      <c r="F26" s="13">
        <f>'MKT DATA'!J1709</f>
        <v>1</v>
      </c>
      <c r="G26" s="8">
        <f>'MKT DATA'!K1709</f>
        <v>84851</v>
      </c>
      <c r="H26" s="8">
        <f>'MKT DATA'!L1709</f>
        <v>85939</v>
      </c>
      <c r="I26" s="13">
        <f>'MKT DATA'!M1709</f>
        <v>1</v>
      </c>
      <c r="J26" s="43" t="str">
        <f t="shared" si="2"/>
        <v>syn BTCX6/BTCF7/BTCH7</v>
      </c>
      <c r="K26" s="8">
        <f>'MKT DATA'!O1709</f>
        <v>0</v>
      </c>
      <c r="L26" s="8">
        <f>'MKT DATA'!P1709</f>
        <v>84851</v>
      </c>
      <c r="M26" s="8">
        <f>'MKT DATA'!Q1709</f>
        <v>0</v>
      </c>
      <c r="N26" s="8">
        <f>'MKT DATA'!R1709</f>
        <v>0</v>
      </c>
      <c r="O26" s="8">
        <f>'MKT DATA'!S1709</f>
        <v>-85939</v>
      </c>
      <c r="P26" s="8">
        <f>'MKT DATA'!T1709</f>
        <v>0</v>
      </c>
      <c r="Q26" s="43" t="str">
        <f t="shared" si="3"/>
        <v>syn BTCX6/BTCF7/BTCH7</v>
      </c>
      <c r="R26" s="13">
        <f>'MKT DATA'!AB1709</f>
        <v>0</v>
      </c>
    </row>
    <row r="27" spans="5:18" x14ac:dyDescent="0.25">
      <c r="E27" s="43" t="str">
        <f>'MKT DATA'!B1710</f>
        <v>syn BTCX6/BTCG7/BTCH7</v>
      </c>
      <c r="F27" s="13">
        <f>'MKT DATA'!J1710</f>
        <v>1</v>
      </c>
      <c r="G27" s="8">
        <f>'MKT DATA'!K1710</f>
        <v>85040</v>
      </c>
      <c r="H27" s="8">
        <f>'MKT DATA'!L1710</f>
        <v>85825</v>
      </c>
      <c r="I27" s="13">
        <f>'MKT DATA'!M1710</f>
        <v>1</v>
      </c>
      <c r="J27" s="43" t="str">
        <f t="shared" si="2"/>
        <v>syn BTCX6/BTCG7/BTCH7</v>
      </c>
      <c r="K27" s="8">
        <f>'MKT DATA'!O1710</f>
        <v>0</v>
      </c>
      <c r="L27" s="8">
        <f>'MKT DATA'!P1710</f>
        <v>85040</v>
      </c>
      <c r="M27" s="8">
        <f>'MKT DATA'!Q1710</f>
        <v>0</v>
      </c>
      <c r="N27" s="8">
        <f>'MKT DATA'!R1710</f>
        <v>0</v>
      </c>
      <c r="O27" s="8">
        <f>'MKT DATA'!S1710</f>
        <v>-85825</v>
      </c>
      <c r="P27" s="8">
        <f>'MKT DATA'!T1710</f>
        <v>0</v>
      </c>
      <c r="Q27" s="43" t="str">
        <f t="shared" si="3"/>
        <v>syn BTCX6/BTCG7/BTCH7</v>
      </c>
      <c r="R27" s="13">
        <f>'MKT DATA'!AB1710</f>
        <v>0</v>
      </c>
    </row>
    <row r="28" spans="5:18" x14ac:dyDescent="0.25">
      <c r="E28" s="43" t="str">
        <f>'MKT DATA'!B1711</f>
        <v>syn BTCZ6/BTCV6/BTCH7</v>
      </c>
      <c r="F28" s="13">
        <f>'MKT DATA'!J1711</f>
        <v>1</v>
      </c>
      <c r="G28" s="8">
        <f>'MKT DATA'!K1711</f>
        <v>84948</v>
      </c>
      <c r="H28" s="8">
        <f>'MKT DATA'!L1711</f>
        <v>85854</v>
      </c>
      <c r="I28" s="13">
        <f>'MKT DATA'!M1711</f>
        <v>1</v>
      </c>
      <c r="J28" s="43" t="str">
        <f t="shared" si="2"/>
        <v>syn BTCZ6/BTCV6/BTCH7</v>
      </c>
      <c r="K28" s="8">
        <f>'MKT DATA'!O1711</f>
        <v>0</v>
      </c>
      <c r="L28" s="8">
        <f>'MKT DATA'!P1711</f>
        <v>84948</v>
      </c>
      <c r="M28" s="8">
        <f>'MKT DATA'!Q1711</f>
        <v>0</v>
      </c>
      <c r="N28" s="8">
        <f>'MKT DATA'!R1711</f>
        <v>0</v>
      </c>
      <c r="O28" s="8">
        <f>'MKT DATA'!S1711</f>
        <v>-85854</v>
      </c>
      <c r="P28" s="8">
        <f>'MKT DATA'!T1711</f>
        <v>0</v>
      </c>
      <c r="Q28" s="43" t="str">
        <f t="shared" si="3"/>
        <v>syn BTCZ6/BTCV6/BTCH7</v>
      </c>
      <c r="R28" s="13">
        <f>'MKT DATA'!AB1711</f>
        <v>0</v>
      </c>
    </row>
    <row r="29" spans="5:18" x14ac:dyDescent="0.25">
      <c r="E29" s="43" t="str">
        <f>'MKT DATA'!B1712</f>
        <v>syn BTCZ6/BTCX6/BTCH7</v>
      </c>
      <c r="F29" s="13">
        <f>'MKT DATA'!J1712</f>
        <v>1</v>
      </c>
      <c r="G29" s="8">
        <f>'MKT DATA'!K1712</f>
        <v>84939</v>
      </c>
      <c r="H29" s="8">
        <f>'MKT DATA'!L1712</f>
        <v>85856</v>
      </c>
      <c r="I29" s="13">
        <f>'MKT DATA'!M1712</f>
        <v>1</v>
      </c>
      <c r="J29" s="43" t="str">
        <f t="shared" si="2"/>
        <v>syn BTCZ6/BTCX6/BTCH7</v>
      </c>
      <c r="K29" s="8">
        <f>'MKT DATA'!O1712</f>
        <v>0</v>
      </c>
      <c r="L29" s="8">
        <f>'MKT DATA'!P1712</f>
        <v>84939</v>
      </c>
      <c r="M29" s="8">
        <f>'MKT DATA'!Q1712</f>
        <v>0</v>
      </c>
      <c r="N29" s="8">
        <f>'MKT DATA'!R1712</f>
        <v>0</v>
      </c>
      <c r="O29" s="8">
        <f>'MKT DATA'!S1712</f>
        <v>-85856</v>
      </c>
      <c r="P29" s="8">
        <f>'MKT DATA'!T1712</f>
        <v>0</v>
      </c>
      <c r="Q29" s="43" t="str">
        <f t="shared" si="3"/>
        <v>syn BTCZ6/BTCX6/BTCH7</v>
      </c>
      <c r="R29" s="13">
        <f>'MKT DATA'!AB1712</f>
        <v>0</v>
      </c>
    </row>
    <row r="30" spans="5:18" x14ac:dyDescent="0.25">
      <c r="E30" s="43" t="str">
        <f>'MKT DATA'!B1713</f>
        <v>syn BTCZ6/BTCF7/BTCH7</v>
      </c>
      <c r="F30" s="13">
        <f>'MKT DATA'!J1713</f>
        <v>1</v>
      </c>
      <c r="G30" s="8">
        <f>'MKT DATA'!K1713</f>
        <v>84872</v>
      </c>
      <c r="H30" s="8">
        <f>'MKT DATA'!L1713</f>
        <v>85934</v>
      </c>
      <c r="I30" s="13">
        <f>'MKT DATA'!M1713</f>
        <v>1</v>
      </c>
      <c r="J30" s="43" t="str">
        <f t="shared" si="2"/>
        <v>syn BTCZ6/BTCF7/BTCH7</v>
      </c>
      <c r="K30" s="8">
        <f>'MKT DATA'!O1713</f>
        <v>0</v>
      </c>
      <c r="L30" s="8">
        <f>'MKT DATA'!P1713</f>
        <v>84872</v>
      </c>
      <c r="M30" s="8">
        <f>'MKT DATA'!Q1713</f>
        <v>0</v>
      </c>
      <c r="N30" s="8">
        <f>'MKT DATA'!R1713</f>
        <v>0</v>
      </c>
      <c r="O30" s="8">
        <f>'MKT DATA'!S1713</f>
        <v>-85934</v>
      </c>
      <c r="P30" s="8">
        <f>'MKT DATA'!T1713</f>
        <v>0</v>
      </c>
      <c r="Q30" s="43" t="str">
        <f t="shared" si="3"/>
        <v>syn BTCZ6/BTCF7/BTCH7</v>
      </c>
      <c r="R30" s="13">
        <f>'MKT DATA'!AB1713</f>
        <v>0</v>
      </c>
    </row>
    <row r="31" spans="5:18" x14ac:dyDescent="0.25">
      <c r="E31" s="43" t="str">
        <f>'MKT DATA'!B1714</f>
        <v>syn BTCZ6/BTCG7/BTCH7</v>
      </c>
      <c r="F31" s="13">
        <f>'MKT DATA'!J1714</f>
        <v>1</v>
      </c>
      <c r="G31" s="8">
        <f>'MKT DATA'!K1714</f>
        <v>84995</v>
      </c>
      <c r="H31" s="8">
        <f>'MKT DATA'!L1714</f>
        <v>85870</v>
      </c>
      <c r="I31" s="13">
        <f>'MKT DATA'!M1714</f>
        <v>1</v>
      </c>
      <c r="J31" s="43" t="str">
        <f t="shared" si="2"/>
        <v>syn BTCZ6/BTCG7/BTCH7</v>
      </c>
      <c r="K31" s="8">
        <f>'MKT DATA'!O1714</f>
        <v>0</v>
      </c>
      <c r="L31" s="8">
        <f>'MKT DATA'!P1714</f>
        <v>84995</v>
      </c>
      <c r="M31" s="8">
        <f>'MKT DATA'!Q1714</f>
        <v>0</v>
      </c>
      <c r="N31" s="8">
        <f>'MKT DATA'!R1714</f>
        <v>0</v>
      </c>
      <c r="O31" s="8">
        <f>'MKT DATA'!S1714</f>
        <v>-85870</v>
      </c>
      <c r="P31" s="8">
        <f>'MKT DATA'!T1714</f>
        <v>0</v>
      </c>
      <c r="Q31" s="43" t="str">
        <f t="shared" si="3"/>
        <v>syn BTCZ6/BTCG7/BTCH7</v>
      </c>
      <c r="R31" s="13">
        <f>'MKT DATA'!AB1714</f>
        <v>0</v>
      </c>
    </row>
    <row r="32" spans="5:18" x14ac:dyDescent="0.25">
      <c r="E32" s="43" t="str">
        <f>'MKT DATA'!B1715</f>
        <v>syn BTCF7/BTCV6/BTCH7</v>
      </c>
      <c r="F32" s="13">
        <f>'MKT DATA'!J1715</f>
        <v>1</v>
      </c>
      <c r="G32" s="8">
        <f>'MKT DATA'!K1715</f>
        <v>84866</v>
      </c>
      <c r="H32" s="8">
        <f>'MKT DATA'!L1715</f>
        <v>85974</v>
      </c>
      <c r="I32" s="13">
        <f>'MKT DATA'!M1715</f>
        <v>1</v>
      </c>
      <c r="J32" s="43" t="str">
        <f t="shared" si="2"/>
        <v>syn BTCF7/BTCV6/BTCH7</v>
      </c>
      <c r="K32" s="8">
        <f>'MKT DATA'!O1715</f>
        <v>0</v>
      </c>
      <c r="L32" s="8">
        <f>'MKT DATA'!P1715</f>
        <v>84866</v>
      </c>
      <c r="M32" s="8">
        <f>'MKT DATA'!Q1715</f>
        <v>0</v>
      </c>
      <c r="N32" s="8">
        <f>'MKT DATA'!R1715</f>
        <v>0</v>
      </c>
      <c r="O32" s="8">
        <f>'MKT DATA'!S1715</f>
        <v>-85974</v>
      </c>
      <c r="P32" s="8">
        <f>'MKT DATA'!T1715</f>
        <v>0</v>
      </c>
      <c r="Q32" s="43" t="str">
        <f t="shared" si="3"/>
        <v>syn BTCF7/BTCV6/BTCH7</v>
      </c>
      <c r="R32" s="13">
        <f>'MKT DATA'!AB1715</f>
        <v>0</v>
      </c>
    </row>
    <row r="33" spans="5:18" x14ac:dyDescent="0.25">
      <c r="E33" s="43" t="str">
        <f>'MKT DATA'!B1716</f>
        <v>syn BTCF7/BTCX6/BTCH7</v>
      </c>
      <c r="F33" s="13">
        <f>'MKT DATA'!J1716</f>
        <v>1</v>
      </c>
      <c r="G33" s="8">
        <f>'MKT DATA'!K1716</f>
        <v>84871</v>
      </c>
      <c r="H33" s="8">
        <f>'MKT DATA'!L1716</f>
        <v>85959</v>
      </c>
      <c r="I33" s="13">
        <f>'MKT DATA'!M1716</f>
        <v>1</v>
      </c>
      <c r="J33" s="43" t="str">
        <f t="shared" si="2"/>
        <v>syn BTCF7/BTCX6/BTCH7</v>
      </c>
      <c r="K33" s="8">
        <f>'MKT DATA'!O1716</f>
        <v>0</v>
      </c>
      <c r="L33" s="8">
        <f>'MKT DATA'!P1716</f>
        <v>84871</v>
      </c>
      <c r="M33" s="8">
        <f>'MKT DATA'!Q1716</f>
        <v>0</v>
      </c>
      <c r="N33" s="8">
        <f>'MKT DATA'!R1716</f>
        <v>0</v>
      </c>
      <c r="O33" s="8">
        <f>'MKT DATA'!S1716</f>
        <v>-85959</v>
      </c>
      <c r="P33" s="8">
        <f>'MKT DATA'!T1716</f>
        <v>0</v>
      </c>
      <c r="Q33" s="43" t="str">
        <f t="shared" si="3"/>
        <v>syn BTCF7/BTCX6/BTCH7</v>
      </c>
      <c r="R33" s="13">
        <f>'MKT DATA'!AB1716</f>
        <v>0</v>
      </c>
    </row>
    <row r="34" spans="5:18" x14ac:dyDescent="0.25">
      <c r="E34" s="43" t="str">
        <f>'MKT DATA'!B1717</f>
        <v>syn BTCF7/BTCZ6/BTCH7</v>
      </c>
      <c r="F34" s="13">
        <f>'MKT DATA'!J1717</f>
        <v>1</v>
      </c>
      <c r="G34" s="8">
        <f>'MKT DATA'!K1717</f>
        <v>85086</v>
      </c>
      <c r="H34" s="8">
        <f>'MKT DATA'!L1717</f>
        <v>85908</v>
      </c>
      <c r="I34" s="13">
        <f>'MKT DATA'!M1717</f>
        <v>1</v>
      </c>
      <c r="J34" s="43" t="str">
        <f t="shared" si="2"/>
        <v>syn BTCF7/BTCZ6/BTCH7</v>
      </c>
      <c r="K34" s="8">
        <f>'MKT DATA'!O1717</f>
        <v>0</v>
      </c>
      <c r="L34" s="8">
        <f>'MKT DATA'!P1717</f>
        <v>85086</v>
      </c>
      <c r="M34" s="8">
        <f>'MKT DATA'!Q1717</f>
        <v>0</v>
      </c>
      <c r="N34" s="8">
        <f>'MKT DATA'!R1717</f>
        <v>0</v>
      </c>
      <c r="O34" s="8">
        <f>'MKT DATA'!S1717</f>
        <v>-85908</v>
      </c>
      <c r="P34" s="8">
        <f>'MKT DATA'!T1717</f>
        <v>0</v>
      </c>
      <c r="Q34" s="43" t="str">
        <f t="shared" si="3"/>
        <v>syn BTCF7/BTCZ6/BTCH7</v>
      </c>
      <c r="R34" s="13">
        <f>'MKT DATA'!AB1717</f>
        <v>0</v>
      </c>
    </row>
    <row r="35" spans="5:18" x14ac:dyDescent="0.25">
      <c r="E35" s="43" t="str">
        <f>'MKT DATA'!B1718</f>
        <v>syn BTCF7/BTCG7/BTCH7</v>
      </c>
      <c r="F35" s="13">
        <f>'MKT DATA'!J1718</f>
        <v>1</v>
      </c>
      <c r="G35" s="8">
        <f>'MKT DATA'!K1718</f>
        <v>85079</v>
      </c>
      <c r="H35" s="8">
        <f>'MKT DATA'!L1718</f>
        <v>85770</v>
      </c>
      <c r="I35" s="13">
        <f>'MKT DATA'!M1718</f>
        <v>1</v>
      </c>
      <c r="J35" s="43" t="str">
        <f t="shared" si="2"/>
        <v>syn BTCF7/BTCG7/BTCH7</v>
      </c>
      <c r="K35" s="8">
        <f>'MKT DATA'!O1718</f>
        <v>0</v>
      </c>
      <c r="L35" s="8">
        <f>'MKT DATA'!P1718</f>
        <v>85079</v>
      </c>
      <c r="M35" s="8">
        <f>'MKT DATA'!Q1718</f>
        <v>0</v>
      </c>
      <c r="N35" s="8">
        <f>'MKT DATA'!R1718</f>
        <v>0</v>
      </c>
      <c r="O35" s="8">
        <f>'MKT DATA'!S1718</f>
        <v>-85770</v>
      </c>
      <c r="P35" s="8">
        <f>'MKT DATA'!T1718</f>
        <v>0</v>
      </c>
      <c r="Q35" s="43" t="str">
        <f t="shared" si="3"/>
        <v>syn BTCF7/BTCG7/BTCH7</v>
      </c>
      <c r="R35" s="13">
        <f>'MKT DATA'!AB1718</f>
        <v>0</v>
      </c>
    </row>
    <row r="36" spans="5:18" x14ac:dyDescent="0.25">
      <c r="E36" s="43" t="str">
        <f>'MKT DATA'!B1719</f>
        <v>syn BTCG7/BTCV6/BTCH7</v>
      </c>
      <c r="F36" s="13">
        <f>'MKT DATA'!J1719</f>
        <v>1</v>
      </c>
      <c r="G36" s="8">
        <f>'MKT DATA'!K1719</f>
        <v>84675</v>
      </c>
      <c r="H36" s="8">
        <f>'MKT DATA'!L1719</f>
        <v>86135</v>
      </c>
      <c r="I36" s="13">
        <f>'MKT DATA'!M1719</f>
        <v>1</v>
      </c>
      <c r="J36" s="43" t="str">
        <f t="shared" si="2"/>
        <v>syn BTCG7/BTCV6/BTCH7</v>
      </c>
      <c r="K36" s="8">
        <f>'MKT DATA'!O1719</f>
        <v>0</v>
      </c>
      <c r="L36" s="8">
        <f>'MKT DATA'!P1719</f>
        <v>84675</v>
      </c>
      <c r="M36" s="8">
        <f>'MKT DATA'!Q1719</f>
        <v>0</v>
      </c>
      <c r="N36" s="8">
        <f>'MKT DATA'!R1719</f>
        <v>0</v>
      </c>
      <c r="O36" s="8">
        <f>'MKT DATA'!S1719</f>
        <v>-86135</v>
      </c>
      <c r="P36" s="8">
        <f>'MKT DATA'!T1719</f>
        <v>0</v>
      </c>
      <c r="Q36" s="43" t="str">
        <f t="shared" si="3"/>
        <v>syn BTCG7/BTCV6/BTCH7</v>
      </c>
      <c r="R36" s="13">
        <f>'MKT DATA'!AB1719</f>
        <v>0</v>
      </c>
    </row>
    <row r="37" spans="5:18" x14ac:dyDescent="0.25">
      <c r="E37" s="43" t="str">
        <f>'MKT DATA'!B1720</f>
        <v>syn BTCG7/BTCX6/BTCH7</v>
      </c>
      <c r="F37" s="13">
        <f>'MKT DATA'!J1720</f>
        <v>1</v>
      </c>
      <c r="G37" s="8">
        <f>'MKT DATA'!K1720</f>
        <v>84650</v>
      </c>
      <c r="H37" s="8">
        <f>'MKT DATA'!L1720</f>
        <v>86160</v>
      </c>
      <c r="I37" s="13">
        <f>'MKT DATA'!M1720</f>
        <v>1</v>
      </c>
      <c r="J37" s="43" t="str">
        <f t="shared" si="2"/>
        <v>syn BTCG7/BTCX6/BTCH7</v>
      </c>
      <c r="K37" s="8">
        <f>'MKT DATA'!O1720</f>
        <v>0</v>
      </c>
      <c r="L37" s="8">
        <f>'MKT DATA'!P1720</f>
        <v>84650</v>
      </c>
      <c r="M37" s="8">
        <f>'MKT DATA'!Q1720</f>
        <v>0</v>
      </c>
      <c r="N37" s="8">
        <f>'MKT DATA'!R1720</f>
        <v>0</v>
      </c>
      <c r="O37" s="8">
        <f>'MKT DATA'!S1720</f>
        <v>-86160</v>
      </c>
      <c r="P37" s="8">
        <f>'MKT DATA'!T1720</f>
        <v>0</v>
      </c>
      <c r="Q37" s="43" t="str">
        <f t="shared" si="3"/>
        <v>syn BTCG7/BTCX6/BTCH7</v>
      </c>
      <c r="R37" s="13">
        <f>'MKT DATA'!AB1720</f>
        <v>0</v>
      </c>
    </row>
    <row r="38" spans="5:18" x14ac:dyDescent="0.25">
      <c r="E38" s="43" t="str">
        <f>'MKT DATA'!B1721</f>
        <v>syn BTCG7/BTCZ6/BTCH7</v>
      </c>
      <c r="F38" s="13">
        <f>'MKT DATA'!J1721</f>
        <v>1</v>
      </c>
      <c r="G38" s="8">
        <f>'MKT DATA'!K1721</f>
        <v>84815</v>
      </c>
      <c r="H38" s="8">
        <f>'MKT DATA'!L1721</f>
        <v>86175</v>
      </c>
      <c r="I38" s="13">
        <f>'MKT DATA'!M1721</f>
        <v>1</v>
      </c>
      <c r="J38" s="43" t="str">
        <f t="shared" si="2"/>
        <v>syn BTCG7/BTCZ6/BTCH7</v>
      </c>
      <c r="K38" s="8">
        <f>'MKT DATA'!O1721</f>
        <v>0</v>
      </c>
      <c r="L38" s="8">
        <f>'MKT DATA'!P1721</f>
        <v>84815</v>
      </c>
      <c r="M38" s="8">
        <f>'MKT DATA'!Q1721</f>
        <v>0</v>
      </c>
      <c r="N38" s="8">
        <f>'MKT DATA'!R1721</f>
        <v>0</v>
      </c>
      <c r="O38" s="8">
        <f>'MKT DATA'!S1721</f>
        <v>-86175</v>
      </c>
      <c r="P38" s="8">
        <f>'MKT DATA'!T1721</f>
        <v>0</v>
      </c>
      <c r="Q38" s="43" t="str">
        <f t="shared" si="3"/>
        <v>syn BTCG7/BTCZ6/BTCH7</v>
      </c>
      <c r="R38" s="13">
        <f>'MKT DATA'!AB1721</f>
        <v>0</v>
      </c>
    </row>
    <row r="39" spans="5:18" x14ac:dyDescent="0.25">
      <c r="E39" s="43" t="str">
        <f>'MKT DATA'!B1722</f>
        <v>syn BTCG7/BTCF7/BTCH7</v>
      </c>
      <c r="F39" s="13">
        <f>'MKT DATA'!J1722</f>
        <v>1</v>
      </c>
      <c r="G39" s="8">
        <f>'MKT DATA'!K1722</f>
        <v>84705</v>
      </c>
      <c r="H39" s="8">
        <f>'MKT DATA'!L1722</f>
        <v>86121</v>
      </c>
      <c r="I39" s="13">
        <f>'MKT DATA'!M1722</f>
        <v>1</v>
      </c>
      <c r="J39" s="43" t="str">
        <f t="shared" si="2"/>
        <v>syn BTCG7/BTCF7/BTCH7</v>
      </c>
      <c r="K39" s="8">
        <f>'MKT DATA'!O1722</f>
        <v>0</v>
      </c>
      <c r="L39" s="8">
        <f>'MKT DATA'!P1722</f>
        <v>84705</v>
      </c>
      <c r="M39" s="8">
        <f>'MKT DATA'!Q1722</f>
        <v>0</v>
      </c>
      <c r="N39" s="8">
        <f>'MKT DATA'!R1722</f>
        <v>0</v>
      </c>
      <c r="O39" s="8">
        <f>'MKT DATA'!S1722</f>
        <v>-86121</v>
      </c>
      <c r="P39" s="8">
        <f>'MKT DATA'!T1722</f>
        <v>0</v>
      </c>
      <c r="Q39" s="43" t="str">
        <f t="shared" si="3"/>
        <v>syn BTCG7/BTCF7/BTCH7</v>
      </c>
      <c r="R39" s="13">
        <f>'MKT DATA'!AB1722</f>
        <v>0</v>
      </c>
    </row>
    <row r="40" spans="5:18" x14ac:dyDescent="0.25">
      <c r="E40" s="43" t="str">
        <f>'MKT DATA'!B1723</f>
        <v>syn BTCV6/BTCX6/BTCZ6/BTCH7</v>
      </c>
      <c r="F40" s="13">
        <f>'MKT DATA'!J1723</f>
        <v>1</v>
      </c>
      <c r="G40" s="8">
        <f>'MKT DATA'!K1723</f>
        <v>85171</v>
      </c>
      <c r="H40" s="8">
        <f>'MKT DATA'!L1723</f>
        <v>85827</v>
      </c>
      <c r="I40" s="13">
        <f>'MKT DATA'!M1723</f>
        <v>1</v>
      </c>
      <c r="J40" s="43" t="str">
        <f t="shared" si="2"/>
        <v>syn BTCV6/BTCX6/BTCZ6/BTCH7</v>
      </c>
      <c r="K40" s="8">
        <f>'MKT DATA'!O1723</f>
        <v>0</v>
      </c>
      <c r="L40" s="8">
        <f>'MKT DATA'!P1723</f>
        <v>85171</v>
      </c>
      <c r="M40" s="8">
        <f>'MKT DATA'!Q1723</f>
        <v>0</v>
      </c>
      <c r="N40" s="8">
        <f>'MKT DATA'!R1723</f>
        <v>0</v>
      </c>
      <c r="O40" s="8">
        <f>'MKT DATA'!S1723</f>
        <v>-85827</v>
      </c>
      <c r="P40" s="8">
        <f>'MKT DATA'!T1723</f>
        <v>0</v>
      </c>
      <c r="Q40" s="43" t="str">
        <f t="shared" si="3"/>
        <v>syn BTCV6/BTCX6/BTCZ6/BTCH7</v>
      </c>
      <c r="R40" s="13">
        <f>'MKT DATA'!AB1723</f>
        <v>0</v>
      </c>
    </row>
    <row r="41" spans="5:18" x14ac:dyDescent="0.25">
      <c r="E41" s="43" t="str">
        <f>'MKT DATA'!B1724</f>
        <v>syn BTCV6/BTCX6/BTCF7/BTCH7</v>
      </c>
      <c r="F41" s="13">
        <f>'MKT DATA'!J1724</f>
        <v>1</v>
      </c>
      <c r="G41" s="8">
        <f>'MKT DATA'!K1724</f>
        <v>84858</v>
      </c>
      <c r="H41" s="8">
        <f>'MKT DATA'!L1724</f>
        <v>85925</v>
      </c>
      <c r="I41" s="13">
        <f>'MKT DATA'!M1724</f>
        <v>1</v>
      </c>
      <c r="J41" s="43" t="str">
        <f t="shared" si="2"/>
        <v>syn BTCV6/BTCX6/BTCF7/BTCH7</v>
      </c>
      <c r="K41" s="8">
        <f>'MKT DATA'!O1724</f>
        <v>0</v>
      </c>
      <c r="L41" s="8">
        <f>'MKT DATA'!P1724</f>
        <v>84858</v>
      </c>
      <c r="M41" s="8">
        <f>'MKT DATA'!Q1724</f>
        <v>0</v>
      </c>
      <c r="N41" s="8">
        <f>'MKT DATA'!R1724</f>
        <v>0</v>
      </c>
      <c r="O41" s="8">
        <f>'MKT DATA'!S1724</f>
        <v>-85925</v>
      </c>
      <c r="P41" s="8">
        <f>'MKT DATA'!T1724</f>
        <v>0</v>
      </c>
      <c r="Q41" s="43" t="str">
        <f t="shared" si="3"/>
        <v>syn BTCV6/BTCX6/BTCF7/BTCH7</v>
      </c>
      <c r="R41" s="13">
        <f>'MKT DATA'!AB1724</f>
        <v>0</v>
      </c>
    </row>
    <row r="42" spans="5:18" x14ac:dyDescent="0.25">
      <c r="E42" s="43" t="str">
        <f>'MKT DATA'!B1725</f>
        <v>syn BTCV6/BTCX6/BTCG7/BTCH7</v>
      </c>
      <c r="F42" s="13">
        <f>'MKT DATA'!J1725</f>
        <v>1</v>
      </c>
      <c r="G42" s="8">
        <f>'MKT DATA'!K1725</f>
        <v>85047</v>
      </c>
      <c r="H42" s="8">
        <f>'MKT DATA'!L1725</f>
        <v>85811</v>
      </c>
      <c r="I42" s="13">
        <f>'MKT DATA'!M1725</f>
        <v>1</v>
      </c>
      <c r="J42" s="43" t="str">
        <f t="shared" si="2"/>
        <v>syn BTCV6/BTCX6/BTCG7/BTCH7</v>
      </c>
      <c r="K42" s="8">
        <f>'MKT DATA'!O1725</f>
        <v>0</v>
      </c>
      <c r="L42" s="8">
        <f>'MKT DATA'!P1725</f>
        <v>85047</v>
      </c>
      <c r="M42" s="8">
        <f>'MKT DATA'!Q1725</f>
        <v>0</v>
      </c>
      <c r="N42" s="8">
        <f>'MKT DATA'!R1725</f>
        <v>0</v>
      </c>
      <c r="O42" s="8">
        <f>'MKT DATA'!S1725</f>
        <v>-85811</v>
      </c>
      <c r="P42" s="8">
        <f>'MKT DATA'!T1725</f>
        <v>0</v>
      </c>
      <c r="Q42" s="43" t="str">
        <f t="shared" si="3"/>
        <v>syn BTCV6/BTCX6/BTCG7/BTCH7</v>
      </c>
      <c r="R42" s="13">
        <f>'MKT DATA'!AB1725</f>
        <v>0</v>
      </c>
    </row>
    <row r="43" spans="5:18" x14ac:dyDescent="0.25">
      <c r="E43" s="43" t="str">
        <f>'MKT DATA'!B1726</f>
        <v>syn BTCV6/BTCZ6/BTCX6/BTCH7</v>
      </c>
      <c r="F43" s="13">
        <f>'MKT DATA'!J1726</f>
        <v>1</v>
      </c>
      <c r="G43" s="8">
        <f>'MKT DATA'!K1726</f>
        <v>84960</v>
      </c>
      <c r="H43" s="8">
        <f>'MKT DATA'!L1726</f>
        <v>85843</v>
      </c>
      <c r="I43" s="13">
        <f>'MKT DATA'!M1726</f>
        <v>1</v>
      </c>
      <c r="J43" s="43" t="str">
        <f t="shared" si="2"/>
        <v>syn BTCV6/BTCZ6/BTCX6/BTCH7</v>
      </c>
      <c r="K43" s="8">
        <f>'MKT DATA'!O1726</f>
        <v>0</v>
      </c>
      <c r="L43" s="8">
        <f>'MKT DATA'!P1726</f>
        <v>84960</v>
      </c>
      <c r="M43" s="8">
        <f>'MKT DATA'!Q1726</f>
        <v>0</v>
      </c>
      <c r="N43" s="8">
        <f>'MKT DATA'!R1726</f>
        <v>0</v>
      </c>
      <c r="O43" s="8">
        <f>'MKT DATA'!S1726</f>
        <v>-85843</v>
      </c>
      <c r="P43" s="8">
        <f>'MKT DATA'!T1726</f>
        <v>0</v>
      </c>
      <c r="Q43" s="43" t="str">
        <f t="shared" si="3"/>
        <v>syn BTCV6/BTCZ6/BTCX6/BTCH7</v>
      </c>
      <c r="R43" s="13">
        <f>'MKT DATA'!AB1726</f>
        <v>0</v>
      </c>
    </row>
    <row r="44" spans="5:18" x14ac:dyDescent="0.25">
      <c r="E44" s="43" t="str">
        <f>'MKT DATA'!B1727</f>
        <v>syn BTCV6/BTCZ6/BTCF7/BTCH7</v>
      </c>
      <c r="F44" s="13">
        <f>'MKT DATA'!J1727</f>
        <v>1</v>
      </c>
      <c r="G44" s="8">
        <f>'MKT DATA'!K1727</f>
        <v>84893</v>
      </c>
      <c r="H44" s="8">
        <f>'MKT DATA'!L1727</f>
        <v>85921</v>
      </c>
      <c r="I44" s="13">
        <f>'MKT DATA'!M1727</f>
        <v>1</v>
      </c>
      <c r="J44" s="43" t="str">
        <f t="shared" si="2"/>
        <v>syn BTCV6/BTCZ6/BTCF7/BTCH7</v>
      </c>
      <c r="K44" s="8">
        <f>'MKT DATA'!O1727</f>
        <v>0</v>
      </c>
      <c r="L44" s="8">
        <f>'MKT DATA'!P1727</f>
        <v>84893</v>
      </c>
      <c r="M44" s="8">
        <f>'MKT DATA'!Q1727</f>
        <v>0</v>
      </c>
      <c r="N44" s="8">
        <f>'MKT DATA'!R1727</f>
        <v>0</v>
      </c>
      <c r="O44" s="8">
        <f>'MKT DATA'!S1727</f>
        <v>-85921</v>
      </c>
      <c r="P44" s="8">
        <f>'MKT DATA'!T1727</f>
        <v>0</v>
      </c>
      <c r="Q44" s="43" t="str">
        <f t="shared" si="3"/>
        <v>syn BTCV6/BTCZ6/BTCF7/BTCH7</v>
      </c>
      <c r="R44" s="13">
        <f>'MKT DATA'!AB1727</f>
        <v>0</v>
      </c>
    </row>
    <row r="45" spans="5:18" x14ac:dyDescent="0.25">
      <c r="E45" s="43" t="str">
        <f>'MKT DATA'!B1728</f>
        <v>syn BTCV6/BTCZ6/BTCG7/BTCH7</v>
      </c>
      <c r="F45" s="13">
        <f>'MKT DATA'!J1728</f>
        <v>1</v>
      </c>
      <c r="G45" s="8">
        <f>'MKT DATA'!K1728</f>
        <v>85016</v>
      </c>
      <c r="H45" s="8">
        <f>'MKT DATA'!L1728</f>
        <v>85857</v>
      </c>
      <c r="I45" s="13">
        <f>'MKT DATA'!M1728</f>
        <v>1</v>
      </c>
      <c r="J45" s="43" t="str">
        <f t="shared" si="2"/>
        <v>syn BTCV6/BTCZ6/BTCG7/BTCH7</v>
      </c>
      <c r="K45" s="8">
        <f>'MKT DATA'!O1728</f>
        <v>0</v>
      </c>
      <c r="L45" s="8">
        <f>'MKT DATA'!P1728</f>
        <v>85016</v>
      </c>
      <c r="M45" s="8">
        <f>'MKT DATA'!Q1728</f>
        <v>0</v>
      </c>
      <c r="N45" s="8">
        <f>'MKT DATA'!R1728</f>
        <v>0</v>
      </c>
      <c r="O45" s="8">
        <f>'MKT DATA'!S1728</f>
        <v>-85857</v>
      </c>
      <c r="P45" s="8">
        <f>'MKT DATA'!T1728</f>
        <v>0</v>
      </c>
      <c r="Q45" s="43" t="str">
        <f t="shared" si="3"/>
        <v>syn BTCV6/BTCZ6/BTCG7/BTCH7</v>
      </c>
      <c r="R45" s="13">
        <f>'MKT DATA'!AB1728</f>
        <v>0</v>
      </c>
    </row>
    <row r="46" spans="5:18" x14ac:dyDescent="0.25">
      <c r="E46" s="43" t="str">
        <f>'MKT DATA'!B1729</f>
        <v>syn BTCV6/BTCF7/BTCX6/BTCH7</v>
      </c>
      <c r="F46" s="13">
        <f>'MKT DATA'!J1729</f>
        <v>1</v>
      </c>
      <c r="G46" s="8">
        <f>'MKT DATA'!K1729</f>
        <v>84857</v>
      </c>
      <c r="H46" s="8">
        <f>'MKT DATA'!L1729</f>
        <v>85943</v>
      </c>
      <c r="I46" s="13">
        <f>'MKT DATA'!M1729</f>
        <v>1</v>
      </c>
      <c r="J46" s="43" t="str">
        <f t="shared" si="2"/>
        <v>syn BTCV6/BTCF7/BTCX6/BTCH7</v>
      </c>
      <c r="K46" s="8">
        <f>'MKT DATA'!O1729</f>
        <v>0</v>
      </c>
      <c r="L46" s="8">
        <f>'MKT DATA'!P1729</f>
        <v>84857</v>
      </c>
      <c r="M46" s="8">
        <f>'MKT DATA'!Q1729</f>
        <v>0</v>
      </c>
      <c r="N46" s="8">
        <f>'MKT DATA'!R1729</f>
        <v>0</v>
      </c>
      <c r="O46" s="8">
        <f>'MKT DATA'!S1729</f>
        <v>-85943</v>
      </c>
      <c r="P46" s="8">
        <f>'MKT DATA'!T1729</f>
        <v>0</v>
      </c>
      <c r="Q46" s="43" t="str">
        <f t="shared" si="3"/>
        <v>syn BTCV6/BTCF7/BTCX6/BTCH7</v>
      </c>
      <c r="R46" s="13">
        <f>'MKT DATA'!AB1729</f>
        <v>0</v>
      </c>
    </row>
    <row r="47" spans="5:18" x14ac:dyDescent="0.25">
      <c r="E47" s="43" t="str">
        <f>'MKT DATA'!B1730</f>
        <v>syn BTCV6/BTCF7/BTCZ6/BTCH7</v>
      </c>
      <c r="F47" s="13">
        <f>'MKT DATA'!J1730</f>
        <v>1</v>
      </c>
      <c r="G47" s="8">
        <f>'MKT DATA'!K1730</f>
        <v>85072</v>
      </c>
      <c r="H47" s="8">
        <f>'MKT DATA'!L1730</f>
        <v>85892</v>
      </c>
      <c r="I47" s="13">
        <f>'MKT DATA'!M1730</f>
        <v>1</v>
      </c>
      <c r="J47" s="43" t="str">
        <f t="shared" si="2"/>
        <v>syn BTCV6/BTCF7/BTCZ6/BTCH7</v>
      </c>
      <c r="K47" s="8">
        <f>'MKT DATA'!O1730</f>
        <v>0</v>
      </c>
      <c r="L47" s="8">
        <f>'MKT DATA'!P1730</f>
        <v>85072</v>
      </c>
      <c r="M47" s="8">
        <f>'MKT DATA'!Q1730</f>
        <v>0</v>
      </c>
      <c r="N47" s="8">
        <f>'MKT DATA'!R1730</f>
        <v>0</v>
      </c>
      <c r="O47" s="8">
        <f>'MKT DATA'!S1730</f>
        <v>-85892</v>
      </c>
      <c r="P47" s="8">
        <f>'MKT DATA'!T1730</f>
        <v>0</v>
      </c>
      <c r="Q47" s="43" t="str">
        <f t="shared" si="3"/>
        <v>syn BTCV6/BTCF7/BTCZ6/BTCH7</v>
      </c>
      <c r="R47" s="13">
        <f>'MKT DATA'!AB1730</f>
        <v>0</v>
      </c>
    </row>
    <row r="48" spans="5:18" x14ac:dyDescent="0.25">
      <c r="E48" s="43" t="str">
        <f>'MKT DATA'!B1731</f>
        <v>syn BTCV6/BTCF7/BTCG7/BTCH7</v>
      </c>
      <c r="F48" s="13">
        <f>'MKT DATA'!J1731</f>
        <v>1</v>
      </c>
      <c r="G48" s="8">
        <f>'MKT DATA'!K1731</f>
        <v>85065</v>
      </c>
      <c r="H48" s="8">
        <f>'MKT DATA'!L1731</f>
        <v>85754</v>
      </c>
      <c r="I48" s="13">
        <f>'MKT DATA'!M1731</f>
        <v>1</v>
      </c>
      <c r="J48" s="43" t="str">
        <f t="shared" si="2"/>
        <v>syn BTCV6/BTCF7/BTCG7/BTCH7</v>
      </c>
      <c r="K48" s="8">
        <f>'MKT DATA'!O1731</f>
        <v>0</v>
      </c>
      <c r="L48" s="8">
        <f>'MKT DATA'!P1731</f>
        <v>85065</v>
      </c>
      <c r="M48" s="8">
        <f>'MKT DATA'!Q1731</f>
        <v>0</v>
      </c>
      <c r="N48" s="8">
        <f>'MKT DATA'!R1731</f>
        <v>0</v>
      </c>
      <c r="O48" s="8">
        <f>'MKT DATA'!S1731</f>
        <v>-85754</v>
      </c>
      <c r="P48" s="8">
        <f>'MKT DATA'!T1731</f>
        <v>0</v>
      </c>
      <c r="Q48" s="43" t="str">
        <f t="shared" si="3"/>
        <v>syn BTCV6/BTCF7/BTCG7/BTCH7</v>
      </c>
      <c r="R48" s="13">
        <f>'MKT DATA'!AB1731</f>
        <v>0</v>
      </c>
    </row>
    <row r="49" spans="5:18" x14ac:dyDescent="0.25">
      <c r="E49" s="43" t="str">
        <f>'MKT DATA'!B1732</f>
        <v>syn BTCV6/BTCG7/BTCX6/BTCH7</v>
      </c>
      <c r="F49" s="13">
        <f>'MKT DATA'!J1732</f>
        <v>1</v>
      </c>
      <c r="G49" s="8">
        <f>'MKT DATA'!K1732</f>
        <v>84620</v>
      </c>
      <c r="H49" s="8">
        <f>'MKT DATA'!L1732</f>
        <v>86190</v>
      </c>
      <c r="I49" s="13">
        <f>'MKT DATA'!M1732</f>
        <v>1</v>
      </c>
      <c r="J49" s="43" t="str">
        <f t="shared" si="2"/>
        <v>syn BTCV6/BTCG7/BTCX6/BTCH7</v>
      </c>
      <c r="K49" s="8">
        <f>'MKT DATA'!O1732</f>
        <v>0</v>
      </c>
      <c r="L49" s="8">
        <f>'MKT DATA'!P1732</f>
        <v>84620</v>
      </c>
      <c r="M49" s="8">
        <f>'MKT DATA'!Q1732</f>
        <v>0</v>
      </c>
      <c r="N49" s="8">
        <f>'MKT DATA'!R1732</f>
        <v>0</v>
      </c>
      <c r="O49" s="8">
        <f>'MKT DATA'!S1732</f>
        <v>-86190</v>
      </c>
      <c r="P49" s="8">
        <f>'MKT DATA'!T1732</f>
        <v>0</v>
      </c>
      <c r="Q49" s="43" t="str">
        <f t="shared" si="3"/>
        <v>syn BTCV6/BTCG7/BTCX6/BTCH7</v>
      </c>
      <c r="R49" s="13">
        <f>'MKT DATA'!AB1732</f>
        <v>0</v>
      </c>
    </row>
    <row r="50" spans="5:18" x14ac:dyDescent="0.25">
      <c r="E50" s="43" t="str">
        <f>'MKT DATA'!B1733</f>
        <v>syn BTCV6/BTCG7/BTCZ6/BTCH7</v>
      </c>
      <c r="F50" s="13">
        <f>'MKT DATA'!J1733</f>
        <v>1</v>
      </c>
      <c r="G50" s="8">
        <f>'MKT DATA'!K1733</f>
        <v>84785</v>
      </c>
      <c r="H50" s="8">
        <f>'MKT DATA'!L1733</f>
        <v>86205</v>
      </c>
      <c r="I50" s="13">
        <f>'MKT DATA'!M1733</f>
        <v>1</v>
      </c>
      <c r="J50" s="43" t="str">
        <f t="shared" si="2"/>
        <v>syn BTCV6/BTCG7/BTCZ6/BTCH7</v>
      </c>
      <c r="K50" s="8">
        <f>'MKT DATA'!O1733</f>
        <v>0</v>
      </c>
      <c r="L50" s="8">
        <f>'MKT DATA'!P1733</f>
        <v>84785</v>
      </c>
      <c r="M50" s="8">
        <f>'MKT DATA'!Q1733</f>
        <v>0</v>
      </c>
      <c r="N50" s="8">
        <f>'MKT DATA'!R1733</f>
        <v>0</v>
      </c>
      <c r="O50" s="8">
        <f>'MKT DATA'!S1733</f>
        <v>-86205</v>
      </c>
      <c r="P50" s="8">
        <f>'MKT DATA'!T1733</f>
        <v>0</v>
      </c>
      <c r="Q50" s="43" t="str">
        <f t="shared" si="3"/>
        <v>syn BTCV6/BTCG7/BTCZ6/BTCH7</v>
      </c>
      <c r="R50" s="13">
        <f>'MKT DATA'!AB1733</f>
        <v>0</v>
      </c>
    </row>
    <row r="51" spans="5:18" x14ac:dyDescent="0.25">
      <c r="E51" s="43" t="str">
        <f>'MKT DATA'!B1734</f>
        <v>syn BTCV6/BTCG7/BTCF7/BTCH7</v>
      </c>
      <c r="F51" s="13">
        <f>'MKT DATA'!J1734</f>
        <v>1</v>
      </c>
      <c r="G51" s="8">
        <f>'MKT DATA'!K1734</f>
        <v>84675</v>
      </c>
      <c r="H51" s="8">
        <f>'MKT DATA'!L1734</f>
        <v>86151</v>
      </c>
      <c r="I51" s="13">
        <f>'MKT DATA'!M1734</f>
        <v>1</v>
      </c>
      <c r="J51" s="43" t="str">
        <f t="shared" si="2"/>
        <v>syn BTCV6/BTCG7/BTCF7/BTCH7</v>
      </c>
      <c r="K51" s="8">
        <f>'MKT DATA'!O1734</f>
        <v>0</v>
      </c>
      <c r="L51" s="8">
        <f>'MKT DATA'!P1734</f>
        <v>84675</v>
      </c>
      <c r="M51" s="8">
        <f>'MKT DATA'!Q1734</f>
        <v>0</v>
      </c>
      <c r="N51" s="8">
        <f>'MKT DATA'!R1734</f>
        <v>0</v>
      </c>
      <c r="O51" s="8">
        <f>'MKT DATA'!S1734</f>
        <v>-86151</v>
      </c>
      <c r="P51" s="8">
        <f>'MKT DATA'!T1734</f>
        <v>0</v>
      </c>
      <c r="Q51" s="43" t="str">
        <f t="shared" si="3"/>
        <v>syn BTCV6/BTCG7/BTCF7/BTCH7</v>
      </c>
      <c r="R51" s="13">
        <f>'MKT DATA'!AB1734</f>
        <v>0</v>
      </c>
    </row>
    <row r="52" spans="5:18" x14ac:dyDescent="0.25">
      <c r="E52" s="43" t="str">
        <f>'MKT DATA'!B1735</f>
        <v>syn BTCX6/BTCV6/BTCZ6/BTCH7</v>
      </c>
      <c r="F52" s="13">
        <f>'MKT DATA'!J1735</f>
        <v>1</v>
      </c>
      <c r="G52" s="8">
        <f>'MKT DATA'!K1735</f>
        <v>85155</v>
      </c>
      <c r="H52" s="8">
        <f>'MKT DATA'!L1735</f>
        <v>85850</v>
      </c>
      <c r="I52" s="13">
        <f>'MKT DATA'!M1735</f>
        <v>1</v>
      </c>
      <c r="J52" s="43" t="str">
        <f t="shared" si="2"/>
        <v>syn BTCX6/BTCV6/BTCZ6/BTCH7</v>
      </c>
      <c r="K52" s="8">
        <f>'MKT DATA'!O1735</f>
        <v>0</v>
      </c>
      <c r="L52" s="8">
        <f>'MKT DATA'!P1735</f>
        <v>85155</v>
      </c>
      <c r="M52" s="8">
        <f>'MKT DATA'!Q1735</f>
        <v>0</v>
      </c>
      <c r="N52" s="8">
        <f>'MKT DATA'!R1735</f>
        <v>0</v>
      </c>
      <c r="O52" s="8">
        <f>'MKT DATA'!S1735</f>
        <v>-85850</v>
      </c>
      <c r="P52" s="8">
        <f>'MKT DATA'!T1735</f>
        <v>0</v>
      </c>
      <c r="Q52" s="43" t="str">
        <f t="shared" si="3"/>
        <v>syn BTCX6/BTCV6/BTCZ6/BTCH7</v>
      </c>
      <c r="R52" s="13">
        <f>'MKT DATA'!AB1735</f>
        <v>0</v>
      </c>
    </row>
    <row r="53" spans="5:18" x14ac:dyDescent="0.25">
      <c r="E53" s="43" t="str">
        <f>'MKT DATA'!B1736</f>
        <v>syn BTCX6/BTCV6/BTCF7/BTCH7</v>
      </c>
      <c r="F53" s="13">
        <f>'MKT DATA'!J1736</f>
        <v>1</v>
      </c>
      <c r="G53" s="8">
        <f>'MKT DATA'!K1736</f>
        <v>84825</v>
      </c>
      <c r="H53" s="8">
        <f>'MKT DATA'!L1736</f>
        <v>85962</v>
      </c>
      <c r="I53" s="13">
        <f>'MKT DATA'!M1736</f>
        <v>1</v>
      </c>
      <c r="J53" s="43" t="str">
        <f t="shared" si="2"/>
        <v>syn BTCX6/BTCV6/BTCF7/BTCH7</v>
      </c>
      <c r="K53" s="8">
        <f>'MKT DATA'!O1736</f>
        <v>0</v>
      </c>
      <c r="L53" s="8">
        <f>'MKT DATA'!P1736</f>
        <v>84825</v>
      </c>
      <c r="M53" s="8">
        <f>'MKT DATA'!Q1736</f>
        <v>0</v>
      </c>
      <c r="N53" s="8">
        <f>'MKT DATA'!R1736</f>
        <v>0</v>
      </c>
      <c r="O53" s="8">
        <f>'MKT DATA'!S1736</f>
        <v>-85962</v>
      </c>
      <c r="P53" s="8">
        <f>'MKT DATA'!T1736</f>
        <v>0</v>
      </c>
      <c r="Q53" s="43" t="str">
        <f t="shared" si="3"/>
        <v>syn BTCX6/BTCV6/BTCF7/BTCH7</v>
      </c>
      <c r="R53" s="13">
        <f>'MKT DATA'!AB1736</f>
        <v>0</v>
      </c>
    </row>
    <row r="54" spans="5:18" x14ac:dyDescent="0.25">
      <c r="E54" s="43" t="str">
        <f>'MKT DATA'!B1737</f>
        <v>syn BTCX6/BTCV6/BTCG7/BTCH7</v>
      </c>
      <c r="F54" s="13">
        <f>'MKT DATA'!J1737</f>
        <v>1</v>
      </c>
      <c r="G54" s="8">
        <f>'MKT DATA'!K1737</f>
        <v>85054</v>
      </c>
      <c r="H54" s="8">
        <f>'MKT DATA'!L1737</f>
        <v>85818</v>
      </c>
      <c r="I54" s="13">
        <f>'MKT DATA'!M1737</f>
        <v>1</v>
      </c>
      <c r="J54" s="43" t="str">
        <f t="shared" si="2"/>
        <v>syn BTCX6/BTCV6/BTCG7/BTCH7</v>
      </c>
      <c r="K54" s="8">
        <f>'MKT DATA'!O1737</f>
        <v>0</v>
      </c>
      <c r="L54" s="8">
        <f>'MKT DATA'!P1737</f>
        <v>85054</v>
      </c>
      <c r="M54" s="8">
        <f>'MKT DATA'!Q1737</f>
        <v>0</v>
      </c>
      <c r="N54" s="8">
        <f>'MKT DATA'!R1737</f>
        <v>0</v>
      </c>
      <c r="O54" s="8">
        <f>'MKT DATA'!S1737</f>
        <v>-85818</v>
      </c>
      <c r="P54" s="8">
        <f>'MKT DATA'!T1737</f>
        <v>0</v>
      </c>
      <c r="Q54" s="43" t="str">
        <f t="shared" si="3"/>
        <v>syn BTCX6/BTCV6/BTCG7/BTCH7</v>
      </c>
      <c r="R54" s="13">
        <f>'MKT DATA'!AB1737</f>
        <v>0</v>
      </c>
    </row>
    <row r="55" spans="5:18" x14ac:dyDescent="0.25">
      <c r="E55" s="43" t="str">
        <f>'MKT DATA'!B1738</f>
        <v>syn BTCX6/BTCZ6/BTCV6/BTCH7</v>
      </c>
      <c r="F55" s="13">
        <f>'MKT DATA'!J1738</f>
        <v>1</v>
      </c>
      <c r="G55" s="8">
        <f>'MKT DATA'!K1738</f>
        <v>84967</v>
      </c>
      <c r="H55" s="8">
        <f>'MKT DATA'!L1738</f>
        <v>85850</v>
      </c>
      <c r="I55" s="13">
        <f>'MKT DATA'!M1738</f>
        <v>1</v>
      </c>
      <c r="J55" s="43" t="str">
        <f t="shared" si="2"/>
        <v>syn BTCX6/BTCZ6/BTCV6/BTCH7</v>
      </c>
      <c r="K55" s="8">
        <f>'MKT DATA'!O1738</f>
        <v>0</v>
      </c>
      <c r="L55" s="8">
        <f>'MKT DATA'!P1738</f>
        <v>84967</v>
      </c>
      <c r="M55" s="8">
        <f>'MKT DATA'!Q1738</f>
        <v>0</v>
      </c>
      <c r="N55" s="8">
        <f>'MKT DATA'!R1738</f>
        <v>0</v>
      </c>
      <c r="O55" s="8">
        <f>'MKT DATA'!S1738</f>
        <v>-85850</v>
      </c>
      <c r="P55" s="8">
        <f>'MKT DATA'!T1738</f>
        <v>0</v>
      </c>
      <c r="Q55" s="43" t="str">
        <f t="shared" si="3"/>
        <v>syn BTCX6/BTCZ6/BTCV6/BTCH7</v>
      </c>
      <c r="R55" s="13">
        <f>'MKT DATA'!AB1738</f>
        <v>0</v>
      </c>
    </row>
    <row r="56" spans="5:18" x14ac:dyDescent="0.25">
      <c r="E56" s="43" t="str">
        <f>'MKT DATA'!B1739</f>
        <v>syn BTCX6/BTCZ6/BTCF7/BTCH7</v>
      </c>
      <c r="F56" s="13">
        <f>'MKT DATA'!J1739</f>
        <v>1</v>
      </c>
      <c r="G56" s="8">
        <f>'MKT DATA'!K1739</f>
        <v>84891</v>
      </c>
      <c r="H56" s="8">
        <f>'MKT DATA'!L1739</f>
        <v>85930</v>
      </c>
      <c r="I56" s="13">
        <f>'MKT DATA'!M1739</f>
        <v>1</v>
      </c>
      <c r="J56" s="43" t="str">
        <f t="shared" si="2"/>
        <v>syn BTCX6/BTCZ6/BTCF7/BTCH7</v>
      </c>
      <c r="K56" s="8">
        <f>'MKT DATA'!O1739</f>
        <v>0</v>
      </c>
      <c r="L56" s="8">
        <f>'MKT DATA'!P1739</f>
        <v>84891</v>
      </c>
      <c r="M56" s="8">
        <f>'MKT DATA'!Q1739</f>
        <v>0</v>
      </c>
      <c r="N56" s="8">
        <f>'MKT DATA'!R1739</f>
        <v>0</v>
      </c>
      <c r="O56" s="8">
        <f>'MKT DATA'!S1739</f>
        <v>-85930</v>
      </c>
      <c r="P56" s="8">
        <f>'MKT DATA'!T1739</f>
        <v>0</v>
      </c>
      <c r="Q56" s="43" t="str">
        <f t="shared" si="3"/>
        <v>syn BTCX6/BTCZ6/BTCF7/BTCH7</v>
      </c>
      <c r="R56" s="13">
        <f>'MKT DATA'!AB1739</f>
        <v>0</v>
      </c>
    </row>
    <row r="57" spans="5:18" x14ac:dyDescent="0.25">
      <c r="E57" s="43" t="str">
        <f>'MKT DATA'!B1740</f>
        <v>syn BTCX6/BTCZ6/BTCG7/BTCH7</v>
      </c>
      <c r="F57" s="13">
        <f>'MKT DATA'!J1740</f>
        <v>1</v>
      </c>
      <c r="G57" s="8">
        <f>'MKT DATA'!K1740</f>
        <v>85014</v>
      </c>
      <c r="H57" s="8">
        <f>'MKT DATA'!L1740</f>
        <v>85866</v>
      </c>
      <c r="I57" s="13">
        <f>'MKT DATA'!M1740</f>
        <v>1</v>
      </c>
      <c r="J57" s="43" t="str">
        <f t="shared" si="2"/>
        <v>syn BTCX6/BTCZ6/BTCG7/BTCH7</v>
      </c>
      <c r="K57" s="8">
        <f>'MKT DATA'!O1740</f>
        <v>0</v>
      </c>
      <c r="L57" s="8">
        <f>'MKT DATA'!P1740</f>
        <v>85014</v>
      </c>
      <c r="M57" s="8">
        <f>'MKT DATA'!Q1740</f>
        <v>0</v>
      </c>
      <c r="N57" s="8">
        <f>'MKT DATA'!R1740</f>
        <v>0</v>
      </c>
      <c r="O57" s="8">
        <f>'MKT DATA'!S1740</f>
        <v>-85866</v>
      </c>
      <c r="P57" s="8">
        <f>'MKT DATA'!T1740</f>
        <v>0</v>
      </c>
      <c r="Q57" s="43" t="str">
        <f t="shared" si="3"/>
        <v>syn BTCX6/BTCZ6/BTCG7/BTCH7</v>
      </c>
      <c r="R57" s="13">
        <f>'MKT DATA'!AB1740</f>
        <v>0</v>
      </c>
    </row>
    <row r="58" spans="5:18" x14ac:dyDescent="0.25">
      <c r="E58" s="43" t="str">
        <f>'MKT DATA'!B1741</f>
        <v>syn BTCX6/BTCF7/BTCV6/BTCH7</v>
      </c>
      <c r="F58" s="13">
        <f>'MKT DATA'!J1741</f>
        <v>1</v>
      </c>
      <c r="G58" s="8">
        <f>'MKT DATA'!K1741</f>
        <v>84867</v>
      </c>
      <c r="H58" s="8">
        <f>'MKT DATA'!L1741</f>
        <v>85953</v>
      </c>
      <c r="I58" s="13">
        <f>'MKT DATA'!M1741</f>
        <v>1</v>
      </c>
      <c r="J58" s="43" t="str">
        <f t="shared" si="2"/>
        <v>syn BTCX6/BTCF7/BTCV6/BTCH7</v>
      </c>
      <c r="K58" s="8">
        <f>'MKT DATA'!O1741</f>
        <v>0</v>
      </c>
      <c r="L58" s="8">
        <f>'MKT DATA'!P1741</f>
        <v>84867</v>
      </c>
      <c r="M58" s="8">
        <f>'MKT DATA'!Q1741</f>
        <v>0</v>
      </c>
      <c r="N58" s="8">
        <f>'MKT DATA'!R1741</f>
        <v>0</v>
      </c>
      <c r="O58" s="8">
        <f>'MKT DATA'!S1741</f>
        <v>-85953</v>
      </c>
      <c r="P58" s="8">
        <f>'MKT DATA'!T1741</f>
        <v>0</v>
      </c>
      <c r="Q58" s="43" t="str">
        <f t="shared" si="3"/>
        <v>syn BTCX6/BTCF7/BTCV6/BTCH7</v>
      </c>
      <c r="R58" s="13">
        <f>'MKT DATA'!AB1741</f>
        <v>0</v>
      </c>
    </row>
    <row r="59" spans="5:18" x14ac:dyDescent="0.25">
      <c r="E59" s="43" t="str">
        <f>'MKT DATA'!B1742</f>
        <v>syn BTCX6/BTCF7/BTCZ6/BTCH7</v>
      </c>
      <c r="F59" s="13">
        <f>'MKT DATA'!J1742</f>
        <v>1</v>
      </c>
      <c r="G59" s="8">
        <f>'MKT DATA'!K1742</f>
        <v>85087</v>
      </c>
      <c r="H59" s="8">
        <f>'MKT DATA'!L1742</f>
        <v>85887</v>
      </c>
      <c r="I59" s="13">
        <f>'MKT DATA'!M1742</f>
        <v>1</v>
      </c>
      <c r="J59" s="43" t="str">
        <f t="shared" si="2"/>
        <v>syn BTCX6/BTCF7/BTCZ6/BTCH7</v>
      </c>
      <c r="K59" s="8">
        <f>'MKT DATA'!O1742</f>
        <v>0</v>
      </c>
      <c r="L59" s="8">
        <f>'MKT DATA'!P1742</f>
        <v>85087</v>
      </c>
      <c r="M59" s="8">
        <f>'MKT DATA'!Q1742</f>
        <v>0</v>
      </c>
      <c r="N59" s="8">
        <f>'MKT DATA'!R1742</f>
        <v>0</v>
      </c>
      <c r="O59" s="8">
        <f>'MKT DATA'!S1742</f>
        <v>-85887</v>
      </c>
      <c r="P59" s="8">
        <f>'MKT DATA'!T1742</f>
        <v>0</v>
      </c>
      <c r="Q59" s="43" t="str">
        <f t="shared" si="3"/>
        <v>syn BTCX6/BTCF7/BTCZ6/BTCH7</v>
      </c>
      <c r="R59" s="13">
        <f>'MKT DATA'!AB1742</f>
        <v>0</v>
      </c>
    </row>
    <row r="60" spans="5:18" x14ac:dyDescent="0.25">
      <c r="E60" s="43" t="str">
        <f>'MKT DATA'!B1743</f>
        <v>syn BTCX6/BTCF7/BTCG7/BTCH7</v>
      </c>
      <c r="F60" s="13">
        <f>'MKT DATA'!J1743</f>
        <v>1</v>
      </c>
      <c r="G60" s="8">
        <f>'MKT DATA'!K1743</f>
        <v>85080</v>
      </c>
      <c r="H60" s="8">
        <f>'MKT DATA'!L1743</f>
        <v>85749</v>
      </c>
      <c r="I60" s="13">
        <f>'MKT DATA'!M1743</f>
        <v>1</v>
      </c>
      <c r="J60" s="43" t="str">
        <f t="shared" si="2"/>
        <v>syn BTCX6/BTCF7/BTCG7/BTCH7</v>
      </c>
      <c r="K60" s="8">
        <f>'MKT DATA'!O1743</f>
        <v>0</v>
      </c>
      <c r="L60" s="8">
        <f>'MKT DATA'!P1743</f>
        <v>85080</v>
      </c>
      <c r="M60" s="8">
        <f>'MKT DATA'!Q1743</f>
        <v>0</v>
      </c>
      <c r="N60" s="8">
        <f>'MKT DATA'!R1743</f>
        <v>0</v>
      </c>
      <c r="O60" s="8">
        <f>'MKT DATA'!S1743</f>
        <v>-85749</v>
      </c>
      <c r="P60" s="8">
        <f>'MKT DATA'!T1743</f>
        <v>0</v>
      </c>
      <c r="Q60" s="43" t="str">
        <f t="shared" si="3"/>
        <v>syn BTCX6/BTCF7/BTCG7/BTCH7</v>
      </c>
      <c r="R60" s="13">
        <f>'MKT DATA'!AB1743</f>
        <v>0</v>
      </c>
    </row>
    <row r="61" spans="5:18" x14ac:dyDescent="0.25">
      <c r="E61" s="43" t="str">
        <f>'MKT DATA'!B1744</f>
        <v>syn BTCX6/BTCG7/BTCV6/BTCH7</v>
      </c>
      <c r="F61" s="13">
        <f>'MKT DATA'!J1744</f>
        <v>1</v>
      </c>
      <c r="G61" s="8">
        <f>'MKT DATA'!K1744</f>
        <v>84620</v>
      </c>
      <c r="H61" s="8">
        <f>'MKT DATA'!L1744</f>
        <v>86190</v>
      </c>
      <c r="I61" s="13">
        <f>'MKT DATA'!M1744</f>
        <v>1</v>
      </c>
      <c r="J61" s="43" t="str">
        <f t="shared" si="2"/>
        <v>syn BTCX6/BTCG7/BTCV6/BTCH7</v>
      </c>
      <c r="K61" s="8">
        <f>'MKT DATA'!O1744</f>
        <v>0</v>
      </c>
      <c r="L61" s="8">
        <f>'MKT DATA'!P1744</f>
        <v>84620</v>
      </c>
      <c r="M61" s="8">
        <f>'MKT DATA'!Q1744</f>
        <v>0</v>
      </c>
      <c r="N61" s="8">
        <f>'MKT DATA'!R1744</f>
        <v>0</v>
      </c>
      <c r="O61" s="8">
        <f>'MKT DATA'!S1744</f>
        <v>-86190</v>
      </c>
      <c r="P61" s="8">
        <f>'MKT DATA'!T1744</f>
        <v>0</v>
      </c>
      <c r="Q61" s="43" t="str">
        <f t="shared" si="3"/>
        <v>syn BTCX6/BTCG7/BTCV6/BTCH7</v>
      </c>
      <c r="R61" s="13">
        <f>'MKT DATA'!AB1744</f>
        <v>0</v>
      </c>
    </row>
    <row r="62" spans="5:18" x14ac:dyDescent="0.25">
      <c r="E62" s="43" t="str">
        <f>'MKT DATA'!B1745</f>
        <v>syn BTCX6/BTCG7/BTCZ6/BTCH7</v>
      </c>
      <c r="F62" s="13">
        <f>'MKT DATA'!J1745</f>
        <v>1</v>
      </c>
      <c r="G62" s="8">
        <f>'MKT DATA'!K1745</f>
        <v>84760</v>
      </c>
      <c r="H62" s="8">
        <f>'MKT DATA'!L1745</f>
        <v>86230</v>
      </c>
      <c r="I62" s="13">
        <f>'MKT DATA'!M1745</f>
        <v>1</v>
      </c>
      <c r="J62" s="43" t="str">
        <f t="shared" si="2"/>
        <v>syn BTCX6/BTCG7/BTCZ6/BTCH7</v>
      </c>
      <c r="K62" s="8">
        <f>'MKT DATA'!O1745</f>
        <v>0</v>
      </c>
      <c r="L62" s="8">
        <f>'MKT DATA'!P1745</f>
        <v>84760</v>
      </c>
      <c r="M62" s="8">
        <f>'MKT DATA'!Q1745</f>
        <v>0</v>
      </c>
      <c r="N62" s="8">
        <f>'MKT DATA'!R1745</f>
        <v>0</v>
      </c>
      <c r="O62" s="8">
        <f>'MKT DATA'!S1745</f>
        <v>-86230</v>
      </c>
      <c r="P62" s="8">
        <f>'MKT DATA'!T1745</f>
        <v>0</v>
      </c>
      <c r="Q62" s="43" t="str">
        <f t="shared" si="3"/>
        <v>syn BTCX6/BTCG7/BTCZ6/BTCH7</v>
      </c>
      <c r="R62" s="13">
        <f>'MKT DATA'!AB1745</f>
        <v>0</v>
      </c>
    </row>
    <row r="63" spans="5:18" x14ac:dyDescent="0.25">
      <c r="E63" s="43" t="str">
        <f>'MKT DATA'!B1746</f>
        <v>syn BTCX6/BTCG7/BTCF7/BTCH7</v>
      </c>
      <c r="F63" s="13">
        <f>'MKT DATA'!J1746</f>
        <v>1</v>
      </c>
      <c r="G63" s="8">
        <f>'MKT DATA'!K1746</f>
        <v>84650</v>
      </c>
      <c r="H63" s="8">
        <f>'MKT DATA'!L1746</f>
        <v>86176</v>
      </c>
      <c r="I63" s="13">
        <f>'MKT DATA'!M1746</f>
        <v>1</v>
      </c>
      <c r="J63" s="43" t="str">
        <f t="shared" si="2"/>
        <v>syn BTCX6/BTCG7/BTCF7/BTCH7</v>
      </c>
      <c r="K63" s="8">
        <f>'MKT DATA'!O1746</f>
        <v>0</v>
      </c>
      <c r="L63" s="8">
        <f>'MKT DATA'!P1746</f>
        <v>84650</v>
      </c>
      <c r="M63" s="8">
        <f>'MKT DATA'!Q1746</f>
        <v>0</v>
      </c>
      <c r="N63" s="8">
        <f>'MKT DATA'!R1746</f>
        <v>0</v>
      </c>
      <c r="O63" s="8">
        <f>'MKT DATA'!S1746</f>
        <v>-86176</v>
      </c>
      <c r="P63" s="8">
        <f>'MKT DATA'!T1746</f>
        <v>0</v>
      </c>
      <c r="Q63" s="43" t="str">
        <f t="shared" si="3"/>
        <v>syn BTCX6/BTCG7/BTCF7/BTCH7</v>
      </c>
      <c r="R63" s="13">
        <f>'MKT DATA'!AB1746</f>
        <v>0</v>
      </c>
    </row>
    <row r="64" spans="5:18" x14ac:dyDescent="0.25">
      <c r="E64" s="43" t="str">
        <f>'MKT DATA'!B1747</f>
        <v>syn BTCZ6/BTCV6/BTCX6/BTCH7</v>
      </c>
      <c r="F64" s="13">
        <f>'MKT DATA'!J1747</f>
        <v>1</v>
      </c>
      <c r="G64" s="8">
        <f>'MKT DATA'!K1747</f>
        <v>84930</v>
      </c>
      <c r="H64" s="8">
        <f>'MKT DATA'!L1747</f>
        <v>85865</v>
      </c>
      <c r="I64" s="13">
        <f>'MKT DATA'!M1747</f>
        <v>1</v>
      </c>
      <c r="J64" s="43" t="str">
        <f t="shared" si="2"/>
        <v>syn BTCZ6/BTCV6/BTCX6/BTCH7</v>
      </c>
      <c r="K64" s="8">
        <f>'MKT DATA'!O1747</f>
        <v>0</v>
      </c>
      <c r="L64" s="8">
        <f>'MKT DATA'!P1747</f>
        <v>84930</v>
      </c>
      <c r="M64" s="8">
        <f>'MKT DATA'!Q1747</f>
        <v>0</v>
      </c>
      <c r="N64" s="8">
        <f>'MKT DATA'!R1747</f>
        <v>0</v>
      </c>
      <c r="O64" s="8">
        <f>'MKT DATA'!S1747</f>
        <v>-85865</v>
      </c>
      <c r="P64" s="8">
        <f>'MKT DATA'!T1747</f>
        <v>0</v>
      </c>
      <c r="Q64" s="43" t="str">
        <f t="shared" si="3"/>
        <v>syn BTCZ6/BTCV6/BTCX6/BTCH7</v>
      </c>
      <c r="R64" s="13">
        <f>'MKT DATA'!AB1747</f>
        <v>0</v>
      </c>
    </row>
    <row r="65" spans="5:18" x14ac:dyDescent="0.25">
      <c r="E65" s="43" t="str">
        <f>'MKT DATA'!B1748</f>
        <v>syn BTCZ6/BTCV6/BTCF7/BTCH7</v>
      </c>
      <c r="F65" s="13">
        <f>'MKT DATA'!J1748</f>
        <v>1</v>
      </c>
      <c r="G65" s="8">
        <f>'MKT DATA'!K1748</f>
        <v>84779</v>
      </c>
      <c r="H65" s="8">
        <f>'MKT DATA'!L1748</f>
        <v>85993</v>
      </c>
      <c r="I65" s="13">
        <f>'MKT DATA'!M1748</f>
        <v>1</v>
      </c>
      <c r="J65" s="43" t="str">
        <f t="shared" si="2"/>
        <v>syn BTCZ6/BTCV6/BTCF7/BTCH7</v>
      </c>
      <c r="K65" s="8">
        <f>'MKT DATA'!O1748</f>
        <v>0</v>
      </c>
      <c r="L65" s="8">
        <f>'MKT DATA'!P1748</f>
        <v>84779</v>
      </c>
      <c r="M65" s="8">
        <f>'MKT DATA'!Q1748</f>
        <v>0</v>
      </c>
      <c r="N65" s="8">
        <f>'MKT DATA'!R1748</f>
        <v>0</v>
      </c>
      <c r="O65" s="8">
        <f>'MKT DATA'!S1748</f>
        <v>-85993</v>
      </c>
      <c r="P65" s="8">
        <f>'MKT DATA'!T1748</f>
        <v>0</v>
      </c>
      <c r="Q65" s="43" t="str">
        <f t="shared" si="3"/>
        <v>syn BTCZ6/BTCV6/BTCF7/BTCH7</v>
      </c>
      <c r="R65" s="13">
        <f>'MKT DATA'!AB1748</f>
        <v>0</v>
      </c>
    </row>
    <row r="66" spans="5:18" x14ac:dyDescent="0.25">
      <c r="E66" s="43" t="str">
        <f>'MKT DATA'!B1749</f>
        <v>syn BTCZ6/BTCV6/BTCG7/BTCH7</v>
      </c>
      <c r="F66" s="13">
        <f>'MKT DATA'!J1749</f>
        <v>1</v>
      </c>
      <c r="G66" s="8">
        <f>'MKT DATA'!K1749</f>
        <v>85008</v>
      </c>
      <c r="H66" s="8">
        <f>'MKT DATA'!L1749</f>
        <v>85849</v>
      </c>
      <c r="I66" s="13">
        <f>'MKT DATA'!M1749</f>
        <v>1</v>
      </c>
      <c r="J66" s="43" t="str">
        <f t="shared" si="2"/>
        <v>syn BTCZ6/BTCV6/BTCG7/BTCH7</v>
      </c>
      <c r="K66" s="8">
        <f>'MKT DATA'!O1749</f>
        <v>0</v>
      </c>
      <c r="L66" s="8">
        <f>'MKT DATA'!P1749</f>
        <v>85008</v>
      </c>
      <c r="M66" s="8">
        <f>'MKT DATA'!Q1749</f>
        <v>0</v>
      </c>
      <c r="N66" s="8">
        <f>'MKT DATA'!R1749</f>
        <v>0</v>
      </c>
      <c r="O66" s="8">
        <f>'MKT DATA'!S1749</f>
        <v>-85849</v>
      </c>
      <c r="P66" s="8">
        <f>'MKT DATA'!T1749</f>
        <v>0</v>
      </c>
      <c r="Q66" s="43" t="str">
        <f t="shared" si="3"/>
        <v>syn BTCZ6/BTCV6/BTCG7/BTCH7</v>
      </c>
      <c r="R66" s="13">
        <f>'MKT DATA'!AB1749</f>
        <v>0</v>
      </c>
    </row>
    <row r="67" spans="5:18" x14ac:dyDescent="0.25">
      <c r="E67" s="43" t="str">
        <f>'MKT DATA'!B1750</f>
        <v>syn BTCZ6/BTCX6/BTCV6/BTCH7</v>
      </c>
      <c r="F67" s="13">
        <f>'MKT DATA'!J1750</f>
        <v>1</v>
      </c>
      <c r="G67" s="8">
        <f>'MKT DATA'!K1750</f>
        <v>84953</v>
      </c>
      <c r="H67" s="8">
        <f>'MKT DATA'!L1750</f>
        <v>85849</v>
      </c>
      <c r="I67" s="13">
        <f>'MKT DATA'!M1750</f>
        <v>1</v>
      </c>
      <c r="J67" s="43" t="str">
        <f t="shared" si="2"/>
        <v>syn BTCZ6/BTCX6/BTCV6/BTCH7</v>
      </c>
      <c r="K67" s="8">
        <f>'MKT DATA'!O1750</f>
        <v>0</v>
      </c>
      <c r="L67" s="8">
        <f>'MKT DATA'!P1750</f>
        <v>84953</v>
      </c>
      <c r="M67" s="8">
        <f>'MKT DATA'!Q1750</f>
        <v>0</v>
      </c>
      <c r="N67" s="8">
        <f>'MKT DATA'!R1750</f>
        <v>0</v>
      </c>
      <c r="O67" s="8">
        <f>'MKT DATA'!S1750</f>
        <v>-85849</v>
      </c>
      <c r="P67" s="8">
        <f>'MKT DATA'!T1750</f>
        <v>0</v>
      </c>
      <c r="Q67" s="43" t="str">
        <f t="shared" si="3"/>
        <v>syn BTCZ6/BTCX6/BTCV6/BTCH7</v>
      </c>
      <c r="R67" s="13">
        <f>'MKT DATA'!AB1750</f>
        <v>0</v>
      </c>
    </row>
    <row r="68" spans="5:18" x14ac:dyDescent="0.25">
      <c r="E68" s="43" t="str">
        <f>'MKT DATA'!B1751</f>
        <v>syn BTCZ6/BTCX6/BTCF7/BTCH7</v>
      </c>
      <c r="F68" s="13">
        <f>'MKT DATA'!J1751</f>
        <v>1</v>
      </c>
      <c r="G68" s="8">
        <f>'MKT DATA'!K1751</f>
        <v>84810</v>
      </c>
      <c r="H68" s="8">
        <f>'MKT DATA'!L1751</f>
        <v>85965</v>
      </c>
      <c r="I68" s="13">
        <f>'MKT DATA'!M1751</f>
        <v>1</v>
      </c>
      <c r="J68" s="43" t="str">
        <f t="shared" si="2"/>
        <v>syn BTCZ6/BTCX6/BTCF7/BTCH7</v>
      </c>
      <c r="K68" s="8">
        <f>'MKT DATA'!O1751</f>
        <v>0</v>
      </c>
      <c r="L68" s="8">
        <f>'MKT DATA'!P1751</f>
        <v>84810</v>
      </c>
      <c r="M68" s="8">
        <f>'MKT DATA'!Q1751</f>
        <v>0</v>
      </c>
      <c r="N68" s="8">
        <f>'MKT DATA'!R1751</f>
        <v>0</v>
      </c>
      <c r="O68" s="8">
        <f>'MKT DATA'!S1751</f>
        <v>-85965</v>
      </c>
      <c r="P68" s="8">
        <f>'MKT DATA'!T1751</f>
        <v>0</v>
      </c>
      <c r="Q68" s="43" t="str">
        <f t="shared" si="3"/>
        <v>syn BTCZ6/BTCX6/BTCF7/BTCH7</v>
      </c>
      <c r="R68" s="13">
        <f>'MKT DATA'!AB1751</f>
        <v>0</v>
      </c>
    </row>
    <row r="69" spans="5:18" x14ac:dyDescent="0.25">
      <c r="E69" s="43" t="str">
        <f>'MKT DATA'!B1752</f>
        <v>syn BTCZ6/BTCX6/BTCG7/BTCH7</v>
      </c>
      <c r="F69" s="13">
        <f>'MKT DATA'!J1752</f>
        <v>1</v>
      </c>
      <c r="G69" s="8">
        <f>'MKT DATA'!K1752</f>
        <v>84999</v>
      </c>
      <c r="H69" s="8">
        <f>'MKT DATA'!L1752</f>
        <v>85851</v>
      </c>
      <c r="I69" s="13">
        <f>'MKT DATA'!M1752</f>
        <v>1</v>
      </c>
      <c r="J69" s="43" t="str">
        <f t="shared" si="2"/>
        <v>syn BTCZ6/BTCX6/BTCG7/BTCH7</v>
      </c>
      <c r="K69" s="8">
        <f>'MKT DATA'!O1752</f>
        <v>0</v>
      </c>
      <c r="L69" s="8">
        <f>'MKT DATA'!P1752</f>
        <v>84999</v>
      </c>
      <c r="M69" s="8">
        <f>'MKT DATA'!Q1752</f>
        <v>0</v>
      </c>
      <c r="N69" s="8">
        <f>'MKT DATA'!R1752</f>
        <v>0</v>
      </c>
      <c r="O69" s="8">
        <f>'MKT DATA'!S1752</f>
        <v>-85851</v>
      </c>
      <c r="P69" s="8">
        <f>'MKT DATA'!T1752</f>
        <v>0</v>
      </c>
      <c r="Q69" s="43" t="str">
        <f t="shared" si="3"/>
        <v>syn BTCZ6/BTCX6/BTCG7/BTCH7</v>
      </c>
      <c r="R69" s="13">
        <f>'MKT DATA'!AB1752</f>
        <v>0</v>
      </c>
    </row>
    <row r="70" spans="5:18" x14ac:dyDescent="0.25">
      <c r="E70" s="43" t="str">
        <f>'MKT DATA'!B1753</f>
        <v>syn BTCZ6/BTCF7/BTCV6/BTCH7</v>
      </c>
      <c r="F70" s="13">
        <f>'MKT DATA'!J1753</f>
        <v>1</v>
      </c>
      <c r="G70" s="8">
        <f>'MKT DATA'!K1753</f>
        <v>84888</v>
      </c>
      <c r="H70" s="8">
        <f>'MKT DATA'!L1753</f>
        <v>85948</v>
      </c>
      <c r="I70" s="13">
        <f>'MKT DATA'!M1753</f>
        <v>1</v>
      </c>
      <c r="J70" s="43" t="str">
        <f t="shared" si="2"/>
        <v>syn BTCZ6/BTCF7/BTCV6/BTCH7</v>
      </c>
      <c r="K70" s="8">
        <f>'MKT DATA'!O1753</f>
        <v>0</v>
      </c>
      <c r="L70" s="8">
        <f>'MKT DATA'!P1753</f>
        <v>84888</v>
      </c>
      <c r="M70" s="8">
        <f>'MKT DATA'!Q1753</f>
        <v>0</v>
      </c>
      <c r="N70" s="8">
        <f>'MKT DATA'!R1753</f>
        <v>0</v>
      </c>
      <c r="O70" s="8">
        <f>'MKT DATA'!S1753</f>
        <v>-85948</v>
      </c>
      <c r="P70" s="8">
        <f>'MKT DATA'!T1753</f>
        <v>0</v>
      </c>
      <c r="Q70" s="43" t="str">
        <f t="shared" si="3"/>
        <v>syn BTCZ6/BTCF7/BTCV6/BTCH7</v>
      </c>
      <c r="R70" s="13">
        <f>'MKT DATA'!AB1753</f>
        <v>0</v>
      </c>
    </row>
    <row r="71" spans="5:18" x14ac:dyDescent="0.25">
      <c r="E71" s="43" t="str">
        <f>'MKT DATA'!B1754</f>
        <v>syn BTCZ6/BTCF7/BTCX6/BTCH7</v>
      </c>
      <c r="F71" s="13">
        <f>'MKT DATA'!J1754</f>
        <v>1</v>
      </c>
      <c r="G71" s="8">
        <f>'MKT DATA'!K1754</f>
        <v>84893</v>
      </c>
      <c r="H71" s="8">
        <f>'MKT DATA'!L1754</f>
        <v>85933</v>
      </c>
      <c r="I71" s="13">
        <f>'MKT DATA'!M1754</f>
        <v>1</v>
      </c>
      <c r="J71" s="43" t="str">
        <f t="shared" si="2"/>
        <v>syn BTCZ6/BTCF7/BTCX6/BTCH7</v>
      </c>
      <c r="K71" s="8">
        <f>'MKT DATA'!O1754</f>
        <v>0</v>
      </c>
      <c r="L71" s="8">
        <f>'MKT DATA'!P1754</f>
        <v>84893</v>
      </c>
      <c r="M71" s="8">
        <f>'MKT DATA'!Q1754</f>
        <v>0</v>
      </c>
      <c r="N71" s="8">
        <f>'MKT DATA'!R1754</f>
        <v>0</v>
      </c>
      <c r="O71" s="8">
        <f>'MKT DATA'!S1754</f>
        <v>-85933</v>
      </c>
      <c r="P71" s="8">
        <f>'MKT DATA'!T1754</f>
        <v>0</v>
      </c>
      <c r="Q71" s="43" t="str">
        <f t="shared" si="3"/>
        <v>syn BTCZ6/BTCF7/BTCX6/BTCH7</v>
      </c>
      <c r="R71" s="13">
        <f>'MKT DATA'!AB1754</f>
        <v>0</v>
      </c>
    </row>
    <row r="72" spans="5:18" x14ac:dyDescent="0.25">
      <c r="E72" s="43" t="str">
        <f>'MKT DATA'!B1755</f>
        <v>syn BTCZ6/BTCF7/BTCG7/BTCH7</v>
      </c>
      <c r="F72" s="13">
        <f>'MKT DATA'!J1755</f>
        <v>1</v>
      </c>
      <c r="G72" s="8">
        <f>'MKT DATA'!K1755</f>
        <v>85101</v>
      </c>
      <c r="H72" s="8">
        <f>'MKT DATA'!L1755</f>
        <v>85744</v>
      </c>
      <c r="I72" s="13">
        <f>'MKT DATA'!M1755</f>
        <v>1</v>
      </c>
      <c r="J72" s="43" t="str">
        <f t="shared" si="2"/>
        <v>syn BTCZ6/BTCF7/BTCG7/BTCH7</v>
      </c>
      <c r="K72" s="8">
        <f>'MKT DATA'!O1755</f>
        <v>0</v>
      </c>
      <c r="L72" s="8">
        <f>'MKT DATA'!P1755</f>
        <v>85101</v>
      </c>
      <c r="M72" s="8">
        <f>'MKT DATA'!Q1755</f>
        <v>0</v>
      </c>
      <c r="N72" s="8">
        <f>'MKT DATA'!R1755</f>
        <v>0</v>
      </c>
      <c r="O72" s="8">
        <f>'MKT DATA'!S1755</f>
        <v>-85744</v>
      </c>
      <c r="P72" s="8">
        <f>'MKT DATA'!T1755</f>
        <v>0</v>
      </c>
      <c r="Q72" s="43" t="str">
        <f t="shared" si="3"/>
        <v>syn BTCZ6/BTCF7/BTCG7/BTCH7</v>
      </c>
      <c r="R72" s="13">
        <f>'MKT DATA'!AB1755</f>
        <v>0</v>
      </c>
    </row>
    <row r="73" spans="5:18" x14ac:dyDescent="0.25">
      <c r="E73" s="43" t="str">
        <f>'MKT DATA'!B1756</f>
        <v>syn BTCZ6/BTCG7/BTCV6/BTCH7</v>
      </c>
      <c r="F73" s="13">
        <f>'MKT DATA'!J1756</f>
        <v>1</v>
      </c>
      <c r="G73" s="8">
        <f>'MKT DATA'!K1756</f>
        <v>84575</v>
      </c>
      <c r="H73" s="8">
        <f>'MKT DATA'!L1756</f>
        <v>86235</v>
      </c>
      <c r="I73" s="13">
        <f>'MKT DATA'!M1756</f>
        <v>1</v>
      </c>
      <c r="J73" s="43" t="str">
        <f t="shared" si="2"/>
        <v>syn BTCZ6/BTCG7/BTCV6/BTCH7</v>
      </c>
      <c r="K73" s="8">
        <f>'MKT DATA'!O1756</f>
        <v>0</v>
      </c>
      <c r="L73" s="8">
        <f>'MKT DATA'!P1756</f>
        <v>84575</v>
      </c>
      <c r="M73" s="8">
        <f>'MKT DATA'!Q1756</f>
        <v>0</v>
      </c>
      <c r="N73" s="8">
        <f>'MKT DATA'!R1756</f>
        <v>0</v>
      </c>
      <c r="O73" s="8">
        <f>'MKT DATA'!S1756</f>
        <v>-86235</v>
      </c>
      <c r="P73" s="8">
        <f>'MKT DATA'!T1756</f>
        <v>0</v>
      </c>
      <c r="Q73" s="43" t="str">
        <f t="shared" si="3"/>
        <v>syn BTCZ6/BTCG7/BTCV6/BTCH7</v>
      </c>
      <c r="R73" s="13">
        <f>'MKT DATA'!AB1756</f>
        <v>0</v>
      </c>
    </row>
    <row r="74" spans="5:18" x14ac:dyDescent="0.25">
      <c r="E74" s="43" t="str">
        <f>'MKT DATA'!B1757</f>
        <v>syn BTCZ6/BTCG7/BTCX6/BTCH7</v>
      </c>
      <c r="F74" s="13">
        <f>'MKT DATA'!J1757</f>
        <v>1</v>
      </c>
      <c r="G74" s="8">
        <f>'MKT DATA'!K1757</f>
        <v>84550</v>
      </c>
      <c r="H74" s="8">
        <f>'MKT DATA'!L1757</f>
        <v>86260</v>
      </c>
      <c r="I74" s="13">
        <f>'MKT DATA'!M1757</f>
        <v>1</v>
      </c>
      <c r="J74" s="43" t="str">
        <f t="shared" ref="J74:J137" si="4">E74</f>
        <v>syn BTCZ6/BTCG7/BTCX6/BTCH7</v>
      </c>
      <c r="K74" s="8">
        <f>'MKT DATA'!O1757</f>
        <v>0</v>
      </c>
      <c r="L74" s="8">
        <f>'MKT DATA'!P1757</f>
        <v>84550</v>
      </c>
      <c r="M74" s="8">
        <f>'MKT DATA'!Q1757</f>
        <v>0</v>
      </c>
      <c r="N74" s="8">
        <f>'MKT DATA'!R1757</f>
        <v>0</v>
      </c>
      <c r="O74" s="8">
        <f>'MKT DATA'!S1757</f>
        <v>-86260</v>
      </c>
      <c r="P74" s="8">
        <f>'MKT DATA'!T1757</f>
        <v>0</v>
      </c>
      <c r="Q74" s="43" t="str">
        <f t="shared" ref="Q74:Q137" si="5">J74</f>
        <v>syn BTCZ6/BTCG7/BTCX6/BTCH7</v>
      </c>
      <c r="R74" s="13">
        <f>'MKT DATA'!AB1757</f>
        <v>0</v>
      </c>
    </row>
    <row r="75" spans="5:18" x14ac:dyDescent="0.25">
      <c r="E75" s="43" t="str">
        <f>'MKT DATA'!B1758</f>
        <v>syn BTCZ6/BTCG7/BTCF7/BTCH7</v>
      </c>
      <c r="F75" s="13">
        <f>'MKT DATA'!J1758</f>
        <v>1</v>
      </c>
      <c r="G75" s="8">
        <f>'MKT DATA'!K1758</f>
        <v>84605</v>
      </c>
      <c r="H75" s="8">
        <f>'MKT DATA'!L1758</f>
        <v>86221</v>
      </c>
      <c r="I75" s="13">
        <f>'MKT DATA'!M1758</f>
        <v>1</v>
      </c>
      <c r="J75" s="43" t="str">
        <f t="shared" si="4"/>
        <v>syn BTCZ6/BTCG7/BTCF7/BTCH7</v>
      </c>
      <c r="K75" s="8">
        <f>'MKT DATA'!O1758</f>
        <v>0</v>
      </c>
      <c r="L75" s="8">
        <f>'MKT DATA'!P1758</f>
        <v>84605</v>
      </c>
      <c r="M75" s="8">
        <f>'MKT DATA'!Q1758</f>
        <v>0</v>
      </c>
      <c r="N75" s="8">
        <f>'MKT DATA'!R1758</f>
        <v>0</v>
      </c>
      <c r="O75" s="8">
        <f>'MKT DATA'!S1758</f>
        <v>-86221</v>
      </c>
      <c r="P75" s="8">
        <f>'MKT DATA'!T1758</f>
        <v>0</v>
      </c>
      <c r="Q75" s="43" t="str">
        <f t="shared" si="5"/>
        <v>syn BTCZ6/BTCG7/BTCF7/BTCH7</v>
      </c>
      <c r="R75" s="13">
        <f>'MKT DATA'!AB1758</f>
        <v>0</v>
      </c>
    </row>
    <row r="76" spans="5:18" x14ac:dyDescent="0.25">
      <c r="E76" s="43" t="str">
        <f>'MKT DATA'!B1759</f>
        <v>syn BTCF7/BTCV6/BTCX6/BTCH7</v>
      </c>
      <c r="F76" s="13">
        <f>'MKT DATA'!J1759</f>
        <v>1</v>
      </c>
      <c r="G76" s="8">
        <f>'MKT DATA'!K1759</f>
        <v>84848</v>
      </c>
      <c r="H76" s="8">
        <f>'MKT DATA'!L1759</f>
        <v>85985</v>
      </c>
      <c r="I76" s="13">
        <f>'MKT DATA'!M1759</f>
        <v>1</v>
      </c>
      <c r="J76" s="43" t="str">
        <f t="shared" si="4"/>
        <v>syn BTCF7/BTCV6/BTCX6/BTCH7</v>
      </c>
      <c r="K76" s="8">
        <f>'MKT DATA'!O1759</f>
        <v>0</v>
      </c>
      <c r="L76" s="8">
        <f>'MKT DATA'!P1759</f>
        <v>84848</v>
      </c>
      <c r="M76" s="8">
        <f>'MKT DATA'!Q1759</f>
        <v>0</v>
      </c>
      <c r="N76" s="8">
        <f>'MKT DATA'!R1759</f>
        <v>0</v>
      </c>
      <c r="O76" s="8">
        <f>'MKT DATA'!S1759</f>
        <v>-85985</v>
      </c>
      <c r="P76" s="8">
        <f>'MKT DATA'!T1759</f>
        <v>0</v>
      </c>
      <c r="Q76" s="43" t="str">
        <f t="shared" si="5"/>
        <v>syn BTCF7/BTCV6/BTCX6/BTCH7</v>
      </c>
      <c r="R76" s="13">
        <f>'MKT DATA'!AB1759</f>
        <v>0</v>
      </c>
    </row>
    <row r="77" spans="5:18" x14ac:dyDescent="0.25">
      <c r="E77" s="43" t="str">
        <f>'MKT DATA'!B1760</f>
        <v>syn BTCF7/BTCV6/BTCZ6/BTCH7</v>
      </c>
      <c r="F77" s="13">
        <f>'MKT DATA'!J1760</f>
        <v>1</v>
      </c>
      <c r="G77" s="8">
        <f>'MKT DATA'!K1760</f>
        <v>85027</v>
      </c>
      <c r="H77" s="8">
        <f>'MKT DATA'!L1760</f>
        <v>86001</v>
      </c>
      <c r="I77" s="13">
        <f>'MKT DATA'!M1760</f>
        <v>1</v>
      </c>
      <c r="J77" s="43" t="str">
        <f t="shared" si="4"/>
        <v>syn BTCF7/BTCV6/BTCZ6/BTCH7</v>
      </c>
      <c r="K77" s="8">
        <f>'MKT DATA'!O1760</f>
        <v>0</v>
      </c>
      <c r="L77" s="8">
        <f>'MKT DATA'!P1760</f>
        <v>85027</v>
      </c>
      <c r="M77" s="8">
        <f>'MKT DATA'!Q1760</f>
        <v>0</v>
      </c>
      <c r="N77" s="8">
        <f>'MKT DATA'!R1760</f>
        <v>0</v>
      </c>
      <c r="O77" s="8">
        <f>'MKT DATA'!S1760</f>
        <v>-86001</v>
      </c>
      <c r="P77" s="8">
        <f>'MKT DATA'!T1760</f>
        <v>0</v>
      </c>
      <c r="Q77" s="43" t="str">
        <f t="shared" si="5"/>
        <v>syn BTCF7/BTCV6/BTCZ6/BTCH7</v>
      </c>
      <c r="R77" s="13">
        <f>'MKT DATA'!AB1760</f>
        <v>0</v>
      </c>
    </row>
    <row r="78" spans="5:18" x14ac:dyDescent="0.25">
      <c r="E78" s="43" t="str">
        <f>'MKT DATA'!B1761</f>
        <v>syn BTCF7/BTCV6/BTCG7/BTCH7</v>
      </c>
      <c r="F78" s="13">
        <f>'MKT DATA'!J1761</f>
        <v>1</v>
      </c>
      <c r="G78" s="8">
        <f>'MKT DATA'!K1761</f>
        <v>84926</v>
      </c>
      <c r="H78" s="8">
        <f>'MKT DATA'!L1761</f>
        <v>85969</v>
      </c>
      <c r="I78" s="13">
        <f>'MKT DATA'!M1761</f>
        <v>1</v>
      </c>
      <c r="J78" s="43" t="str">
        <f t="shared" si="4"/>
        <v>syn BTCF7/BTCV6/BTCG7/BTCH7</v>
      </c>
      <c r="K78" s="8">
        <f>'MKT DATA'!O1761</f>
        <v>0</v>
      </c>
      <c r="L78" s="8">
        <f>'MKT DATA'!P1761</f>
        <v>84926</v>
      </c>
      <c r="M78" s="8">
        <f>'MKT DATA'!Q1761</f>
        <v>0</v>
      </c>
      <c r="N78" s="8">
        <f>'MKT DATA'!R1761</f>
        <v>0</v>
      </c>
      <c r="O78" s="8">
        <f>'MKT DATA'!S1761</f>
        <v>-85969</v>
      </c>
      <c r="P78" s="8">
        <f>'MKT DATA'!T1761</f>
        <v>0</v>
      </c>
      <c r="Q78" s="43" t="str">
        <f t="shared" si="5"/>
        <v>syn BTCF7/BTCV6/BTCG7/BTCH7</v>
      </c>
      <c r="R78" s="13">
        <f>'MKT DATA'!AB1761</f>
        <v>0</v>
      </c>
    </row>
    <row r="79" spans="5:18" x14ac:dyDescent="0.25">
      <c r="E79" s="43" t="str">
        <f>'MKT DATA'!B1762</f>
        <v>syn BTCF7/BTCX6/BTCV6/BTCH7</v>
      </c>
      <c r="F79" s="13">
        <f>'MKT DATA'!J1762</f>
        <v>1</v>
      </c>
      <c r="G79" s="8">
        <f>'MKT DATA'!K1762</f>
        <v>84885</v>
      </c>
      <c r="H79" s="8">
        <f>'MKT DATA'!L1762</f>
        <v>85952</v>
      </c>
      <c r="I79" s="13">
        <f>'MKT DATA'!M1762</f>
        <v>1</v>
      </c>
      <c r="J79" s="43" t="str">
        <f t="shared" si="4"/>
        <v>syn BTCF7/BTCX6/BTCV6/BTCH7</v>
      </c>
      <c r="K79" s="8">
        <f>'MKT DATA'!O1762</f>
        <v>0</v>
      </c>
      <c r="L79" s="8">
        <f>'MKT DATA'!P1762</f>
        <v>84885</v>
      </c>
      <c r="M79" s="8">
        <f>'MKT DATA'!Q1762</f>
        <v>0</v>
      </c>
      <c r="N79" s="8">
        <f>'MKT DATA'!R1762</f>
        <v>0</v>
      </c>
      <c r="O79" s="8">
        <f>'MKT DATA'!S1762</f>
        <v>-85952</v>
      </c>
      <c r="P79" s="8">
        <f>'MKT DATA'!T1762</f>
        <v>0</v>
      </c>
      <c r="Q79" s="43" t="str">
        <f t="shared" si="5"/>
        <v>syn BTCF7/BTCX6/BTCV6/BTCH7</v>
      </c>
      <c r="R79" s="13">
        <f>'MKT DATA'!AB1762</f>
        <v>0</v>
      </c>
    </row>
    <row r="80" spans="5:18" x14ac:dyDescent="0.25">
      <c r="E80" s="43" t="str">
        <f>'MKT DATA'!B1763</f>
        <v>syn BTCF7/BTCX6/BTCZ6/BTCH7</v>
      </c>
      <c r="F80" s="13">
        <f>'MKT DATA'!J1763</f>
        <v>1</v>
      </c>
      <c r="G80" s="8">
        <f>'MKT DATA'!K1763</f>
        <v>85055</v>
      </c>
      <c r="H80" s="8">
        <f>'MKT DATA'!L1763</f>
        <v>85970</v>
      </c>
      <c r="I80" s="13">
        <f>'MKT DATA'!M1763</f>
        <v>1</v>
      </c>
      <c r="J80" s="43" t="str">
        <f t="shared" si="4"/>
        <v>syn BTCF7/BTCX6/BTCZ6/BTCH7</v>
      </c>
      <c r="K80" s="8">
        <f>'MKT DATA'!O1763</f>
        <v>0</v>
      </c>
      <c r="L80" s="8">
        <f>'MKT DATA'!P1763</f>
        <v>85055</v>
      </c>
      <c r="M80" s="8">
        <f>'MKT DATA'!Q1763</f>
        <v>0</v>
      </c>
      <c r="N80" s="8">
        <f>'MKT DATA'!R1763</f>
        <v>0</v>
      </c>
      <c r="O80" s="8">
        <f>'MKT DATA'!S1763</f>
        <v>-85970</v>
      </c>
      <c r="P80" s="8">
        <f>'MKT DATA'!T1763</f>
        <v>0</v>
      </c>
      <c r="Q80" s="43" t="str">
        <f t="shared" si="5"/>
        <v>syn BTCF7/BTCX6/BTCZ6/BTCH7</v>
      </c>
      <c r="R80" s="13">
        <f>'MKT DATA'!AB1763</f>
        <v>0</v>
      </c>
    </row>
    <row r="81" spans="5:18" x14ac:dyDescent="0.25">
      <c r="E81" s="43" t="str">
        <f>'MKT DATA'!B1764</f>
        <v>syn BTCF7/BTCX6/BTCG7/BTCH7</v>
      </c>
      <c r="F81" s="13">
        <f>'MKT DATA'!J1764</f>
        <v>1</v>
      </c>
      <c r="G81" s="8">
        <f>'MKT DATA'!K1764</f>
        <v>84931</v>
      </c>
      <c r="H81" s="8">
        <f>'MKT DATA'!L1764</f>
        <v>85954</v>
      </c>
      <c r="I81" s="13">
        <f>'MKT DATA'!M1764</f>
        <v>1</v>
      </c>
      <c r="J81" s="43" t="str">
        <f t="shared" si="4"/>
        <v>syn BTCF7/BTCX6/BTCG7/BTCH7</v>
      </c>
      <c r="K81" s="8">
        <f>'MKT DATA'!O1764</f>
        <v>0</v>
      </c>
      <c r="L81" s="8">
        <f>'MKT DATA'!P1764</f>
        <v>84931</v>
      </c>
      <c r="M81" s="8">
        <f>'MKT DATA'!Q1764</f>
        <v>0</v>
      </c>
      <c r="N81" s="8">
        <f>'MKT DATA'!R1764</f>
        <v>0</v>
      </c>
      <c r="O81" s="8">
        <f>'MKT DATA'!S1764</f>
        <v>-85954</v>
      </c>
      <c r="P81" s="8">
        <f>'MKT DATA'!T1764</f>
        <v>0</v>
      </c>
      <c r="Q81" s="43" t="str">
        <f t="shared" si="5"/>
        <v>syn BTCF7/BTCX6/BTCG7/BTCH7</v>
      </c>
      <c r="R81" s="13">
        <f>'MKT DATA'!AB1764</f>
        <v>0</v>
      </c>
    </row>
    <row r="82" spans="5:18" x14ac:dyDescent="0.25">
      <c r="E82" s="43" t="str">
        <f>'MKT DATA'!B1765</f>
        <v>syn BTCF7/BTCZ6/BTCV6/BTCH7</v>
      </c>
      <c r="F82" s="13">
        <f>'MKT DATA'!J1765</f>
        <v>1</v>
      </c>
      <c r="G82" s="8">
        <f>'MKT DATA'!K1765</f>
        <v>84889</v>
      </c>
      <c r="H82" s="8">
        <f>'MKT DATA'!L1765</f>
        <v>85917</v>
      </c>
      <c r="I82" s="13">
        <f>'MKT DATA'!M1765</f>
        <v>1</v>
      </c>
      <c r="J82" s="43" t="str">
        <f t="shared" si="4"/>
        <v>syn BTCF7/BTCZ6/BTCV6/BTCH7</v>
      </c>
      <c r="K82" s="8">
        <f>'MKT DATA'!O1765</f>
        <v>0</v>
      </c>
      <c r="L82" s="8">
        <f>'MKT DATA'!P1765</f>
        <v>84889</v>
      </c>
      <c r="M82" s="8">
        <f>'MKT DATA'!Q1765</f>
        <v>0</v>
      </c>
      <c r="N82" s="8">
        <f>'MKT DATA'!R1765</f>
        <v>0</v>
      </c>
      <c r="O82" s="8">
        <f>'MKT DATA'!S1765</f>
        <v>-85917</v>
      </c>
      <c r="P82" s="8">
        <f>'MKT DATA'!T1765</f>
        <v>0</v>
      </c>
      <c r="Q82" s="43" t="str">
        <f t="shared" si="5"/>
        <v>syn BTCF7/BTCZ6/BTCV6/BTCH7</v>
      </c>
      <c r="R82" s="13">
        <f>'MKT DATA'!AB1765</f>
        <v>0</v>
      </c>
    </row>
    <row r="83" spans="5:18" x14ac:dyDescent="0.25">
      <c r="E83" s="43" t="str">
        <f>'MKT DATA'!B1766</f>
        <v>syn BTCF7/BTCZ6/BTCX6/BTCH7</v>
      </c>
      <c r="F83" s="13">
        <f>'MKT DATA'!J1766</f>
        <v>1</v>
      </c>
      <c r="G83" s="8">
        <f>'MKT DATA'!K1766</f>
        <v>84880</v>
      </c>
      <c r="H83" s="8">
        <f>'MKT DATA'!L1766</f>
        <v>85919</v>
      </c>
      <c r="I83" s="13">
        <f>'MKT DATA'!M1766</f>
        <v>1</v>
      </c>
      <c r="J83" s="43" t="str">
        <f t="shared" si="4"/>
        <v>syn BTCF7/BTCZ6/BTCX6/BTCH7</v>
      </c>
      <c r="K83" s="8">
        <f>'MKT DATA'!O1766</f>
        <v>0</v>
      </c>
      <c r="L83" s="8">
        <f>'MKT DATA'!P1766</f>
        <v>84880</v>
      </c>
      <c r="M83" s="8">
        <f>'MKT DATA'!Q1766</f>
        <v>0</v>
      </c>
      <c r="N83" s="8">
        <f>'MKT DATA'!R1766</f>
        <v>0</v>
      </c>
      <c r="O83" s="8">
        <f>'MKT DATA'!S1766</f>
        <v>-85919</v>
      </c>
      <c r="P83" s="8">
        <f>'MKT DATA'!T1766</f>
        <v>0</v>
      </c>
      <c r="Q83" s="43" t="str">
        <f t="shared" si="5"/>
        <v>syn BTCF7/BTCZ6/BTCX6/BTCH7</v>
      </c>
      <c r="R83" s="13">
        <f>'MKT DATA'!AB1766</f>
        <v>0</v>
      </c>
    </row>
    <row r="84" spans="5:18" x14ac:dyDescent="0.25">
      <c r="E84" s="43" t="str">
        <f>'MKT DATA'!B1767</f>
        <v>syn BTCF7/BTCZ6/BTCG7/BTCH7</v>
      </c>
      <c r="F84" s="13">
        <f>'MKT DATA'!J1767</f>
        <v>1</v>
      </c>
      <c r="G84" s="8">
        <f>'MKT DATA'!K1767</f>
        <v>84936</v>
      </c>
      <c r="H84" s="8">
        <f>'MKT DATA'!L1767</f>
        <v>85933</v>
      </c>
      <c r="I84" s="13">
        <f>'MKT DATA'!M1767</f>
        <v>1</v>
      </c>
      <c r="J84" s="43" t="str">
        <f t="shared" si="4"/>
        <v>syn BTCF7/BTCZ6/BTCG7/BTCH7</v>
      </c>
      <c r="K84" s="8">
        <f>'MKT DATA'!O1767</f>
        <v>0</v>
      </c>
      <c r="L84" s="8">
        <f>'MKT DATA'!P1767</f>
        <v>84936</v>
      </c>
      <c r="M84" s="8">
        <f>'MKT DATA'!Q1767</f>
        <v>0</v>
      </c>
      <c r="N84" s="8">
        <f>'MKT DATA'!R1767</f>
        <v>0</v>
      </c>
      <c r="O84" s="8">
        <f>'MKT DATA'!S1767</f>
        <v>-85933</v>
      </c>
      <c r="P84" s="8">
        <f>'MKT DATA'!T1767</f>
        <v>0</v>
      </c>
      <c r="Q84" s="43" t="str">
        <f t="shared" si="5"/>
        <v>syn BTCF7/BTCZ6/BTCG7/BTCH7</v>
      </c>
      <c r="R84" s="13">
        <f>'MKT DATA'!AB1767</f>
        <v>0</v>
      </c>
    </row>
    <row r="85" spans="5:18" x14ac:dyDescent="0.25">
      <c r="E85" s="43" t="str">
        <f>'MKT DATA'!B1768</f>
        <v>syn BTCF7/BTCG7/BTCV6/BTCH7</v>
      </c>
      <c r="F85" s="13">
        <f>'MKT DATA'!J1768</f>
        <v>1</v>
      </c>
      <c r="G85" s="8">
        <f>'MKT DATA'!K1768</f>
        <v>84659</v>
      </c>
      <c r="H85" s="8">
        <f>'MKT DATA'!L1768</f>
        <v>86135</v>
      </c>
      <c r="I85" s="13">
        <f>'MKT DATA'!M1768</f>
        <v>1</v>
      </c>
      <c r="J85" s="43" t="str">
        <f t="shared" si="4"/>
        <v>syn BTCF7/BTCG7/BTCV6/BTCH7</v>
      </c>
      <c r="K85" s="8">
        <f>'MKT DATA'!O1768</f>
        <v>0</v>
      </c>
      <c r="L85" s="8">
        <f>'MKT DATA'!P1768</f>
        <v>84659</v>
      </c>
      <c r="M85" s="8">
        <f>'MKT DATA'!Q1768</f>
        <v>0</v>
      </c>
      <c r="N85" s="8">
        <f>'MKT DATA'!R1768</f>
        <v>0</v>
      </c>
      <c r="O85" s="8">
        <f>'MKT DATA'!S1768</f>
        <v>-86135</v>
      </c>
      <c r="P85" s="8">
        <f>'MKT DATA'!T1768</f>
        <v>0</v>
      </c>
      <c r="Q85" s="43" t="str">
        <f t="shared" si="5"/>
        <v>syn BTCF7/BTCG7/BTCV6/BTCH7</v>
      </c>
      <c r="R85" s="13">
        <f>'MKT DATA'!AB1768</f>
        <v>0</v>
      </c>
    </row>
    <row r="86" spans="5:18" x14ac:dyDescent="0.25">
      <c r="E86" s="43" t="str">
        <f>'MKT DATA'!B1769</f>
        <v>syn BTCF7/BTCG7/BTCX6/BTCH7</v>
      </c>
      <c r="F86" s="13">
        <f>'MKT DATA'!J1769</f>
        <v>1</v>
      </c>
      <c r="G86" s="8">
        <f>'MKT DATA'!K1769</f>
        <v>84634</v>
      </c>
      <c r="H86" s="8">
        <f>'MKT DATA'!L1769</f>
        <v>86160</v>
      </c>
      <c r="I86" s="13">
        <f>'MKT DATA'!M1769</f>
        <v>1</v>
      </c>
      <c r="J86" s="43" t="str">
        <f t="shared" si="4"/>
        <v>syn BTCF7/BTCG7/BTCX6/BTCH7</v>
      </c>
      <c r="K86" s="8">
        <f>'MKT DATA'!O1769</f>
        <v>0</v>
      </c>
      <c r="L86" s="8">
        <f>'MKT DATA'!P1769</f>
        <v>84634</v>
      </c>
      <c r="M86" s="8">
        <f>'MKT DATA'!Q1769</f>
        <v>0</v>
      </c>
      <c r="N86" s="8">
        <f>'MKT DATA'!R1769</f>
        <v>0</v>
      </c>
      <c r="O86" s="8">
        <f>'MKT DATA'!S1769</f>
        <v>-86160</v>
      </c>
      <c r="P86" s="8">
        <f>'MKT DATA'!T1769</f>
        <v>0</v>
      </c>
      <c r="Q86" s="43" t="str">
        <f t="shared" si="5"/>
        <v>syn BTCF7/BTCG7/BTCX6/BTCH7</v>
      </c>
      <c r="R86" s="13">
        <f>'MKT DATA'!AB1769</f>
        <v>0</v>
      </c>
    </row>
    <row r="87" spans="5:18" x14ac:dyDescent="0.25">
      <c r="E87" s="43" t="str">
        <f>'MKT DATA'!B1770</f>
        <v>syn BTCF7/BTCG7/BTCZ6/BTCH7</v>
      </c>
      <c r="F87" s="13">
        <f>'MKT DATA'!J1770</f>
        <v>1</v>
      </c>
      <c r="G87" s="8">
        <f>'MKT DATA'!K1770</f>
        <v>84799</v>
      </c>
      <c r="H87" s="8">
        <f>'MKT DATA'!L1770</f>
        <v>86175</v>
      </c>
      <c r="I87" s="13">
        <f>'MKT DATA'!M1770</f>
        <v>1</v>
      </c>
      <c r="J87" s="43" t="str">
        <f t="shared" si="4"/>
        <v>syn BTCF7/BTCG7/BTCZ6/BTCH7</v>
      </c>
      <c r="K87" s="8">
        <f>'MKT DATA'!O1770</f>
        <v>0</v>
      </c>
      <c r="L87" s="8">
        <f>'MKT DATA'!P1770</f>
        <v>84799</v>
      </c>
      <c r="M87" s="8">
        <f>'MKT DATA'!Q1770</f>
        <v>0</v>
      </c>
      <c r="N87" s="8">
        <f>'MKT DATA'!R1770</f>
        <v>0</v>
      </c>
      <c r="O87" s="8">
        <f>'MKT DATA'!S1770</f>
        <v>-86175</v>
      </c>
      <c r="P87" s="8">
        <f>'MKT DATA'!T1770</f>
        <v>0</v>
      </c>
      <c r="Q87" s="43" t="str">
        <f t="shared" si="5"/>
        <v>syn BTCF7/BTCG7/BTCZ6/BTCH7</v>
      </c>
      <c r="R87" s="13">
        <f>'MKT DATA'!AB1770</f>
        <v>0</v>
      </c>
    </row>
    <row r="88" spans="5:18" x14ac:dyDescent="0.25">
      <c r="E88" s="43" t="str">
        <f>'MKT DATA'!B1771</f>
        <v>syn BTCG7/BTCV6/BTCX6/BTCH7</v>
      </c>
      <c r="F88" s="13">
        <f>'MKT DATA'!J1771</f>
        <v>1</v>
      </c>
      <c r="G88" s="8">
        <f>'MKT DATA'!K1771</f>
        <v>84657</v>
      </c>
      <c r="H88" s="8">
        <f>'MKT DATA'!L1771</f>
        <v>86146</v>
      </c>
      <c r="I88" s="13">
        <f>'MKT DATA'!M1771</f>
        <v>1</v>
      </c>
      <c r="J88" s="43" t="str">
        <f t="shared" si="4"/>
        <v>syn BTCG7/BTCV6/BTCX6/BTCH7</v>
      </c>
      <c r="K88" s="8">
        <f>'MKT DATA'!O1771</f>
        <v>0</v>
      </c>
      <c r="L88" s="8">
        <f>'MKT DATA'!P1771</f>
        <v>84657</v>
      </c>
      <c r="M88" s="8">
        <f>'MKT DATA'!Q1771</f>
        <v>0</v>
      </c>
      <c r="N88" s="8">
        <f>'MKT DATA'!R1771</f>
        <v>0</v>
      </c>
      <c r="O88" s="8">
        <f>'MKT DATA'!S1771</f>
        <v>-86146</v>
      </c>
      <c r="P88" s="8">
        <f>'MKT DATA'!T1771</f>
        <v>0</v>
      </c>
      <c r="Q88" s="43" t="str">
        <f t="shared" si="5"/>
        <v>syn BTCG7/BTCV6/BTCX6/BTCH7</v>
      </c>
      <c r="R88" s="13">
        <f>'MKT DATA'!AB1771</f>
        <v>0</v>
      </c>
    </row>
    <row r="89" spans="5:18" x14ac:dyDescent="0.25">
      <c r="E89" s="43" t="str">
        <f>'MKT DATA'!B1772</f>
        <v>syn BTCG7/BTCV6/BTCZ6/BTCH7</v>
      </c>
      <c r="F89" s="13">
        <f>'MKT DATA'!J1772</f>
        <v>1</v>
      </c>
      <c r="G89" s="8">
        <f>'MKT DATA'!K1772</f>
        <v>84836</v>
      </c>
      <c r="H89" s="8">
        <f>'MKT DATA'!L1772</f>
        <v>86162</v>
      </c>
      <c r="I89" s="13">
        <f>'MKT DATA'!M1772</f>
        <v>1</v>
      </c>
      <c r="J89" s="43" t="str">
        <f t="shared" si="4"/>
        <v>syn BTCG7/BTCV6/BTCZ6/BTCH7</v>
      </c>
      <c r="K89" s="8">
        <f>'MKT DATA'!O1772</f>
        <v>0</v>
      </c>
      <c r="L89" s="8">
        <f>'MKT DATA'!P1772</f>
        <v>84836</v>
      </c>
      <c r="M89" s="8">
        <f>'MKT DATA'!Q1772</f>
        <v>0</v>
      </c>
      <c r="N89" s="8">
        <f>'MKT DATA'!R1772</f>
        <v>0</v>
      </c>
      <c r="O89" s="8">
        <f>'MKT DATA'!S1772</f>
        <v>-86162</v>
      </c>
      <c r="P89" s="8">
        <f>'MKT DATA'!T1772</f>
        <v>0</v>
      </c>
      <c r="Q89" s="43" t="str">
        <f t="shared" si="5"/>
        <v>syn BTCG7/BTCV6/BTCZ6/BTCH7</v>
      </c>
      <c r="R89" s="13">
        <f>'MKT DATA'!AB1772</f>
        <v>0</v>
      </c>
    </row>
    <row r="90" spans="5:18" x14ac:dyDescent="0.25">
      <c r="E90" s="43" t="str">
        <f>'MKT DATA'!B1773</f>
        <v>syn BTCG7/BTCV6/BTCF7/BTCH7</v>
      </c>
      <c r="F90" s="13">
        <f>'MKT DATA'!J1773</f>
        <v>1</v>
      </c>
      <c r="G90" s="8">
        <f>'MKT DATA'!K1773</f>
        <v>84506</v>
      </c>
      <c r="H90" s="8">
        <f>'MKT DATA'!L1773</f>
        <v>86274</v>
      </c>
      <c r="I90" s="13">
        <f>'MKT DATA'!M1773</f>
        <v>1</v>
      </c>
      <c r="J90" s="43" t="str">
        <f t="shared" si="4"/>
        <v>syn BTCG7/BTCV6/BTCF7/BTCH7</v>
      </c>
      <c r="K90" s="8">
        <f>'MKT DATA'!O1773</f>
        <v>0</v>
      </c>
      <c r="L90" s="8">
        <f>'MKT DATA'!P1773</f>
        <v>84506</v>
      </c>
      <c r="M90" s="8">
        <f>'MKT DATA'!Q1773</f>
        <v>0</v>
      </c>
      <c r="N90" s="8">
        <f>'MKT DATA'!R1773</f>
        <v>0</v>
      </c>
      <c r="O90" s="8">
        <f>'MKT DATA'!S1773</f>
        <v>-86274</v>
      </c>
      <c r="P90" s="8">
        <f>'MKT DATA'!T1773</f>
        <v>0</v>
      </c>
      <c r="Q90" s="43" t="str">
        <f t="shared" si="5"/>
        <v>syn BTCG7/BTCV6/BTCF7/BTCH7</v>
      </c>
      <c r="R90" s="13">
        <f>'MKT DATA'!AB1773</f>
        <v>0</v>
      </c>
    </row>
    <row r="91" spans="5:18" x14ac:dyDescent="0.25">
      <c r="E91" s="43" t="str">
        <f>'MKT DATA'!B1774</f>
        <v>syn BTCG7/BTCX6/BTCV6/BTCH7</v>
      </c>
      <c r="F91" s="13">
        <f>'MKT DATA'!J1774</f>
        <v>1</v>
      </c>
      <c r="G91" s="8">
        <f>'MKT DATA'!K1774</f>
        <v>84664</v>
      </c>
      <c r="H91" s="8">
        <f>'MKT DATA'!L1774</f>
        <v>86153</v>
      </c>
      <c r="I91" s="13">
        <f>'MKT DATA'!M1774</f>
        <v>1</v>
      </c>
      <c r="J91" s="43" t="str">
        <f t="shared" si="4"/>
        <v>syn BTCG7/BTCX6/BTCV6/BTCH7</v>
      </c>
      <c r="K91" s="8">
        <f>'MKT DATA'!O1774</f>
        <v>0</v>
      </c>
      <c r="L91" s="8">
        <f>'MKT DATA'!P1774</f>
        <v>84664</v>
      </c>
      <c r="M91" s="8">
        <f>'MKT DATA'!Q1774</f>
        <v>0</v>
      </c>
      <c r="N91" s="8">
        <f>'MKT DATA'!R1774</f>
        <v>0</v>
      </c>
      <c r="O91" s="8">
        <f>'MKT DATA'!S1774</f>
        <v>-86153</v>
      </c>
      <c r="P91" s="8">
        <f>'MKT DATA'!T1774</f>
        <v>0</v>
      </c>
      <c r="Q91" s="43" t="str">
        <f t="shared" si="5"/>
        <v>syn BTCG7/BTCX6/BTCV6/BTCH7</v>
      </c>
      <c r="R91" s="13">
        <f>'MKT DATA'!AB1774</f>
        <v>0</v>
      </c>
    </row>
    <row r="92" spans="5:18" x14ac:dyDescent="0.25">
      <c r="E92" s="43" t="str">
        <f>'MKT DATA'!B1775</f>
        <v>syn BTCG7/BTCX6/BTCZ6/BTCH7</v>
      </c>
      <c r="F92" s="13">
        <f>'MKT DATA'!J1775</f>
        <v>1</v>
      </c>
      <c r="G92" s="8">
        <f>'MKT DATA'!K1775</f>
        <v>84834</v>
      </c>
      <c r="H92" s="8">
        <f>'MKT DATA'!L1775</f>
        <v>86171</v>
      </c>
      <c r="I92" s="13">
        <f>'MKT DATA'!M1775</f>
        <v>1</v>
      </c>
      <c r="J92" s="43" t="str">
        <f t="shared" si="4"/>
        <v>syn BTCG7/BTCX6/BTCZ6/BTCH7</v>
      </c>
      <c r="K92" s="8">
        <f>'MKT DATA'!O1775</f>
        <v>0</v>
      </c>
      <c r="L92" s="8">
        <f>'MKT DATA'!P1775</f>
        <v>84834</v>
      </c>
      <c r="M92" s="8">
        <f>'MKT DATA'!Q1775</f>
        <v>0</v>
      </c>
      <c r="N92" s="8">
        <f>'MKT DATA'!R1775</f>
        <v>0</v>
      </c>
      <c r="O92" s="8">
        <f>'MKT DATA'!S1775</f>
        <v>-86171</v>
      </c>
      <c r="P92" s="8">
        <f>'MKT DATA'!T1775</f>
        <v>0</v>
      </c>
      <c r="Q92" s="43" t="str">
        <f t="shared" si="5"/>
        <v>syn BTCG7/BTCX6/BTCZ6/BTCH7</v>
      </c>
      <c r="R92" s="13">
        <f>'MKT DATA'!AB1775</f>
        <v>0</v>
      </c>
    </row>
    <row r="93" spans="5:18" x14ac:dyDescent="0.25">
      <c r="E93" s="43" t="str">
        <f>'MKT DATA'!B1776</f>
        <v>syn BTCG7/BTCX6/BTCF7/BTCH7</v>
      </c>
      <c r="F93" s="13">
        <f>'MKT DATA'!J1776</f>
        <v>1</v>
      </c>
      <c r="G93" s="8">
        <f>'MKT DATA'!K1776</f>
        <v>84521</v>
      </c>
      <c r="H93" s="8">
        <f>'MKT DATA'!L1776</f>
        <v>86269</v>
      </c>
      <c r="I93" s="13">
        <f>'MKT DATA'!M1776</f>
        <v>1</v>
      </c>
      <c r="J93" s="43" t="str">
        <f t="shared" si="4"/>
        <v>syn BTCG7/BTCX6/BTCF7/BTCH7</v>
      </c>
      <c r="K93" s="8">
        <f>'MKT DATA'!O1776</f>
        <v>0</v>
      </c>
      <c r="L93" s="8">
        <f>'MKT DATA'!P1776</f>
        <v>84521</v>
      </c>
      <c r="M93" s="8">
        <f>'MKT DATA'!Q1776</f>
        <v>0</v>
      </c>
      <c r="N93" s="8">
        <f>'MKT DATA'!R1776</f>
        <v>0</v>
      </c>
      <c r="O93" s="8">
        <f>'MKT DATA'!S1776</f>
        <v>-86269</v>
      </c>
      <c r="P93" s="8">
        <f>'MKT DATA'!T1776</f>
        <v>0</v>
      </c>
      <c r="Q93" s="43" t="str">
        <f t="shared" si="5"/>
        <v>syn BTCG7/BTCX6/BTCF7/BTCH7</v>
      </c>
      <c r="R93" s="13">
        <f>'MKT DATA'!AB1776</f>
        <v>0</v>
      </c>
    </row>
    <row r="94" spans="5:18" x14ac:dyDescent="0.25">
      <c r="E94" s="43" t="str">
        <f>'MKT DATA'!B1777</f>
        <v>syn BTCG7/BTCZ6/BTCV6/BTCH7</v>
      </c>
      <c r="F94" s="13">
        <f>'MKT DATA'!J1777</f>
        <v>1</v>
      </c>
      <c r="G94" s="8">
        <f>'MKT DATA'!K1777</f>
        <v>84618</v>
      </c>
      <c r="H94" s="8">
        <f>'MKT DATA'!L1777</f>
        <v>86184</v>
      </c>
      <c r="I94" s="13">
        <f>'MKT DATA'!M1777</f>
        <v>1</v>
      </c>
      <c r="J94" s="43" t="str">
        <f t="shared" si="4"/>
        <v>syn BTCG7/BTCZ6/BTCV6/BTCH7</v>
      </c>
      <c r="K94" s="8">
        <f>'MKT DATA'!O1777</f>
        <v>0</v>
      </c>
      <c r="L94" s="8">
        <f>'MKT DATA'!P1777</f>
        <v>84618</v>
      </c>
      <c r="M94" s="8">
        <f>'MKT DATA'!Q1777</f>
        <v>0</v>
      </c>
      <c r="N94" s="8">
        <f>'MKT DATA'!R1777</f>
        <v>0</v>
      </c>
      <c r="O94" s="8">
        <f>'MKT DATA'!S1777</f>
        <v>-86184</v>
      </c>
      <c r="P94" s="8">
        <f>'MKT DATA'!T1777</f>
        <v>0</v>
      </c>
      <c r="Q94" s="43" t="str">
        <f t="shared" si="5"/>
        <v>syn BTCG7/BTCZ6/BTCV6/BTCH7</v>
      </c>
      <c r="R94" s="13">
        <f>'MKT DATA'!AB1777</f>
        <v>0</v>
      </c>
    </row>
    <row r="95" spans="5:18" x14ac:dyDescent="0.25">
      <c r="E95" s="43" t="str">
        <f>'MKT DATA'!B1778</f>
        <v>syn BTCG7/BTCZ6/BTCX6/BTCH7</v>
      </c>
      <c r="F95" s="13">
        <f>'MKT DATA'!J1778</f>
        <v>1</v>
      </c>
      <c r="G95" s="8">
        <f>'MKT DATA'!K1778</f>
        <v>84609</v>
      </c>
      <c r="H95" s="8">
        <f>'MKT DATA'!L1778</f>
        <v>86186</v>
      </c>
      <c r="I95" s="13">
        <f>'MKT DATA'!M1778</f>
        <v>1</v>
      </c>
      <c r="J95" s="43" t="str">
        <f t="shared" si="4"/>
        <v>syn BTCG7/BTCZ6/BTCX6/BTCH7</v>
      </c>
      <c r="K95" s="8">
        <f>'MKT DATA'!O1778</f>
        <v>0</v>
      </c>
      <c r="L95" s="8">
        <f>'MKT DATA'!P1778</f>
        <v>84609</v>
      </c>
      <c r="M95" s="8">
        <f>'MKT DATA'!Q1778</f>
        <v>0</v>
      </c>
      <c r="N95" s="8">
        <f>'MKT DATA'!R1778</f>
        <v>0</v>
      </c>
      <c r="O95" s="8">
        <f>'MKT DATA'!S1778</f>
        <v>-86186</v>
      </c>
      <c r="P95" s="8">
        <f>'MKT DATA'!T1778</f>
        <v>0</v>
      </c>
      <c r="Q95" s="43" t="str">
        <f t="shared" si="5"/>
        <v>syn BTCG7/BTCZ6/BTCX6/BTCH7</v>
      </c>
      <c r="R95" s="13">
        <f>'MKT DATA'!AB1778</f>
        <v>0</v>
      </c>
    </row>
    <row r="96" spans="5:18" x14ac:dyDescent="0.25">
      <c r="E96" s="43" t="str">
        <f>'MKT DATA'!B1779</f>
        <v>syn BTCG7/BTCZ6/BTCF7/BTCH7</v>
      </c>
      <c r="F96" s="13">
        <f>'MKT DATA'!J1779</f>
        <v>1</v>
      </c>
      <c r="G96" s="8">
        <f>'MKT DATA'!K1779</f>
        <v>84542</v>
      </c>
      <c r="H96" s="8">
        <f>'MKT DATA'!L1779</f>
        <v>86264</v>
      </c>
      <c r="I96" s="13">
        <f>'MKT DATA'!M1779</f>
        <v>1</v>
      </c>
      <c r="J96" s="43" t="str">
        <f t="shared" si="4"/>
        <v>syn BTCG7/BTCZ6/BTCF7/BTCH7</v>
      </c>
      <c r="K96" s="8">
        <f>'MKT DATA'!O1779</f>
        <v>0</v>
      </c>
      <c r="L96" s="8">
        <f>'MKT DATA'!P1779</f>
        <v>84542</v>
      </c>
      <c r="M96" s="8">
        <f>'MKT DATA'!Q1779</f>
        <v>0</v>
      </c>
      <c r="N96" s="8">
        <f>'MKT DATA'!R1779</f>
        <v>0</v>
      </c>
      <c r="O96" s="8">
        <f>'MKT DATA'!S1779</f>
        <v>-86264</v>
      </c>
      <c r="P96" s="8">
        <f>'MKT DATA'!T1779</f>
        <v>0</v>
      </c>
      <c r="Q96" s="43" t="str">
        <f t="shared" si="5"/>
        <v>syn BTCG7/BTCZ6/BTCF7/BTCH7</v>
      </c>
      <c r="R96" s="13">
        <f>'MKT DATA'!AB1779</f>
        <v>0</v>
      </c>
    </row>
    <row r="97" spans="5:18" x14ac:dyDescent="0.25">
      <c r="E97" s="43" t="str">
        <f>'MKT DATA'!B1780</f>
        <v>syn BTCG7/BTCF7/BTCV6/BTCH7</v>
      </c>
      <c r="F97" s="13">
        <f>'MKT DATA'!J1780</f>
        <v>1</v>
      </c>
      <c r="G97" s="8">
        <f>'MKT DATA'!K1780</f>
        <v>84721</v>
      </c>
      <c r="H97" s="8">
        <f>'MKT DATA'!L1780</f>
        <v>86135</v>
      </c>
      <c r="I97" s="13">
        <f>'MKT DATA'!M1780</f>
        <v>1</v>
      </c>
      <c r="J97" s="43" t="str">
        <f t="shared" si="4"/>
        <v>syn BTCG7/BTCF7/BTCV6/BTCH7</v>
      </c>
      <c r="K97" s="8">
        <f>'MKT DATA'!O1780</f>
        <v>0</v>
      </c>
      <c r="L97" s="8">
        <f>'MKT DATA'!P1780</f>
        <v>84721</v>
      </c>
      <c r="M97" s="8">
        <f>'MKT DATA'!Q1780</f>
        <v>0</v>
      </c>
      <c r="N97" s="8">
        <f>'MKT DATA'!R1780</f>
        <v>0</v>
      </c>
      <c r="O97" s="8">
        <f>'MKT DATA'!S1780</f>
        <v>-86135</v>
      </c>
      <c r="P97" s="8">
        <f>'MKT DATA'!T1780</f>
        <v>0</v>
      </c>
      <c r="Q97" s="43" t="str">
        <f t="shared" si="5"/>
        <v>syn BTCG7/BTCF7/BTCV6/BTCH7</v>
      </c>
      <c r="R97" s="13">
        <f>'MKT DATA'!AB1780</f>
        <v>0</v>
      </c>
    </row>
    <row r="98" spans="5:18" x14ac:dyDescent="0.25">
      <c r="E98" s="43" t="str">
        <f>'MKT DATA'!B1781</f>
        <v>syn BTCG7/BTCF7/BTCX6/BTCH7</v>
      </c>
      <c r="F98" s="13">
        <f>'MKT DATA'!J1781</f>
        <v>1</v>
      </c>
      <c r="G98" s="8">
        <f>'MKT DATA'!K1781</f>
        <v>84726</v>
      </c>
      <c r="H98" s="8">
        <f>'MKT DATA'!L1781</f>
        <v>86120</v>
      </c>
      <c r="I98" s="13">
        <f>'MKT DATA'!M1781</f>
        <v>1</v>
      </c>
      <c r="J98" s="43" t="str">
        <f t="shared" si="4"/>
        <v>syn BTCG7/BTCF7/BTCX6/BTCH7</v>
      </c>
      <c r="K98" s="8">
        <f>'MKT DATA'!O1781</f>
        <v>0</v>
      </c>
      <c r="L98" s="8">
        <f>'MKT DATA'!P1781</f>
        <v>84726</v>
      </c>
      <c r="M98" s="8">
        <f>'MKT DATA'!Q1781</f>
        <v>0</v>
      </c>
      <c r="N98" s="8">
        <f>'MKT DATA'!R1781</f>
        <v>0</v>
      </c>
      <c r="O98" s="8">
        <f>'MKT DATA'!S1781</f>
        <v>-86120</v>
      </c>
      <c r="P98" s="8">
        <f>'MKT DATA'!T1781</f>
        <v>0</v>
      </c>
      <c r="Q98" s="43" t="str">
        <f t="shared" si="5"/>
        <v>syn BTCG7/BTCF7/BTCX6/BTCH7</v>
      </c>
      <c r="R98" s="13">
        <f>'MKT DATA'!AB1781</f>
        <v>0</v>
      </c>
    </row>
    <row r="99" spans="5:18" x14ac:dyDescent="0.25">
      <c r="E99" s="43" t="str">
        <f>'MKT DATA'!B1782</f>
        <v>syn BTCG7/BTCF7/BTCZ6/BTCH7</v>
      </c>
      <c r="F99" s="13">
        <f>'MKT DATA'!J1782</f>
        <v>1</v>
      </c>
      <c r="G99" s="8">
        <f>'MKT DATA'!K1782</f>
        <v>84941</v>
      </c>
      <c r="H99" s="8">
        <f>'MKT DATA'!L1782</f>
        <v>86069</v>
      </c>
      <c r="I99" s="13">
        <f>'MKT DATA'!M1782</f>
        <v>1</v>
      </c>
      <c r="J99" s="43" t="str">
        <f t="shared" si="4"/>
        <v>syn BTCG7/BTCF7/BTCZ6/BTCH7</v>
      </c>
      <c r="K99" s="8">
        <f>'MKT DATA'!O1782</f>
        <v>0</v>
      </c>
      <c r="L99" s="8">
        <f>'MKT DATA'!P1782</f>
        <v>84941</v>
      </c>
      <c r="M99" s="8">
        <f>'MKT DATA'!Q1782</f>
        <v>0</v>
      </c>
      <c r="N99" s="8">
        <f>'MKT DATA'!R1782</f>
        <v>0</v>
      </c>
      <c r="O99" s="8">
        <f>'MKT DATA'!S1782</f>
        <v>-86069</v>
      </c>
      <c r="P99" s="8">
        <f>'MKT DATA'!T1782</f>
        <v>0</v>
      </c>
      <c r="Q99" s="43" t="str">
        <f t="shared" si="5"/>
        <v>syn BTCG7/BTCF7/BTCZ6/BTCH7</v>
      </c>
      <c r="R99" s="13">
        <f>'MKT DATA'!AB1782</f>
        <v>0</v>
      </c>
    </row>
    <row r="100" spans="5:18" x14ac:dyDescent="0.25">
      <c r="E100" s="43" t="str">
        <f>'MKT DATA'!B1783</f>
        <v>syn BTCV6/BTCX6/BTCZ6/BTCF7/BTCH7</v>
      </c>
      <c r="F100" s="13">
        <f>'MKT DATA'!J1783</f>
        <v>1</v>
      </c>
      <c r="G100" s="8">
        <f>'MKT DATA'!K1783</f>
        <v>84898</v>
      </c>
      <c r="H100" s="8">
        <f>'MKT DATA'!L1783</f>
        <v>85916</v>
      </c>
      <c r="I100" s="13">
        <f>'MKT DATA'!M1783</f>
        <v>1</v>
      </c>
      <c r="J100" s="43" t="str">
        <f t="shared" si="4"/>
        <v>syn BTCV6/BTCX6/BTCZ6/BTCF7/BTCH7</v>
      </c>
      <c r="K100" s="8">
        <f>'MKT DATA'!O1783</f>
        <v>0</v>
      </c>
      <c r="L100" s="8">
        <f>'MKT DATA'!P1783</f>
        <v>84898</v>
      </c>
      <c r="M100" s="8">
        <f>'MKT DATA'!Q1783</f>
        <v>0</v>
      </c>
      <c r="N100" s="8">
        <f>'MKT DATA'!R1783</f>
        <v>0</v>
      </c>
      <c r="O100" s="8">
        <f>'MKT DATA'!S1783</f>
        <v>-85916</v>
      </c>
      <c r="P100" s="8">
        <f>'MKT DATA'!T1783</f>
        <v>0</v>
      </c>
      <c r="Q100" s="43" t="str">
        <f t="shared" si="5"/>
        <v>syn BTCV6/BTCX6/BTCZ6/BTCF7/BTCH7</v>
      </c>
      <c r="R100" s="13">
        <f>'MKT DATA'!AB1783</f>
        <v>0</v>
      </c>
    </row>
    <row r="101" spans="5:18" x14ac:dyDescent="0.25">
      <c r="E101" s="43" t="str">
        <f>'MKT DATA'!B1784</f>
        <v>syn BTCV6/BTCX6/BTCZ6/BTCG7/BTCH7</v>
      </c>
      <c r="F101" s="13">
        <f>'MKT DATA'!J1784</f>
        <v>1</v>
      </c>
      <c r="G101" s="8">
        <f>'MKT DATA'!K1784</f>
        <v>85021</v>
      </c>
      <c r="H101" s="8">
        <f>'MKT DATA'!L1784</f>
        <v>85852</v>
      </c>
      <c r="I101" s="13">
        <f>'MKT DATA'!M1784</f>
        <v>1</v>
      </c>
      <c r="J101" s="43" t="str">
        <f t="shared" si="4"/>
        <v>syn BTCV6/BTCX6/BTCZ6/BTCG7/BTCH7</v>
      </c>
      <c r="K101" s="8">
        <f>'MKT DATA'!O1784</f>
        <v>0</v>
      </c>
      <c r="L101" s="8">
        <f>'MKT DATA'!P1784</f>
        <v>85021</v>
      </c>
      <c r="M101" s="8">
        <f>'MKT DATA'!Q1784</f>
        <v>0</v>
      </c>
      <c r="N101" s="8">
        <f>'MKT DATA'!R1784</f>
        <v>0</v>
      </c>
      <c r="O101" s="8">
        <f>'MKT DATA'!S1784</f>
        <v>-85852</v>
      </c>
      <c r="P101" s="8">
        <f>'MKT DATA'!T1784</f>
        <v>0</v>
      </c>
      <c r="Q101" s="43" t="str">
        <f t="shared" si="5"/>
        <v>syn BTCV6/BTCX6/BTCZ6/BTCG7/BTCH7</v>
      </c>
      <c r="R101" s="13">
        <f>'MKT DATA'!AB1784</f>
        <v>0</v>
      </c>
    </row>
    <row r="102" spans="5:18" x14ac:dyDescent="0.25">
      <c r="E102" s="43" t="str">
        <f>'MKT DATA'!B1785</f>
        <v>syn BTCV6/BTCX6/BTCF7/BTCZ6/BTCH7</v>
      </c>
      <c r="F102" s="13">
        <f>'MKT DATA'!J1785</f>
        <v>1</v>
      </c>
      <c r="G102" s="8">
        <f>'MKT DATA'!K1785</f>
        <v>85094</v>
      </c>
      <c r="H102" s="8">
        <f>'MKT DATA'!L1785</f>
        <v>85873</v>
      </c>
      <c r="I102" s="13">
        <f>'MKT DATA'!M1785</f>
        <v>1</v>
      </c>
      <c r="J102" s="43" t="str">
        <f t="shared" si="4"/>
        <v>syn BTCV6/BTCX6/BTCF7/BTCZ6/BTCH7</v>
      </c>
      <c r="K102" s="8">
        <f>'MKT DATA'!O1785</f>
        <v>0</v>
      </c>
      <c r="L102" s="8">
        <f>'MKT DATA'!P1785</f>
        <v>85094</v>
      </c>
      <c r="M102" s="8">
        <f>'MKT DATA'!Q1785</f>
        <v>0</v>
      </c>
      <c r="N102" s="8">
        <f>'MKT DATA'!R1785</f>
        <v>0</v>
      </c>
      <c r="O102" s="8">
        <f>'MKT DATA'!S1785</f>
        <v>-85873</v>
      </c>
      <c r="P102" s="8">
        <f>'MKT DATA'!T1785</f>
        <v>0</v>
      </c>
      <c r="Q102" s="43" t="str">
        <f t="shared" si="5"/>
        <v>syn BTCV6/BTCX6/BTCF7/BTCZ6/BTCH7</v>
      </c>
      <c r="R102" s="13">
        <f>'MKT DATA'!AB1785</f>
        <v>0</v>
      </c>
    </row>
    <row r="103" spans="5:18" x14ac:dyDescent="0.25">
      <c r="E103" s="43" t="str">
        <f>'MKT DATA'!B1786</f>
        <v>syn BTCV6/BTCX6/BTCF7/BTCG7/BTCH7</v>
      </c>
      <c r="F103" s="13">
        <f>'MKT DATA'!J1786</f>
        <v>1</v>
      </c>
      <c r="G103" s="8">
        <f>'MKT DATA'!K1786</f>
        <v>85087</v>
      </c>
      <c r="H103" s="8">
        <f>'MKT DATA'!L1786</f>
        <v>85735</v>
      </c>
      <c r="I103" s="13">
        <f>'MKT DATA'!M1786</f>
        <v>1</v>
      </c>
      <c r="J103" s="43" t="str">
        <f t="shared" si="4"/>
        <v>syn BTCV6/BTCX6/BTCF7/BTCG7/BTCH7</v>
      </c>
      <c r="K103" s="8">
        <f>'MKT DATA'!O1786</f>
        <v>0</v>
      </c>
      <c r="L103" s="8">
        <f>'MKT DATA'!P1786</f>
        <v>85087</v>
      </c>
      <c r="M103" s="8">
        <f>'MKT DATA'!Q1786</f>
        <v>0</v>
      </c>
      <c r="N103" s="8">
        <f>'MKT DATA'!R1786</f>
        <v>0</v>
      </c>
      <c r="O103" s="8">
        <f>'MKT DATA'!S1786</f>
        <v>-85735</v>
      </c>
      <c r="P103" s="8">
        <f>'MKT DATA'!T1786</f>
        <v>0</v>
      </c>
      <c r="Q103" s="43" t="str">
        <f t="shared" si="5"/>
        <v>syn BTCV6/BTCX6/BTCF7/BTCG7/BTCH7</v>
      </c>
      <c r="R103" s="13">
        <f>'MKT DATA'!AB1786</f>
        <v>0</v>
      </c>
    </row>
    <row r="104" spans="5:18" x14ac:dyDescent="0.25">
      <c r="E104" s="43" t="str">
        <f>'MKT DATA'!B1787</f>
        <v>syn BTCV6/BTCX6/BTCG7/BTCZ6/BTCH7</v>
      </c>
      <c r="F104" s="13">
        <f>'MKT DATA'!J1787</f>
        <v>1</v>
      </c>
      <c r="G104" s="8">
        <f>'MKT DATA'!K1787</f>
        <v>84767</v>
      </c>
      <c r="H104" s="8">
        <f>'MKT DATA'!L1787</f>
        <v>86216</v>
      </c>
      <c r="I104" s="13">
        <f>'MKT DATA'!M1787</f>
        <v>1</v>
      </c>
      <c r="J104" s="43" t="str">
        <f t="shared" si="4"/>
        <v>syn BTCV6/BTCX6/BTCG7/BTCZ6/BTCH7</v>
      </c>
      <c r="K104" s="8">
        <f>'MKT DATA'!O1787</f>
        <v>0</v>
      </c>
      <c r="L104" s="8">
        <f>'MKT DATA'!P1787</f>
        <v>84767</v>
      </c>
      <c r="M104" s="8">
        <f>'MKT DATA'!Q1787</f>
        <v>0</v>
      </c>
      <c r="N104" s="8">
        <f>'MKT DATA'!R1787</f>
        <v>0</v>
      </c>
      <c r="O104" s="8">
        <f>'MKT DATA'!S1787</f>
        <v>-86216</v>
      </c>
      <c r="P104" s="8">
        <f>'MKT DATA'!T1787</f>
        <v>0</v>
      </c>
      <c r="Q104" s="43" t="str">
        <f t="shared" si="5"/>
        <v>syn BTCV6/BTCX6/BTCG7/BTCZ6/BTCH7</v>
      </c>
      <c r="R104" s="13">
        <f>'MKT DATA'!AB1787</f>
        <v>0</v>
      </c>
    </row>
    <row r="105" spans="5:18" x14ac:dyDescent="0.25">
      <c r="E105" s="43" t="str">
        <f>'MKT DATA'!B1788</f>
        <v>syn BTCV6/BTCX6/BTCG7/BTCF7/BTCH7</v>
      </c>
      <c r="F105" s="13">
        <f>'MKT DATA'!J1788</f>
        <v>1</v>
      </c>
      <c r="G105" s="8">
        <f>'MKT DATA'!K1788</f>
        <v>84657</v>
      </c>
      <c r="H105" s="8">
        <f>'MKT DATA'!L1788</f>
        <v>86162</v>
      </c>
      <c r="I105" s="13">
        <f>'MKT DATA'!M1788</f>
        <v>1</v>
      </c>
      <c r="J105" s="43" t="str">
        <f t="shared" si="4"/>
        <v>syn BTCV6/BTCX6/BTCG7/BTCF7/BTCH7</v>
      </c>
      <c r="K105" s="8">
        <f>'MKT DATA'!O1788</f>
        <v>0</v>
      </c>
      <c r="L105" s="8">
        <f>'MKT DATA'!P1788</f>
        <v>84657</v>
      </c>
      <c r="M105" s="8">
        <f>'MKT DATA'!Q1788</f>
        <v>0</v>
      </c>
      <c r="N105" s="8">
        <f>'MKT DATA'!R1788</f>
        <v>0</v>
      </c>
      <c r="O105" s="8">
        <f>'MKT DATA'!S1788</f>
        <v>-86162</v>
      </c>
      <c r="P105" s="8">
        <f>'MKT DATA'!T1788</f>
        <v>0</v>
      </c>
      <c r="Q105" s="43" t="str">
        <f t="shared" si="5"/>
        <v>syn BTCV6/BTCX6/BTCG7/BTCF7/BTCH7</v>
      </c>
      <c r="R105" s="13">
        <f>'MKT DATA'!AB1788</f>
        <v>0</v>
      </c>
    </row>
    <row r="106" spans="5:18" x14ac:dyDescent="0.25">
      <c r="E106" s="43" t="str">
        <f>'MKT DATA'!B1789</f>
        <v>syn BTCV6/BTCZ6/BTCX6/BTCF7/BTCH7</v>
      </c>
      <c r="F106" s="13">
        <f>'MKT DATA'!J1789</f>
        <v>1</v>
      </c>
      <c r="G106" s="8">
        <f>'MKT DATA'!K1789</f>
        <v>84831</v>
      </c>
      <c r="H106" s="8">
        <f>'MKT DATA'!L1789</f>
        <v>85952</v>
      </c>
      <c r="I106" s="13">
        <f>'MKT DATA'!M1789</f>
        <v>1</v>
      </c>
      <c r="J106" s="43" t="str">
        <f t="shared" si="4"/>
        <v>syn BTCV6/BTCZ6/BTCX6/BTCF7/BTCH7</v>
      </c>
      <c r="K106" s="8">
        <f>'MKT DATA'!O1789</f>
        <v>0</v>
      </c>
      <c r="L106" s="8">
        <f>'MKT DATA'!P1789</f>
        <v>84831</v>
      </c>
      <c r="M106" s="8">
        <f>'MKT DATA'!Q1789</f>
        <v>0</v>
      </c>
      <c r="N106" s="8">
        <f>'MKT DATA'!R1789</f>
        <v>0</v>
      </c>
      <c r="O106" s="8">
        <f>'MKT DATA'!S1789</f>
        <v>-85952</v>
      </c>
      <c r="P106" s="8">
        <f>'MKT DATA'!T1789</f>
        <v>0</v>
      </c>
      <c r="Q106" s="43" t="str">
        <f t="shared" si="5"/>
        <v>syn BTCV6/BTCZ6/BTCX6/BTCF7/BTCH7</v>
      </c>
      <c r="R106" s="13">
        <f>'MKT DATA'!AB1789</f>
        <v>0</v>
      </c>
    </row>
    <row r="107" spans="5:18" x14ac:dyDescent="0.25">
      <c r="E107" s="43" t="str">
        <f>'MKT DATA'!B1790</f>
        <v>syn BTCV6/BTCZ6/BTCX6/BTCG7/BTCH7</v>
      </c>
      <c r="F107" s="13">
        <f>'MKT DATA'!J1790</f>
        <v>1</v>
      </c>
      <c r="G107" s="8">
        <f>'MKT DATA'!K1790</f>
        <v>85020</v>
      </c>
      <c r="H107" s="8">
        <f>'MKT DATA'!L1790</f>
        <v>85838</v>
      </c>
      <c r="I107" s="13">
        <f>'MKT DATA'!M1790</f>
        <v>1</v>
      </c>
      <c r="J107" s="43" t="str">
        <f t="shared" si="4"/>
        <v>syn BTCV6/BTCZ6/BTCX6/BTCG7/BTCH7</v>
      </c>
      <c r="K107" s="8">
        <f>'MKT DATA'!O1790</f>
        <v>0</v>
      </c>
      <c r="L107" s="8">
        <f>'MKT DATA'!P1790</f>
        <v>85020</v>
      </c>
      <c r="M107" s="8">
        <f>'MKT DATA'!Q1790</f>
        <v>0</v>
      </c>
      <c r="N107" s="8">
        <f>'MKT DATA'!R1790</f>
        <v>0</v>
      </c>
      <c r="O107" s="8">
        <f>'MKT DATA'!S1790</f>
        <v>-85838</v>
      </c>
      <c r="P107" s="8">
        <f>'MKT DATA'!T1790</f>
        <v>0</v>
      </c>
      <c r="Q107" s="43" t="str">
        <f t="shared" si="5"/>
        <v>syn BTCV6/BTCZ6/BTCX6/BTCG7/BTCH7</v>
      </c>
      <c r="R107" s="13">
        <f>'MKT DATA'!AB1790</f>
        <v>0</v>
      </c>
    </row>
    <row r="108" spans="5:18" x14ac:dyDescent="0.25">
      <c r="E108" s="43" t="str">
        <f>'MKT DATA'!B1791</f>
        <v>syn BTCV6/BTCZ6/BTCF7/BTCX6/BTCH7</v>
      </c>
      <c r="F108" s="13">
        <f>'MKT DATA'!J1791</f>
        <v>1</v>
      </c>
      <c r="G108" s="8">
        <f>'MKT DATA'!K1791</f>
        <v>84914</v>
      </c>
      <c r="H108" s="8">
        <f>'MKT DATA'!L1791</f>
        <v>85920</v>
      </c>
      <c r="I108" s="13">
        <f>'MKT DATA'!M1791</f>
        <v>1</v>
      </c>
      <c r="J108" s="43" t="str">
        <f t="shared" si="4"/>
        <v>syn BTCV6/BTCZ6/BTCF7/BTCX6/BTCH7</v>
      </c>
      <c r="K108" s="8">
        <f>'MKT DATA'!O1791</f>
        <v>0</v>
      </c>
      <c r="L108" s="8">
        <f>'MKT DATA'!P1791</f>
        <v>84914</v>
      </c>
      <c r="M108" s="8">
        <f>'MKT DATA'!Q1791</f>
        <v>0</v>
      </c>
      <c r="N108" s="8">
        <f>'MKT DATA'!R1791</f>
        <v>0</v>
      </c>
      <c r="O108" s="8">
        <f>'MKT DATA'!S1791</f>
        <v>-85920</v>
      </c>
      <c r="P108" s="8">
        <f>'MKT DATA'!T1791</f>
        <v>0</v>
      </c>
      <c r="Q108" s="43" t="str">
        <f t="shared" si="5"/>
        <v>syn BTCV6/BTCZ6/BTCF7/BTCX6/BTCH7</v>
      </c>
      <c r="R108" s="13">
        <f>'MKT DATA'!AB1791</f>
        <v>0</v>
      </c>
    </row>
    <row r="109" spans="5:18" x14ac:dyDescent="0.25">
      <c r="E109" s="43" t="str">
        <f>'MKT DATA'!B1792</f>
        <v>syn BTCV6/BTCZ6/BTCF7/BTCG7/BTCH7</v>
      </c>
      <c r="F109" s="13">
        <f>'MKT DATA'!J1792</f>
        <v>1</v>
      </c>
      <c r="G109" s="8">
        <f>'MKT DATA'!K1792</f>
        <v>85122</v>
      </c>
      <c r="H109" s="8">
        <f>'MKT DATA'!L1792</f>
        <v>85731</v>
      </c>
      <c r="I109" s="13">
        <f>'MKT DATA'!M1792</f>
        <v>1</v>
      </c>
      <c r="J109" s="43" t="str">
        <f t="shared" si="4"/>
        <v>syn BTCV6/BTCZ6/BTCF7/BTCG7/BTCH7</v>
      </c>
      <c r="K109" s="8">
        <f>'MKT DATA'!O1792</f>
        <v>0</v>
      </c>
      <c r="L109" s="8">
        <f>'MKT DATA'!P1792</f>
        <v>85122</v>
      </c>
      <c r="M109" s="8">
        <f>'MKT DATA'!Q1792</f>
        <v>0</v>
      </c>
      <c r="N109" s="8">
        <f>'MKT DATA'!R1792</f>
        <v>0</v>
      </c>
      <c r="O109" s="8">
        <f>'MKT DATA'!S1792</f>
        <v>-85731</v>
      </c>
      <c r="P109" s="8">
        <f>'MKT DATA'!T1792</f>
        <v>0</v>
      </c>
      <c r="Q109" s="43" t="str">
        <f t="shared" si="5"/>
        <v>syn BTCV6/BTCZ6/BTCF7/BTCG7/BTCH7</v>
      </c>
      <c r="R109" s="13">
        <f>'MKT DATA'!AB1792</f>
        <v>0</v>
      </c>
    </row>
    <row r="110" spans="5:18" x14ac:dyDescent="0.25">
      <c r="E110" s="43" t="str">
        <f>'MKT DATA'!B1793</f>
        <v>syn BTCV6/BTCZ6/BTCG7/BTCX6/BTCH7</v>
      </c>
      <c r="F110" s="13">
        <f>'MKT DATA'!J1793</f>
        <v>1</v>
      </c>
      <c r="G110" s="8">
        <f>'MKT DATA'!K1793</f>
        <v>84571</v>
      </c>
      <c r="H110" s="8">
        <f>'MKT DATA'!L1793</f>
        <v>86247</v>
      </c>
      <c r="I110" s="13">
        <f>'MKT DATA'!M1793</f>
        <v>1</v>
      </c>
      <c r="J110" s="43" t="str">
        <f t="shared" si="4"/>
        <v>syn BTCV6/BTCZ6/BTCG7/BTCX6/BTCH7</v>
      </c>
      <c r="K110" s="8">
        <f>'MKT DATA'!O1793</f>
        <v>0</v>
      </c>
      <c r="L110" s="8">
        <f>'MKT DATA'!P1793</f>
        <v>84571</v>
      </c>
      <c r="M110" s="8">
        <f>'MKT DATA'!Q1793</f>
        <v>0</v>
      </c>
      <c r="N110" s="8">
        <f>'MKT DATA'!R1793</f>
        <v>0</v>
      </c>
      <c r="O110" s="8">
        <f>'MKT DATA'!S1793</f>
        <v>-86247</v>
      </c>
      <c r="P110" s="8">
        <f>'MKT DATA'!T1793</f>
        <v>0</v>
      </c>
      <c r="Q110" s="43" t="str">
        <f t="shared" si="5"/>
        <v>syn BTCV6/BTCZ6/BTCG7/BTCX6/BTCH7</v>
      </c>
      <c r="R110" s="13">
        <f>'MKT DATA'!AB1793</f>
        <v>0</v>
      </c>
    </row>
    <row r="111" spans="5:18" x14ac:dyDescent="0.25">
      <c r="E111" s="43" t="str">
        <f>'MKT DATA'!B1794</f>
        <v>syn BTCV6/BTCZ6/BTCG7/BTCF7/BTCH7</v>
      </c>
      <c r="F111" s="13">
        <f>'MKT DATA'!J1794</f>
        <v>1</v>
      </c>
      <c r="G111" s="8">
        <f>'MKT DATA'!K1794</f>
        <v>84626</v>
      </c>
      <c r="H111" s="8">
        <f>'MKT DATA'!L1794</f>
        <v>86208</v>
      </c>
      <c r="I111" s="13">
        <f>'MKT DATA'!M1794</f>
        <v>1</v>
      </c>
      <c r="J111" s="43" t="str">
        <f t="shared" si="4"/>
        <v>syn BTCV6/BTCZ6/BTCG7/BTCF7/BTCH7</v>
      </c>
      <c r="K111" s="8">
        <f>'MKT DATA'!O1794</f>
        <v>0</v>
      </c>
      <c r="L111" s="8">
        <f>'MKT DATA'!P1794</f>
        <v>84626</v>
      </c>
      <c r="M111" s="8">
        <f>'MKT DATA'!Q1794</f>
        <v>0</v>
      </c>
      <c r="N111" s="8">
        <f>'MKT DATA'!R1794</f>
        <v>0</v>
      </c>
      <c r="O111" s="8">
        <f>'MKT DATA'!S1794</f>
        <v>-86208</v>
      </c>
      <c r="P111" s="8">
        <f>'MKT DATA'!T1794</f>
        <v>0</v>
      </c>
      <c r="Q111" s="43" t="str">
        <f t="shared" si="5"/>
        <v>syn BTCV6/BTCZ6/BTCG7/BTCF7/BTCH7</v>
      </c>
      <c r="R111" s="13">
        <f>'MKT DATA'!AB1794</f>
        <v>0</v>
      </c>
    </row>
    <row r="112" spans="5:18" x14ac:dyDescent="0.25">
      <c r="E112" s="43" t="str">
        <f>'MKT DATA'!B1795</f>
        <v>syn BTCV6/BTCF7/BTCX6/BTCZ6/BTCH7</v>
      </c>
      <c r="F112" s="13">
        <f>'MKT DATA'!J1795</f>
        <v>1</v>
      </c>
      <c r="G112" s="8">
        <f>'MKT DATA'!K1795</f>
        <v>85041</v>
      </c>
      <c r="H112" s="8">
        <f>'MKT DATA'!L1795</f>
        <v>85954</v>
      </c>
      <c r="I112" s="13">
        <f>'MKT DATA'!M1795</f>
        <v>1</v>
      </c>
      <c r="J112" s="43" t="str">
        <f t="shared" si="4"/>
        <v>syn BTCV6/BTCF7/BTCX6/BTCZ6/BTCH7</v>
      </c>
      <c r="K112" s="8">
        <f>'MKT DATA'!O1795</f>
        <v>0</v>
      </c>
      <c r="L112" s="8">
        <f>'MKT DATA'!P1795</f>
        <v>85041</v>
      </c>
      <c r="M112" s="8">
        <f>'MKT DATA'!Q1795</f>
        <v>0</v>
      </c>
      <c r="N112" s="8">
        <f>'MKT DATA'!R1795</f>
        <v>0</v>
      </c>
      <c r="O112" s="8">
        <f>'MKT DATA'!S1795</f>
        <v>-85954</v>
      </c>
      <c r="P112" s="8">
        <f>'MKT DATA'!T1795</f>
        <v>0</v>
      </c>
      <c r="Q112" s="43" t="str">
        <f t="shared" si="5"/>
        <v>syn BTCV6/BTCF7/BTCX6/BTCZ6/BTCH7</v>
      </c>
      <c r="R112" s="13">
        <f>'MKT DATA'!AB1795</f>
        <v>0</v>
      </c>
    </row>
    <row r="113" spans="5:18" x14ac:dyDescent="0.25">
      <c r="E113" s="43" t="str">
        <f>'MKT DATA'!B1796</f>
        <v>syn BTCV6/BTCF7/BTCX6/BTCG7/BTCH7</v>
      </c>
      <c r="F113" s="13">
        <f>'MKT DATA'!J1796</f>
        <v>1</v>
      </c>
      <c r="G113" s="8">
        <f>'MKT DATA'!K1796</f>
        <v>84917</v>
      </c>
      <c r="H113" s="8">
        <f>'MKT DATA'!L1796</f>
        <v>85938</v>
      </c>
      <c r="I113" s="13">
        <f>'MKT DATA'!M1796</f>
        <v>1</v>
      </c>
      <c r="J113" s="43" t="str">
        <f t="shared" si="4"/>
        <v>syn BTCV6/BTCF7/BTCX6/BTCG7/BTCH7</v>
      </c>
      <c r="K113" s="8">
        <f>'MKT DATA'!O1796</f>
        <v>0</v>
      </c>
      <c r="L113" s="8">
        <f>'MKT DATA'!P1796</f>
        <v>84917</v>
      </c>
      <c r="M113" s="8">
        <f>'MKT DATA'!Q1796</f>
        <v>0</v>
      </c>
      <c r="N113" s="8">
        <f>'MKT DATA'!R1796</f>
        <v>0</v>
      </c>
      <c r="O113" s="8">
        <f>'MKT DATA'!S1796</f>
        <v>-85938</v>
      </c>
      <c r="P113" s="8">
        <f>'MKT DATA'!T1796</f>
        <v>0</v>
      </c>
      <c r="Q113" s="43" t="str">
        <f t="shared" si="5"/>
        <v>syn BTCV6/BTCF7/BTCX6/BTCG7/BTCH7</v>
      </c>
      <c r="R113" s="13">
        <f>'MKT DATA'!AB1796</f>
        <v>0</v>
      </c>
    </row>
    <row r="114" spans="5:18" x14ac:dyDescent="0.25">
      <c r="E114" s="43" t="str">
        <f>'MKT DATA'!B1797</f>
        <v>syn BTCV6/BTCF7/BTCZ6/BTCX6/BTCH7</v>
      </c>
      <c r="F114" s="13">
        <f>'MKT DATA'!J1797</f>
        <v>1</v>
      </c>
      <c r="G114" s="8">
        <f>'MKT DATA'!K1797</f>
        <v>84866</v>
      </c>
      <c r="H114" s="8">
        <f>'MKT DATA'!L1797</f>
        <v>85903</v>
      </c>
      <c r="I114" s="13">
        <f>'MKT DATA'!M1797</f>
        <v>1</v>
      </c>
      <c r="J114" s="43" t="str">
        <f t="shared" si="4"/>
        <v>syn BTCV6/BTCF7/BTCZ6/BTCX6/BTCH7</v>
      </c>
      <c r="K114" s="8">
        <f>'MKT DATA'!O1797</f>
        <v>0</v>
      </c>
      <c r="L114" s="8">
        <f>'MKT DATA'!P1797</f>
        <v>84866</v>
      </c>
      <c r="M114" s="8">
        <f>'MKT DATA'!Q1797</f>
        <v>0</v>
      </c>
      <c r="N114" s="8">
        <f>'MKT DATA'!R1797</f>
        <v>0</v>
      </c>
      <c r="O114" s="8">
        <f>'MKT DATA'!S1797</f>
        <v>-85903</v>
      </c>
      <c r="P114" s="8">
        <f>'MKT DATA'!T1797</f>
        <v>0</v>
      </c>
      <c r="Q114" s="43" t="str">
        <f t="shared" si="5"/>
        <v>syn BTCV6/BTCF7/BTCZ6/BTCX6/BTCH7</v>
      </c>
      <c r="R114" s="13">
        <f>'MKT DATA'!AB1797</f>
        <v>0</v>
      </c>
    </row>
    <row r="115" spans="5:18" x14ac:dyDescent="0.25">
      <c r="E115" s="43" t="str">
        <f>'MKT DATA'!B1798</f>
        <v>syn BTCV6/BTCF7/BTCZ6/BTCG7/BTCH7</v>
      </c>
      <c r="F115" s="13">
        <f>'MKT DATA'!J1798</f>
        <v>1</v>
      </c>
      <c r="G115" s="8">
        <f>'MKT DATA'!K1798</f>
        <v>84922</v>
      </c>
      <c r="H115" s="8">
        <f>'MKT DATA'!L1798</f>
        <v>85917</v>
      </c>
      <c r="I115" s="13">
        <f>'MKT DATA'!M1798</f>
        <v>1</v>
      </c>
      <c r="J115" s="43" t="str">
        <f t="shared" si="4"/>
        <v>syn BTCV6/BTCF7/BTCZ6/BTCG7/BTCH7</v>
      </c>
      <c r="K115" s="8">
        <f>'MKT DATA'!O1798</f>
        <v>0</v>
      </c>
      <c r="L115" s="8">
        <f>'MKT DATA'!P1798</f>
        <v>84922</v>
      </c>
      <c r="M115" s="8">
        <f>'MKT DATA'!Q1798</f>
        <v>0</v>
      </c>
      <c r="N115" s="8">
        <f>'MKT DATA'!R1798</f>
        <v>0</v>
      </c>
      <c r="O115" s="8">
        <f>'MKT DATA'!S1798</f>
        <v>-85917</v>
      </c>
      <c r="P115" s="8">
        <f>'MKT DATA'!T1798</f>
        <v>0</v>
      </c>
      <c r="Q115" s="43" t="str">
        <f t="shared" si="5"/>
        <v>syn BTCV6/BTCF7/BTCZ6/BTCG7/BTCH7</v>
      </c>
      <c r="R115" s="13">
        <f>'MKT DATA'!AB1798</f>
        <v>0</v>
      </c>
    </row>
    <row r="116" spans="5:18" x14ac:dyDescent="0.25">
      <c r="E116" s="43" t="str">
        <f>'MKT DATA'!B1799</f>
        <v>syn BTCV6/BTCF7/BTCG7/BTCX6/BTCH7</v>
      </c>
      <c r="F116" s="13">
        <f>'MKT DATA'!J1799</f>
        <v>1</v>
      </c>
      <c r="G116" s="8">
        <f>'MKT DATA'!K1799</f>
        <v>84620</v>
      </c>
      <c r="H116" s="8">
        <f>'MKT DATA'!L1799</f>
        <v>86144</v>
      </c>
      <c r="I116" s="13">
        <f>'MKT DATA'!M1799</f>
        <v>1</v>
      </c>
      <c r="J116" s="43" t="str">
        <f t="shared" si="4"/>
        <v>syn BTCV6/BTCF7/BTCG7/BTCX6/BTCH7</v>
      </c>
      <c r="K116" s="8">
        <f>'MKT DATA'!O1799</f>
        <v>0</v>
      </c>
      <c r="L116" s="8">
        <f>'MKT DATA'!P1799</f>
        <v>84620</v>
      </c>
      <c r="M116" s="8">
        <f>'MKT DATA'!Q1799</f>
        <v>0</v>
      </c>
      <c r="N116" s="8">
        <f>'MKT DATA'!R1799</f>
        <v>0</v>
      </c>
      <c r="O116" s="8">
        <f>'MKT DATA'!S1799</f>
        <v>-86144</v>
      </c>
      <c r="P116" s="8">
        <f>'MKT DATA'!T1799</f>
        <v>0</v>
      </c>
      <c r="Q116" s="43" t="str">
        <f t="shared" si="5"/>
        <v>syn BTCV6/BTCF7/BTCG7/BTCX6/BTCH7</v>
      </c>
      <c r="R116" s="13">
        <f>'MKT DATA'!AB1799</f>
        <v>0</v>
      </c>
    </row>
    <row r="117" spans="5:18" x14ac:dyDescent="0.25">
      <c r="E117" s="43" t="str">
        <f>'MKT DATA'!B1800</f>
        <v>syn BTCV6/BTCF7/BTCG7/BTCZ6/BTCH7</v>
      </c>
      <c r="F117" s="13">
        <f>'MKT DATA'!J1800</f>
        <v>1</v>
      </c>
      <c r="G117" s="8">
        <f>'MKT DATA'!K1800</f>
        <v>84785</v>
      </c>
      <c r="H117" s="8">
        <f>'MKT DATA'!L1800</f>
        <v>86159</v>
      </c>
      <c r="I117" s="13">
        <f>'MKT DATA'!M1800</f>
        <v>1</v>
      </c>
      <c r="J117" s="43" t="str">
        <f t="shared" si="4"/>
        <v>syn BTCV6/BTCF7/BTCG7/BTCZ6/BTCH7</v>
      </c>
      <c r="K117" s="8">
        <f>'MKT DATA'!O1800</f>
        <v>0</v>
      </c>
      <c r="L117" s="8">
        <f>'MKT DATA'!P1800</f>
        <v>84785</v>
      </c>
      <c r="M117" s="8">
        <f>'MKT DATA'!Q1800</f>
        <v>0</v>
      </c>
      <c r="N117" s="8">
        <f>'MKT DATA'!R1800</f>
        <v>0</v>
      </c>
      <c r="O117" s="8">
        <f>'MKT DATA'!S1800</f>
        <v>-86159</v>
      </c>
      <c r="P117" s="8">
        <f>'MKT DATA'!T1800</f>
        <v>0</v>
      </c>
      <c r="Q117" s="43" t="str">
        <f t="shared" si="5"/>
        <v>syn BTCV6/BTCF7/BTCG7/BTCZ6/BTCH7</v>
      </c>
      <c r="R117" s="13">
        <f>'MKT DATA'!AB1800</f>
        <v>0</v>
      </c>
    </row>
    <row r="118" spans="5:18" x14ac:dyDescent="0.25">
      <c r="E118" s="43" t="str">
        <f>'MKT DATA'!B1801</f>
        <v>syn BTCV6/BTCG7/BTCX6/BTCZ6/BTCH7</v>
      </c>
      <c r="F118" s="13">
        <f>'MKT DATA'!J1801</f>
        <v>1</v>
      </c>
      <c r="G118" s="8">
        <f>'MKT DATA'!K1801</f>
        <v>84804</v>
      </c>
      <c r="H118" s="8">
        <f>'MKT DATA'!L1801</f>
        <v>86201</v>
      </c>
      <c r="I118" s="13">
        <f>'MKT DATA'!M1801</f>
        <v>1</v>
      </c>
      <c r="J118" s="43" t="str">
        <f t="shared" si="4"/>
        <v>syn BTCV6/BTCG7/BTCX6/BTCZ6/BTCH7</v>
      </c>
      <c r="K118" s="8">
        <f>'MKT DATA'!O1801</f>
        <v>0</v>
      </c>
      <c r="L118" s="8">
        <f>'MKT DATA'!P1801</f>
        <v>84804</v>
      </c>
      <c r="M118" s="8">
        <f>'MKT DATA'!Q1801</f>
        <v>0</v>
      </c>
      <c r="N118" s="8">
        <f>'MKT DATA'!R1801</f>
        <v>0</v>
      </c>
      <c r="O118" s="8">
        <f>'MKT DATA'!S1801</f>
        <v>-86201</v>
      </c>
      <c r="P118" s="8">
        <f>'MKT DATA'!T1801</f>
        <v>0</v>
      </c>
      <c r="Q118" s="43" t="str">
        <f t="shared" si="5"/>
        <v>syn BTCV6/BTCG7/BTCX6/BTCZ6/BTCH7</v>
      </c>
      <c r="R118" s="13">
        <f>'MKT DATA'!AB1801</f>
        <v>0</v>
      </c>
    </row>
    <row r="119" spans="5:18" x14ac:dyDescent="0.25">
      <c r="E119" s="43" t="str">
        <f>'MKT DATA'!B1802</f>
        <v>syn BTCV6/BTCG7/BTCX6/BTCF7/BTCH7</v>
      </c>
      <c r="F119" s="13">
        <f>'MKT DATA'!J1802</f>
        <v>1</v>
      </c>
      <c r="G119" s="8">
        <f>'MKT DATA'!K1802</f>
        <v>84491</v>
      </c>
      <c r="H119" s="8">
        <f>'MKT DATA'!L1802</f>
        <v>86299</v>
      </c>
      <c r="I119" s="13">
        <f>'MKT DATA'!M1802</f>
        <v>1</v>
      </c>
      <c r="J119" s="43" t="str">
        <f t="shared" si="4"/>
        <v>syn BTCV6/BTCG7/BTCX6/BTCF7/BTCH7</v>
      </c>
      <c r="K119" s="8">
        <f>'MKT DATA'!O1802</f>
        <v>0</v>
      </c>
      <c r="L119" s="8">
        <f>'MKT DATA'!P1802</f>
        <v>84491</v>
      </c>
      <c r="M119" s="8">
        <f>'MKT DATA'!Q1802</f>
        <v>0</v>
      </c>
      <c r="N119" s="8">
        <f>'MKT DATA'!R1802</f>
        <v>0</v>
      </c>
      <c r="O119" s="8">
        <f>'MKT DATA'!S1802</f>
        <v>-86299</v>
      </c>
      <c r="P119" s="8">
        <f>'MKT DATA'!T1802</f>
        <v>0</v>
      </c>
      <c r="Q119" s="43" t="str">
        <f t="shared" si="5"/>
        <v>syn BTCV6/BTCG7/BTCX6/BTCF7/BTCH7</v>
      </c>
      <c r="R119" s="13">
        <f>'MKT DATA'!AB1802</f>
        <v>0</v>
      </c>
    </row>
    <row r="120" spans="5:18" x14ac:dyDescent="0.25">
      <c r="E120" s="43" t="str">
        <f>'MKT DATA'!B1803</f>
        <v>syn BTCV6/BTCG7/BTCZ6/BTCX6/BTCH7</v>
      </c>
      <c r="F120" s="13">
        <f>'MKT DATA'!J1803</f>
        <v>1</v>
      </c>
      <c r="G120" s="8">
        <f>'MKT DATA'!K1803</f>
        <v>84579</v>
      </c>
      <c r="H120" s="8">
        <f>'MKT DATA'!L1803</f>
        <v>86216</v>
      </c>
      <c r="I120" s="13">
        <f>'MKT DATA'!M1803</f>
        <v>1</v>
      </c>
      <c r="J120" s="43" t="str">
        <f t="shared" si="4"/>
        <v>syn BTCV6/BTCG7/BTCZ6/BTCX6/BTCH7</v>
      </c>
      <c r="K120" s="8">
        <f>'MKT DATA'!O1803</f>
        <v>0</v>
      </c>
      <c r="L120" s="8">
        <f>'MKT DATA'!P1803</f>
        <v>84579</v>
      </c>
      <c r="M120" s="8">
        <f>'MKT DATA'!Q1803</f>
        <v>0</v>
      </c>
      <c r="N120" s="8">
        <f>'MKT DATA'!R1803</f>
        <v>0</v>
      </c>
      <c r="O120" s="8">
        <f>'MKT DATA'!S1803</f>
        <v>-86216</v>
      </c>
      <c r="P120" s="8">
        <f>'MKT DATA'!T1803</f>
        <v>0</v>
      </c>
      <c r="Q120" s="43" t="str">
        <f t="shared" si="5"/>
        <v>syn BTCV6/BTCG7/BTCZ6/BTCX6/BTCH7</v>
      </c>
      <c r="R120" s="13">
        <f>'MKT DATA'!AB1803</f>
        <v>0</v>
      </c>
    </row>
    <row r="121" spans="5:18" x14ac:dyDescent="0.25">
      <c r="E121" s="43" t="str">
        <f>'MKT DATA'!B1804</f>
        <v>syn BTCV6/BTCG7/BTCZ6/BTCF7/BTCH7</v>
      </c>
      <c r="F121" s="13">
        <f>'MKT DATA'!J1804</f>
        <v>1</v>
      </c>
      <c r="G121" s="8">
        <f>'MKT DATA'!K1804</f>
        <v>84512</v>
      </c>
      <c r="H121" s="8">
        <f>'MKT DATA'!L1804</f>
        <v>86294</v>
      </c>
      <c r="I121" s="13">
        <f>'MKT DATA'!M1804</f>
        <v>1</v>
      </c>
      <c r="J121" s="43" t="str">
        <f t="shared" si="4"/>
        <v>syn BTCV6/BTCG7/BTCZ6/BTCF7/BTCH7</v>
      </c>
      <c r="K121" s="8">
        <f>'MKT DATA'!O1804</f>
        <v>0</v>
      </c>
      <c r="L121" s="8">
        <f>'MKT DATA'!P1804</f>
        <v>84512</v>
      </c>
      <c r="M121" s="8">
        <f>'MKT DATA'!Q1804</f>
        <v>0</v>
      </c>
      <c r="N121" s="8">
        <f>'MKT DATA'!R1804</f>
        <v>0</v>
      </c>
      <c r="O121" s="8">
        <f>'MKT DATA'!S1804</f>
        <v>-86294</v>
      </c>
      <c r="P121" s="8">
        <f>'MKT DATA'!T1804</f>
        <v>0</v>
      </c>
      <c r="Q121" s="43" t="str">
        <f t="shared" si="5"/>
        <v>syn BTCV6/BTCG7/BTCZ6/BTCF7/BTCH7</v>
      </c>
      <c r="R121" s="13">
        <f>'MKT DATA'!AB1804</f>
        <v>0</v>
      </c>
    </row>
    <row r="122" spans="5:18" x14ac:dyDescent="0.25">
      <c r="E122" s="43" t="str">
        <f>'MKT DATA'!B1805</f>
        <v>syn BTCV6/BTCG7/BTCF7/BTCX6/BTCH7</v>
      </c>
      <c r="F122" s="13">
        <f>'MKT DATA'!J1805</f>
        <v>1</v>
      </c>
      <c r="G122" s="8">
        <f>'MKT DATA'!K1805</f>
        <v>84696</v>
      </c>
      <c r="H122" s="8">
        <f>'MKT DATA'!L1805</f>
        <v>86150</v>
      </c>
      <c r="I122" s="13">
        <f>'MKT DATA'!M1805</f>
        <v>1</v>
      </c>
      <c r="J122" s="43" t="str">
        <f t="shared" si="4"/>
        <v>syn BTCV6/BTCG7/BTCF7/BTCX6/BTCH7</v>
      </c>
      <c r="K122" s="8">
        <f>'MKT DATA'!O1805</f>
        <v>0</v>
      </c>
      <c r="L122" s="8">
        <f>'MKT DATA'!P1805</f>
        <v>84696</v>
      </c>
      <c r="M122" s="8">
        <f>'MKT DATA'!Q1805</f>
        <v>0</v>
      </c>
      <c r="N122" s="8">
        <f>'MKT DATA'!R1805</f>
        <v>0</v>
      </c>
      <c r="O122" s="8">
        <f>'MKT DATA'!S1805</f>
        <v>-86150</v>
      </c>
      <c r="P122" s="8">
        <f>'MKT DATA'!T1805</f>
        <v>0</v>
      </c>
      <c r="Q122" s="43" t="str">
        <f t="shared" si="5"/>
        <v>syn BTCV6/BTCG7/BTCF7/BTCX6/BTCH7</v>
      </c>
      <c r="R122" s="13">
        <f>'MKT DATA'!AB1805</f>
        <v>0</v>
      </c>
    </row>
    <row r="123" spans="5:18" x14ac:dyDescent="0.25">
      <c r="E123" s="43" t="str">
        <f>'MKT DATA'!B1806</f>
        <v>syn BTCV6/BTCG7/BTCF7/BTCZ6/BTCH7</v>
      </c>
      <c r="F123" s="13">
        <f>'MKT DATA'!J1806</f>
        <v>1</v>
      </c>
      <c r="G123" s="8">
        <f>'MKT DATA'!K1806</f>
        <v>84911</v>
      </c>
      <c r="H123" s="8">
        <f>'MKT DATA'!L1806</f>
        <v>86099</v>
      </c>
      <c r="I123" s="13">
        <f>'MKT DATA'!M1806</f>
        <v>1</v>
      </c>
      <c r="J123" s="43" t="str">
        <f t="shared" si="4"/>
        <v>syn BTCV6/BTCG7/BTCF7/BTCZ6/BTCH7</v>
      </c>
      <c r="K123" s="8">
        <f>'MKT DATA'!O1806</f>
        <v>0</v>
      </c>
      <c r="L123" s="8">
        <f>'MKT DATA'!P1806</f>
        <v>84911</v>
      </c>
      <c r="M123" s="8">
        <f>'MKT DATA'!Q1806</f>
        <v>0</v>
      </c>
      <c r="N123" s="8">
        <f>'MKT DATA'!R1806</f>
        <v>0</v>
      </c>
      <c r="O123" s="8">
        <f>'MKT DATA'!S1806</f>
        <v>-86099</v>
      </c>
      <c r="P123" s="8">
        <f>'MKT DATA'!T1806</f>
        <v>0</v>
      </c>
      <c r="Q123" s="43" t="str">
        <f t="shared" si="5"/>
        <v>syn BTCV6/BTCG7/BTCF7/BTCZ6/BTCH7</v>
      </c>
      <c r="R123" s="13">
        <f>'MKT DATA'!AB1806</f>
        <v>0</v>
      </c>
    </row>
    <row r="124" spans="5:18" x14ac:dyDescent="0.25">
      <c r="E124" s="43" t="str">
        <f>'MKT DATA'!B1807</f>
        <v>syn BTCX6/BTCV6/BTCZ6/BTCF7/BTCH7</v>
      </c>
      <c r="F124" s="13">
        <f>'MKT DATA'!J1807</f>
        <v>1</v>
      </c>
      <c r="G124" s="8">
        <f>'MKT DATA'!K1807</f>
        <v>84882</v>
      </c>
      <c r="H124" s="8">
        <f>'MKT DATA'!L1807</f>
        <v>85939</v>
      </c>
      <c r="I124" s="13">
        <f>'MKT DATA'!M1807</f>
        <v>1</v>
      </c>
      <c r="J124" s="43" t="str">
        <f t="shared" si="4"/>
        <v>syn BTCX6/BTCV6/BTCZ6/BTCF7/BTCH7</v>
      </c>
      <c r="K124" s="8">
        <f>'MKT DATA'!O1807</f>
        <v>0</v>
      </c>
      <c r="L124" s="8">
        <f>'MKT DATA'!P1807</f>
        <v>84882</v>
      </c>
      <c r="M124" s="8">
        <f>'MKT DATA'!Q1807</f>
        <v>0</v>
      </c>
      <c r="N124" s="8">
        <f>'MKT DATA'!R1807</f>
        <v>0</v>
      </c>
      <c r="O124" s="8">
        <f>'MKT DATA'!S1807</f>
        <v>-85939</v>
      </c>
      <c r="P124" s="8">
        <f>'MKT DATA'!T1807</f>
        <v>0</v>
      </c>
      <c r="Q124" s="43" t="str">
        <f t="shared" si="5"/>
        <v>syn BTCX6/BTCV6/BTCZ6/BTCF7/BTCH7</v>
      </c>
      <c r="R124" s="13">
        <f>'MKT DATA'!AB1807</f>
        <v>0</v>
      </c>
    </row>
    <row r="125" spans="5:18" x14ac:dyDescent="0.25">
      <c r="E125" s="43" t="str">
        <f>'MKT DATA'!B1808</f>
        <v>syn BTCX6/BTCV6/BTCZ6/BTCG7/BTCH7</v>
      </c>
      <c r="F125" s="13">
        <f>'MKT DATA'!J1808</f>
        <v>1</v>
      </c>
      <c r="G125" s="8">
        <f>'MKT DATA'!K1808</f>
        <v>85005</v>
      </c>
      <c r="H125" s="8">
        <f>'MKT DATA'!L1808</f>
        <v>85875</v>
      </c>
      <c r="I125" s="13">
        <f>'MKT DATA'!M1808</f>
        <v>1</v>
      </c>
      <c r="J125" s="43" t="str">
        <f t="shared" si="4"/>
        <v>syn BTCX6/BTCV6/BTCZ6/BTCG7/BTCH7</v>
      </c>
      <c r="K125" s="8">
        <f>'MKT DATA'!O1808</f>
        <v>0</v>
      </c>
      <c r="L125" s="8">
        <f>'MKT DATA'!P1808</f>
        <v>85005</v>
      </c>
      <c r="M125" s="8">
        <f>'MKT DATA'!Q1808</f>
        <v>0</v>
      </c>
      <c r="N125" s="8">
        <f>'MKT DATA'!R1808</f>
        <v>0</v>
      </c>
      <c r="O125" s="8">
        <f>'MKT DATA'!S1808</f>
        <v>-85875</v>
      </c>
      <c r="P125" s="8">
        <f>'MKT DATA'!T1808</f>
        <v>0</v>
      </c>
      <c r="Q125" s="43" t="str">
        <f t="shared" si="5"/>
        <v>syn BTCX6/BTCV6/BTCZ6/BTCG7/BTCH7</v>
      </c>
      <c r="R125" s="13">
        <f>'MKT DATA'!AB1808</f>
        <v>0</v>
      </c>
    </row>
    <row r="126" spans="5:18" x14ac:dyDescent="0.25">
      <c r="E126" s="43" t="str">
        <f>'MKT DATA'!B1809</f>
        <v>syn BTCX6/BTCV6/BTCF7/BTCZ6/BTCH7</v>
      </c>
      <c r="F126" s="13">
        <f>'MKT DATA'!J1809</f>
        <v>1</v>
      </c>
      <c r="G126" s="8">
        <f>'MKT DATA'!K1809</f>
        <v>85061</v>
      </c>
      <c r="H126" s="8">
        <f>'MKT DATA'!L1809</f>
        <v>85910</v>
      </c>
      <c r="I126" s="13">
        <f>'MKT DATA'!M1809</f>
        <v>1</v>
      </c>
      <c r="J126" s="43" t="str">
        <f t="shared" si="4"/>
        <v>syn BTCX6/BTCV6/BTCF7/BTCZ6/BTCH7</v>
      </c>
      <c r="K126" s="8">
        <f>'MKT DATA'!O1809</f>
        <v>0</v>
      </c>
      <c r="L126" s="8">
        <f>'MKT DATA'!P1809</f>
        <v>85061</v>
      </c>
      <c r="M126" s="8">
        <f>'MKT DATA'!Q1809</f>
        <v>0</v>
      </c>
      <c r="N126" s="8">
        <f>'MKT DATA'!R1809</f>
        <v>0</v>
      </c>
      <c r="O126" s="8">
        <f>'MKT DATA'!S1809</f>
        <v>-85910</v>
      </c>
      <c r="P126" s="8">
        <f>'MKT DATA'!T1809</f>
        <v>0</v>
      </c>
      <c r="Q126" s="43" t="str">
        <f t="shared" si="5"/>
        <v>syn BTCX6/BTCV6/BTCF7/BTCZ6/BTCH7</v>
      </c>
      <c r="R126" s="13">
        <f>'MKT DATA'!AB1809</f>
        <v>0</v>
      </c>
    </row>
    <row r="127" spans="5:18" x14ac:dyDescent="0.25">
      <c r="E127" s="43" t="str">
        <f>'MKT DATA'!B1810</f>
        <v>syn BTCX6/BTCV6/BTCF7/BTCG7/BTCH7</v>
      </c>
      <c r="F127" s="13">
        <f>'MKT DATA'!J1810</f>
        <v>1</v>
      </c>
      <c r="G127" s="8">
        <f>'MKT DATA'!K1810</f>
        <v>85054</v>
      </c>
      <c r="H127" s="8">
        <f>'MKT DATA'!L1810</f>
        <v>85772</v>
      </c>
      <c r="I127" s="13">
        <f>'MKT DATA'!M1810</f>
        <v>1</v>
      </c>
      <c r="J127" s="43" t="str">
        <f t="shared" si="4"/>
        <v>syn BTCX6/BTCV6/BTCF7/BTCG7/BTCH7</v>
      </c>
      <c r="K127" s="8">
        <f>'MKT DATA'!O1810</f>
        <v>0</v>
      </c>
      <c r="L127" s="8">
        <f>'MKT DATA'!P1810</f>
        <v>85054</v>
      </c>
      <c r="M127" s="8">
        <f>'MKT DATA'!Q1810</f>
        <v>0</v>
      </c>
      <c r="N127" s="8">
        <f>'MKT DATA'!R1810</f>
        <v>0</v>
      </c>
      <c r="O127" s="8">
        <f>'MKT DATA'!S1810</f>
        <v>-85772</v>
      </c>
      <c r="P127" s="8">
        <f>'MKT DATA'!T1810</f>
        <v>0</v>
      </c>
      <c r="Q127" s="43" t="str">
        <f t="shared" si="5"/>
        <v>syn BTCX6/BTCV6/BTCF7/BTCG7/BTCH7</v>
      </c>
      <c r="R127" s="13">
        <f>'MKT DATA'!AB1810</f>
        <v>0</v>
      </c>
    </row>
    <row r="128" spans="5:18" x14ac:dyDescent="0.25">
      <c r="E128" s="43" t="str">
        <f>'MKT DATA'!B1811</f>
        <v>syn BTCX6/BTCV6/BTCG7/BTCZ6/BTCH7</v>
      </c>
      <c r="F128" s="13">
        <f>'MKT DATA'!J1811</f>
        <v>1</v>
      </c>
      <c r="G128" s="8">
        <f>'MKT DATA'!K1811</f>
        <v>84774</v>
      </c>
      <c r="H128" s="8">
        <f>'MKT DATA'!L1811</f>
        <v>86223</v>
      </c>
      <c r="I128" s="13">
        <f>'MKT DATA'!M1811</f>
        <v>1</v>
      </c>
      <c r="J128" s="43" t="str">
        <f t="shared" si="4"/>
        <v>syn BTCX6/BTCV6/BTCG7/BTCZ6/BTCH7</v>
      </c>
      <c r="K128" s="8">
        <f>'MKT DATA'!O1811</f>
        <v>0</v>
      </c>
      <c r="L128" s="8">
        <f>'MKT DATA'!P1811</f>
        <v>84774</v>
      </c>
      <c r="M128" s="8">
        <f>'MKT DATA'!Q1811</f>
        <v>0</v>
      </c>
      <c r="N128" s="8">
        <f>'MKT DATA'!R1811</f>
        <v>0</v>
      </c>
      <c r="O128" s="8">
        <f>'MKT DATA'!S1811</f>
        <v>-86223</v>
      </c>
      <c r="P128" s="8">
        <f>'MKT DATA'!T1811</f>
        <v>0</v>
      </c>
      <c r="Q128" s="43" t="str">
        <f t="shared" si="5"/>
        <v>syn BTCX6/BTCV6/BTCG7/BTCZ6/BTCH7</v>
      </c>
      <c r="R128" s="13">
        <f>'MKT DATA'!AB1811</f>
        <v>0</v>
      </c>
    </row>
    <row r="129" spans="5:18" x14ac:dyDescent="0.25">
      <c r="E129" s="43" t="str">
        <f>'MKT DATA'!B1812</f>
        <v>syn BTCX6/BTCV6/BTCG7/BTCF7/BTCH7</v>
      </c>
      <c r="F129" s="13">
        <f>'MKT DATA'!J1812</f>
        <v>1</v>
      </c>
      <c r="G129" s="8">
        <f>'MKT DATA'!K1812</f>
        <v>84664</v>
      </c>
      <c r="H129" s="8">
        <f>'MKT DATA'!L1812</f>
        <v>86169</v>
      </c>
      <c r="I129" s="13">
        <f>'MKT DATA'!M1812</f>
        <v>1</v>
      </c>
      <c r="J129" s="43" t="str">
        <f t="shared" si="4"/>
        <v>syn BTCX6/BTCV6/BTCG7/BTCF7/BTCH7</v>
      </c>
      <c r="K129" s="8">
        <f>'MKT DATA'!O1812</f>
        <v>0</v>
      </c>
      <c r="L129" s="8">
        <f>'MKT DATA'!P1812</f>
        <v>84664</v>
      </c>
      <c r="M129" s="8">
        <f>'MKT DATA'!Q1812</f>
        <v>0</v>
      </c>
      <c r="N129" s="8">
        <f>'MKT DATA'!R1812</f>
        <v>0</v>
      </c>
      <c r="O129" s="8">
        <f>'MKT DATA'!S1812</f>
        <v>-86169</v>
      </c>
      <c r="P129" s="8">
        <f>'MKT DATA'!T1812</f>
        <v>0</v>
      </c>
      <c r="Q129" s="43" t="str">
        <f t="shared" si="5"/>
        <v>syn BTCX6/BTCV6/BTCG7/BTCF7/BTCH7</v>
      </c>
      <c r="R129" s="13">
        <f>'MKT DATA'!AB1812</f>
        <v>0</v>
      </c>
    </row>
    <row r="130" spans="5:18" x14ac:dyDescent="0.25">
      <c r="E130" s="43" t="str">
        <f>'MKT DATA'!B1813</f>
        <v>syn BTCX6/BTCZ6/BTCV6/BTCF7/BTCH7</v>
      </c>
      <c r="F130" s="13">
        <f>'MKT DATA'!J1813</f>
        <v>1</v>
      </c>
      <c r="G130" s="8">
        <f>'MKT DATA'!K1813</f>
        <v>84798</v>
      </c>
      <c r="H130" s="8">
        <f>'MKT DATA'!L1813</f>
        <v>85989</v>
      </c>
      <c r="I130" s="13">
        <f>'MKT DATA'!M1813</f>
        <v>1</v>
      </c>
      <c r="J130" s="43" t="str">
        <f t="shared" si="4"/>
        <v>syn BTCX6/BTCZ6/BTCV6/BTCF7/BTCH7</v>
      </c>
      <c r="K130" s="8">
        <f>'MKT DATA'!O1813</f>
        <v>0</v>
      </c>
      <c r="L130" s="8">
        <f>'MKT DATA'!P1813</f>
        <v>84798</v>
      </c>
      <c r="M130" s="8">
        <f>'MKT DATA'!Q1813</f>
        <v>0</v>
      </c>
      <c r="N130" s="8">
        <f>'MKT DATA'!R1813</f>
        <v>0</v>
      </c>
      <c r="O130" s="8">
        <f>'MKT DATA'!S1813</f>
        <v>-85989</v>
      </c>
      <c r="P130" s="8">
        <f>'MKT DATA'!T1813</f>
        <v>0</v>
      </c>
      <c r="Q130" s="43" t="str">
        <f t="shared" si="5"/>
        <v>syn BTCX6/BTCZ6/BTCV6/BTCF7/BTCH7</v>
      </c>
      <c r="R130" s="13">
        <f>'MKT DATA'!AB1813</f>
        <v>0</v>
      </c>
    </row>
    <row r="131" spans="5:18" x14ac:dyDescent="0.25">
      <c r="E131" s="43" t="str">
        <f>'MKT DATA'!B1814</f>
        <v>syn BTCX6/BTCZ6/BTCV6/BTCG7/BTCH7</v>
      </c>
      <c r="F131" s="13">
        <f>'MKT DATA'!J1814</f>
        <v>1</v>
      </c>
      <c r="G131" s="8">
        <f>'MKT DATA'!K1814</f>
        <v>85027</v>
      </c>
      <c r="H131" s="8">
        <f>'MKT DATA'!L1814</f>
        <v>85845</v>
      </c>
      <c r="I131" s="13">
        <f>'MKT DATA'!M1814</f>
        <v>1</v>
      </c>
      <c r="J131" s="43" t="str">
        <f t="shared" si="4"/>
        <v>syn BTCX6/BTCZ6/BTCV6/BTCG7/BTCH7</v>
      </c>
      <c r="K131" s="8">
        <f>'MKT DATA'!O1814</f>
        <v>0</v>
      </c>
      <c r="L131" s="8">
        <f>'MKT DATA'!P1814</f>
        <v>85027</v>
      </c>
      <c r="M131" s="8">
        <f>'MKT DATA'!Q1814</f>
        <v>0</v>
      </c>
      <c r="N131" s="8">
        <f>'MKT DATA'!R1814</f>
        <v>0</v>
      </c>
      <c r="O131" s="8">
        <f>'MKT DATA'!S1814</f>
        <v>-85845</v>
      </c>
      <c r="P131" s="8">
        <f>'MKT DATA'!T1814</f>
        <v>0</v>
      </c>
      <c r="Q131" s="43" t="str">
        <f t="shared" si="5"/>
        <v>syn BTCX6/BTCZ6/BTCV6/BTCG7/BTCH7</v>
      </c>
      <c r="R131" s="13">
        <f>'MKT DATA'!AB1814</f>
        <v>0</v>
      </c>
    </row>
    <row r="132" spans="5:18" x14ac:dyDescent="0.25">
      <c r="E132" s="43" t="str">
        <f>'MKT DATA'!B1815</f>
        <v>syn BTCX6/BTCZ6/BTCF7/BTCV6/BTCH7</v>
      </c>
      <c r="F132" s="13">
        <f>'MKT DATA'!J1815</f>
        <v>1</v>
      </c>
      <c r="G132" s="8">
        <f>'MKT DATA'!K1815</f>
        <v>84907</v>
      </c>
      <c r="H132" s="8">
        <f>'MKT DATA'!L1815</f>
        <v>85944</v>
      </c>
      <c r="I132" s="13">
        <f>'MKT DATA'!M1815</f>
        <v>1</v>
      </c>
      <c r="J132" s="43" t="str">
        <f t="shared" si="4"/>
        <v>syn BTCX6/BTCZ6/BTCF7/BTCV6/BTCH7</v>
      </c>
      <c r="K132" s="8">
        <f>'MKT DATA'!O1815</f>
        <v>0</v>
      </c>
      <c r="L132" s="8">
        <f>'MKT DATA'!P1815</f>
        <v>84907</v>
      </c>
      <c r="M132" s="8">
        <f>'MKT DATA'!Q1815</f>
        <v>0</v>
      </c>
      <c r="N132" s="8">
        <f>'MKT DATA'!R1815</f>
        <v>0</v>
      </c>
      <c r="O132" s="8">
        <f>'MKT DATA'!S1815</f>
        <v>-85944</v>
      </c>
      <c r="P132" s="8">
        <f>'MKT DATA'!T1815</f>
        <v>0</v>
      </c>
      <c r="Q132" s="43" t="str">
        <f t="shared" si="5"/>
        <v>syn BTCX6/BTCZ6/BTCF7/BTCV6/BTCH7</v>
      </c>
      <c r="R132" s="13">
        <f>'MKT DATA'!AB1815</f>
        <v>0</v>
      </c>
    </row>
    <row r="133" spans="5:18" x14ac:dyDescent="0.25">
      <c r="E133" s="43" t="str">
        <f>'MKT DATA'!B1816</f>
        <v>syn BTCX6/BTCZ6/BTCF7/BTCG7/BTCH7</v>
      </c>
      <c r="F133" s="13">
        <f>'MKT DATA'!J1816</f>
        <v>1</v>
      </c>
      <c r="G133" s="8">
        <f>'MKT DATA'!K1816</f>
        <v>85120</v>
      </c>
      <c r="H133" s="8">
        <f>'MKT DATA'!L1816</f>
        <v>85740</v>
      </c>
      <c r="I133" s="13">
        <f>'MKT DATA'!M1816</f>
        <v>1</v>
      </c>
      <c r="J133" s="43" t="str">
        <f t="shared" si="4"/>
        <v>syn BTCX6/BTCZ6/BTCF7/BTCG7/BTCH7</v>
      </c>
      <c r="K133" s="8">
        <f>'MKT DATA'!O1816</f>
        <v>0</v>
      </c>
      <c r="L133" s="8">
        <f>'MKT DATA'!P1816</f>
        <v>85120</v>
      </c>
      <c r="M133" s="8">
        <f>'MKT DATA'!Q1816</f>
        <v>0</v>
      </c>
      <c r="N133" s="8">
        <f>'MKT DATA'!R1816</f>
        <v>0</v>
      </c>
      <c r="O133" s="8">
        <f>'MKT DATA'!S1816</f>
        <v>-85740</v>
      </c>
      <c r="P133" s="8">
        <f>'MKT DATA'!T1816</f>
        <v>0</v>
      </c>
      <c r="Q133" s="43" t="str">
        <f t="shared" si="5"/>
        <v>syn BTCX6/BTCZ6/BTCF7/BTCG7/BTCH7</v>
      </c>
      <c r="R133" s="13">
        <f>'MKT DATA'!AB1816</f>
        <v>0</v>
      </c>
    </row>
    <row r="134" spans="5:18" x14ac:dyDescent="0.25">
      <c r="E134" s="43" t="str">
        <f>'MKT DATA'!B1817</f>
        <v>syn BTCX6/BTCZ6/BTCG7/BTCV6/BTCH7</v>
      </c>
      <c r="F134" s="13">
        <f>'MKT DATA'!J1817</f>
        <v>1</v>
      </c>
      <c r="G134" s="8">
        <f>'MKT DATA'!K1817</f>
        <v>84594</v>
      </c>
      <c r="H134" s="8">
        <f>'MKT DATA'!L1817</f>
        <v>86231</v>
      </c>
      <c r="I134" s="13">
        <f>'MKT DATA'!M1817</f>
        <v>1</v>
      </c>
      <c r="J134" s="43" t="str">
        <f t="shared" si="4"/>
        <v>syn BTCX6/BTCZ6/BTCG7/BTCV6/BTCH7</v>
      </c>
      <c r="K134" s="8">
        <f>'MKT DATA'!O1817</f>
        <v>0</v>
      </c>
      <c r="L134" s="8">
        <f>'MKT DATA'!P1817</f>
        <v>84594</v>
      </c>
      <c r="M134" s="8">
        <f>'MKT DATA'!Q1817</f>
        <v>0</v>
      </c>
      <c r="N134" s="8">
        <f>'MKT DATA'!R1817</f>
        <v>0</v>
      </c>
      <c r="O134" s="8">
        <f>'MKT DATA'!S1817</f>
        <v>-86231</v>
      </c>
      <c r="P134" s="8">
        <f>'MKT DATA'!T1817</f>
        <v>0</v>
      </c>
      <c r="Q134" s="43" t="str">
        <f t="shared" si="5"/>
        <v>syn BTCX6/BTCZ6/BTCG7/BTCV6/BTCH7</v>
      </c>
      <c r="R134" s="13">
        <f>'MKT DATA'!AB1817</f>
        <v>0</v>
      </c>
    </row>
    <row r="135" spans="5:18" x14ac:dyDescent="0.25">
      <c r="E135" s="43" t="str">
        <f>'MKT DATA'!B1818</f>
        <v>syn BTCX6/BTCZ6/BTCG7/BTCF7/BTCH7</v>
      </c>
      <c r="F135" s="13">
        <f>'MKT DATA'!J1818</f>
        <v>1</v>
      </c>
      <c r="G135" s="8">
        <f>'MKT DATA'!K1818</f>
        <v>84624</v>
      </c>
      <c r="H135" s="8">
        <f>'MKT DATA'!L1818</f>
        <v>86217</v>
      </c>
      <c r="I135" s="13">
        <f>'MKT DATA'!M1818</f>
        <v>1</v>
      </c>
      <c r="J135" s="43" t="str">
        <f t="shared" si="4"/>
        <v>syn BTCX6/BTCZ6/BTCG7/BTCF7/BTCH7</v>
      </c>
      <c r="K135" s="8">
        <f>'MKT DATA'!O1818</f>
        <v>0</v>
      </c>
      <c r="L135" s="8">
        <f>'MKT DATA'!P1818</f>
        <v>84624</v>
      </c>
      <c r="M135" s="8">
        <f>'MKT DATA'!Q1818</f>
        <v>0</v>
      </c>
      <c r="N135" s="8">
        <f>'MKT DATA'!R1818</f>
        <v>0</v>
      </c>
      <c r="O135" s="8">
        <f>'MKT DATA'!S1818</f>
        <v>-86217</v>
      </c>
      <c r="P135" s="8">
        <f>'MKT DATA'!T1818</f>
        <v>0</v>
      </c>
      <c r="Q135" s="43" t="str">
        <f t="shared" si="5"/>
        <v>syn BTCX6/BTCZ6/BTCG7/BTCF7/BTCH7</v>
      </c>
      <c r="R135" s="13">
        <f>'MKT DATA'!AB1818</f>
        <v>0</v>
      </c>
    </row>
    <row r="136" spans="5:18" x14ac:dyDescent="0.25">
      <c r="E136" s="43" t="str">
        <f>'MKT DATA'!B1819</f>
        <v>syn BTCX6/BTCF7/BTCV6/BTCZ6/BTCH7</v>
      </c>
      <c r="F136" s="13">
        <f>'MKT DATA'!J1819</f>
        <v>1</v>
      </c>
      <c r="G136" s="8">
        <f>'MKT DATA'!K1819</f>
        <v>85028</v>
      </c>
      <c r="H136" s="8">
        <f>'MKT DATA'!L1819</f>
        <v>85980</v>
      </c>
      <c r="I136" s="13">
        <f>'MKT DATA'!M1819</f>
        <v>1</v>
      </c>
      <c r="J136" s="43" t="str">
        <f t="shared" si="4"/>
        <v>syn BTCX6/BTCF7/BTCV6/BTCZ6/BTCH7</v>
      </c>
      <c r="K136" s="8">
        <f>'MKT DATA'!O1819</f>
        <v>0</v>
      </c>
      <c r="L136" s="8">
        <f>'MKT DATA'!P1819</f>
        <v>85028</v>
      </c>
      <c r="M136" s="8">
        <f>'MKT DATA'!Q1819</f>
        <v>0</v>
      </c>
      <c r="N136" s="8">
        <f>'MKT DATA'!R1819</f>
        <v>0</v>
      </c>
      <c r="O136" s="8">
        <f>'MKT DATA'!S1819</f>
        <v>-85980</v>
      </c>
      <c r="P136" s="8">
        <f>'MKT DATA'!T1819</f>
        <v>0</v>
      </c>
      <c r="Q136" s="43" t="str">
        <f t="shared" si="5"/>
        <v>syn BTCX6/BTCF7/BTCV6/BTCZ6/BTCH7</v>
      </c>
      <c r="R136" s="13">
        <f>'MKT DATA'!AB1819</f>
        <v>0</v>
      </c>
    </row>
    <row r="137" spans="5:18" x14ac:dyDescent="0.25">
      <c r="E137" s="43" t="str">
        <f>'MKT DATA'!B1820</f>
        <v>syn BTCX6/BTCF7/BTCV6/BTCG7/BTCH7</v>
      </c>
      <c r="F137" s="13">
        <f>'MKT DATA'!J1820</f>
        <v>1</v>
      </c>
      <c r="G137" s="8">
        <f>'MKT DATA'!K1820</f>
        <v>84927</v>
      </c>
      <c r="H137" s="8">
        <f>'MKT DATA'!L1820</f>
        <v>85948</v>
      </c>
      <c r="I137" s="13">
        <f>'MKT DATA'!M1820</f>
        <v>1</v>
      </c>
      <c r="J137" s="43" t="str">
        <f t="shared" si="4"/>
        <v>syn BTCX6/BTCF7/BTCV6/BTCG7/BTCH7</v>
      </c>
      <c r="K137" s="8">
        <f>'MKT DATA'!O1820</f>
        <v>0</v>
      </c>
      <c r="L137" s="8">
        <f>'MKT DATA'!P1820</f>
        <v>84927</v>
      </c>
      <c r="M137" s="8">
        <f>'MKT DATA'!Q1820</f>
        <v>0</v>
      </c>
      <c r="N137" s="8">
        <f>'MKT DATA'!R1820</f>
        <v>0</v>
      </c>
      <c r="O137" s="8">
        <f>'MKT DATA'!S1820</f>
        <v>-85948</v>
      </c>
      <c r="P137" s="8">
        <f>'MKT DATA'!T1820</f>
        <v>0</v>
      </c>
      <c r="Q137" s="43" t="str">
        <f t="shared" si="5"/>
        <v>syn BTCX6/BTCF7/BTCV6/BTCG7/BTCH7</v>
      </c>
      <c r="R137" s="13">
        <f>'MKT DATA'!AB1820</f>
        <v>0</v>
      </c>
    </row>
    <row r="138" spans="5:18" x14ac:dyDescent="0.25">
      <c r="E138" s="43" t="str">
        <f>'MKT DATA'!B1821</f>
        <v>syn BTCX6/BTCF7/BTCZ6/BTCV6/BTCH7</v>
      </c>
      <c r="F138" s="13">
        <f>'MKT DATA'!J1821</f>
        <v>1</v>
      </c>
      <c r="G138" s="8">
        <f>'MKT DATA'!K1821</f>
        <v>84890</v>
      </c>
      <c r="H138" s="8">
        <f>'MKT DATA'!L1821</f>
        <v>85896</v>
      </c>
      <c r="I138" s="13">
        <f>'MKT DATA'!M1821</f>
        <v>1</v>
      </c>
      <c r="J138" s="43" t="str">
        <f t="shared" ref="J138:J201" si="6">E138</f>
        <v>syn BTCX6/BTCF7/BTCZ6/BTCV6/BTCH7</v>
      </c>
      <c r="K138" s="8">
        <f>'MKT DATA'!O1821</f>
        <v>0</v>
      </c>
      <c r="L138" s="8">
        <f>'MKT DATA'!P1821</f>
        <v>84890</v>
      </c>
      <c r="M138" s="8">
        <f>'MKT DATA'!Q1821</f>
        <v>0</v>
      </c>
      <c r="N138" s="8">
        <f>'MKT DATA'!R1821</f>
        <v>0</v>
      </c>
      <c r="O138" s="8">
        <f>'MKT DATA'!S1821</f>
        <v>-85896</v>
      </c>
      <c r="P138" s="8">
        <f>'MKT DATA'!T1821</f>
        <v>0</v>
      </c>
      <c r="Q138" s="43" t="str">
        <f t="shared" ref="Q138:Q201" si="7">J138</f>
        <v>syn BTCX6/BTCF7/BTCZ6/BTCV6/BTCH7</v>
      </c>
      <c r="R138" s="13">
        <f>'MKT DATA'!AB1821</f>
        <v>0</v>
      </c>
    </row>
    <row r="139" spans="5:18" x14ac:dyDescent="0.25">
      <c r="E139" s="43" t="str">
        <f>'MKT DATA'!B1822</f>
        <v>syn BTCX6/BTCF7/BTCZ6/BTCG7/BTCH7</v>
      </c>
      <c r="F139" s="13">
        <f>'MKT DATA'!J1822</f>
        <v>1</v>
      </c>
      <c r="G139" s="8">
        <f>'MKT DATA'!K1822</f>
        <v>84937</v>
      </c>
      <c r="H139" s="8">
        <f>'MKT DATA'!L1822</f>
        <v>85912</v>
      </c>
      <c r="I139" s="13">
        <f>'MKT DATA'!M1822</f>
        <v>1</v>
      </c>
      <c r="J139" s="43" t="str">
        <f t="shared" si="6"/>
        <v>syn BTCX6/BTCF7/BTCZ6/BTCG7/BTCH7</v>
      </c>
      <c r="K139" s="8">
        <f>'MKT DATA'!O1822</f>
        <v>0</v>
      </c>
      <c r="L139" s="8">
        <f>'MKT DATA'!P1822</f>
        <v>84937</v>
      </c>
      <c r="M139" s="8">
        <f>'MKT DATA'!Q1822</f>
        <v>0</v>
      </c>
      <c r="N139" s="8">
        <f>'MKT DATA'!R1822</f>
        <v>0</v>
      </c>
      <c r="O139" s="8">
        <f>'MKT DATA'!S1822</f>
        <v>-85912</v>
      </c>
      <c r="P139" s="8">
        <f>'MKT DATA'!T1822</f>
        <v>0</v>
      </c>
      <c r="Q139" s="43" t="str">
        <f t="shared" si="7"/>
        <v>syn BTCX6/BTCF7/BTCZ6/BTCG7/BTCH7</v>
      </c>
      <c r="R139" s="13">
        <f>'MKT DATA'!AB1822</f>
        <v>0</v>
      </c>
    </row>
    <row r="140" spans="5:18" x14ac:dyDescent="0.25">
      <c r="E140" s="43" t="str">
        <f>'MKT DATA'!B1823</f>
        <v>syn BTCX6/BTCF7/BTCG7/BTCV6/BTCH7</v>
      </c>
      <c r="F140" s="13">
        <f>'MKT DATA'!J1823</f>
        <v>1</v>
      </c>
      <c r="G140" s="8">
        <f>'MKT DATA'!K1823</f>
        <v>84660</v>
      </c>
      <c r="H140" s="8">
        <f>'MKT DATA'!L1823</f>
        <v>86114</v>
      </c>
      <c r="I140" s="13">
        <f>'MKT DATA'!M1823</f>
        <v>1</v>
      </c>
      <c r="J140" s="43" t="str">
        <f t="shared" si="6"/>
        <v>syn BTCX6/BTCF7/BTCG7/BTCV6/BTCH7</v>
      </c>
      <c r="K140" s="8">
        <f>'MKT DATA'!O1823</f>
        <v>0</v>
      </c>
      <c r="L140" s="8">
        <f>'MKT DATA'!P1823</f>
        <v>84660</v>
      </c>
      <c r="M140" s="8">
        <f>'MKT DATA'!Q1823</f>
        <v>0</v>
      </c>
      <c r="N140" s="8">
        <f>'MKT DATA'!R1823</f>
        <v>0</v>
      </c>
      <c r="O140" s="8">
        <f>'MKT DATA'!S1823</f>
        <v>-86114</v>
      </c>
      <c r="P140" s="8">
        <f>'MKT DATA'!T1823</f>
        <v>0</v>
      </c>
      <c r="Q140" s="43" t="str">
        <f t="shared" si="7"/>
        <v>syn BTCX6/BTCF7/BTCG7/BTCV6/BTCH7</v>
      </c>
      <c r="R140" s="13">
        <f>'MKT DATA'!AB1823</f>
        <v>0</v>
      </c>
    </row>
    <row r="141" spans="5:18" x14ac:dyDescent="0.25">
      <c r="E141" s="43" t="str">
        <f>'MKT DATA'!B1824</f>
        <v>syn BTCX6/BTCF7/BTCG7/BTCZ6/BTCH7</v>
      </c>
      <c r="F141" s="13">
        <f>'MKT DATA'!J1824</f>
        <v>1</v>
      </c>
      <c r="G141" s="8">
        <f>'MKT DATA'!K1824</f>
        <v>84800</v>
      </c>
      <c r="H141" s="8">
        <f>'MKT DATA'!L1824</f>
        <v>86154</v>
      </c>
      <c r="I141" s="13">
        <f>'MKT DATA'!M1824</f>
        <v>1</v>
      </c>
      <c r="J141" s="43" t="str">
        <f t="shared" si="6"/>
        <v>syn BTCX6/BTCF7/BTCG7/BTCZ6/BTCH7</v>
      </c>
      <c r="K141" s="8">
        <f>'MKT DATA'!O1824</f>
        <v>0</v>
      </c>
      <c r="L141" s="8">
        <f>'MKT DATA'!P1824</f>
        <v>84800</v>
      </c>
      <c r="M141" s="8">
        <f>'MKT DATA'!Q1824</f>
        <v>0</v>
      </c>
      <c r="N141" s="8">
        <f>'MKT DATA'!R1824</f>
        <v>0</v>
      </c>
      <c r="O141" s="8">
        <f>'MKT DATA'!S1824</f>
        <v>-86154</v>
      </c>
      <c r="P141" s="8">
        <f>'MKT DATA'!T1824</f>
        <v>0</v>
      </c>
      <c r="Q141" s="43" t="str">
        <f t="shared" si="7"/>
        <v>syn BTCX6/BTCF7/BTCG7/BTCZ6/BTCH7</v>
      </c>
      <c r="R141" s="13">
        <f>'MKT DATA'!AB1824</f>
        <v>0</v>
      </c>
    </row>
    <row r="142" spans="5:18" x14ac:dyDescent="0.25">
      <c r="E142" s="43" t="str">
        <f>'MKT DATA'!B1825</f>
        <v>syn BTCX6/BTCG7/BTCV6/BTCZ6/BTCH7</v>
      </c>
      <c r="F142" s="13">
        <f>'MKT DATA'!J1825</f>
        <v>1</v>
      </c>
      <c r="G142" s="8">
        <f>'MKT DATA'!K1825</f>
        <v>84781</v>
      </c>
      <c r="H142" s="8">
        <f>'MKT DATA'!L1825</f>
        <v>86217</v>
      </c>
      <c r="I142" s="13">
        <f>'MKT DATA'!M1825</f>
        <v>1</v>
      </c>
      <c r="J142" s="43" t="str">
        <f t="shared" si="6"/>
        <v>syn BTCX6/BTCG7/BTCV6/BTCZ6/BTCH7</v>
      </c>
      <c r="K142" s="8">
        <f>'MKT DATA'!O1825</f>
        <v>0</v>
      </c>
      <c r="L142" s="8">
        <f>'MKT DATA'!P1825</f>
        <v>84781</v>
      </c>
      <c r="M142" s="8">
        <f>'MKT DATA'!Q1825</f>
        <v>0</v>
      </c>
      <c r="N142" s="8">
        <f>'MKT DATA'!R1825</f>
        <v>0</v>
      </c>
      <c r="O142" s="8">
        <f>'MKT DATA'!S1825</f>
        <v>-86217</v>
      </c>
      <c r="P142" s="8">
        <f>'MKT DATA'!T1825</f>
        <v>0</v>
      </c>
      <c r="Q142" s="43" t="str">
        <f t="shared" si="7"/>
        <v>syn BTCX6/BTCG7/BTCV6/BTCZ6/BTCH7</v>
      </c>
      <c r="R142" s="13">
        <f>'MKT DATA'!AB1825</f>
        <v>0</v>
      </c>
    </row>
    <row r="143" spans="5:18" x14ac:dyDescent="0.25">
      <c r="E143" s="43" t="str">
        <f>'MKT DATA'!B1826</f>
        <v>syn BTCX6/BTCG7/BTCV6/BTCF7/BTCH7</v>
      </c>
      <c r="F143" s="13">
        <f>'MKT DATA'!J1826</f>
        <v>1</v>
      </c>
      <c r="G143" s="8">
        <f>'MKT DATA'!K1826</f>
        <v>84451</v>
      </c>
      <c r="H143" s="8">
        <f>'MKT DATA'!L1826</f>
        <v>86329</v>
      </c>
      <c r="I143" s="13">
        <f>'MKT DATA'!M1826</f>
        <v>1</v>
      </c>
      <c r="J143" s="43" t="str">
        <f t="shared" si="6"/>
        <v>syn BTCX6/BTCG7/BTCV6/BTCF7/BTCH7</v>
      </c>
      <c r="K143" s="8">
        <f>'MKT DATA'!O1826</f>
        <v>0</v>
      </c>
      <c r="L143" s="8">
        <f>'MKT DATA'!P1826</f>
        <v>84451</v>
      </c>
      <c r="M143" s="8">
        <f>'MKT DATA'!Q1826</f>
        <v>0</v>
      </c>
      <c r="N143" s="8">
        <f>'MKT DATA'!R1826</f>
        <v>0</v>
      </c>
      <c r="O143" s="8">
        <f>'MKT DATA'!S1826</f>
        <v>-86329</v>
      </c>
      <c r="P143" s="8">
        <f>'MKT DATA'!T1826</f>
        <v>0</v>
      </c>
      <c r="Q143" s="43" t="str">
        <f t="shared" si="7"/>
        <v>syn BTCX6/BTCG7/BTCV6/BTCF7/BTCH7</v>
      </c>
      <c r="R143" s="13">
        <f>'MKT DATA'!AB1826</f>
        <v>0</v>
      </c>
    </row>
    <row r="144" spans="5:18" x14ac:dyDescent="0.25">
      <c r="E144" s="43" t="str">
        <f>'MKT DATA'!B1827</f>
        <v>syn BTCX6/BTCG7/BTCZ6/BTCV6/BTCH7</v>
      </c>
      <c r="F144" s="13">
        <f>'MKT DATA'!J1827</f>
        <v>1</v>
      </c>
      <c r="G144" s="8">
        <f>'MKT DATA'!K1827</f>
        <v>84563</v>
      </c>
      <c r="H144" s="8">
        <f>'MKT DATA'!L1827</f>
        <v>86239</v>
      </c>
      <c r="I144" s="13">
        <f>'MKT DATA'!M1827</f>
        <v>1</v>
      </c>
      <c r="J144" s="43" t="str">
        <f t="shared" si="6"/>
        <v>syn BTCX6/BTCG7/BTCZ6/BTCV6/BTCH7</v>
      </c>
      <c r="K144" s="8">
        <f>'MKT DATA'!O1827</f>
        <v>0</v>
      </c>
      <c r="L144" s="8">
        <f>'MKT DATA'!P1827</f>
        <v>84563</v>
      </c>
      <c r="M144" s="8">
        <f>'MKT DATA'!Q1827</f>
        <v>0</v>
      </c>
      <c r="N144" s="8">
        <f>'MKT DATA'!R1827</f>
        <v>0</v>
      </c>
      <c r="O144" s="8">
        <f>'MKT DATA'!S1827</f>
        <v>-86239</v>
      </c>
      <c r="P144" s="8">
        <f>'MKT DATA'!T1827</f>
        <v>0</v>
      </c>
      <c r="Q144" s="43" t="str">
        <f t="shared" si="7"/>
        <v>syn BTCX6/BTCG7/BTCZ6/BTCV6/BTCH7</v>
      </c>
      <c r="R144" s="13">
        <f>'MKT DATA'!AB1827</f>
        <v>0</v>
      </c>
    </row>
    <row r="145" spans="5:18" x14ac:dyDescent="0.25">
      <c r="E145" s="43" t="str">
        <f>'MKT DATA'!B1828</f>
        <v>syn BTCX6/BTCG7/BTCZ6/BTCF7/BTCH7</v>
      </c>
      <c r="F145" s="13">
        <f>'MKT DATA'!J1828</f>
        <v>1</v>
      </c>
      <c r="G145" s="8">
        <f>'MKT DATA'!K1828</f>
        <v>84487</v>
      </c>
      <c r="H145" s="8">
        <f>'MKT DATA'!L1828</f>
        <v>86319</v>
      </c>
      <c r="I145" s="13">
        <f>'MKT DATA'!M1828</f>
        <v>1</v>
      </c>
      <c r="J145" s="43" t="str">
        <f t="shared" si="6"/>
        <v>syn BTCX6/BTCG7/BTCZ6/BTCF7/BTCH7</v>
      </c>
      <c r="K145" s="8">
        <f>'MKT DATA'!O1828</f>
        <v>0</v>
      </c>
      <c r="L145" s="8">
        <f>'MKT DATA'!P1828</f>
        <v>84487</v>
      </c>
      <c r="M145" s="8">
        <f>'MKT DATA'!Q1828</f>
        <v>0</v>
      </c>
      <c r="N145" s="8">
        <f>'MKT DATA'!R1828</f>
        <v>0</v>
      </c>
      <c r="O145" s="8">
        <f>'MKT DATA'!S1828</f>
        <v>-86319</v>
      </c>
      <c r="P145" s="8">
        <f>'MKT DATA'!T1828</f>
        <v>0</v>
      </c>
      <c r="Q145" s="43" t="str">
        <f t="shared" si="7"/>
        <v>syn BTCX6/BTCG7/BTCZ6/BTCF7/BTCH7</v>
      </c>
      <c r="R145" s="13">
        <f>'MKT DATA'!AB1828</f>
        <v>0</v>
      </c>
    </row>
    <row r="146" spans="5:18" x14ac:dyDescent="0.25">
      <c r="E146" s="43" t="str">
        <f>'MKT DATA'!B1829</f>
        <v>syn BTCX6/BTCG7/BTCF7/BTCV6/BTCH7</v>
      </c>
      <c r="F146" s="13">
        <f>'MKT DATA'!J1829</f>
        <v>1</v>
      </c>
      <c r="G146" s="8">
        <f>'MKT DATA'!K1829</f>
        <v>84666</v>
      </c>
      <c r="H146" s="8">
        <f>'MKT DATA'!L1829</f>
        <v>86190</v>
      </c>
      <c r="I146" s="13">
        <f>'MKT DATA'!M1829</f>
        <v>1</v>
      </c>
      <c r="J146" s="43" t="str">
        <f t="shared" si="6"/>
        <v>syn BTCX6/BTCG7/BTCF7/BTCV6/BTCH7</v>
      </c>
      <c r="K146" s="8">
        <f>'MKT DATA'!O1829</f>
        <v>0</v>
      </c>
      <c r="L146" s="8">
        <f>'MKT DATA'!P1829</f>
        <v>84666</v>
      </c>
      <c r="M146" s="8">
        <f>'MKT DATA'!Q1829</f>
        <v>0</v>
      </c>
      <c r="N146" s="8">
        <f>'MKT DATA'!R1829</f>
        <v>0</v>
      </c>
      <c r="O146" s="8">
        <f>'MKT DATA'!S1829</f>
        <v>-86190</v>
      </c>
      <c r="P146" s="8">
        <f>'MKT DATA'!T1829</f>
        <v>0</v>
      </c>
      <c r="Q146" s="43" t="str">
        <f t="shared" si="7"/>
        <v>syn BTCX6/BTCG7/BTCF7/BTCV6/BTCH7</v>
      </c>
      <c r="R146" s="13">
        <f>'MKT DATA'!AB1829</f>
        <v>0</v>
      </c>
    </row>
    <row r="147" spans="5:18" x14ac:dyDescent="0.25">
      <c r="E147" s="43" t="str">
        <f>'MKT DATA'!B1830</f>
        <v>syn BTCX6/BTCG7/BTCF7/BTCZ6/BTCH7</v>
      </c>
      <c r="F147" s="13">
        <f>'MKT DATA'!J1830</f>
        <v>1</v>
      </c>
      <c r="G147" s="8">
        <f>'MKT DATA'!K1830</f>
        <v>84886</v>
      </c>
      <c r="H147" s="8">
        <f>'MKT DATA'!L1830</f>
        <v>86124</v>
      </c>
      <c r="I147" s="13">
        <f>'MKT DATA'!M1830</f>
        <v>1</v>
      </c>
      <c r="J147" s="43" t="str">
        <f t="shared" si="6"/>
        <v>syn BTCX6/BTCG7/BTCF7/BTCZ6/BTCH7</v>
      </c>
      <c r="K147" s="8">
        <f>'MKT DATA'!O1830</f>
        <v>0</v>
      </c>
      <c r="L147" s="8">
        <f>'MKT DATA'!P1830</f>
        <v>84886</v>
      </c>
      <c r="M147" s="8">
        <f>'MKT DATA'!Q1830</f>
        <v>0</v>
      </c>
      <c r="N147" s="8">
        <f>'MKT DATA'!R1830</f>
        <v>0</v>
      </c>
      <c r="O147" s="8">
        <f>'MKT DATA'!S1830</f>
        <v>-86124</v>
      </c>
      <c r="P147" s="8">
        <f>'MKT DATA'!T1830</f>
        <v>0</v>
      </c>
      <c r="Q147" s="43" t="str">
        <f t="shared" si="7"/>
        <v>syn BTCX6/BTCG7/BTCF7/BTCZ6/BTCH7</v>
      </c>
      <c r="R147" s="13">
        <f>'MKT DATA'!AB1830</f>
        <v>0</v>
      </c>
    </row>
    <row r="148" spans="5:18" x14ac:dyDescent="0.25">
      <c r="E148" s="43" t="str">
        <f>'MKT DATA'!B1831</f>
        <v>syn BTCZ6/BTCV6/BTCX6/BTCF7/BTCH7</v>
      </c>
      <c r="F148" s="13">
        <f>'MKT DATA'!J1831</f>
        <v>1</v>
      </c>
      <c r="G148" s="8">
        <f>'MKT DATA'!K1831</f>
        <v>84801</v>
      </c>
      <c r="H148" s="8">
        <f>'MKT DATA'!L1831</f>
        <v>85974</v>
      </c>
      <c r="I148" s="13">
        <f>'MKT DATA'!M1831</f>
        <v>1</v>
      </c>
      <c r="J148" s="43" t="str">
        <f t="shared" si="6"/>
        <v>syn BTCZ6/BTCV6/BTCX6/BTCF7/BTCH7</v>
      </c>
      <c r="K148" s="8">
        <f>'MKT DATA'!O1831</f>
        <v>0</v>
      </c>
      <c r="L148" s="8">
        <f>'MKT DATA'!P1831</f>
        <v>84801</v>
      </c>
      <c r="M148" s="8">
        <f>'MKT DATA'!Q1831</f>
        <v>0</v>
      </c>
      <c r="N148" s="8">
        <f>'MKT DATA'!R1831</f>
        <v>0</v>
      </c>
      <c r="O148" s="8">
        <f>'MKT DATA'!S1831</f>
        <v>-85974</v>
      </c>
      <c r="P148" s="8">
        <f>'MKT DATA'!T1831</f>
        <v>0</v>
      </c>
      <c r="Q148" s="43" t="str">
        <f t="shared" si="7"/>
        <v>syn BTCZ6/BTCV6/BTCX6/BTCF7/BTCH7</v>
      </c>
      <c r="R148" s="13">
        <f>'MKT DATA'!AB1831</f>
        <v>0</v>
      </c>
    </row>
    <row r="149" spans="5:18" x14ac:dyDescent="0.25">
      <c r="E149" s="43" t="str">
        <f>'MKT DATA'!B1832</f>
        <v>syn BTCZ6/BTCV6/BTCX6/BTCG7/BTCH7</v>
      </c>
      <c r="F149" s="13">
        <f>'MKT DATA'!J1832</f>
        <v>1</v>
      </c>
      <c r="G149" s="8">
        <f>'MKT DATA'!K1832</f>
        <v>84990</v>
      </c>
      <c r="H149" s="8">
        <f>'MKT DATA'!L1832</f>
        <v>85860</v>
      </c>
      <c r="I149" s="13">
        <f>'MKT DATA'!M1832</f>
        <v>1</v>
      </c>
      <c r="J149" s="43" t="str">
        <f t="shared" si="6"/>
        <v>syn BTCZ6/BTCV6/BTCX6/BTCG7/BTCH7</v>
      </c>
      <c r="K149" s="8">
        <f>'MKT DATA'!O1832</f>
        <v>0</v>
      </c>
      <c r="L149" s="8">
        <f>'MKT DATA'!P1832</f>
        <v>84990</v>
      </c>
      <c r="M149" s="8">
        <f>'MKT DATA'!Q1832</f>
        <v>0</v>
      </c>
      <c r="N149" s="8">
        <f>'MKT DATA'!R1832</f>
        <v>0</v>
      </c>
      <c r="O149" s="8">
        <f>'MKT DATA'!S1832</f>
        <v>-85860</v>
      </c>
      <c r="P149" s="8">
        <f>'MKT DATA'!T1832</f>
        <v>0</v>
      </c>
      <c r="Q149" s="43" t="str">
        <f t="shared" si="7"/>
        <v>syn BTCZ6/BTCV6/BTCX6/BTCG7/BTCH7</v>
      </c>
      <c r="R149" s="13">
        <f>'MKT DATA'!AB1832</f>
        <v>0</v>
      </c>
    </row>
    <row r="150" spans="5:18" x14ac:dyDescent="0.25">
      <c r="E150" s="43" t="str">
        <f>'MKT DATA'!B1833</f>
        <v>syn BTCZ6/BTCV6/BTCF7/BTCX6/BTCH7</v>
      </c>
      <c r="F150" s="13">
        <f>'MKT DATA'!J1833</f>
        <v>1</v>
      </c>
      <c r="G150" s="8">
        <f>'MKT DATA'!K1833</f>
        <v>84800</v>
      </c>
      <c r="H150" s="8">
        <f>'MKT DATA'!L1833</f>
        <v>85992</v>
      </c>
      <c r="I150" s="13">
        <f>'MKT DATA'!M1833</f>
        <v>1</v>
      </c>
      <c r="J150" s="43" t="str">
        <f t="shared" si="6"/>
        <v>syn BTCZ6/BTCV6/BTCF7/BTCX6/BTCH7</v>
      </c>
      <c r="K150" s="8">
        <f>'MKT DATA'!O1833</f>
        <v>0</v>
      </c>
      <c r="L150" s="8">
        <f>'MKT DATA'!P1833</f>
        <v>84800</v>
      </c>
      <c r="M150" s="8">
        <f>'MKT DATA'!Q1833</f>
        <v>0</v>
      </c>
      <c r="N150" s="8">
        <f>'MKT DATA'!R1833</f>
        <v>0</v>
      </c>
      <c r="O150" s="8">
        <f>'MKT DATA'!S1833</f>
        <v>-85992</v>
      </c>
      <c r="P150" s="8">
        <f>'MKT DATA'!T1833</f>
        <v>0</v>
      </c>
      <c r="Q150" s="43" t="str">
        <f t="shared" si="7"/>
        <v>syn BTCZ6/BTCV6/BTCF7/BTCX6/BTCH7</v>
      </c>
      <c r="R150" s="13">
        <f>'MKT DATA'!AB1833</f>
        <v>0</v>
      </c>
    </row>
    <row r="151" spans="5:18" x14ac:dyDescent="0.25">
      <c r="E151" s="43" t="str">
        <f>'MKT DATA'!B1834</f>
        <v>syn BTCZ6/BTCV6/BTCF7/BTCG7/BTCH7</v>
      </c>
      <c r="F151" s="13">
        <f>'MKT DATA'!J1834</f>
        <v>1</v>
      </c>
      <c r="G151" s="8">
        <f>'MKT DATA'!K1834</f>
        <v>85008</v>
      </c>
      <c r="H151" s="8">
        <f>'MKT DATA'!L1834</f>
        <v>85803</v>
      </c>
      <c r="I151" s="13">
        <f>'MKT DATA'!M1834</f>
        <v>1</v>
      </c>
      <c r="J151" s="43" t="str">
        <f t="shared" si="6"/>
        <v>syn BTCZ6/BTCV6/BTCF7/BTCG7/BTCH7</v>
      </c>
      <c r="K151" s="8">
        <f>'MKT DATA'!O1834</f>
        <v>0</v>
      </c>
      <c r="L151" s="8">
        <f>'MKT DATA'!P1834</f>
        <v>85008</v>
      </c>
      <c r="M151" s="8">
        <f>'MKT DATA'!Q1834</f>
        <v>0</v>
      </c>
      <c r="N151" s="8">
        <f>'MKT DATA'!R1834</f>
        <v>0</v>
      </c>
      <c r="O151" s="8">
        <f>'MKT DATA'!S1834</f>
        <v>-85803</v>
      </c>
      <c r="P151" s="8">
        <f>'MKT DATA'!T1834</f>
        <v>0</v>
      </c>
      <c r="Q151" s="43" t="str">
        <f t="shared" si="7"/>
        <v>syn BTCZ6/BTCV6/BTCF7/BTCG7/BTCH7</v>
      </c>
      <c r="R151" s="13">
        <f>'MKT DATA'!AB1834</f>
        <v>0</v>
      </c>
    </row>
    <row r="152" spans="5:18" x14ac:dyDescent="0.25">
      <c r="E152" s="43" t="str">
        <f>'MKT DATA'!B1835</f>
        <v>syn BTCZ6/BTCV6/BTCG7/BTCX6/BTCH7</v>
      </c>
      <c r="F152" s="13">
        <f>'MKT DATA'!J1835</f>
        <v>1</v>
      </c>
      <c r="G152" s="8">
        <f>'MKT DATA'!K1835</f>
        <v>84563</v>
      </c>
      <c r="H152" s="8">
        <f>'MKT DATA'!L1835</f>
        <v>86239</v>
      </c>
      <c r="I152" s="13">
        <f>'MKT DATA'!M1835</f>
        <v>1</v>
      </c>
      <c r="J152" s="43" t="str">
        <f t="shared" si="6"/>
        <v>syn BTCZ6/BTCV6/BTCG7/BTCX6/BTCH7</v>
      </c>
      <c r="K152" s="8">
        <f>'MKT DATA'!O1835</f>
        <v>0</v>
      </c>
      <c r="L152" s="8">
        <f>'MKT DATA'!P1835</f>
        <v>84563</v>
      </c>
      <c r="M152" s="8">
        <f>'MKT DATA'!Q1835</f>
        <v>0</v>
      </c>
      <c r="N152" s="8">
        <f>'MKT DATA'!R1835</f>
        <v>0</v>
      </c>
      <c r="O152" s="8">
        <f>'MKT DATA'!S1835</f>
        <v>-86239</v>
      </c>
      <c r="P152" s="8">
        <f>'MKT DATA'!T1835</f>
        <v>0</v>
      </c>
      <c r="Q152" s="43" t="str">
        <f t="shared" si="7"/>
        <v>syn BTCZ6/BTCV6/BTCG7/BTCX6/BTCH7</v>
      </c>
      <c r="R152" s="13">
        <f>'MKT DATA'!AB1835</f>
        <v>0</v>
      </c>
    </row>
    <row r="153" spans="5:18" x14ac:dyDescent="0.25">
      <c r="E153" s="43" t="str">
        <f>'MKT DATA'!B1836</f>
        <v>syn BTCZ6/BTCV6/BTCG7/BTCF7/BTCH7</v>
      </c>
      <c r="F153" s="13">
        <f>'MKT DATA'!J1836</f>
        <v>1</v>
      </c>
      <c r="G153" s="8">
        <f>'MKT DATA'!K1836</f>
        <v>84618</v>
      </c>
      <c r="H153" s="8">
        <f>'MKT DATA'!L1836</f>
        <v>86200</v>
      </c>
      <c r="I153" s="13">
        <f>'MKT DATA'!M1836</f>
        <v>1</v>
      </c>
      <c r="J153" s="43" t="str">
        <f t="shared" si="6"/>
        <v>syn BTCZ6/BTCV6/BTCG7/BTCF7/BTCH7</v>
      </c>
      <c r="K153" s="8">
        <f>'MKT DATA'!O1836</f>
        <v>0</v>
      </c>
      <c r="L153" s="8">
        <f>'MKT DATA'!P1836</f>
        <v>84618</v>
      </c>
      <c r="M153" s="8">
        <f>'MKT DATA'!Q1836</f>
        <v>0</v>
      </c>
      <c r="N153" s="8">
        <f>'MKT DATA'!R1836</f>
        <v>0</v>
      </c>
      <c r="O153" s="8">
        <f>'MKT DATA'!S1836</f>
        <v>-86200</v>
      </c>
      <c r="P153" s="8">
        <f>'MKT DATA'!T1836</f>
        <v>0</v>
      </c>
      <c r="Q153" s="43" t="str">
        <f t="shared" si="7"/>
        <v>syn BTCZ6/BTCV6/BTCG7/BTCF7/BTCH7</v>
      </c>
      <c r="R153" s="13">
        <f>'MKT DATA'!AB1836</f>
        <v>0</v>
      </c>
    </row>
    <row r="154" spans="5:18" x14ac:dyDescent="0.25">
      <c r="E154" s="43" t="str">
        <f>'MKT DATA'!B1837</f>
        <v>syn BTCZ6/BTCX6/BTCV6/BTCF7/BTCH7</v>
      </c>
      <c r="F154" s="13">
        <f>'MKT DATA'!J1837</f>
        <v>1</v>
      </c>
      <c r="G154" s="8">
        <f>'MKT DATA'!K1837</f>
        <v>84784</v>
      </c>
      <c r="H154" s="8">
        <f>'MKT DATA'!L1837</f>
        <v>85988</v>
      </c>
      <c r="I154" s="13">
        <f>'MKT DATA'!M1837</f>
        <v>1</v>
      </c>
      <c r="J154" s="43" t="str">
        <f t="shared" si="6"/>
        <v>syn BTCZ6/BTCX6/BTCV6/BTCF7/BTCH7</v>
      </c>
      <c r="K154" s="8">
        <f>'MKT DATA'!O1837</f>
        <v>0</v>
      </c>
      <c r="L154" s="8">
        <f>'MKT DATA'!P1837</f>
        <v>84784</v>
      </c>
      <c r="M154" s="8">
        <f>'MKT DATA'!Q1837</f>
        <v>0</v>
      </c>
      <c r="N154" s="8">
        <f>'MKT DATA'!R1837</f>
        <v>0</v>
      </c>
      <c r="O154" s="8">
        <f>'MKT DATA'!S1837</f>
        <v>-85988</v>
      </c>
      <c r="P154" s="8">
        <f>'MKT DATA'!T1837</f>
        <v>0</v>
      </c>
      <c r="Q154" s="43" t="str">
        <f t="shared" si="7"/>
        <v>syn BTCZ6/BTCX6/BTCV6/BTCF7/BTCH7</v>
      </c>
      <c r="R154" s="13">
        <f>'MKT DATA'!AB1837</f>
        <v>0</v>
      </c>
    </row>
    <row r="155" spans="5:18" x14ac:dyDescent="0.25">
      <c r="E155" s="43" t="str">
        <f>'MKT DATA'!B1838</f>
        <v>syn BTCZ6/BTCX6/BTCV6/BTCG7/BTCH7</v>
      </c>
      <c r="F155" s="13">
        <f>'MKT DATA'!J1838</f>
        <v>1</v>
      </c>
      <c r="G155" s="8">
        <f>'MKT DATA'!K1838</f>
        <v>85013</v>
      </c>
      <c r="H155" s="8">
        <f>'MKT DATA'!L1838</f>
        <v>85844</v>
      </c>
      <c r="I155" s="13">
        <f>'MKT DATA'!M1838</f>
        <v>1</v>
      </c>
      <c r="J155" s="43" t="str">
        <f t="shared" si="6"/>
        <v>syn BTCZ6/BTCX6/BTCV6/BTCG7/BTCH7</v>
      </c>
      <c r="K155" s="8">
        <f>'MKT DATA'!O1838</f>
        <v>0</v>
      </c>
      <c r="L155" s="8">
        <f>'MKT DATA'!P1838</f>
        <v>85013</v>
      </c>
      <c r="M155" s="8">
        <f>'MKT DATA'!Q1838</f>
        <v>0</v>
      </c>
      <c r="N155" s="8">
        <f>'MKT DATA'!R1838</f>
        <v>0</v>
      </c>
      <c r="O155" s="8">
        <f>'MKT DATA'!S1838</f>
        <v>-85844</v>
      </c>
      <c r="P155" s="8">
        <f>'MKT DATA'!T1838</f>
        <v>0</v>
      </c>
      <c r="Q155" s="43" t="str">
        <f t="shared" si="7"/>
        <v>syn BTCZ6/BTCX6/BTCV6/BTCG7/BTCH7</v>
      </c>
      <c r="R155" s="13">
        <f>'MKT DATA'!AB1838</f>
        <v>0</v>
      </c>
    </row>
    <row r="156" spans="5:18" x14ac:dyDescent="0.25">
      <c r="E156" s="43" t="str">
        <f>'MKT DATA'!B1839</f>
        <v>syn BTCZ6/BTCX6/BTCF7/BTCV6/BTCH7</v>
      </c>
      <c r="F156" s="13">
        <f>'MKT DATA'!J1839</f>
        <v>1</v>
      </c>
      <c r="G156" s="8">
        <f>'MKT DATA'!K1839</f>
        <v>84826</v>
      </c>
      <c r="H156" s="8">
        <f>'MKT DATA'!L1839</f>
        <v>85979</v>
      </c>
      <c r="I156" s="13">
        <f>'MKT DATA'!M1839</f>
        <v>1</v>
      </c>
      <c r="J156" s="43" t="str">
        <f t="shared" si="6"/>
        <v>syn BTCZ6/BTCX6/BTCF7/BTCV6/BTCH7</v>
      </c>
      <c r="K156" s="8">
        <f>'MKT DATA'!O1839</f>
        <v>0</v>
      </c>
      <c r="L156" s="8">
        <f>'MKT DATA'!P1839</f>
        <v>84826</v>
      </c>
      <c r="M156" s="8">
        <f>'MKT DATA'!Q1839</f>
        <v>0</v>
      </c>
      <c r="N156" s="8">
        <f>'MKT DATA'!R1839</f>
        <v>0</v>
      </c>
      <c r="O156" s="8">
        <f>'MKT DATA'!S1839</f>
        <v>-85979</v>
      </c>
      <c r="P156" s="8">
        <f>'MKT DATA'!T1839</f>
        <v>0</v>
      </c>
      <c r="Q156" s="43" t="str">
        <f t="shared" si="7"/>
        <v>syn BTCZ6/BTCX6/BTCF7/BTCV6/BTCH7</v>
      </c>
      <c r="R156" s="13">
        <f>'MKT DATA'!AB1839</f>
        <v>0</v>
      </c>
    </row>
    <row r="157" spans="5:18" x14ac:dyDescent="0.25">
      <c r="E157" s="43" t="str">
        <f>'MKT DATA'!B1840</f>
        <v>syn BTCZ6/BTCX6/BTCF7/BTCG7/BTCH7</v>
      </c>
      <c r="F157" s="13">
        <f>'MKT DATA'!J1840</f>
        <v>1</v>
      </c>
      <c r="G157" s="8">
        <f>'MKT DATA'!K1840</f>
        <v>85039</v>
      </c>
      <c r="H157" s="8">
        <f>'MKT DATA'!L1840</f>
        <v>85775</v>
      </c>
      <c r="I157" s="13">
        <f>'MKT DATA'!M1840</f>
        <v>1</v>
      </c>
      <c r="J157" s="43" t="str">
        <f t="shared" si="6"/>
        <v>syn BTCZ6/BTCX6/BTCF7/BTCG7/BTCH7</v>
      </c>
      <c r="K157" s="8">
        <f>'MKT DATA'!O1840</f>
        <v>0</v>
      </c>
      <c r="L157" s="8">
        <f>'MKT DATA'!P1840</f>
        <v>85039</v>
      </c>
      <c r="M157" s="8">
        <f>'MKT DATA'!Q1840</f>
        <v>0</v>
      </c>
      <c r="N157" s="8">
        <f>'MKT DATA'!R1840</f>
        <v>0</v>
      </c>
      <c r="O157" s="8">
        <f>'MKT DATA'!S1840</f>
        <v>-85775</v>
      </c>
      <c r="P157" s="8">
        <f>'MKT DATA'!T1840</f>
        <v>0</v>
      </c>
      <c r="Q157" s="43" t="str">
        <f t="shared" si="7"/>
        <v>syn BTCZ6/BTCX6/BTCF7/BTCG7/BTCH7</v>
      </c>
      <c r="R157" s="13">
        <f>'MKT DATA'!AB1840</f>
        <v>0</v>
      </c>
    </row>
    <row r="158" spans="5:18" x14ac:dyDescent="0.25">
      <c r="E158" s="43" t="str">
        <f>'MKT DATA'!B1841</f>
        <v>syn BTCZ6/BTCX6/BTCG7/BTCV6/BTCH7</v>
      </c>
      <c r="F158" s="13">
        <f>'MKT DATA'!J1841</f>
        <v>1</v>
      </c>
      <c r="G158" s="8">
        <f>'MKT DATA'!K1841</f>
        <v>84579</v>
      </c>
      <c r="H158" s="8">
        <f>'MKT DATA'!L1841</f>
        <v>86216</v>
      </c>
      <c r="I158" s="13">
        <f>'MKT DATA'!M1841</f>
        <v>1</v>
      </c>
      <c r="J158" s="43" t="str">
        <f t="shared" si="6"/>
        <v>syn BTCZ6/BTCX6/BTCG7/BTCV6/BTCH7</v>
      </c>
      <c r="K158" s="8">
        <f>'MKT DATA'!O1841</f>
        <v>0</v>
      </c>
      <c r="L158" s="8">
        <f>'MKT DATA'!P1841</f>
        <v>84579</v>
      </c>
      <c r="M158" s="8">
        <f>'MKT DATA'!Q1841</f>
        <v>0</v>
      </c>
      <c r="N158" s="8">
        <f>'MKT DATA'!R1841</f>
        <v>0</v>
      </c>
      <c r="O158" s="8">
        <f>'MKT DATA'!S1841</f>
        <v>-86216</v>
      </c>
      <c r="P158" s="8">
        <f>'MKT DATA'!T1841</f>
        <v>0</v>
      </c>
      <c r="Q158" s="43" t="str">
        <f t="shared" si="7"/>
        <v>syn BTCZ6/BTCX6/BTCG7/BTCV6/BTCH7</v>
      </c>
      <c r="R158" s="13">
        <f>'MKT DATA'!AB1841</f>
        <v>0</v>
      </c>
    </row>
    <row r="159" spans="5:18" x14ac:dyDescent="0.25">
      <c r="E159" s="43" t="str">
        <f>'MKT DATA'!B1842</f>
        <v>syn BTCZ6/BTCX6/BTCG7/BTCF7/BTCH7</v>
      </c>
      <c r="F159" s="13">
        <f>'MKT DATA'!J1842</f>
        <v>1</v>
      </c>
      <c r="G159" s="8">
        <f>'MKT DATA'!K1842</f>
        <v>84609</v>
      </c>
      <c r="H159" s="8">
        <f>'MKT DATA'!L1842</f>
        <v>86202</v>
      </c>
      <c r="I159" s="13">
        <f>'MKT DATA'!M1842</f>
        <v>1</v>
      </c>
      <c r="J159" s="43" t="str">
        <f t="shared" si="6"/>
        <v>syn BTCZ6/BTCX6/BTCG7/BTCF7/BTCH7</v>
      </c>
      <c r="K159" s="8">
        <f>'MKT DATA'!O1842</f>
        <v>0</v>
      </c>
      <c r="L159" s="8">
        <f>'MKT DATA'!P1842</f>
        <v>84609</v>
      </c>
      <c r="M159" s="8">
        <f>'MKT DATA'!Q1842</f>
        <v>0</v>
      </c>
      <c r="N159" s="8">
        <f>'MKT DATA'!R1842</f>
        <v>0</v>
      </c>
      <c r="O159" s="8">
        <f>'MKT DATA'!S1842</f>
        <v>-86202</v>
      </c>
      <c r="P159" s="8">
        <f>'MKT DATA'!T1842</f>
        <v>0</v>
      </c>
      <c r="Q159" s="43" t="str">
        <f t="shared" si="7"/>
        <v>syn BTCZ6/BTCX6/BTCG7/BTCF7/BTCH7</v>
      </c>
      <c r="R159" s="13">
        <f>'MKT DATA'!AB1842</f>
        <v>0</v>
      </c>
    </row>
    <row r="160" spans="5:18" x14ac:dyDescent="0.25">
      <c r="E160" s="43" t="str">
        <f>'MKT DATA'!B1843</f>
        <v>syn BTCZ6/BTCF7/BTCV6/BTCX6/BTCH7</v>
      </c>
      <c r="F160" s="13">
        <f>'MKT DATA'!J1843</f>
        <v>1</v>
      </c>
      <c r="G160" s="8">
        <f>'MKT DATA'!K1843</f>
        <v>84870</v>
      </c>
      <c r="H160" s="8">
        <f>'MKT DATA'!L1843</f>
        <v>85959</v>
      </c>
      <c r="I160" s="13">
        <f>'MKT DATA'!M1843</f>
        <v>1</v>
      </c>
      <c r="J160" s="43" t="str">
        <f t="shared" si="6"/>
        <v>syn BTCZ6/BTCF7/BTCV6/BTCX6/BTCH7</v>
      </c>
      <c r="K160" s="8">
        <f>'MKT DATA'!O1843</f>
        <v>0</v>
      </c>
      <c r="L160" s="8">
        <f>'MKT DATA'!P1843</f>
        <v>84870</v>
      </c>
      <c r="M160" s="8">
        <f>'MKT DATA'!Q1843</f>
        <v>0</v>
      </c>
      <c r="N160" s="8">
        <f>'MKT DATA'!R1843</f>
        <v>0</v>
      </c>
      <c r="O160" s="8">
        <f>'MKT DATA'!S1843</f>
        <v>-85959</v>
      </c>
      <c r="P160" s="8">
        <f>'MKT DATA'!T1843</f>
        <v>0</v>
      </c>
      <c r="Q160" s="43" t="str">
        <f t="shared" si="7"/>
        <v>syn BTCZ6/BTCF7/BTCV6/BTCX6/BTCH7</v>
      </c>
      <c r="R160" s="13">
        <f>'MKT DATA'!AB1843</f>
        <v>0</v>
      </c>
    </row>
    <row r="161" spans="5:18" x14ac:dyDescent="0.25">
      <c r="E161" s="43" t="str">
        <f>'MKT DATA'!B1844</f>
        <v>syn BTCZ6/BTCF7/BTCV6/BTCG7/BTCH7</v>
      </c>
      <c r="F161" s="13">
        <f>'MKT DATA'!J1844</f>
        <v>1</v>
      </c>
      <c r="G161" s="8">
        <f>'MKT DATA'!K1844</f>
        <v>84948</v>
      </c>
      <c r="H161" s="8">
        <f>'MKT DATA'!L1844</f>
        <v>85943</v>
      </c>
      <c r="I161" s="13">
        <f>'MKT DATA'!M1844</f>
        <v>1</v>
      </c>
      <c r="J161" s="43" t="str">
        <f t="shared" si="6"/>
        <v>syn BTCZ6/BTCF7/BTCV6/BTCG7/BTCH7</v>
      </c>
      <c r="K161" s="8">
        <f>'MKT DATA'!O1844</f>
        <v>0</v>
      </c>
      <c r="L161" s="8">
        <f>'MKT DATA'!P1844</f>
        <v>84948</v>
      </c>
      <c r="M161" s="8">
        <f>'MKT DATA'!Q1844</f>
        <v>0</v>
      </c>
      <c r="N161" s="8">
        <f>'MKT DATA'!R1844</f>
        <v>0</v>
      </c>
      <c r="O161" s="8">
        <f>'MKT DATA'!S1844</f>
        <v>-85943</v>
      </c>
      <c r="P161" s="8">
        <f>'MKT DATA'!T1844</f>
        <v>0</v>
      </c>
      <c r="Q161" s="43" t="str">
        <f t="shared" si="7"/>
        <v>syn BTCZ6/BTCF7/BTCV6/BTCG7/BTCH7</v>
      </c>
      <c r="R161" s="13">
        <f>'MKT DATA'!AB1844</f>
        <v>0</v>
      </c>
    </row>
    <row r="162" spans="5:18" x14ac:dyDescent="0.25">
      <c r="E162" s="43" t="str">
        <f>'MKT DATA'!B1845</f>
        <v>syn BTCZ6/BTCF7/BTCX6/BTCV6/BTCH7</v>
      </c>
      <c r="F162" s="13">
        <f>'MKT DATA'!J1845</f>
        <v>1</v>
      </c>
      <c r="G162" s="8">
        <f>'MKT DATA'!K1845</f>
        <v>84907</v>
      </c>
      <c r="H162" s="8">
        <f>'MKT DATA'!L1845</f>
        <v>85926</v>
      </c>
      <c r="I162" s="13">
        <f>'MKT DATA'!M1845</f>
        <v>1</v>
      </c>
      <c r="J162" s="43" t="str">
        <f t="shared" si="6"/>
        <v>syn BTCZ6/BTCF7/BTCX6/BTCV6/BTCH7</v>
      </c>
      <c r="K162" s="8">
        <f>'MKT DATA'!O1845</f>
        <v>0</v>
      </c>
      <c r="L162" s="8">
        <f>'MKT DATA'!P1845</f>
        <v>84907</v>
      </c>
      <c r="M162" s="8">
        <f>'MKT DATA'!Q1845</f>
        <v>0</v>
      </c>
      <c r="N162" s="8">
        <f>'MKT DATA'!R1845</f>
        <v>0</v>
      </c>
      <c r="O162" s="8">
        <f>'MKT DATA'!S1845</f>
        <v>-85926</v>
      </c>
      <c r="P162" s="8">
        <f>'MKT DATA'!T1845</f>
        <v>0</v>
      </c>
      <c r="Q162" s="43" t="str">
        <f t="shared" si="7"/>
        <v>syn BTCZ6/BTCF7/BTCX6/BTCV6/BTCH7</v>
      </c>
      <c r="R162" s="13">
        <f>'MKT DATA'!AB1845</f>
        <v>0</v>
      </c>
    </row>
    <row r="163" spans="5:18" x14ac:dyDescent="0.25">
      <c r="E163" s="43" t="str">
        <f>'MKT DATA'!B1846</f>
        <v>syn BTCZ6/BTCF7/BTCX6/BTCG7/BTCH7</v>
      </c>
      <c r="F163" s="13">
        <f>'MKT DATA'!J1846</f>
        <v>1</v>
      </c>
      <c r="G163" s="8">
        <f>'MKT DATA'!K1846</f>
        <v>84953</v>
      </c>
      <c r="H163" s="8">
        <f>'MKT DATA'!L1846</f>
        <v>85928</v>
      </c>
      <c r="I163" s="13">
        <f>'MKT DATA'!M1846</f>
        <v>1</v>
      </c>
      <c r="J163" s="43" t="str">
        <f t="shared" si="6"/>
        <v>syn BTCZ6/BTCF7/BTCX6/BTCG7/BTCH7</v>
      </c>
      <c r="K163" s="8">
        <f>'MKT DATA'!O1846</f>
        <v>0</v>
      </c>
      <c r="L163" s="8">
        <f>'MKT DATA'!P1846</f>
        <v>84953</v>
      </c>
      <c r="M163" s="8">
        <f>'MKT DATA'!Q1846</f>
        <v>0</v>
      </c>
      <c r="N163" s="8">
        <f>'MKT DATA'!R1846</f>
        <v>0</v>
      </c>
      <c r="O163" s="8">
        <f>'MKT DATA'!S1846</f>
        <v>-85928</v>
      </c>
      <c r="P163" s="8">
        <f>'MKT DATA'!T1846</f>
        <v>0</v>
      </c>
      <c r="Q163" s="43" t="str">
        <f t="shared" si="7"/>
        <v>syn BTCZ6/BTCF7/BTCX6/BTCG7/BTCH7</v>
      </c>
      <c r="R163" s="13">
        <f>'MKT DATA'!AB1846</f>
        <v>0</v>
      </c>
    </row>
    <row r="164" spans="5:18" x14ac:dyDescent="0.25">
      <c r="E164" s="43" t="str">
        <f>'MKT DATA'!B1847</f>
        <v>syn BTCZ6/BTCF7/BTCG7/BTCV6/BTCH7</v>
      </c>
      <c r="F164" s="13">
        <f>'MKT DATA'!J1847</f>
        <v>1</v>
      </c>
      <c r="G164" s="8">
        <f>'MKT DATA'!K1847</f>
        <v>84681</v>
      </c>
      <c r="H164" s="8">
        <f>'MKT DATA'!L1847</f>
        <v>86109</v>
      </c>
      <c r="I164" s="13">
        <f>'MKT DATA'!M1847</f>
        <v>1</v>
      </c>
      <c r="J164" s="43" t="str">
        <f t="shared" si="6"/>
        <v>syn BTCZ6/BTCF7/BTCG7/BTCV6/BTCH7</v>
      </c>
      <c r="K164" s="8">
        <f>'MKT DATA'!O1847</f>
        <v>0</v>
      </c>
      <c r="L164" s="8">
        <f>'MKT DATA'!P1847</f>
        <v>84681</v>
      </c>
      <c r="M164" s="8">
        <f>'MKT DATA'!Q1847</f>
        <v>0</v>
      </c>
      <c r="N164" s="8">
        <f>'MKT DATA'!R1847</f>
        <v>0</v>
      </c>
      <c r="O164" s="8">
        <f>'MKT DATA'!S1847</f>
        <v>-86109</v>
      </c>
      <c r="P164" s="8">
        <f>'MKT DATA'!T1847</f>
        <v>0</v>
      </c>
      <c r="Q164" s="43" t="str">
        <f t="shared" si="7"/>
        <v>syn BTCZ6/BTCF7/BTCG7/BTCV6/BTCH7</v>
      </c>
      <c r="R164" s="13">
        <f>'MKT DATA'!AB1847</f>
        <v>0</v>
      </c>
    </row>
    <row r="165" spans="5:18" x14ac:dyDescent="0.25">
      <c r="E165" s="43" t="str">
        <f>'MKT DATA'!B1848</f>
        <v>syn BTCZ6/BTCF7/BTCG7/BTCX6/BTCH7</v>
      </c>
      <c r="F165" s="13">
        <f>'MKT DATA'!J1848</f>
        <v>1</v>
      </c>
      <c r="G165" s="8">
        <f>'MKT DATA'!K1848</f>
        <v>84656</v>
      </c>
      <c r="H165" s="8">
        <f>'MKT DATA'!L1848</f>
        <v>86134</v>
      </c>
      <c r="I165" s="13">
        <f>'MKT DATA'!M1848</f>
        <v>1</v>
      </c>
      <c r="J165" s="43" t="str">
        <f t="shared" si="6"/>
        <v>syn BTCZ6/BTCF7/BTCG7/BTCX6/BTCH7</v>
      </c>
      <c r="K165" s="8">
        <f>'MKT DATA'!O1848</f>
        <v>0</v>
      </c>
      <c r="L165" s="8">
        <f>'MKT DATA'!P1848</f>
        <v>84656</v>
      </c>
      <c r="M165" s="8">
        <f>'MKT DATA'!Q1848</f>
        <v>0</v>
      </c>
      <c r="N165" s="8">
        <f>'MKT DATA'!R1848</f>
        <v>0</v>
      </c>
      <c r="O165" s="8">
        <f>'MKT DATA'!S1848</f>
        <v>-86134</v>
      </c>
      <c r="P165" s="8">
        <f>'MKT DATA'!T1848</f>
        <v>0</v>
      </c>
      <c r="Q165" s="43" t="str">
        <f t="shared" si="7"/>
        <v>syn BTCZ6/BTCF7/BTCG7/BTCX6/BTCH7</v>
      </c>
      <c r="R165" s="13">
        <f>'MKT DATA'!AB1848</f>
        <v>0</v>
      </c>
    </row>
    <row r="166" spans="5:18" x14ac:dyDescent="0.25">
      <c r="E166" s="43" t="str">
        <f>'MKT DATA'!B1849</f>
        <v>syn BTCZ6/BTCG7/BTCV6/BTCX6/BTCH7</v>
      </c>
      <c r="F166" s="13">
        <f>'MKT DATA'!J1849</f>
        <v>1</v>
      </c>
      <c r="G166" s="8">
        <f>'MKT DATA'!K1849</f>
        <v>84557</v>
      </c>
      <c r="H166" s="8">
        <f>'MKT DATA'!L1849</f>
        <v>86246</v>
      </c>
      <c r="I166" s="13">
        <f>'MKT DATA'!M1849</f>
        <v>1</v>
      </c>
      <c r="J166" s="43" t="str">
        <f t="shared" si="6"/>
        <v>syn BTCZ6/BTCG7/BTCV6/BTCX6/BTCH7</v>
      </c>
      <c r="K166" s="8">
        <f>'MKT DATA'!O1849</f>
        <v>0</v>
      </c>
      <c r="L166" s="8">
        <f>'MKT DATA'!P1849</f>
        <v>84557</v>
      </c>
      <c r="M166" s="8">
        <f>'MKT DATA'!Q1849</f>
        <v>0</v>
      </c>
      <c r="N166" s="8">
        <f>'MKT DATA'!R1849</f>
        <v>0</v>
      </c>
      <c r="O166" s="8">
        <f>'MKT DATA'!S1849</f>
        <v>-86246</v>
      </c>
      <c r="P166" s="8">
        <f>'MKT DATA'!T1849</f>
        <v>0</v>
      </c>
      <c r="Q166" s="43" t="str">
        <f t="shared" si="7"/>
        <v>syn BTCZ6/BTCG7/BTCV6/BTCX6/BTCH7</v>
      </c>
      <c r="R166" s="13">
        <f>'MKT DATA'!AB1849</f>
        <v>0</v>
      </c>
    </row>
    <row r="167" spans="5:18" x14ac:dyDescent="0.25">
      <c r="E167" s="43" t="str">
        <f>'MKT DATA'!B1850</f>
        <v>syn BTCZ6/BTCG7/BTCV6/BTCF7/BTCH7</v>
      </c>
      <c r="F167" s="13">
        <f>'MKT DATA'!J1850</f>
        <v>1</v>
      </c>
      <c r="G167" s="8">
        <f>'MKT DATA'!K1850</f>
        <v>84406</v>
      </c>
      <c r="H167" s="8">
        <f>'MKT DATA'!L1850</f>
        <v>86374</v>
      </c>
      <c r="I167" s="13">
        <f>'MKT DATA'!M1850</f>
        <v>1</v>
      </c>
      <c r="J167" s="43" t="str">
        <f t="shared" si="6"/>
        <v>syn BTCZ6/BTCG7/BTCV6/BTCF7/BTCH7</v>
      </c>
      <c r="K167" s="8">
        <f>'MKT DATA'!O1850</f>
        <v>0</v>
      </c>
      <c r="L167" s="8">
        <f>'MKT DATA'!P1850</f>
        <v>84406</v>
      </c>
      <c r="M167" s="8">
        <f>'MKT DATA'!Q1850</f>
        <v>0</v>
      </c>
      <c r="N167" s="8">
        <f>'MKT DATA'!R1850</f>
        <v>0</v>
      </c>
      <c r="O167" s="8">
        <f>'MKT DATA'!S1850</f>
        <v>-86374</v>
      </c>
      <c r="P167" s="8">
        <f>'MKT DATA'!T1850</f>
        <v>0</v>
      </c>
      <c r="Q167" s="43" t="str">
        <f t="shared" si="7"/>
        <v>syn BTCZ6/BTCG7/BTCV6/BTCF7/BTCH7</v>
      </c>
      <c r="R167" s="13">
        <f>'MKT DATA'!AB1850</f>
        <v>0</v>
      </c>
    </row>
    <row r="168" spans="5:18" x14ac:dyDescent="0.25">
      <c r="E168" s="43" t="str">
        <f>'MKT DATA'!B1851</f>
        <v>syn BTCZ6/BTCG7/BTCX6/BTCV6/BTCH7</v>
      </c>
      <c r="F168" s="13">
        <f>'MKT DATA'!J1851</f>
        <v>1</v>
      </c>
      <c r="G168" s="8">
        <f>'MKT DATA'!K1851</f>
        <v>84564</v>
      </c>
      <c r="H168" s="8">
        <f>'MKT DATA'!L1851</f>
        <v>86253</v>
      </c>
      <c r="I168" s="13">
        <f>'MKT DATA'!M1851</f>
        <v>1</v>
      </c>
      <c r="J168" s="43" t="str">
        <f t="shared" si="6"/>
        <v>syn BTCZ6/BTCG7/BTCX6/BTCV6/BTCH7</v>
      </c>
      <c r="K168" s="8">
        <f>'MKT DATA'!O1851</f>
        <v>0</v>
      </c>
      <c r="L168" s="8">
        <f>'MKT DATA'!P1851</f>
        <v>84564</v>
      </c>
      <c r="M168" s="8">
        <f>'MKT DATA'!Q1851</f>
        <v>0</v>
      </c>
      <c r="N168" s="8">
        <f>'MKT DATA'!R1851</f>
        <v>0</v>
      </c>
      <c r="O168" s="8">
        <f>'MKT DATA'!S1851</f>
        <v>-86253</v>
      </c>
      <c r="P168" s="8">
        <f>'MKT DATA'!T1851</f>
        <v>0</v>
      </c>
      <c r="Q168" s="43" t="str">
        <f t="shared" si="7"/>
        <v>syn BTCZ6/BTCG7/BTCX6/BTCV6/BTCH7</v>
      </c>
      <c r="R168" s="13">
        <f>'MKT DATA'!AB1851</f>
        <v>0</v>
      </c>
    </row>
    <row r="169" spans="5:18" x14ac:dyDescent="0.25">
      <c r="E169" s="43" t="str">
        <f>'MKT DATA'!B1852</f>
        <v>syn BTCZ6/BTCG7/BTCX6/BTCF7/BTCH7</v>
      </c>
      <c r="F169" s="13">
        <f>'MKT DATA'!J1852</f>
        <v>1</v>
      </c>
      <c r="G169" s="8">
        <f>'MKT DATA'!K1852</f>
        <v>84421</v>
      </c>
      <c r="H169" s="8">
        <f>'MKT DATA'!L1852</f>
        <v>86369</v>
      </c>
      <c r="I169" s="13">
        <f>'MKT DATA'!M1852</f>
        <v>1</v>
      </c>
      <c r="J169" s="43" t="str">
        <f t="shared" si="6"/>
        <v>syn BTCZ6/BTCG7/BTCX6/BTCF7/BTCH7</v>
      </c>
      <c r="K169" s="8">
        <f>'MKT DATA'!O1852</f>
        <v>0</v>
      </c>
      <c r="L169" s="8">
        <f>'MKT DATA'!P1852</f>
        <v>84421</v>
      </c>
      <c r="M169" s="8">
        <f>'MKT DATA'!Q1852</f>
        <v>0</v>
      </c>
      <c r="N169" s="8">
        <f>'MKT DATA'!R1852</f>
        <v>0</v>
      </c>
      <c r="O169" s="8">
        <f>'MKT DATA'!S1852</f>
        <v>-86369</v>
      </c>
      <c r="P169" s="8">
        <f>'MKT DATA'!T1852</f>
        <v>0</v>
      </c>
      <c r="Q169" s="43" t="str">
        <f t="shared" si="7"/>
        <v>syn BTCZ6/BTCG7/BTCX6/BTCF7/BTCH7</v>
      </c>
      <c r="R169" s="13">
        <f>'MKT DATA'!AB1852</f>
        <v>0</v>
      </c>
    </row>
    <row r="170" spans="5:18" x14ac:dyDescent="0.25">
      <c r="E170" s="43" t="str">
        <f>'MKT DATA'!B1853</f>
        <v>syn BTCZ6/BTCG7/BTCF7/BTCV6/BTCH7</v>
      </c>
      <c r="F170" s="13">
        <f>'MKT DATA'!J1853</f>
        <v>1</v>
      </c>
      <c r="G170" s="8">
        <f>'MKT DATA'!K1853</f>
        <v>84621</v>
      </c>
      <c r="H170" s="8">
        <f>'MKT DATA'!L1853</f>
        <v>86235</v>
      </c>
      <c r="I170" s="13">
        <f>'MKT DATA'!M1853</f>
        <v>1</v>
      </c>
      <c r="J170" s="43" t="str">
        <f t="shared" si="6"/>
        <v>syn BTCZ6/BTCG7/BTCF7/BTCV6/BTCH7</v>
      </c>
      <c r="K170" s="8">
        <f>'MKT DATA'!O1853</f>
        <v>0</v>
      </c>
      <c r="L170" s="8">
        <f>'MKT DATA'!P1853</f>
        <v>84621</v>
      </c>
      <c r="M170" s="8">
        <f>'MKT DATA'!Q1853</f>
        <v>0</v>
      </c>
      <c r="N170" s="8">
        <f>'MKT DATA'!R1853</f>
        <v>0</v>
      </c>
      <c r="O170" s="8">
        <f>'MKT DATA'!S1853</f>
        <v>-86235</v>
      </c>
      <c r="P170" s="8">
        <f>'MKT DATA'!T1853</f>
        <v>0</v>
      </c>
      <c r="Q170" s="43" t="str">
        <f t="shared" si="7"/>
        <v>syn BTCZ6/BTCG7/BTCF7/BTCV6/BTCH7</v>
      </c>
      <c r="R170" s="13">
        <f>'MKT DATA'!AB1853</f>
        <v>0</v>
      </c>
    </row>
    <row r="171" spans="5:18" x14ac:dyDescent="0.25">
      <c r="E171" s="43" t="str">
        <f>'MKT DATA'!B1854</f>
        <v>syn BTCZ6/BTCG7/BTCF7/BTCX6/BTCH7</v>
      </c>
      <c r="F171" s="13">
        <f>'MKT DATA'!J1854</f>
        <v>1</v>
      </c>
      <c r="G171" s="8">
        <f>'MKT DATA'!K1854</f>
        <v>84626</v>
      </c>
      <c r="H171" s="8">
        <f>'MKT DATA'!L1854</f>
        <v>86220</v>
      </c>
      <c r="I171" s="13">
        <f>'MKT DATA'!M1854</f>
        <v>1</v>
      </c>
      <c r="J171" s="43" t="str">
        <f t="shared" si="6"/>
        <v>syn BTCZ6/BTCG7/BTCF7/BTCX6/BTCH7</v>
      </c>
      <c r="K171" s="8">
        <f>'MKT DATA'!O1854</f>
        <v>0</v>
      </c>
      <c r="L171" s="8">
        <f>'MKT DATA'!P1854</f>
        <v>84626</v>
      </c>
      <c r="M171" s="8">
        <f>'MKT DATA'!Q1854</f>
        <v>0</v>
      </c>
      <c r="N171" s="8">
        <f>'MKT DATA'!R1854</f>
        <v>0</v>
      </c>
      <c r="O171" s="8">
        <f>'MKT DATA'!S1854</f>
        <v>-86220</v>
      </c>
      <c r="P171" s="8">
        <f>'MKT DATA'!T1854</f>
        <v>0</v>
      </c>
      <c r="Q171" s="43" t="str">
        <f t="shared" si="7"/>
        <v>syn BTCZ6/BTCG7/BTCF7/BTCX6/BTCH7</v>
      </c>
      <c r="R171" s="13">
        <f>'MKT DATA'!AB1854</f>
        <v>0</v>
      </c>
    </row>
    <row r="172" spans="5:18" x14ac:dyDescent="0.25">
      <c r="E172" s="43" t="str">
        <f>'MKT DATA'!B1855</f>
        <v>syn BTCF7/BTCV6/BTCX6/BTCZ6/BTCH7</v>
      </c>
      <c r="F172" s="13">
        <f>'MKT DATA'!J1855</f>
        <v>1</v>
      </c>
      <c r="G172" s="8">
        <f>'MKT DATA'!K1855</f>
        <v>85032</v>
      </c>
      <c r="H172" s="8">
        <f>'MKT DATA'!L1855</f>
        <v>85996</v>
      </c>
      <c r="I172" s="13">
        <f>'MKT DATA'!M1855</f>
        <v>1</v>
      </c>
      <c r="J172" s="43" t="str">
        <f t="shared" si="6"/>
        <v>syn BTCF7/BTCV6/BTCX6/BTCZ6/BTCH7</v>
      </c>
      <c r="K172" s="8">
        <f>'MKT DATA'!O1855</f>
        <v>0</v>
      </c>
      <c r="L172" s="8">
        <f>'MKT DATA'!P1855</f>
        <v>85032</v>
      </c>
      <c r="M172" s="8">
        <f>'MKT DATA'!Q1855</f>
        <v>0</v>
      </c>
      <c r="N172" s="8">
        <f>'MKT DATA'!R1855</f>
        <v>0</v>
      </c>
      <c r="O172" s="8">
        <f>'MKT DATA'!S1855</f>
        <v>-85996</v>
      </c>
      <c r="P172" s="8">
        <f>'MKT DATA'!T1855</f>
        <v>0</v>
      </c>
      <c r="Q172" s="43" t="str">
        <f t="shared" si="7"/>
        <v>syn BTCF7/BTCV6/BTCX6/BTCZ6/BTCH7</v>
      </c>
      <c r="R172" s="13">
        <f>'MKT DATA'!AB1855</f>
        <v>0</v>
      </c>
    </row>
    <row r="173" spans="5:18" x14ac:dyDescent="0.25">
      <c r="E173" s="43" t="str">
        <f>'MKT DATA'!B1856</f>
        <v>syn BTCF7/BTCV6/BTCX6/BTCG7/BTCH7</v>
      </c>
      <c r="F173" s="13">
        <f>'MKT DATA'!J1856</f>
        <v>1</v>
      </c>
      <c r="G173" s="8">
        <f>'MKT DATA'!K1856</f>
        <v>84908</v>
      </c>
      <c r="H173" s="8">
        <f>'MKT DATA'!L1856</f>
        <v>85980</v>
      </c>
      <c r="I173" s="13">
        <f>'MKT DATA'!M1856</f>
        <v>1</v>
      </c>
      <c r="J173" s="43" t="str">
        <f t="shared" si="6"/>
        <v>syn BTCF7/BTCV6/BTCX6/BTCG7/BTCH7</v>
      </c>
      <c r="K173" s="8">
        <f>'MKT DATA'!O1856</f>
        <v>0</v>
      </c>
      <c r="L173" s="8">
        <f>'MKT DATA'!P1856</f>
        <v>84908</v>
      </c>
      <c r="M173" s="8">
        <f>'MKT DATA'!Q1856</f>
        <v>0</v>
      </c>
      <c r="N173" s="8">
        <f>'MKT DATA'!R1856</f>
        <v>0</v>
      </c>
      <c r="O173" s="8">
        <f>'MKT DATA'!S1856</f>
        <v>-85980</v>
      </c>
      <c r="P173" s="8">
        <f>'MKT DATA'!T1856</f>
        <v>0</v>
      </c>
      <c r="Q173" s="43" t="str">
        <f t="shared" si="7"/>
        <v>syn BTCF7/BTCV6/BTCX6/BTCG7/BTCH7</v>
      </c>
      <c r="R173" s="13">
        <f>'MKT DATA'!AB1856</f>
        <v>0</v>
      </c>
    </row>
    <row r="174" spans="5:18" x14ac:dyDescent="0.25">
      <c r="E174" s="43" t="str">
        <f>'MKT DATA'!B1857</f>
        <v>syn BTCF7/BTCV6/BTCZ6/BTCX6/BTCH7</v>
      </c>
      <c r="F174" s="13">
        <f>'MKT DATA'!J1857</f>
        <v>1</v>
      </c>
      <c r="G174" s="8">
        <f>'MKT DATA'!K1857</f>
        <v>84821</v>
      </c>
      <c r="H174" s="8">
        <f>'MKT DATA'!L1857</f>
        <v>86012</v>
      </c>
      <c r="I174" s="13">
        <f>'MKT DATA'!M1857</f>
        <v>1</v>
      </c>
      <c r="J174" s="43" t="str">
        <f t="shared" si="6"/>
        <v>syn BTCF7/BTCV6/BTCZ6/BTCX6/BTCH7</v>
      </c>
      <c r="K174" s="8">
        <f>'MKT DATA'!O1857</f>
        <v>0</v>
      </c>
      <c r="L174" s="8">
        <f>'MKT DATA'!P1857</f>
        <v>84821</v>
      </c>
      <c r="M174" s="8">
        <f>'MKT DATA'!Q1857</f>
        <v>0</v>
      </c>
      <c r="N174" s="8">
        <f>'MKT DATA'!R1857</f>
        <v>0</v>
      </c>
      <c r="O174" s="8">
        <f>'MKT DATA'!S1857</f>
        <v>-86012</v>
      </c>
      <c r="P174" s="8">
        <f>'MKT DATA'!T1857</f>
        <v>0</v>
      </c>
      <c r="Q174" s="43" t="str">
        <f t="shared" si="7"/>
        <v>syn BTCF7/BTCV6/BTCZ6/BTCX6/BTCH7</v>
      </c>
      <c r="R174" s="13">
        <f>'MKT DATA'!AB1857</f>
        <v>0</v>
      </c>
    </row>
    <row r="175" spans="5:18" x14ac:dyDescent="0.25">
      <c r="E175" s="43" t="str">
        <f>'MKT DATA'!B1858</f>
        <v>syn BTCF7/BTCV6/BTCZ6/BTCG7/BTCH7</v>
      </c>
      <c r="F175" s="13">
        <f>'MKT DATA'!J1858</f>
        <v>1</v>
      </c>
      <c r="G175" s="8">
        <f>'MKT DATA'!K1858</f>
        <v>84877</v>
      </c>
      <c r="H175" s="8">
        <f>'MKT DATA'!L1858</f>
        <v>86026</v>
      </c>
      <c r="I175" s="13">
        <f>'MKT DATA'!M1858</f>
        <v>1</v>
      </c>
      <c r="J175" s="43" t="str">
        <f t="shared" si="6"/>
        <v>syn BTCF7/BTCV6/BTCZ6/BTCG7/BTCH7</v>
      </c>
      <c r="K175" s="8">
        <f>'MKT DATA'!O1858</f>
        <v>0</v>
      </c>
      <c r="L175" s="8">
        <f>'MKT DATA'!P1858</f>
        <v>84877</v>
      </c>
      <c r="M175" s="8">
        <f>'MKT DATA'!Q1858</f>
        <v>0</v>
      </c>
      <c r="N175" s="8">
        <f>'MKT DATA'!R1858</f>
        <v>0</v>
      </c>
      <c r="O175" s="8">
        <f>'MKT DATA'!S1858</f>
        <v>-86026</v>
      </c>
      <c r="P175" s="8">
        <f>'MKT DATA'!T1858</f>
        <v>0</v>
      </c>
      <c r="Q175" s="43" t="str">
        <f t="shared" si="7"/>
        <v>syn BTCF7/BTCV6/BTCZ6/BTCG7/BTCH7</v>
      </c>
      <c r="R175" s="13">
        <f>'MKT DATA'!AB1858</f>
        <v>0</v>
      </c>
    </row>
    <row r="176" spans="5:18" x14ac:dyDescent="0.25">
      <c r="E176" s="43" t="str">
        <f>'MKT DATA'!B1859</f>
        <v>syn BTCF7/BTCV6/BTCG7/BTCX6/BTCH7</v>
      </c>
      <c r="F176" s="13">
        <f>'MKT DATA'!J1859</f>
        <v>1</v>
      </c>
      <c r="G176" s="8">
        <f>'MKT DATA'!K1859</f>
        <v>84481</v>
      </c>
      <c r="H176" s="8">
        <f>'MKT DATA'!L1859</f>
        <v>86359</v>
      </c>
      <c r="I176" s="13">
        <f>'MKT DATA'!M1859</f>
        <v>1</v>
      </c>
      <c r="J176" s="43" t="str">
        <f t="shared" si="6"/>
        <v>syn BTCF7/BTCV6/BTCG7/BTCX6/BTCH7</v>
      </c>
      <c r="K176" s="8">
        <f>'MKT DATA'!O1859</f>
        <v>0</v>
      </c>
      <c r="L176" s="8">
        <f>'MKT DATA'!P1859</f>
        <v>84481</v>
      </c>
      <c r="M176" s="8">
        <f>'MKT DATA'!Q1859</f>
        <v>0</v>
      </c>
      <c r="N176" s="8">
        <f>'MKT DATA'!R1859</f>
        <v>0</v>
      </c>
      <c r="O176" s="8">
        <f>'MKT DATA'!S1859</f>
        <v>-86359</v>
      </c>
      <c r="P176" s="8">
        <f>'MKT DATA'!T1859</f>
        <v>0</v>
      </c>
      <c r="Q176" s="43" t="str">
        <f t="shared" si="7"/>
        <v>syn BTCF7/BTCV6/BTCG7/BTCX6/BTCH7</v>
      </c>
      <c r="R176" s="13">
        <f>'MKT DATA'!AB1859</f>
        <v>0</v>
      </c>
    </row>
    <row r="177" spans="5:18" x14ac:dyDescent="0.25">
      <c r="E177" s="43" t="str">
        <f>'MKT DATA'!B1860</f>
        <v>syn BTCF7/BTCV6/BTCG7/BTCZ6/BTCH7</v>
      </c>
      <c r="F177" s="13">
        <f>'MKT DATA'!J1860</f>
        <v>1</v>
      </c>
      <c r="G177" s="8">
        <f>'MKT DATA'!K1860</f>
        <v>84646</v>
      </c>
      <c r="H177" s="8">
        <f>'MKT DATA'!L1860</f>
        <v>86374</v>
      </c>
      <c r="I177" s="13">
        <f>'MKT DATA'!M1860</f>
        <v>1</v>
      </c>
      <c r="J177" s="43" t="str">
        <f t="shared" si="6"/>
        <v>syn BTCF7/BTCV6/BTCG7/BTCZ6/BTCH7</v>
      </c>
      <c r="K177" s="8">
        <f>'MKT DATA'!O1860</f>
        <v>0</v>
      </c>
      <c r="L177" s="8">
        <f>'MKT DATA'!P1860</f>
        <v>84646</v>
      </c>
      <c r="M177" s="8">
        <f>'MKT DATA'!Q1860</f>
        <v>0</v>
      </c>
      <c r="N177" s="8">
        <f>'MKT DATA'!R1860</f>
        <v>0</v>
      </c>
      <c r="O177" s="8">
        <f>'MKT DATA'!S1860</f>
        <v>-86374</v>
      </c>
      <c r="P177" s="8">
        <f>'MKT DATA'!T1860</f>
        <v>0</v>
      </c>
      <c r="Q177" s="43" t="str">
        <f t="shared" si="7"/>
        <v>syn BTCF7/BTCV6/BTCG7/BTCZ6/BTCH7</v>
      </c>
      <c r="R177" s="13">
        <f>'MKT DATA'!AB1860</f>
        <v>0</v>
      </c>
    </row>
    <row r="178" spans="5:18" x14ac:dyDescent="0.25">
      <c r="E178" s="43" t="str">
        <f>'MKT DATA'!B1861</f>
        <v>syn BTCF7/BTCX6/BTCV6/BTCZ6/BTCH7</v>
      </c>
      <c r="F178" s="13">
        <f>'MKT DATA'!J1861</f>
        <v>1</v>
      </c>
      <c r="G178" s="8">
        <f>'MKT DATA'!K1861</f>
        <v>85046</v>
      </c>
      <c r="H178" s="8">
        <f>'MKT DATA'!L1861</f>
        <v>85979</v>
      </c>
      <c r="I178" s="13">
        <f>'MKT DATA'!M1861</f>
        <v>1</v>
      </c>
      <c r="J178" s="43" t="str">
        <f t="shared" si="6"/>
        <v>syn BTCF7/BTCX6/BTCV6/BTCZ6/BTCH7</v>
      </c>
      <c r="K178" s="8">
        <f>'MKT DATA'!O1861</f>
        <v>0</v>
      </c>
      <c r="L178" s="8">
        <f>'MKT DATA'!P1861</f>
        <v>85046</v>
      </c>
      <c r="M178" s="8">
        <f>'MKT DATA'!Q1861</f>
        <v>0</v>
      </c>
      <c r="N178" s="8">
        <f>'MKT DATA'!R1861</f>
        <v>0</v>
      </c>
      <c r="O178" s="8">
        <f>'MKT DATA'!S1861</f>
        <v>-85979</v>
      </c>
      <c r="P178" s="8">
        <f>'MKT DATA'!T1861</f>
        <v>0</v>
      </c>
      <c r="Q178" s="43" t="str">
        <f t="shared" si="7"/>
        <v>syn BTCF7/BTCX6/BTCV6/BTCZ6/BTCH7</v>
      </c>
      <c r="R178" s="13">
        <f>'MKT DATA'!AB1861</f>
        <v>0</v>
      </c>
    </row>
    <row r="179" spans="5:18" x14ac:dyDescent="0.25">
      <c r="E179" s="43" t="str">
        <f>'MKT DATA'!B1862</f>
        <v>syn BTCF7/BTCX6/BTCV6/BTCG7/BTCH7</v>
      </c>
      <c r="F179" s="13">
        <f>'MKT DATA'!J1862</f>
        <v>1</v>
      </c>
      <c r="G179" s="8">
        <f>'MKT DATA'!K1862</f>
        <v>84945</v>
      </c>
      <c r="H179" s="8">
        <f>'MKT DATA'!L1862</f>
        <v>85947</v>
      </c>
      <c r="I179" s="13">
        <f>'MKT DATA'!M1862</f>
        <v>1</v>
      </c>
      <c r="J179" s="43" t="str">
        <f t="shared" si="6"/>
        <v>syn BTCF7/BTCX6/BTCV6/BTCG7/BTCH7</v>
      </c>
      <c r="K179" s="8">
        <f>'MKT DATA'!O1862</f>
        <v>0</v>
      </c>
      <c r="L179" s="8">
        <f>'MKT DATA'!P1862</f>
        <v>84945</v>
      </c>
      <c r="M179" s="8">
        <f>'MKT DATA'!Q1862</f>
        <v>0</v>
      </c>
      <c r="N179" s="8">
        <f>'MKT DATA'!R1862</f>
        <v>0</v>
      </c>
      <c r="O179" s="8">
        <f>'MKT DATA'!S1862</f>
        <v>-85947</v>
      </c>
      <c r="P179" s="8">
        <f>'MKT DATA'!T1862</f>
        <v>0</v>
      </c>
      <c r="Q179" s="43" t="str">
        <f t="shared" si="7"/>
        <v>syn BTCF7/BTCX6/BTCV6/BTCG7/BTCH7</v>
      </c>
      <c r="R179" s="13">
        <f>'MKT DATA'!AB1862</f>
        <v>0</v>
      </c>
    </row>
    <row r="180" spans="5:18" x14ac:dyDescent="0.25">
      <c r="E180" s="43" t="str">
        <f>'MKT DATA'!B1863</f>
        <v>syn BTCF7/BTCX6/BTCZ6/BTCV6/BTCH7</v>
      </c>
      <c r="F180" s="13">
        <f>'MKT DATA'!J1863</f>
        <v>1</v>
      </c>
      <c r="G180" s="8">
        <f>'MKT DATA'!K1863</f>
        <v>84858</v>
      </c>
      <c r="H180" s="8">
        <f>'MKT DATA'!L1863</f>
        <v>85979</v>
      </c>
      <c r="I180" s="13">
        <f>'MKT DATA'!M1863</f>
        <v>1</v>
      </c>
      <c r="J180" s="43" t="str">
        <f t="shared" si="6"/>
        <v>syn BTCF7/BTCX6/BTCZ6/BTCV6/BTCH7</v>
      </c>
      <c r="K180" s="8">
        <f>'MKT DATA'!O1863</f>
        <v>0</v>
      </c>
      <c r="L180" s="8">
        <f>'MKT DATA'!P1863</f>
        <v>84858</v>
      </c>
      <c r="M180" s="8">
        <f>'MKT DATA'!Q1863</f>
        <v>0</v>
      </c>
      <c r="N180" s="8">
        <f>'MKT DATA'!R1863</f>
        <v>0</v>
      </c>
      <c r="O180" s="8">
        <f>'MKT DATA'!S1863</f>
        <v>-85979</v>
      </c>
      <c r="P180" s="8">
        <f>'MKT DATA'!T1863</f>
        <v>0</v>
      </c>
      <c r="Q180" s="43" t="str">
        <f t="shared" si="7"/>
        <v>syn BTCF7/BTCX6/BTCZ6/BTCV6/BTCH7</v>
      </c>
      <c r="R180" s="13">
        <f>'MKT DATA'!AB1863</f>
        <v>0</v>
      </c>
    </row>
    <row r="181" spans="5:18" x14ac:dyDescent="0.25">
      <c r="E181" s="43" t="str">
        <f>'MKT DATA'!B1864</f>
        <v>syn BTCF7/BTCX6/BTCZ6/BTCG7/BTCH7</v>
      </c>
      <c r="F181" s="13">
        <f>'MKT DATA'!J1864</f>
        <v>1</v>
      </c>
      <c r="G181" s="8">
        <f>'MKT DATA'!K1864</f>
        <v>84905</v>
      </c>
      <c r="H181" s="8">
        <f>'MKT DATA'!L1864</f>
        <v>85995</v>
      </c>
      <c r="I181" s="13">
        <f>'MKT DATA'!M1864</f>
        <v>1</v>
      </c>
      <c r="J181" s="43" t="str">
        <f t="shared" si="6"/>
        <v>syn BTCF7/BTCX6/BTCZ6/BTCG7/BTCH7</v>
      </c>
      <c r="K181" s="8">
        <f>'MKT DATA'!O1864</f>
        <v>0</v>
      </c>
      <c r="L181" s="8">
        <f>'MKT DATA'!P1864</f>
        <v>84905</v>
      </c>
      <c r="M181" s="8">
        <f>'MKT DATA'!Q1864</f>
        <v>0</v>
      </c>
      <c r="N181" s="8">
        <f>'MKT DATA'!R1864</f>
        <v>0</v>
      </c>
      <c r="O181" s="8">
        <f>'MKT DATA'!S1864</f>
        <v>-85995</v>
      </c>
      <c r="P181" s="8">
        <f>'MKT DATA'!T1864</f>
        <v>0</v>
      </c>
      <c r="Q181" s="43" t="str">
        <f t="shared" si="7"/>
        <v>syn BTCF7/BTCX6/BTCZ6/BTCG7/BTCH7</v>
      </c>
      <c r="R181" s="13">
        <f>'MKT DATA'!AB1864</f>
        <v>0</v>
      </c>
    </row>
    <row r="182" spans="5:18" x14ac:dyDescent="0.25">
      <c r="E182" s="43" t="str">
        <f>'MKT DATA'!B1865</f>
        <v>syn BTCF7/BTCX6/BTCG7/BTCV6/BTCH7</v>
      </c>
      <c r="F182" s="13">
        <f>'MKT DATA'!J1865</f>
        <v>1</v>
      </c>
      <c r="G182" s="8">
        <f>'MKT DATA'!K1865</f>
        <v>84511</v>
      </c>
      <c r="H182" s="8">
        <f>'MKT DATA'!L1865</f>
        <v>86319</v>
      </c>
      <c r="I182" s="13">
        <f>'MKT DATA'!M1865</f>
        <v>1</v>
      </c>
      <c r="J182" s="43" t="str">
        <f t="shared" si="6"/>
        <v>syn BTCF7/BTCX6/BTCG7/BTCV6/BTCH7</v>
      </c>
      <c r="K182" s="8">
        <f>'MKT DATA'!O1865</f>
        <v>0</v>
      </c>
      <c r="L182" s="8">
        <f>'MKT DATA'!P1865</f>
        <v>84511</v>
      </c>
      <c r="M182" s="8">
        <f>'MKT DATA'!Q1865</f>
        <v>0</v>
      </c>
      <c r="N182" s="8">
        <f>'MKT DATA'!R1865</f>
        <v>0</v>
      </c>
      <c r="O182" s="8">
        <f>'MKT DATA'!S1865</f>
        <v>-86319</v>
      </c>
      <c r="P182" s="8">
        <f>'MKT DATA'!T1865</f>
        <v>0</v>
      </c>
      <c r="Q182" s="43" t="str">
        <f t="shared" si="7"/>
        <v>syn BTCF7/BTCX6/BTCG7/BTCV6/BTCH7</v>
      </c>
      <c r="R182" s="13">
        <f>'MKT DATA'!AB1865</f>
        <v>0</v>
      </c>
    </row>
    <row r="183" spans="5:18" x14ac:dyDescent="0.25">
      <c r="E183" s="43" t="str">
        <f>'MKT DATA'!B1866</f>
        <v>syn BTCF7/BTCX6/BTCG7/BTCZ6/BTCH7</v>
      </c>
      <c r="F183" s="13">
        <f>'MKT DATA'!J1866</f>
        <v>1</v>
      </c>
      <c r="G183" s="8">
        <f>'MKT DATA'!K1866</f>
        <v>84651</v>
      </c>
      <c r="H183" s="8">
        <f>'MKT DATA'!L1866</f>
        <v>86359</v>
      </c>
      <c r="I183" s="13">
        <f>'MKT DATA'!M1866</f>
        <v>1</v>
      </c>
      <c r="J183" s="43" t="str">
        <f t="shared" si="6"/>
        <v>syn BTCF7/BTCX6/BTCG7/BTCZ6/BTCH7</v>
      </c>
      <c r="K183" s="8">
        <f>'MKT DATA'!O1866</f>
        <v>0</v>
      </c>
      <c r="L183" s="8">
        <f>'MKT DATA'!P1866</f>
        <v>84651</v>
      </c>
      <c r="M183" s="8">
        <f>'MKT DATA'!Q1866</f>
        <v>0</v>
      </c>
      <c r="N183" s="8">
        <f>'MKT DATA'!R1866</f>
        <v>0</v>
      </c>
      <c r="O183" s="8">
        <f>'MKT DATA'!S1866</f>
        <v>-86359</v>
      </c>
      <c r="P183" s="8">
        <f>'MKT DATA'!T1866</f>
        <v>0</v>
      </c>
      <c r="Q183" s="43" t="str">
        <f t="shared" si="7"/>
        <v>syn BTCF7/BTCX6/BTCG7/BTCZ6/BTCH7</v>
      </c>
      <c r="R183" s="13">
        <f>'MKT DATA'!AB1866</f>
        <v>0</v>
      </c>
    </row>
    <row r="184" spans="5:18" x14ac:dyDescent="0.25">
      <c r="E184" s="43" t="str">
        <f>'MKT DATA'!B1867</f>
        <v>syn BTCF7/BTCZ6/BTCV6/BTCX6/BTCH7</v>
      </c>
      <c r="F184" s="13">
        <f>'MKT DATA'!J1867</f>
        <v>1</v>
      </c>
      <c r="G184" s="8">
        <f>'MKT DATA'!K1867</f>
        <v>84871</v>
      </c>
      <c r="H184" s="8">
        <f>'MKT DATA'!L1867</f>
        <v>85928</v>
      </c>
      <c r="I184" s="13">
        <f>'MKT DATA'!M1867</f>
        <v>1</v>
      </c>
      <c r="J184" s="43" t="str">
        <f t="shared" si="6"/>
        <v>syn BTCF7/BTCZ6/BTCV6/BTCX6/BTCH7</v>
      </c>
      <c r="K184" s="8">
        <f>'MKT DATA'!O1867</f>
        <v>0</v>
      </c>
      <c r="L184" s="8">
        <f>'MKT DATA'!P1867</f>
        <v>84871</v>
      </c>
      <c r="M184" s="8">
        <f>'MKT DATA'!Q1867</f>
        <v>0</v>
      </c>
      <c r="N184" s="8">
        <f>'MKT DATA'!R1867</f>
        <v>0</v>
      </c>
      <c r="O184" s="8">
        <f>'MKT DATA'!S1867</f>
        <v>-85928</v>
      </c>
      <c r="P184" s="8">
        <f>'MKT DATA'!T1867</f>
        <v>0</v>
      </c>
      <c r="Q184" s="43" t="str">
        <f t="shared" si="7"/>
        <v>syn BTCF7/BTCZ6/BTCV6/BTCX6/BTCH7</v>
      </c>
      <c r="R184" s="13">
        <f>'MKT DATA'!AB1867</f>
        <v>0</v>
      </c>
    </row>
    <row r="185" spans="5:18" x14ac:dyDescent="0.25">
      <c r="E185" s="43" t="str">
        <f>'MKT DATA'!B1868</f>
        <v>syn BTCF7/BTCZ6/BTCV6/BTCG7/BTCH7</v>
      </c>
      <c r="F185" s="13">
        <f>'MKT DATA'!J1868</f>
        <v>1</v>
      </c>
      <c r="G185" s="8">
        <f>'MKT DATA'!K1868</f>
        <v>84949</v>
      </c>
      <c r="H185" s="8">
        <f>'MKT DATA'!L1868</f>
        <v>85912</v>
      </c>
      <c r="I185" s="13">
        <f>'MKT DATA'!M1868</f>
        <v>1</v>
      </c>
      <c r="J185" s="43" t="str">
        <f t="shared" si="6"/>
        <v>syn BTCF7/BTCZ6/BTCV6/BTCG7/BTCH7</v>
      </c>
      <c r="K185" s="8">
        <f>'MKT DATA'!O1868</f>
        <v>0</v>
      </c>
      <c r="L185" s="8">
        <f>'MKT DATA'!P1868</f>
        <v>84949</v>
      </c>
      <c r="M185" s="8">
        <f>'MKT DATA'!Q1868</f>
        <v>0</v>
      </c>
      <c r="N185" s="8">
        <f>'MKT DATA'!R1868</f>
        <v>0</v>
      </c>
      <c r="O185" s="8">
        <f>'MKT DATA'!S1868</f>
        <v>-85912</v>
      </c>
      <c r="P185" s="8">
        <f>'MKT DATA'!T1868</f>
        <v>0</v>
      </c>
      <c r="Q185" s="43" t="str">
        <f t="shared" si="7"/>
        <v>syn BTCF7/BTCZ6/BTCV6/BTCG7/BTCH7</v>
      </c>
      <c r="R185" s="13">
        <f>'MKT DATA'!AB1868</f>
        <v>0</v>
      </c>
    </row>
    <row r="186" spans="5:18" x14ac:dyDescent="0.25">
      <c r="E186" s="43" t="str">
        <f>'MKT DATA'!B1869</f>
        <v>syn BTCF7/BTCZ6/BTCX6/BTCV6/BTCH7</v>
      </c>
      <c r="F186" s="13">
        <f>'MKT DATA'!J1869</f>
        <v>1</v>
      </c>
      <c r="G186" s="8">
        <f>'MKT DATA'!K1869</f>
        <v>84894</v>
      </c>
      <c r="H186" s="8">
        <f>'MKT DATA'!L1869</f>
        <v>85912</v>
      </c>
      <c r="I186" s="13">
        <f>'MKT DATA'!M1869</f>
        <v>1</v>
      </c>
      <c r="J186" s="43" t="str">
        <f t="shared" si="6"/>
        <v>syn BTCF7/BTCZ6/BTCX6/BTCV6/BTCH7</v>
      </c>
      <c r="K186" s="8">
        <f>'MKT DATA'!O1869</f>
        <v>0</v>
      </c>
      <c r="L186" s="8">
        <f>'MKT DATA'!P1869</f>
        <v>84894</v>
      </c>
      <c r="M186" s="8">
        <f>'MKT DATA'!Q1869</f>
        <v>0</v>
      </c>
      <c r="N186" s="8">
        <f>'MKT DATA'!R1869</f>
        <v>0</v>
      </c>
      <c r="O186" s="8">
        <f>'MKT DATA'!S1869</f>
        <v>-85912</v>
      </c>
      <c r="P186" s="8">
        <f>'MKT DATA'!T1869</f>
        <v>0</v>
      </c>
      <c r="Q186" s="43" t="str">
        <f t="shared" si="7"/>
        <v>syn BTCF7/BTCZ6/BTCX6/BTCV6/BTCH7</v>
      </c>
      <c r="R186" s="13">
        <f>'MKT DATA'!AB1869</f>
        <v>0</v>
      </c>
    </row>
    <row r="187" spans="5:18" x14ac:dyDescent="0.25">
      <c r="E187" s="43" t="str">
        <f>'MKT DATA'!B1870</f>
        <v>syn BTCF7/BTCZ6/BTCX6/BTCG7/BTCH7</v>
      </c>
      <c r="F187" s="13">
        <f>'MKT DATA'!J1870</f>
        <v>1</v>
      </c>
      <c r="G187" s="8">
        <f>'MKT DATA'!K1870</f>
        <v>84940</v>
      </c>
      <c r="H187" s="8">
        <f>'MKT DATA'!L1870</f>
        <v>85914</v>
      </c>
      <c r="I187" s="13">
        <f>'MKT DATA'!M1870</f>
        <v>1</v>
      </c>
      <c r="J187" s="43" t="str">
        <f t="shared" si="6"/>
        <v>syn BTCF7/BTCZ6/BTCX6/BTCG7/BTCH7</v>
      </c>
      <c r="K187" s="8">
        <f>'MKT DATA'!O1870</f>
        <v>0</v>
      </c>
      <c r="L187" s="8">
        <f>'MKT DATA'!P1870</f>
        <v>84940</v>
      </c>
      <c r="M187" s="8">
        <f>'MKT DATA'!Q1870</f>
        <v>0</v>
      </c>
      <c r="N187" s="8">
        <f>'MKT DATA'!R1870</f>
        <v>0</v>
      </c>
      <c r="O187" s="8">
        <f>'MKT DATA'!S1870</f>
        <v>-85914</v>
      </c>
      <c r="P187" s="8">
        <f>'MKT DATA'!T1870</f>
        <v>0</v>
      </c>
      <c r="Q187" s="43" t="str">
        <f t="shared" si="7"/>
        <v>syn BTCF7/BTCZ6/BTCX6/BTCG7/BTCH7</v>
      </c>
      <c r="R187" s="13">
        <f>'MKT DATA'!AB1870</f>
        <v>0</v>
      </c>
    </row>
    <row r="188" spans="5:18" x14ac:dyDescent="0.25">
      <c r="E188" s="43" t="str">
        <f>'MKT DATA'!B1871</f>
        <v>syn BTCF7/BTCZ6/BTCG7/BTCV6/BTCH7</v>
      </c>
      <c r="F188" s="13">
        <f>'MKT DATA'!J1871</f>
        <v>1</v>
      </c>
      <c r="G188" s="8">
        <f>'MKT DATA'!K1871</f>
        <v>84516</v>
      </c>
      <c r="H188" s="8">
        <f>'MKT DATA'!L1871</f>
        <v>86298</v>
      </c>
      <c r="I188" s="13">
        <f>'MKT DATA'!M1871</f>
        <v>1</v>
      </c>
      <c r="J188" s="43" t="str">
        <f t="shared" si="6"/>
        <v>syn BTCF7/BTCZ6/BTCG7/BTCV6/BTCH7</v>
      </c>
      <c r="K188" s="8">
        <f>'MKT DATA'!O1871</f>
        <v>0</v>
      </c>
      <c r="L188" s="8">
        <f>'MKT DATA'!P1871</f>
        <v>84516</v>
      </c>
      <c r="M188" s="8">
        <f>'MKT DATA'!Q1871</f>
        <v>0</v>
      </c>
      <c r="N188" s="8">
        <f>'MKT DATA'!R1871</f>
        <v>0</v>
      </c>
      <c r="O188" s="8">
        <f>'MKT DATA'!S1871</f>
        <v>-86298</v>
      </c>
      <c r="P188" s="8">
        <f>'MKT DATA'!T1871</f>
        <v>0</v>
      </c>
      <c r="Q188" s="43" t="str">
        <f t="shared" si="7"/>
        <v>syn BTCF7/BTCZ6/BTCG7/BTCV6/BTCH7</v>
      </c>
      <c r="R188" s="13">
        <f>'MKT DATA'!AB1871</f>
        <v>0</v>
      </c>
    </row>
    <row r="189" spans="5:18" x14ac:dyDescent="0.25">
      <c r="E189" s="43" t="str">
        <f>'MKT DATA'!B1872</f>
        <v>syn BTCF7/BTCZ6/BTCG7/BTCX6/BTCH7</v>
      </c>
      <c r="F189" s="13">
        <f>'MKT DATA'!J1872</f>
        <v>1</v>
      </c>
      <c r="G189" s="8">
        <f>'MKT DATA'!K1872</f>
        <v>84491</v>
      </c>
      <c r="H189" s="8">
        <f>'MKT DATA'!L1872</f>
        <v>86323</v>
      </c>
      <c r="I189" s="13">
        <f>'MKT DATA'!M1872</f>
        <v>1</v>
      </c>
      <c r="J189" s="43" t="str">
        <f t="shared" si="6"/>
        <v>syn BTCF7/BTCZ6/BTCG7/BTCX6/BTCH7</v>
      </c>
      <c r="K189" s="8">
        <f>'MKT DATA'!O1872</f>
        <v>0</v>
      </c>
      <c r="L189" s="8">
        <f>'MKT DATA'!P1872</f>
        <v>84491</v>
      </c>
      <c r="M189" s="8">
        <f>'MKT DATA'!Q1872</f>
        <v>0</v>
      </c>
      <c r="N189" s="8">
        <f>'MKT DATA'!R1872</f>
        <v>0</v>
      </c>
      <c r="O189" s="8">
        <f>'MKT DATA'!S1872</f>
        <v>-86323</v>
      </c>
      <c r="P189" s="8">
        <f>'MKT DATA'!T1872</f>
        <v>0</v>
      </c>
      <c r="Q189" s="43" t="str">
        <f t="shared" si="7"/>
        <v>syn BTCF7/BTCZ6/BTCG7/BTCX6/BTCH7</v>
      </c>
      <c r="R189" s="13">
        <f>'MKT DATA'!AB1872</f>
        <v>0</v>
      </c>
    </row>
    <row r="190" spans="5:18" x14ac:dyDescent="0.25">
      <c r="E190" s="43" t="str">
        <f>'MKT DATA'!B1873</f>
        <v>syn BTCF7/BTCG7/BTCV6/BTCX6/BTCH7</v>
      </c>
      <c r="F190" s="13">
        <f>'MKT DATA'!J1873</f>
        <v>1</v>
      </c>
      <c r="G190" s="8">
        <f>'MKT DATA'!K1873</f>
        <v>84641</v>
      </c>
      <c r="H190" s="8">
        <f>'MKT DATA'!L1873</f>
        <v>86146</v>
      </c>
      <c r="I190" s="13">
        <f>'MKT DATA'!M1873</f>
        <v>1</v>
      </c>
      <c r="J190" s="43" t="str">
        <f t="shared" si="6"/>
        <v>syn BTCF7/BTCG7/BTCV6/BTCX6/BTCH7</v>
      </c>
      <c r="K190" s="8">
        <f>'MKT DATA'!O1873</f>
        <v>0</v>
      </c>
      <c r="L190" s="8">
        <f>'MKT DATA'!P1873</f>
        <v>84641</v>
      </c>
      <c r="M190" s="8">
        <f>'MKT DATA'!Q1873</f>
        <v>0</v>
      </c>
      <c r="N190" s="8">
        <f>'MKT DATA'!R1873</f>
        <v>0</v>
      </c>
      <c r="O190" s="8">
        <f>'MKT DATA'!S1873</f>
        <v>-86146</v>
      </c>
      <c r="P190" s="8">
        <f>'MKT DATA'!T1873</f>
        <v>0</v>
      </c>
      <c r="Q190" s="43" t="str">
        <f t="shared" si="7"/>
        <v>syn BTCF7/BTCG7/BTCV6/BTCX6/BTCH7</v>
      </c>
      <c r="R190" s="13">
        <f>'MKT DATA'!AB1873</f>
        <v>0</v>
      </c>
    </row>
    <row r="191" spans="5:18" x14ac:dyDescent="0.25">
      <c r="E191" s="43" t="str">
        <f>'MKT DATA'!B1874</f>
        <v>syn BTCF7/BTCG7/BTCV6/BTCZ6/BTCH7</v>
      </c>
      <c r="F191" s="13">
        <f>'MKT DATA'!J1874</f>
        <v>1</v>
      </c>
      <c r="G191" s="8">
        <f>'MKT DATA'!K1874</f>
        <v>84820</v>
      </c>
      <c r="H191" s="8">
        <f>'MKT DATA'!L1874</f>
        <v>86162</v>
      </c>
      <c r="I191" s="13">
        <f>'MKT DATA'!M1874</f>
        <v>1</v>
      </c>
      <c r="J191" s="43" t="str">
        <f t="shared" si="6"/>
        <v>syn BTCF7/BTCG7/BTCV6/BTCZ6/BTCH7</v>
      </c>
      <c r="K191" s="8">
        <f>'MKT DATA'!O1874</f>
        <v>0</v>
      </c>
      <c r="L191" s="8">
        <f>'MKT DATA'!P1874</f>
        <v>84820</v>
      </c>
      <c r="M191" s="8">
        <f>'MKT DATA'!Q1874</f>
        <v>0</v>
      </c>
      <c r="N191" s="8">
        <f>'MKT DATA'!R1874</f>
        <v>0</v>
      </c>
      <c r="O191" s="8">
        <f>'MKT DATA'!S1874</f>
        <v>-86162</v>
      </c>
      <c r="P191" s="8">
        <f>'MKT DATA'!T1874</f>
        <v>0</v>
      </c>
      <c r="Q191" s="43" t="str">
        <f t="shared" si="7"/>
        <v>syn BTCF7/BTCG7/BTCV6/BTCZ6/BTCH7</v>
      </c>
      <c r="R191" s="13">
        <f>'MKT DATA'!AB1874</f>
        <v>0</v>
      </c>
    </row>
    <row r="192" spans="5:18" x14ac:dyDescent="0.25">
      <c r="E192" s="43" t="str">
        <f>'MKT DATA'!B1875</f>
        <v>syn BTCF7/BTCG7/BTCX6/BTCV6/BTCH7</v>
      </c>
      <c r="F192" s="13">
        <f>'MKT DATA'!J1875</f>
        <v>1</v>
      </c>
      <c r="G192" s="8">
        <f>'MKT DATA'!K1875</f>
        <v>84648</v>
      </c>
      <c r="H192" s="8">
        <f>'MKT DATA'!L1875</f>
        <v>86153</v>
      </c>
      <c r="I192" s="13">
        <f>'MKT DATA'!M1875</f>
        <v>1</v>
      </c>
      <c r="J192" s="43" t="str">
        <f t="shared" si="6"/>
        <v>syn BTCF7/BTCG7/BTCX6/BTCV6/BTCH7</v>
      </c>
      <c r="K192" s="8">
        <f>'MKT DATA'!O1875</f>
        <v>0</v>
      </c>
      <c r="L192" s="8">
        <f>'MKT DATA'!P1875</f>
        <v>84648</v>
      </c>
      <c r="M192" s="8">
        <f>'MKT DATA'!Q1875</f>
        <v>0</v>
      </c>
      <c r="N192" s="8">
        <f>'MKT DATA'!R1875</f>
        <v>0</v>
      </c>
      <c r="O192" s="8">
        <f>'MKT DATA'!S1875</f>
        <v>-86153</v>
      </c>
      <c r="P192" s="8">
        <f>'MKT DATA'!T1875</f>
        <v>0</v>
      </c>
      <c r="Q192" s="43" t="str">
        <f t="shared" si="7"/>
        <v>syn BTCF7/BTCG7/BTCX6/BTCV6/BTCH7</v>
      </c>
      <c r="R192" s="13">
        <f>'MKT DATA'!AB1875</f>
        <v>0</v>
      </c>
    </row>
    <row r="193" spans="5:18" x14ac:dyDescent="0.25">
      <c r="E193" s="43" t="str">
        <f>'MKT DATA'!B1876</f>
        <v>syn BTCF7/BTCG7/BTCX6/BTCZ6/BTCH7</v>
      </c>
      <c r="F193" s="13">
        <f>'MKT DATA'!J1876</f>
        <v>1</v>
      </c>
      <c r="G193" s="8">
        <f>'MKT DATA'!K1876</f>
        <v>84818</v>
      </c>
      <c r="H193" s="8">
        <f>'MKT DATA'!L1876</f>
        <v>86171</v>
      </c>
      <c r="I193" s="13">
        <f>'MKT DATA'!M1876</f>
        <v>1</v>
      </c>
      <c r="J193" s="43" t="str">
        <f t="shared" si="6"/>
        <v>syn BTCF7/BTCG7/BTCX6/BTCZ6/BTCH7</v>
      </c>
      <c r="K193" s="8">
        <f>'MKT DATA'!O1876</f>
        <v>0</v>
      </c>
      <c r="L193" s="8">
        <f>'MKT DATA'!P1876</f>
        <v>84818</v>
      </c>
      <c r="M193" s="8">
        <f>'MKT DATA'!Q1876</f>
        <v>0</v>
      </c>
      <c r="N193" s="8">
        <f>'MKT DATA'!R1876</f>
        <v>0</v>
      </c>
      <c r="O193" s="8">
        <f>'MKT DATA'!S1876</f>
        <v>-86171</v>
      </c>
      <c r="P193" s="8">
        <f>'MKT DATA'!T1876</f>
        <v>0</v>
      </c>
      <c r="Q193" s="43" t="str">
        <f t="shared" si="7"/>
        <v>syn BTCF7/BTCG7/BTCX6/BTCZ6/BTCH7</v>
      </c>
      <c r="R193" s="13">
        <f>'MKT DATA'!AB1876</f>
        <v>0</v>
      </c>
    </row>
    <row r="194" spans="5:18" x14ac:dyDescent="0.25">
      <c r="E194" s="43" t="str">
        <f>'MKT DATA'!B1877</f>
        <v>syn BTCF7/BTCG7/BTCZ6/BTCV6/BTCH7</v>
      </c>
      <c r="F194" s="13">
        <f>'MKT DATA'!J1877</f>
        <v>1</v>
      </c>
      <c r="G194" s="8">
        <f>'MKT DATA'!K1877</f>
        <v>84602</v>
      </c>
      <c r="H194" s="8">
        <f>'MKT DATA'!L1877</f>
        <v>86184</v>
      </c>
      <c r="I194" s="13">
        <f>'MKT DATA'!M1877</f>
        <v>1</v>
      </c>
      <c r="J194" s="43" t="str">
        <f t="shared" si="6"/>
        <v>syn BTCF7/BTCG7/BTCZ6/BTCV6/BTCH7</v>
      </c>
      <c r="K194" s="8">
        <f>'MKT DATA'!O1877</f>
        <v>0</v>
      </c>
      <c r="L194" s="8">
        <f>'MKT DATA'!P1877</f>
        <v>84602</v>
      </c>
      <c r="M194" s="8">
        <f>'MKT DATA'!Q1877</f>
        <v>0</v>
      </c>
      <c r="N194" s="8">
        <f>'MKT DATA'!R1877</f>
        <v>0</v>
      </c>
      <c r="O194" s="8">
        <f>'MKT DATA'!S1877</f>
        <v>-86184</v>
      </c>
      <c r="P194" s="8">
        <f>'MKT DATA'!T1877</f>
        <v>0</v>
      </c>
      <c r="Q194" s="43" t="str">
        <f t="shared" si="7"/>
        <v>syn BTCF7/BTCG7/BTCZ6/BTCV6/BTCH7</v>
      </c>
      <c r="R194" s="13">
        <f>'MKT DATA'!AB1877</f>
        <v>0</v>
      </c>
    </row>
    <row r="195" spans="5:18" x14ac:dyDescent="0.25">
      <c r="E195" s="43" t="str">
        <f>'MKT DATA'!B1878</f>
        <v>syn BTCF7/BTCG7/BTCZ6/BTCX6/BTCH7</v>
      </c>
      <c r="F195" s="13">
        <f>'MKT DATA'!J1878</f>
        <v>1</v>
      </c>
      <c r="G195" s="8">
        <f>'MKT DATA'!K1878</f>
        <v>84593</v>
      </c>
      <c r="H195" s="8">
        <f>'MKT DATA'!L1878</f>
        <v>86186</v>
      </c>
      <c r="I195" s="13">
        <f>'MKT DATA'!M1878</f>
        <v>1</v>
      </c>
      <c r="J195" s="43" t="str">
        <f t="shared" si="6"/>
        <v>syn BTCF7/BTCG7/BTCZ6/BTCX6/BTCH7</v>
      </c>
      <c r="K195" s="8">
        <f>'MKT DATA'!O1878</f>
        <v>0</v>
      </c>
      <c r="L195" s="8">
        <f>'MKT DATA'!P1878</f>
        <v>84593</v>
      </c>
      <c r="M195" s="8">
        <f>'MKT DATA'!Q1878</f>
        <v>0</v>
      </c>
      <c r="N195" s="8">
        <f>'MKT DATA'!R1878</f>
        <v>0</v>
      </c>
      <c r="O195" s="8">
        <f>'MKT DATA'!S1878</f>
        <v>-86186</v>
      </c>
      <c r="P195" s="8">
        <f>'MKT DATA'!T1878</f>
        <v>0</v>
      </c>
      <c r="Q195" s="43" t="str">
        <f t="shared" si="7"/>
        <v>syn BTCF7/BTCG7/BTCZ6/BTCX6/BTCH7</v>
      </c>
      <c r="R195" s="13">
        <f>'MKT DATA'!AB1878</f>
        <v>0</v>
      </c>
    </row>
    <row r="196" spans="5:18" x14ac:dyDescent="0.25">
      <c r="E196" s="43" t="str">
        <f>'MKT DATA'!B1879</f>
        <v>syn BTCG7/BTCV6/BTCX6/BTCZ6/BTCH7</v>
      </c>
      <c r="F196" s="13">
        <f>'MKT DATA'!J1879</f>
        <v>1</v>
      </c>
      <c r="G196" s="8">
        <f>'MKT DATA'!K1879</f>
        <v>84841</v>
      </c>
      <c r="H196" s="8">
        <f>'MKT DATA'!L1879</f>
        <v>86157</v>
      </c>
      <c r="I196" s="13">
        <f>'MKT DATA'!M1879</f>
        <v>1</v>
      </c>
      <c r="J196" s="43" t="str">
        <f t="shared" si="6"/>
        <v>syn BTCG7/BTCV6/BTCX6/BTCZ6/BTCH7</v>
      </c>
      <c r="K196" s="8">
        <f>'MKT DATA'!O1879</f>
        <v>0</v>
      </c>
      <c r="L196" s="8">
        <f>'MKT DATA'!P1879</f>
        <v>84841</v>
      </c>
      <c r="M196" s="8">
        <f>'MKT DATA'!Q1879</f>
        <v>0</v>
      </c>
      <c r="N196" s="8">
        <f>'MKT DATA'!R1879</f>
        <v>0</v>
      </c>
      <c r="O196" s="8">
        <f>'MKT DATA'!S1879</f>
        <v>-86157</v>
      </c>
      <c r="P196" s="8">
        <f>'MKT DATA'!T1879</f>
        <v>0</v>
      </c>
      <c r="Q196" s="43" t="str">
        <f t="shared" si="7"/>
        <v>syn BTCG7/BTCV6/BTCX6/BTCZ6/BTCH7</v>
      </c>
      <c r="R196" s="13">
        <f>'MKT DATA'!AB1879</f>
        <v>0</v>
      </c>
    </row>
    <row r="197" spans="5:18" x14ac:dyDescent="0.25">
      <c r="E197" s="43" t="str">
        <f>'MKT DATA'!B1880</f>
        <v>syn BTCG7/BTCV6/BTCX6/BTCF7/BTCH7</v>
      </c>
      <c r="F197" s="13">
        <f>'MKT DATA'!J1880</f>
        <v>1</v>
      </c>
      <c r="G197" s="8">
        <f>'MKT DATA'!K1880</f>
        <v>84528</v>
      </c>
      <c r="H197" s="8">
        <f>'MKT DATA'!L1880</f>
        <v>86255</v>
      </c>
      <c r="I197" s="13">
        <f>'MKT DATA'!M1880</f>
        <v>1</v>
      </c>
      <c r="J197" s="43" t="str">
        <f t="shared" si="6"/>
        <v>syn BTCG7/BTCV6/BTCX6/BTCF7/BTCH7</v>
      </c>
      <c r="K197" s="8">
        <f>'MKT DATA'!O1880</f>
        <v>0</v>
      </c>
      <c r="L197" s="8">
        <f>'MKT DATA'!P1880</f>
        <v>84528</v>
      </c>
      <c r="M197" s="8">
        <f>'MKT DATA'!Q1880</f>
        <v>0</v>
      </c>
      <c r="N197" s="8">
        <f>'MKT DATA'!R1880</f>
        <v>0</v>
      </c>
      <c r="O197" s="8">
        <f>'MKT DATA'!S1880</f>
        <v>-86255</v>
      </c>
      <c r="P197" s="8">
        <f>'MKT DATA'!T1880</f>
        <v>0</v>
      </c>
      <c r="Q197" s="43" t="str">
        <f t="shared" si="7"/>
        <v>syn BTCG7/BTCV6/BTCX6/BTCF7/BTCH7</v>
      </c>
      <c r="R197" s="13">
        <f>'MKT DATA'!AB1880</f>
        <v>0</v>
      </c>
    </row>
    <row r="198" spans="5:18" x14ac:dyDescent="0.25">
      <c r="E198" s="43" t="str">
        <f>'MKT DATA'!B1881</f>
        <v>syn BTCG7/BTCV6/BTCZ6/BTCX6/BTCH7</v>
      </c>
      <c r="F198" s="13">
        <f>'MKT DATA'!J1881</f>
        <v>1</v>
      </c>
      <c r="G198" s="8">
        <f>'MKT DATA'!K1881</f>
        <v>84630</v>
      </c>
      <c r="H198" s="8">
        <f>'MKT DATA'!L1881</f>
        <v>86173</v>
      </c>
      <c r="I198" s="13">
        <f>'MKT DATA'!M1881</f>
        <v>1</v>
      </c>
      <c r="J198" s="43" t="str">
        <f t="shared" si="6"/>
        <v>syn BTCG7/BTCV6/BTCZ6/BTCX6/BTCH7</v>
      </c>
      <c r="K198" s="8">
        <f>'MKT DATA'!O1881</f>
        <v>0</v>
      </c>
      <c r="L198" s="8">
        <f>'MKT DATA'!P1881</f>
        <v>84630</v>
      </c>
      <c r="M198" s="8">
        <f>'MKT DATA'!Q1881</f>
        <v>0</v>
      </c>
      <c r="N198" s="8">
        <f>'MKT DATA'!R1881</f>
        <v>0</v>
      </c>
      <c r="O198" s="8">
        <f>'MKT DATA'!S1881</f>
        <v>-86173</v>
      </c>
      <c r="P198" s="8">
        <f>'MKT DATA'!T1881</f>
        <v>0</v>
      </c>
      <c r="Q198" s="43" t="str">
        <f t="shared" si="7"/>
        <v>syn BTCG7/BTCV6/BTCZ6/BTCX6/BTCH7</v>
      </c>
      <c r="R198" s="13">
        <f>'MKT DATA'!AB1881</f>
        <v>0</v>
      </c>
    </row>
    <row r="199" spans="5:18" x14ac:dyDescent="0.25">
      <c r="E199" s="43" t="str">
        <f>'MKT DATA'!B1882</f>
        <v>syn BTCG7/BTCV6/BTCZ6/BTCF7/BTCH7</v>
      </c>
      <c r="F199" s="13">
        <f>'MKT DATA'!J1882</f>
        <v>1</v>
      </c>
      <c r="G199" s="8">
        <f>'MKT DATA'!K1882</f>
        <v>84563</v>
      </c>
      <c r="H199" s="8">
        <f>'MKT DATA'!L1882</f>
        <v>86251</v>
      </c>
      <c r="I199" s="13">
        <f>'MKT DATA'!M1882</f>
        <v>1</v>
      </c>
      <c r="J199" s="43" t="str">
        <f t="shared" si="6"/>
        <v>syn BTCG7/BTCV6/BTCZ6/BTCF7/BTCH7</v>
      </c>
      <c r="K199" s="8">
        <f>'MKT DATA'!O1882</f>
        <v>0</v>
      </c>
      <c r="L199" s="8">
        <f>'MKT DATA'!P1882</f>
        <v>84563</v>
      </c>
      <c r="M199" s="8">
        <f>'MKT DATA'!Q1882</f>
        <v>0</v>
      </c>
      <c r="N199" s="8">
        <f>'MKT DATA'!R1882</f>
        <v>0</v>
      </c>
      <c r="O199" s="8">
        <f>'MKT DATA'!S1882</f>
        <v>-86251</v>
      </c>
      <c r="P199" s="8">
        <f>'MKT DATA'!T1882</f>
        <v>0</v>
      </c>
      <c r="Q199" s="43" t="str">
        <f t="shared" si="7"/>
        <v>syn BTCG7/BTCV6/BTCZ6/BTCF7/BTCH7</v>
      </c>
      <c r="R199" s="13">
        <f>'MKT DATA'!AB1882</f>
        <v>0</v>
      </c>
    </row>
    <row r="200" spans="5:18" x14ac:dyDescent="0.25">
      <c r="E200" s="43" t="str">
        <f>'MKT DATA'!B1883</f>
        <v>syn BTCG7/BTCV6/BTCF7/BTCX6/BTCH7</v>
      </c>
      <c r="F200" s="13">
        <f>'MKT DATA'!J1883</f>
        <v>1</v>
      </c>
      <c r="G200" s="8">
        <f>'MKT DATA'!K1883</f>
        <v>84527</v>
      </c>
      <c r="H200" s="8">
        <f>'MKT DATA'!L1883</f>
        <v>86273</v>
      </c>
      <c r="I200" s="13">
        <f>'MKT DATA'!M1883</f>
        <v>1</v>
      </c>
      <c r="J200" s="43" t="str">
        <f t="shared" si="6"/>
        <v>syn BTCG7/BTCV6/BTCF7/BTCX6/BTCH7</v>
      </c>
      <c r="K200" s="8">
        <f>'MKT DATA'!O1883</f>
        <v>0</v>
      </c>
      <c r="L200" s="8">
        <f>'MKT DATA'!P1883</f>
        <v>84527</v>
      </c>
      <c r="M200" s="8">
        <f>'MKT DATA'!Q1883</f>
        <v>0</v>
      </c>
      <c r="N200" s="8">
        <f>'MKT DATA'!R1883</f>
        <v>0</v>
      </c>
      <c r="O200" s="8">
        <f>'MKT DATA'!S1883</f>
        <v>-86273</v>
      </c>
      <c r="P200" s="8">
        <f>'MKT DATA'!T1883</f>
        <v>0</v>
      </c>
      <c r="Q200" s="43" t="str">
        <f t="shared" si="7"/>
        <v>syn BTCG7/BTCV6/BTCF7/BTCX6/BTCH7</v>
      </c>
      <c r="R200" s="13">
        <f>'MKT DATA'!AB1883</f>
        <v>0</v>
      </c>
    </row>
    <row r="201" spans="5:18" x14ac:dyDescent="0.25">
      <c r="E201" s="43" t="str">
        <f>'MKT DATA'!B1884</f>
        <v>syn BTCG7/BTCV6/BTCF7/BTCZ6/BTCH7</v>
      </c>
      <c r="F201" s="13">
        <f>'MKT DATA'!J1884</f>
        <v>1</v>
      </c>
      <c r="G201" s="8">
        <f>'MKT DATA'!K1884</f>
        <v>84742</v>
      </c>
      <c r="H201" s="8">
        <f>'MKT DATA'!L1884</f>
        <v>86222</v>
      </c>
      <c r="I201" s="13">
        <f>'MKT DATA'!M1884</f>
        <v>1</v>
      </c>
      <c r="J201" s="43" t="str">
        <f t="shared" si="6"/>
        <v>syn BTCG7/BTCV6/BTCF7/BTCZ6/BTCH7</v>
      </c>
      <c r="K201" s="8">
        <f>'MKT DATA'!O1884</f>
        <v>0</v>
      </c>
      <c r="L201" s="8">
        <f>'MKT DATA'!P1884</f>
        <v>84742</v>
      </c>
      <c r="M201" s="8">
        <f>'MKT DATA'!Q1884</f>
        <v>0</v>
      </c>
      <c r="N201" s="8">
        <f>'MKT DATA'!R1884</f>
        <v>0</v>
      </c>
      <c r="O201" s="8">
        <f>'MKT DATA'!S1884</f>
        <v>-86222</v>
      </c>
      <c r="P201" s="8">
        <f>'MKT DATA'!T1884</f>
        <v>0</v>
      </c>
      <c r="Q201" s="43" t="str">
        <f t="shared" si="7"/>
        <v>syn BTCG7/BTCV6/BTCF7/BTCZ6/BTCH7</v>
      </c>
      <c r="R201" s="13">
        <f>'MKT DATA'!AB1884</f>
        <v>0</v>
      </c>
    </row>
    <row r="202" spans="5:18" x14ac:dyDescent="0.25">
      <c r="E202" s="43" t="str">
        <f>'MKT DATA'!B1885</f>
        <v>syn BTCG7/BTCX6/BTCV6/BTCZ6/BTCH7</v>
      </c>
      <c r="F202" s="13">
        <f>'MKT DATA'!J1885</f>
        <v>1</v>
      </c>
      <c r="G202" s="8">
        <f>'MKT DATA'!K1885</f>
        <v>84825</v>
      </c>
      <c r="H202" s="8">
        <f>'MKT DATA'!L1885</f>
        <v>86180</v>
      </c>
      <c r="I202" s="13">
        <f>'MKT DATA'!M1885</f>
        <v>1</v>
      </c>
      <c r="J202" s="43" t="str">
        <f t="shared" ref="J202:J265" si="8">E202</f>
        <v>syn BTCG7/BTCX6/BTCV6/BTCZ6/BTCH7</v>
      </c>
      <c r="K202" s="8">
        <f>'MKT DATA'!O1885</f>
        <v>0</v>
      </c>
      <c r="L202" s="8">
        <f>'MKT DATA'!P1885</f>
        <v>84825</v>
      </c>
      <c r="M202" s="8">
        <f>'MKT DATA'!Q1885</f>
        <v>0</v>
      </c>
      <c r="N202" s="8">
        <f>'MKT DATA'!R1885</f>
        <v>0</v>
      </c>
      <c r="O202" s="8">
        <f>'MKT DATA'!S1885</f>
        <v>-86180</v>
      </c>
      <c r="P202" s="8">
        <f>'MKT DATA'!T1885</f>
        <v>0</v>
      </c>
      <c r="Q202" s="43" t="str">
        <f t="shared" ref="Q202:Q265" si="9">J202</f>
        <v>syn BTCG7/BTCX6/BTCV6/BTCZ6/BTCH7</v>
      </c>
      <c r="R202" s="13">
        <f>'MKT DATA'!AB1885</f>
        <v>0</v>
      </c>
    </row>
    <row r="203" spans="5:18" x14ac:dyDescent="0.25">
      <c r="E203" s="43" t="str">
        <f>'MKT DATA'!B1886</f>
        <v>syn BTCG7/BTCX6/BTCV6/BTCF7/BTCH7</v>
      </c>
      <c r="F203" s="13">
        <f>'MKT DATA'!J1886</f>
        <v>1</v>
      </c>
      <c r="G203" s="8">
        <f>'MKT DATA'!K1886</f>
        <v>84495</v>
      </c>
      <c r="H203" s="8">
        <f>'MKT DATA'!L1886</f>
        <v>86292</v>
      </c>
      <c r="I203" s="13">
        <f>'MKT DATA'!M1886</f>
        <v>1</v>
      </c>
      <c r="J203" s="43" t="str">
        <f t="shared" si="8"/>
        <v>syn BTCG7/BTCX6/BTCV6/BTCF7/BTCH7</v>
      </c>
      <c r="K203" s="8">
        <f>'MKT DATA'!O1886</f>
        <v>0</v>
      </c>
      <c r="L203" s="8">
        <f>'MKT DATA'!P1886</f>
        <v>84495</v>
      </c>
      <c r="M203" s="8">
        <f>'MKT DATA'!Q1886</f>
        <v>0</v>
      </c>
      <c r="N203" s="8">
        <f>'MKT DATA'!R1886</f>
        <v>0</v>
      </c>
      <c r="O203" s="8">
        <f>'MKT DATA'!S1886</f>
        <v>-86292</v>
      </c>
      <c r="P203" s="8">
        <f>'MKT DATA'!T1886</f>
        <v>0</v>
      </c>
      <c r="Q203" s="43" t="str">
        <f t="shared" si="9"/>
        <v>syn BTCG7/BTCX6/BTCV6/BTCF7/BTCH7</v>
      </c>
      <c r="R203" s="13">
        <f>'MKT DATA'!AB1886</f>
        <v>0</v>
      </c>
    </row>
    <row r="204" spans="5:18" x14ac:dyDescent="0.25">
      <c r="E204" s="43" t="str">
        <f>'MKT DATA'!B1887</f>
        <v>syn BTCG7/BTCX6/BTCZ6/BTCV6/BTCH7</v>
      </c>
      <c r="F204" s="13">
        <f>'MKT DATA'!J1887</f>
        <v>1</v>
      </c>
      <c r="G204" s="8">
        <f>'MKT DATA'!K1887</f>
        <v>84637</v>
      </c>
      <c r="H204" s="8">
        <f>'MKT DATA'!L1887</f>
        <v>86180</v>
      </c>
      <c r="I204" s="13">
        <f>'MKT DATA'!M1887</f>
        <v>1</v>
      </c>
      <c r="J204" s="43" t="str">
        <f t="shared" si="8"/>
        <v>syn BTCG7/BTCX6/BTCZ6/BTCV6/BTCH7</v>
      </c>
      <c r="K204" s="8">
        <f>'MKT DATA'!O1887</f>
        <v>0</v>
      </c>
      <c r="L204" s="8">
        <f>'MKT DATA'!P1887</f>
        <v>84637</v>
      </c>
      <c r="M204" s="8">
        <f>'MKT DATA'!Q1887</f>
        <v>0</v>
      </c>
      <c r="N204" s="8">
        <f>'MKT DATA'!R1887</f>
        <v>0</v>
      </c>
      <c r="O204" s="8">
        <f>'MKT DATA'!S1887</f>
        <v>-86180</v>
      </c>
      <c r="P204" s="8">
        <f>'MKT DATA'!T1887</f>
        <v>0</v>
      </c>
      <c r="Q204" s="43" t="str">
        <f t="shared" si="9"/>
        <v>syn BTCG7/BTCX6/BTCZ6/BTCV6/BTCH7</v>
      </c>
      <c r="R204" s="13">
        <f>'MKT DATA'!AB1887</f>
        <v>0</v>
      </c>
    </row>
    <row r="205" spans="5:18" x14ac:dyDescent="0.25">
      <c r="E205" s="43" t="str">
        <f>'MKT DATA'!B1888</f>
        <v>syn BTCG7/BTCX6/BTCZ6/BTCF7/BTCH7</v>
      </c>
      <c r="F205" s="13">
        <f>'MKT DATA'!J1888</f>
        <v>1</v>
      </c>
      <c r="G205" s="8">
        <f>'MKT DATA'!K1888</f>
        <v>84561</v>
      </c>
      <c r="H205" s="8">
        <f>'MKT DATA'!L1888</f>
        <v>86260</v>
      </c>
      <c r="I205" s="13">
        <f>'MKT DATA'!M1888</f>
        <v>1</v>
      </c>
      <c r="J205" s="43" t="str">
        <f t="shared" si="8"/>
        <v>syn BTCG7/BTCX6/BTCZ6/BTCF7/BTCH7</v>
      </c>
      <c r="K205" s="8">
        <f>'MKT DATA'!O1888</f>
        <v>0</v>
      </c>
      <c r="L205" s="8">
        <f>'MKT DATA'!P1888</f>
        <v>84561</v>
      </c>
      <c r="M205" s="8">
        <f>'MKT DATA'!Q1888</f>
        <v>0</v>
      </c>
      <c r="N205" s="8">
        <f>'MKT DATA'!R1888</f>
        <v>0</v>
      </c>
      <c r="O205" s="8">
        <f>'MKT DATA'!S1888</f>
        <v>-86260</v>
      </c>
      <c r="P205" s="8">
        <f>'MKT DATA'!T1888</f>
        <v>0</v>
      </c>
      <c r="Q205" s="43" t="str">
        <f t="shared" si="9"/>
        <v>syn BTCG7/BTCX6/BTCZ6/BTCF7/BTCH7</v>
      </c>
      <c r="R205" s="13">
        <f>'MKT DATA'!AB1888</f>
        <v>0</v>
      </c>
    </row>
    <row r="206" spans="5:18" x14ac:dyDescent="0.25">
      <c r="E206" s="43" t="str">
        <f>'MKT DATA'!B1889</f>
        <v>syn BTCG7/BTCX6/BTCF7/BTCV6/BTCH7</v>
      </c>
      <c r="F206" s="13">
        <f>'MKT DATA'!J1889</f>
        <v>1</v>
      </c>
      <c r="G206" s="8">
        <f>'MKT DATA'!K1889</f>
        <v>84537</v>
      </c>
      <c r="H206" s="8">
        <f>'MKT DATA'!L1889</f>
        <v>86283</v>
      </c>
      <c r="I206" s="13">
        <f>'MKT DATA'!M1889</f>
        <v>1</v>
      </c>
      <c r="J206" s="43" t="str">
        <f t="shared" si="8"/>
        <v>syn BTCG7/BTCX6/BTCF7/BTCV6/BTCH7</v>
      </c>
      <c r="K206" s="8">
        <f>'MKT DATA'!O1889</f>
        <v>0</v>
      </c>
      <c r="L206" s="8">
        <f>'MKT DATA'!P1889</f>
        <v>84537</v>
      </c>
      <c r="M206" s="8">
        <f>'MKT DATA'!Q1889</f>
        <v>0</v>
      </c>
      <c r="N206" s="8">
        <f>'MKT DATA'!R1889</f>
        <v>0</v>
      </c>
      <c r="O206" s="8">
        <f>'MKT DATA'!S1889</f>
        <v>-86283</v>
      </c>
      <c r="P206" s="8">
        <f>'MKT DATA'!T1889</f>
        <v>0</v>
      </c>
      <c r="Q206" s="43" t="str">
        <f t="shared" si="9"/>
        <v>syn BTCG7/BTCX6/BTCF7/BTCV6/BTCH7</v>
      </c>
      <c r="R206" s="13">
        <f>'MKT DATA'!AB1889</f>
        <v>0</v>
      </c>
    </row>
    <row r="207" spans="5:18" x14ac:dyDescent="0.25">
      <c r="E207" s="43" t="str">
        <f>'MKT DATA'!B1890</f>
        <v>syn BTCG7/BTCX6/BTCF7/BTCZ6/BTCH7</v>
      </c>
      <c r="F207" s="13">
        <f>'MKT DATA'!J1890</f>
        <v>1</v>
      </c>
      <c r="G207" s="8">
        <f>'MKT DATA'!K1890</f>
        <v>84757</v>
      </c>
      <c r="H207" s="8">
        <f>'MKT DATA'!L1890</f>
        <v>86217</v>
      </c>
      <c r="I207" s="13">
        <f>'MKT DATA'!M1890</f>
        <v>1</v>
      </c>
      <c r="J207" s="43" t="str">
        <f t="shared" si="8"/>
        <v>syn BTCG7/BTCX6/BTCF7/BTCZ6/BTCH7</v>
      </c>
      <c r="K207" s="8">
        <f>'MKT DATA'!O1890</f>
        <v>0</v>
      </c>
      <c r="L207" s="8">
        <f>'MKT DATA'!P1890</f>
        <v>84757</v>
      </c>
      <c r="M207" s="8">
        <f>'MKT DATA'!Q1890</f>
        <v>0</v>
      </c>
      <c r="N207" s="8">
        <f>'MKT DATA'!R1890</f>
        <v>0</v>
      </c>
      <c r="O207" s="8">
        <f>'MKT DATA'!S1890</f>
        <v>-86217</v>
      </c>
      <c r="P207" s="8">
        <f>'MKT DATA'!T1890</f>
        <v>0</v>
      </c>
      <c r="Q207" s="43" t="str">
        <f t="shared" si="9"/>
        <v>syn BTCG7/BTCX6/BTCF7/BTCZ6/BTCH7</v>
      </c>
      <c r="R207" s="13">
        <f>'MKT DATA'!AB1890</f>
        <v>0</v>
      </c>
    </row>
    <row r="208" spans="5:18" x14ac:dyDescent="0.25">
      <c r="E208" s="43" t="str">
        <f>'MKT DATA'!B1891</f>
        <v>syn BTCG7/BTCZ6/BTCV6/BTCX6/BTCH7</v>
      </c>
      <c r="F208" s="13">
        <f>'MKT DATA'!J1891</f>
        <v>1</v>
      </c>
      <c r="G208" s="8">
        <f>'MKT DATA'!K1891</f>
        <v>84600</v>
      </c>
      <c r="H208" s="8">
        <f>'MKT DATA'!L1891</f>
        <v>86195</v>
      </c>
      <c r="I208" s="13">
        <f>'MKT DATA'!M1891</f>
        <v>1</v>
      </c>
      <c r="J208" s="43" t="str">
        <f t="shared" si="8"/>
        <v>syn BTCG7/BTCZ6/BTCV6/BTCX6/BTCH7</v>
      </c>
      <c r="K208" s="8">
        <f>'MKT DATA'!O1891</f>
        <v>0</v>
      </c>
      <c r="L208" s="8">
        <f>'MKT DATA'!P1891</f>
        <v>84600</v>
      </c>
      <c r="M208" s="8">
        <f>'MKT DATA'!Q1891</f>
        <v>0</v>
      </c>
      <c r="N208" s="8">
        <f>'MKT DATA'!R1891</f>
        <v>0</v>
      </c>
      <c r="O208" s="8">
        <f>'MKT DATA'!S1891</f>
        <v>-86195</v>
      </c>
      <c r="P208" s="8">
        <f>'MKT DATA'!T1891</f>
        <v>0</v>
      </c>
      <c r="Q208" s="43" t="str">
        <f t="shared" si="9"/>
        <v>syn BTCG7/BTCZ6/BTCV6/BTCX6/BTCH7</v>
      </c>
      <c r="R208" s="13">
        <f>'MKT DATA'!AB1891</f>
        <v>0</v>
      </c>
    </row>
    <row r="209" spans="5:18" x14ac:dyDescent="0.25">
      <c r="E209" s="43" t="str">
        <f>'MKT DATA'!B1892</f>
        <v>syn BTCG7/BTCZ6/BTCV6/BTCF7/BTCH7</v>
      </c>
      <c r="F209" s="13">
        <f>'MKT DATA'!J1892</f>
        <v>1</v>
      </c>
      <c r="G209" s="8">
        <f>'MKT DATA'!K1892</f>
        <v>84449</v>
      </c>
      <c r="H209" s="8">
        <f>'MKT DATA'!L1892</f>
        <v>86323</v>
      </c>
      <c r="I209" s="13">
        <f>'MKT DATA'!M1892</f>
        <v>1</v>
      </c>
      <c r="J209" s="43" t="str">
        <f t="shared" si="8"/>
        <v>syn BTCG7/BTCZ6/BTCV6/BTCF7/BTCH7</v>
      </c>
      <c r="K209" s="8">
        <f>'MKT DATA'!O1892</f>
        <v>0</v>
      </c>
      <c r="L209" s="8">
        <f>'MKT DATA'!P1892</f>
        <v>84449</v>
      </c>
      <c r="M209" s="8">
        <f>'MKT DATA'!Q1892</f>
        <v>0</v>
      </c>
      <c r="N209" s="8">
        <f>'MKT DATA'!R1892</f>
        <v>0</v>
      </c>
      <c r="O209" s="8">
        <f>'MKT DATA'!S1892</f>
        <v>-86323</v>
      </c>
      <c r="P209" s="8">
        <f>'MKT DATA'!T1892</f>
        <v>0</v>
      </c>
      <c r="Q209" s="43" t="str">
        <f t="shared" si="9"/>
        <v>syn BTCG7/BTCZ6/BTCV6/BTCF7/BTCH7</v>
      </c>
      <c r="R209" s="13">
        <f>'MKT DATA'!AB1892</f>
        <v>0</v>
      </c>
    </row>
    <row r="210" spans="5:18" x14ac:dyDescent="0.25">
      <c r="E210" s="43" t="str">
        <f>'MKT DATA'!B1893</f>
        <v>syn BTCG7/BTCZ6/BTCX6/BTCV6/BTCH7</v>
      </c>
      <c r="F210" s="13">
        <f>'MKT DATA'!J1893</f>
        <v>1</v>
      </c>
      <c r="G210" s="8">
        <f>'MKT DATA'!K1893</f>
        <v>84623</v>
      </c>
      <c r="H210" s="8">
        <f>'MKT DATA'!L1893</f>
        <v>86179</v>
      </c>
      <c r="I210" s="13">
        <f>'MKT DATA'!M1893</f>
        <v>1</v>
      </c>
      <c r="J210" s="43" t="str">
        <f t="shared" si="8"/>
        <v>syn BTCG7/BTCZ6/BTCX6/BTCV6/BTCH7</v>
      </c>
      <c r="K210" s="8">
        <f>'MKT DATA'!O1893</f>
        <v>0</v>
      </c>
      <c r="L210" s="8">
        <f>'MKT DATA'!P1893</f>
        <v>84623</v>
      </c>
      <c r="M210" s="8">
        <f>'MKT DATA'!Q1893</f>
        <v>0</v>
      </c>
      <c r="N210" s="8">
        <f>'MKT DATA'!R1893</f>
        <v>0</v>
      </c>
      <c r="O210" s="8">
        <f>'MKT DATA'!S1893</f>
        <v>-86179</v>
      </c>
      <c r="P210" s="8">
        <f>'MKT DATA'!T1893</f>
        <v>0</v>
      </c>
      <c r="Q210" s="43" t="str">
        <f t="shared" si="9"/>
        <v>syn BTCG7/BTCZ6/BTCX6/BTCV6/BTCH7</v>
      </c>
      <c r="R210" s="13">
        <f>'MKT DATA'!AB1893</f>
        <v>0</v>
      </c>
    </row>
    <row r="211" spans="5:18" x14ac:dyDescent="0.25">
      <c r="E211" s="43" t="str">
        <f>'MKT DATA'!B1894</f>
        <v>syn BTCG7/BTCZ6/BTCX6/BTCF7/BTCH7</v>
      </c>
      <c r="F211" s="13">
        <f>'MKT DATA'!J1894</f>
        <v>1</v>
      </c>
      <c r="G211" s="8">
        <f>'MKT DATA'!K1894</f>
        <v>84480</v>
      </c>
      <c r="H211" s="8">
        <f>'MKT DATA'!L1894</f>
        <v>86295</v>
      </c>
      <c r="I211" s="13">
        <f>'MKT DATA'!M1894</f>
        <v>1</v>
      </c>
      <c r="J211" s="43" t="str">
        <f t="shared" si="8"/>
        <v>syn BTCG7/BTCZ6/BTCX6/BTCF7/BTCH7</v>
      </c>
      <c r="K211" s="8">
        <f>'MKT DATA'!O1894</f>
        <v>0</v>
      </c>
      <c r="L211" s="8">
        <f>'MKT DATA'!P1894</f>
        <v>84480</v>
      </c>
      <c r="M211" s="8">
        <f>'MKT DATA'!Q1894</f>
        <v>0</v>
      </c>
      <c r="N211" s="8">
        <f>'MKT DATA'!R1894</f>
        <v>0</v>
      </c>
      <c r="O211" s="8">
        <f>'MKT DATA'!S1894</f>
        <v>-86295</v>
      </c>
      <c r="P211" s="8">
        <f>'MKT DATA'!T1894</f>
        <v>0</v>
      </c>
      <c r="Q211" s="43" t="str">
        <f t="shared" si="9"/>
        <v>syn BTCG7/BTCZ6/BTCX6/BTCF7/BTCH7</v>
      </c>
      <c r="R211" s="13">
        <f>'MKT DATA'!AB1894</f>
        <v>0</v>
      </c>
    </row>
    <row r="212" spans="5:18" x14ac:dyDescent="0.25">
      <c r="E212" s="43" t="str">
        <f>'MKT DATA'!B1895</f>
        <v>syn BTCG7/BTCZ6/BTCF7/BTCV6/BTCH7</v>
      </c>
      <c r="F212" s="13">
        <f>'MKT DATA'!J1895</f>
        <v>1</v>
      </c>
      <c r="G212" s="8">
        <f>'MKT DATA'!K1895</f>
        <v>84558</v>
      </c>
      <c r="H212" s="8">
        <f>'MKT DATA'!L1895</f>
        <v>86278</v>
      </c>
      <c r="I212" s="13">
        <f>'MKT DATA'!M1895</f>
        <v>1</v>
      </c>
      <c r="J212" s="43" t="str">
        <f t="shared" si="8"/>
        <v>syn BTCG7/BTCZ6/BTCF7/BTCV6/BTCH7</v>
      </c>
      <c r="K212" s="8">
        <f>'MKT DATA'!O1895</f>
        <v>0</v>
      </c>
      <c r="L212" s="8">
        <f>'MKT DATA'!P1895</f>
        <v>84558</v>
      </c>
      <c r="M212" s="8">
        <f>'MKT DATA'!Q1895</f>
        <v>0</v>
      </c>
      <c r="N212" s="8">
        <f>'MKT DATA'!R1895</f>
        <v>0</v>
      </c>
      <c r="O212" s="8">
        <f>'MKT DATA'!S1895</f>
        <v>-86278</v>
      </c>
      <c r="P212" s="8">
        <f>'MKT DATA'!T1895</f>
        <v>0</v>
      </c>
      <c r="Q212" s="43" t="str">
        <f t="shared" si="9"/>
        <v>syn BTCG7/BTCZ6/BTCF7/BTCV6/BTCH7</v>
      </c>
      <c r="R212" s="13">
        <f>'MKT DATA'!AB1895</f>
        <v>0</v>
      </c>
    </row>
    <row r="213" spans="5:18" x14ac:dyDescent="0.25">
      <c r="E213" s="43" t="str">
        <f>'MKT DATA'!B1896</f>
        <v>syn BTCG7/BTCZ6/BTCF7/BTCX6/BTCH7</v>
      </c>
      <c r="F213" s="13">
        <f>'MKT DATA'!J1896</f>
        <v>1</v>
      </c>
      <c r="G213" s="8">
        <f>'MKT DATA'!K1896</f>
        <v>84563</v>
      </c>
      <c r="H213" s="8">
        <f>'MKT DATA'!L1896</f>
        <v>86263</v>
      </c>
      <c r="I213" s="13">
        <f>'MKT DATA'!M1896</f>
        <v>1</v>
      </c>
      <c r="J213" s="43" t="str">
        <f t="shared" si="8"/>
        <v>syn BTCG7/BTCZ6/BTCF7/BTCX6/BTCH7</v>
      </c>
      <c r="K213" s="8">
        <f>'MKT DATA'!O1896</f>
        <v>0</v>
      </c>
      <c r="L213" s="8">
        <f>'MKT DATA'!P1896</f>
        <v>84563</v>
      </c>
      <c r="M213" s="8">
        <f>'MKT DATA'!Q1896</f>
        <v>0</v>
      </c>
      <c r="N213" s="8">
        <f>'MKT DATA'!R1896</f>
        <v>0</v>
      </c>
      <c r="O213" s="8">
        <f>'MKT DATA'!S1896</f>
        <v>-86263</v>
      </c>
      <c r="P213" s="8">
        <f>'MKT DATA'!T1896</f>
        <v>0</v>
      </c>
      <c r="Q213" s="43" t="str">
        <f t="shared" si="9"/>
        <v>syn BTCG7/BTCZ6/BTCF7/BTCX6/BTCH7</v>
      </c>
      <c r="R213" s="13">
        <f>'MKT DATA'!AB1896</f>
        <v>0</v>
      </c>
    </row>
    <row r="214" spans="5:18" x14ac:dyDescent="0.25">
      <c r="E214" s="43" t="str">
        <f>'MKT DATA'!B1897</f>
        <v>syn BTCG7/BTCF7/BTCV6/BTCX6/BTCH7</v>
      </c>
      <c r="F214" s="13">
        <f>'MKT DATA'!J1897</f>
        <v>1</v>
      </c>
      <c r="G214" s="8">
        <f>'MKT DATA'!K1897</f>
        <v>84703</v>
      </c>
      <c r="H214" s="8">
        <f>'MKT DATA'!L1897</f>
        <v>86146</v>
      </c>
      <c r="I214" s="13">
        <f>'MKT DATA'!M1897</f>
        <v>1</v>
      </c>
      <c r="J214" s="43" t="str">
        <f t="shared" si="8"/>
        <v>syn BTCG7/BTCF7/BTCV6/BTCX6/BTCH7</v>
      </c>
      <c r="K214" s="8">
        <f>'MKT DATA'!O1897</f>
        <v>0</v>
      </c>
      <c r="L214" s="8">
        <f>'MKT DATA'!P1897</f>
        <v>84703</v>
      </c>
      <c r="M214" s="8">
        <f>'MKT DATA'!Q1897</f>
        <v>0</v>
      </c>
      <c r="N214" s="8">
        <f>'MKT DATA'!R1897</f>
        <v>0</v>
      </c>
      <c r="O214" s="8">
        <f>'MKT DATA'!S1897</f>
        <v>-86146</v>
      </c>
      <c r="P214" s="8">
        <f>'MKT DATA'!T1897</f>
        <v>0</v>
      </c>
      <c r="Q214" s="43" t="str">
        <f t="shared" si="9"/>
        <v>syn BTCG7/BTCF7/BTCV6/BTCX6/BTCH7</v>
      </c>
      <c r="R214" s="13">
        <f>'MKT DATA'!AB1897</f>
        <v>0</v>
      </c>
    </row>
    <row r="215" spans="5:18" x14ac:dyDescent="0.25">
      <c r="E215" s="43" t="str">
        <f>'MKT DATA'!B1898</f>
        <v>syn BTCG7/BTCF7/BTCV6/BTCZ6/BTCH7</v>
      </c>
      <c r="F215" s="13">
        <f>'MKT DATA'!J1898</f>
        <v>1</v>
      </c>
      <c r="G215" s="8">
        <f>'MKT DATA'!K1898</f>
        <v>84882</v>
      </c>
      <c r="H215" s="8">
        <f>'MKT DATA'!L1898</f>
        <v>86162</v>
      </c>
      <c r="I215" s="13">
        <f>'MKT DATA'!M1898</f>
        <v>1</v>
      </c>
      <c r="J215" s="43" t="str">
        <f t="shared" si="8"/>
        <v>syn BTCG7/BTCF7/BTCV6/BTCZ6/BTCH7</v>
      </c>
      <c r="K215" s="8">
        <f>'MKT DATA'!O1898</f>
        <v>0</v>
      </c>
      <c r="L215" s="8">
        <f>'MKT DATA'!P1898</f>
        <v>84882</v>
      </c>
      <c r="M215" s="8">
        <f>'MKT DATA'!Q1898</f>
        <v>0</v>
      </c>
      <c r="N215" s="8">
        <f>'MKT DATA'!R1898</f>
        <v>0</v>
      </c>
      <c r="O215" s="8">
        <f>'MKT DATA'!S1898</f>
        <v>-86162</v>
      </c>
      <c r="P215" s="8">
        <f>'MKT DATA'!T1898</f>
        <v>0</v>
      </c>
      <c r="Q215" s="43" t="str">
        <f t="shared" si="9"/>
        <v>syn BTCG7/BTCF7/BTCV6/BTCZ6/BTCH7</v>
      </c>
      <c r="R215" s="13">
        <f>'MKT DATA'!AB1898</f>
        <v>0</v>
      </c>
    </row>
    <row r="216" spans="5:18" x14ac:dyDescent="0.25">
      <c r="E216" s="43" t="str">
        <f>'MKT DATA'!B1899</f>
        <v>syn BTCG7/BTCF7/BTCX6/BTCV6/BTCH7</v>
      </c>
      <c r="F216" s="13">
        <f>'MKT DATA'!J1899</f>
        <v>1</v>
      </c>
      <c r="G216" s="8">
        <f>'MKT DATA'!K1899</f>
        <v>84740</v>
      </c>
      <c r="H216" s="8">
        <f>'MKT DATA'!L1899</f>
        <v>86113</v>
      </c>
      <c r="I216" s="13">
        <f>'MKT DATA'!M1899</f>
        <v>1</v>
      </c>
      <c r="J216" s="43" t="str">
        <f t="shared" si="8"/>
        <v>syn BTCG7/BTCF7/BTCX6/BTCV6/BTCH7</v>
      </c>
      <c r="K216" s="8">
        <f>'MKT DATA'!O1899</f>
        <v>0</v>
      </c>
      <c r="L216" s="8">
        <f>'MKT DATA'!P1899</f>
        <v>84740</v>
      </c>
      <c r="M216" s="8">
        <f>'MKT DATA'!Q1899</f>
        <v>0</v>
      </c>
      <c r="N216" s="8">
        <f>'MKT DATA'!R1899</f>
        <v>0</v>
      </c>
      <c r="O216" s="8">
        <f>'MKT DATA'!S1899</f>
        <v>-86113</v>
      </c>
      <c r="P216" s="8">
        <f>'MKT DATA'!T1899</f>
        <v>0</v>
      </c>
      <c r="Q216" s="43" t="str">
        <f t="shared" si="9"/>
        <v>syn BTCG7/BTCF7/BTCX6/BTCV6/BTCH7</v>
      </c>
      <c r="R216" s="13">
        <f>'MKT DATA'!AB1899</f>
        <v>0</v>
      </c>
    </row>
    <row r="217" spans="5:18" x14ac:dyDescent="0.25">
      <c r="E217" s="43" t="str">
        <f>'MKT DATA'!B1900</f>
        <v>syn BTCG7/BTCF7/BTCX6/BTCZ6/BTCH7</v>
      </c>
      <c r="F217" s="13">
        <f>'MKT DATA'!J1900</f>
        <v>1</v>
      </c>
      <c r="G217" s="8">
        <f>'MKT DATA'!K1900</f>
        <v>84910</v>
      </c>
      <c r="H217" s="8">
        <f>'MKT DATA'!L1900</f>
        <v>86131</v>
      </c>
      <c r="I217" s="13">
        <f>'MKT DATA'!M1900</f>
        <v>1</v>
      </c>
      <c r="J217" s="43" t="str">
        <f t="shared" si="8"/>
        <v>syn BTCG7/BTCF7/BTCX6/BTCZ6/BTCH7</v>
      </c>
      <c r="K217" s="8">
        <f>'MKT DATA'!O1900</f>
        <v>0</v>
      </c>
      <c r="L217" s="8">
        <f>'MKT DATA'!P1900</f>
        <v>84910</v>
      </c>
      <c r="M217" s="8">
        <f>'MKT DATA'!Q1900</f>
        <v>0</v>
      </c>
      <c r="N217" s="8">
        <f>'MKT DATA'!R1900</f>
        <v>0</v>
      </c>
      <c r="O217" s="8">
        <f>'MKT DATA'!S1900</f>
        <v>-86131</v>
      </c>
      <c r="P217" s="8">
        <f>'MKT DATA'!T1900</f>
        <v>0</v>
      </c>
      <c r="Q217" s="43" t="str">
        <f t="shared" si="9"/>
        <v>syn BTCG7/BTCF7/BTCX6/BTCZ6/BTCH7</v>
      </c>
      <c r="R217" s="13">
        <f>'MKT DATA'!AB1900</f>
        <v>0</v>
      </c>
    </row>
    <row r="218" spans="5:18" x14ac:dyDescent="0.25">
      <c r="E218" s="43" t="str">
        <f>'MKT DATA'!B1901</f>
        <v>syn BTCG7/BTCF7/BTCZ6/BTCV6/BTCH7</v>
      </c>
      <c r="F218" s="13">
        <f>'MKT DATA'!J1901</f>
        <v>1</v>
      </c>
      <c r="G218" s="8">
        <f>'MKT DATA'!K1901</f>
        <v>84744</v>
      </c>
      <c r="H218" s="8">
        <f>'MKT DATA'!L1901</f>
        <v>86078</v>
      </c>
      <c r="I218" s="13">
        <f>'MKT DATA'!M1901</f>
        <v>1</v>
      </c>
      <c r="J218" s="43" t="str">
        <f t="shared" si="8"/>
        <v>syn BTCG7/BTCF7/BTCZ6/BTCV6/BTCH7</v>
      </c>
      <c r="K218" s="8">
        <f>'MKT DATA'!O1901</f>
        <v>0</v>
      </c>
      <c r="L218" s="8">
        <f>'MKT DATA'!P1901</f>
        <v>84744</v>
      </c>
      <c r="M218" s="8">
        <f>'MKT DATA'!Q1901</f>
        <v>0</v>
      </c>
      <c r="N218" s="8">
        <f>'MKT DATA'!R1901</f>
        <v>0</v>
      </c>
      <c r="O218" s="8">
        <f>'MKT DATA'!S1901</f>
        <v>-86078</v>
      </c>
      <c r="P218" s="8">
        <f>'MKT DATA'!T1901</f>
        <v>0</v>
      </c>
      <c r="Q218" s="43" t="str">
        <f t="shared" si="9"/>
        <v>syn BTCG7/BTCF7/BTCZ6/BTCV6/BTCH7</v>
      </c>
      <c r="R218" s="13">
        <f>'MKT DATA'!AB1901</f>
        <v>0</v>
      </c>
    </row>
    <row r="219" spans="5:18" x14ac:dyDescent="0.25">
      <c r="E219" s="43" t="str">
        <f>'MKT DATA'!B1902</f>
        <v>syn BTCG7/BTCF7/BTCZ6/BTCX6/BTCH7</v>
      </c>
      <c r="F219" s="13">
        <f>'MKT DATA'!J1902</f>
        <v>1</v>
      </c>
      <c r="G219" s="8">
        <f>'MKT DATA'!K1902</f>
        <v>84735</v>
      </c>
      <c r="H219" s="8">
        <f>'MKT DATA'!L1902</f>
        <v>86080</v>
      </c>
      <c r="I219" s="13">
        <f>'MKT DATA'!M1902</f>
        <v>1</v>
      </c>
      <c r="J219" s="43" t="str">
        <f t="shared" si="8"/>
        <v>syn BTCG7/BTCF7/BTCZ6/BTCX6/BTCH7</v>
      </c>
      <c r="K219" s="8">
        <f>'MKT DATA'!O1902</f>
        <v>0</v>
      </c>
      <c r="L219" s="8">
        <f>'MKT DATA'!P1902</f>
        <v>84735</v>
      </c>
      <c r="M219" s="8">
        <f>'MKT DATA'!Q1902</f>
        <v>0</v>
      </c>
      <c r="N219" s="8">
        <f>'MKT DATA'!R1902</f>
        <v>0</v>
      </c>
      <c r="O219" s="8">
        <f>'MKT DATA'!S1902</f>
        <v>-86080</v>
      </c>
      <c r="P219" s="8">
        <f>'MKT DATA'!T1902</f>
        <v>0</v>
      </c>
      <c r="Q219" s="43" t="str">
        <f t="shared" si="9"/>
        <v>syn BTCG7/BTCF7/BTCZ6/BTCX6/BTCH7</v>
      </c>
      <c r="R219" s="13">
        <f>'MKT DATA'!AB1902</f>
        <v>0</v>
      </c>
    </row>
    <row r="220" spans="5:18" x14ac:dyDescent="0.25">
      <c r="E220" s="43" t="str">
        <f>'MKT DATA'!B1903</f>
        <v>syn BTCV6/BTCX6/BTCZ6/BTCF7/BTCG7/BTCH7</v>
      </c>
      <c r="F220" s="13">
        <f>'MKT DATA'!J1903</f>
        <v>1</v>
      </c>
      <c r="G220" s="8">
        <f>'MKT DATA'!K1903</f>
        <v>85127</v>
      </c>
      <c r="H220" s="8">
        <f>'MKT DATA'!L1903</f>
        <v>85726</v>
      </c>
      <c r="I220" s="13">
        <f>'MKT DATA'!M1903</f>
        <v>1</v>
      </c>
      <c r="J220" s="43" t="str">
        <f t="shared" si="8"/>
        <v>syn BTCV6/BTCX6/BTCZ6/BTCF7/BTCG7/BTCH7</v>
      </c>
      <c r="K220" s="8">
        <f>'MKT DATA'!O1903</f>
        <v>0</v>
      </c>
      <c r="L220" s="8">
        <f>'MKT DATA'!P1903</f>
        <v>85127</v>
      </c>
      <c r="M220" s="8">
        <f>'MKT DATA'!Q1903</f>
        <v>0</v>
      </c>
      <c r="N220" s="8">
        <f>'MKT DATA'!R1903</f>
        <v>0</v>
      </c>
      <c r="O220" s="8">
        <f>'MKT DATA'!S1903</f>
        <v>-85726</v>
      </c>
      <c r="P220" s="8">
        <f>'MKT DATA'!T1903</f>
        <v>0</v>
      </c>
      <c r="Q220" s="43" t="str">
        <f t="shared" si="9"/>
        <v>syn BTCV6/BTCX6/BTCZ6/BTCF7/BTCG7/BTCH7</v>
      </c>
      <c r="R220" s="13">
        <f>'MKT DATA'!AB1903</f>
        <v>0</v>
      </c>
    </row>
    <row r="221" spans="5:18" x14ac:dyDescent="0.25">
      <c r="E221" s="43" t="str">
        <f>'MKT DATA'!B1904</f>
        <v>syn BTCV6/BTCX6/BTCZ6/BTCG7/BTCF7/BTCH7</v>
      </c>
      <c r="F221" s="13">
        <f>'MKT DATA'!J1904</f>
        <v>1</v>
      </c>
      <c r="G221" s="8">
        <f>'MKT DATA'!K1904</f>
        <v>84631</v>
      </c>
      <c r="H221" s="8">
        <f>'MKT DATA'!L1904</f>
        <v>86203</v>
      </c>
      <c r="I221" s="13">
        <f>'MKT DATA'!M1904</f>
        <v>1</v>
      </c>
      <c r="J221" s="43" t="str">
        <f t="shared" si="8"/>
        <v>syn BTCV6/BTCX6/BTCZ6/BTCG7/BTCF7/BTCH7</v>
      </c>
      <c r="K221" s="8">
        <f>'MKT DATA'!O1904</f>
        <v>0</v>
      </c>
      <c r="L221" s="8">
        <f>'MKT DATA'!P1904</f>
        <v>84631</v>
      </c>
      <c r="M221" s="8">
        <f>'MKT DATA'!Q1904</f>
        <v>0</v>
      </c>
      <c r="N221" s="8">
        <f>'MKT DATA'!R1904</f>
        <v>0</v>
      </c>
      <c r="O221" s="8">
        <f>'MKT DATA'!S1904</f>
        <v>-86203</v>
      </c>
      <c r="P221" s="8">
        <f>'MKT DATA'!T1904</f>
        <v>0</v>
      </c>
      <c r="Q221" s="43" t="str">
        <f t="shared" si="9"/>
        <v>syn BTCV6/BTCX6/BTCZ6/BTCG7/BTCF7/BTCH7</v>
      </c>
      <c r="R221" s="13">
        <f>'MKT DATA'!AB1904</f>
        <v>0</v>
      </c>
    </row>
    <row r="222" spans="5:18" x14ac:dyDescent="0.25">
      <c r="E222" s="43" t="str">
        <f>'MKT DATA'!B1905</f>
        <v>syn BTCV6/BTCX6/BTCF7/BTCZ6/BTCG7/BTCH7</v>
      </c>
      <c r="F222" s="13">
        <f>'MKT DATA'!J1905</f>
        <v>1</v>
      </c>
      <c r="G222" s="8">
        <f>'MKT DATA'!K1905</f>
        <v>84944</v>
      </c>
      <c r="H222" s="8">
        <f>'MKT DATA'!L1905</f>
        <v>85898</v>
      </c>
      <c r="I222" s="13">
        <f>'MKT DATA'!M1905</f>
        <v>1</v>
      </c>
      <c r="J222" s="43" t="str">
        <f t="shared" si="8"/>
        <v>syn BTCV6/BTCX6/BTCF7/BTCZ6/BTCG7/BTCH7</v>
      </c>
      <c r="K222" s="8">
        <f>'MKT DATA'!O1905</f>
        <v>0</v>
      </c>
      <c r="L222" s="8">
        <f>'MKT DATA'!P1905</f>
        <v>84944</v>
      </c>
      <c r="M222" s="8">
        <f>'MKT DATA'!Q1905</f>
        <v>0</v>
      </c>
      <c r="N222" s="8">
        <f>'MKT DATA'!R1905</f>
        <v>0</v>
      </c>
      <c r="O222" s="8">
        <f>'MKT DATA'!S1905</f>
        <v>-85898</v>
      </c>
      <c r="P222" s="8">
        <f>'MKT DATA'!T1905</f>
        <v>0</v>
      </c>
      <c r="Q222" s="43" t="str">
        <f t="shared" si="9"/>
        <v>syn BTCV6/BTCX6/BTCF7/BTCZ6/BTCG7/BTCH7</v>
      </c>
      <c r="R222" s="13">
        <f>'MKT DATA'!AB1905</f>
        <v>0</v>
      </c>
    </row>
    <row r="223" spans="5:18" x14ac:dyDescent="0.25">
      <c r="E223" s="43" t="str">
        <f>'MKT DATA'!B1906</f>
        <v>syn BTCV6/BTCX6/BTCF7/BTCG7/BTCZ6/BTCH7</v>
      </c>
      <c r="F223" s="13">
        <f>'MKT DATA'!J1906</f>
        <v>1</v>
      </c>
      <c r="G223" s="8">
        <f>'MKT DATA'!K1906</f>
        <v>84807</v>
      </c>
      <c r="H223" s="8">
        <f>'MKT DATA'!L1906</f>
        <v>86140</v>
      </c>
      <c r="I223" s="13">
        <f>'MKT DATA'!M1906</f>
        <v>1</v>
      </c>
      <c r="J223" s="43" t="str">
        <f t="shared" si="8"/>
        <v>syn BTCV6/BTCX6/BTCF7/BTCG7/BTCZ6/BTCH7</v>
      </c>
      <c r="K223" s="8">
        <f>'MKT DATA'!O1906</f>
        <v>0</v>
      </c>
      <c r="L223" s="8">
        <f>'MKT DATA'!P1906</f>
        <v>84807</v>
      </c>
      <c r="M223" s="8">
        <f>'MKT DATA'!Q1906</f>
        <v>0</v>
      </c>
      <c r="N223" s="8">
        <f>'MKT DATA'!R1906</f>
        <v>0</v>
      </c>
      <c r="O223" s="8">
        <f>'MKT DATA'!S1906</f>
        <v>-86140</v>
      </c>
      <c r="P223" s="8">
        <f>'MKT DATA'!T1906</f>
        <v>0</v>
      </c>
      <c r="Q223" s="43" t="str">
        <f t="shared" si="9"/>
        <v>syn BTCV6/BTCX6/BTCF7/BTCG7/BTCZ6/BTCH7</v>
      </c>
      <c r="R223" s="13">
        <f>'MKT DATA'!AB1906</f>
        <v>0</v>
      </c>
    </row>
    <row r="224" spans="5:18" x14ac:dyDescent="0.25">
      <c r="E224" s="43" t="str">
        <f>'MKT DATA'!B1907</f>
        <v>syn BTCV6/BTCX6/BTCG7/BTCZ6/BTCF7/BTCH7</v>
      </c>
      <c r="F224" s="13">
        <f>'MKT DATA'!J1907</f>
        <v>1</v>
      </c>
      <c r="G224" s="8">
        <f>'MKT DATA'!K1907</f>
        <v>84494</v>
      </c>
      <c r="H224" s="8">
        <f>'MKT DATA'!L1907</f>
        <v>86305</v>
      </c>
      <c r="I224" s="13">
        <f>'MKT DATA'!M1907</f>
        <v>1</v>
      </c>
      <c r="J224" s="43" t="str">
        <f t="shared" si="8"/>
        <v>syn BTCV6/BTCX6/BTCG7/BTCZ6/BTCF7/BTCH7</v>
      </c>
      <c r="K224" s="8">
        <f>'MKT DATA'!O1907</f>
        <v>0</v>
      </c>
      <c r="L224" s="8">
        <f>'MKT DATA'!P1907</f>
        <v>84494</v>
      </c>
      <c r="M224" s="8">
        <f>'MKT DATA'!Q1907</f>
        <v>0</v>
      </c>
      <c r="N224" s="8">
        <f>'MKT DATA'!R1907</f>
        <v>0</v>
      </c>
      <c r="O224" s="8">
        <f>'MKT DATA'!S1907</f>
        <v>-86305</v>
      </c>
      <c r="P224" s="8">
        <f>'MKT DATA'!T1907</f>
        <v>0</v>
      </c>
      <c r="Q224" s="43" t="str">
        <f t="shared" si="9"/>
        <v>syn BTCV6/BTCX6/BTCG7/BTCZ6/BTCF7/BTCH7</v>
      </c>
      <c r="R224" s="13">
        <f>'MKT DATA'!AB1907</f>
        <v>0</v>
      </c>
    </row>
    <row r="225" spans="5:18" x14ac:dyDescent="0.25">
      <c r="E225" s="43" t="str">
        <f>'MKT DATA'!B1908</f>
        <v>syn BTCV6/BTCX6/BTCG7/BTCF7/BTCZ6/BTCH7</v>
      </c>
      <c r="F225" s="13">
        <f>'MKT DATA'!J1908</f>
        <v>1</v>
      </c>
      <c r="G225" s="8">
        <f>'MKT DATA'!K1908</f>
        <v>84893</v>
      </c>
      <c r="H225" s="8">
        <f>'MKT DATA'!L1908</f>
        <v>86110</v>
      </c>
      <c r="I225" s="13">
        <f>'MKT DATA'!M1908</f>
        <v>1</v>
      </c>
      <c r="J225" s="43" t="str">
        <f t="shared" si="8"/>
        <v>syn BTCV6/BTCX6/BTCG7/BTCF7/BTCZ6/BTCH7</v>
      </c>
      <c r="K225" s="8">
        <f>'MKT DATA'!O1908</f>
        <v>0</v>
      </c>
      <c r="L225" s="8">
        <f>'MKT DATA'!P1908</f>
        <v>84893</v>
      </c>
      <c r="M225" s="8">
        <f>'MKT DATA'!Q1908</f>
        <v>0</v>
      </c>
      <c r="N225" s="8">
        <f>'MKT DATA'!R1908</f>
        <v>0</v>
      </c>
      <c r="O225" s="8">
        <f>'MKT DATA'!S1908</f>
        <v>-86110</v>
      </c>
      <c r="P225" s="8">
        <f>'MKT DATA'!T1908</f>
        <v>0</v>
      </c>
      <c r="Q225" s="43" t="str">
        <f t="shared" si="9"/>
        <v>syn BTCV6/BTCX6/BTCG7/BTCF7/BTCZ6/BTCH7</v>
      </c>
      <c r="R225" s="13">
        <f>'MKT DATA'!AB1908</f>
        <v>0</v>
      </c>
    </row>
    <row r="226" spans="5:18" x14ac:dyDescent="0.25">
      <c r="E226" s="43" t="str">
        <f>'MKT DATA'!B1909</f>
        <v>syn BTCV6/BTCZ6/BTCX6/BTCF7/BTCG7/BTCH7</v>
      </c>
      <c r="F226" s="13">
        <f>'MKT DATA'!J1909</f>
        <v>1</v>
      </c>
      <c r="G226" s="8">
        <f>'MKT DATA'!K1909</f>
        <v>85060</v>
      </c>
      <c r="H226" s="8">
        <f>'MKT DATA'!L1909</f>
        <v>85762</v>
      </c>
      <c r="I226" s="13">
        <f>'MKT DATA'!M1909</f>
        <v>1</v>
      </c>
      <c r="J226" s="43" t="str">
        <f t="shared" si="8"/>
        <v>syn BTCV6/BTCZ6/BTCX6/BTCF7/BTCG7/BTCH7</v>
      </c>
      <c r="K226" s="8">
        <f>'MKT DATA'!O1909</f>
        <v>0</v>
      </c>
      <c r="L226" s="8">
        <f>'MKT DATA'!P1909</f>
        <v>85060</v>
      </c>
      <c r="M226" s="8">
        <f>'MKT DATA'!Q1909</f>
        <v>0</v>
      </c>
      <c r="N226" s="8">
        <f>'MKT DATA'!R1909</f>
        <v>0</v>
      </c>
      <c r="O226" s="8">
        <f>'MKT DATA'!S1909</f>
        <v>-85762</v>
      </c>
      <c r="P226" s="8">
        <f>'MKT DATA'!T1909</f>
        <v>0</v>
      </c>
      <c r="Q226" s="43" t="str">
        <f t="shared" si="9"/>
        <v>syn BTCV6/BTCZ6/BTCX6/BTCF7/BTCG7/BTCH7</v>
      </c>
      <c r="R226" s="13">
        <f>'MKT DATA'!AB1909</f>
        <v>0</v>
      </c>
    </row>
    <row r="227" spans="5:18" x14ac:dyDescent="0.25">
      <c r="E227" s="43" t="str">
        <f>'MKT DATA'!B1910</f>
        <v>syn BTCV6/BTCZ6/BTCX6/BTCG7/BTCF7/BTCH7</v>
      </c>
      <c r="F227" s="13">
        <f>'MKT DATA'!J1910</f>
        <v>1</v>
      </c>
      <c r="G227" s="8">
        <f>'MKT DATA'!K1910</f>
        <v>84630</v>
      </c>
      <c r="H227" s="8">
        <f>'MKT DATA'!L1910</f>
        <v>86189</v>
      </c>
      <c r="I227" s="13">
        <f>'MKT DATA'!M1910</f>
        <v>1</v>
      </c>
      <c r="J227" s="43" t="str">
        <f t="shared" si="8"/>
        <v>syn BTCV6/BTCZ6/BTCX6/BTCG7/BTCF7/BTCH7</v>
      </c>
      <c r="K227" s="8">
        <f>'MKT DATA'!O1910</f>
        <v>0</v>
      </c>
      <c r="L227" s="8">
        <f>'MKT DATA'!P1910</f>
        <v>84630</v>
      </c>
      <c r="M227" s="8">
        <f>'MKT DATA'!Q1910</f>
        <v>0</v>
      </c>
      <c r="N227" s="8">
        <f>'MKT DATA'!R1910</f>
        <v>0</v>
      </c>
      <c r="O227" s="8">
        <f>'MKT DATA'!S1910</f>
        <v>-86189</v>
      </c>
      <c r="P227" s="8">
        <f>'MKT DATA'!T1910</f>
        <v>0</v>
      </c>
      <c r="Q227" s="43" t="str">
        <f t="shared" si="9"/>
        <v>syn BTCV6/BTCZ6/BTCX6/BTCG7/BTCF7/BTCH7</v>
      </c>
      <c r="R227" s="13">
        <f>'MKT DATA'!AB1910</f>
        <v>0</v>
      </c>
    </row>
    <row r="228" spans="5:18" x14ac:dyDescent="0.25">
      <c r="E228" s="43" t="str">
        <f>'MKT DATA'!B1911</f>
        <v>syn BTCV6/BTCZ6/BTCF7/BTCX6/BTCG7/BTCH7</v>
      </c>
      <c r="F228" s="13">
        <f>'MKT DATA'!J1911</f>
        <v>1</v>
      </c>
      <c r="G228" s="8">
        <f>'MKT DATA'!K1911</f>
        <v>84974</v>
      </c>
      <c r="H228" s="8">
        <f>'MKT DATA'!L1911</f>
        <v>85915</v>
      </c>
      <c r="I228" s="13">
        <f>'MKT DATA'!M1911</f>
        <v>1</v>
      </c>
      <c r="J228" s="43" t="str">
        <f t="shared" si="8"/>
        <v>syn BTCV6/BTCZ6/BTCF7/BTCX6/BTCG7/BTCH7</v>
      </c>
      <c r="K228" s="8">
        <f>'MKT DATA'!O1911</f>
        <v>0</v>
      </c>
      <c r="L228" s="8">
        <f>'MKT DATA'!P1911</f>
        <v>84974</v>
      </c>
      <c r="M228" s="8">
        <f>'MKT DATA'!Q1911</f>
        <v>0</v>
      </c>
      <c r="N228" s="8">
        <f>'MKT DATA'!R1911</f>
        <v>0</v>
      </c>
      <c r="O228" s="8">
        <f>'MKT DATA'!S1911</f>
        <v>-85915</v>
      </c>
      <c r="P228" s="8">
        <f>'MKT DATA'!T1911</f>
        <v>0</v>
      </c>
      <c r="Q228" s="43" t="str">
        <f t="shared" si="9"/>
        <v>syn BTCV6/BTCZ6/BTCF7/BTCX6/BTCG7/BTCH7</v>
      </c>
      <c r="R228" s="13">
        <f>'MKT DATA'!AB1911</f>
        <v>0</v>
      </c>
    </row>
    <row r="229" spans="5:18" x14ac:dyDescent="0.25">
      <c r="E229" s="43" t="str">
        <f>'MKT DATA'!B1912</f>
        <v>syn BTCV6/BTCZ6/BTCF7/BTCG7/BTCX6/BTCH7</v>
      </c>
      <c r="F229" s="13">
        <f>'MKT DATA'!J1912</f>
        <v>1</v>
      </c>
      <c r="G229" s="8">
        <f>'MKT DATA'!K1912</f>
        <v>84677</v>
      </c>
      <c r="H229" s="8">
        <f>'MKT DATA'!L1912</f>
        <v>86121</v>
      </c>
      <c r="I229" s="13">
        <f>'MKT DATA'!M1912</f>
        <v>1</v>
      </c>
      <c r="J229" s="43" t="str">
        <f t="shared" si="8"/>
        <v>syn BTCV6/BTCZ6/BTCF7/BTCG7/BTCX6/BTCH7</v>
      </c>
      <c r="K229" s="8">
        <f>'MKT DATA'!O1912</f>
        <v>0</v>
      </c>
      <c r="L229" s="8">
        <f>'MKT DATA'!P1912</f>
        <v>84677</v>
      </c>
      <c r="M229" s="8">
        <f>'MKT DATA'!Q1912</f>
        <v>0</v>
      </c>
      <c r="N229" s="8">
        <f>'MKT DATA'!R1912</f>
        <v>0</v>
      </c>
      <c r="O229" s="8">
        <f>'MKT DATA'!S1912</f>
        <v>-86121</v>
      </c>
      <c r="P229" s="8">
        <f>'MKT DATA'!T1912</f>
        <v>0</v>
      </c>
      <c r="Q229" s="43" t="str">
        <f t="shared" si="9"/>
        <v>syn BTCV6/BTCZ6/BTCF7/BTCG7/BTCX6/BTCH7</v>
      </c>
      <c r="R229" s="13">
        <f>'MKT DATA'!AB1912</f>
        <v>0</v>
      </c>
    </row>
    <row r="230" spans="5:18" x14ac:dyDescent="0.25">
      <c r="E230" s="43" t="str">
        <f>'MKT DATA'!B1913</f>
        <v>syn BTCV6/BTCZ6/BTCG7/BTCX6/BTCF7/BTCH7</v>
      </c>
      <c r="F230" s="13">
        <f>'MKT DATA'!J1913</f>
        <v>1</v>
      </c>
      <c r="G230" s="8">
        <f>'MKT DATA'!K1913</f>
        <v>84442</v>
      </c>
      <c r="H230" s="8">
        <f>'MKT DATA'!L1913</f>
        <v>86356</v>
      </c>
      <c r="I230" s="13">
        <f>'MKT DATA'!M1913</f>
        <v>1</v>
      </c>
      <c r="J230" s="43" t="str">
        <f t="shared" si="8"/>
        <v>syn BTCV6/BTCZ6/BTCG7/BTCX6/BTCF7/BTCH7</v>
      </c>
      <c r="K230" s="8">
        <f>'MKT DATA'!O1913</f>
        <v>0</v>
      </c>
      <c r="L230" s="8">
        <f>'MKT DATA'!P1913</f>
        <v>84442</v>
      </c>
      <c r="M230" s="8">
        <f>'MKT DATA'!Q1913</f>
        <v>0</v>
      </c>
      <c r="N230" s="8">
        <f>'MKT DATA'!R1913</f>
        <v>0</v>
      </c>
      <c r="O230" s="8">
        <f>'MKT DATA'!S1913</f>
        <v>-86356</v>
      </c>
      <c r="P230" s="8">
        <f>'MKT DATA'!T1913</f>
        <v>0</v>
      </c>
      <c r="Q230" s="43" t="str">
        <f t="shared" si="9"/>
        <v>syn BTCV6/BTCZ6/BTCG7/BTCX6/BTCF7/BTCH7</v>
      </c>
      <c r="R230" s="13">
        <f>'MKT DATA'!AB1913</f>
        <v>0</v>
      </c>
    </row>
    <row r="231" spans="5:18" x14ac:dyDescent="0.25">
      <c r="E231" s="43" t="str">
        <f>'MKT DATA'!B1914</f>
        <v>syn BTCV6/BTCZ6/BTCG7/BTCF7/BTCX6/BTCH7</v>
      </c>
      <c r="F231" s="13">
        <f>'MKT DATA'!J1914</f>
        <v>1</v>
      </c>
      <c r="G231" s="8">
        <f>'MKT DATA'!K1914</f>
        <v>84647</v>
      </c>
      <c r="H231" s="8">
        <f>'MKT DATA'!L1914</f>
        <v>86207</v>
      </c>
      <c r="I231" s="13">
        <f>'MKT DATA'!M1914</f>
        <v>1</v>
      </c>
      <c r="J231" s="43" t="str">
        <f t="shared" si="8"/>
        <v>syn BTCV6/BTCZ6/BTCG7/BTCF7/BTCX6/BTCH7</v>
      </c>
      <c r="K231" s="8">
        <f>'MKT DATA'!O1914</f>
        <v>0</v>
      </c>
      <c r="L231" s="8">
        <f>'MKT DATA'!P1914</f>
        <v>84647</v>
      </c>
      <c r="M231" s="8">
        <f>'MKT DATA'!Q1914</f>
        <v>0</v>
      </c>
      <c r="N231" s="8">
        <f>'MKT DATA'!R1914</f>
        <v>0</v>
      </c>
      <c r="O231" s="8">
        <f>'MKT DATA'!S1914</f>
        <v>-86207</v>
      </c>
      <c r="P231" s="8">
        <f>'MKT DATA'!T1914</f>
        <v>0</v>
      </c>
      <c r="Q231" s="43" t="str">
        <f t="shared" si="9"/>
        <v>syn BTCV6/BTCZ6/BTCG7/BTCF7/BTCX6/BTCH7</v>
      </c>
      <c r="R231" s="13">
        <f>'MKT DATA'!AB1914</f>
        <v>0</v>
      </c>
    </row>
    <row r="232" spans="5:18" x14ac:dyDescent="0.25">
      <c r="E232" s="43" t="str">
        <f>'MKT DATA'!B1915</f>
        <v>syn BTCV6/BTCF7/BTCX6/BTCZ6/BTCG7/BTCH7</v>
      </c>
      <c r="F232" s="13">
        <f>'MKT DATA'!J1915</f>
        <v>1</v>
      </c>
      <c r="G232" s="8">
        <f>'MKT DATA'!K1915</f>
        <v>84891</v>
      </c>
      <c r="H232" s="8">
        <f>'MKT DATA'!L1915</f>
        <v>85979</v>
      </c>
      <c r="I232" s="13">
        <f>'MKT DATA'!M1915</f>
        <v>1</v>
      </c>
      <c r="J232" s="43" t="str">
        <f t="shared" si="8"/>
        <v>syn BTCV6/BTCF7/BTCX6/BTCZ6/BTCG7/BTCH7</v>
      </c>
      <c r="K232" s="8">
        <f>'MKT DATA'!O1915</f>
        <v>0</v>
      </c>
      <c r="L232" s="8">
        <f>'MKT DATA'!P1915</f>
        <v>84891</v>
      </c>
      <c r="M232" s="8">
        <f>'MKT DATA'!Q1915</f>
        <v>0</v>
      </c>
      <c r="N232" s="8">
        <f>'MKT DATA'!R1915</f>
        <v>0</v>
      </c>
      <c r="O232" s="8">
        <f>'MKT DATA'!S1915</f>
        <v>-85979</v>
      </c>
      <c r="P232" s="8">
        <f>'MKT DATA'!T1915</f>
        <v>0</v>
      </c>
      <c r="Q232" s="43" t="str">
        <f t="shared" si="9"/>
        <v>syn BTCV6/BTCF7/BTCX6/BTCZ6/BTCG7/BTCH7</v>
      </c>
      <c r="R232" s="13">
        <f>'MKT DATA'!AB1915</f>
        <v>0</v>
      </c>
    </row>
    <row r="233" spans="5:18" x14ac:dyDescent="0.25">
      <c r="E233" s="43" t="str">
        <f>'MKT DATA'!B1916</f>
        <v>syn BTCV6/BTCF7/BTCX6/BTCG7/BTCZ6/BTCH7</v>
      </c>
      <c r="F233" s="13">
        <f>'MKT DATA'!J1916</f>
        <v>1</v>
      </c>
      <c r="G233" s="8">
        <f>'MKT DATA'!K1916</f>
        <v>84637</v>
      </c>
      <c r="H233" s="8">
        <f>'MKT DATA'!L1916</f>
        <v>86343</v>
      </c>
      <c r="I233" s="13">
        <f>'MKT DATA'!M1916</f>
        <v>1</v>
      </c>
      <c r="J233" s="43" t="str">
        <f t="shared" si="8"/>
        <v>syn BTCV6/BTCF7/BTCX6/BTCG7/BTCZ6/BTCH7</v>
      </c>
      <c r="K233" s="8">
        <f>'MKT DATA'!O1916</f>
        <v>0</v>
      </c>
      <c r="L233" s="8">
        <f>'MKT DATA'!P1916</f>
        <v>84637</v>
      </c>
      <c r="M233" s="8">
        <f>'MKT DATA'!Q1916</f>
        <v>0</v>
      </c>
      <c r="N233" s="8">
        <f>'MKT DATA'!R1916</f>
        <v>0</v>
      </c>
      <c r="O233" s="8">
        <f>'MKT DATA'!S1916</f>
        <v>-86343</v>
      </c>
      <c r="P233" s="8">
        <f>'MKT DATA'!T1916</f>
        <v>0</v>
      </c>
      <c r="Q233" s="43" t="str">
        <f t="shared" si="9"/>
        <v>syn BTCV6/BTCF7/BTCX6/BTCG7/BTCZ6/BTCH7</v>
      </c>
      <c r="R233" s="13">
        <f>'MKT DATA'!AB1916</f>
        <v>0</v>
      </c>
    </row>
    <row r="234" spans="5:18" x14ac:dyDescent="0.25">
      <c r="E234" s="43" t="str">
        <f>'MKT DATA'!B1917</f>
        <v>syn BTCV6/BTCF7/BTCZ6/BTCX6/BTCG7/BTCH7</v>
      </c>
      <c r="F234" s="13">
        <f>'MKT DATA'!J1917</f>
        <v>1</v>
      </c>
      <c r="G234" s="8">
        <f>'MKT DATA'!K1917</f>
        <v>84926</v>
      </c>
      <c r="H234" s="8">
        <f>'MKT DATA'!L1917</f>
        <v>85898</v>
      </c>
      <c r="I234" s="13">
        <f>'MKT DATA'!M1917</f>
        <v>1</v>
      </c>
      <c r="J234" s="43" t="str">
        <f t="shared" si="8"/>
        <v>syn BTCV6/BTCF7/BTCZ6/BTCX6/BTCG7/BTCH7</v>
      </c>
      <c r="K234" s="8">
        <f>'MKT DATA'!O1917</f>
        <v>0</v>
      </c>
      <c r="L234" s="8">
        <f>'MKT DATA'!P1917</f>
        <v>84926</v>
      </c>
      <c r="M234" s="8">
        <f>'MKT DATA'!Q1917</f>
        <v>0</v>
      </c>
      <c r="N234" s="8">
        <f>'MKT DATA'!R1917</f>
        <v>0</v>
      </c>
      <c r="O234" s="8">
        <f>'MKT DATA'!S1917</f>
        <v>-85898</v>
      </c>
      <c r="P234" s="8">
        <f>'MKT DATA'!T1917</f>
        <v>0</v>
      </c>
      <c r="Q234" s="43" t="str">
        <f t="shared" si="9"/>
        <v>syn BTCV6/BTCF7/BTCZ6/BTCX6/BTCG7/BTCH7</v>
      </c>
      <c r="R234" s="13">
        <f>'MKT DATA'!AB1917</f>
        <v>0</v>
      </c>
    </row>
    <row r="235" spans="5:18" x14ac:dyDescent="0.25">
      <c r="E235" s="43" t="str">
        <f>'MKT DATA'!B1918</f>
        <v>syn BTCV6/BTCF7/BTCZ6/BTCG7/BTCX6/BTCH7</v>
      </c>
      <c r="F235" s="13">
        <f>'MKT DATA'!J1918</f>
        <v>1</v>
      </c>
      <c r="G235" s="8">
        <f>'MKT DATA'!K1918</f>
        <v>84477</v>
      </c>
      <c r="H235" s="8">
        <f>'MKT DATA'!L1918</f>
        <v>86307</v>
      </c>
      <c r="I235" s="13">
        <f>'MKT DATA'!M1918</f>
        <v>1</v>
      </c>
      <c r="J235" s="43" t="str">
        <f t="shared" si="8"/>
        <v>syn BTCV6/BTCF7/BTCZ6/BTCG7/BTCX6/BTCH7</v>
      </c>
      <c r="K235" s="8">
        <f>'MKT DATA'!O1918</f>
        <v>0</v>
      </c>
      <c r="L235" s="8">
        <f>'MKT DATA'!P1918</f>
        <v>84477</v>
      </c>
      <c r="M235" s="8">
        <f>'MKT DATA'!Q1918</f>
        <v>0</v>
      </c>
      <c r="N235" s="8">
        <f>'MKT DATA'!R1918</f>
        <v>0</v>
      </c>
      <c r="O235" s="8">
        <f>'MKT DATA'!S1918</f>
        <v>-86307</v>
      </c>
      <c r="P235" s="8">
        <f>'MKT DATA'!T1918</f>
        <v>0</v>
      </c>
      <c r="Q235" s="43" t="str">
        <f t="shared" si="9"/>
        <v>syn BTCV6/BTCF7/BTCZ6/BTCG7/BTCX6/BTCH7</v>
      </c>
      <c r="R235" s="13">
        <f>'MKT DATA'!AB1918</f>
        <v>0</v>
      </c>
    </row>
    <row r="236" spans="5:18" x14ac:dyDescent="0.25">
      <c r="E236" s="43" t="str">
        <f>'MKT DATA'!B1919</f>
        <v>syn BTCV6/BTCF7/BTCG7/BTCX6/BTCZ6/BTCH7</v>
      </c>
      <c r="F236" s="13">
        <f>'MKT DATA'!J1919</f>
        <v>1</v>
      </c>
      <c r="G236" s="8">
        <f>'MKT DATA'!K1919</f>
        <v>84804</v>
      </c>
      <c r="H236" s="8">
        <f>'MKT DATA'!L1919</f>
        <v>86155</v>
      </c>
      <c r="I236" s="13">
        <f>'MKT DATA'!M1919</f>
        <v>1</v>
      </c>
      <c r="J236" s="43" t="str">
        <f t="shared" si="8"/>
        <v>syn BTCV6/BTCF7/BTCG7/BTCX6/BTCZ6/BTCH7</v>
      </c>
      <c r="K236" s="8">
        <f>'MKT DATA'!O1919</f>
        <v>0</v>
      </c>
      <c r="L236" s="8">
        <f>'MKT DATA'!P1919</f>
        <v>84804</v>
      </c>
      <c r="M236" s="8">
        <f>'MKT DATA'!Q1919</f>
        <v>0</v>
      </c>
      <c r="N236" s="8">
        <f>'MKT DATA'!R1919</f>
        <v>0</v>
      </c>
      <c r="O236" s="8">
        <f>'MKT DATA'!S1919</f>
        <v>-86155</v>
      </c>
      <c r="P236" s="8">
        <f>'MKT DATA'!T1919</f>
        <v>0</v>
      </c>
      <c r="Q236" s="43" t="str">
        <f t="shared" si="9"/>
        <v>syn BTCV6/BTCF7/BTCG7/BTCX6/BTCZ6/BTCH7</v>
      </c>
      <c r="R236" s="13">
        <f>'MKT DATA'!AB1919</f>
        <v>0</v>
      </c>
    </row>
    <row r="237" spans="5:18" x14ac:dyDescent="0.25">
      <c r="E237" s="43" t="str">
        <f>'MKT DATA'!B1920</f>
        <v>syn BTCV6/BTCF7/BTCG7/BTCZ6/BTCX6/BTCH7</v>
      </c>
      <c r="F237" s="13">
        <f>'MKT DATA'!J1920</f>
        <v>1</v>
      </c>
      <c r="G237" s="8">
        <f>'MKT DATA'!K1920</f>
        <v>84579</v>
      </c>
      <c r="H237" s="8">
        <f>'MKT DATA'!L1920</f>
        <v>86170</v>
      </c>
      <c r="I237" s="13">
        <f>'MKT DATA'!M1920</f>
        <v>1</v>
      </c>
      <c r="J237" s="43" t="str">
        <f t="shared" si="8"/>
        <v>syn BTCV6/BTCF7/BTCG7/BTCZ6/BTCX6/BTCH7</v>
      </c>
      <c r="K237" s="8">
        <f>'MKT DATA'!O1920</f>
        <v>0</v>
      </c>
      <c r="L237" s="8">
        <f>'MKT DATA'!P1920</f>
        <v>84579</v>
      </c>
      <c r="M237" s="8">
        <f>'MKT DATA'!Q1920</f>
        <v>0</v>
      </c>
      <c r="N237" s="8">
        <f>'MKT DATA'!R1920</f>
        <v>0</v>
      </c>
      <c r="O237" s="8">
        <f>'MKT DATA'!S1920</f>
        <v>-86170</v>
      </c>
      <c r="P237" s="8">
        <f>'MKT DATA'!T1920</f>
        <v>0</v>
      </c>
      <c r="Q237" s="43" t="str">
        <f t="shared" si="9"/>
        <v>syn BTCV6/BTCF7/BTCG7/BTCZ6/BTCX6/BTCH7</v>
      </c>
      <c r="R237" s="13">
        <f>'MKT DATA'!AB1920</f>
        <v>0</v>
      </c>
    </row>
    <row r="238" spans="5:18" x14ac:dyDescent="0.25">
      <c r="E238" s="43" t="str">
        <f>'MKT DATA'!B1921</f>
        <v>syn BTCV6/BTCG7/BTCX6/BTCZ6/BTCF7/BTCH7</v>
      </c>
      <c r="F238" s="13">
        <f>'MKT DATA'!J1921</f>
        <v>1</v>
      </c>
      <c r="G238" s="8">
        <f>'MKT DATA'!K1921</f>
        <v>84531</v>
      </c>
      <c r="H238" s="8">
        <f>'MKT DATA'!L1921</f>
        <v>86290</v>
      </c>
      <c r="I238" s="13">
        <f>'MKT DATA'!M1921</f>
        <v>1</v>
      </c>
      <c r="J238" s="43" t="str">
        <f t="shared" si="8"/>
        <v>syn BTCV6/BTCG7/BTCX6/BTCZ6/BTCF7/BTCH7</v>
      </c>
      <c r="K238" s="8">
        <f>'MKT DATA'!O1921</f>
        <v>0</v>
      </c>
      <c r="L238" s="8">
        <f>'MKT DATA'!P1921</f>
        <v>84531</v>
      </c>
      <c r="M238" s="8">
        <f>'MKT DATA'!Q1921</f>
        <v>0</v>
      </c>
      <c r="N238" s="8">
        <f>'MKT DATA'!R1921</f>
        <v>0</v>
      </c>
      <c r="O238" s="8">
        <f>'MKT DATA'!S1921</f>
        <v>-86290</v>
      </c>
      <c r="P238" s="8">
        <f>'MKT DATA'!T1921</f>
        <v>0</v>
      </c>
      <c r="Q238" s="43" t="str">
        <f t="shared" si="9"/>
        <v>syn BTCV6/BTCG7/BTCX6/BTCZ6/BTCF7/BTCH7</v>
      </c>
      <c r="R238" s="13">
        <f>'MKT DATA'!AB1921</f>
        <v>0</v>
      </c>
    </row>
    <row r="239" spans="5:18" x14ac:dyDescent="0.25">
      <c r="E239" s="43" t="str">
        <f>'MKT DATA'!B1922</f>
        <v>syn BTCV6/BTCG7/BTCX6/BTCF7/BTCZ6/BTCH7</v>
      </c>
      <c r="F239" s="13">
        <f>'MKT DATA'!J1922</f>
        <v>1</v>
      </c>
      <c r="G239" s="8">
        <f>'MKT DATA'!K1922</f>
        <v>84727</v>
      </c>
      <c r="H239" s="8">
        <f>'MKT DATA'!L1922</f>
        <v>86247</v>
      </c>
      <c r="I239" s="13">
        <f>'MKT DATA'!M1922</f>
        <v>1</v>
      </c>
      <c r="J239" s="43" t="str">
        <f t="shared" si="8"/>
        <v>syn BTCV6/BTCG7/BTCX6/BTCF7/BTCZ6/BTCH7</v>
      </c>
      <c r="K239" s="8">
        <f>'MKT DATA'!O1922</f>
        <v>0</v>
      </c>
      <c r="L239" s="8">
        <f>'MKT DATA'!P1922</f>
        <v>84727</v>
      </c>
      <c r="M239" s="8">
        <f>'MKT DATA'!Q1922</f>
        <v>0</v>
      </c>
      <c r="N239" s="8">
        <f>'MKT DATA'!R1922</f>
        <v>0</v>
      </c>
      <c r="O239" s="8">
        <f>'MKT DATA'!S1922</f>
        <v>-86247</v>
      </c>
      <c r="P239" s="8">
        <f>'MKT DATA'!T1922</f>
        <v>0</v>
      </c>
      <c r="Q239" s="43" t="str">
        <f t="shared" si="9"/>
        <v>syn BTCV6/BTCG7/BTCX6/BTCF7/BTCZ6/BTCH7</v>
      </c>
      <c r="R239" s="13">
        <f>'MKT DATA'!AB1922</f>
        <v>0</v>
      </c>
    </row>
    <row r="240" spans="5:18" x14ac:dyDescent="0.25">
      <c r="E240" s="43" t="str">
        <f>'MKT DATA'!B1923</f>
        <v>syn BTCV6/BTCG7/BTCZ6/BTCX6/BTCF7/BTCH7</v>
      </c>
      <c r="F240" s="13">
        <f>'MKT DATA'!J1923</f>
        <v>1</v>
      </c>
      <c r="G240" s="8">
        <f>'MKT DATA'!K1923</f>
        <v>84450</v>
      </c>
      <c r="H240" s="8">
        <f>'MKT DATA'!L1923</f>
        <v>86325</v>
      </c>
      <c r="I240" s="13">
        <f>'MKT DATA'!M1923</f>
        <v>1</v>
      </c>
      <c r="J240" s="43" t="str">
        <f t="shared" si="8"/>
        <v>syn BTCV6/BTCG7/BTCZ6/BTCX6/BTCF7/BTCH7</v>
      </c>
      <c r="K240" s="8">
        <f>'MKT DATA'!O1923</f>
        <v>0</v>
      </c>
      <c r="L240" s="8">
        <f>'MKT DATA'!P1923</f>
        <v>84450</v>
      </c>
      <c r="M240" s="8">
        <f>'MKT DATA'!Q1923</f>
        <v>0</v>
      </c>
      <c r="N240" s="8">
        <f>'MKT DATA'!R1923</f>
        <v>0</v>
      </c>
      <c r="O240" s="8">
        <f>'MKT DATA'!S1923</f>
        <v>-86325</v>
      </c>
      <c r="P240" s="8">
        <f>'MKT DATA'!T1923</f>
        <v>0</v>
      </c>
      <c r="Q240" s="43" t="str">
        <f t="shared" si="9"/>
        <v>syn BTCV6/BTCG7/BTCZ6/BTCX6/BTCF7/BTCH7</v>
      </c>
      <c r="R240" s="13">
        <f>'MKT DATA'!AB1923</f>
        <v>0</v>
      </c>
    </row>
    <row r="241" spans="5:18" x14ac:dyDescent="0.25">
      <c r="E241" s="43" t="str">
        <f>'MKT DATA'!B1924</f>
        <v>syn BTCV6/BTCG7/BTCZ6/BTCF7/BTCX6/BTCH7</v>
      </c>
      <c r="F241" s="13">
        <f>'MKT DATA'!J1924</f>
        <v>1</v>
      </c>
      <c r="G241" s="8">
        <f>'MKT DATA'!K1924</f>
        <v>84533</v>
      </c>
      <c r="H241" s="8">
        <f>'MKT DATA'!L1924</f>
        <v>86293</v>
      </c>
      <c r="I241" s="13">
        <f>'MKT DATA'!M1924</f>
        <v>1</v>
      </c>
      <c r="J241" s="43" t="str">
        <f t="shared" si="8"/>
        <v>syn BTCV6/BTCG7/BTCZ6/BTCF7/BTCX6/BTCH7</v>
      </c>
      <c r="K241" s="8">
        <f>'MKT DATA'!O1924</f>
        <v>0</v>
      </c>
      <c r="L241" s="8">
        <f>'MKT DATA'!P1924</f>
        <v>84533</v>
      </c>
      <c r="M241" s="8">
        <f>'MKT DATA'!Q1924</f>
        <v>0</v>
      </c>
      <c r="N241" s="8">
        <f>'MKT DATA'!R1924</f>
        <v>0</v>
      </c>
      <c r="O241" s="8">
        <f>'MKT DATA'!S1924</f>
        <v>-86293</v>
      </c>
      <c r="P241" s="8">
        <f>'MKT DATA'!T1924</f>
        <v>0</v>
      </c>
      <c r="Q241" s="43" t="str">
        <f t="shared" si="9"/>
        <v>syn BTCV6/BTCG7/BTCZ6/BTCF7/BTCX6/BTCH7</v>
      </c>
      <c r="R241" s="13">
        <f>'MKT DATA'!AB1924</f>
        <v>0</v>
      </c>
    </row>
    <row r="242" spans="5:18" x14ac:dyDescent="0.25">
      <c r="E242" s="43" t="str">
        <f>'MKT DATA'!B1925</f>
        <v>syn BTCV6/BTCG7/BTCF7/BTCX6/BTCZ6/BTCH7</v>
      </c>
      <c r="F242" s="13">
        <f>'MKT DATA'!J1925</f>
        <v>1</v>
      </c>
      <c r="G242" s="8">
        <f>'MKT DATA'!K1925</f>
        <v>84880</v>
      </c>
      <c r="H242" s="8">
        <f>'MKT DATA'!L1925</f>
        <v>86161</v>
      </c>
      <c r="I242" s="13">
        <f>'MKT DATA'!M1925</f>
        <v>1</v>
      </c>
      <c r="J242" s="43" t="str">
        <f t="shared" si="8"/>
        <v>syn BTCV6/BTCG7/BTCF7/BTCX6/BTCZ6/BTCH7</v>
      </c>
      <c r="K242" s="8">
        <f>'MKT DATA'!O1925</f>
        <v>0</v>
      </c>
      <c r="L242" s="8">
        <f>'MKT DATA'!P1925</f>
        <v>84880</v>
      </c>
      <c r="M242" s="8">
        <f>'MKT DATA'!Q1925</f>
        <v>0</v>
      </c>
      <c r="N242" s="8">
        <f>'MKT DATA'!R1925</f>
        <v>0</v>
      </c>
      <c r="O242" s="8">
        <f>'MKT DATA'!S1925</f>
        <v>-86161</v>
      </c>
      <c r="P242" s="8">
        <f>'MKT DATA'!T1925</f>
        <v>0</v>
      </c>
      <c r="Q242" s="43" t="str">
        <f t="shared" si="9"/>
        <v>syn BTCV6/BTCG7/BTCF7/BTCX6/BTCZ6/BTCH7</v>
      </c>
      <c r="R242" s="13">
        <f>'MKT DATA'!AB1925</f>
        <v>0</v>
      </c>
    </row>
    <row r="243" spans="5:18" x14ac:dyDescent="0.25">
      <c r="E243" s="43" t="str">
        <f>'MKT DATA'!B1926</f>
        <v>syn BTCV6/BTCG7/BTCF7/BTCZ6/BTCX6/BTCH7</v>
      </c>
      <c r="F243" s="13">
        <f>'MKT DATA'!J1926</f>
        <v>1</v>
      </c>
      <c r="G243" s="8">
        <f>'MKT DATA'!K1926</f>
        <v>84705</v>
      </c>
      <c r="H243" s="8">
        <f>'MKT DATA'!L1926</f>
        <v>86110</v>
      </c>
      <c r="I243" s="13">
        <f>'MKT DATA'!M1926</f>
        <v>1</v>
      </c>
      <c r="J243" s="43" t="str">
        <f t="shared" si="8"/>
        <v>syn BTCV6/BTCG7/BTCF7/BTCZ6/BTCX6/BTCH7</v>
      </c>
      <c r="K243" s="8">
        <f>'MKT DATA'!O1926</f>
        <v>0</v>
      </c>
      <c r="L243" s="8">
        <f>'MKT DATA'!P1926</f>
        <v>84705</v>
      </c>
      <c r="M243" s="8">
        <f>'MKT DATA'!Q1926</f>
        <v>0</v>
      </c>
      <c r="N243" s="8">
        <f>'MKT DATA'!R1926</f>
        <v>0</v>
      </c>
      <c r="O243" s="8">
        <f>'MKT DATA'!S1926</f>
        <v>-86110</v>
      </c>
      <c r="P243" s="8">
        <f>'MKT DATA'!T1926</f>
        <v>0</v>
      </c>
      <c r="Q243" s="43" t="str">
        <f t="shared" si="9"/>
        <v>syn BTCV6/BTCG7/BTCF7/BTCZ6/BTCX6/BTCH7</v>
      </c>
      <c r="R243" s="13">
        <f>'MKT DATA'!AB1926</f>
        <v>0</v>
      </c>
    </row>
    <row r="244" spans="5:18" x14ac:dyDescent="0.25">
      <c r="E244" s="43" t="str">
        <f>'MKT DATA'!B1927</f>
        <v>syn BTCX6/BTCV6/BTCZ6/BTCF7/BTCG7/BTCH7</v>
      </c>
      <c r="F244" s="13">
        <f>'MKT DATA'!J1927</f>
        <v>1</v>
      </c>
      <c r="G244" s="8">
        <f>'MKT DATA'!K1927</f>
        <v>85111</v>
      </c>
      <c r="H244" s="8">
        <f>'MKT DATA'!L1927</f>
        <v>85749</v>
      </c>
      <c r="I244" s="13">
        <f>'MKT DATA'!M1927</f>
        <v>1</v>
      </c>
      <c r="J244" s="43" t="str">
        <f t="shared" si="8"/>
        <v>syn BTCX6/BTCV6/BTCZ6/BTCF7/BTCG7/BTCH7</v>
      </c>
      <c r="K244" s="8">
        <f>'MKT DATA'!O1927</f>
        <v>0</v>
      </c>
      <c r="L244" s="8">
        <f>'MKT DATA'!P1927</f>
        <v>85111</v>
      </c>
      <c r="M244" s="8">
        <f>'MKT DATA'!Q1927</f>
        <v>0</v>
      </c>
      <c r="N244" s="8">
        <f>'MKT DATA'!R1927</f>
        <v>0</v>
      </c>
      <c r="O244" s="8">
        <f>'MKT DATA'!S1927</f>
        <v>-85749</v>
      </c>
      <c r="P244" s="8">
        <f>'MKT DATA'!T1927</f>
        <v>0</v>
      </c>
      <c r="Q244" s="43" t="str">
        <f t="shared" si="9"/>
        <v>syn BTCX6/BTCV6/BTCZ6/BTCF7/BTCG7/BTCH7</v>
      </c>
      <c r="R244" s="13">
        <f>'MKT DATA'!AB1927</f>
        <v>0</v>
      </c>
    </row>
    <row r="245" spans="5:18" x14ac:dyDescent="0.25">
      <c r="E245" s="43" t="str">
        <f>'MKT DATA'!B1928</f>
        <v>syn BTCX6/BTCV6/BTCZ6/BTCG7/BTCF7/BTCH7</v>
      </c>
      <c r="F245" s="13">
        <f>'MKT DATA'!J1928</f>
        <v>1</v>
      </c>
      <c r="G245" s="8">
        <f>'MKT DATA'!K1928</f>
        <v>84615</v>
      </c>
      <c r="H245" s="8">
        <f>'MKT DATA'!L1928</f>
        <v>86226</v>
      </c>
      <c r="I245" s="13">
        <f>'MKT DATA'!M1928</f>
        <v>1</v>
      </c>
      <c r="J245" s="43" t="str">
        <f t="shared" si="8"/>
        <v>syn BTCX6/BTCV6/BTCZ6/BTCG7/BTCF7/BTCH7</v>
      </c>
      <c r="K245" s="8">
        <f>'MKT DATA'!O1928</f>
        <v>0</v>
      </c>
      <c r="L245" s="8">
        <f>'MKT DATA'!P1928</f>
        <v>84615</v>
      </c>
      <c r="M245" s="8">
        <f>'MKT DATA'!Q1928</f>
        <v>0</v>
      </c>
      <c r="N245" s="8">
        <f>'MKT DATA'!R1928</f>
        <v>0</v>
      </c>
      <c r="O245" s="8">
        <f>'MKT DATA'!S1928</f>
        <v>-86226</v>
      </c>
      <c r="P245" s="8">
        <f>'MKT DATA'!T1928</f>
        <v>0</v>
      </c>
      <c r="Q245" s="43" t="str">
        <f t="shared" si="9"/>
        <v>syn BTCX6/BTCV6/BTCZ6/BTCG7/BTCF7/BTCH7</v>
      </c>
      <c r="R245" s="13">
        <f>'MKT DATA'!AB1928</f>
        <v>0</v>
      </c>
    </row>
    <row r="246" spans="5:18" x14ac:dyDescent="0.25">
      <c r="E246" s="43" t="str">
        <f>'MKT DATA'!B1929</f>
        <v>syn BTCX6/BTCV6/BTCF7/BTCZ6/BTCG7/BTCH7</v>
      </c>
      <c r="F246" s="13">
        <f>'MKT DATA'!J1929</f>
        <v>1</v>
      </c>
      <c r="G246" s="8">
        <f>'MKT DATA'!K1929</f>
        <v>84911</v>
      </c>
      <c r="H246" s="8">
        <f>'MKT DATA'!L1929</f>
        <v>85935</v>
      </c>
      <c r="I246" s="13">
        <f>'MKT DATA'!M1929</f>
        <v>1</v>
      </c>
      <c r="J246" s="43" t="str">
        <f t="shared" si="8"/>
        <v>syn BTCX6/BTCV6/BTCF7/BTCZ6/BTCG7/BTCH7</v>
      </c>
      <c r="K246" s="8">
        <f>'MKT DATA'!O1929</f>
        <v>0</v>
      </c>
      <c r="L246" s="8">
        <f>'MKT DATA'!P1929</f>
        <v>84911</v>
      </c>
      <c r="M246" s="8">
        <f>'MKT DATA'!Q1929</f>
        <v>0</v>
      </c>
      <c r="N246" s="8">
        <f>'MKT DATA'!R1929</f>
        <v>0</v>
      </c>
      <c r="O246" s="8">
        <f>'MKT DATA'!S1929</f>
        <v>-85935</v>
      </c>
      <c r="P246" s="8">
        <f>'MKT DATA'!T1929</f>
        <v>0</v>
      </c>
      <c r="Q246" s="43" t="str">
        <f t="shared" si="9"/>
        <v>syn BTCX6/BTCV6/BTCF7/BTCZ6/BTCG7/BTCH7</v>
      </c>
      <c r="R246" s="13">
        <f>'MKT DATA'!AB1929</f>
        <v>0</v>
      </c>
    </row>
    <row r="247" spans="5:18" x14ac:dyDescent="0.25">
      <c r="E247" s="43" t="str">
        <f>'MKT DATA'!B1930</f>
        <v>syn BTCX6/BTCV6/BTCF7/BTCG7/BTCZ6/BTCH7</v>
      </c>
      <c r="F247" s="13">
        <f>'MKT DATA'!J1930</f>
        <v>1</v>
      </c>
      <c r="G247" s="8">
        <f>'MKT DATA'!K1930</f>
        <v>84774</v>
      </c>
      <c r="H247" s="8">
        <f>'MKT DATA'!L1930</f>
        <v>86177</v>
      </c>
      <c r="I247" s="13">
        <f>'MKT DATA'!M1930</f>
        <v>1</v>
      </c>
      <c r="J247" s="43" t="str">
        <f t="shared" si="8"/>
        <v>syn BTCX6/BTCV6/BTCF7/BTCG7/BTCZ6/BTCH7</v>
      </c>
      <c r="K247" s="8">
        <f>'MKT DATA'!O1930</f>
        <v>0</v>
      </c>
      <c r="L247" s="8">
        <f>'MKT DATA'!P1930</f>
        <v>84774</v>
      </c>
      <c r="M247" s="8">
        <f>'MKT DATA'!Q1930</f>
        <v>0</v>
      </c>
      <c r="N247" s="8">
        <f>'MKT DATA'!R1930</f>
        <v>0</v>
      </c>
      <c r="O247" s="8">
        <f>'MKT DATA'!S1930</f>
        <v>-86177</v>
      </c>
      <c r="P247" s="8">
        <f>'MKT DATA'!T1930</f>
        <v>0</v>
      </c>
      <c r="Q247" s="43" t="str">
        <f t="shared" si="9"/>
        <v>syn BTCX6/BTCV6/BTCF7/BTCG7/BTCZ6/BTCH7</v>
      </c>
      <c r="R247" s="13">
        <f>'MKT DATA'!AB1930</f>
        <v>0</v>
      </c>
    </row>
    <row r="248" spans="5:18" x14ac:dyDescent="0.25">
      <c r="E248" s="43" t="str">
        <f>'MKT DATA'!B1931</f>
        <v>syn BTCX6/BTCV6/BTCG7/BTCZ6/BTCF7/BTCH7</v>
      </c>
      <c r="F248" s="13">
        <f>'MKT DATA'!J1931</f>
        <v>1</v>
      </c>
      <c r="G248" s="8">
        <f>'MKT DATA'!K1931</f>
        <v>84501</v>
      </c>
      <c r="H248" s="8">
        <f>'MKT DATA'!L1931</f>
        <v>86312</v>
      </c>
      <c r="I248" s="13">
        <f>'MKT DATA'!M1931</f>
        <v>1</v>
      </c>
      <c r="J248" s="43" t="str">
        <f t="shared" si="8"/>
        <v>syn BTCX6/BTCV6/BTCG7/BTCZ6/BTCF7/BTCH7</v>
      </c>
      <c r="K248" s="8">
        <f>'MKT DATA'!O1931</f>
        <v>0</v>
      </c>
      <c r="L248" s="8">
        <f>'MKT DATA'!P1931</f>
        <v>84501</v>
      </c>
      <c r="M248" s="8">
        <f>'MKT DATA'!Q1931</f>
        <v>0</v>
      </c>
      <c r="N248" s="8">
        <f>'MKT DATA'!R1931</f>
        <v>0</v>
      </c>
      <c r="O248" s="8">
        <f>'MKT DATA'!S1931</f>
        <v>-86312</v>
      </c>
      <c r="P248" s="8">
        <f>'MKT DATA'!T1931</f>
        <v>0</v>
      </c>
      <c r="Q248" s="43" t="str">
        <f t="shared" si="9"/>
        <v>syn BTCX6/BTCV6/BTCG7/BTCZ6/BTCF7/BTCH7</v>
      </c>
      <c r="R248" s="13">
        <f>'MKT DATA'!AB1931</f>
        <v>0</v>
      </c>
    </row>
    <row r="249" spans="5:18" x14ac:dyDescent="0.25">
      <c r="E249" s="43" t="str">
        <f>'MKT DATA'!B1932</f>
        <v>syn BTCX6/BTCV6/BTCG7/BTCF7/BTCZ6/BTCH7</v>
      </c>
      <c r="F249" s="13">
        <f>'MKT DATA'!J1932</f>
        <v>1</v>
      </c>
      <c r="G249" s="8">
        <f>'MKT DATA'!K1932</f>
        <v>84900</v>
      </c>
      <c r="H249" s="8">
        <f>'MKT DATA'!L1932</f>
        <v>86117</v>
      </c>
      <c r="I249" s="13">
        <f>'MKT DATA'!M1932</f>
        <v>1</v>
      </c>
      <c r="J249" s="43" t="str">
        <f t="shared" si="8"/>
        <v>syn BTCX6/BTCV6/BTCG7/BTCF7/BTCZ6/BTCH7</v>
      </c>
      <c r="K249" s="8">
        <f>'MKT DATA'!O1932</f>
        <v>0</v>
      </c>
      <c r="L249" s="8">
        <f>'MKT DATA'!P1932</f>
        <v>84900</v>
      </c>
      <c r="M249" s="8">
        <f>'MKT DATA'!Q1932</f>
        <v>0</v>
      </c>
      <c r="N249" s="8">
        <f>'MKT DATA'!R1932</f>
        <v>0</v>
      </c>
      <c r="O249" s="8">
        <f>'MKT DATA'!S1932</f>
        <v>-86117</v>
      </c>
      <c r="P249" s="8">
        <f>'MKT DATA'!T1932</f>
        <v>0</v>
      </c>
      <c r="Q249" s="43" t="str">
        <f t="shared" si="9"/>
        <v>syn BTCX6/BTCV6/BTCG7/BTCF7/BTCZ6/BTCH7</v>
      </c>
      <c r="R249" s="13">
        <f>'MKT DATA'!AB1932</f>
        <v>0</v>
      </c>
    </row>
    <row r="250" spans="5:18" x14ac:dyDescent="0.25">
      <c r="E250" s="43" t="str">
        <f>'MKT DATA'!B1933</f>
        <v>syn BTCX6/BTCZ6/BTCV6/BTCF7/BTCG7/BTCH7</v>
      </c>
      <c r="F250" s="13">
        <f>'MKT DATA'!J1933</f>
        <v>1</v>
      </c>
      <c r="G250" s="8">
        <f>'MKT DATA'!K1933</f>
        <v>85027</v>
      </c>
      <c r="H250" s="8">
        <f>'MKT DATA'!L1933</f>
        <v>85799</v>
      </c>
      <c r="I250" s="13">
        <f>'MKT DATA'!M1933</f>
        <v>1</v>
      </c>
      <c r="J250" s="43" t="str">
        <f t="shared" si="8"/>
        <v>syn BTCX6/BTCZ6/BTCV6/BTCF7/BTCG7/BTCH7</v>
      </c>
      <c r="K250" s="8">
        <f>'MKT DATA'!O1933</f>
        <v>0</v>
      </c>
      <c r="L250" s="8">
        <f>'MKT DATA'!P1933</f>
        <v>85027</v>
      </c>
      <c r="M250" s="8">
        <f>'MKT DATA'!Q1933</f>
        <v>0</v>
      </c>
      <c r="N250" s="8">
        <f>'MKT DATA'!R1933</f>
        <v>0</v>
      </c>
      <c r="O250" s="8">
        <f>'MKT DATA'!S1933</f>
        <v>-85799</v>
      </c>
      <c r="P250" s="8">
        <f>'MKT DATA'!T1933</f>
        <v>0</v>
      </c>
      <c r="Q250" s="43" t="str">
        <f t="shared" si="9"/>
        <v>syn BTCX6/BTCZ6/BTCV6/BTCF7/BTCG7/BTCH7</v>
      </c>
      <c r="R250" s="13">
        <f>'MKT DATA'!AB1933</f>
        <v>0</v>
      </c>
    </row>
    <row r="251" spans="5:18" x14ac:dyDescent="0.25">
      <c r="E251" s="43" t="str">
        <f>'MKT DATA'!B1934</f>
        <v>syn BTCX6/BTCZ6/BTCV6/BTCG7/BTCF7/BTCH7</v>
      </c>
      <c r="F251" s="13">
        <f>'MKT DATA'!J1934</f>
        <v>1</v>
      </c>
      <c r="G251" s="8">
        <f>'MKT DATA'!K1934</f>
        <v>84637</v>
      </c>
      <c r="H251" s="8">
        <f>'MKT DATA'!L1934</f>
        <v>86196</v>
      </c>
      <c r="I251" s="13">
        <f>'MKT DATA'!M1934</f>
        <v>1</v>
      </c>
      <c r="J251" s="43" t="str">
        <f t="shared" si="8"/>
        <v>syn BTCX6/BTCZ6/BTCV6/BTCG7/BTCF7/BTCH7</v>
      </c>
      <c r="K251" s="8">
        <f>'MKT DATA'!O1934</f>
        <v>0</v>
      </c>
      <c r="L251" s="8">
        <f>'MKT DATA'!P1934</f>
        <v>84637</v>
      </c>
      <c r="M251" s="8">
        <f>'MKT DATA'!Q1934</f>
        <v>0</v>
      </c>
      <c r="N251" s="8">
        <f>'MKT DATA'!R1934</f>
        <v>0</v>
      </c>
      <c r="O251" s="8">
        <f>'MKT DATA'!S1934</f>
        <v>-86196</v>
      </c>
      <c r="P251" s="8">
        <f>'MKT DATA'!T1934</f>
        <v>0</v>
      </c>
      <c r="Q251" s="43" t="str">
        <f t="shared" si="9"/>
        <v>syn BTCX6/BTCZ6/BTCV6/BTCG7/BTCF7/BTCH7</v>
      </c>
      <c r="R251" s="13">
        <f>'MKT DATA'!AB1934</f>
        <v>0</v>
      </c>
    </row>
    <row r="252" spans="5:18" x14ac:dyDescent="0.25">
      <c r="E252" s="43" t="str">
        <f>'MKT DATA'!B1935</f>
        <v>syn BTCX6/BTCZ6/BTCF7/BTCV6/BTCG7/BTCH7</v>
      </c>
      <c r="F252" s="13">
        <f>'MKT DATA'!J1935</f>
        <v>1</v>
      </c>
      <c r="G252" s="8">
        <f>'MKT DATA'!K1935</f>
        <v>84967</v>
      </c>
      <c r="H252" s="8">
        <f>'MKT DATA'!L1935</f>
        <v>85939</v>
      </c>
      <c r="I252" s="13">
        <f>'MKT DATA'!M1935</f>
        <v>1</v>
      </c>
      <c r="J252" s="43" t="str">
        <f t="shared" si="8"/>
        <v>syn BTCX6/BTCZ6/BTCF7/BTCV6/BTCG7/BTCH7</v>
      </c>
      <c r="K252" s="8">
        <f>'MKT DATA'!O1935</f>
        <v>0</v>
      </c>
      <c r="L252" s="8">
        <f>'MKT DATA'!P1935</f>
        <v>84967</v>
      </c>
      <c r="M252" s="8">
        <f>'MKT DATA'!Q1935</f>
        <v>0</v>
      </c>
      <c r="N252" s="8">
        <f>'MKT DATA'!R1935</f>
        <v>0</v>
      </c>
      <c r="O252" s="8">
        <f>'MKT DATA'!S1935</f>
        <v>-85939</v>
      </c>
      <c r="P252" s="8">
        <f>'MKT DATA'!T1935</f>
        <v>0</v>
      </c>
      <c r="Q252" s="43" t="str">
        <f t="shared" si="9"/>
        <v>syn BTCX6/BTCZ6/BTCF7/BTCV6/BTCG7/BTCH7</v>
      </c>
      <c r="R252" s="13">
        <f>'MKT DATA'!AB1935</f>
        <v>0</v>
      </c>
    </row>
    <row r="253" spans="5:18" x14ac:dyDescent="0.25">
      <c r="E253" s="43" t="str">
        <f>'MKT DATA'!B1936</f>
        <v>syn BTCX6/BTCZ6/BTCF7/BTCG7/BTCV6/BTCH7</v>
      </c>
      <c r="F253" s="13">
        <f>'MKT DATA'!J1936</f>
        <v>1</v>
      </c>
      <c r="G253" s="8">
        <f>'MKT DATA'!K1936</f>
        <v>84700</v>
      </c>
      <c r="H253" s="8">
        <f>'MKT DATA'!L1936</f>
        <v>86105</v>
      </c>
      <c r="I253" s="13">
        <f>'MKT DATA'!M1936</f>
        <v>1</v>
      </c>
      <c r="J253" s="43" t="str">
        <f t="shared" si="8"/>
        <v>syn BTCX6/BTCZ6/BTCF7/BTCG7/BTCV6/BTCH7</v>
      </c>
      <c r="K253" s="8">
        <f>'MKT DATA'!O1936</f>
        <v>0</v>
      </c>
      <c r="L253" s="8">
        <f>'MKT DATA'!P1936</f>
        <v>84700</v>
      </c>
      <c r="M253" s="8">
        <f>'MKT DATA'!Q1936</f>
        <v>0</v>
      </c>
      <c r="N253" s="8">
        <f>'MKT DATA'!R1936</f>
        <v>0</v>
      </c>
      <c r="O253" s="8">
        <f>'MKT DATA'!S1936</f>
        <v>-86105</v>
      </c>
      <c r="P253" s="8">
        <f>'MKT DATA'!T1936</f>
        <v>0</v>
      </c>
      <c r="Q253" s="43" t="str">
        <f t="shared" si="9"/>
        <v>syn BTCX6/BTCZ6/BTCF7/BTCG7/BTCV6/BTCH7</v>
      </c>
      <c r="R253" s="13">
        <f>'MKT DATA'!AB1936</f>
        <v>0</v>
      </c>
    </row>
    <row r="254" spans="5:18" x14ac:dyDescent="0.25">
      <c r="E254" s="43" t="str">
        <f>'MKT DATA'!B1937</f>
        <v>syn BTCX6/BTCZ6/BTCG7/BTCV6/BTCF7/BTCH7</v>
      </c>
      <c r="F254" s="13">
        <f>'MKT DATA'!J1937</f>
        <v>1</v>
      </c>
      <c r="G254" s="8">
        <f>'MKT DATA'!K1937</f>
        <v>84425</v>
      </c>
      <c r="H254" s="8">
        <f>'MKT DATA'!L1937</f>
        <v>86370</v>
      </c>
      <c r="I254" s="13">
        <f>'MKT DATA'!M1937</f>
        <v>1</v>
      </c>
      <c r="J254" s="43" t="str">
        <f t="shared" si="8"/>
        <v>syn BTCX6/BTCZ6/BTCG7/BTCV6/BTCF7/BTCH7</v>
      </c>
      <c r="K254" s="8">
        <f>'MKT DATA'!O1937</f>
        <v>0</v>
      </c>
      <c r="L254" s="8">
        <f>'MKT DATA'!P1937</f>
        <v>84425</v>
      </c>
      <c r="M254" s="8">
        <f>'MKT DATA'!Q1937</f>
        <v>0</v>
      </c>
      <c r="N254" s="8">
        <f>'MKT DATA'!R1937</f>
        <v>0</v>
      </c>
      <c r="O254" s="8">
        <f>'MKT DATA'!S1937</f>
        <v>-86370</v>
      </c>
      <c r="P254" s="8">
        <f>'MKT DATA'!T1937</f>
        <v>0</v>
      </c>
      <c r="Q254" s="43" t="str">
        <f t="shared" si="9"/>
        <v>syn BTCX6/BTCZ6/BTCG7/BTCV6/BTCF7/BTCH7</v>
      </c>
      <c r="R254" s="13">
        <f>'MKT DATA'!AB1937</f>
        <v>0</v>
      </c>
    </row>
    <row r="255" spans="5:18" x14ac:dyDescent="0.25">
      <c r="E255" s="43" t="str">
        <f>'MKT DATA'!B1938</f>
        <v>syn BTCX6/BTCZ6/BTCG7/BTCF7/BTCV6/BTCH7</v>
      </c>
      <c r="F255" s="13">
        <f>'MKT DATA'!J1938</f>
        <v>1</v>
      </c>
      <c r="G255" s="8">
        <f>'MKT DATA'!K1938</f>
        <v>84640</v>
      </c>
      <c r="H255" s="8">
        <f>'MKT DATA'!L1938</f>
        <v>86231</v>
      </c>
      <c r="I255" s="13">
        <f>'MKT DATA'!M1938</f>
        <v>1</v>
      </c>
      <c r="J255" s="43" t="str">
        <f t="shared" si="8"/>
        <v>syn BTCX6/BTCZ6/BTCG7/BTCF7/BTCV6/BTCH7</v>
      </c>
      <c r="K255" s="8">
        <f>'MKT DATA'!O1938</f>
        <v>0</v>
      </c>
      <c r="L255" s="8">
        <f>'MKT DATA'!P1938</f>
        <v>84640</v>
      </c>
      <c r="M255" s="8">
        <f>'MKT DATA'!Q1938</f>
        <v>0</v>
      </c>
      <c r="N255" s="8">
        <f>'MKT DATA'!R1938</f>
        <v>0</v>
      </c>
      <c r="O255" s="8">
        <f>'MKT DATA'!S1938</f>
        <v>-86231</v>
      </c>
      <c r="P255" s="8">
        <f>'MKT DATA'!T1938</f>
        <v>0</v>
      </c>
      <c r="Q255" s="43" t="str">
        <f t="shared" si="9"/>
        <v>syn BTCX6/BTCZ6/BTCG7/BTCF7/BTCV6/BTCH7</v>
      </c>
      <c r="R255" s="13">
        <f>'MKT DATA'!AB1938</f>
        <v>0</v>
      </c>
    </row>
    <row r="256" spans="5:18" x14ac:dyDescent="0.25">
      <c r="E256" s="43" t="str">
        <f>'MKT DATA'!B1939</f>
        <v>syn BTCX6/BTCF7/BTCV6/BTCZ6/BTCG7/BTCH7</v>
      </c>
      <c r="F256" s="13">
        <f>'MKT DATA'!J1939</f>
        <v>1</v>
      </c>
      <c r="G256" s="8">
        <f>'MKT DATA'!K1939</f>
        <v>84878</v>
      </c>
      <c r="H256" s="8">
        <f>'MKT DATA'!L1939</f>
        <v>86005</v>
      </c>
      <c r="I256" s="13">
        <f>'MKT DATA'!M1939</f>
        <v>1</v>
      </c>
      <c r="J256" s="43" t="str">
        <f t="shared" si="8"/>
        <v>syn BTCX6/BTCF7/BTCV6/BTCZ6/BTCG7/BTCH7</v>
      </c>
      <c r="K256" s="8">
        <f>'MKT DATA'!O1939</f>
        <v>0</v>
      </c>
      <c r="L256" s="8">
        <f>'MKT DATA'!P1939</f>
        <v>84878</v>
      </c>
      <c r="M256" s="8">
        <f>'MKT DATA'!Q1939</f>
        <v>0</v>
      </c>
      <c r="N256" s="8">
        <f>'MKT DATA'!R1939</f>
        <v>0</v>
      </c>
      <c r="O256" s="8">
        <f>'MKT DATA'!S1939</f>
        <v>-86005</v>
      </c>
      <c r="P256" s="8">
        <f>'MKT DATA'!T1939</f>
        <v>0</v>
      </c>
      <c r="Q256" s="43" t="str">
        <f t="shared" si="9"/>
        <v>syn BTCX6/BTCF7/BTCV6/BTCZ6/BTCG7/BTCH7</v>
      </c>
      <c r="R256" s="13">
        <f>'MKT DATA'!AB1939</f>
        <v>0</v>
      </c>
    </row>
    <row r="257" spans="5:18" x14ac:dyDescent="0.25">
      <c r="E257" s="43" t="str">
        <f>'MKT DATA'!B1940</f>
        <v>syn BTCX6/BTCF7/BTCV6/BTCG7/BTCZ6/BTCH7</v>
      </c>
      <c r="F257" s="13">
        <f>'MKT DATA'!J1940</f>
        <v>1</v>
      </c>
      <c r="G257" s="8">
        <f>'MKT DATA'!K1940</f>
        <v>84647</v>
      </c>
      <c r="H257" s="8">
        <f>'MKT DATA'!L1940</f>
        <v>86353</v>
      </c>
      <c r="I257" s="13">
        <f>'MKT DATA'!M1940</f>
        <v>1</v>
      </c>
      <c r="J257" s="43" t="str">
        <f t="shared" si="8"/>
        <v>syn BTCX6/BTCF7/BTCV6/BTCG7/BTCZ6/BTCH7</v>
      </c>
      <c r="K257" s="8">
        <f>'MKT DATA'!O1940</f>
        <v>0</v>
      </c>
      <c r="L257" s="8">
        <f>'MKT DATA'!P1940</f>
        <v>84647</v>
      </c>
      <c r="M257" s="8">
        <f>'MKT DATA'!Q1940</f>
        <v>0</v>
      </c>
      <c r="N257" s="8">
        <f>'MKT DATA'!R1940</f>
        <v>0</v>
      </c>
      <c r="O257" s="8">
        <f>'MKT DATA'!S1940</f>
        <v>-86353</v>
      </c>
      <c r="P257" s="8">
        <f>'MKT DATA'!T1940</f>
        <v>0</v>
      </c>
      <c r="Q257" s="43" t="str">
        <f t="shared" si="9"/>
        <v>syn BTCX6/BTCF7/BTCV6/BTCG7/BTCZ6/BTCH7</v>
      </c>
      <c r="R257" s="13">
        <f>'MKT DATA'!AB1940</f>
        <v>0</v>
      </c>
    </row>
    <row r="258" spans="5:18" x14ac:dyDescent="0.25">
      <c r="E258" s="43" t="str">
        <f>'MKT DATA'!B1941</f>
        <v>syn BTCX6/BTCF7/BTCZ6/BTCV6/BTCG7/BTCH7</v>
      </c>
      <c r="F258" s="13">
        <f>'MKT DATA'!J1941</f>
        <v>1</v>
      </c>
      <c r="G258" s="8">
        <f>'MKT DATA'!K1941</f>
        <v>84950</v>
      </c>
      <c r="H258" s="8">
        <f>'MKT DATA'!L1941</f>
        <v>85891</v>
      </c>
      <c r="I258" s="13">
        <f>'MKT DATA'!M1941</f>
        <v>1</v>
      </c>
      <c r="J258" s="43" t="str">
        <f t="shared" si="8"/>
        <v>syn BTCX6/BTCF7/BTCZ6/BTCV6/BTCG7/BTCH7</v>
      </c>
      <c r="K258" s="8">
        <f>'MKT DATA'!O1941</f>
        <v>0</v>
      </c>
      <c r="L258" s="8">
        <f>'MKT DATA'!P1941</f>
        <v>84950</v>
      </c>
      <c r="M258" s="8">
        <f>'MKT DATA'!Q1941</f>
        <v>0</v>
      </c>
      <c r="N258" s="8">
        <f>'MKT DATA'!R1941</f>
        <v>0</v>
      </c>
      <c r="O258" s="8">
        <f>'MKT DATA'!S1941</f>
        <v>-85891</v>
      </c>
      <c r="P258" s="8">
        <f>'MKT DATA'!T1941</f>
        <v>0</v>
      </c>
      <c r="Q258" s="43" t="str">
        <f t="shared" si="9"/>
        <v>syn BTCX6/BTCF7/BTCZ6/BTCV6/BTCG7/BTCH7</v>
      </c>
      <c r="R258" s="13">
        <f>'MKT DATA'!AB1941</f>
        <v>0</v>
      </c>
    </row>
    <row r="259" spans="5:18" x14ac:dyDescent="0.25">
      <c r="E259" s="43" t="str">
        <f>'MKT DATA'!B1942</f>
        <v>syn BTCX6/BTCF7/BTCZ6/BTCG7/BTCV6/BTCH7</v>
      </c>
      <c r="F259" s="13">
        <f>'MKT DATA'!J1942</f>
        <v>1</v>
      </c>
      <c r="G259" s="8">
        <f>'MKT DATA'!K1942</f>
        <v>84517</v>
      </c>
      <c r="H259" s="8">
        <f>'MKT DATA'!L1942</f>
        <v>86277</v>
      </c>
      <c r="I259" s="13">
        <f>'MKT DATA'!M1942</f>
        <v>1</v>
      </c>
      <c r="J259" s="43" t="str">
        <f t="shared" si="8"/>
        <v>syn BTCX6/BTCF7/BTCZ6/BTCG7/BTCV6/BTCH7</v>
      </c>
      <c r="K259" s="8">
        <f>'MKT DATA'!O1942</f>
        <v>0</v>
      </c>
      <c r="L259" s="8">
        <f>'MKT DATA'!P1942</f>
        <v>84517</v>
      </c>
      <c r="M259" s="8">
        <f>'MKT DATA'!Q1942</f>
        <v>0</v>
      </c>
      <c r="N259" s="8">
        <f>'MKT DATA'!R1942</f>
        <v>0</v>
      </c>
      <c r="O259" s="8">
        <f>'MKT DATA'!S1942</f>
        <v>-86277</v>
      </c>
      <c r="P259" s="8">
        <f>'MKT DATA'!T1942</f>
        <v>0</v>
      </c>
      <c r="Q259" s="43" t="str">
        <f t="shared" si="9"/>
        <v>syn BTCX6/BTCF7/BTCZ6/BTCG7/BTCV6/BTCH7</v>
      </c>
      <c r="R259" s="13">
        <f>'MKT DATA'!AB1942</f>
        <v>0</v>
      </c>
    </row>
    <row r="260" spans="5:18" x14ac:dyDescent="0.25">
      <c r="E260" s="43" t="str">
        <f>'MKT DATA'!B1943</f>
        <v>syn BTCX6/BTCF7/BTCG7/BTCV6/BTCZ6/BTCH7</v>
      </c>
      <c r="F260" s="13">
        <f>'MKT DATA'!J1943</f>
        <v>1</v>
      </c>
      <c r="G260" s="8">
        <f>'MKT DATA'!K1943</f>
        <v>84821</v>
      </c>
      <c r="H260" s="8">
        <f>'MKT DATA'!L1943</f>
        <v>86141</v>
      </c>
      <c r="I260" s="13">
        <f>'MKT DATA'!M1943</f>
        <v>1</v>
      </c>
      <c r="J260" s="43" t="str">
        <f t="shared" si="8"/>
        <v>syn BTCX6/BTCF7/BTCG7/BTCV6/BTCZ6/BTCH7</v>
      </c>
      <c r="K260" s="8">
        <f>'MKT DATA'!O1943</f>
        <v>0</v>
      </c>
      <c r="L260" s="8">
        <f>'MKT DATA'!P1943</f>
        <v>84821</v>
      </c>
      <c r="M260" s="8">
        <f>'MKT DATA'!Q1943</f>
        <v>0</v>
      </c>
      <c r="N260" s="8">
        <f>'MKT DATA'!R1943</f>
        <v>0</v>
      </c>
      <c r="O260" s="8">
        <f>'MKT DATA'!S1943</f>
        <v>-86141</v>
      </c>
      <c r="P260" s="8">
        <f>'MKT DATA'!T1943</f>
        <v>0</v>
      </c>
      <c r="Q260" s="43" t="str">
        <f t="shared" si="9"/>
        <v>syn BTCX6/BTCF7/BTCG7/BTCV6/BTCZ6/BTCH7</v>
      </c>
      <c r="R260" s="13">
        <f>'MKT DATA'!AB1943</f>
        <v>0</v>
      </c>
    </row>
    <row r="261" spans="5:18" x14ac:dyDescent="0.25">
      <c r="E261" s="43" t="str">
        <f>'MKT DATA'!B1944</f>
        <v>syn BTCX6/BTCF7/BTCG7/BTCZ6/BTCV6/BTCH7</v>
      </c>
      <c r="F261" s="13">
        <f>'MKT DATA'!J1944</f>
        <v>1</v>
      </c>
      <c r="G261" s="8">
        <f>'MKT DATA'!K1944</f>
        <v>84603</v>
      </c>
      <c r="H261" s="8">
        <f>'MKT DATA'!L1944</f>
        <v>86163</v>
      </c>
      <c r="I261" s="13">
        <f>'MKT DATA'!M1944</f>
        <v>1</v>
      </c>
      <c r="J261" s="43" t="str">
        <f t="shared" si="8"/>
        <v>syn BTCX6/BTCF7/BTCG7/BTCZ6/BTCV6/BTCH7</v>
      </c>
      <c r="K261" s="8">
        <f>'MKT DATA'!O1944</f>
        <v>0</v>
      </c>
      <c r="L261" s="8">
        <f>'MKT DATA'!P1944</f>
        <v>84603</v>
      </c>
      <c r="M261" s="8">
        <f>'MKT DATA'!Q1944</f>
        <v>0</v>
      </c>
      <c r="N261" s="8">
        <f>'MKT DATA'!R1944</f>
        <v>0</v>
      </c>
      <c r="O261" s="8">
        <f>'MKT DATA'!S1944</f>
        <v>-86163</v>
      </c>
      <c r="P261" s="8">
        <f>'MKT DATA'!T1944</f>
        <v>0</v>
      </c>
      <c r="Q261" s="43" t="str">
        <f t="shared" si="9"/>
        <v>syn BTCX6/BTCF7/BTCG7/BTCZ6/BTCV6/BTCH7</v>
      </c>
      <c r="R261" s="13">
        <f>'MKT DATA'!AB1944</f>
        <v>0</v>
      </c>
    </row>
    <row r="262" spans="5:18" x14ac:dyDescent="0.25">
      <c r="E262" s="43" t="str">
        <f>'MKT DATA'!B1945</f>
        <v>syn BTCX6/BTCG7/BTCV6/BTCZ6/BTCF7/BTCH7</v>
      </c>
      <c r="F262" s="13">
        <f>'MKT DATA'!J1945</f>
        <v>1</v>
      </c>
      <c r="G262" s="8">
        <f>'MKT DATA'!K1945</f>
        <v>84508</v>
      </c>
      <c r="H262" s="8">
        <f>'MKT DATA'!L1945</f>
        <v>86306</v>
      </c>
      <c r="I262" s="13">
        <f>'MKT DATA'!M1945</f>
        <v>1</v>
      </c>
      <c r="J262" s="43" t="str">
        <f t="shared" si="8"/>
        <v>syn BTCX6/BTCG7/BTCV6/BTCZ6/BTCF7/BTCH7</v>
      </c>
      <c r="K262" s="8">
        <f>'MKT DATA'!O1945</f>
        <v>0</v>
      </c>
      <c r="L262" s="8">
        <f>'MKT DATA'!P1945</f>
        <v>84508</v>
      </c>
      <c r="M262" s="8">
        <f>'MKT DATA'!Q1945</f>
        <v>0</v>
      </c>
      <c r="N262" s="8">
        <f>'MKT DATA'!R1945</f>
        <v>0</v>
      </c>
      <c r="O262" s="8">
        <f>'MKT DATA'!S1945</f>
        <v>-86306</v>
      </c>
      <c r="P262" s="8">
        <f>'MKT DATA'!T1945</f>
        <v>0</v>
      </c>
      <c r="Q262" s="43" t="str">
        <f t="shared" si="9"/>
        <v>syn BTCX6/BTCG7/BTCV6/BTCZ6/BTCF7/BTCH7</v>
      </c>
      <c r="R262" s="13">
        <f>'MKT DATA'!AB1945</f>
        <v>0</v>
      </c>
    </row>
    <row r="263" spans="5:18" x14ac:dyDescent="0.25">
      <c r="E263" s="43" t="str">
        <f>'MKT DATA'!B1946</f>
        <v>syn BTCX6/BTCG7/BTCV6/BTCF7/BTCZ6/BTCH7</v>
      </c>
      <c r="F263" s="13">
        <f>'MKT DATA'!J1946</f>
        <v>1</v>
      </c>
      <c r="G263" s="8">
        <f>'MKT DATA'!K1946</f>
        <v>84687</v>
      </c>
      <c r="H263" s="8">
        <f>'MKT DATA'!L1946</f>
        <v>86277</v>
      </c>
      <c r="I263" s="13">
        <f>'MKT DATA'!M1946</f>
        <v>1</v>
      </c>
      <c r="J263" s="43" t="str">
        <f t="shared" si="8"/>
        <v>syn BTCX6/BTCG7/BTCV6/BTCF7/BTCZ6/BTCH7</v>
      </c>
      <c r="K263" s="8">
        <f>'MKT DATA'!O1946</f>
        <v>0</v>
      </c>
      <c r="L263" s="8">
        <f>'MKT DATA'!P1946</f>
        <v>84687</v>
      </c>
      <c r="M263" s="8">
        <f>'MKT DATA'!Q1946</f>
        <v>0</v>
      </c>
      <c r="N263" s="8">
        <f>'MKT DATA'!R1946</f>
        <v>0</v>
      </c>
      <c r="O263" s="8">
        <f>'MKT DATA'!S1946</f>
        <v>-86277</v>
      </c>
      <c r="P263" s="8">
        <f>'MKT DATA'!T1946</f>
        <v>0</v>
      </c>
      <c r="Q263" s="43" t="str">
        <f t="shared" si="9"/>
        <v>syn BTCX6/BTCG7/BTCV6/BTCF7/BTCZ6/BTCH7</v>
      </c>
      <c r="R263" s="13">
        <f>'MKT DATA'!AB1946</f>
        <v>0</v>
      </c>
    </row>
    <row r="264" spans="5:18" x14ac:dyDescent="0.25">
      <c r="E264" s="43" t="str">
        <f>'MKT DATA'!B1947</f>
        <v>syn BTCX6/BTCG7/BTCZ6/BTCV6/BTCF7/BTCH7</v>
      </c>
      <c r="F264" s="13">
        <f>'MKT DATA'!J1947</f>
        <v>1</v>
      </c>
      <c r="G264" s="8">
        <f>'MKT DATA'!K1947</f>
        <v>84394</v>
      </c>
      <c r="H264" s="8">
        <f>'MKT DATA'!L1947</f>
        <v>86378</v>
      </c>
      <c r="I264" s="13">
        <f>'MKT DATA'!M1947</f>
        <v>1</v>
      </c>
      <c r="J264" s="43" t="str">
        <f t="shared" si="8"/>
        <v>syn BTCX6/BTCG7/BTCZ6/BTCV6/BTCF7/BTCH7</v>
      </c>
      <c r="K264" s="8">
        <f>'MKT DATA'!O1947</f>
        <v>0</v>
      </c>
      <c r="L264" s="8">
        <f>'MKT DATA'!P1947</f>
        <v>84394</v>
      </c>
      <c r="M264" s="8">
        <f>'MKT DATA'!Q1947</f>
        <v>0</v>
      </c>
      <c r="N264" s="8">
        <f>'MKT DATA'!R1947</f>
        <v>0</v>
      </c>
      <c r="O264" s="8">
        <f>'MKT DATA'!S1947</f>
        <v>-86378</v>
      </c>
      <c r="P264" s="8">
        <f>'MKT DATA'!T1947</f>
        <v>0</v>
      </c>
      <c r="Q264" s="43" t="str">
        <f t="shared" si="9"/>
        <v>syn BTCX6/BTCG7/BTCZ6/BTCV6/BTCF7/BTCH7</v>
      </c>
      <c r="R264" s="13">
        <f>'MKT DATA'!AB1947</f>
        <v>0</v>
      </c>
    </row>
    <row r="265" spans="5:18" x14ac:dyDescent="0.25">
      <c r="E265" s="43" t="str">
        <f>'MKT DATA'!B1948</f>
        <v>syn BTCX6/BTCG7/BTCZ6/BTCF7/BTCV6/BTCH7</v>
      </c>
      <c r="F265" s="13">
        <f>'MKT DATA'!J1948</f>
        <v>1</v>
      </c>
      <c r="G265" s="8">
        <f>'MKT DATA'!K1948</f>
        <v>84503</v>
      </c>
      <c r="H265" s="8">
        <f>'MKT DATA'!L1948</f>
        <v>86333</v>
      </c>
      <c r="I265" s="13">
        <f>'MKT DATA'!M1948</f>
        <v>1</v>
      </c>
      <c r="J265" s="43" t="str">
        <f t="shared" si="8"/>
        <v>syn BTCX6/BTCG7/BTCZ6/BTCF7/BTCV6/BTCH7</v>
      </c>
      <c r="K265" s="8">
        <f>'MKT DATA'!O1948</f>
        <v>0</v>
      </c>
      <c r="L265" s="8">
        <f>'MKT DATA'!P1948</f>
        <v>84503</v>
      </c>
      <c r="M265" s="8">
        <f>'MKT DATA'!Q1948</f>
        <v>0</v>
      </c>
      <c r="N265" s="8">
        <f>'MKT DATA'!R1948</f>
        <v>0</v>
      </c>
      <c r="O265" s="8">
        <f>'MKT DATA'!S1948</f>
        <v>-86333</v>
      </c>
      <c r="P265" s="8">
        <f>'MKT DATA'!T1948</f>
        <v>0</v>
      </c>
      <c r="Q265" s="43" t="str">
        <f t="shared" si="9"/>
        <v>syn BTCX6/BTCG7/BTCZ6/BTCF7/BTCV6/BTCH7</v>
      </c>
      <c r="R265" s="13">
        <f>'MKT DATA'!AB1948</f>
        <v>0</v>
      </c>
    </row>
    <row r="266" spans="5:18" x14ac:dyDescent="0.25">
      <c r="E266" s="43" t="str">
        <f>'MKT DATA'!B1949</f>
        <v>syn BTCX6/BTCG7/BTCF7/BTCV6/BTCZ6/BTCH7</v>
      </c>
      <c r="F266" s="13">
        <f>'MKT DATA'!J1949</f>
        <v>1</v>
      </c>
      <c r="G266" s="8">
        <f>'MKT DATA'!K1949</f>
        <v>84827</v>
      </c>
      <c r="H266" s="8">
        <f>'MKT DATA'!L1949</f>
        <v>86217</v>
      </c>
      <c r="I266" s="13">
        <f>'MKT DATA'!M1949</f>
        <v>1</v>
      </c>
      <c r="J266" s="43" t="str">
        <f t="shared" ref="J266:J329" si="10">E266</f>
        <v>syn BTCX6/BTCG7/BTCF7/BTCV6/BTCZ6/BTCH7</v>
      </c>
      <c r="K266" s="8">
        <f>'MKT DATA'!O1949</f>
        <v>0</v>
      </c>
      <c r="L266" s="8">
        <f>'MKT DATA'!P1949</f>
        <v>84827</v>
      </c>
      <c r="M266" s="8">
        <f>'MKT DATA'!Q1949</f>
        <v>0</v>
      </c>
      <c r="N266" s="8">
        <f>'MKT DATA'!R1949</f>
        <v>0</v>
      </c>
      <c r="O266" s="8">
        <f>'MKT DATA'!S1949</f>
        <v>-86217</v>
      </c>
      <c r="P266" s="8">
        <f>'MKT DATA'!T1949</f>
        <v>0</v>
      </c>
      <c r="Q266" s="43" t="str">
        <f t="shared" ref="Q266:Q329" si="11">J266</f>
        <v>syn BTCX6/BTCG7/BTCF7/BTCV6/BTCZ6/BTCH7</v>
      </c>
      <c r="R266" s="13">
        <f>'MKT DATA'!AB1949</f>
        <v>0</v>
      </c>
    </row>
    <row r="267" spans="5:18" x14ac:dyDescent="0.25">
      <c r="E267" s="43" t="str">
        <f>'MKT DATA'!B1950</f>
        <v>syn BTCX6/BTCG7/BTCF7/BTCZ6/BTCV6/BTCH7</v>
      </c>
      <c r="F267" s="13">
        <f>'MKT DATA'!J1950</f>
        <v>1</v>
      </c>
      <c r="G267" s="8">
        <f>'MKT DATA'!K1950</f>
        <v>84689</v>
      </c>
      <c r="H267" s="8">
        <f>'MKT DATA'!L1950</f>
        <v>86133</v>
      </c>
      <c r="I267" s="13">
        <f>'MKT DATA'!M1950</f>
        <v>1</v>
      </c>
      <c r="J267" s="43" t="str">
        <f t="shared" si="10"/>
        <v>syn BTCX6/BTCG7/BTCF7/BTCZ6/BTCV6/BTCH7</v>
      </c>
      <c r="K267" s="8">
        <f>'MKT DATA'!O1950</f>
        <v>0</v>
      </c>
      <c r="L267" s="8">
        <f>'MKT DATA'!P1950</f>
        <v>84689</v>
      </c>
      <c r="M267" s="8">
        <f>'MKT DATA'!Q1950</f>
        <v>0</v>
      </c>
      <c r="N267" s="8">
        <f>'MKT DATA'!R1950</f>
        <v>0</v>
      </c>
      <c r="O267" s="8">
        <f>'MKT DATA'!S1950</f>
        <v>-86133</v>
      </c>
      <c r="P267" s="8">
        <f>'MKT DATA'!T1950</f>
        <v>0</v>
      </c>
      <c r="Q267" s="43" t="str">
        <f t="shared" si="11"/>
        <v>syn BTCX6/BTCG7/BTCF7/BTCZ6/BTCV6/BTCH7</v>
      </c>
      <c r="R267" s="13">
        <f>'MKT DATA'!AB1950</f>
        <v>0</v>
      </c>
    </row>
    <row r="268" spans="5:18" x14ac:dyDescent="0.25">
      <c r="E268" s="43" t="str">
        <f>'MKT DATA'!B1951</f>
        <v>syn BTCZ6/BTCV6/BTCX6/BTCF7/BTCG7/BTCH7</v>
      </c>
      <c r="F268" s="13">
        <f>'MKT DATA'!J1951</f>
        <v>1</v>
      </c>
      <c r="G268" s="8">
        <f>'MKT DATA'!K1951</f>
        <v>85030</v>
      </c>
      <c r="H268" s="8">
        <f>'MKT DATA'!L1951</f>
        <v>85784</v>
      </c>
      <c r="I268" s="13">
        <f>'MKT DATA'!M1951</f>
        <v>1</v>
      </c>
      <c r="J268" s="43" t="str">
        <f t="shared" si="10"/>
        <v>syn BTCZ6/BTCV6/BTCX6/BTCF7/BTCG7/BTCH7</v>
      </c>
      <c r="K268" s="8">
        <f>'MKT DATA'!O1951</f>
        <v>0</v>
      </c>
      <c r="L268" s="8">
        <f>'MKT DATA'!P1951</f>
        <v>85030</v>
      </c>
      <c r="M268" s="8">
        <f>'MKT DATA'!Q1951</f>
        <v>0</v>
      </c>
      <c r="N268" s="8">
        <f>'MKT DATA'!R1951</f>
        <v>0</v>
      </c>
      <c r="O268" s="8">
        <f>'MKT DATA'!S1951</f>
        <v>-85784</v>
      </c>
      <c r="P268" s="8">
        <f>'MKT DATA'!T1951</f>
        <v>0</v>
      </c>
      <c r="Q268" s="43" t="str">
        <f t="shared" si="11"/>
        <v>syn BTCZ6/BTCV6/BTCX6/BTCF7/BTCG7/BTCH7</v>
      </c>
      <c r="R268" s="13">
        <f>'MKT DATA'!AB1951</f>
        <v>0</v>
      </c>
    </row>
    <row r="269" spans="5:18" x14ac:dyDescent="0.25">
      <c r="E269" s="43" t="str">
        <f>'MKT DATA'!B1952</f>
        <v>syn BTCZ6/BTCV6/BTCX6/BTCG7/BTCF7/BTCH7</v>
      </c>
      <c r="F269" s="13">
        <f>'MKT DATA'!J1952</f>
        <v>1</v>
      </c>
      <c r="G269" s="8">
        <f>'MKT DATA'!K1952</f>
        <v>84600</v>
      </c>
      <c r="H269" s="8">
        <f>'MKT DATA'!L1952</f>
        <v>86211</v>
      </c>
      <c r="I269" s="13">
        <f>'MKT DATA'!M1952</f>
        <v>1</v>
      </c>
      <c r="J269" s="43" t="str">
        <f t="shared" si="10"/>
        <v>syn BTCZ6/BTCV6/BTCX6/BTCG7/BTCF7/BTCH7</v>
      </c>
      <c r="K269" s="8">
        <f>'MKT DATA'!O1952</f>
        <v>0</v>
      </c>
      <c r="L269" s="8">
        <f>'MKT DATA'!P1952</f>
        <v>84600</v>
      </c>
      <c r="M269" s="8">
        <f>'MKT DATA'!Q1952</f>
        <v>0</v>
      </c>
      <c r="N269" s="8">
        <f>'MKT DATA'!R1952</f>
        <v>0</v>
      </c>
      <c r="O269" s="8">
        <f>'MKT DATA'!S1952</f>
        <v>-86211</v>
      </c>
      <c r="P269" s="8">
        <f>'MKT DATA'!T1952</f>
        <v>0</v>
      </c>
      <c r="Q269" s="43" t="str">
        <f t="shared" si="11"/>
        <v>syn BTCZ6/BTCV6/BTCX6/BTCG7/BTCF7/BTCH7</v>
      </c>
      <c r="R269" s="13">
        <f>'MKT DATA'!AB1952</f>
        <v>0</v>
      </c>
    </row>
    <row r="270" spans="5:18" x14ac:dyDescent="0.25">
      <c r="E270" s="43" t="str">
        <f>'MKT DATA'!B1953</f>
        <v>syn BTCZ6/BTCV6/BTCF7/BTCX6/BTCG7/BTCH7</v>
      </c>
      <c r="F270" s="13">
        <f>'MKT DATA'!J1953</f>
        <v>1</v>
      </c>
      <c r="G270" s="8">
        <f>'MKT DATA'!K1953</f>
        <v>84860</v>
      </c>
      <c r="H270" s="8">
        <f>'MKT DATA'!L1953</f>
        <v>85987</v>
      </c>
      <c r="I270" s="13">
        <f>'MKT DATA'!M1953</f>
        <v>1</v>
      </c>
      <c r="J270" s="43" t="str">
        <f t="shared" si="10"/>
        <v>syn BTCZ6/BTCV6/BTCF7/BTCX6/BTCG7/BTCH7</v>
      </c>
      <c r="K270" s="8">
        <f>'MKT DATA'!O1953</f>
        <v>0</v>
      </c>
      <c r="L270" s="8">
        <f>'MKT DATA'!P1953</f>
        <v>84860</v>
      </c>
      <c r="M270" s="8">
        <f>'MKT DATA'!Q1953</f>
        <v>0</v>
      </c>
      <c r="N270" s="8">
        <f>'MKT DATA'!R1953</f>
        <v>0</v>
      </c>
      <c r="O270" s="8">
        <f>'MKT DATA'!S1953</f>
        <v>-85987</v>
      </c>
      <c r="P270" s="8">
        <f>'MKT DATA'!T1953</f>
        <v>0</v>
      </c>
      <c r="Q270" s="43" t="str">
        <f t="shared" si="11"/>
        <v>syn BTCZ6/BTCV6/BTCF7/BTCX6/BTCG7/BTCH7</v>
      </c>
      <c r="R270" s="13">
        <f>'MKT DATA'!AB1953</f>
        <v>0</v>
      </c>
    </row>
    <row r="271" spans="5:18" x14ac:dyDescent="0.25">
      <c r="E271" s="43" t="str">
        <f>'MKT DATA'!B1954</f>
        <v>syn BTCZ6/BTCV6/BTCF7/BTCG7/BTCX6/BTCH7</v>
      </c>
      <c r="F271" s="13">
        <f>'MKT DATA'!J1954</f>
        <v>1</v>
      </c>
      <c r="G271" s="8">
        <f>'MKT DATA'!K1954</f>
        <v>84563</v>
      </c>
      <c r="H271" s="8">
        <f>'MKT DATA'!L1954</f>
        <v>86193</v>
      </c>
      <c r="I271" s="13">
        <f>'MKT DATA'!M1954</f>
        <v>1</v>
      </c>
      <c r="J271" s="43" t="str">
        <f t="shared" si="10"/>
        <v>syn BTCZ6/BTCV6/BTCF7/BTCG7/BTCX6/BTCH7</v>
      </c>
      <c r="K271" s="8">
        <f>'MKT DATA'!O1954</f>
        <v>0</v>
      </c>
      <c r="L271" s="8">
        <f>'MKT DATA'!P1954</f>
        <v>84563</v>
      </c>
      <c r="M271" s="8">
        <f>'MKT DATA'!Q1954</f>
        <v>0</v>
      </c>
      <c r="N271" s="8">
        <f>'MKT DATA'!R1954</f>
        <v>0</v>
      </c>
      <c r="O271" s="8">
        <f>'MKT DATA'!S1954</f>
        <v>-86193</v>
      </c>
      <c r="P271" s="8">
        <f>'MKT DATA'!T1954</f>
        <v>0</v>
      </c>
      <c r="Q271" s="43" t="str">
        <f t="shared" si="11"/>
        <v>syn BTCZ6/BTCV6/BTCF7/BTCG7/BTCX6/BTCH7</v>
      </c>
      <c r="R271" s="13">
        <f>'MKT DATA'!AB1954</f>
        <v>0</v>
      </c>
    </row>
    <row r="272" spans="5:18" x14ac:dyDescent="0.25">
      <c r="E272" s="43" t="str">
        <f>'MKT DATA'!B1955</f>
        <v>syn BTCZ6/BTCV6/BTCG7/BTCX6/BTCF7/BTCH7</v>
      </c>
      <c r="F272" s="13">
        <f>'MKT DATA'!J1955</f>
        <v>1</v>
      </c>
      <c r="G272" s="8">
        <f>'MKT DATA'!K1955</f>
        <v>84434</v>
      </c>
      <c r="H272" s="8">
        <f>'MKT DATA'!L1955</f>
        <v>86348</v>
      </c>
      <c r="I272" s="13">
        <f>'MKT DATA'!M1955</f>
        <v>1</v>
      </c>
      <c r="J272" s="43" t="str">
        <f t="shared" si="10"/>
        <v>syn BTCZ6/BTCV6/BTCG7/BTCX6/BTCF7/BTCH7</v>
      </c>
      <c r="K272" s="8">
        <f>'MKT DATA'!O1955</f>
        <v>0</v>
      </c>
      <c r="L272" s="8">
        <f>'MKT DATA'!P1955</f>
        <v>84434</v>
      </c>
      <c r="M272" s="8">
        <f>'MKT DATA'!Q1955</f>
        <v>0</v>
      </c>
      <c r="N272" s="8">
        <f>'MKT DATA'!R1955</f>
        <v>0</v>
      </c>
      <c r="O272" s="8">
        <f>'MKT DATA'!S1955</f>
        <v>-86348</v>
      </c>
      <c r="P272" s="8">
        <f>'MKT DATA'!T1955</f>
        <v>0</v>
      </c>
      <c r="Q272" s="43" t="str">
        <f t="shared" si="11"/>
        <v>syn BTCZ6/BTCV6/BTCG7/BTCX6/BTCF7/BTCH7</v>
      </c>
      <c r="R272" s="13">
        <f>'MKT DATA'!AB1955</f>
        <v>0</v>
      </c>
    </row>
    <row r="273" spans="5:18" x14ac:dyDescent="0.25">
      <c r="E273" s="43" t="str">
        <f>'MKT DATA'!B1956</f>
        <v>syn BTCZ6/BTCV6/BTCG7/BTCF7/BTCX6/BTCH7</v>
      </c>
      <c r="F273" s="13">
        <f>'MKT DATA'!J1956</f>
        <v>1</v>
      </c>
      <c r="G273" s="8">
        <f>'MKT DATA'!K1956</f>
        <v>84639</v>
      </c>
      <c r="H273" s="8">
        <f>'MKT DATA'!L1956</f>
        <v>86199</v>
      </c>
      <c r="I273" s="13">
        <f>'MKT DATA'!M1956</f>
        <v>1</v>
      </c>
      <c r="J273" s="43" t="str">
        <f t="shared" si="10"/>
        <v>syn BTCZ6/BTCV6/BTCG7/BTCF7/BTCX6/BTCH7</v>
      </c>
      <c r="K273" s="8">
        <f>'MKT DATA'!O1956</f>
        <v>0</v>
      </c>
      <c r="L273" s="8">
        <f>'MKT DATA'!P1956</f>
        <v>84639</v>
      </c>
      <c r="M273" s="8">
        <f>'MKT DATA'!Q1956</f>
        <v>0</v>
      </c>
      <c r="N273" s="8">
        <f>'MKT DATA'!R1956</f>
        <v>0</v>
      </c>
      <c r="O273" s="8">
        <f>'MKT DATA'!S1956</f>
        <v>-86199</v>
      </c>
      <c r="P273" s="8">
        <f>'MKT DATA'!T1956</f>
        <v>0</v>
      </c>
      <c r="Q273" s="43" t="str">
        <f t="shared" si="11"/>
        <v>syn BTCZ6/BTCV6/BTCG7/BTCF7/BTCX6/BTCH7</v>
      </c>
      <c r="R273" s="13">
        <f>'MKT DATA'!AB1956</f>
        <v>0</v>
      </c>
    </row>
    <row r="274" spans="5:18" x14ac:dyDescent="0.25">
      <c r="E274" s="43" t="str">
        <f>'MKT DATA'!B1957</f>
        <v>syn BTCZ6/BTCX6/BTCV6/BTCF7/BTCG7/BTCH7</v>
      </c>
      <c r="F274" s="13">
        <f>'MKT DATA'!J1957</f>
        <v>1</v>
      </c>
      <c r="G274" s="8">
        <f>'MKT DATA'!K1957</f>
        <v>85013</v>
      </c>
      <c r="H274" s="8">
        <f>'MKT DATA'!L1957</f>
        <v>85798</v>
      </c>
      <c r="I274" s="13">
        <f>'MKT DATA'!M1957</f>
        <v>1</v>
      </c>
      <c r="J274" s="43" t="str">
        <f t="shared" si="10"/>
        <v>syn BTCZ6/BTCX6/BTCV6/BTCF7/BTCG7/BTCH7</v>
      </c>
      <c r="K274" s="8">
        <f>'MKT DATA'!O1957</f>
        <v>0</v>
      </c>
      <c r="L274" s="8">
        <f>'MKT DATA'!P1957</f>
        <v>85013</v>
      </c>
      <c r="M274" s="8">
        <f>'MKT DATA'!Q1957</f>
        <v>0</v>
      </c>
      <c r="N274" s="8">
        <f>'MKT DATA'!R1957</f>
        <v>0</v>
      </c>
      <c r="O274" s="8">
        <f>'MKT DATA'!S1957</f>
        <v>-85798</v>
      </c>
      <c r="P274" s="8">
        <f>'MKT DATA'!T1957</f>
        <v>0</v>
      </c>
      <c r="Q274" s="43" t="str">
        <f t="shared" si="11"/>
        <v>syn BTCZ6/BTCX6/BTCV6/BTCF7/BTCG7/BTCH7</v>
      </c>
      <c r="R274" s="13">
        <f>'MKT DATA'!AB1957</f>
        <v>0</v>
      </c>
    </row>
    <row r="275" spans="5:18" x14ac:dyDescent="0.25">
      <c r="E275" s="43" t="str">
        <f>'MKT DATA'!B1958</f>
        <v>syn BTCZ6/BTCX6/BTCV6/BTCG7/BTCF7/BTCH7</v>
      </c>
      <c r="F275" s="13">
        <f>'MKT DATA'!J1958</f>
        <v>1</v>
      </c>
      <c r="G275" s="8">
        <f>'MKT DATA'!K1958</f>
        <v>84623</v>
      </c>
      <c r="H275" s="8">
        <f>'MKT DATA'!L1958</f>
        <v>86195</v>
      </c>
      <c r="I275" s="13">
        <f>'MKT DATA'!M1958</f>
        <v>1</v>
      </c>
      <c r="J275" s="43" t="str">
        <f t="shared" si="10"/>
        <v>syn BTCZ6/BTCX6/BTCV6/BTCG7/BTCF7/BTCH7</v>
      </c>
      <c r="K275" s="8">
        <f>'MKT DATA'!O1958</f>
        <v>0</v>
      </c>
      <c r="L275" s="8">
        <f>'MKT DATA'!P1958</f>
        <v>84623</v>
      </c>
      <c r="M275" s="8">
        <f>'MKT DATA'!Q1958</f>
        <v>0</v>
      </c>
      <c r="N275" s="8">
        <f>'MKT DATA'!R1958</f>
        <v>0</v>
      </c>
      <c r="O275" s="8">
        <f>'MKT DATA'!S1958</f>
        <v>-86195</v>
      </c>
      <c r="P275" s="8">
        <f>'MKT DATA'!T1958</f>
        <v>0</v>
      </c>
      <c r="Q275" s="43" t="str">
        <f t="shared" si="11"/>
        <v>syn BTCZ6/BTCX6/BTCV6/BTCG7/BTCF7/BTCH7</v>
      </c>
      <c r="R275" s="13">
        <f>'MKT DATA'!AB1958</f>
        <v>0</v>
      </c>
    </row>
    <row r="276" spans="5:18" x14ac:dyDescent="0.25">
      <c r="E276" s="43" t="str">
        <f>'MKT DATA'!B1959</f>
        <v>syn BTCZ6/BTCX6/BTCF7/BTCV6/BTCG7/BTCH7</v>
      </c>
      <c r="F276" s="13">
        <f>'MKT DATA'!J1959</f>
        <v>1</v>
      </c>
      <c r="G276" s="8">
        <f>'MKT DATA'!K1959</f>
        <v>84886</v>
      </c>
      <c r="H276" s="8">
        <f>'MKT DATA'!L1959</f>
        <v>85974</v>
      </c>
      <c r="I276" s="13">
        <f>'MKT DATA'!M1959</f>
        <v>1</v>
      </c>
      <c r="J276" s="43" t="str">
        <f t="shared" si="10"/>
        <v>syn BTCZ6/BTCX6/BTCF7/BTCV6/BTCG7/BTCH7</v>
      </c>
      <c r="K276" s="8">
        <f>'MKT DATA'!O1959</f>
        <v>0</v>
      </c>
      <c r="L276" s="8">
        <f>'MKT DATA'!P1959</f>
        <v>84886</v>
      </c>
      <c r="M276" s="8">
        <f>'MKT DATA'!Q1959</f>
        <v>0</v>
      </c>
      <c r="N276" s="8">
        <f>'MKT DATA'!R1959</f>
        <v>0</v>
      </c>
      <c r="O276" s="8">
        <f>'MKT DATA'!S1959</f>
        <v>-85974</v>
      </c>
      <c r="P276" s="8">
        <f>'MKT DATA'!T1959</f>
        <v>0</v>
      </c>
      <c r="Q276" s="43" t="str">
        <f t="shared" si="11"/>
        <v>syn BTCZ6/BTCX6/BTCF7/BTCV6/BTCG7/BTCH7</v>
      </c>
      <c r="R276" s="13">
        <f>'MKT DATA'!AB1959</f>
        <v>0</v>
      </c>
    </row>
    <row r="277" spans="5:18" x14ac:dyDescent="0.25">
      <c r="E277" s="43" t="str">
        <f>'MKT DATA'!B1960</f>
        <v>syn BTCZ6/BTCX6/BTCF7/BTCG7/BTCV6/BTCH7</v>
      </c>
      <c r="F277" s="13">
        <f>'MKT DATA'!J1960</f>
        <v>1</v>
      </c>
      <c r="G277" s="8">
        <f>'MKT DATA'!K1960</f>
        <v>84619</v>
      </c>
      <c r="H277" s="8">
        <f>'MKT DATA'!L1960</f>
        <v>86140</v>
      </c>
      <c r="I277" s="13">
        <f>'MKT DATA'!M1960</f>
        <v>1</v>
      </c>
      <c r="J277" s="43" t="str">
        <f t="shared" si="10"/>
        <v>syn BTCZ6/BTCX6/BTCF7/BTCG7/BTCV6/BTCH7</v>
      </c>
      <c r="K277" s="8">
        <f>'MKT DATA'!O1960</f>
        <v>0</v>
      </c>
      <c r="L277" s="8">
        <f>'MKT DATA'!P1960</f>
        <v>84619</v>
      </c>
      <c r="M277" s="8">
        <f>'MKT DATA'!Q1960</f>
        <v>0</v>
      </c>
      <c r="N277" s="8">
        <f>'MKT DATA'!R1960</f>
        <v>0</v>
      </c>
      <c r="O277" s="8">
        <f>'MKT DATA'!S1960</f>
        <v>-86140</v>
      </c>
      <c r="P277" s="8">
        <f>'MKT DATA'!T1960</f>
        <v>0</v>
      </c>
      <c r="Q277" s="43" t="str">
        <f t="shared" si="11"/>
        <v>syn BTCZ6/BTCX6/BTCF7/BTCG7/BTCV6/BTCH7</v>
      </c>
      <c r="R277" s="13">
        <f>'MKT DATA'!AB1960</f>
        <v>0</v>
      </c>
    </row>
    <row r="278" spans="5:18" x14ac:dyDescent="0.25">
      <c r="E278" s="43" t="str">
        <f>'MKT DATA'!B1961</f>
        <v>syn BTCZ6/BTCX6/BTCG7/BTCV6/BTCF7/BTCH7</v>
      </c>
      <c r="F278" s="13">
        <f>'MKT DATA'!J1961</f>
        <v>1</v>
      </c>
      <c r="G278" s="8">
        <f>'MKT DATA'!K1961</f>
        <v>84410</v>
      </c>
      <c r="H278" s="8">
        <f>'MKT DATA'!L1961</f>
        <v>86355</v>
      </c>
      <c r="I278" s="13">
        <f>'MKT DATA'!M1961</f>
        <v>1</v>
      </c>
      <c r="J278" s="43" t="str">
        <f t="shared" si="10"/>
        <v>syn BTCZ6/BTCX6/BTCG7/BTCV6/BTCF7/BTCH7</v>
      </c>
      <c r="K278" s="8">
        <f>'MKT DATA'!O1961</f>
        <v>0</v>
      </c>
      <c r="L278" s="8">
        <f>'MKT DATA'!P1961</f>
        <v>84410</v>
      </c>
      <c r="M278" s="8">
        <f>'MKT DATA'!Q1961</f>
        <v>0</v>
      </c>
      <c r="N278" s="8">
        <f>'MKT DATA'!R1961</f>
        <v>0</v>
      </c>
      <c r="O278" s="8">
        <f>'MKT DATA'!S1961</f>
        <v>-86355</v>
      </c>
      <c r="P278" s="8">
        <f>'MKT DATA'!T1961</f>
        <v>0</v>
      </c>
      <c r="Q278" s="43" t="str">
        <f t="shared" si="11"/>
        <v>syn BTCZ6/BTCX6/BTCG7/BTCV6/BTCF7/BTCH7</v>
      </c>
      <c r="R278" s="13">
        <f>'MKT DATA'!AB1961</f>
        <v>0</v>
      </c>
    </row>
    <row r="279" spans="5:18" x14ac:dyDescent="0.25">
      <c r="E279" s="43" t="str">
        <f>'MKT DATA'!B1962</f>
        <v>syn BTCZ6/BTCX6/BTCG7/BTCF7/BTCV6/BTCH7</v>
      </c>
      <c r="F279" s="13">
        <f>'MKT DATA'!J1962</f>
        <v>1</v>
      </c>
      <c r="G279" s="8">
        <f>'MKT DATA'!K1962</f>
        <v>84625</v>
      </c>
      <c r="H279" s="8">
        <f>'MKT DATA'!L1962</f>
        <v>86216</v>
      </c>
      <c r="I279" s="13">
        <f>'MKT DATA'!M1962</f>
        <v>1</v>
      </c>
      <c r="J279" s="43" t="str">
        <f t="shared" si="10"/>
        <v>syn BTCZ6/BTCX6/BTCG7/BTCF7/BTCV6/BTCH7</v>
      </c>
      <c r="K279" s="8">
        <f>'MKT DATA'!O1962</f>
        <v>0</v>
      </c>
      <c r="L279" s="8">
        <f>'MKT DATA'!P1962</f>
        <v>84625</v>
      </c>
      <c r="M279" s="8">
        <f>'MKT DATA'!Q1962</f>
        <v>0</v>
      </c>
      <c r="N279" s="8">
        <f>'MKT DATA'!R1962</f>
        <v>0</v>
      </c>
      <c r="O279" s="8">
        <f>'MKT DATA'!S1962</f>
        <v>-86216</v>
      </c>
      <c r="P279" s="8">
        <f>'MKT DATA'!T1962</f>
        <v>0</v>
      </c>
      <c r="Q279" s="43" t="str">
        <f t="shared" si="11"/>
        <v>syn BTCZ6/BTCX6/BTCG7/BTCF7/BTCV6/BTCH7</v>
      </c>
      <c r="R279" s="13">
        <f>'MKT DATA'!AB1962</f>
        <v>0</v>
      </c>
    </row>
    <row r="280" spans="5:18" x14ac:dyDescent="0.25">
      <c r="E280" s="43" t="str">
        <f>'MKT DATA'!B1963</f>
        <v>syn BTCZ6/BTCF7/BTCV6/BTCX6/BTCG7/BTCH7</v>
      </c>
      <c r="F280" s="13">
        <f>'MKT DATA'!J1963</f>
        <v>1</v>
      </c>
      <c r="G280" s="8">
        <f>'MKT DATA'!K1963</f>
        <v>84930</v>
      </c>
      <c r="H280" s="8">
        <f>'MKT DATA'!L1963</f>
        <v>85954</v>
      </c>
      <c r="I280" s="13">
        <f>'MKT DATA'!M1963</f>
        <v>1</v>
      </c>
      <c r="J280" s="43" t="str">
        <f t="shared" si="10"/>
        <v>syn BTCZ6/BTCF7/BTCV6/BTCX6/BTCG7/BTCH7</v>
      </c>
      <c r="K280" s="8">
        <f>'MKT DATA'!O1963</f>
        <v>0</v>
      </c>
      <c r="L280" s="8">
        <f>'MKT DATA'!P1963</f>
        <v>84930</v>
      </c>
      <c r="M280" s="8">
        <f>'MKT DATA'!Q1963</f>
        <v>0</v>
      </c>
      <c r="N280" s="8">
        <f>'MKT DATA'!R1963</f>
        <v>0</v>
      </c>
      <c r="O280" s="8">
        <f>'MKT DATA'!S1963</f>
        <v>-85954</v>
      </c>
      <c r="P280" s="8">
        <f>'MKT DATA'!T1963</f>
        <v>0</v>
      </c>
      <c r="Q280" s="43" t="str">
        <f t="shared" si="11"/>
        <v>syn BTCZ6/BTCF7/BTCV6/BTCX6/BTCG7/BTCH7</v>
      </c>
      <c r="R280" s="13">
        <f>'MKT DATA'!AB1963</f>
        <v>0</v>
      </c>
    </row>
    <row r="281" spans="5:18" x14ac:dyDescent="0.25">
      <c r="E281" s="43" t="str">
        <f>'MKT DATA'!B1964</f>
        <v>syn BTCZ6/BTCF7/BTCV6/BTCG7/BTCX6/BTCH7</v>
      </c>
      <c r="F281" s="13">
        <f>'MKT DATA'!J1964</f>
        <v>1</v>
      </c>
      <c r="G281" s="8">
        <f>'MKT DATA'!K1964</f>
        <v>84503</v>
      </c>
      <c r="H281" s="8">
        <f>'MKT DATA'!L1964</f>
        <v>86333</v>
      </c>
      <c r="I281" s="13">
        <f>'MKT DATA'!M1964</f>
        <v>1</v>
      </c>
      <c r="J281" s="43" t="str">
        <f t="shared" si="10"/>
        <v>syn BTCZ6/BTCF7/BTCV6/BTCG7/BTCX6/BTCH7</v>
      </c>
      <c r="K281" s="8">
        <f>'MKT DATA'!O1964</f>
        <v>0</v>
      </c>
      <c r="L281" s="8">
        <f>'MKT DATA'!P1964</f>
        <v>84503</v>
      </c>
      <c r="M281" s="8">
        <f>'MKT DATA'!Q1964</f>
        <v>0</v>
      </c>
      <c r="N281" s="8">
        <f>'MKT DATA'!R1964</f>
        <v>0</v>
      </c>
      <c r="O281" s="8">
        <f>'MKT DATA'!S1964</f>
        <v>-86333</v>
      </c>
      <c r="P281" s="8">
        <f>'MKT DATA'!T1964</f>
        <v>0</v>
      </c>
      <c r="Q281" s="43" t="str">
        <f t="shared" si="11"/>
        <v>syn BTCZ6/BTCF7/BTCV6/BTCG7/BTCX6/BTCH7</v>
      </c>
      <c r="R281" s="13">
        <f>'MKT DATA'!AB1964</f>
        <v>0</v>
      </c>
    </row>
    <row r="282" spans="5:18" x14ac:dyDescent="0.25">
      <c r="E282" s="43" t="str">
        <f>'MKT DATA'!B1965</f>
        <v>syn BTCZ6/BTCF7/BTCX6/BTCV6/BTCG7/BTCH7</v>
      </c>
      <c r="F282" s="13">
        <f>'MKT DATA'!J1965</f>
        <v>1</v>
      </c>
      <c r="G282" s="8">
        <f>'MKT DATA'!K1965</f>
        <v>84967</v>
      </c>
      <c r="H282" s="8">
        <f>'MKT DATA'!L1965</f>
        <v>85921</v>
      </c>
      <c r="I282" s="13">
        <f>'MKT DATA'!M1965</f>
        <v>1</v>
      </c>
      <c r="J282" s="43" t="str">
        <f t="shared" si="10"/>
        <v>syn BTCZ6/BTCF7/BTCX6/BTCV6/BTCG7/BTCH7</v>
      </c>
      <c r="K282" s="8">
        <f>'MKT DATA'!O1965</f>
        <v>0</v>
      </c>
      <c r="L282" s="8">
        <f>'MKT DATA'!P1965</f>
        <v>84967</v>
      </c>
      <c r="M282" s="8">
        <f>'MKT DATA'!Q1965</f>
        <v>0</v>
      </c>
      <c r="N282" s="8">
        <f>'MKT DATA'!R1965</f>
        <v>0</v>
      </c>
      <c r="O282" s="8">
        <f>'MKT DATA'!S1965</f>
        <v>-85921</v>
      </c>
      <c r="P282" s="8">
        <f>'MKT DATA'!T1965</f>
        <v>0</v>
      </c>
      <c r="Q282" s="43" t="str">
        <f t="shared" si="11"/>
        <v>syn BTCZ6/BTCF7/BTCX6/BTCV6/BTCG7/BTCH7</v>
      </c>
      <c r="R282" s="13">
        <f>'MKT DATA'!AB1965</f>
        <v>0</v>
      </c>
    </row>
    <row r="283" spans="5:18" x14ac:dyDescent="0.25">
      <c r="E283" s="43" t="str">
        <f>'MKT DATA'!B1966</f>
        <v>syn BTCZ6/BTCF7/BTCX6/BTCG7/BTCV6/BTCH7</v>
      </c>
      <c r="F283" s="13">
        <f>'MKT DATA'!J1966</f>
        <v>1</v>
      </c>
      <c r="G283" s="8">
        <f>'MKT DATA'!K1966</f>
        <v>84533</v>
      </c>
      <c r="H283" s="8">
        <f>'MKT DATA'!L1966</f>
        <v>86293</v>
      </c>
      <c r="I283" s="13">
        <f>'MKT DATA'!M1966</f>
        <v>1</v>
      </c>
      <c r="J283" s="43" t="str">
        <f t="shared" si="10"/>
        <v>syn BTCZ6/BTCF7/BTCX6/BTCG7/BTCV6/BTCH7</v>
      </c>
      <c r="K283" s="8">
        <f>'MKT DATA'!O1966</f>
        <v>0</v>
      </c>
      <c r="L283" s="8">
        <f>'MKT DATA'!P1966</f>
        <v>84533</v>
      </c>
      <c r="M283" s="8">
        <f>'MKT DATA'!Q1966</f>
        <v>0</v>
      </c>
      <c r="N283" s="8">
        <f>'MKT DATA'!R1966</f>
        <v>0</v>
      </c>
      <c r="O283" s="8">
        <f>'MKT DATA'!S1966</f>
        <v>-86293</v>
      </c>
      <c r="P283" s="8">
        <f>'MKT DATA'!T1966</f>
        <v>0</v>
      </c>
      <c r="Q283" s="43" t="str">
        <f t="shared" si="11"/>
        <v>syn BTCZ6/BTCF7/BTCX6/BTCG7/BTCV6/BTCH7</v>
      </c>
      <c r="R283" s="13">
        <f>'MKT DATA'!AB1966</f>
        <v>0</v>
      </c>
    </row>
    <row r="284" spans="5:18" x14ac:dyDescent="0.25">
      <c r="E284" s="43" t="str">
        <f>'MKT DATA'!B1967</f>
        <v>syn BTCZ6/BTCF7/BTCG7/BTCV6/BTCX6/BTCH7</v>
      </c>
      <c r="F284" s="13">
        <f>'MKT DATA'!J1967</f>
        <v>1</v>
      </c>
      <c r="G284" s="8">
        <f>'MKT DATA'!K1967</f>
        <v>84663</v>
      </c>
      <c r="H284" s="8">
        <f>'MKT DATA'!L1967</f>
        <v>86120</v>
      </c>
      <c r="I284" s="13">
        <f>'MKT DATA'!M1967</f>
        <v>1</v>
      </c>
      <c r="J284" s="43" t="str">
        <f t="shared" si="10"/>
        <v>syn BTCZ6/BTCF7/BTCG7/BTCV6/BTCX6/BTCH7</v>
      </c>
      <c r="K284" s="8">
        <f>'MKT DATA'!O1967</f>
        <v>0</v>
      </c>
      <c r="L284" s="8">
        <f>'MKT DATA'!P1967</f>
        <v>84663</v>
      </c>
      <c r="M284" s="8">
        <f>'MKT DATA'!Q1967</f>
        <v>0</v>
      </c>
      <c r="N284" s="8">
        <f>'MKT DATA'!R1967</f>
        <v>0</v>
      </c>
      <c r="O284" s="8">
        <f>'MKT DATA'!S1967</f>
        <v>-86120</v>
      </c>
      <c r="P284" s="8">
        <f>'MKT DATA'!T1967</f>
        <v>0</v>
      </c>
      <c r="Q284" s="43" t="str">
        <f t="shared" si="11"/>
        <v>syn BTCZ6/BTCF7/BTCG7/BTCV6/BTCX6/BTCH7</v>
      </c>
      <c r="R284" s="13">
        <f>'MKT DATA'!AB1967</f>
        <v>0</v>
      </c>
    </row>
    <row r="285" spans="5:18" x14ac:dyDescent="0.25">
      <c r="E285" s="43" t="str">
        <f>'MKT DATA'!B1968</f>
        <v>syn BTCZ6/BTCF7/BTCG7/BTCX6/BTCV6/BTCH7</v>
      </c>
      <c r="F285" s="13">
        <f>'MKT DATA'!J1968</f>
        <v>1</v>
      </c>
      <c r="G285" s="8">
        <f>'MKT DATA'!K1968</f>
        <v>84670</v>
      </c>
      <c r="H285" s="8">
        <f>'MKT DATA'!L1968</f>
        <v>86127</v>
      </c>
      <c r="I285" s="13">
        <f>'MKT DATA'!M1968</f>
        <v>1</v>
      </c>
      <c r="J285" s="43" t="str">
        <f t="shared" si="10"/>
        <v>syn BTCZ6/BTCF7/BTCG7/BTCX6/BTCV6/BTCH7</v>
      </c>
      <c r="K285" s="8">
        <f>'MKT DATA'!O1968</f>
        <v>0</v>
      </c>
      <c r="L285" s="8">
        <f>'MKT DATA'!P1968</f>
        <v>84670</v>
      </c>
      <c r="M285" s="8">
        <f>'MKT DATA'!Q1968</f>
        <v>0</v>
      </c>
      <c r="N285" s="8">
        <f>'MKT DATA'!R1968</f>
        <v>0</v>
      </c>
      <c r="O285" s="8">
        <f>'MKT DATA'!S1968</f>
        <v>-86127</v>
      </c>
      <c r="P285" s="8">
        <f>'MKT DATA'!T1968</f>
        <v>0</v>
      </c>
      <c r="Q285" s="43" t="str">
        <f t="shared" si="11"/>
        <v>syn BTCZ6/BTCF7/BTCG7/BTCX6/BTCV6/BTCH7</v>
      </c>
      <c r="R285" s="13">
        <f>'MKT DATA'!AB1968</f>
        <v>0</v>
      </c>
    </row>
    <row r="286" spans="5:18" x14ac:dyDescent="0.25">
      <c r="E286" s="43" t="str">
        <f>'MKT DATA'!B1969</f>
        <v>syn BTCZ6/BTCG7/BTCV6/BTCX6/BTCF7/BTCH7</v>
      </c>
      <c r="F286" s="13">
        <f>'MKT DATA'!J1969</f>
        <v>1</v>
      </c>
      <c r="G286" s="8">
        <f>'MKT DATA'!K1969</f>
        <v>84428</v>
      </c>
      <c r="H286" s="8">
        <f>'MKT DATA'!L1969</f>
        <v>86355</v>
      </c>
      <c r="I286" s="13">
        <f>'MKT DATA'!M1969</f>
        <v>1</v>
      </c>
      <c r="J286" s="43" t="str">
        <f t="shared" si="10"/>
        <v>syn BTCZ6/BTCG7/BTCV6/BTCX6/BTCF7/BTCH7</v>
      </c>
      <c r="K286" s="8">
        <f>'MKT DATA'!O1969</f>
        <v>0</v>
      </c>
      <c r="L286" s="8">
        <f>'MKT DATA'!P1969</f>
        <v>84428</v>
      </c>
      <c r="M286" s="8">
        <f>'MKT DATA'!Q1969</f>
        <v>0</v>
      </c>
      <c r="N286" s="8">
        <f>'MKT DATA'!R1969</f>
        <v>0</v>
      </c>
      <c r="O286" s="8">
        <f>'MKT DATA'!S1969</f>
        <v>-86355</v>
      </c>
      <c r="P286" s="8">
        <f>'MKT DATA'!T1969</f>
        <v>0</v>
      </c>
      <c r="Q286" s="43" t="str">
        <f t="shared" si="11"/>
        <v>syn BTCZ6/BTCG7/BTCV6/BTCX6/BTCF7/BTCH7</v>
      </c>
      <c r="R286" s="13">
        <f>'MKT DATA'!AB1969</f>
        <v>0</v>
      </c>
    </row>
    <row r="287" spans="5:18" x14ac:dyDescent="0.25">
      <c r="E287" s="43" t="str">
        <f>'MKT DATA'!B1970</f>
        <v>syn BTCZ6/BTCG7/BTCV6/BTCF7/BTCX6/BTCH7</v>
      </c>
      <c r="F287" s="13">
        <f>'MKT DATA'!J1970</f>
        <v>1</v>
      </c>
      <c r="G287" s="8">
        <f>'MKT DATA'!K1970</f>
        <v>84427</v>
      </c>
      <c r="H287" s="8">
        <f>'MKT DATA'!L1970</f>
        <v>86373</v>
      </c>
      <c r="I287" s="13">
        <f>'MKT DATA'!M1970</f>
        <v>1</v>
      </c>
      <c r="J287" s="43" t="str">
        <f t="shared" si="10"/>
        <v>syn BTCZ6/BTCG7/BTCV6/BTCF7/BTCX6/BTCH7</v>
      </c>
      <c r="K287" s="8">
        <f>'MKT DATA'!O1970</f>
        <v>0</v>
      </c>
      <c r="L287" s="8">
        <f>'MKT DATA'!P1970</f>
        <v>84427</v>
      </c>
      <c r="M287" s="8">
        <f>'MKT DATA'!Q1970</f>
        <v>0</v>
      </c>
      <c r="N287" s="8">
        <f>'MKT DATA'!R1970</f>
        <v>0</v>
      </c>
      <c r="O287" s="8">
        <f>'MKT DATA'!S1970</f>
        <v>-86373</v>
      </c>
      <c r="P287" s="8">
        <f>'MKT DATA'!T1970</f>
        <v>0</v>
      </c>
      <c r="Q287" s="43" t="str">
        <f t="shared" si="11"/>
        <v>syn BTCZ6/BTCG7/BTCV6/BTCF7/BTCX6/BTCH7</v>
      </c>
      <c r="R287" s="13">
        <f>'MKT DATA'!AB1970</f>
        <v>0</v>
      </c>
    </row>
    <row r="288" spans="5:18" x14ac:dyDescent="0.25">
      <c r="E288" s="43" t="str">
        <f>'MKT DATA'!B1971</f>
        <v>syn BTCZ6/BTCG7/BTCX6/BTCV6/BTCF7/BTCH7</v>
      </c>
      <c r="F288" s="13">
        <f>'MKT DATA'!J1971</f>
        <v>1</v>
      </c>
      <c r="G288" s="8">
        <f>'MKT DATA'!K1971</f>
        <v>84395</v>
      </c>
      <c r="H288" s="8">
        <f>'MKT DATA'!L1971</f>
        <v>86392</v>
      </c>
      <c r="I288" s="13">
        <f>'MKT DATA'!M1971</f>
        <v>1</v>
      </c>
      <c r="J288" s="43" t="str">
        <f t="shared" si="10"/>
        <v>syn BTCZ6/BTCG7/BTCX6/BTCV6/BTCF7/BTCH7</v>
      </c>
      <c r="K288" s="8">
        <f>'MKT DATA'!O1971</f>
        <v>0</v>
      </c>
      <c r="L288" s="8">
        <f>'MKT DATA'!P1971</f>
        <v>84395</v>
      </c>
      <c r="M288" s="8">
        <f>'MKT DATA'!Q1971</f>
        <v>0</v>
      </c>
      <c r="N288" s="8">
        <f>'MKT DATA'!R1971</f>
        <v>0</v>
      </c>
      <c r="O288" s="8">
        <f>'MKT DATA'!S1971</f>
        <v>-86392</v>
      </c>
      <c r="P288" s="8">
        <f>'MKT DATA'!T1971</f>
        <v>0</v>
      </c>
      <c r="Q288" s="43" t="str">
        <f t="shared" si="11"/>
        <v>syn BTCZ6/BTCG7/BTCX6/BTCV6/BTCF7/BTCH7</v>
      </c>
      <c r="R288" s="13">
        <f>'MKT DATA'!AB1971</f>
        <v>0</v>
      </c>
    </row>
    <row r="289" spans="5:18" x14ac:dyDescent="0.25">
      <c r="E289" s="43" t="str">
        <f>'MKT DATA'!B1972</f>
        <v>syn BTCZ6/BTCG7/BTCX6/BTCF7/BTCV6/BTCH7</v>
      </c>
      <c r="F289" s="13">
        <f>'MKT DATA'!J1972</f>
        <v>1</v>
      </c>
      <c r="G289" s="8">
        <f>'MKT DATA'!K1972</f>
        <v>84437</v>
      </c>
      <c r="H289" s="8">
        <f>'MKT DATA'!L1972</f>
        <v>86383</v>
      </c>
      <c r="I289" s="13">
        <f>'MKT DATA'!M1972</f>
        <v>1</v>
      </c>
      <c r="J289" s="43" t="str">
        <f t="shared" si="10"/>
        <v>syn BTCZ6/BTCG7/BTCX6/BTCF7/BTCV6/BTCH7</v>
      </c>
      <c r="K289" s="8">
        <f>'MKT DATA'!O1972</f>
        <v>0</v>
      </c>
      <c r="L289" s="8">
        <f>'MKT DATA'!P1972</f>
        <v>84437</v>
      </c>
      <c r="M289" s="8">
        <f>'MKT DATA'!Q1972</f>
        <v>0</v>
      </c>
      <c r="N289" s="8">
        <f>'MKT DATA'!R1972</f>
        <v>0</v>
      </c>
      <c r="O289" s="8">
        <f>'MKT DATA'!S1972</f>
        <v>-86383</v>
      </c>
      <c r="P289" s="8">
        <f>'MKT DATA'!T1972</f>
        <v>0</v>
      </c>
      <c r="Q289" s="43" t="str">
        <f t="shared" si="11"/>
        <v>syn BTCZ6/BTCG7/BTCX6/BTCF7/BTCV6/BTCH7</v>
      </c>
      <c r="R289" s="13">
        <f>'MKT DATA'!AB1972</f>
        <v>0</v>
      </c>
    </row>
    <row r="290" spans="5:18" x14ac:dyDescent="0.25">
      <c r="E290" s="43" t="str">
        <f>'MKT DATA'!B1973</f>
        <v>syn BTCZ6/BTCG7/BTCF7/BTCV6/BTCX6/BTCH7</v>
      </c>
      <c r="F290" s="13">
        <f>'MKT DATA'!J1973</f>
        <v>1</v>
      </c>
      <c r="G290" s="8">
        <f>'MKT DATA'!K1973</f>
        <v>84603</v>
      </c>
      <c r="H290" s="8">
        <f>'MKT DATA'!L1973</f>
        <v>86246</v>
      </c>
      <c r="I290" s="13">
        <f>'MKT DATA'!M1973</f>
        <v>1</v>
      </c>
      <c r="J290" s="43" t="str">
        <f t="shared" si="10"/>
        <v>syn BTCZ6/BTCG7/BTCF7/BTCV6/BTCX6/BTCH7</v>
      </c>
      <c r="K290" s="8">
        <f>'MKT DATA'!O1973</f>
        <v>0</v>
      </c>
      <c r="L290" s="8">
        <f>'MKT DATA'!P1973</f>
        <v>84603</v>
      </c>
      <c r="M290" s="8">
        <f>'MKT DATA'!Q1973</f>
        <v>0</v>
      </c>
      <c r="N290" s="8">
        <f>'MKT DATA'!R1973</f>
        <v>0</v>
      </c>
      <c r="O290" s="8">
        <f>'MKT DATA'!S1973</f>
        <v>-86246</v>
      </c>
      <c r="P290" s="8">
        <f>'MKT DATA'!T1973</f>
        <v>0</v>
      </c>
      <c r="Q290" s="43" t="str">
        <f t="shared" si="11"/>
        <v>syn BTCZ6/BTCG7/BTCF7/BTCV6/BTCX6/BTCH7</v>
      </c>
      <c r="R290" s="13">
        <f>'MKT DATA'!AB1973</f>
        <v>0</v>
      </c>
    </row>
    <row r="291" spans="5:18" x14ac:dyDescent="0.25">
      <c r="E291" s="43" t="str">
        <f>'MKT DATA'!B1974</f>
        <v>syn BTCZ6/BTCG7/BTCF7/BTCX6/BTCV6/BTCH7</v>
      </c>
      <c r="F291" s="13">
        <f>'MKT DATA'!J1974</f>
        <v>1</v>
      </c>
      <c r="G291" s="8">
        <f>'MKT DATA'!K1974</f>
        <v>84640</v>
      </c>
      <c r="H291" s="8">
        <f>'MKT DATA'!L1974</f>
        <v>86213</v>
      </c>
      <c r="I291" s="13">
        <f>'MKT DATA'!M1974</f>
        <v>1</v>
      </c>
      <c r="J291" s="43" t="str">
        <f t="shared" si="10"/>
        <v>syn BTCZ6/BTCG7/BTCF7/BTCX6/BTCV6/BTCH7</v>
      </c>
      <c r="K291" s="8">
        <f>'MKT DATA'!O1974</f>
        <v>0</v>
      </c>
      <c r="L291" s="8">
        <f>'MKT DATA'!P1974</f>
        <v>84640</v>
      </c>
      <c r="M291" s="8">
        <f>'MKT DATA'!Q1974</f>
        <v>0</v>
      </c>
      <c r="N291" s="8">
        <f>'MKT DATA'!R1974</f>
        <v>0</v>
      </c>
      <c r="O291" s="8">
        <f>'MKT DATA'!S1974</f>
        <v>-86213</v>
      </c>
      <c r="P291" s="8">
        <f>'MKT DATA'!T1974</f>
        <v>0</v>
      </c>
      <c r="Q291" s="43" t="str">
        <f t="shared" si="11"/>
        <v>syn BTCZ6/BTCG7/BTCF7/BTCX6/BTCV6/BTCH7</v>
      </c>
      <c r="R291" s="13">
        <f>'MKT DATA'!AB1974</f>
        <v>0</v>
      </c>
    </row>
    <row r="292" spans="5:18" x14ac:dyDescent="0.25">
      <c r="E292" s="43" t="str">
        <f>'MKT DATA'!B1975</f>
        <v>syn BTCF7/BTCV6/BTCX6/BTCZ6/BTCG7/BTCH7</v>
      </c>
      <c r="F292" s="13">
        <f>'MKT DATA'!J1975</f>
        <v>1</v>
      </c>
      <c r="G292" s="8">
        <f>'MKT DATA'!K1975</f>
        <v>84882</v>
      </c>
      <c r="H292" s="8">
        <f>'MKT DATA'!L1975</f>
        <v>86021</v>
      </c>
      <c r="I292" s="13">
        <f>'MKT DATA'!M1975</f>
        <v>1</v>
      </c>
      <c r="J292" s="43" t="str">
        <f t="shared" si="10"/>
        <v>syn BTCF7/BTCV6/BTCX6/BTCZ6/BTCG7/BTCH7</v>
      </c>
      <c r="K292" s="8">
        <f>'MKT DATA'!O1975</f>
        <v>0</v>
      </c>
      <c r="L292" s="8">
        <f>'MKT DATA'!P1975</f>
        <v>84882</v>
      </c>
      <c r="M292" s="8">
        <f>'MKT DATA'!Q1975</f>
        <v>0</v>
      </c>
      <c r="N292" s="8">
        <f>'MKT DATA'!R1975</f>
        <v>0</v>
      </c>
      <c r="O292" s="8">
        <f>'MKT DATA'!S1975</f>
        <v>-86021</v>
      </c>
      <c r="P292" s="8">
        <f>'MKT DATA'!T1975</f>
        <v>0</v>
      </c>
      <c r="Q292" s="43" t="str">
        <f t="shared" si="11"/>
        <v>syn BTCF7/BTCV6/BTCX6/BTCZ6/BTCG7/BTCH7</v>
      </c>
      <c r="R292" s="13">
        <f>'MKT DATA'!AB1975</f>
        <v>0</v>
      </c>
    </row>
    <row r="293" spans="5:18" x14ac:dyDescent="0.25">
      <c r="E293" s="43" t="str">
        <f>'MKT DATA'!B1976</f>
        <v>syn BTCF7/BTCV6/BTCX6/BTCG7/BTCZ6/BTCH7</v>
      </c>
      <c r="F293" s="13">
        <f>'MKT DATA'!J1976</f>
        <v>1</v>
      </c>
      <c r="G293" s="8">
        <f>'MKT DATA'!K1976</f>
        <v>84628</v>
      </c>
      <c r="H293" s="8">
        <f>'MKT DATA'!L1976</f>
        <v>86385</v>
      </c>
      <c r="I293" s="13">
        <f>'MKT DATA'!M1976</f>
        <v>1</v>
      </c>
      <c r="J293" s="43" t="str">
        <f t="shared" si="10"/>
        <v>syn BTCF7/BTCV6/BTCX6/BTCG7/BTCZ6/BTCH7</v>
      </c>
      <c r="K293" s="8">
        <f>'MKT DATA'!O1976</f>
        <v>0</v>
      </c>
      <c r="L293" s="8">
        <f>'MKT DATA'!P1976</f>
        <v>84628</v>
      </c>
      <c r="M293" s="8">
        <f>'MKT DATA'!Q1976</f>
        <v>0</v>
      </c>
      <c r="N293" s="8">
        <f>'MKT DATA'!R1976</f>
        <v>0</v>
      </c>
      <c r="O293" s="8">
        <f>'MKT DATA'!S1976</f>
        <v>-86385</v>
      </c>
      <c r="P293" s="8">
        <f>'MKT DATA'!T1976</f>
        <v>0</v>
      </c>
      <c r="Q293" s="43" t="str">
        <f t="shared" si="11"/>
        <v>syn BTCF7/BTCV6/BTCX6/BTCG7/BTCZ6/BTCH7</v>
      </c>
      <c r="R293" s="13">
        <f>'MKT DATA'!AB1976</f>
        <v>0</v>
      </c>
    </row>
    <row r="294" spans="5:18" x14ac:dyDescent="0.25">
      <c r="E294" s="43" t="str">
        <f>'MKT DATA'!B1977</f>
        <v>syn BTCF7/BTCV6/BTCZ6/BTCX6/BTCG7/BTCH7</v>
      </c>
      <c r="F294" s="13">
        <f>'MKT DATA'!J1977</f>
        <v>1</v>
      </c>
      <c r="G294" s="8">
        <f>'MKT DATA'!K1977</f>
        <v>84881</v>
      </c>
      <c r="H294" s="8">
        <f>'MKT DATA'!L1977</f>
        <v>86007</v>
      </c>
      <c r="I294" s="13">
        <f>'MKT DATA'!M1977</f>
        <v>1</v>
      </c>
      <c r="J294" s="43" t="str">
        <f t="shared" si="10"/>
        <v>syn BTCF7/BTCV6/BTCZ6/BTCX6/BTCG7/BTCH7</v>
      </c>
      <c r="K294" s="8">
        <f>'MKT DATA'!O1977</f>
        <v>0</v>
      </c>
      <c r="L294" s="8">
        <f>'MKT DATA'!P1977</f>
        <v>84881</v>
      </c>
      <c r="M294" s="8">
        <f>'MKT DATA'!Q1977</f>
        <v>0</v>
      </c>
      <c r="N294" s="8">
        <f>'MKT DATA'!R1977</f>
        <v>0</v>
      </c>
      <c r="O294" s="8">
        <f>'MKT DATA'!S1977</f>
        <v>-86007</v>
      </c>
      <c r="P294" s="8">
        <f>'MKT DATA'!T1977</f>
        <v>0</v>
      </c>
      <c r="Q294" s="43" t="str">
        <f t="shared" si="11"/>
        <v>syn BTCF7/BTCV6/BTCZ6/BTCX6/BTCG7/BTCH7</v>
      </c>
      <c r="R294" s="13">
        <f>'MKT DATA'!AB1977</f>
        <v>0</v>
      </c>
    </row>
    <row r="295" spans="5:18" x14ac:dyDescent="0.25">
      <c r="E295" s="43" t="str">
        <f>'MKT DATA'!B1978</f>
        <v>syn BTCF7/BTCV6/BTCZ6/BTCG7/BTCX6/BTCH7</v>
      </c>
      <c r="F295" s="13">
        <f>'MKT DATA'!J1978</f>
        <v>1</v>
      </c>
      <c r="G295" s="8">
        <f>'MKT DATA'!K1978</f>
        <v>84432</v>
      </c>
      <c r="H295" s="8">
        <f>'MKT DATA'!L1978</f>
        <v>86416</v>
      </c>
      <c r="I295" s="13">
        <f>'MKT DATA'!M1978</f>
        <v>1</v>
      </c>
      <c r="J295" s="43" t="str">
        <f t="shared" si="10"/>
        <v>syn BTCF7/BTCV6/BTCZ6/BTCG7/BTCX6/BTCH7</v>
      </c>
      <c r="K295" s="8">
        <f>'MKT DATA'!O1978</f>
        <v>0</v>
      </c>
      <c r="L295" s="8">
        <f>'MKT DATA'!P1978</f>
        <v>84432</v>
      </c>
      <c r="M295" s="8">
        <f>'MKT DATA'!Q1978</f>
        <v>0</v>
      </c>
      <c r="N295" s="8">
        <f>'MKT DATA'!R1978</f>
        <v>0</v>
      </c>
      <c r="O295" s="8">
        <f>'MKT DATA'!S1978</f>
        <v>-86416</v>
      </c>
      <c r="P295" s="8">
        <f>'MKT DATA'!T1978</f>
        <v>0</v>
      </c>
      <c r="Q295" s="43" t="str">
        <f t="shared" si="11"/>
        <v>syn BTCF7/BTCV6/BTCZ6/BTCG7/BTCX6/BTCH7</v>
      </c>
      <c r="R295" s="13">
        <f>'MKT DATA'!AB1978</f>
        <v>0</v>
      </c>
    </row>
    <row r="296" spans="5:18" x14ac:dyDescent="0.25">
      <c r="E296" s="43" t="str">
        <f>'MKT DATA'!B1979</f>
        <v>syn BTCF7/BTCV6/BTCG7/BTCX6/BTCZ6/BTCH7</v>
      </c>
      <c r="F296" s="13">
        <f>'MKT DATA'!J1979</f>
        <v>1</v>
      </c>
      <c r="G296" s="8">
        <f>'MKT DATA'!K1979</f>
        <v>84665</v>
      </c>
      <c r="H296" s="8">
        <f>'MKT DATA'!L1979</f>
        <v>86370</v>
      </c>
      <c r="I296" s="13">
        <f>'MKT DATA'!M1979</f>
        <v>1</v>
      </c>
      <c r="J296" s="43" t="str">
        <f t="shared" si="10"/>
        <v>syn BTCF7/BTCV6/BTCG7/BTCX6/BTCZ6/BTCH7</v>
      </c>
      <c r="K296" s="8">
        <f>'MKT DATA'!O1979</f>
        <v>0</v>
      </c>
      <c r="L296" s="8">
        <f>'MKT DATA'!P1979</f>
        <v>84665</v>
      </c>
      <c r="M296" s="8">
        <f>'MKT DATA'!Q1979</f>
        <v>0</v>
      </c>
      <c r="N296" s="8">
        <f>'MKT DATA'!R1979</f>
        <v>0</v>
      </c>
      <c r="O296" s="8">
        <f>'MKT DATA'!S1979</f>
        <v>-86370</v>
      </c>
      <c r="P296" s="8">
        <f>'MKT DATA'!T1979</f>
        <v>0</v>
      </c>
      <c r="Q296" s="43" t="str">
        <f t="shared" si="11"/>
        <v>syn BTCF7/BTCV6/BTCG7/BTCX6/BTCZ6/BTCH7</v>
      </c>
      <c r="R296" s="13">
        <f>'MKT DATA'!AB1979</f>
        <v>0</v>
      </c>
    </row>
    <row r="297" spans="5:18" x14ac:dyDescent="0.25">
      <c r="E297" s="43" t="str">
        <f>'MKT DATA'!B1980</f>
        <v>syn BTCF7/BTCV6/BTCG7/BTCZ6/BTCX6/BTCH7</v>
      </c>
      <c r="F297" s="13">
        <f>'MKT DATA'!J1980</f>
        <v>1</v>
      </c>
      <c r="G297" s="8">
        <f>'MKT DATA'!K1980</f>
        <v>84440</v>
      </c>
      <c r="H297" s="8">
        <f>'MKT DATA'!L1980</f>
        <v>86385</v>
      </c>
      <c r="I297" s="13">
        <f>'MKT DATA'!M1980</f>
        <v>1</v>
      </c>
      <c r="J297" s="43" t="str">
        <f t="shared" si="10"/>
        <v>syn BTCF7/BTCV6/BTCG7/BTCZ6/BTCX6/BTCH7</v>
      </c>
      <c r="K297" s="8">
        <f>'MKT DATA'!O1980</f>
        <v>0</v>
      </c>
      <c r="L297" s="8">
        <f>'MKT DATA'!P1980</f>
        <v>84440</v>
      </c>
      <c r="M297" s="8">
        <f>'MKT DATA'!Q1980</f>
        <v>0</v>
      </c>
      <c r="N297" s="8">
        <f>'MKT DATA'!R1980</f>
        <v>0</v>
      </c>
      <c r="O297" s="8">
        <f>'MKT DATA'!S1980</f>
        <v>-86385</v>
      </c>
      <c r="P297" s="8">
        <f>'MKT DATA'!T1980</f>
        <v>0</v>
      </c>
      <c r="Q297" s="43" t="str">
        <f t="shared" si="11"/>
        <v>syn BTCF7/BTCV6/BTCG7/BTCZ6/BTCX6/BTCH7</v>
      </c>
      <c r="R297" s="13">
        <f>'MKT DATA'!AB1980</f>
        <v>0</v>
      </c>
    </row>
    <row r="298" spans="5:18" x14ac:dyDescent="0.25">
      <c r="E298" s="43" t="str">
        <f>'MKT DATA'!B1981</f>
        <v>syn BTCF7/BTCX6/BTCV6/BTCZ6/BTCG7/BTCH7</v>
      </c>
      <c r="F298" s="13">
        <f>'MKT DATA'!J1981</f>
        <v>1</v>
      </c>
      <c r="G298" s="8">
        <f>'MKT DATA'!K1981</f>
        <v>84896</v>
      </c>
      <c r="H298" s="8">
        <f>'MKT DATA'!L1981</f>
        <v>86004</v>
      </c>
      <c r="I298" s="13">
        <f>'MKT DATA'!M1981</f>
        <v>1</v>
      </c>
      <c r="J298" s="43" t="str">
        <f t="shared" si="10"/>
        <v>syn BTCF7/BTCX6/BTCV6/BTCZ6/BTCG7/BTCH7</v>
      </c>
      <c r="K298" s="8">
        <f>'MKT DATA'!O1981</f>
        <v>0</v>
      </c>
      <c r="L298" s="8">
        <f>'MKT DATA'!P1981</f>
        <v>84896</v>
      </c>
      <c r="M298" s="8">
        <f>'MKT DATA'!Q1981</f>
        <v>0</v>
      </c>
      <c r="N298" s="8">
        <f>'MKT DATA'!R1981</f>
        <v>0</v>
      </c>
      <c r="O298" s="8">
        <f>'MKT DATA'!S1981</f>
        <v>-86004</v>
      </c>
      <c r="P298" s="8">
        <f>'MKT DATA'!T1981</f>
        <v>0</v>
      </c>
      <c r="Q298" s="43" t="str">
        <f t="shared" si="11"/>
        <v>syn BTCF7/BTCX6/BTCV6/BTCZ6/BTCG7/BTCH7</v>
      </c>
      <c r="R298" s="13">
        <f>'MKT DATA'!AB1981</f>
        <v>0</v>
      </c>
    </row>
    <row r="299" spans="5:18" x14ac:dyDescent="0.25">
      <c r="E299" s="43" t="str">
        <f>'MKT DATA'!B1982</f>
        <v>syn BTCF7/BTCX6/BTCV6/BTCG7/BTCZ6/BTCH7</v>
      </c>
      <c r="F299" s="13">
        <f>'MKT DATA'!J1982</f>
        <v>1</v>
      </c>
      <c r="G299" s="8">
        <f>'MKT DATA'!K1982</f>
        <v>84665</v>
      </c>
      <c r="H299" s="8">
        <f>'MKT DATA'!L1982</f>
        <v>86352</v>
      </c>
      <c r="I299" s="13">
        <f>'MKT DATA'!M1982</f>
        <v>1</v>
      </c>
      <c r="J299" s="43" t="str">
        <f t="shared" si="10"/>
        <v>syn BTCF7/BTCX6/BTCV6/BTCG7/BTCZ6/BTCH7</v>
      </c>
      <c r="K299" s="8">
        <f>'MKT DATA'!O1982</f>
        <v>0</v>
      </c>
      <c r="L299" s="8">
        <f>'MKT DATA'!P1982</f>
        <v>84665</v>
      </c>
      <c r="M299" s="8">
        <f>'MKT DATA'!Q1982</f>
        <v>0</v>
      </c>
      <c r="N299" s="8">
        <f>'MKT DATA'!R1982</f>
        <v>0</v>
      </c>
      <c r="O299" s="8">
        <f>'MKT DATA'!S1982</f>
        <v>-86352</v>
      </c>
      <c r="P299" s="8">
        <f>'MKT DATA'!T1982</f>
        <v>0</v>
      </c>
      <c r="Q299" s="43" t="str">
        <f t="shared" si="11"/>
        <v>syn BTCF7/BTCX6/BTCV6/BTCG7/BTCZ6/BTCH7</v>
      </c>
      <c r="R299" s="13">
        <f>'MKT DATA'!AB1982</f>
        <v>0</v>
      </c>
    </row>
    <row r="300" spans="5:18" x14ac:dyDescent="0.25">
      <c r="E300" s="43" t="str">
        <f>'MKT DATA'!B1983</f>
        <v>syn BTCF7/BTCX6/BTCZ6/BTCV6/BTCG7/BTCH7</v>
      </c>
      <c r="F300" s="13">
        <f>'MKT DATA'!J1983</f>
        <v>1</v>
      </c>
      <c r="G300" s="8">
        <f>'MKT DATA'!K1983</f>
        <v>84918</v>
      </c>
      <c r="H300" s="8">
        <f>'MKT DATA'!L1983</f>
        <v>85974</v>
      </c>
      <c r="I300" s="13">
        <f>'MKT DATA'!M1983</f>
        <v>1</v>
      </c>
      <c r="J300" s="43" t="str">
        <f t="shared" si="10"/>
        <v>syn BTCF7/BTCX6/BTCZ6/BTCV6/BTCG7/BTCH7</v>
      </c>
      <c r="K300" s="8">
        <f>'MKT DATA'!O1983</f>
        <v>0</v>
      </c>
      <c r="L300" s="8">
        <f>'MKT DATA'!P1983</f>
        <v>84918</v>
      </c>
      <c r="M300" s="8">
        <f>'MKT DATA'!Q1983</f>
        <v>0</v>
      </c>
      <c r="N300" s="8">
        <f>'MKT DATA'!R1983</f>
        <v>0</v>
      </c>
      <c r="O300" s="8">
        <f>'MKT DATA'!S1983</f>
        <v>-85974</v>
      </c>
      <c r="P300" s="8">
        <f>'MKT DATA'!T1983</f>
        <v>0</v>
      </c>
      <c r="Q300" s="43" t="str">
        <f t="shared" si="11"/>
        <v>syn BTCF7/BTCX6/BTCZ6/BTCV6/BTCG7/BTCH7</v>
      </c>
      <c r="R300" s="13">
        <f>'MKT DATA'!AB1983</f>
        <v>0</v>
      </c>
    </row>
    <row r="301" spans="5:18" x14ac:dyDescent="0.25">
      <c r="E301" s="43" t="str">
        <f>'MKT DATA'!B1984</f>
        <v>syn BTCF7/BTCX6/BTCZ6/BTCG7/BTCV6/BTCH7</v>
      </c>
      <c r="F301" s="13">
        <f>'MKT DATA'!J1984</f>
        <v>1</v>
      </c>
      <c r="G301" s="8">
        <f>'MKT DATA'!K1984</f>
        <v>84485</v>
      </c>
      <c r="H301" s="8">
        <f>'MKT DATA'!L1984</f>
        <v>86360</v>
      </c>
      <c r="I301" s="13">
        <f>'MKT DATA'!M1984</f>
        <v>1</v>
      </c>
      <c r="J301" s="43" t="str">
        <f t="shared" si="10"/>
        <v>syn BTCF7/BTCX6/BTCZ6/BTCG7/BTCV6/BTCH7</v>
      </c>
      <c r="K301" s="8">
        <f>'MKT DATA'!O1984</f>
        <v>0</v>
      </c>
      <c r="L301" s="8">
        <f>'MKT DATA'!P1984</f>
        <v>84485</v>
      </c>
      <c r="M301" s="8">
        <f>'MKT DATA'!Q1984</f>
        <v>0</v>
      </c>
      <c r="N301" s="8">
        <f>'MKT DATA'!R1984</f>
        <v>0</v>
      </c>
      <c r="O301" s="8">
        <f>'MKT DATA'!S1984</f>
        <v>-86360</v>
      </c>
      <c r="P301" s="8">
        <f>'MKT DATA'!T1984</f>
        <v>0</v>
      </c>
      <c r="Q301" s="43" t="str">
        <f t="shared" si="11"/>
        <v>syn BTCF7/BTCX6/BTCZ6/BTCG7/BTCV6/BTCH7</v>
      </c>
      <c r="R301" s="13">
        <f>'MKT DATA'!AB1984</f>
        <v>0</v>
      </c>
    </row>
    <row r="302" spans="5:18" x14ac:dyDescent="0.25">
      <c r="E302" s="43" t="str">
        <f>'MKT DATA'!B1985</f>
        <v>syn BTCF7/BTCX6/BTCG7/BTCV6/BTCZ6/BTCH7</v>
      </c>
      <c r="F302" s="13">
        <f>'MKT DATA'!J1985</f>
        <v>1</v>
      </c>
      <c r="G302" s="8">
        <f>'MKT DATA'!K1985</f>
        <v>84672</v>
      </c>
      <c r="H302" s="8">
        <f>'MKT DATA'!L1985</f>
        <v>86346</v>
      </c>
      <c r="I302" s="13">
        <f>'MKT DATA'!M1985</f>
        <v>1</v>
      </c>
      <c r="J302" s="43" t="str">
        <f t="shared" si="10"/>
        <v>syn BTCF7/BTCX6/BTCG7/BTCV6/BTCZ6/BTCH7</v>
      </c>
      <c r="K302" s="8">
        <f>'MKT DATA'!O1985</f>
        <v>0</v>
      </c>
      <c r="L302" s="8">
        <f>'MKT DATA'!P1985</f>
        <v>84672</v>
      </c>
      <c r="M302" s="8">
        <f>'MKT DATA'!Q1985</f>
        <v>0</v>
      </c>
      <c r="N302" s="8">
        <f>'MKT DATA'!R1985</f>
        <v>0</v>
      </c>
      <c r="O302" s="8">
        <f>'MKT DATA'!S1985</f>
        <v>-86346</v>
      </c>
      <c r="P302" s="8">
        <f>'MKT DATA'!T1985</f>
        <v>0</v>
      </c>
      <c r="Q302" s="43" t="str">
        <f t="shared" si="11"/>
        <v>syn BTCF7/BTCX6/BTCG7/BTCV6/BTCZ6/BTCH7</v>
      </c>
      <c r="R302" s="13">
        <f>'MKT DATA'!AB1985</f>
        <v>0</v>
      </c>
    </row>
    <row r="303" spans="5:18" x14ac:dyDescent="0.25">
      <c r="E303" s="43" t="str">
        <f>'MKT DATA'!B1986</f>
        <v>syn BTCF7/BTCX6/BTCG7/BTCZ6/BTCV6/BTCH7</v>
      </c>
      <c r="F303" s="13">
        <f>'MKT DATA'!J1986</f>
        <v>1</v>
      </c>
      <c r="G303" s="8">
        <f>'MKT DATA'!K1986</f>
        <v>84454</v>
      </c>
      <c r="H303" s="8">
        <f>'MKT DATA'!L1986</f>
        <v>86368</v>
      </c>
      <c r="I303" s="13">
        <f>'MKT DATA'!M1986</f>
        <v>1</v>
      </c>
      <c r="J303" s="43" t="str">
        <f t="shared" si="10"/>
        <v>syn BTCF7/BTCX6/BTCG7/BTCZ6/BTCV6/BTCH7</v>
      </c>
      <c r="K303" s="8">
        <f>'MKT DATA'!O1986</f>
        <v>0</v>
      </c>
      <c r="L303" s="8">
        <f>'MKT DATA'!P1986</f>
        <v>84454</v>
      </c>
      <c r="M303" s="8">
        <f>'MKT DATA'!Q1986</f>
        <v>0</v>
      </c>
      <c r="N303" s="8">
        <f>'MKT DATA'!R1986</f>
        <v>0</v>
      </c>
      <c r="O303" s="8">
        <f>'MKT DATA'!S1986</f>
        <v>-86368</v>
      </c>
      <c r="P303" s="8">
        <f>'MKT DATA'!T1986</f>
        <v>0</v>
      </c>
      <c r="Q303" s="43" t="str">
        <f t="shared" si="11"/>
        <v>syn BTCF7/BTCX6/BTCG7/BTCZ6/BTCV6/BTCH7</v>
      </c>
      <c r="R303" s="13">
        <f>'MKT DATA'!AB1986</f>
        <v>0</v>
      </c>
    </row>
    <row r="304" spans="5:18" x14ac:dyDescent="0.25">
      <c r="E304" s="43" t="str">
        <f>'MKT DATA'!B1987</f>
        <v>syn BTCF7/BTCZ6/BTCV6/BTCX6/BTCG7/BTCH7</v>
      </c>
      <c r="F304" s="13">
        <f>'MKT DATA'!J1987</f>
        <v>1</v>
      </c>
      <c r="G304" s="8">
        <f>'MKT DATA'!K1987</f>
        <v>84931</v>
      </c>
      <c r="H304" s="8">
        <f>'MKT DATA'!L1987</f>
        <v>85923</v>
      </c>
      <c r="I304" s="13">
        <f>'MKT DATA'!M1987</f>
        <v>1</v>
      </c>
      <c r="J304" s="43" t="str">
        <f t="shared" si="10"/>
        <v>syn BTCF7/BTCZ6/BTCV6/BTCX6/BTCG7/BTCH7</v>
      </c>
      <c r="K304" s="8">
        <f>'MKT DATA'!O1987</f>
        <v>0</v>
      </c>
      <c r="L304" s="8">
        <f>'MKT DATA'!P1987</f>
        <v>84931</v>
      </c>
      <c r="M304" s="8">
        <f>'MKT DATA'!Q1987</f>
        <v>0</v>
      </c>
      <c r="N304" s="8">
        <f>'MKT DATA'!R1987</f>
        <v>0</v>
      </c>
      <c r="O304" s="8">
        <f>'MKT DATA'!S1987</f>
        <v>-85923</v>
      </c>
      <c r="P304" s="8">
        <f>'MKT DATA'!T1987</f>
        <v>0</v>
      </c>
      <c r="Q304" s="43" t="str">
        <f t="shared" si="11"/>
        <v>syn BTCF7/BTCZ6/BTCV6/BTCX6/BTCG7/BTCH7</v>
      </c>
      <c r="R304" s="13">
        <f>'MKT DATA'!AB1987</f>
        <v>0</v>
      </c>
    </row>
    <row r="305" spans="5:18" x14ac:dyDescent="0.25">
      <c r="E305" s="43" t="str">
        <f>'MKT DATA'!B1988</f>
        <v>syn BTCF7/BTCZ6/BTCV6/BTCG7/BTCX6/BTCH7</v>
      </c>
      <c r="F305" s="13">
        <f>'MKT DATA'!J1988</f>
        <v>1</v>
      </c>
      <c r="G305" s="8">
        <f>'MKT DATA'!K1988</f>
        <v>84504</v>
      </c>
      <c r="H305" s="8">
        <f>'MKT DATA'!L1988</f>
        <v>86302</v>
      </c>
      <c r="I305" s="13">
        <f>'MKT DATA'!M1988</f>
        <v>1</v>
      </c>
      <c r="J305" s="43" t="str">
        <f t="shared" si="10"/>
        <v>syn BTCF7/BTCZ6/BTCV6/BTCG7/BTCX6/BTCH7</v>
      </c>
      <c r="K305" s="8">
        <f>'MKT DATA'!O1988</f>
        <v>0</v>
      </c>
      <c r="L305" s="8">
        <f>'MKT DATA'!P1988</f>
        <v>84504</v>
      </c>
      <c r="M305" s="8">
        <f>'MKT DATA'!Q1988</f>
        <v>0</v>
      </c>
      <c r="N305" s="8">
        <f>'MKT DATA'!R1988</f>
        <v>0</v>
      </c>
      <c r="O305" s="8">
        <f>'MKT DATA'!S1988</f>
        <v>-86302</v>
      </c>
      <c r="P305" s="8">
        <f>'MKT DATA'!T1988</f>
        <v>0</v>
      </c>
      <c r="Q305" s="43" t="str">
        <f t="shared" si="11"/>
        <v>syn BTCF7/BTCZ6/BTCV6/BTCG7/BTCX6/BTCH7</v>
      </c>
      <c r="R305" s="13">
        <f>'MKT DATA'!AB1988</f>
        <v>0</v>
      </c>
    </row>
    <row r="306" spans="5:18" x14ac:dyDescent="0.25">
      <c r="E306" s="43" t="str">
        <f>'MKT DATA'!B1989</f>
        <v>syn BTCF7/BTCZ6/BTCX6/BTCV6/BTCG7/BTCH7</v>
      </c>
      <c r="F306" s="13">
        <f>'MKT DATA'!J1989</f>
        <v>1</v>
      </c>
      <c r="G306" s="8">
        <f>'MKT DATA'!K1989</f>
        <v>84954</v>
      </c>
      <c r="H306" s="8">
        <f>'MKT DATA'!L1989</f>
        <v>85907</v>
      </c>
      <c r="I306" s="13">
        <f>'MKT DATA'!M1989</f>
        <v>1</v>
      </c>
      <c r="J306" s="43" t="str">
        <f t="shared" si="10"/>
        <v>syn BTCF7/BTCZ6/BTCX6/BTCV6/BTCG7/BTCH7</v>
      </c>
      <c r="K306" s="8">
        <f>'MKT DATA'!O1989</f>
        <v>0</v>
      </c>
      <c r="L306" s="8">
        <f>'MKT DATA'!P1989</f>
        <v>84954</v>
      </c>
      <c r="M306" s="8">
        <f>'MKT DATA'!Q1989</f>
        <v>0</v>
      </c>
      <c r="N306" s="8">
        <f>'MKT DATA'!R1989</f>
        <v>0</v>
      </c>
      <c r="O306" s="8">
        <f>'MKT DATA'!S1989</f>
        <v>-85907</v>
      </c>
      <c r="P306" s="8">
        <f>'MKT DATA'!T1989</f>
        <v>0</v>
      </c>
      <c r="Q306" s="43" t="str">
        <f t="shared" si="11"/>
        <v>syn BTCF7/BTCZ6/BTCX6/BTCV6/BTCG7/BTCH7</v>
      </c>
      <c r="R306" s="13">
        <f>'MKT DATA'!AB1989</f>
        <v>0</v>
      </c>
    </row>
    <row r="307" spans="5:18" x14ac:dyDescent="0.25">
      <c r="E307" s="43" t="str">
        <f>'MKT DATA'!B1990</f>
        <v>syn BTCF7/BTCZ6/BTCX6/BTCG7/BTCV6/BTCH7</v>
      </c>
      <c r="F307" s="13">
        <f>'MKT DATA'!J1990</f>
        <v>1</v>
      </c>
      <c r="G307" s="8">
        <f>'MKT DATA'!K1990</f>
        <v>84520</v>
      </c>
      <c r="H307" s="8">
        <f>'MKT DATA'!L1990</f>
        <v>86279</v>
      </c>
      <c r="I307" s="13">
        <f>'MKT DATA'!M1990</f>
        <v>1</v>
      </c>
      <c r="J307" s="43" t="str">
        <f t="shared" si="10"/>
        <v>syn BTCF7/BTCZ6/BTCX6/BTCG7/BTCV6/BTCH7</v>
      </c>
      <c r="K307" s="8">
        <f>'MKT DATA'!O1990</f>
        <v>0</v>
      </c>
      <c r="L307" s="8">
        <f>'MKT DATA'!P1990</f>
        <v>84520</v>
      </c>
      <c r="M307" s="8">
        <f>'MKT DATA'!Q1990</f>
        <v>0</v>
      </c>
      <c r="N307" s="8">
        <f>'MKT DATA'!R1990</f>
        <v>0</v>
      </c>
      <c r="O307" s="8">
        <f>'MKT DATA'!S1990</f>
        <v>-86279</v>
      </c>
      <c r="P307" s="8">
        <f>'MKT DATA'!T1990</f>
        <v>0</v>
      </c>
      <c r="Q307" s="43" t="str">
        <f t="shared" si="11"/>
        <v>syn BTCF7/BTCZ6/BTCX6/BTCG7/BTCV6/BTCH7</v>
      </c>
      <c r="R307" s="13">
        <f>'MKT DATA'!AB1990</f>
        <v>0</v>
      </c>
    </row>
    <row r="308" spans="5:18" x14ac:dyDescent="0.25">
      <c r="E308" s="43" t="str">
        <f>'MKT DATA'!B1991</f>
        <v>syn BTCF7/BTCZ6/BTCG7/BTCV6/BTCX6/BTCH7</v>
      </c>
      <c r="F308" s="13">
        <f>'MKT DATA'!J1991</f>
        <v>1</v>
      </c>
      <c r="G308" s="8">
        <f>'MKT DATA'!K1991</f>
        <v>84498</v>
      </c>
      <c r="H308" s="8">
        <f>'MKT DATA'!L1991</f>
        <v>86309</v>
      </c>
      <c r="I308" s="13">
        <f>'MKT DATA'!M1991</f>
        <v>1</v>
      </c>
      <c r="J308" s="43" t="str">
        <f t="shared" si="10"/>
        <v>syn BTCF7/BTCZ6/BTCG7/BTCV6/BTCX6/BTCH7</v>
      </c>
      <c r="K308" s="8">
        <f>'MKT DATA'!O1991</f>
        <v>0</v>
      </c>
      <c r="L308" s="8">
        <f>'MKT DATA'!P1991</f>
        <v>84498</v>
      </c>
      <c r="M308" s="8">
        <f>'MKT DATA'!Q1991</f>
        <v>0</v>
      </c>
      <c r="N308" s="8">
        <f>'MKT DATA'!R1991</f>
        <v>0</v>
      </c>
      <c r="O308" s="8">
        <f>'MKT DATA'!S1991</f>
        <v>-86309</v>
      </c>
      <c r="P308" s="8">
        <f>'MKT DATA'!T1991</f>
        <v>0</v>
      </c>
      <c r="Q308" s="43" t="str">
        <f t="shared" si="11"/>
        <v>syn BTCF7/BTCZ6/BTCG7/BTCV6/BTCX6/BTCH7</v>
      </c>
      <c r="R308" s="13">
        <f>'MKT DATA'!AB1991</f>
        <v>0</v>
      </c>
    </row>
    <row r="309" spans="5:18" x14ac:dyDescent="0.25">
      <c r="E309" s="43" t="str">
        <f>'MKT DATA'!B1992</f>
        <v>syn BTCF7/BTCZ6/BTCG7/BTCX6/BTCV6/BTCH7</v>
      </c>
      <c r="F309" s="13">
        <f>'MKT DATA'!J1992</f>
        <v>1</v>
      </c>
      <c r="G309" s="8">
        <f>'MKT DATA'!K1992</f>
        <v>84505</v>
      </c>
      <c r="H309" s="8">
        <f>'MKT DATA'!L1992</f>
        <v>86316</v>
      </c>
      <c r="I309" s="13">
        <f>'MKT DATA'!M1992</f>
        <v>1</v>
      </c>
      <c r="J309" s="43" t="str">
        <f t="shared" si="10"/>
        <v>syn BTCF7/BTCZ6/BTCG7/BTCX6/BTCV6/BTCH7</v>
      </c>
      <c r="K309" s="8">
        <f>'MKT DATA'!O1992</f>
        <v>0</v>
      </c>
      <c r="L309" s="8">
        <f>'MKT DATA'!P1992</f>
        <v>84505</v>
      </c>
      <c r="M309" s="8">
        <f>'MKT DATA'!Q1992</f>
        <v>0</v>
      </c>
      <c r="N309" s="8">
        <f>'MKT DATA'!R1992</f>
        <v>0</v>
      </c>
      <c r="O309" s="8">
        <f>'MKT DATA'!S1992</f>
        <v>-86316</v>
      </c>
      <c r="P309" s="8">
        <f>'MKT DATA'!T1992</f>
        <v>0</v>
      </c>
      <c r="Q309" s="43" t="str">
        <f t="shared" si="11"/>
        <v>syn BTCF7/BTCZ6/BTCG7/BTCX6/BTCV6/BTCH7</v>
      </c>
      <c r="R309" s="13">
        <f>'MKT DATA'!AB1992</f>
        <v>0</v>
      </c>
    </row>
    <row r="310" spans="5:18" x14ac:dyDescent="0.25">
      <c r="E310" s="43" t="str">
        <f>'MKT DATA'!B1993</f>
        <v>syn BTCF7/BTCG7/BTCV6/BTCX6/BTCZ6/BTCH7</v>
      </c>
      <c r="F310" s="13">
        <f>'MKT DATA'!J1993</f>
        <v>1</v>
      </c>
      <c r="G310" s="8">
        <f>'MKT DATA'!K1993</f>
        <v>84825</v>
      </c>
      <c r="H310" s="8">
        <f>'MKT DATA'!L1993</f>
        <v>86157</v>
      </c>
      <c r="I310" s="13">
        <f>'MKT DATA'!M1993</f>
        <v>1</v>
      </c>
      <c r="J310" s="43" t="str">
        <f t="shared" si="10"/>
        <v>syn BTCF7/BTCG7/BTCV6/BTCX6/BTCZ6/BTCH7</v>
      </c>
      <c r="K310" s="8">
        <f>'MKT DATA'!O1993</f>
        <v>0</v>
      </c>
      <c r="L310" s="8">
        <f>'MKT DATA'!P1993</f>
        <v>84825</v>
      </c>
      <c r="M310" s="8">
        <f>'MKT DATA'!Q1993</f>
        <v>0</v>
      </c>
      <c r="N310" s="8">
        <f>'MKT DATA'!R1993</f>
        <v>0</v>
      </c>
      <c r="O310" s="8">
        <f>'MKT DATA'!S1993</f>
        <v>-86157</v>
      </c>
      <c r="P310" s="8">
        <f>'MKT DATA'!T1993</f>
        <v>0</v>
      </c>
      <c r="Q310" s="43" t="str">
        <f t="shared" si="11"/>
        <v>syn BTCF7/BTCG7/BTCV6/BTCX6/BTCZ6/BTCH7</v>
      </c>
      <c r="R310" s="13">
        <f>'MKT DATA'!AB1993</f>
        <v>0</v>
      </c>
    </row>
    <row r="311" spans="5:18" x14ac:dyDescent="0.25">
      <c r="E311" s="43" t="str">
        <f>'MKT DATA'!B1994</f>
        <v>syn BTCF7/BTCG7/BTCV6/BTCZ6/BTCX6/BTCH7</v>
      </c>
      <c r="F311" s="13">
        <f>'MKT DATA'!J1994</f>
        <v>1</v>
      </c>
      <c r="G311" s="8">
        <f>'MKT DATA'!K1994</f>
        <v>84614</v>
      </c>
      <c r="H311" s="8">
        <f>'MKT DATA'!L1994</f>
        <v>86173</v>
      </c>
      <c r="I311" s="13">
        <f>'MKT DATA'!M1994</f>
        <v>1</v>
      </c>
      <c r="J311" s="43" t="str">
        <f t="shared" si="10"/>
        <v>syn BTCF7/BTCG7/BTCV6/BTCZ6/BTCX6/BTCH7</v>
      </c>
      <c r="K311" s="8">
        <f>'MKT DATA'!O1994</f>
        <v>0</v>
      </c>
      <c r="L311" s="8">
        <f>'MKT DATA'!P1994</f>
        <v>84614</v>
      </c>
      <c r="M311" s="8">
        <f>'MKT DATA'!Q1994</f>
        <v>0</v>
      </c>
      <c r="N311" s="8">
        <f>'MKT DATA'!R1994</f>
        <v>0</v>
      </c>
      <c r="O311" s="8">
        <f>'MKT DATA'!S1994</f>
        <v>-86173</v>
      </c>
      <c r="P311" s="8">
        <f>'MKT DATA'!T1994</f>
        <v>0</v>
      </c>
      <c r="Q311" s="43" t="str">
        <f t="shared" si="11"/>
        <v>syn BTCF7/BTCG7/BTCV6/BTCZ6/BTCX6/BTCH7</v>
      </c>
      <c r="R311" s="13">
        <f>'MKT DATA'!AB1994</f>
        <v>0</v>
      </c>
    </row>
    <row r="312" spans="5:18" x14ac:dyDescent="0.25">
      <c r="E312" s="43" t="str">
        <f>'MKT DATA'!B1995</f>
        <v>syn BTCF7/BTCG7/BTCX6/BTCV6/BTCZ6/BTCH7</v>
      </c>
      <c r="F312" s="13">
        <f>'MKT DATA'!J1995</f>
        <v>1</v>
      </c>
      <c r="G312" s="8">
        <f>'MKT DATA'!K1995</f>
        <v>84809</v>
      </c>
      <c r="H312" s="8">
        <f>'MKT DATA'!L1995</f>
        <v>86180</v>
      </c>
      <c r="I312" s="13">
        <f>'MKT DATA'!M1995</f>
        <v>1</v>
      </c>
      <c r="J312" s="43" t="str">
        <f t="shared" si="10"/>
        <v>syn BTCF7/BTCG7/BTCX6/BTCV6/BTCZ6/BTCH7</v>
      </c>
      <c r="K312" s="8">
        <f>'MKT DATA'!O1995</f>
        <v>0</v>
      </c>
      <c r="L312" s="8">
        <f>'MKT DATA'!P1995</f>
        <v>84809</v>
      </c>
      <c r="M312" s="8">
        <f>'MKT DATA'!Q1995</f>
        <v>0</v>
      </c>
      <c r="N312" s="8">
        <f>'MKT DATA'!R1995</f>
        <v>0</v>
      </c>
      <c r="O312" s="8">
        <f>'MKT DATA'!S1995</f>
        <v>-86180</v>
      </c>
      <c r="P312" s="8">
        <f>'MKT DATA'!T1995</f>
        <v>0</v>
      </c>
      <c r="Q312" s="43" t="str">
        <f t="shared" si="11"/>
        <v>syn BTCF7/BTCG7/BTCX6/BTCV6/BTCZ6/BTCH7</v>
      </c>
      <c r="R312" s="13">
        <f>'MKT DATA'!AB1995</f>
        <v>0</v>
      </c>
    </row>
    <row r="313" spans="5:18" x14ac:dyDescent="0.25">
      <c r="E313" s="43" t="str">
        <f>'MKT DATA'!B1996</f>
        <v>syn BTCF7/BTCG7/BTCX6/BTCZ6/BTCV6/BTCH7</v>
      </c>
      <c r="F313" s="13">
        <f>'MKT DATA'!J1996</f>
        <v>1</v>
      </c>
      <c r="G313" s="8">
        <f>'MKT DATA'!K1996</f>
        <v>84621</v>
      </c>
      <c r="H313" s="8">
        <f>'MKT DATA'!L1996</f>
        <v>86180</v>
      </c>
      <c r="I313" s="13">
        <f>'MKT DATA'!M1996</f>
        <v>1</v>
      </c>
      <c r="J313" s="43" t="str">
        <f t="shared" si="10"/>
        <v>syn BTCF7/BTCG7/BTCX6/BTCZ6/BTCV6/BTCH7</v>
      </c>
      <c r="K313" s="8">
        <f>'MKT DATA'!O1996</f>
        <v>0</v>
      </c>
      <c r="L313" s="8">
        <f>'MKT DATA'!P1996</f>
        <v>84621</v>
      </c>
      <c r="M313" s="8">
        <f>'MKT DATA'!Q1996</f>
        <v>0</v>
      </c>
      <c r="N313" s="8">
        <f>'MKT DATA'!R1996</f>
        <v>0</v>
      </c>
      <c r="O313" s="8">
        <f>'MKT DATA'!S1996</f>
        <v>-86180</v>
      </c>
      <c r="P313" s="8">
        <f>'MKT DATA'!T1996</f>
        <v>0</v>
      </c>
      <c r="Q313" s="43" t="str">
        <f t="shared" si="11"/>
        <v>syn BTCF7/BTCG7/BTCX6/BTCZ6/BTCV6/BTCH7</v>
      </c>
      <c r="R313" s="13">
        <f>'MKT DATA'!AB1996</f>
        <v>0</v>
      </c>
    </row>
    <row r="314" spans="5:18" x14ac:dyDescent="0.25">
      <c r="E314" s="43" t="str">
        <f>'MKT DATA'!B1997</f>
        <v>syn BTCF7/BTCG7/BTCZ6/BTCV6/BTCX6/BTCH7</v>
      </c>
      <c r="F314" s="13">
        <f>'MKT DATA'!J1997</f>
        <v>1</v>
      </c>
      <c r="G314" s="8">
        <f>'MKT DATA'!K1997</f>
        <v>84584</v>
      </c>
      <c r="H314" s="8">
        <f>'MKT DATA'!L1997</f>
        <v>86195</v>
      </c>
      <c r="I314" s="13">
        <f>'MKT DATA'!M1997</f>
        <v>1</v>
      </c>
      <c r="J314" s="43" t="str">
        <f t="shared" si="10"/>
        <v>syn BTCF7/BTCG7/BTCZ6/BTCV6/BTCX6/BTCH7</v>
      </c>
      <c r="K314" s="8">
        <f>'MKT DATA'!O1997</f>
        <v>0</v>
      </c>
      <c r="L314" s="8">
        <f>'MKT DATA'!P1997</f>
        <v>84584</v>
      </c>
      <c r="M314" s="8">
        <f>'MKT DATA'!Q1997</f>
        <v>0</v>
      </c>
      <c r="N314" s="8">
        <f>'MKT DATA'!R1997</f>
        <v>0</v>
      </c>
      <c r="O314" s="8">
        <f>'MKT DATA'!S1997</f>
        <v>-86195</v>
      </c>
      <c r="P314" s="8">
        <f>'MKT DATA'!T1997</f>
        <v>0</v>
      </c>
      <c r="Q314" s="43" t="str">
        <f t="shared" si="11"/>
        <v>syn BTCF7/BTCG7/BTCZ6/BTCV6/BTCX6/BTCH7</v>
      </c>
      <c r="R314" s="13">
        <f>'MKT DATA'!AB1997</f>
        <v>0</v>
      </c>
    </row>
    <row r="315" spans="5:18" x14ac:dyDescent="0.25">
      <c r="E315" s="43" t="str">
        <f>'MKT DATA'!B1998</f>
        <v>syn BTCF7/BTCG7/BTCZ6/BTCX6/BTCV6/BTCH7</v>
      </c>
      <c r="F315" s="13">
        <f>'MKT DATA'!J1998</f>
        <v>1</v>
      </c>
      <c r="G315" s="8">
        <f>'MKT DATA'!K1998</f>
        <v>84607</v>
      </c>
      <c r="H315" s="8">
        <f>'MKT DATA'!L1998</f>
        <v>86179</v>
      </c>
      <c r="I315" s="13">
        <f>'MKT DATA'!M1998</f>
        <v>1</v>
      </c>
      <c r="J315" s="43" t="str">
        <f t="shared" si="10"/>
        <v>syn BTCF7/BTCG7/BTCZ6/BTCX6/BTCV6/BTCH7</v>
      </c>
      <c r="K315" s="8">
        <f>'MKT DATA'!O1998</f>
        <v>0</v>
      </c>
      <c r="L315" s="8">
        <f>'MKT DATA'!P1998</f>
        <v>84607</v>
      </c>
      <c r="M315" s="8">
        <f>'MKT DATA'!Q1998</f>
        <v>0</v>
      </c>
      <c r="N315" s="8">
        <f>'MKT DATA'!R1998</f>
        <v>0</v>
      </c>
      <c r="O315" s="8">
        <f>'MKT DATA'!S1998</f>
        <v>-86179</v>
      </c>
      <c r="P315" s="8">
        <f>'MKT DATA'!T1998</f>
        <v>0</v>
      </c>
      <c r="Q315" s="43" t="str">
        <f t="shared" si="11"/>
        <v>syn BTCF7/BTCG7/BTCZ6/BTCX6/BTCV6/BTCH7</v>
      </c>
      <c r="R315" s="13">
        <f>'MKT DATA'!AB1998</f>
        <v>0</v>
      </c>
    </row>
    <row r="316" spans="5:18" x14ac:dyDescent="0.25">
      <c r="E316" s="43" t="str">
        <f>'MKT DATA'!B1999</f>
        <v>syn BTCG7/BTCV6/BTCX6/BTCZ6/BTCF7/BTCH7</v>
      </c>
      <c r="F316" s="13">
        <f>'MKT DATA'!J1999</f>
        <v>1</v>
      </c>
      <c r="G316" s="8">
        <f>'MKT DATA'!K1999</f>
        <v>84568</v>
      </c>
      <c r="H316" s="8">
        <f>'MKT DATA'!L1999</f>
        <v>86246</v>
      </c>
      <c r="I316" s="13">
        <f>'MKT DATA'!M1999</f>
        <v>1</v>
      </c>
      <c r="J316" s="43" t="str">
        <f t="shared" si="10"/>
        <v>syn BTCG7/BTCV6/BTCX6/BTCZ6/BTCF7/BTCH7</v>
      </c>
      <c r="K316" s="8">
        <f>'MKT DATA'!O1999</f>
        <v>0</v>
      </c>
      <c r="L316" s="8">
        <f>'MKT DATA'!P1999</f>
        <v>84568</v>
      </c>
      <c r="M316" s="8">
        <f>'MKT DATA'!Q1999</f>
        <v>0</v>
      </c>
      <c r="N316" s="8">
        <f>'MKT DATA'!R1999</f>
        <v>0</v>
      </c>
      <c r="O316" s="8">
        <f>'MKT DATA'!S1999</f>
        <v>-86246</v>
      </c>
      <c r="P316" s="8">
        <f>'MKT DATA'!T1999</f>
        <v>0</v>
      </c>
      <c r="Q316" s="43" t="str">
        <f t="shared" si="11"/>
        <v>syn BTCG7/BTCV6/BTCX6/BTCZ6/BTCF7/BTCH7</v>
      </c>
      <c r="R316" s="13">
        <f>'MKT DATA'!AB1999</f>
        <v>0</v>
      </c>
    </row>
    <row r="317" spans="5:18" x14ac:dyDescent="0.25">
      <c r="E317" s="43" t="str">
        <f>'MKT DATA'!B2000</f>
        <v>syn BTCG7/BTCV6/BTCX6/BTCF7/BTCZ6/BTCH7</v>
      </c>
      <c r="F317" s="13">
        <f>'MKT DATA'!J2000</f>
        <v>1</v>
      </c>
      <c r="G317" s="8">
        <f>'MKT DATA'!K2000</f>
        <v>84764</v>
      </c>
      <c r="H317" s="8">
        <f>'MKT DATA'!L2000</f>
        <v>86203</v>
      </c>
      <c r="I317" s="13">
        <f>'MKT DATA'!M2000</f>
        <v>1</v>
      </c>
      <c r="J317" s="43" t="str">
        <f t="shared" si="10"/>
        <v>syn BTCG7/BTCV6/BTCX6/BTCF7/BTCZ6/BTCH7</v>
      </c>
      <c r="K317" s="8">
        <f>'MKT DATA'!O2000</f>
        <v>0</v>
      </c>
      <c r="L317" s="8">
        <f>'MKT DATA'!P2000</f>
        <v>84764</v>
      </c>
      <c r="M317" s="8">
        <f>'MKT DATA'!Q2000</f>
        <v>0</v>
      </c>
      <c r="N317" s="8">
        <f>'MKT DATA'!R2000</f>
        <v>0</v>
      </c>
      <c r="O317" s="8">
        <f>'MKT DATA'!S2000</f>
        <v>-86203</v>
      </c>
      <c r="P317" s="8">
        <f>'MKT DATA'!T2000</f>
        <v>0</v>
      </c>
      <c r="Q317" s="43" t="str">
        <f t="shared" si="11"/>
        <v>syn BTCG7/BTCV6/BTCX6/BTCF7/BTCZ6/BTCH7</v>
      </c>
      <c r="R317" s="13">
        <f>'MKT DATA'!AB2000</f>
        <v>0</v>
      </c>
    </row>
    <row r="318" spans="5:18" x14ac:dyDescent="0.25">
      <c r="E318" s="43" t="str">
        <f>'MKT DATA'!B2001</f>
        <v>syn BTCG7/BTCV6/BTCZ6/BTCX6/BTCF7/BTCH7</v>
      </c>
      <c r="F318" s="13">
        <f>'MKT DATA'!J2001</f>
        <v>1</v>
      </c>
      <c r="G318" s="8">
        <f>'MKT DATA'!K2001</f>
        <v>84501</v>
      </c>
      <c r="H318" s="8">
        <f>'MKT DATA'!L2001</f>
        <v>86282</v>
      </c>
      <c r="I318" s="13">
        <f>'MKT DATA'!M2001</f>
        <v>1</v>
      </c>
      <c r="J318" s="43" t="str">
        <f t="shared" si="10"/>
        <v>syn BTCG7/BTCV6/BTCZ6/BTCX6/BTCF7/BTCH7</v>
      </c>
      <c r="K318" s="8">
        <f>'MKT DATA'!O2001</f>
        <v>0</v>
      </c>
      <c r="L318" s="8">
        <f>'MKT DATA'!P2001</f>
        <v>84501</v>
      </c>
      <c r="M318" s="8">
        <f>'MKT DATA'!Q2001</f>
        <v>0</v>
      </c>
      <c r="N318" s="8">
        <f>'MKT DATA'!R2001</f>
        <v>0</v>
      </c>
      <c r="O318" s="8">
        <f>'MKT DATA'!S2001</f>
        <v>-86282</v>
      </c>
      <c r="P318" s="8">
        <f>'MKT DATA'!T2001</f>
        <v>0</v>
      </c>
      <c r="Q318" s="43" t="str">
        <f t="shared" si="11"/>
        <v>syn BTCG7/BTCV6/BTCZ6/BTCX6/BTCF7/BTCH7</v>
      </c>
      <c r="R318" s="13">
        <f>'MKT DATA'!AB2001</f>
        <v>0</v>
      </c>
    </row>
    <row r="319" spans="5:18" x14ac:dyDescent="0.25">
      <c r="E319" s="43" t="str">
        <f>'MKT DATA'!B2002</f>
        <v>syn BTCG7/BTCV6/BTCZ6/BTCF7/BTCX6/BTCH7</v>
      </c>
      <c r="F319" s="13">
        <f>'MKT DATA'!J2002</f>
        <v>1</v>
      </c>
      <c r="G319" s="8">
        <f>'MKT DATA'!K2002</f>
        <v>84584</v>
      </c>
      <c r="H319" s="8">
        <f>'MKT DATA'!L2002</f>
        <v>86250</v>
      </c>
      <c r="I319" s="13">
        <f>'MKT DATA'!M2002</f>
        <v>1</v>
      </c>
      <c r="J319" s="43" t="str">
        <f t="shared" si="10"/>
        <v>syn BTCG7/BTCV6/BTCZ6/BTCF7/BTCX6/BTCH7</v>
      </c>
      <c r="K319" s="8">
        <f>'MKT DATA'!O2002</f>
        <v>0</v>
      </c>
      <c r="L319" s="8">
        <f>'MKT DATA'!P2002</f>
        <v>84584</v>
      </c>
      <c r="M319" s="8">
        <f>'MKT DATA'!Q2002</f>
        <v>0</v>
      </c>
      <c r="N319" s="8">
        <f>'MKT DATA'!R2002</f>
        <v>0</v>
      </c>
      <c r="O319" s="8">
        <f>'MKT DATA'!S2002</f>
        <v>-86250</v>
      </c>
      <c r="P319" s="8">
        <f>'MKT DATA'!T2002</f>
        <v>0</v>
      </c>
      <c r="Q319" s="43" t="str">
        <f t="shared" si="11"/>
        <v>syn BTCG7/BTCV6/BTCZ6/BTCF7/BTCX6/BTCH7</v>
      </c>
      <c r="R319" s="13">
        <f>'MKT DATA'!AB2002</f>
        <v>0</v>
      </c>
    </row>
    <row r="320" spans="5:18" x14ac:dyDescent="0.25">
      <c r="E320" s="43" t="str">
        <f>'MKT DATA'!B2003</f>
        <v>syn BTCG7/BTCV6/BTCF7/BTCX6/BTCZ6/BTCH7</v>
      </c>
      <c r="F320" s="13">
        <f>'MKT DATA'!J2003</f>
        <v>1</v>
      </c>
      <c r="G320" s="8">
        <f>'MKT DATA'!K2003</f>
        <v>84711</v>
      </c>
      <c r="H320" s="8">
        <f>'MKT DATA'!L2003</f>
        <v>86284</v>
      </c>
      <c r="I320" s="13">
        <f>'MKT DATA'!M2003</f>
        <v>1</v>
      </c>
      <c r="J320" s="43" t="str">
        <f t="shared" si="10"/>
        <v>syn BTCG7/BTCV6/BTCF7/BTCX6/BTCZ6/BTCH7</v>
      </c>
      <c r="K320" s="8">
        <f>'MKT DATA'!O2003</f>
        <v>0</v>
      </c>
      <c r="L320" s="8">
        <f>'MKT DATA'!P2003</f>
        <v>84711</v>
      </c>
      <c r="M320" s="8">
        <f>'MKT DATA'!Q2003</f>
        <v>0</v>
      </c>
      <c r="N320" s="8">
        <f>'MKT DATA'!R2003</f>
        <v>0</v>
      </c>
      <c r="O320" s="8">
        <f>'MKT DATA'!S2003</f>
        <v>-86284</v>
      </c>
      <c r="P320" s="8">
        <f>'MKT DATA'!T2003</f>
        <v>0</v>
      </c>
      <c r="Q320" s="43" t="str">
        <f t="shared" si="11"/>
        <v>syn BTCG7/BTCV6/BTCF7/BTCX6/BTCZ6/BTCH7</v>
      </c>
      <c r="R320" s="13">
        <f>'MKT DATA'!AB2003</f>
        <v>0</v>
      </c>
    </row>
    <row r="321" spans="5:18" x14ac:dyDescent="0.25">
      <c r="E321" s="43" t="str">
        <f>'MKT DATA'!B2004</f>
        <v>syn BTCG7/BTCV6/BTCF7/BTCZ6/BTCX6/BTCH7</v>
      </c>
      <c r="F321" s="13">
        <f>'MKT DATA'!J2004</f>
        <v>1</v>
      </c>
      <c r="G321" s="8">
        <f>'MKT DATA'!K2004</f>
        <v>84536</v>
      </c>
      <c r="H321" s="8">
        <f>'MKT DATA'!L2004</f>
        <v>86233</v>
      </c>
      <c r="I321" s="13">
        <f>'MKT DATA'!M2004</f>
        <v>1</v>
      </c>
      <c r="J321" s="43" t="str">
        <f t="shared" si="10"/>
        <v>syn BTCG7/BTCV6/BTCF7/BTCZ6/BTCX6/BTCH7</v>
      </c>
      <c r="K321" s="8">
        <f>'MKT DATA'!O2004</f>
        <v>0</v>
      </c>
      <c r="L321" s="8">
        <f>'MKT DATA'!P2004</f>
        <v>84536</v>
      </c>
      <c r="M321" s="8">
        <f>'MKT DATA'!Q2004</f>
        <v>0</v>
      </c>
      <c r="N321" s="8">
        <f>'MKT DATA'!R2004</f>
        <v>0</v>
      </c>
      <c r="O321" s="8">
        <f>'MKT DATA'!S2004</f>
        <v>-86233</v>
      </c>
      <c r="P321" s="8">
        <f>'MKT DATA'!T2004</f>
        <v>0</v>
      </c>
      <c r="Q321" s="43" t="str">
        <f t="shared" si="11"/>
        <v>syn BTCG7/BTCV6/BTCF7/BTCZ6/BTCX6/BTCH7</v>
      </c>
      <c r="R321" s="13">
        <f>'MKT DATA'!AB2004</f>
        <v>0</v>
      </c>
    </row>
    <row r="322" spans="5:18" x14ac:dyDescent="0.25">
      <c r="E322" s="43" t="str">
        <f>'MKT DATA'!B2005</f>
        <v>syn BTCG7/BTCX6/BTCV6/BTCZ6/BTCF7/BTCH7</v>
      </c>
      <c r="F322" s="13">
        <f>'MKT DATA'!J2005</f>
        <v>1</v>
      </c>
      <c r="G322" s="8">
        <f>'MKT DATA'!K2005</f>
        <v>84552</v>
      </c>
      <c r="H322" s="8">
        <f>'MKT DATA'!L2005</f>
        <v>86269</v>
      </c>
      <c r="I322" s="13">
        <f>'MKT DATA'!M2005</f>
        <v>1</v>
      </c>
      <c r="J322" s="43" t="str">
        <f t="shared" si="10"/>
        <v>syn BTCG7/BTCX6/BTCV6/BTCZ6/BTCF7/BTCH7</v>
      </c>
      <c r="K322" s="8">
        <f>'MKT DATA'!O2005</f>
        <v>0</v>
      </c>
      <c r="L322" s="8">
        <f>'MKT DATA'!P2005</f>
        <v>84552</v>
      </c>
      <c r="M322" s="8">
        <f>'MKT DATA'!Q2005</f>
        <v>0</v>
      </c>
      <c r="N322" s="8">
        <f>'MKT DATA'!R2005</f>
        <v>0</v>
      </c>
      <c r="O322" s="8">
        <f>'MKT DATA'!S2005</f>
        <v>-86269</v>
      </c>
      <c r="P322" s="8">
        <f>'MKT DATA'!T2005</f>
        <v>0</v>
      </c>
      <c r="Q322" s="43" t="str">
        <f t="shared" si="11"/>
        <v>syn BTCG7/BTCX6/BTCV6/BTCZ6/BTCF7/BTCH7</v>
      </c>
      <c r="R322" s="13">
        <f>'MKT DATA'!AB2005</f>
        <v>0</v>
      </c>
    </row>
    <row r="323" spans="5:18" x14ac:dyDescent="0.25">
      <c r="E323" s="43" t="str">
        <f>'MKT DATA'!B2006</f>
        <v>syn BTCG7/BTCX6/BTCV6/BTCF7/BTCZ6/BTCH7</v>
      </c>
      <c r="F323" s="13">
        <f>'MKT DATA'!J2006</f>
        <v>1</v>
      </c>
      <c r="G323" s="8">
        <f>'MKT DATA'!K2006</f>
        <v>84731</v>
      </c>
      <c r="H323" s="8">
        <f>'MKT DATA'!L2006</f>
        <v>86240</v>
      </c>
      <c r="I323" s="13">
        <f>'MKT DATA'!M2006</f>
        <v>1</v>
      </c>
      <c r="J323" s="43" t="str">
        <f t="shared" si="10"/>
        <v>syn BTCG7/BTCX6/BTCV6/BTCF7/BTCZ6/BTCH7</v>
      </c>
      <c r="K323" s="8">
        <f>'MKT DATA'!O2006</f>
        <v>0</v>
      </c>
      <c r="L323" s="8">
        <f>'MKT DATA'!P2006</f>
        <v>84731</v>
      </c>
      <c r="M323" s="8">
        <f>'MKT DATA'!Q2006</f>
        <v>0</v>
      </c>
      <c r="N323" s="8">
        <f>'MKT DATA'!R2006</f>
        <v>0</v>
      </c>
      <c r="O323" s="8">
        <f>'MKT DATA'!S2006</f>
        <v>-86240</v>
      </c>
      <c r="P323" s="8">
        <f>'MKT DATA'!T2006</f>
        <v>0</v>
      </c>
      <c r="Q323" s="43" t="str">
        <f t="shared" si="11"/>
        <v>syn BTCG7/BTCX6/BTCV6/BTCF7/BTCZ6/BTCH7</v>
      </c>
      <c r="R323" s="13">
        <f>'MKT DATA'!AB2006</f>
        <v>0</v>
      </c>
    </row>
    <row r="324" spans="5:18" x14ac:dyDescent="0.25">
      <c r="E324" s="43" t="str">
        <f>'MKT DATA'!B2007</f>
        <v>syn BTCG7/BTCX6/BTCZ6/BTCV6/BTCF7/BTCH7</v>
      </c>
      <c r="F324" s="13">
        <f>'MKT DATA'!J2007</f>
        <v>1</v>
      </c>
      <c r="G324" s="8">
        <f>'MKT DATA'!K2007</f>
        <v>84468</v>
      </c>
      <c r="H324" s="8">
        <f>'MKT DATA'!L2007</f>
        <v>86319</v>
      </c>
      <c r="I324" s="13">
        <f>'MKT DATA'!M2007</f>
        <v>1</v>
      </c>
      <c r="J324" s="43" t="str">
        <f t="shared" si="10"/>
        <v>syn BTCG7/BTCX6/BTCZ6/BTCV6/BTCF7/BTCH7</v>
      </c>
      <c r="K324" s="8">
        <f>'MKT DATA'!O2007</f>
        <v>0</v>
      </c>
      <c r="L324" s="8">
        <f>'MKT DATA'!P2007</f>
        <v>84468</v>
      </c>
      <c r="M324" s="8">
        <f>'MKT DATA'!Q2007</f>
        <v>0</v>
      </c>
      <c r="N324" s="8">
        <f>'MKT DATA'!R2007</f>
        <v>0</v>
      </c>
      <c r="O324" s="8">
        <f>'MKT DATA'!S2007</f>
        <v>-86319</v>
      </c>
      <c r="P324" s="8">
        <f>'MKT DATA'!T2007</f>
        <v>0</v>
      </c>
      <c r="Q324" s="43" t="str">
        <f t="shared" si="11"/>
        <v>syn BTCG7/BTCX6/BTCZ6/BTCV6/BTCF7/BTCH7</v>
      </c>
      <c r="R324" s="13">
        <f>'MKT DATA'!AB2007</f>
        <v>0</v>
      </c>
    </row>
    <row r="325" spans="5:18" x14ac:dyDescent="0.25">
      <c r="E325" s="43" t="str">
        <f>'MKT DATA'!B2008</f>
        <v>syn BTCG7/BTCX6/BTCZ6/BTCF7/BTCV6/BTCH7</v>
      </c>
      <c r="F325" s="13">
        <f>'MKT DATA'!J2008</f>
        <v>1</v>
      </c>
      <c r="G325" s="8">
        <f>'MKT DATA'!K2008</f>
        <v>84577</v>
      </c>
      <c r="H325" s="8">
        <f>'MKT DATA'!L2008</f>
        <v>86274</v>
      </c>
      <c r="I325" s="13">
        <f>'MKT DATA'!M2008</f>
        <v>1</v>
      </c>
      <c r="J325" s="43" t="str">
        <f t="shared" si="10"/>
        <v>syn BTCG7/BTCX6/BTCZ6/BTCF7/BTCV6/BTCH7</v>
      </c>
      <c r="K325" s="8">
        <f>'MKT DATA'!O2008</f>
        <v>0</v>
      </c>
      <c r="L325" s="8">
        <f>'MKT DATA'!P2008</f>
        <v>84577</v>
      </c>
      <c r="M325" s="8">
        <f>'MKT DATA'!Q2008</f>
        <v>0</v>
      </c>
      <c r="N325" s="8">
        <f>'MKT DATA'!R2008</f>
        <v>0</v>
      </c>
      <c r="O325" s="8">
        <f>'MKT DATA'!S2008</f>
        <v>-86274</v>
      </c>
      <c r="P325" s="8">
        <f>'MKT DATA'!T2008</f>
        <v>0</v>
      </c>
      <c r="Q325" s="43" t="str">
        <f t="shared" si="11"/>
        <v>syn BTCG7/BTCX6/BTCZ6/BTCF7/BTCV6/BTCH7</v>
      </c>
      <c r="R325" s="13">
        <f>'MKT DATA'!AB2008</f>
        <v>0</v>
      </c>
    </row>
    <row r="326" spans="5:18" x14ac:dyDescent="0.25">
      <c r="E326" s="43" t="str">
        <f>'MKT DATA'!B2009</f>
        <v>syn BTCG7/BTCX6/BTCF7/BTCV6/BTCZ6/BTCH7</v>
      </c>
      <c r="F326" s="13">
        <f>'MKT DATA'!J2009</f>
        <v>1</v>
      </c>
      <c r="G326" s="8">
        <f>'MKT DATA'!K2009</f>
        <v>84698</v>
      </c>
      <c r="H326" s="8">
        <f>'MKT DATA'!L2009</f>
        <v>86310</v>
      </c>
      <c r="I326" s="13">
        <f>'MKT DATA'!M2009</f>
        <v>1</v>
      </c>
      <c r="J326" s="43" t="str">
        <f t="shared" si="10"/>
        <v>syn BTCG7/BTCX6/BTCF7/BTCV6/BTCZ6/BTCH7</v>
      </c>
      <c r="K326" s="8">
        <f>'MKT DATA'!O2009</f>
        <v>0</v>
      </c>
      <c r="L326" s="8">
        <f>'MKT DATA'!P2009</f>
        <v>84698</v>
      </c>
      <c r="M326" s="8">
        <f>'MKT DATA'!Q2009</f>
        <v>0</v>
      </c>
      <c r="N326" s="8">
        <f>'MKT DATA'!R2009</f>
        <v>0</v>
      </c>
      <c r="O326" s="8">
        <f>'MKT DATA'!S2009</f>
        <v>-86310</v>
      </c>
      <c r="P326" s="8">
        <f>'MKT DATA'!T2009</f>
        <v>0</v>
      </c>
      <c r="Q326" s="43" t="str">
        <f t="shared" si="11"/>
        <v>syn BTCG7/BTCX6/BTCF7/BTCV6/BTCZ6/BTCH7</v>
      </c>
      <c r="R326" s="13">
        <f>'MKT DATA'!AB2009</f>
        <v>0</v>
      </c>
    </row>
    <row r="327" spans="5:18" x14ac:dyDescent="0.25">
      <c r="E327" s="43" t="str">
        <f>'MKT DATA'!B2010</f>
        <v>syn BTCG7/BTCX6/BTCF7/BTCZ6/BTCV6/BTCH7</v>
      </c>
      <c r="F327" s="13">
        <f>'MKT DATA'!J2010</f>
        <v>1</v>
      </c>
      <c r="G327" s="8">
        <f>'MKT DATA'!K2010</f>
        <v>84560</v>
      </c>
      <c r="H327" s="8">
        <f>'MKT DATA'!L2010</f>
        <v>86226</v>
      </c>
      <c r="I327" s="13">
        <f>'MKT DATA'!M2010</f>
        <v>1</v>
      </c>
      <c r="J327" s="43" t="str">
        <f t="shared" si="10"/>
        <v>syn BTCG7/BTCX6/BTCF7/BTCZ6/BTCV6/BTCH7</v>
      </c>
      <c r="K327" s="8">
        <f>'MKT DATA'!O2010</f>
        <v>0</v>
      </c>
      <c r="L327" s="8">
        <f>'MKT DATA'!P2010</f>
        <v>84560</v>
      </c>
      <c r="M327" s="8">
        <f>'MKT DATA'!Q2010</f>
        <v>0</v>
      </c>
      <c r="N327" s="8">
        <f>'MKT DATA'!R2010</f>
        <v>0</v>
      </c>
      <c r="O327" s="8">
        <f>'MKT DATA'!S2010</f>
        <v>-86226</v>
      </c>
      <c r="P327" s="8">
        <f>'MKT DATA'!T2010</f>
        <v>0</v>
      </c>
      <c r="Q327" s="43" t="str">
        <f t="shared" si="11"/>
        <v>syn BTCG7/BTCX6/BTCF7/BTCZ6/BTCV6/BTCH7</v>
      </c>
      <c r="R327" s="13">
        <f>'MKT DATA'!AB2010</f>
        <v>0</v>
      </c>
    </row>
    <row r="328" spans="5:18" x14ac:dyDescent="0.25">
      <c r="E328" s="43" t="str">
        <f>'MKT DATA'!B2011</f>
        <v>syn BTCG7/BTCZ6/BTCV6/BTCX6/BTCF7/BTCH7</v>
      </c>
      <c r="F328" s="13">
        <f>'MKT DATA'!J2011</f>
        <v>1</v>
      </c>
      <c r="G328" s="8">
        <f>'MKT DATA'!K2011</f>
        <v>84471</v>
      </c>
      <c r="H328" s="8">
        <f>'MKT DATA'!L2011</f>
        <v>86304</v>
      </c>
      <c r="I328" s="13">
        <f>'MKT DATA'!M2011</f>
        <v>1</v>
      </c>
      <c r="J328" s="43" t="str">
        <f t="shared" si="10"/>
        <v>syn BTCG7/BTCZ6/BTCV6/BTCX6/BTCF7/BTCH7</v>
      </c>
      <c r="K328" s="8">
        <f>'MKT DATA'!O2011</f>
        <v>0</v>
      </c>
      <c r="L328" s="8">
        <f>'MKT DATA'!P2011</f>
        <v>84471</v>
      </c>
      <c r="M328" s="8">
        <f>'MKT DATA'!Q2011</f>
        <v>0</v>
      </c>
      <c r="N328" s="8">
        <f>'MKT DATA'!R2011</f>
        <v>0</v>
      </c>
      <c r="O328" s="8">
        <f>'MKT DATA'!S2011</f>
        <v>-86304</v>
      </c>
      <c r="P328" s="8">
        <f>'MKT DATA'!T2011</f>
        <v>0</v>
      </c>
      <c r="Q328" s="43" t="str">
        <f t="shared" si="11"/>
        <v>syn BTCG7/BTCZ6/BTCV6/BTCX6/BTCF7/BTCH7</v>
      </c>
      <c r="R328" s="13">
        <f>'MKT DATA'!AB2011</f>
        <v>0</v>
      </c>
    </row>
    <row r="329" spans="5:18" x14ac:dyDescent="0.25">
      <c r="E329" s="43" t="str">
        <f>'MKT DATA'!B2012</f>
        <v>syn BTCG7/BTCZ6/BTCV6/BTCF7/BTCX6/BTCH7</v>
      </c>
      <c r="F329" s="13">
        <f>'MKT DATA'!J2012</f>
        <v>1</v>
      </c>
      <c r="G329" s="8">
        <f>'MKT DATA'!K2012</f>
        <v>84470</v>
      </c>
      <c r="H329" s="8">
        <f>'MKT DATA'!L2012</f>
        <v>86322</v>
      </c>
      <c r="I329" s="13">
        <f>'MKT DATA'!M2012</f>
        <v>1</v>
      </c>
      <c r="J329" s="43" t="str">
        <f t="shared" si="10"/>
        <v>syn BTCG7/BTCZ6/BTCV6/BTCF7/BTCX6/BTCH7</v>
      </c>
      <c r="K329" s="8">
        <f>'MKT DATA'!O2012</f>
        <v>0</v>
      </c>
      <c r="L329" s="8">
        <f>'MKT DATA'!P2012</f>
        <v>84470</v>
      </c>
      <c r="M329" s="8">
        <f>'MKT DATA'!Q2012</f>
        <v>0</v>
      </c>
      <c r="N329" s="8">
        <f>'MKT DATA'!R2012</f>
        <v>0</v>
      </c>
      <c r="O329" s="8">
        <f>'MKT DATA'!S2012</f>
        <v>-86322</v>
      </c>
      <c r="P329" s="8">
        <f>'MKT DATA'!T2012</f>
        <v>0</v>
      </c>
      <c r="Q329" s="43" t="str">
        <f t="shared" si="11"/>
        <v>syn BTCG7/BTCZ6/BTCV6/BTCF7/BTCX6/BTCH7</v>
      </c>
      <c r="R329" s="13">
        <f>'MKT DATA'!AB2012</f>
        <v>0</v>
      </c>
    </row>
    <row r="330" spans="5:18" x14ac:dyDescent="0.25">
      <c r="E330" s="43" t="str">
        <f>'MKT DATA'!B2013</f>
        <v>syn BTCG7/BTCZ6/BTCX6/BTCV6/BTCF7/BTCH7</v>
      </c>
      <c r="F330" s="13">
        <f>'MKT DATA'!J2013</f>
        <v>1</v>
      </c>
      <c r="G330" s="8">
        <f>'MKT DATA'!K2013</f>
        <v>84454</v>
      </c>
      <c r="H330" s="8">
        <f>'MKT DATA'!L2013</f>
        <v>86318</v>
      </c>
      <c r="I330" s="13">
        <f>'MKT DATA'!M2013</f>
        <v>1</v>
      </c>
      <c r="J330" s="43" t="str">
        <f t="shared" ref="J330:J333" si="12">E330</f>
        <v>syn BTCG7/BTCZ6/BTCX6/BTCV6/BTCF7/BTCH7</v>
      </c>
      <c r="K330" s="8">
        <f>'MKT DATA'!O2013</f>
        <v>0</v>
      </c>
      <c r="L330" s="8">
        <f>'MKT DATA'!P2013</f>
        <v>84454</v>
      </c>
      <c r="M330" s="8">
        <f>'MKT DATA'!Q2013</f>
        <v>0</v>
      </c>
      <c r="N330" s="8">
        <f>'MKT DATA'!R2013</f>
        <v>0</v>
      </c>
      <c r="O330" s="8">
        <f>'MKT DATA'!S2013</f>
        <v>-86318</v>
      </c>
      <c r="P330" s="8">
        <f>'MKT DATA'!T2013</f>
        <v>0</v>
      </c>
      <c r="Q330" s="43" t="str">
        <f t="shared" ref="Q330:Q333" si="13">J330</f>
        <v>syn BTCG7/BTCZ6/BTCX6/BTCV6/BTCF7/BTCH7</v>
      </c>
      <c r="R330" s="13">
        <f>'MKT DATA'!AB2013</f>
        <v>0</v>
      </c>
    </row>
    <row r="331" spans="5:18" x14ac:dyDescent="0.25">
      <c r="E331" s="43" t="str">
        <f>'MKT DATA'!B2014</f>
        <v>syn BTCG7/BTCZ6/BTCX6/BTCF7/BTCV6/BTCH7</v>
      </c>
      <c r="F331" s="13">
        <f>'MKT DATA'!J2014</f>
        <v>1</v>
      </c>
      <c r="G331" s="8">
        <f>'MKT DATA'!K2014</f>
        <v>84496</v>
      </c>
      <c r="H331" s="8">
        <f>'MKT DATA'!L2014</f>
        <v>86309</v>
      </c>
      <c r="I331" s="13">
        <f>'MKT DATA'!M2014</f>
        <v>1</v>
      </c>
      <c r="J331" s="43" t="str">
        <f t="shared" si="12"/>
        <v>syn BTCG7/BTCZ6/BTCX6/BTCF7/BTCV6/BTCH7</v>
      </c>
      <c r="K331" s="8">
        <f>'MKT DATA'!O2014</f>
        <v>0</v>
      </c>
      <c r="L331" s="8">
        <f>'MKT DATA'!P2014</f>
        <v>84496</v>
      </c>
      <c r="M331" s="8">
        <f>'MKT DATA'!Q2014</f>
        <v>0</v>
      </c>
      <c r="N331" s="8">
        <f>'MKT DATA'!R2014</f>
        <v>0</v>
      </c>
      <c r="O331" s="8">
        <f>'MKT DATA'!S2014</f>
        <v>-86309</v>
      </c>
      <c r="P331" s="8">
        <f>'MKT DATA'!T2014</f>
        <v>0</v>
      </c>
      <c r="Q331" s="43" t="str">
        <f t="shared" si="13"/>
        <v>syn BTCG7/BTCZ6/BTCX6/BTCF7/BTCV6/BTCH7</v>
      </c>
      <c r="R331" s="13">
        <f>'MKT DATA'!AB2014</f>
        <v>0</v>
      </c>
    </row>
    <row r="332" spans="5:18" x14ac:dyDescent="0.25">
      <c r="E332" s="43" t="str">
        <f>'MKT DATA'!B2015</f>
        <v>syn BTCG7/BTCZ6/BTCF7/BTCV6/BTCX6/BTCH7</v>
      </c>
      <c r="F332" s="13">
        <f>'MKT DATA'!J2015</f>
        <v>1</v>
      </c>
      <c r="G332" s="8">
        <f>'MKT DATA'!K2015</f>
        <v>84540</v>
      </c>
      <c r="H332" s="8">
        <f>'MKT DATA'!L2015</f>
        <v>86289</v>
      </c>
      <c r="I332" s="13">
        <f>'MKT DATA'!M2015</f>
        <v>1</v>
      </c>
      <c r="J332" s="43" t="str">
        <f t="shared" si="12"/>
        <v>syn BTCG7/BTCZ6/BTCF7/BTCV6/BTCX6/BTCH7</v>
      </c>
      <c r="K332" s="8">
        <f>'MKT DATA'!O2015</f>
        <v>0</v>
      </c>
      <c r="L332" s="8">
        <f>'MKT DATA'!P2015</f>
        <v>84540</v>
      </c>
      <c r="M332" s="8">
        <f>'MKT DATA'!Q2015</f>
        <v>0</v>
      </c>
      <c r="N332" s="8">
        <f>'MKT DATA'!R2015</f>
        <v>0</v>
      </c>
      <c r="O332" s="8">
        <f>'MKT DATA'!S2015</f>
        <v>-86289</v>
      </c>
      <c r="P332" s="8">
        <f>'MKT DATA'!T2015</f>
        <v>0</v>
      </c>
      <c r="Q332" s="43" t="str">
        <f t="shared" si="13"/>
        <v>syn BTCG7/BTCZ6/BTCF7/BTCV6/BTCX6/BTCH7</v>
      </c>
      <c r="R332" s="13">
        <f>'MKT DATA'!AB2015</f>
        <v>0</v>
      </c>
    </row>
    <row r="333" spans="5:18" x14ac:dyDescent="0.25">
      <c r="E333" s="43" t="str">
        <f>'MKT DATA'!B2016</f>
        <v>syn BTCG7/BTCZ6/BTCF7/BTCX6/BTCV6/BTCH7</v>
      </c>
      <c r="F333" s="13">
        <f>'MKT DATA'!J2016</f>
        <v>1</v>
      </c>
      <c r="G333" s="8">
        <f>'MKT DATA'!K2016</f>
        <v>84577</v>
      </c>
      <c r="H333" s="8">
        <f>'MKT DATA'!L2016</f>
        <v>86256</v>
      </c>
      <c r="I333" s="13">
        <f>'MKT DATA'!M2016</f>
        <v>1</v>
      </c>
      <c r="J333" s="43" t="str">
        <f t="shared" si="12"/>
        <v>syn BTCG7/BTCZ6/BTCF7/BTCX6/BTCV6/BTCH7</v>
      </c>
      <c r="K333" s="8">
        <f>'MKT DATA'!O2016</f>
        <v>0</v>
      </c>
      <c r="L333" s="8">
        <f>'MKT DATA'!P2016</f>
        <v>84577</v>
      </c>
      <c r="M333" s="8">
        <f>'MKT DATA'!Q2016</f>
        <v>0</v>
      </c>
      <c r="N333" s="8">
        <f>'MKT DATA'!R2016</f>
        <v>0</v>
      </c>
      <c r="O333" s="8">
        <f>'MKT DATA'!S2016</f>
        <v>-86256</v>
      </c>
      <c r="P333" s="8">
        <f>'MKT DATA'!T2016</f>
        <v>0</v>
      </c>
      <c r="Q333" s="43" t="str">
        <f t="shared" si="13"/>
        <v>syn BTCG7/BTCZ6/BTCF7/BTCX6/BTCV6/BTCH7</v>
      </c>
      <c r="R333" s="13">
        <f>'MKT DATA'!AB2016</f>
        <v>0</v>
      </c>
    </row>
    <row r="334" spans="5:18" x14ac:dyDescent="0.25">
      <c r="E334" s="43" t="str">
        <f>'MKT DATA'!B2017</f>
        <v>syn BTCG7/BTCF7/BTCV6/BTCX6/BTCZ6/BTCH7</v>
      </c>
      <c r="F334" s="13">
        <f>'MKT DATA'!J2017</f>
        <v>1</v>
      </c>
      <c r="G334" s="8">
        <f>'MKT DATA'!K2017</f>
        <v>84887</v>
      </c>
      <c r="H334" s="8">
        <f>'MKT DATA'!L2017</f>
        <v>86157</v>
      </c>
      <c r="I334" s="13">
        <f>'MKT DATA'!M2017</f>
        <v>1</v>
      </c>
      <c r="J334" s="43" t="str">
        <f t="shared" ref="J334:J339" si="14">E334</f>
        <v>syn BTCG7/BTCF7/BTCV6/BTCX6/BTCZ6/BTCH7</v>
      </c>
      <c r="K334" s="8">
        <f>'MKT DATA'!O2017</f>
        <v>0</v>
      </c>
      <c r="L334" s="8">
        <f>'MKT DATA'!P2017</f>
        <v>84887</v>
      </c>
      <c r="M334" s="8">
        <f>'MKT DATA'!Q2017</f>
        <v>0</v>
      </c>
      <c r="N334" s="8">
        <f>'MKT DATA'!R2017</f>
        <v>0</v>
      </c>
      <c r="O334" s="8">
        <f>'MKT DATA'!S2017</f>
        <v>-86157</v>
      </c>
      <c r="P334" s="8">
        <f>'MKT DATA'!T2017</f>
        <v>0</v>
      </c>
      <c r="Q334" s="43" t="str">
        <f t="shared" ref="Q334:Q339" si="15">J334</f>
        <v>syn BTCG7/BTCF7/BTCV6/BTCX6/BTCZ6/BTCH7</v>
      </c>
      <c r="R334" s="13">
        <f>'MKT DATA'!AB2017</f>
        <v>0</v>
      </c>
    </row>
    <row r="335" spans="5:18" x14ac:dyDescent="0.25">
      <c r="E335" s="43" t="str">
        <f>'MKT DATA'!B2018</f>
        <v>syn BTCG7/BTCF7/BTCV6/BTCZ6/BTCX6/BTCH7</v>
      </c>
      <c r="F335" s="13">
        <f>'MKT DATA'!J2018</f>
        <v>1</v>
      </c>
      <c r="G335" s="8">
        <f>'MKT DATA'!K2018</f>
        <v>84676</v>
      </c>
      <c r="H335" s="8">
        <f>'MKT DATA'!L2018</f>
        <v>86173</v>
      </c>
      <c r="I335" s="13">
        <f>'MKT DATA'!M2018</f>
        <v>1</v>
      </c>
      <c r="J335" s="43" t="str">
        <f t="shared" si="14"/>
        <v>syn BTCG7/BTCF7/BTCV6/BTCZ6/BTCX6/BTCH7</v>
      </c>
      <c r="K335" s="8">
        <f>'MKT DATA'!O2018</f>
        <v>0</v>
      </c>
      <c r="L335" s="8">
        <f>'MKT DATA'!P2018</f>
        <v>84676</v>
      </c>
      <c r="M335" s="8">
        <f>'MKT DATA'!Q2018</f>
        <v>0</v>
      </c>
      <c r="N335" s="8">
        <f>'MKT DATA'!R2018</f>
        <v>0</v>
      </c>
      <c r="O335" s="8">
        <f>'MKT DATA'!S2018</f>
        <v>-86173</v>
      </c>
      <c r="P335" s="8">
        <f>'MKT DATA'!T2018</f>
        <v>0</v>
      </c>
      <c r="Q335" s="43" t="str">
        <f t="shared" si="15"/>
        <v>syn BTCG7/BTCF7/BTCV6/BTCZ6/BTCX6/BTCH7</v>
      </c>
      <c r="R335" s="13">
        <f>'MKT DATA'!AB2018</f>
        <v>0</v>
      </c>
    </row>
    <row r="336" spans="5:18" x14ac:dyDescent="0.25">
      <c r="E336" s="43" t="str">
        <f>'MKT DATA'!B2019</f>
        <v>syn BTCG7/BTCF7/BTCX6/BTCV6/BTCZ6/BTCH7</v>
      </c>
      <c r="F336" s="13">
        <f>'MKT DATA'!J2019</f>
        <v>1</v>
      </c>
      <c r="G336" s="8">
        <f>'MKT DATA'!K2019</f>
        <v>84901</v>
      </c>
      <c r="H336" s="8">
        <f>'MKT DATA'!L2019</f>
        <v>86140</v>
      </c>
      <c r="I336" s="13">
        <f>'MKT DATA'!M2019</f>
        <v>1</v>
      </c>
      <c r="J336" s="43" t="str">
        <f t="shared" si="14"/>
        <v>syn BTCG7/BTCF7/BTCX6/BTCV6/BTCZ6/BTCH7</v>
      </c>
      <c r="K336" s="8">
        <f>'MKT DATA'!O2019</f>
        <v>0</v>
      </c>
      <c r="L336" s="8">
        <f>'MKT DATA'!P2019</f>
        <v>84901</v>
      </c>
      <c r="M336" s="8">
        <f>'MKT DATA'!Q2019</f>
        <v>0</v>
      </c>
      <c r="N336" s="8">
        <f>'MKT DATA'!R2019</f>
        <v>0</v>
      </c>
      <c r="O336" s="8">
        <f>'MKT DATA'!S2019</f>
        <v>-86140</v>
      </c>
      <c r="P336" s="8">
        <f>'MKT DATA'!T2019</f>
        <v>0</v>
      </c>
      <c r="Q336" s="43" t="str">
        <f t="shared" si="15"/>
        <v>syn BTCG7/BTCF7/BTCX6/BTCV6/BTCZ6/BTCH7</v>
      </c>
      <c r="R336" s="13">
        <f>'MKT DATA'!AB2019</f>
        <v>0</v>
      </c>
    </row>
    <row r="337" spans="5:18" x14ac:dyDescent="0.25">
      <c r="E337" s="43" t="str">
        <f>'MKT DATA'!B2020</f>
        <v>syn BTCG7/BTCF7/BTCX6/BTCZ6/BTCV6/BTCH7</v>
      </c>
      <c r="F337" s="13">
        <f>'MKT DATA'!J2020</f>
        <v>1</v>
      </c>
      <c r="G337" s="8">
        <f>'MKT DATA'!K2020</f>
        <v>84713</v>
      </c>
      <c r="H337" s="8">
        <f>'MKT DATA'!L2020</f>
        <v>86140</v>
      </c>
      <c r="I337" s="13">
        <f>'MKT DATA'!M2020</f>
        <v>1</v>
      </c>
      <c r="J337" s="43" t="str">
        <f t="shared" si="14"/>
        <v>syn BTCG7/BTCF7/BTCX6/BTCZ6/BTCV6/BTCH7</v>
      </c>
      <c r="K337" s="8">
        <f>'MKT DATA'!O2020</f>
        <v>0</v>
      </c>
      <c r="L337" s="8">
        <f>'MKT DATA'!P2020</f>
        <v>84713</v>
      </c>
      <c r="M337" s="8">
        <f>'MKT DATA'!Q2020</f>
        <v>0</v>
      </c>
      <c r="N337" s="8">
        <f>'MKT DATA'!R2020</f>
        <v>0</v>
      </c>
      <c r="O337" s="8">
        <f>'MKT DATA'!S2020</f>
        <v>-86140</v>
      </c>
      <c r="P337" s="8">
        <f>'MKT DATA'!T2020</f>
        <v>0</v>
      </c>
      <c r="Q337" s="43" t="str">
        <f t="shared" si="15"/>
        <v>syn BTCG7/BTCF7/BTCX6/BTCZ6/BTCV6/BTCH7</v>
      </c>
      <c r="R337" s="13">
        <f>'MKT DATA'!AB2020</f>
        <v>0</v>
      </c>
    </row>
    <row r="338" spans="5:18" x14ac:dyDescent="0.25">
      <c r="E338" s="43" t="str">
        <f>'MKT DATA'!B2021</f>
        <v>syn BTCG7/BTCF7/BTCZ6/BTCV6/BTCX6/BTCH7</v>
      </c>
      <c r="F338" s="13">
        <f>'MKT DATA'!J2021</f>
        <v>1</v>
      </c>
      <c r="G338" s="8">
        <f>'MKT DATA'!K2021</f>
        <v>84726</v>
      </c>
      <c r="H338" s="8">
        <f>'MKT DATA'!L2021</f>
        <v>86089</v>
      </c>
      <c r="I338" s="13">
        <f>'MKT DATA'!M2021</f>
        <v>1</v>
      </c>
      <c r="J338" s="43" t="str">
        <f t="shared" si="14"/>
        <v>syn BTCG7/BTCF7/BTCZ6/BTCV6/BTCX6/BTCH7</v>
      </c>
      <c r="K338" s="8">
        <f>'MKT DATA'!O2021</f>
        <v>0</v>
      </c>
      <c r="L338" s="8">
        <f>'MKT DATA'!P2021</f>
        <v>84726</v>
      </c>
      <c r="M338" s="8">
        <f>'MKT DATA'!Q2021</f>
        <v>0</v>
      </c>
      <c r="N338" s="8">
        <f>'MKT DATA'!R2021</f>
        <v>0</v>
      </c>
      <c r="O338" s="8">
        <f>'MKT DATA'!S2021</f>
        <v>-86089</v>
      </c>
      <c r="P338" s="8">
        <f>'MKT DATA'!T2021</f>
        <v>0</v>
      </c>
      <c r="Q338" s="43" t="str">
        <f t="shared" si="15"/>
        <v>syn BTCG7/BTCF7/BTCZ6/BTCV6/BTCX6/BTCH7</v>
      </c>
      <c r="R338" s="13">
        <f>'MKT DATA'!AB2021</f>
        <v>0</v>
      </c>
    </row>
    <row r="339" spans="5:18" x14ac:dyDescent="0.25">
      <c r="E339" s="43" t="str">
        <f>'MKT DATA'!B2022</f>
        <v>syn BTCG7/BTCF7/BTCZ6/BTCX6/BTCV6/BTCH7</v>
      </c>
      <c r="F339" s="13">
        <f>'MKT DATA'!J2022</f>
        <v>1</v>
      </c>
      <c r="G339" s="8">
        <f>'MKT DATA'!K2022</f>
        <v>84749</v>
      </c>
      <c r="H339" s="8">
        <f>'MKT DATA'!L2022</f>
        <v>86073</v>
      </c>
      <c r="I339" s="13">
        <f>'MKT DATA'!M2022</f>
        <v>1</v>
      </c>
      <c r="J339" s="43" t="str">
        <f t="shared" si="14"/>
        <v>syn BTCG7/BTCF7/BTCZ6/BTCX6/BTCV6/BTCH7</v>
      </c>
      <c r="K339" s="8">
        <f>'MKT DATA'!O2022</f>
        <v>0</v>
      </c>
      <c r="L339" s="8">
        <f>'MKT DATA'!P2022</f>
        <v>84749</v>
      </c>
      <c r="M339" s="8">
        <f>'MKT DATA'!Q2022</f>
        <v>0</v>
      </c>
      <c r="N339" s="8">
        <f>'MKT DATA'!R2022</f>
        <v>0</v>
      </c>
      <c r="O339" s="8">
        <f>'MKT DATA'!S2022</f>
        <v>-86073</v>
      </c>
      <c r="P339" s="8">
        <f>'MKT DATA'!T2022</f>
        <v>0</v>
      </c>
      <c r="Q339" s="43" t="str">
        <f t="shared" si="15"/>
        <v>syn BTCG7/BTCF7/BTCZ6/BTCX6/BTCV6/BTCH7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2026-09-29T03:36:03Z</dcterms:modified>
</cp:coreProperties>
</file>