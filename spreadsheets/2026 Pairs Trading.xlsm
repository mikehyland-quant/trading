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micha\git-projects\trading\spreadsheets\"/>
    </mc:Choice>
  </mc:AlternateContent>
  <xr:revisionPtr revIDLastSave="0" documentId="13_ncr:1_{7FD42DA9-0318-4ECF-A58E-70CB298EF3B7}" xr6:coauthVersionLast="47" xr6:coauthVersionMax="47" xr10:uidLastSave="{00000000-0000-0000-0000-000000000000}"/>
  <bookViews>
    <workbookView xWindow="30015" yWindow="855" windowWidth="26145" windowHeight="12885" tabRatio="766" activeTab="1" xr2:uid="{7864433A-DFC4-4915-B0C9-D347D4BABFCE}"/>
  </bookViews>
  <sheets>
    <sheet name="INITIAL INPUTS" sheetId="15" r:id="rId1"/>
    <sheet name="SCALAR INPUTS" sheetId="30" r:id="rId2"/>
    <sheet name="SCALARS" sheetId="21" r:id="rId3"/>
    <sheet name="THRESHOLD STATS" sheetId="34" r:id="rId4"/>
    <sheet name="THRESHOLDS" sheetId="33" r:id="rId5"/>
    <sheet name="MKT DATA" sheetId="19" r:id="rId6"/>
    <sheet name="SECTOR2" sheetId="23" r:id="rId7"/>
    <sheet name="INDUSTRY2" sheetId="32" r:id="rId8"/>
    <sheet name="SECTOR" sheetId="36" r:id="rId9"/>
    <sheet name="INDUSTRY" sheetId="35" r:id="rId10"/>
    <sheet name="FIXED INCOME" sheetId="20" r:id="rId11"/>
    <sheet name="CORPS" sheetId="25" r:id="rId12"/>
    <sheet name="TARGETS" sheetId="26" r:id="rId13"/>
    <sheet name="FI GROUP" sheetId="29" r:id="rId14"/>
    <sheet name="CEFS" sheetId="28" r:id="rId15"/>
    <sheet name="ADRS" sheetId="27" r:id="rId16"/>
    <sheet name="TRADING INPUTS" sheetId="24" r:id="rId17"/>
  </sheets>
  <definedNames>
    <definedName name="_xleta.ABS" hidden="1" xlm="1">#NAME?</definedName>
    <definedName name="_xleta.AND" hidden="1" xlm="1">#NAME?</definedName>
    <definedName name="_xleta.FIXED" hidden="1" xlm="1">#NAME?</definedName>
    <definedName name="_xleta.IF" hidden="1" xlm="1">#NAME?</definedName>
    <definedName name="_xleta.INFO" hidden="1" xlm="1">#NAME?</definedName>
    <definedName name="_xleta.LEF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30" l="1"/>
  <c r="K2" i="30"/>
  <c r="L2" i="30" s="1"/>
  <c r="J3" i="30"/>
  <c r="K3" i="30"/>
  <c r="L3" i="30"/>
  <c r="J4" i="30"/>
  <c r="K4" i="30"/>
  <c r="L4" i="30" s="1"/>
  <c r="J5" i="30"/>
  <c r="K5" i="30"/>
  <c r="L5" i="30"/>
  <c r="J6" i="30"/>
  <c r="K6" i="30"/>
  <c r="L6" i="30"/>
  <c r="J7" i="30"/>
  <c r="K7" i="30"/>
  <c r="L7" i="30"/>
  <c r="J8" i="30"/>
  <c r="K8" i="30"/>
  <c r="L8" i="30"/>
  <c r="J9" i="30"/>
  <c r="K9" i="30"/>
  <c r="L9" i="30"/>
  <c r="J10" i="30"/>
  <c r="K10" i="30"/>
  <c r="L10" i="30"/>
  <c r="J11" i="30"/>
  <c r="K11" i="30"/>
  <c r="L11" i="30" s="1"/>
  <c r="J12" i="30"/>
  <c r="K12" i="30"/>
  <c r="L12" i="30"/>
  <c r="J13" i="30"/>
  <c r="K13" i="30"/>
  <c r="L13" i="30"/>
  <c r="J14" i="30"/>
  <c r="K14" i="30"/>
  <c r="L14" i="30"/>
  <c r="J15" i="30"/>
  <c r="K15" i="30"/>
  <c r="L15" i="30"/>
  <c r="J16" i="30"/>
  <c r="K16" i="30"/>
  <c r="L16" i="30"/>
  <c r="J17" i="30"/>
  <c r="K17" i="30"/>
  <c r="L17" i="30"/>
  <c r="J18" i="30"/>
  <c r="K18" i="30"/>
  <c r="L18" i="30" s="1"/>
  <c r="J19" i="30"/>
  <c r="K19" i="30"/>
  <c r="L19" i="30"/>
  <c r="J20" i="30"/>
  <c r="K20" i="30"/>
  <c r="L20" i="30"/>
  <c r="J21" i="30"/>
  <c r="K21" i="30"/>
  <c r="L21" i="30"/>
  <c r="J22" i="30"/>
  <c r="L22" i="30" s="1"/>
  <c r="K22" i="30"/>
  <c r="J23" i="30"/>
  <c r="K23" i="30"/>
  <c r="L23" i="30"/>
  <c r="J24" i="30"/>
  <c r="K24" i="30"/>
  <c r="L24" i="30"/>
  <c r="J25" i="30"/>
  <c r="K25" i="30"/>
  <c r="L25" i="30"/>
  <c r="J26" i="30"/>
  <c r="K26" i="30"/>
  <c r="L26" i="30"/>
  <c r="J27" i="30"/>
  <c r="K27" i="30"/>
  <c r="L27" i="30"/>
  <c r="J28" i="30"/>
  <c r="K28" i="30"/>
  <c r="L28" i="30"/>
  <c r="J29" i="30"/>
  <c r="K29" i="30"/>
  <c r="L29" i="30" s="1"/>
  <c r="J30" i="30"/>
  <c r="K30" i="30"/>
  <c r="L30" i="30"/>
  <c r="J31" i="30"/>
  <c r="K31" i="30"/>
  <c r="L31" i="30"/>
  <c r="J32" i="30"/>
  <c r="K32" i="30"/>
  <c r="L32" i="30"/>
  <c r="J33" i="30"/>
  <c r="L33" i="30" s="1"/>
  <c r="K33" i="30"/>
  <c r="J34" i="30"/>
  <c r="L34" i="30" s="1"/>
  <c r="K34" i="30"/>
  <c r="J35" i="30"/>
  <c r="L35" i="30" s="1"/>
  <c r="K35" i="30"/>
  <c r="J36" i="30"/>
  <c r="K36" i="30"/>
  <c r="L36" i="30"/>
  <c r="J37" i="30"/>
  <c r="K37" i="30"/>
  <c r="L37" i="30"/>
  <c r="J38" i="30"/>
  <c r="K38" i="30"/>
  <c r="L38" i="30"/>
  <c r="J39" i="30"/>
  <c r="K39" i="30"/>
  <c r="L39" i="30"/>
  <c r="J40" i="30"/>
  <c r="K40" i="30"/>
  <c r="L40" i="30"/>
  <c r="J41" i="30"/>
  <c r="K41" i="30"/>
  <c r="L41" i="30"/>
  <c r="J42" i="30"/>
  <c r="K42" i="30"/>
  <c r="L42" i="30"/>
  <c r="J43" i="30"/>
  <c r="K43" i="30"/>
  <c r="L43" i="30"/>
  <c r="J44" i="30"/>
  <c r="K44" i="30"/>
  <c r="L44" i="30"/>
  <c r="J45" i="30"/>
  <c r="K45" i="30"/>
  <c r="L45" i="30"/>
  <c r="J46" i="30"/>
  <c r="L46" i="30" s="1"/>
  <c r="K46" i="30"/>
  <c r="J47" i="30"/>
  <c r="L47" i="30" s="1"/>
  <c r="K47" i="30"/>
  <c r="I4" i="15"/>
  <c r="I3" i="15"/>
  <c r="AJ1" i="35"/>
  <c r="AJ1" i="36"/>
  <c r="AD9" i="35"/>
  <c r="D9" i="35"/>
  <c r="B9" i="35"/>
  <c r="AD8" i="35"/>
  <c r="D8" i="35"/>
  <c r="A8" i="35"/>
  <c r="AD7" i="35"/>
  <c r="D7" i="35"/>
  <c r="B7" i="35"/>
  <c r="AD6" i="35"/>
  <c r="D6" i="35"/>
  <c r="A6" i="35"/>
  <c r="AD5" i="35"/>
  <c r="Y1" i="35"/>
  <c r="AD42" i="36"/>
  <c r="D42" i="36"/>
  <c r="B42" i="36"/>
  <c r="AD41" i="36"/>
  <c r="D41" i="36"/>
  <c r="A41" i="36"/>
  <c r="AD40" i="36"/>
  <c r="D40" i="36"/>
  <c r="B40" i="36"/>
  <c r="AD39" i="36"/>
  <c r="D39" i="36"/>
  <c r="A39" i="36"/>
  <c r="AD38" i="36"/>
  <c r="D38" i="36"/>
  <c r="B38" i="36"/>
  <c r="AD37" i="36"/>
  <c r="D37" i="36"/>
  <c r="A37" i="36"/>
  <c r="AD36" i="36"/>
  <c r="D36" i="36"/>
  <c r="B36" i="36"/>
  <c r="AD35" i="36"/>
  <c r="D35" i="36"/>
  <c r="A35" i="36"/>
  <c r="AD34" i="36"/>
  <c r="D34" i="36"/>
  <c r="B34" i="36"/>
  <c r="AD33" i="36"/>
  <c r="D33" i="36"/>
  <c r="A33" i="36"/>
  <c r="AD32" i="36"/>
  <c r="D32" i="36"/>
  <c r="B32" i="36"/>
  <c r="AD31" i="36"/>
  <c r="D31" i="36"/>
  <c r="A31" i="36"/>
  <c r="AD30" i="36"/>
  <c r="D30" i="36"/>
  <c r="B30" i="36"/>
  <c r="AD29" i="36"/>
  <c r="D29" i="36"/>
  <c r="A29" i="36"/>
  <c r="AD28" i="36"/>
  <c r="D28" i="36"/>
  <c r="B28" i="36"/>
  <c r="AE27" i="36" a="1"/>
  <c r="AD27" i="36"/>
  <c r="Y27" i="36" a="1"/>
  <c r="J27" i="36" a="1"/>
  <c r="I27" i="36" a="1"/>
  <c r="D27" i="36"/>
  <c r="A27" i="36"/>
  <c r="AD26" i="36"/>
  <c r="D26" i="36"/>
  <c r="B26" i="36"/>
  <c r="AD25" i="36"/>
  <c r="D25" i="36"/>
  <c r="A25" i="36"/>
  <c r="AD23" i="36"/>
  <c r="D23" i="36"/>
  <c r="B23" i="36"/>
  <c r="AD22" i="36"/>
  <c r="D22" i="36"/>
  <c r="A22" i="36"/>
  <c r="AD21" i="36"/>
  <c r="D21" i="36"/>
  <c r="B21" i="36"/>
  <c r="AD20" i="36"/>
  <c r="D20" i="36"/>
  <c r="A20" i="36"/>
  <c r="AD19" i="36"/>
  <c r="D19" i="36"/>
  <c r="B19" i="36"/>
  <c r="AD18" i="36"/>
  <c r="D18" i="36"/>
  <c r="A18" i="36"/>
  <c r="AD17" i="36"/>
  <c r="D17" i="36"/>
  <c r="B17" i="36"/>
  <c r="AD16" i="36"/>
  <c r="D16" i="36"/>
  <c r="A16" i="36"/>
  <c r="AD15" i="36"/>
  <c r="D15" i="36"/>
  <c r="B15" i="36"/>
  <c r="AD14" i="36"/>
  <c r="D14" i="36"/>
  <c r="A14" i="36"/>
  <c r="AD13" i="36"/>
  <c r="D13" i="36"/>
  <c r="B13" i="36"/>
  <c r="AD12" i="36"/>
  <c r="D12" i="36"/>
  <c r="A12" i="36"/>
  <c r="AD11" i="36"/>
  <c r="D11" i="36"/>
  <c r="B11" i="36"/>
  <c r="AE10" i="36" a="1"/>
  <c r="AD10" i="36"/>
  <c r="Y10" i="36" a="1"/>
  <c r="D10" i="36"/>
  <c r="A10" i="36"/>
  <c r="AD9" i="36"/>
  <c r="D9" i="36"/>
  <c r="B9" i="36"/>
  <c r="AD8" i="36"/>
  <c r="D8" i="36"/>
  <c r="A8" i="36"/>
  <c r="AD7" i="36"/>
  <c r="D7" i="36"/>
  <c r="B7" i="36"/>
  <c r="AD6" i="36"/>
  <c r="D6" i="36"/>
  <c r="A6" i="36"/>
  <c r="AD5" i="36"/>
  <c r="Y1" i="36"/>
  <c r="J49" i="30"/>
  <c r="K49" i="30"/>
  <c r="L49" i="30"/>
  <c r="J50" i="30"/>
  <c r="K50" i="30"/>
  <c r="L50" i="30"/>
  <c r="J51" i="30"/>
  <c r="K51" i="30"/>
  <c r="L51" i="30"/>
  <c r="J52" i="30"/>
  <c r="K52" i="30"/>
  <c r="L52" i="30"/>
  <c r="J53" i="30"/>
  <c r="K53" i="30"/>
  <c r="L53" i="30"/>
  <c r="J54" i="30"/>
  <c r="K54" i="30"/>
  <c r="L54" i="30"/>
  <c r="J55" i="30"/>
  <c r="K55" i="30"/>
  <c r="L55" i="30"/>
  <c r="J56" i="30"/>
  <c r="K56" i="30"/>
  <c r="L56" i="30"/>
  <c r="J57" i="30"/>
  <c r="K57" i="30"/>
  <c r="L57" i="30"/>
  <c r="J58" i="30"/>
  <c r="K58" i="30"/>
  <c r="L58" i="30"/>
  <c r="J59" i="30"/>
  <c r="K59" i="30"/>
  <c r="L59" i="30"/>
  <c r="J60" i="30"/>
  <c r="K60" i="30"/>
  <c r="L60" i="30" s="1"/>
  <c r="J61" i="30"/>
  <c r="K61" i="30"/>
  <c r="L61" i="30" s="1"/>
  <c r="J62" i="30"/>
  <c r="K62" i="30"/>
  <c r="L62" i="30"/>
  <c r="J63" i="30"/>
  <c r="K63" i="30"/>
  <c r="L63" i="30" s="1"/>
  <c r="J64" i="30"/>
  <c r="K64" i="30"/>
  <c r="L64" i="30"/>
  <c r="J65" i="30"/>
  <c r="K65" i="30"/>
  <c r="L65" i="30"/>
  <c r="J66" i="30"/>
  <c r="K66" i="30"/>
  <c r="L66" i="30"/>
  <c r="J67" i="30"/>
  <c r="K67" i="30"/>
  <c r="L67" i="30"/>
  <c r="J68" i="30"/>
  <c r="K68" i="30"/>
  <c r="L68" i="30"/>
  <c r="J69" i="30"/>
  <c r="K69" i="30"/>
  <c r="L69" i="30"/>
  <c r="J70" i="30"/>
  <c r="K70" i="30"/>
  <c r="L70" i="30"/>
  <c r="J71" i="30"/>
  <c r="K71" i="30"/>
  <c r="L71" i="30"/>
  <c r="J72" i="30"/>
  <c r="K72" i="30"/>
  <c r="L72" i="30" s="1"/>
  <c r="J73" i="30"/>
  <c r="K73" i="30"/>
  <c r="L73" i="30"/>
  <c r="J74" i="30"/>
  <c r="K74" i="30"/>
  <c r="L74" i="30"/>
  <c r="J75" i="30"/>
  <c r="K75" i="30"/>
  <c r="L75" i="30"/>
  <c r="J76" i="30"/>
  <c r="K76" i="30"/>
  <c r="L76" i="30"/>
  <c r="J77" i="30"/>
  <c r="K77" i="30"/>
  <c r="L77" i="30"/>
  <c r="J78" i="30"/>
  <c r="K78" i="30"/>
  <c r="L78" i="30"/>
  <c r="J79" i="30"/>
  <c r="K79" i="30"/>
  <c r="L79" i="30"/>
  <c r="J80" i="30"/>
  <c r="K80" i="30"/>
  <c r="L80" i="30" s="1"/>
  <c r="J81" i="30"/>
  <c r="K81" i="30"/>
  <c r="L81" i="30"/>
  <c r="J82" i="30"/>
  <c r="K82" i="30"/>
  <c r="L82" i="30" s="1"/>
  <c r="J83" i="30"/>
  <c r="K83" i="30"/>
  <c r="L83" i="30"/>
  <c r="J84" i="30"/>
  <c r="K84" i="30"/>
  <c r="L84" i="30" s="1"/>
  <c r="J85" i="30"/>
  <c r="K85" i="30"/>
  <c r="L85" i="30"/>
  <c r="J86" i="30"/>
  <c r="K86" i="30"/>
  <c r="L86" i="30" s="1"/>
  <c r="J87" i="30"/>
  <c r="K87" i="30"/>
  <c r="L87" i="30"/>
  <c r="J88" i="30"/>
  <c r="K88" i="30"/>
  <c r="L88" i="30" s="1"/>
  <c r="J89" i="30"/>
  <c r="K89" i="30"/>
  <c r="L89" i="30"/>
  <c r="J90" i="30"/>
  <c r="K90" i="30"/>
  <c r="L90" i="30" s="1"/>
  <c r="J91" i="30"/>
  <c r="K91" i="30"/>
  <c r="L91" i="30"/>
  <c r="J92" i="30"/>
  <c r="K92" i="30"/>
  <c r="L92" i="30"/>
  <c r="J93" i="30"/>
  <c r="K93" i="30"/>
  <c r="L93" i="30"/>
  <c r="J94" i="30"/>
  <c r="K94" i="30"/>
  <c r="L94" i="30" s="1"/>
  <c r="J95" i="30"/>
  <c r="K95" i="30"/>
  <c r="L95" i="30"/>
  <c r="J96" i="30"/>
  <c r="K96" i="30"/>
  <c r="L96" i="30" s="1"/>
  <c r="J97" i="30"/>
  <c r="K97" i="30"/>
  <c r="L97" i="30"/>
  <c r="J98" i="30"/>
  <c r="K98" i="30"/>
  <c r="L98" i="30" s="1"/>
  <c r="J99" i="30"/>
  <c r="K99" i="30"/>
  <c r="L99" i="30"/>
  <c r="J100" i="30"/>
  <c r="K100" i="30"/>
  <c r="L100" i="30" s="1"/>
  <c r="L48" i="30"/>
  <c r="K48" i="30"/>
  <c r="J48" i="30"/>
  <c r="O110" i="34"/>
  <c r="L110" i="34"/>
  <c r="O109" i="34"/>
  <c r="L109" i="34"/>
  <c r="O108" i="34"/>
  <c r="L108" i="34"/>
  <c r="O107" i="34"/>
  <c r="L107" i="34"/>
  <c r="O106" i="34"/>
  <c r="L106" i="34"/>
  <c r="O105" i="34"/>
  <c r="L105" i="34"/>
  <c r="O104" i="34"/>
  <c r="L104" i="34"/>
  <c r="O103" i="34"/>
  <c r="L103" i="34"/>
  <c r="O102" i="34"/>
  <c r="L102" i="34"/>
  <c r="X24" i="20" a="1"/>
  <c r="W24" i="20" a="1"/>
  <c r="T24" i="20" a="1"/>
  <c r="S24" i="20" a="1"/>
  <c r="X22" i="20" a="1"/>
  <c r="W22" i="20" a="1"/>
  <c r="T22" i="20" a="1"/>
  <c r="S22" i="20" a="1"/>
  <c r="X20" i="20" a="1"/>
  <c r="W20" i="20" a="1"/>
  <c r="T20" i="20" a="1"/>
  <c r="S20" i="20" a="1"/>
  <c r="X18" i="20" a="1"/>
  <c r="W18" i="20" a="1"/>
  <c r="T18" i="20" a="1"/>
  <c r="S18" i="20" a="1"/>
  <c r="X16" i="20" a="1"/>
  <c r="W16" i="20" a="1"/>
  <c r="T16" i="20" a="1"/>
  <c r="S16" i="20" a="1"/>
  <c r="X14" i="20" a="1"/>
  <c r="W14" i="20" a="1"/>
  <c r="T14" i="20" a="1"/>
  <c r="S14" i="20" a="1"/>
  <c r="X12" i="20" a="1"/>
  <c r="W12" i="20" a="1"/>
  <c r="T12" i="20" a="1"/>
  <c r="S12" i="20" a="1"/>
  <c r="X10" i="20" a="1"/>
  <c r="W10" i="20" a="1"/>
  <c r="T10" i="20" a="1"/>
  <c r="S10" i="20" a="1"/>
  <c r="X8" i="20" a="1"/>
  <c r="W8" i="20" a="1"/>
  <c r="T8" i="20" a="1"/>
  <c r="S8" i="20" a="1"/>
  <c r="X6" i="20" a="1"/>
  <c r="W6" i="20" a="1"/>
  <c r="T6" i="20" a="1"/>
  <c r="C24" i="20"/>
  <c r="C22" i="20"/>
  <c r="C20" i="20"/>
  <c r="C18" i="20"/>
  <c r="C16" i="20"/>
  <c r="C14" i="20"/>
  <c r="C12" i="20"/>
  <c r="C10" i="20"/>
  <c r="C8" i="20"/>
  <c r="C6" i="20"/>
  <c r="S6" i="20" a="1"/>
  <c r="K25" i="20" a="1"/>
  <c r="K24" i="20" a="1"/>
  <c r="K23" i="20" a="1"/>
  <c r="K22" i="20" a="1"/>
  <c r="K21" i="20" a="1"/>
  <c r="K20" i="20" a="1"/>
  <c r="K19" i="20" a="1"/>
  <c r="K18" i="20" a="1"/>
  <c r="K17" i="20" a="1"/>
  <c r="K16" i="20" a="1"/>
  <c r="K15" i="20" a="1"/>
  <c r="K14" i="20" a="1"/>
  <c r="K13" i="20" a="1"/>
  <c r="K12" i="20" a="1"/>
  <c r="K11" i="20" a="1"/>
  <c r="K10" i="20" a="1"/>
  <c r="K9" i="20" a="1"/>
  <c r="K8" i="20" a="1"/>
  <c r="K7" i="20" a="1"/>
  <c r="K6" i="20" a="1"/>
  <c r="G24" i="20" a="1"/>
  <c r="F24" i="20" a="1"/>
  <c r="G22" i="20" a="1"/>
  <c r="F22" i="20" a="1"/>
  <c r="G20" i="20" a="1"/>
  <c r="F20" i="20" a="1"/>
  <c r="G18" i="20" a="1"/>
  <c r="F18" i="20" a="1"/>
  <c r="G16" i="20" a="1"/>
  <c r="F16" i="20" a="1"/>
  <c r="G14" i="20" a="1"/>
  <c r="F14" i="20" a="1"/>
  <c r="G12" i="20" a="1"/>
  <c r="F12" i="20" a="1"/>
  <c r="G10" i="20" a="1"/>
  <c r="F10" i="20" a="1"/>
  <c r="G8" i="20" a="1"/>
  <c r="F8" i="20" a="1"/>
  <c r="B25" i="20"/>
  <c r="B24" i="20"/>
  <c r="B23" i="20"/>
  <c r="B22" i="20"/>
  <c r="B21" i="20"/>
  <c r="B20" i="20"/>
  <c r="B19" i="20"/>
  <c r="B18" i="20"/>
  <c r="B17" i="20"/>
  <c r="B16" i="20"/>
  <c r="B15" i="20"/>
  <c r="B14" i="20"/>
  <c r="B13" i="20"/>
  <c r="B12" i="20"/>
  <c r="B11" i="20"/>
  <c r="B10" i="20"/>
  <c r="B9" i="20"/>
  <c r="B8" i="20"/>
  <c r="B6" i="20"/>
  <c r="A24" i="20"/>
  <c r="A22" i="20"/>
  <c r="A20" i="20"/>
  <c r="A18" i="20"/>
  <c r="A16" i="20"/>
  <c r="A14" i="20"/>
  <c r="A12" i="20"/>
  <c r="A10" i="20"/>
  <c r="A8" i="20"/>
  <c r="A6" i="20"/>
  <c r="L110" i="33"/>
  <c r="L109" i="33"/>
  <c r="L108" i="33"/>
  <c r="L107" i="33"/>
  <c r="L106" i="33"/>
  <c r="L105" i="33"/>
  <c r="L104" i="33"/>
  <c r="L103" i="33"/>
  <c r="L102" i="33"/>
  <c r="B2" i="15" a="1"/>
  <c r="B3" i="15" s="1"/>
  <c r="B6" i="15" a="1"/>
  <c r="H25" i="24" a="1"/>
  <c r="H24" i="24" a="1"/>
  <c r="H23" i="24" a="1"/>
  <c r="H22" i="24" a="1"/>
  <c r="G25" i="24" a="1"/>
  <c r="G24" i="24" a="1"/>
  <c r="G23" i="24" a="1"/>
  <c r="G22" i="24" a="1"/>
  <c r="H1" i="24"/>
  <c r="G1" i="24"/>
  <c r="F1" i="24"/>
  <c r="F25" i="24" a="1"/>
  <c r="L25" i="24" s="1"/>
  <c r="F24" i="24" a="1"/>
  <c r="L24" i="24" s="1"/>
  <c r="F23" i="24" a="1"/>
  <c r="L23" i="24" s="1"/>
  <c r="F22" i="24" a="1"/>
  <c r="L22" i="24" s="1"/>
  <c r="W63" i="26" a="1"/>
  <c r="V63" i="26" a="1"/>
  <c r="W61" i="26" a="1"/>
  <c r="V61" i="26" a="1"/>
  <c r="W59" i="26" a="1"/>
  <c r="V59" i="26" a="1"/>
  <c r="W57" i="26" a="1"/>
  <c r="V57" i="26" a="1"/>
  <c r="W55" i="26" a="1"/>
  <c r="V55" i="26" a="1"/>
  <c r="W52" i="26" a="1"/>
  <c r="V52" i="26" a="1"/>
  <c r="W50" i="26" a="1"/>
  <c r="V50" i="26" a="1"/>
  <c r="W48" i="26" a="1"/>
  <c r="V48" i="26" a="1"/>
  <c r="W46" i="26" a="1"/>
  <c r="V46" i="26" a="1"/>
  <c r="W44" i="26" a="1"/>
  <c r="V44" i="26" a="1"/>
  <c r="W42" i="26" a="1"/>
  <c r="V42" i="26" a="1"/>
  <c r="W40" i="26" a="1"/>
  <c r="V40" i="26" a="1"/>
  <c r="W38" i="26" a="1"/>
  <c r="V38" i="26" a="1"/>
  <c r="W36" i="26" a="1"/>
  <c r="V36" i="26" a="1"/>
  <c r="W34" i="26" a="1"/>
  <c r="V34" i="26" a="1"/>
  <c r="W31" i="26" a="1"/>
  <c r="V31" i="26" a="1"/>
  <c r="W29" i="26" a="1"/>
  <c r="V29" i="26" a="1"/>
  <c r="W27" i="26" a="1"/>
  <c r="V27" i="26" a="1"/>
  <c r="W25" i="26" a="1"/>
  <c r="V25" i="26" a="1"/>
  <c r="W23" i="26" a="1"/>
  <c r="V23" i="26" a="1"/>
  <c r="W21" i="26" a="1"/>
  <c r="V21" i="26" a="1"/>
  <c r="W18" i="26" a="1"/>
  <c r="V18" i="26" a="1"/>
  <c r="W16" i="26" a="1"/>
  <c r="V16" i="26" a="1"/>
  <c r="W14" i="26" a="1"/>
  <c r="V14" i="26" a="1"/>
  <c r="W12" i="26" a="1"/>
  <c r="V12" i="26" a="1"/>
  <c r="W10" i="26" a="1"/>
  <c r="V10" i="26" a="1"/>
  <c r="W8" i="26" a="1"/>
  <c r="V8" i="26" a="1"/>
  <c r="S63" i="26" a="1"/>
  <c r="R63" i="26" a="1"/>
  <c r="S61" i="26" a="1"/>
  <c r="R61" i="26" a="1"/>
  <c r="S59" i="26" a="1"/>
  <c r="R59" i="26" a="1"/>
  <c r="S57" i="26" a="1"/>
  <c r="R57" i="26" a="1"/>
  <c r="S55" i="26" a="1"/>
  <c r="R55" i="26" a="1"/>
  <c r="S52" i="26" a="1"/>
  <c r="R52" i="26" a="1"/>
  <c r="S50" i="26" a="1"/>
  <c r="R50" i="26" a="1"/>
  <c r="S48" i="26" a="1"/>
  <c r="R48" i="26" a="1"/>
  <c r="S46" i="26" a="1"/>
  <c r="R46" i="26" a="1"/>
  <c r="S44" i="26" a="1"/>
  <c r="R44" i="26" a="1"/>
  <c r="S42" i="26" a="1"/>
  <c r="R42" i="26" a="1"/>
  <c r="S40" i="26" a="1"/>
  <c r="R40" i="26" a="1"/>
  <c r="S38" i="26" a="1"/>
  <c r="R38" i="26" a="1"/>
  <c r="S36" i="26" a="1"/>
  <c r="R36" i="26" a="1"/>
  <c r="S34" i="26" a="1"/>
  <c r="R34" i="26" a="1"/>
  <c r="S31" i="26" a="1"/>
  <c r="R31" i="26" a="1"/>
  <c r="S29" i="26" a="1"/>
  <c r="R29" i="26" a="1"/>
  <c r="S27" i="26" a="1"/>
  <c r="R27" i="26" a="1"/>
  <c r="S25" i="26" a="1"/>
  <c r="R25" i="26" a="1"/>
  <c r="S23" i="26" a="1"/>
  <c r="R23" i="26" a="1"/>
  <c r="S21" i="26" a="1"/>
  <c r="R21" i="26" a="1"/>
  <c r="S18" i="26" a="1"/>
  <c r="R18" i="26" a="1"/>
  <c r="S16" i="26" a="1"/>
  <c r="R16" i="26" a="1"/>
  <c r="S14" i="26" a="1"/>
  <c r="R14" i="26" a="1"/>
  <c r="S12" i="26" a="1"/>
  <c r="R12" i="26" a="1"/>
  <c r="S10" i="26" a="1"/>
  <c r="R10" i="26" a="1"/>
  <c r="S8" i="26" a="1"/>
  <c r="R8" i="26" a="1"/>
  <c r="W6" i="26" a="1"/>
  <c r="V6" i="26" a="1"/>
  <c r="S6" i="26" a="1"/>
  <c r="R6" i="26" a="1"/>
  <c r="S34" i="25" a="1"/>
  <c r="R34" i="25" a="1"/>
  <c r="S32" i="25" a="1"/>
  <c r="R32" i="25" a="1"/>
  <c r="S30" i="25" a="1"/>
  <c r="R30" i="25" a="1"/>
  <c r="S28" i="25" a="1"/>
  <c r="R28" i="25" a="1"/>
  <c r="S26" i="25" a="1"/>
  <c r="R26" i="25" a="1"/>
  <c r="S24" i="25" a="1"/>
  <c r="R24" i="25" a="1"/>
  <c r="S22" i="25" a="1"/>
  <c r="R22" i="25" a="1"/>
  <c r="S20" i="25" a="1"/>
  <c r="R20" i="25" a="1"/>
  <c r="S18" i="25" a="1"/>
  <c r="R18" i="25" a="1"/>
  <c r="S16" i="25" a="1"/>
  <c r="R16" i="25" a="1"/>
  <c r="S14" i="25" a="1"/>
  <c r="R14" i="25" a="1"/>
  <c r="S12" i="25" a="1"/>
  <c r="R12" i="25" a="1"/>
  <c r="S10" i="25" a="1"/>
  <c r="R10" i="25" a="1"/>
  <c r="S8" i="25" a="1"/>
  <c r="R8" i="25" a="1"/>
  <c r="W6" i="25" a="1"/>
  <c r="V6" i="25" a="1"/>
  <c r="S6" i="25" a="1"/>
  <c r="R6" i="25" a="1"/>
  <c r="AC9" i="32"/>
  <c r="C9" i="32"/>
  <c r="A9" i="32"/>
  <c r="AC8" i="32"/>
  <c r="C8" i="32"/>
  <c r="B8" i="32"/>
  <c r="A8" i="32"/>
  <c r="AC7" i="32"/>
  <c r="C7" i="32"/>
  <c r="A7" i="32"/>
  <c r="AC6" i="32"/>
  <c r="C6" i="32"/>
  <c r="B6" i="32"/>
  <c r="A6" i="32"/>
  <c r="AC5" i="32"/>
  <c r="AI1" i="32"/>
  <c r="X1" i="32"/>
  <c r="B63" i="26"/>
  <c r="B61" i="26"/>
  <c r="B59" i="26"/>
  <c r="B57" i="26"/>
  <c r="B55" i="26"/>
  <c r="B52" i="26"/>
  <c r="B50" i="26"/>
  <c r="B48" i="26"/>
  <c r="B46" i="26"/>
  <c r="B44" i="26"/>
  <c r="B42" i="26"/>
  <c r="B40" i="26"/>
  <c r="B38" i="26"/>
  <c r="B36" i="26"/>
  <c r="B34" i="26"/>
  <c r="B31" i="26"/>
  <c r="B29" i="26"/>
  <c r="B27" i="26"/>
  <c r="B25" i="26"/>
  <c r="B23" i="26"/>
  <c r="B21" i="26"/>
  <c r="B18" i="26"/>
  <c r="B16" i="26"/>
  <c r="B14" i="26"/>
  <c r="B12" i="26"/>
  <c r="B10" i="26"/>
  <c r="B8" i="26"/>
  <c r="B6" i="26"/>
  <c r="B34" i="25"/>
  <c r="B32" i="25"/>
  <c r="B30" i="25"/>
  <c r="B28" i="25"/>
  <c r="B26" i="25"/>
  <c r="B24" i="25"/>
  <c r="B22" i="25"/>
  <c r="B20" i="25"/>
  <c r="B18" i="25"/>
  <c r="B16" i="25"/>
  <c r="B14" i="25"/>
  <c r="B12" i="25"/>
  <c r="B10" i="25"/>
  <c r="B8" i="25"/>
  <c r="B6" i="25"/>
  <c r="AD64" i="26" a="1"/>
  <c r="AD63" i="26" a="1"/>
  <c r="AD62" i="26" a="1"/>
  <c r="AD61" i="26" a="1"/>
  <c r="AD60" i="26" a="1"/>
  <c r="AD59" i="26" a="1"/>
  <c r="AD58" i="26" a="1"/>
  <c r="AD57" i="26" a="1"/>
  <c r="AD56" i="26" a="1"/>
  <c r="AD55" i="26" a="1"/>
  <c r="AD53" i="26" a="1"/>
  <c r="AD52" i="26" a="1"/>
  <c r="AD51" i="26" a="1"/>
  <c r="AD50" i="26" a="1"/>
  <c r="AD49" i="26" a="1"/>
  <c r="AD48" i="26" a="1"/>
  <c r="AD47" i="26" a="1"/>
  <c r="AD46" i="26" a="1"/>
  <c r="AD45" i="26" a="1"/>
  <c r="AD44" i="26" a="1"/>
  <c r="AD43" i="26" a="1"/>
  <c r="AD42" i="26" a="1"/>
  <c r="AD41" i="26" a="1"/>
  <c r="AD40" i="26" a="1"/>
  <c r="AD39" i="26" a="1"/>
  <c r="AD38" i="26" a="1"/>
  <c r="AD37" i="26" a="1"/>
  <c r="AD36" i="26" a="1"/>
  <c r="AD35" i="26" a="1"/>
  <c r="AD34" i="26" a="1"/>
  <c r="AD32" i="26" a="1"/>
  <c r="AD31" i="26" a="1"/>
  <c r="AD30" i="26" a="1"/>
  <c r="AD29" i="26" a="1"/>
  <c r="AD28" i="26" a="1"/>
  <c r="AD27" i="26" a="1"/>
  <c r="AD26" i="26" a="1"/>
  <c r="AD25" i="26" a="1"/>
  <c r="AD24" i="26" a="1"/>
  <c r="AD23" i="26" a="1"/>
  <c r="AD22" i="26" a="1"/>
  <c r="AD21" i="26" a="1"/>
  <c r="AD19" i="26" a="1"/>
  <c r="AD18" i="26" a="1"/>
  <c r="AD17" i="26" a="1"/>
  <c r="AD16" i="26" a="1"/>
  <c r="AD15" i="26" a="1"/>
  <c r="AD14" i="26" a="1"/>
  <c r="AD13" i="26" a="1"/>
  <c r="AD12" i="26" a="1"/>
  <c r="AD11" i="26" a="1"/>
  <c r="AD10" i="26" a="1"/>
  <c r="AD9" i="26" a="1"/>
  <c r="AD8" i="26" a="1"/>
  <c r="AD7" i="26" a="1"/>
  <c r="AD6" i="26" a="1"/>
  <c r="X64" i="26" a="1"/>
  <c r="X63" i="26" a="1"/>
  <c r="X62" i="26" a="1"/>
  <c r="X61" i="26" a="1"/>
  <c r="X60" i="26" a="1"/>
  <c r="X59" i="26" a="1"/>
  <c r="X58" i="26" a="1"/>
  <c r="X57" i="26" a="1"/>
  <c r="X56" i="26" a="1"/>
  <c r="X55" i="26" a="1"/>
  <c r="X53" i="26" a="1"/>
  <c r="X52" i="26" a="1"/>
  <c r="X51" i="26" a="1"/>
  <c r="X50" i="26" a="1"/>
  <c r="X49" i="26" a="1"/>
  <c r="X48" i="26" a="1"/>
  <c r="X47" i="26" a="1"/>
  <c r="X46" i="26" a="1"/>
  <c r="X45" i="26" a="1"/>
  <c r="X44" i="26" a="1"/>
  <c r="X43" i="26" a="1"/>
  <c r="X42" i="26" a="1"/>
  <c r="X41" i="26" a="1"/>
  <c r="X40" i="26" a="1"/>
  <c r="X39" i="26" a="1"/>
  <c r="X38" i="26" a="1"/>
  <c r="X37" i="26" a="1"/>
  <c r="X36" i="26" a="1"/>
  <c r="X35" i="26" a="1"/>
  <c r="X34" i="26" a="1"/>
  <c r="X32" i="26" a="1"/>
  <c r="X31" i="26" a="1"/>
  <c r="X30" i="26" a="1"/>
  <c r="X29" i="26" a="1"/>
  <c r="X28" i="26" a="1"/>
  <c r="X27" i="26" a="1"/>
  <c r="X26" i="26" a="1"/>
  <c r="X25" i="26" a="1"/>
  <c r="X24" i="26" a="1"/>
  <c r="X23" i="26" a="1"/>
  <c r="X22" i="26" a="1"/>
  <c r="X21" i="26" a="1"/>
  <c r="X19" i="26" a="1"/>
  <c r="X18" i="26" a="1"/>
  <c r="X17" i="26" a="1"/>
  <c r="X16" i="26" a="1"/>
  <c r="X15" i="26" a="1"/>
  <c r="X14" i="26" a="1"/>
  <c r="X13" i="26" a="1"/>
  <c r="X12" i="26" a="1"/>
  <c r="X11" i="26" a="1"/>
  <c r="X10" i="26" a="1"/>
  <c r="X9" i="26" a="1"/>
  <c r="X8" i="26" a="1"/>
  <c r="X7" i="26" a="1"/>
  <c r="X6" i="26" a="1"/>
  <c r="M64" i="26" a="1"/>
  <c r="M63" i="26" a="1"/>
  <c r="M62" i="26" a="1"/>
  <c r="M61" i="26" a="1"/>
  <c r="M60" i="26" a="1"/>
  <c r="M59" i="26" a="1"/>
  <c r="M58" i="26" a="1"/>
  <c r="M57" i="26" a="1"/>
  <c r="M56" i="26" a="1"/>
  <c r="M55" i="26" a="1"/>
  <c r="M53" i="26" a="1"/>
  <c r="M52" i="26" a="1"/>
  <c r="M51" i="26" a="1"/>
  <c r="M50" i="26" a="1"/>
  <c r="M49" i="26" a="1"/>
  <c r="M48" i="26" a="1"/>
  <c r="M47" i="26" a="1"/>
  <c r="M46" i="26" a="1"/>
  <c r="M45" i="26" a="1"/>
  <c r="M44" i="26" a="1"/>
  <c r="M43" i="26" a="1"/>
  <c r="M42" i="26" a="1"/>
  <c r="M41" i="26" a="1"/>
  <c r="M40" i="26" a="1"/>
  <c r="M39" i="26" a="1"/>
  <c r="M38" i="26" a="1"/>
  <c r="M37" i="26" a="1"/>
  <c r="M36" i="26" a="1"/>
  <c r="M35" i="26" a="1"/>
  <c r="M34" i="26" a="1"/>
  <c r="M32" i="26" a="1"/>
  <c r="M31" i="26" a="1"/>
  <c r="M30" i="26" a="1"/>
  <c r="M29" i="26" a="1"/>
  <c r="M28" i="26" a="1"/>
  <c r="M27" i="26" a="1"/>
  <c r="M26" i="26" a="1"/>
  <c r="M25" i="26" a="1"/>
  <c r="M24" i="26" a="1"/>
  <c r="M23" i="26" a="1"/>
  <c r="M22" i="26" a="1"/>
  <c r="M21" i="26" a="1"/>
  <c r="M19" i="26" a="1"/>
  <c r="M18" i="26" a="1"/>
  <c r="M17" i="26" a="1"/>
  <c r="M16" i="26" a="1"/>
  <c r="M15" i="26" a="1"/>
  <c r="M14" i="26" a="1"/>
  <c r="M13" i="26" a="1"/>
  <c r="M12" i="26" a="1"/>
  <c r="M11" i="26" a="1"/>
  <c r="M10" i="26" a="1"/>
  <c r="M9" i="26" a="1"/>
  <c r="M8" i="26" a="1"/>
  <c r="M7" i="26" a="1"/>
  <c r="M6" i="26" a="1"/>
  <c r="J64" i="26" a="1"/>
  <c r="J63" i="26" a="1"/>
  <c r="J62" i="26" a="1"/>
  <c r="J61" i="26" a="1"/>
  <c r="J60" i="26" a="1"/>
  <c r="J59" i="26" a="1"/>
  <c r="J58" i="26" a="1"/>
  <c r="J57" i="26" a="1"/>
  <c r="J56" i="26" a="1"/>
  <c r="J55" i="26" a="1"/>
  <c r="J53" i="26" a="1"/>
  <c r="J52" i="26" a="1"/>
  <c r="J51" i="26" a="1"/>
  <c r="J50" i="26" a="1"/>
  <c r="J49" i="26" a="1"/>
  <c r="J48" i="26" a="1"/>
  <c r="J47" i="26" a="1"/>
  <c r="J46" i="26" a="1"/>
  <c r="J45" i="26" a="1"/>
  <c r="J44" i="26" a="1"/>
  <c r="J43" i="26" a="1"/>
  <c r="J42" i="26" a="1"/>
  <c r="J41" i="26" a="1"/>
  <c r="J40" i="26" a="1"/>
  <c r="J39" i="26" a="1"/>
  <c r="J38" i="26" a="1"/>
  <c r="J37" i="26" a="1"/>
  <c r="J36" i="26" a="1"/>
  <c r="J35" i="26" a="1"/>
  <c r="J34" i="26" a="1"/>
  <c r="J32" i="26" a="1"/>
  <c r="J31" i="26" a="1"/>
  <c r="J30" i="26" a="1"/>
  <c r="J29" i="26" a="1"/>
  <c r="J28" i="26" a="1"/>
  <c r="J27" i="26" a="1"/>
  <c r="J26" i="26" a="1"/>
  <c r="J25" i="26" a="1"/>
  <c r="J24" i="26" a="1"/>
  <c r="J23" i="26" a="1"/>
  <c r="J22" i="26" a="1"/>
  <c r="J21" i="26" a="1"/>
  <c r="J19" i="26" a="1"/>
  <c r="J18" i="26" a="1"/>
  <c r="J17" i="26" a="1"/>
  <c r="J16" i="26" a="1"/>
  <c r="J15" i="26" a="1"/>
  <c r="J14" i="26" a="1"/>
  <c r="J13" i="26" a="1"/>
  <c r="J12" i="26" a="1"/>
  <c r="J11" i="26" a="1"/>
  <c r="J10" i="26" a="1"/>
  <c r="J9" i="26" a="1"/>
  <c r="J8" i="26" a="1"/>
  <c r="J7" i="26" a="1"/>
  <c r="J6" i="26" a="1"/>
  <c r="I64" i="26" a="1"/>
  <c r="I63" i="26" a="1"/>
  <c r="I62" i="26" a="1"/>
  <c r="I61" i="26" a="1"/>
  <c r="I60" i="26" a="1"/>
  <c r="I59" i="26" a="1"/>
  <c r="I58" i="26" a="1"/>
  <c r="I57" i="26" a="1"/>
  <c r="I56" i="26" a="1"/>
  <c r="I55" i="26" a="1"/>
  <c r="I53" i="26" a="1"/>
  <c r="I52" i="26" a="1"/>
  <c r="I51" i="26" a="1"/>
  <c r="I50" i="26" a="1"/>
  <c r="I49" i="26" a="1"/>
  <c r="I48" i="26" a="1"/>
  <c r="I47" i="26" a="1"/>
  <c r="I46" i="26" a="1"/>
  <c r="I45" i="26" a="1"/>
  <c r="I44" i="26" a="1"/>
  <c r="I43" i="26" a="1"/>
  <c r="I42" i="26" a="1"/>
  <c r="I41" i="26" a="1"/>
  <c r="I40" i="26" a="1"/>
  <c r="I39" i="26" a="1"/>
  <c r="I38" i="26" a="1"/>
  <c r="I37" i="26" a="1"/>
  <c r="I36" i="26" a="1"/>
  <c r="I35" i="26" a="1"/>
  <c r="I34" i="26" a="1"/>
  <c r="I32" i="26" a="1"/>
  <c r="I31" i="26" a="1"/>
  <c r="I30" i="26" a="1"/>
  <c r="I29" i="26" a="1"/>
  <c r="I28" i="26" a="1"/>
  <c r="I27" i="26" a="1"/>
  <c r="I26" i="26" a="1"/>
  <c r="I25" i="26" a="1"/>
  <c r="I24" i="26" a="1"/>
  <c r="I23" i="26" a="1"/>
  <c r="I22" i="26" a="1"/>
  <c r="I21" i="26" a="1"/>
  <c r="I19" i="26" a="1"/>
  <c r="I18" i="26" a="1"/>
  <c r="I17" i="26" a="1"/>
  <c r="I16" i="26" a="1"/>
  <c r="I15" i="26" a="1"/>
  <c r="I14" i="26" a="1"/>
  <c r="I13" i="26" a="1"/>
  <c r="I12" i="26" a="1"/>
  <c r="I11" i="26" a="1"/>
  <c r="I10" i="26" a="1"/>
  <c r="I9" i="26" a="1"/>
  <c r="I8" i="26" a="1"/>
  <c r="I7" i="26" a="1"/>
  <c r="I6" i="26" a="1"/>
  <c r="H64" i="26" a="1"/>
  <c r="H63" i="26" a="1"/>
  <c r="H62" i="26" a="1"/>
  <c r="H61" i="26" a="1"/>
  <c r="H60" i="26" a="1"/>
  <c r="H59" i="26" a="1"/>
  <c r="H58" i="26" a="1"/>
  <c r="H57" i="26" a="1"/>
  <c r="H56" i="26" a="1"/>
  <c r="H55" i="26" a="1"/>
  <c r="H53" i="26" a="1"/>
  <c r="H52" i="26" a="1"/>
  <c r="H51" i="26" a="1"/>
  <c r="H50" i="26" a="1"/>
  <c r="H49" i="26" a="1"/>
  <c r="H48" i="26" a="1"/>
  <c r="H47" i="26" a="1"/>
  <c r="H46" i="26" a="1"/>
  <c r="H45" i="26" a="1"/>
  <c r="H44" i="26" a="1"/>
  <c r="H43" i="26" a="1"/>
  <c r="H42" i="26" a="1"/>
  <c r="H41" i="26" a="1"/>
  <c r="H40" i="26" a="1"/>
  <c r="H39" i="26" a="1"/>
  <c r="H38" i="26" a="1"/>
  <c r="H37" i="26" a="1"/>
  <c r="H36" i="26" a="1"/>
  <c r="H35" i="26" a="1"/>
  <c r="H34" i="26" a="1"/>
  <c r="H32" i="26" a="1"/>
  <c r="H31" i="26" a="1"/>
  <c r="H30" i="26" a="1"/>
  <c r="H29" i="26" a="1"/>
  <c r="H28" i="26" a="1"/>
  <c r="H27" i="26" a="1"/>
  <c r="H26" i="26" a="1"/>
  <c r="H25" i="26" a="1"/>
  <c r="H24" i="26" a="1"/>
  <c r="H23" i="26" a="1"/>
  <c r="H22" i="26" a="1"/>
  <c r="H21" i="26" a="1"/>
  <c r="H19" i="26" a="1"/>
  <c r="H18" i="26" a="1"/>
  <c r="H17" i="26" a="1"/>
  <c r="H16" i="26" a="1"/>
  <c r="H15" i="26" a="1"/>
  <c r="H14" i="26" a="1"/>
  <c r="H13" i="26" a="1"/>
  <c r="H12" i="26" a="1"/>
  <c r="H11" i="26" a="1"/>
  <c r="H10" i="26" a="1"/>
  <c r="H9" i="26" a="1"/>
  <c r="H8" i="26" a="1"/>
  <c r="H7" i="26" a="1"/>
  <c r="H6" i="26" a="1"/>
  <c r="F64" i="26" a="1"/>
  <c r="F63" i="26" a="1"/>
  <c r="F62" i="26" a="1"/>
  <c r="F61" i="26" a="1"/>
  <c r="F60" i="26" a="1"/>
  <c r="F59" i="26" a="1"/>
  <c r="F58" i="26" a="1"/>
  <c r="F57" i="26" a="1"/>
  <c r="F56" i="26" a="1"/>
  <c r="F55" i="26" a="1"/>
  <c r="F53" i="26" a="1"/>
  <c r="F52" i="26" a="1"/>
  <c r="F51" i="26" a="1"/>
  <c r="F50" i="26" a="1"/>
  <c r="F49" i="26" a="1"/>
  <c r="F48" i="26" a="1"/>
  <c r="F47" i="26" a="1"/>
  <c r="F46" i="26" a="1"/>
  <c r="F45" i="26" a="1"/>
  <c r="F44" i="26" a="1"/>
  <c r="F43" i="26" a="1"/>
  <c r="F42" i="26" a="1"/>
  <c r="F41" i="26" a="1"/>
  <c r="F40" i="26" a="1"/>
  <c r="F39" i="26" a="1"/>
  <c r="F38" i="26" a="1"/>
  <c r="F37" i="26" a="1"/>
  <c r="F36" i="26" a="1"/>
  <c r="F35" i="26" a="1"/>
  <c r="F34" i="26" a="1"/>
  <c r="F32" i="26" a="1"/>
  <c r="F31" i="26" a="1"/>
  <c r="F30" i="26" a="1"/>
  <c r="F29" i="26" a="1"/>
  <c r="F28" i="26" a="1"/>
  <c r="F27" i="26" a="1"/>
  <c r="F26" i="26" a="1"/>
  <c r="F25" i="26" a="1"/>
  <c r="F24" i="26" a="1"/>
  <c r="F23" i="26" a="1"/>
  <c r="F22" i="26" a="1"/>
  <c r="F21" i="26" a="1"/>
  <c r="F19" i="26" a="1"/>
  <c r="F18" i="26" a="1"/>
  <c r="F17" i="26" a="1"/>
  <c r="F16" i="26" a="1"/>
  <c r="F15" i="26" a="1"/>
  <c r="F14" i="26" a="1"/>
  <c r="F13" i="26" a="1"/>
  <c r="F12" i="26" a="1"/>
  <c r="F11" i="26" a="1"/>
  <c r="F10" i="26" a="1"/>
  <c r="F9" i="26" a="1"/>
  <c r="F8" i="26" a="1"/>
  <c r="F7" i="26" a="1"/>
  <c r="F6" i="26" a="1"/>
  <c r="E64" i="26" a="1"/>
  <c r="E63" i="26" a="1"/>
  <c r="E62" i="26" a="1"/>
  <c r="E61" i="26" a="1"/>
  <c r="E60" i="26" a="1"/>
  <c r="E59" i="26" a="1"/>
  <c r="E58" i="26" a="1"/>
  <c r="E57" i="26" a="1"/>
  <c r="E56" i="26" a="1"/>
  <c r="E55" i="26" a="1"/>
  <c r="E53" i="26" a="1"/>
  <c r="E52" i="26" a="1"/>
  <c r="E51" i="26" a="1"/>
  <c r="E50" i="26" a="1"/>
  <c r="E49" i="26" a="1"/>
  <c r="E48" i="26" a="1"/>
  <c r="E47" i="26" a="1"/>
  <c r="E46" i="26" a="1"/>
  <c r="E45" i="26" a="1"/>
  <c r="E44" i="26" a="1"/>
  <c r="E43" i="26" a="1"/>
  <c r="E42" i="26" a="1"/>
  <c r="E41" i="26" a="1"/>
  <c r="E40" i="26" a="1"/>
  <c r="E39" i="26" a="1"/>
  <c r="E38" i="26" a="1"/>
  <c r="E37" i="26" a="1"/>
  <c r="E36" i="26" a="1"/>
  <c r="E35" i="26" a="1"/>
  <c r="E34" i="26" a="1"/>
  <c r="E32" i="26" a="1"/>
  <c r="E31" i="26" a="1"/>
  <c r="E30" i="26" a="1"/>
  <c r="E29" i="26" a="1"/>
  <c r="E28" i="26" a="1"/>
  <c r="E27" i="26" a="1"/>
  <c r="E26" i="26" a="1"/>
  <c r="E25" i="26" a="1"/>
  <c r="E24" i="26" a="1"/>
  <c r="E23" i="26" a="1"/>
  <c r="E22" i="26" a="1"/>
  <c r="E21" i="26" a="1"/>
  <c r="E19" i="26" a="1"/>
  <c r="E18" i="26" a="1"/>
  <c r="E17" i="26" a="1"/>
  <c r="E16" i="26" a="1"/>
  <c r="E15" i="26" a="1"/>
  <c r="E14" i="26" a="1"/>
  <c r="E13" i="26" a="1"/>
  <c r="E12" i="26" a="1"/>
  <c r="E11" i="26" a="1"/>
  <c r="E10" i="26" a="1"/>
  <c r="E9" i="26" a="1"/>
  <c r="E8" i="26" a="1"/>
  <c r="E7" i="26" a="1"/>
  <c r="E6" i="26" a="1"/>
  <c r="AD35" i="25" a="1"/>
  <c r="AD34" i="25" a="1"/>
  <c r="AD33" i="25" a="1"/>
  <c r="AD32" i="25" a="1"/>
  <c r="AD31" i="25" a="1"/>
  <c r="AD30" i="25" a="1"/>
  <c r="AD29" i="25" a="1"/>
  <c r="AD28" i="25" a="1"/>
  <c r="AD27" i="25" a="1"/>
  <c r="AD26" i="25" a="1"/>
  <c r="AD25" i="25" a="1"/>
  <c r="AD24" i="25" a="1"/>
  <c r="AD23" i="25" a="1"/>
  <c r="AD22" i="25" a="1"/>
  <c r="AD21" i="25" a="1"/>
  <c r="AD20" i="25" a="1"/>
  <c r="AD19" i="25" a="1"/>
  <c r="AD18" i="25" a="1"/>
  <c r="AD17" i="25" a="1"/>
  <c r="AD16" i="25" a="1"/>
  <c r="AD15" i="25" a="1"/>
  <c r="AD14" i="25" a="1"/>
  <c r="AD13" i="25" a="1"/>
  <c r="AD12" i="25" a="1"/>
  <c r="AD11" i="25" a="1"/>
  <c r="AD10" i="25" a="1"/>
  <c r="AD9" i="25" a="1"/>
  <c r="AD8" i="25" a="1"/>
  <c r="AD7" i="25" a="1"/>
  <c r="AD6" i="25" a="1"/>
  <c r="X35" i="25" a="1"/>
  <c r="X34" i="25" a="1"/>
  <c r="X33" i="25" a="1"/>
  <c r="X32" i="25" a="1"/>
  <c r="X31" i="25" a="1"/>
  <c r="X30" i="25" a="1"/>
  <c r="X29" i="25" a="1"/>
  <c r="X28" i="25" a="1"/>
  <c r="X27" i="25" a="1"/>
  <c r="X26" i="25" a="1"/>
  <c r="X25" i="25" a="1"/>
  <c r="X24" i="25" a="1"/>
  <c r="X23" i="25" a="1"/>
  <c r="X22" i="25" a="1"/>
  <c r="X21" i="25" a="1"/>
  <c r="X20" i="25" a="1"/>
  <c r="X19" i="25" a="1"/>
  <c r="X18" i="25" a="1"/>
  <c r="X17" i="25" a="1"/>
  <c r="X16" i="25" a="1"/>
  <c r="X15" i="25" a="1"/>
  <c r="X14" i="25" a="1"/>
  <c r="X13" i="25" a="1"/>
  <c r="X12" i="25" a="1"/>
  <c r="X11" i="25" a="1"/>
  <c r="X10" i="25" a="1"/>
  <c r="X9" i="25" a="1"/>
  <c r="X8" i="25" a="1"/>
  <c r="X7" i="25" a="1"/>
  <c r="X6" i="25" a="1"/>
  <c r="M35" i="25" a="1"/>
  <c r="M34" i="25" a="1"/>
  <c r="M33" i="25" a="1"/>
  <c r="M32" i="25" a="1"/>
  <c r="M31" i="25" a="1"/>
  <c r="M30" i="25" a="1"/>
  <c r="M29" i="25" a="1"/>
  <c r="M28" i="25" a="1"/>
  <c r="M27" i="25" a="1"/>
  <c r="M26" i="25" a="1"/>
  <c r="M25" i="25" a="1"/>
  <c r="M24" i="25" a="1"/>
  <c r="M23" i="25" a="1"/>
  <c r="M22" i="25" a="1"/>
  <c r="M21" i="25" a="1"/>
  <c r="M20" i="25" a="1"/>
  <c r="M19" i="25" a="1"/>
  <c r="M18" i="25" a="1"/>
  <c r="M17" i="25" a="1"/>
  <c r="M16" i="25" a="1"/>
  <c r="M15" i="25" a="1"/>
  <c r="M14" i="25" a="1"/>
  <c r="M13" i="25" a="1"/>
  <c r="M12" i="25" a="1"/>
  <c r="M11" i="25" a="1"/>
  <c r="M10" i="25" a="1"/>
  <c r="M9" i="25" a="1"/>
  <c r="M8" i="25" a="1"/>
  <c r="M7" i="25" a="1"/>
  <c r="M6" i="25" a="1"/>
  <c r="J35" i="25" a="1"/>
  <c r="J34" i="25" a="1"/>
  <c r="J33" i="25" a="1"/>
  <c r="J32" i="25" a="1"/>
  <c r="J31" i="25" a="1"/>
  <c r="J30" i="25" a="1"/>
  <c r="J29" i="25" a="1"/>
  <c r="J28" i="25" a="1"/>
  <c r="J27" i="25" a="1"/>
  <c r="J26" i="25" a="1"/>
  <c r="J25" i="25" a="1"/>
  <c r="J24" i="25" a="1"/>
  <c r="J23" i="25" a="1"/>
  <c r="J22" i="25" a="1"/>
  <c r="J21" i="25" a="1"/>
  <c r="J20" i="25" a="1"/>
  <c r="J19" i="25" a="1"/>
  <c r="J18" i="25" a="1"/>
  <c r="J17" i="25" a="1"/>
  <c r="J16" i="25" a="1"/>
  <c r="J15" i="25" a="1"/>
  <c r="J14" i="25" a="1"/>
  <c r="J13" i="25" a="1"/>
  <c r="J12" i="25" a="1"/>
  <c r="J11" i="25" a="1"/>
  <c r="J10" i="25" a="1"/>
  <c r="J9" i="25" a="1"/>
  <c r="J8" i="25" a="1"/>
  <c r="J7" i="25" a="1"/>
  <c r="J6" i="25" a="1"/>
  <c r="I35" i="25" a="1"/>
  <c r="I34" i="25" a="1"/>
  <c r="I33" i="25" a="1"/>
  <c r="I32" i="25" a="1"/>
  <c r="I31" i="25" a="1"/>
  <c r="I30" i="25" a="1"/>
  <c r="I29" i="25" a="1"/>
  <c r="I28" i="25" a="1"/>
  <c r="I27" i="25" a="1"/>
  <c r="I26" i="25" a="1"/>
  <c r="I25" i="25" a="1"/>
  <c r="I24" i="25" a="1"/>
  <c r="I23" i="25" a="1"/>
  <c r="I22" i="25" a="1"/>
  <c r="I21" i="25" a="1"/>
  <c r="I20" i="25" a="1"/>
  <c r="I19" i="25" a="1"/>
  <c r="I18" i="25" a="1"/>
  <c r="I17" i="25" a="1"/>
  <c r="I16" i="25" a="1"/>
  <c r="I15" i="25" a="1"/>
  <c r="I14" i="25" a="1"/>
  <c r="I13" i="25" a="1"/>
  <c r="I12" i="25" a="1"/>
  <c r="I11" i="25" a="1"/>
  <c r="I10" i="25" a="1"/>
  <c r="I9" i="25" a="1"/>
  <c r="I8" i="25" a="1"/>
  <c r="I7" i="25" a="1"/>
  <c r="I6" i="25" a="1"/>
  <c r="H35" i="25" a="1"/>
  <c r="H34" i="25" a="1"/>
  <c r="H33" i="25" a="1"/>
  <c r="H32" i="25" a="1"/>
  <c r="H31" i="25" a="1"/>
  <c r="H30" i="25" a="1"/>
  <c r="H29" i="25" a="1"/>
  <c r="H28" i="25" a="1"/>
  <c r="H27" i="25" a="1"/>
  <c r="AE27" i="25" s="1"/>
  <c r="H26" i="25" a="1"/>
  <c r="AE26" i="25" s="1"/>
  <c r="H25" i="25" a="1"/>
  <c r="AE25" i="25" s="1"/>
  <c r="H24" i="25" a="1"/>
  <c r="AE24" i="25" s="1"/>
  <c r="H23" i="25" a="1"/>
  <c r="AE23" i="25" s="1"/>
  <c r="H22" i="25" a="1"/>
  <c r="AE22" i="25" s="1"/>
  <c r="H21" i="25" a="1"/>
  <c r="AE21" i="25" s="1"/>
  <c r="H20" i="25" a="1"/>
  <c r="AE20" i="25" s="1"/>
  <c r="H19" i="25" a="1"/>
  <c r="H18" i="25" a="1"/>
  <c r="H17" i="25" a="1"/>
  <c r="H16" i="25" a="1"/>
  <c r="H15" i="25" a="1"/>
  <c r="H14" i="25" a="1"/>
  <c r="H13" i="25" a="1"/>
  <c r="H12" i="25" a="1"/>
  <c r="H11" i="25" a="1"/>
  <c r="H10" i="25" a="1"/>
  <c r="H9" i="25" a="1"/>
  <c r="H8" i="25" a="1"/>
  <c r="H7" i="25" a="1"/>
  <c r="H6" i="25" a="1"/>
  <c r="F35" i="25" a="1"/>
  <c r="F34" i="25" a="1"/>
  <c r="F33" i="25" a="1"/>
  <c r="F32" i="25" a="1"/>
  <c r="F31" i="25" a="1"/>
  <c r="F30" i="25" a="1"/>
  <c r="F29" i="25" a="1"/>
  <c r="F28" i="25" a="1"/>
  <c r="F27" i="25" a="1"/>
  <c r="F26" i="25" a="1"/>
  <c r="F25" i="25" a="1"/>
  <c r="F24" i="25" a="1"/>
  <c r="F23" i="25" a="1"/>
  <c r="F22" i="25" a="1"/>
  <c r="F21" i="25" a="1"/>
  <c r="F20" i="25" a="1"/>
  <c r="F19" i="25" a="1"/>
  <c r="F18" i="25" a="1"/>
  <c r="F17" i="25" a="1"/>
  <c r="F16" i="25" a="1"/>
  <c r="F15" i="25" a="1"/>
  <c r="F14" i="25" a="1"/>
  <c r="F13" i="25" a="1"/>
  <c r="F12" i="25" a="1"/>
  <c r="F11" i="25" a="1"/>
  <c r="F10" i="25" a="1"/>
  <c r="F9" i="25" a="1"/>
  <c r="F8" i="25" a="1"/>
  <c r="F7" i="25" a="1"/>
  <c r="F6" i="25" a="1"/>
  <c r="E35" i="25" a="1"/>
  <c r="E34" i="25" a="1"/>
  <c r="E33" i="25" a="1"/>
  <c r="E32" i="25" a="1"/>
  <c r="E31" i="25" a="1"/>
  <c r="E30" i="25" a="1"/>
  <c r="E29" i="25" a="1"/>
  <c r="E28" i="25" a="1"/>
  <c r="E27" i="25" a="1"/>
  <c r="E26" i="25" a="1"/>
  <c r="E25" i="25" a="1"/>
  <c r="E24" i="25" a="1"/>
  <c r="E23" i="25" a="1"/>
  <c r="E22" i="25" a="1"/>
  <c r="E21" i="25" a="1"/>
  <c r="E20" i="25" a="1"/>
  <c r="E19" i="25" a="1"/>
  <c r="E18" i="25" a="1"/>
  <c r="E17" i="25" a="1"/>
  <c r="E16" i="25" a="1"/>
  <c r="E15" i="25" a="1"/>
  <c r="E14" i="25" a="1"/>
  <c r="E13" i="25" a="1"/>
  <c r="E12" i="25" a="1"/>
  <c r="E11" i="25" a="1"/>
  <c r="E10" i="25" a="1"/>
  <c r="E9" i="25" a="1"/>
  <c r="E8" i="25" a="1"/>
  <c r="E7" i="25" a="1"/>
  <c r="E6" i="25" a="1"/>
  <c r="W41" i="23" a="1"/>
  <c r="V41" i="23" a="1"/>
  <c r="W39" i="23" a="1"/>
  <c r="V39" i="23" a="1"/>
  <c r="W37" i="23" a="1"/>
  <c r="V37" i="23" a="1"/>
  <c r="W35" i="23" a="1"/>
  <c r="V35" i="23" a="1"/>
  <c r="W31" i="23" a="1"/>
  <c r="V31" i="23" a="1"/>
  <c r="W27" i="23" a="1"/>
  <c r="V27" i="23" a="1"/>
  <c r="W22" i="23" a="1"/>
  <c r="W20" i="23" a="1"/>
  <c r="W18" i="23" a="1"/>
  <c r="W14" i="23" a="1"/>
  <c r="W12" i="23" a="1"/>
  <c r="W10" i="23" a="1"/>
  <c r="W8" i="23" a="1"/>
  <c r="W6" i="23" a="1"/>
  <c r="V22" i="23" a="1"/>
  <c r="V20" i="23" a="1"/>
  <c r="V18" i="23" a="1"/>
  <c r="V14" i="23" a="1"/>
  <c r="V12" i="23" a="1"/>
  <c r="V10" i="23" a="1"/>
  <c r="V8" i="23" a="1"/>
  <c r="V6" i="23" a="1"/>
  <c r="S41" i="23" a="1"/>
  <c r="S39" i="23" a="1"/>
  <c r="S37" i="23" a="1"/>
  <c r="S35" i="23" a="1"/>
  <c r="S31" i="23" a="1"/>
  <c r="S27" i="23" a="1"/>
  <c r="S22" i="23" a="1"/>
  <c r="S20" i="23" a="1"/>
  <c r="S18" i="23" a="1"/>
  <c r="S14" i="23" a="1"/>
  <c r="S12" i="23" a="1"/>
  <c r="S10" i="23" a="1"/>
  <c r="S8" i="23" a="1"/>
  <c r="S6" i="23" a="1"/>
  <c r="R41" i="23" a="1"/>
  <c r="R39" i="23" a="1"/>
  <c r="R37" i="23" a="1"/>
  <c r="R35" i="23" a="1"/>
  <c r="R31" i="23" a="1"/>
  <c r="R27" i="23" a="1"/>
  <c r="R22" i="23" a="1"/>
  <c r="R20" i="23" a="1"/>
  <c r="R18" i="23" a="1"/>
  <c r="R14" i="23" a="1"/>
  <c r="R12" i="23" a="1"/>
  <c r="R10" i="23" a="1"/>
  <c r="R8" i="23" a="1"/>
  <c r="R6" i="23" a="1"/>
  <c r="AD26" i="23" a="1"/>
  <c r="AD25" i="23" a="1"/>
  <c r="AD7" i="23" a="1"/>
  <c r="AD6" i="23" a="1"/>
  <c r="X26" i="23" a="1"/>
  <c r="X25" i="23" a="1"/>
  <c r="X7" i="23" a="1"/>
  <c r="X6" i="23" a="1"/>
  <c r="M26" i="23" a="1"/>
  <c r="M25" i="23" a="1"/>
  <c r="M7" i="23" a="1"/>
  <c r="M6" i="23" a="1"/>
  <c r="J26" i="23" a="1"/>
  <c r="J25" i="23" a="1"/>
  <c r="J7" i="23" a="1"/>
  <c r="J6" i="23" a="1"/>
  <c r="I26" i="23" a="1"/>
  <c r="I25" i="23" a="1"/>
  <c r="I7" i="23" a="1"/>
  <c r="I6" i="23" a="1"/>
  <c r="H26" i="23" a="1"/>
  <c r="H25" i="23" a="1"/>
  <c r="H7" i="23" a="1"/>
  <c r="H6" i="23" a="1"/>
  <c r="AE25" i="20" a="1"/>
  <c r="AE24" i="20" a="1"/>
  <c r="AE23" i="20" a="1"/>
  <c r="AE22" i="20" a="1"/>
  <c r="AE21" i="20" a="1"/>
  <c r="AE20" i="20" a="1"/>
  <c r="Y25" i="20" a="1"/>
  <c r="Y24" i="20" a="1"/>
  <c r="Y23" i="20" a="1"/>
  <c r="Y22" i="20" a="1"/>
  <c r="Y21" i="20" a="1"/>
  <c r="Y20" i="20" a="1"/>
  <c r="N24" i="20" a="1"/>
  <c r="N22" i="20" a="1"/>
  <c r="N20" i="20" a="1"/>
  <c r="N8" i="20" a="1"/>
  <c r="J25" i="20" a="1"/>
  <c r="I25" i="20" a="1"/>
  <c r="J24" i="20" a="1"/>
  <c r="I24" i="20" a="1"/>
  <c r="J23" i="20" a="1"/>
  <c r="I23" i="20" a="1"/>
  <c r="J22" i="20" a="1"/>
  <c r="I22" i="20" a="1"/>
  <c r="J21" i="20" a="1"/>
  <c r="I21" i="20" a="1"/>
  <c r="J20" i="20" a="1"/>
  <c r="I20" i="20" a="1"/>
  <c r="B9" i="15" a="1"/>
  <c r="B4" i="15" a="1"/>
  <c r="B41" i="23"/>
  <c r="B39" i="23"/>
  <c r="B37" i="23"/>
  <c r="B35" i="23"/>
  <c r="B33" i="23"/>
  <c r="B31" i="23"/>
  <c r="B29" i="23"/>
  <c r="B27" i="23"/>
  <c r="B25" i="23"/>
  <c r="B22" i="23"/>
  <c r="B20" i="23"/>
  <c r="B18" i="23"/>
  <c r="B16" i="23"/>
  <c r="B14" i="23"/>
  <c r="B12" i="23"/>
  <c r="B8" i="23"/>
  <c r="B6" i="23"/>
  <c r="B10" i="23"/>
  <c r="AI1" i="26"/>
  <c r="I7" i="15" s="1"/>
  <c r="AD25" i="20"/>
  <c r="D25" i="20"/>
  <c r="AD24" i="20"/>
  <c r="D24" i="20"/>
  <c r="AD23" i="20"/>
  <c r="D23" i="20"/>
  <c r="AD22" i="20"/>
  <c r="D22" i="20"/>
  <c r="J3" i="24" a="1"/>
  <c r="J4" i="24" a="1"/>
  <c r="J5" i="24" a="1"/>
  <c r="J6" i="24" a="1"/>
  <c r="J7" i="24" a="1"/>
  <c r="J8" i="24" a="1"/>
  <c r="J9" i="24" a="1"/>
  <c r="J10" i="24" a="1"/>
  <c r="J11" i="24" a="1"/>
  <c r="J12" i="24" a="1"/>
  <c r="J13" i="24" a="1"/>
  <c r="J14" i="24" a="1"/>
  <c r="J15" i="24" a="1"/>
  <c r="J16" i="24" a="1"/>
  <c r="J17" i="24" a="1"/>
  <c r="J18" i="24" a="1"/>
  <c r="J19" i="24" a="1"/>
  <c r="J20" i="24" a="1"/>
  <c r="J21" i="24" a="1"/>
  <c r="J22" i="24" a="1"/>
  <c r="J23" i="24" a="1"/>
  <c r="J24" i="24" a="1"/>
  <c r="J25" i="24" a="1"/>
  <c r="J2" i="24" a="1"/>
  <c r="K3" i="24" a="1"/>
  <c r="Q3" i="24" s="1"/>
  <c r="K4" i="24" a="1"/>
  <c r="K5" i="24" a="1"/>
  <c r="K6" i="24" a="1"/>
  <c r="K7" i="24" a="1"/>
  <c r="K8" i="24" a="1"/>
  <c r="K9" i="24" a="1"/>
  <c r="K10" i="24" a="1"/>
  <c r="K11" i="24" a="1"/>
  <c r="K12" i="24" a="1"/>
  <c r="K13" i="24" a="1"/>
  <c r="K14" i="24" a="1"/>
  <c r="Q14" i="24" s="1"/>
  <c r="K15" i="24" a="1"/>
  <c r="Q15" i="24" s="1"/>
  <c r="K16" i="24" a="1"/>
  <c r="Q16" i="24" s="1"/>
  <c r="K17" i="24" a="1"/>
  <c r="Q17" i="24" s="1"/>
  <c r="K18" i="24" a="1"/>
  <c r="Q18" i="24" s="1"/>
  <c r="K19" i="24" a="1"/>
  <c r="Q19" i="24" s="1"/>
  <c r="K20" i="24" a="1"/>
  <c r="Q20" i="24" s="1"/>
  <c r="K21" i="24" a="1"/>
  <c r="Q21" i="24" s="1"/>
  <c r="K22" i="24" a="1"/>
  <c r="Q22" i="24" s="1"/>
  <c r="K23" i="24" a="1"/>
  <c r="Q23" i="24" s="1"/>
  <c r="K24" i="24" a="1"/>
  <c r="K25" i="24" a="1"/>
  <c r="K2" i="24" a="1"/>
  <c r="Q2" i="24" s="1"/>
  <c r="I25" i="24"/>
  <c r="I24" i="24"/>
  <c r="I23" i="24"/>
  <c r="I22" i="24"/>
  <c r="I21" i="24"/>
  <c r="I20" i="24"/>
  <c r="I19" i="24"/>
  <c r="I18" i="24"/>
  <c r="I17" i="24"/>
  <c r="I16" i="24"/>
  <c r="I15" i="24"/>
  <c r="I14" i="24"/>
  <c r="I13" i="24"/>
  <c r="I12" i="24"/>
  <c r="I11" i="24"/>
  <c r="I10" i="24"/>
  <c r="I9" i="24"/>
  <c r="I8" i="24"/>
  <c r="I7" i="24"/>
  <c r="I6" i="24"/>
  <c r="I5" i="24"/>
  <c r="I4" i="24"/>
  <c r="I3" i="24"/>
  <c r="I2" i="24"/>
  <c r="H9" i="15"/>
  <c r="A25" i="24"/>
  <c r="A24" i="24"/>
  <c r="A23" i="24"/>
  <c r="A22" i="24"/>
  <c r="AD21" i="20"/>
  <c r="D21" i="20"/>
  <c r="AD20" i="20"/>
  <c r="D20" i="20"/>
  <c r="C27" i="25"/>
  <c r="C26" i="25"/>
  <c r="C25" i="25"/>
  <c r="C24" i="25"/>
  <c r="C23" i="25"/>
  <c r="C22" i="25"/>
  <c r="C21" i="25"/>
  <c r="C20" i="25"/>
  <c r="AC23" i="25"/>
  <c r="AC22" i="25"/>
  <c r="AC21" i="25"/>
  <c r="AC20" i="25"/>
  <c r="AC27" i="25"/>
  <c r="AC26" i="25"/>
  <c r="AC25" i="25"/>
  <c r="AC24" i="25"/>
  <c r="A23" i="25"/>
  <c r="A22" i="25"/>
  <c r="A21" i="25"/>
  <c r="A20" i="25"/>
  <c r="A27" i="25"/>
  <c r="A26" i="25"/>
  <c r="A25" i="25"/>
  <c r="A24" i="25"/>
  <c r="H8" i="15"/>
  <c r="AC64" i="26"/>
  <c r="C64" i="26"/>
  <c r="A64" i="26"/>
  <c r="AC63" i="26"/>
  <c r="C63" i="26"/>
  <c r="A63" i="26"/>
  <c r="AC62" i="26"/>
  <c r="C62" i="26"/>
  <c r="A62" i="26"/>
  <c r="AC61" i="26"/>
  <c r="C61" i="26"/>
  <c r="A61" i="26"/>
  <c r="AC60" i="26"/>
  <c r="C60" i="26"/>
  <c r="A60" i="26"/>
  <c r="AC59" i="26"/>
  <c r="C59" i="26"/>
  <c r="A59" i="26"/>
  <c r="AC58" i="26"/>
  <c r="C58" i="26"/>
  <c r="A58" i="26"/>
  <c r="AC57" i="26"/>
  <c r="C57" i="26"/>
  <c r="A57" i="26"/>
  <c r="AC56" i="26"/>
  <c r="C56" i="26"/>
  <c r="A56" i="26"/>
  <c r="AC55" i="26"/>
  <c r="C55" i="26"/>
  <c r="A55" i="26"/>
  <c r="AC32" i="26"/>
  <c r="C32" i="26"/>
  <c r="A32" i="26"/>
  <c r="AC31" i="26"/>
  <c r="C31" i="26"/>
  <c r="A31" i="26"/>
  <c r="AC30" i="26"/>
  <c r="C30" i="26"/>
  <c r="A30" i="26"/>
  <c r="AC29" i="26"/>
  <c r="C29" i="26"/>
  <c r="A29" i="26"/>
  <c r="AC28" i="26"/>
  <c r="C28" i="26"/>
  <c r="A28" i="26"/>
  <c r="AC27" i="26"/>
  <c r="C27" i="26"/>
  <c r="A27" i="26"/>
  <c r="AC26" i="26"/>
  <c r="C26" i="26"/>
  <c r="A26" i="26"/>
  <c r="AC25" i="26"/>
  <c r="C25" i="26"/>
  <c r="A25" i="26"/>
  <c r="AC24" i="26"/>
  <c r="C24" i="26"/>
  <c r="A24" i="26"/>
  <c r="AC23" i="26"/>
  <c r="C23" i="26"/>
  <c r="A23" i="26"/>
  <c r="AC22" i="26"/>
  <c r="C22" i="26"/>
  <c r="A22" i="26"/>
  <c r="AC21" i="26"/>
  <c r="C21" i="26"/>
  <c r="A21" i="26"/>
  <c r="AC19" i="26"/>
  <c r="C19" i="26"/>
  <c r="A19" i="26"/>
  <c r="AC18" i="26"/>
  <c r="C18" i="26"/>
  <c r="A18" i="26"/>
  <c r="AC17" i="26"/>
  <c r="C17" i="26"/>
  <c r="A17" i="26"/>
  <c r="AC16" i="26"/>
  <c r="C16" i="26"/>
  <c r="A16" i="26"/>
  <c r="AC15" i="26"/>
  <c r="C15" i="26"/>
  <c r="A15" i="26"/>
  <c r="AC14" i="26"/>
  <c r="C14" i="26"/>
  <c r="A14" i="26"/>
  <c r="AC13" i="26"/>
  <c r="C13" i="26"/>
  <c r="A13" i="26"/>
  <c r="AC12" i="26"/>
  <c r="C12" i="26"/>
  <c r="A12" i="26"/>
  <c r="AC11" i="26"/>
  <c r="C11" i="26"/>
  <c r="A11" i="26"/>
  <c r="AC10" i="26"/>
  <c r="C10" i="26"/>
  <c r="A10" i="26"/>
  <c r="AC9" i="26"/>
  <c r="C9" i="26"/>
  <c r="A9" i="26"/>
  <c r="AC8" i="26"/>
  <c r="C8" i="26"/>
  <c r="A8" i="26"/>
  <c r="AC7" i="26"/>
  <c r="C7" i="26"/>
  <c r="A7" i="26"/>
  <c r="AC6" i="26"/>
  <c r="C6" i="26"/>
  <c r="A6" i="26"/>
  <c r="AC53" i="26"/>
  <c r="C53" i="26"/>
  <c r="A53" i="26"/>
  <c r="AC52" i="26"/>
  <c r="C52" i="26"/>
  <c r="A52" i="26"/>
  <c r="AC51" i="26"/>
  <c r="C51" i="26"/>
  <c r="A51" i="26"/>
  <c r="AC50" i="26"/>
  <c r="C50" i="26"/>
  <c r="A50" i="26"/>
  <c r="AC49" i="26"/>
  <c r="C49" i="26"/>
  <c r="A49" i="26"/>
  <c r="AC48" i="26"/>
  <c r="C48" i="26"/>
  <c r="A48" i="26"/>
  <c r="AC47" i="26"/>
  <c r="C47" i="26"/>
  <c r="A47" i="26"/>
  <c r="AC46" i="26"/>
  <c r="C46" i="26"/>
  <c r="A46" i="26"/>
  <c r="AC45" i="26"/>
  <c r="C45" i="26"/>
  <c r="A45" i="26"/>
  <c r="AC44" i="26"/>
  <c r="C44" i="26"/>
  <c r="A44" i="26"/>
  <c r="AC43" i="26"/>
  <c r="C43" i="26"/>
  <c r="A43" i="26"/>
  <c r="AC42" i="26"/>
  <c r="C42" i="26"/>
  <c r="A42" i="26"/>
  <c r="AC41" i="26"/>
  <c r="C41" i="26"/>
  <c r="A41" i="26"/>
  <c r="AC40" i="26"/>
  <c r="C40" i="26"/>
  <c r="A40" i="26"/>
  <c r="AC39" i="26"/>
  <c r="C39" i="26"/>
  <c r="A39" i="26"/>
  <c r="AC38" i="26"/>
  <c r="C38" i="26"/>
  <c r="A38" i="26"/>
  <c r="AC37" i="26"/>
  <c r="C37" i="26"/>
  <c r="A37" i="26"/>
  <c r="AC36" i="26"/>
  <c r="C36" i="26"/>
  <c r="A36" i="26"/>
  <c r="AC35" i="26"/>
  <c r="C35" i="26"/>
  <c r="A35" i="26"/>
  <c r="AC34" i="26"/>
  <c r="C34" i="26"/>
  <c r="A34" i="26"/>
  <c r="AC5" i="26"/>
  <c r="X1" i="26"/>
  <c r="AC13" i="29" a="1"/>
  <c r="AC14" i="29" a="1"/>
  <c r="AC15" i="29" a="1"/>
  <c r="AC16" i="29" a="1"/>
  <c r="AC17" i="29" a="1"/>
  <c r="AC18" i="29" a="1"/>
  <c r="AC12" i="29" a="1"/>
  <c r="AC11" i="29" a="1"/>
  <c r="AC10" i="29" a="1"/>
  <c r="AC9" i="29" a="1"/>
  <c r="AC8" i="29" a="1"/>
  <c r="AC7" i="29" a="1"/>
  <c r="AC6" i="29" a="1"/>
  <c r="AC5" i="29" a="1"/>
  <c r="X1" i="29"/>
  <c r="AB18" i="29"/>
  <c r="B18" i="29"/>
  <c r="A18" i="29"/>
  <c r="AB17" i="29"/>
  <c r="B17" i="29"/>
  <c r="A17" i="29"/>
  <c r="AB16" i="29"/>
  <c r="B16" i="29"/>
  <c r="A16" i="29"/>
  <c r="AB15" i="29"/>
  <c r="B15" i="29"/>
  <c r="A15" i="29"/>
  <c r="AB14" i="29"/>
  <c r="B14" i="29"/>
  <c r="A14" i="29"/>
  <c r="AB13" i="29"/>
  <c r="B13" i="29"/>
  <c r="A13" i="29"/>
  <c r="AB12" i="29"/>
  <c r="B12" i="29"/>
  <c r="A12" i="29"/>
  <c r="AB11" i="29"/>
  <c r="B11" i="29"/>
  <c r="A11" i="29"/>
  <c r="AB10" i="29"/>
  <c r="B10" i="29"/>
  <c r="A10" i="29"/>
  <c r="AB9" i="29"/>
  <c r="B9" i="29"/>
  <c r="A9" i="29"/>
  <c r="AB8" i="29"/>
  <c r="B8" i="29"/>
  <c r="A8" i="29"/>
  <c r="AB7" i="29"/>
  <c r="B7" i="29"/>
  <c r="A7" i="29"/>
  <c r="AB6" i="29"/>
  <c r="B6" i="29"/>
  <c r="A6" i="29"/>
  <c r="AB5" i="29"/>
  <c r="B5" i="29"/>
  <c r="A5" i="29"/>
  <c r="AB4" i="29"/>
  <c r="AC33" i="25"/>
  <c r="C33" i="25"/>
  <c r="A33" i="25"/>
  <c r="AC32" i="25"/>
  <c r="C32" i="25"/>
  <c r="A32" i="25"/>
  <c r="AC9" i="25"/>
  <c r="C9" i="25"/>
  <c r="A9" i="25"/>
  <c r="AC8" i="25"/>
  <c r="C8" i="25"/>
  <c r="A8" i="25"/>
  <c r="AC7" i="25"/>
  <c r="C7" i="25"/>
  <c r="A7" i="25"/>
  <c r="AC6" i="25"/>
  <c r="C6" i="25"/>
  <c r="A6" i="25"/>
  <c r="AC29" i="25"/>
  <c r="C29" i="25"/>
  <c r="A29" i="25"/>
  <c r="AC28" i="25"/>
  <c r="C28" i="25"/>
  <c r="A28" i="25"/>
  <c r="AC19" i="25"/>
  <c r="C19" i="25"/>
  <c r="A19" i="25"/>
  <c r="AC18" i="25"/>
  <c r="C18" i="25"/>
  <c r="A18" i="25"/>
  <c r="AC35" i="25"/>
  <c r="C35" i="25"/>
  <c r="A35" i="25"/>
  <c r="AC34" i="25"/>
  <c r="C34" i="25"/>
  <c r="A34" i="25"/>
  <c r="AC7" i="23"/>
  <c r="AC6" i="23"/>
  <c r="AD5" i="20"/>
  <c r="AC5" i="23"/>
  <c r="AC5" i="25"/>
  <c r="AC17" i="25"/>
  <c r="C17" i="25"/>
  <c r="A17" i="25"/>
  <c r="AC16" i="25"/>
  <c r="C16" i="25"/>
  <c r="A16" i="25"/>
  <c r="AC15" i="25"/>
  <c r="C15" i="25"/>
  <c r="A15" i="25"/>
  <c r="AC14" i="25"/>
  <c r="C14" i="25"/>
  <c r="A14" i="25"/>
  <c r="AC11" i="25"/>
  <c r="C11" i="25"/>
  <c r="A11" i="25"/>
  <c r="AC10" i="25"/>
  <c r="C10" i="25"/>
  <c r="A10" i="25"/>
  <c r="AC31" i="25"/>
  <c r="C31" i="25"/>
  <c r="A31" i="25"/>
  <c r="AC30" i="25"/>
  <c r="C30" i="25"/>
  <c r="A30" i="25"/>
  <c r="AC13" i="25"/>
  <c r="C13" i="25"/>
  <c r="A13" i="25"/>
  <c r="AC12" i="25"/>
  <c r="C12" i="25"/>
  <c r="A12" i="25"/>
  <c r="AD15" i="20"/>
  <c r="AD14" i="20"/>
  <c r="AD13" i="20"/>
  <c r="AD12" i="20"/>
  <c r="AD7" i="20"/>
  <c r="AD6" i="20"/>
  <c r="AD19" i="20"/>
  <c r="AD18" i="20"/>
  <c r="AD17" i="20"/>
  <c r="AD16" i="20"/>
  <c r="AD11" i="20"/>
  <c r="AD10" i="20"/>
  <c r="AD9" i="20"/>
  <c r="AD8" i="20"/>
  <c r="AC23" i="23"/>
  <c r="AC22" i="23"/>
  <c r="AC21" i="23"/>
  <c r="AC20" i="23"/>
  <c r="AC19" i="23"/>
  <c r="AC18" i="23"/>
  <c r="AC17" i="23"/>
  <c r="AC16" i="23"/>
  <c r="AC15" i="23"/>
  <c r="AC14" i="23"/>
  <c r="AC13" i="23"/>
  <c r="AC12" i="23"/>
  <c r="AC11" i="23"/>
  <c r="AC10" i="23"/>
  <c r="AC9" i="23"/>
  <c r="AC8" i="23"/>
  <c r="AC25" i="23"/>
  <c r="AC26" i="23"/>
  <c r="AC27" i="23"/>
  <c r="AC28" i="23"/>
  <c r="AC29" i="23"/>
  <c r="AC30" i="23"/>
  <c r="AC31" i="23"/>
  <c r="AC32" i="23"/>
  <c r="AC33" i="23"/>
  <c r="AC34" i="23"/>
  <c r="AC35" i="23"/>
  <c r="AC36" i="23"/>
  <c r="AC37" i="23"/>
  <c r="AC38" i="23"/>
  <c r="AC39" i="23"/>
  <c r="AC40" i="23"/>
  <c r="AC41" i="23"/>
  <c r="AC42" i="23"/>
  <c r="C7" i="23"/>
  <c r="A7" i="23"/>
  <c r="C6" i="23"/>
  <c r="A6" i="23"/>
  <c r="C26" i="23"/>
  <c r="A26" i="23"/>
  <c r="C25" i="23"/>
  <c r="A25" i="23"/>
  <c r="X1" i="25"/>
  <c r="X1" i="23"/>
  <c r="F7" i="23" a="1"/>
  <c r="E26" i="23" a="1"/>
  <c r="F25" i="23" a="1"/>
  <c r="E7" i="23" a="1"/>
  <c r="F6" i="23" a="1"/>
  <c r="E25" i="23" a="1"/>
  <c r="E6" i="23" a="1"/>
  <c r="F26" i="23" a="1"/>
  <c r="B8" i="35" l="1"/>
  <c r="C8" i="35"/>
  <c r="AE9" i="35" a="1"/>
  <c r="I9" i="35" a="1"/>
  <c r="Y9" i="35" a="1"/>
  <c r="J9" i="35" a="1"/>
  <c r="M9" i="35" s="1"/>
  <c r="P9" i="35" s="1"/>
  <c r="I8" i="35" a="1"/>
  <c r="AE8" i="35" a="1"/>
  <c r="Y8" i="35" a="1"/>
  <c r="J8" i="35" a="1"/>
  <c r="M8" i="35" s="1"/>
  <c r="S8" i="35" a="1"/>
  <c r="X8" i="35" a="1"/>
  <c r="T8" i="35" a="1"/>
  <c r="W8" i="35" a="1"/>
  <c r="G8" i="35" a="1"/>
  <c r="K9" i="35" a="1"/>
  <c r="F8" i="35" a="1"/>
  <c r="K8" i="35" a="1"/>
  <c r="N8" i="35" a="1"/>
  <c r="I7" i="35" a="1"/>
  <c r="J7" i="35" a="1"/>
  <c r="Y7" i="35" a="1"/>
  <c r="AE7" i="35" a="1"/>
  <c r="J6" i="35" a="1"/>
  <c r="Y6" i="35" a="1"/>
  <c r="AE6" i="35" a="1"/>
  <c r="I6" i="35" a="1"/>
  <c r="C6" i="35"/>
  <c r="B6" i="35"/>
  <c r="AE42" i="36" a="1"/>
  <c r="Y42" i="36" a="1"/>
  <c r="J42" i="36" a="1"/>
  <c r="I42" i="36" a="1"/>
  <c r="AE41" i="36" a="1"/>
  <c r="J41" i="36" a="1"/>
  <c r="Y41" i="36" a="1"/>
  <c r="I41" i="36" a="1"/>
  <c r="B41" i="36"/>
  <c r="C41" i="36"/>
  <c r="AE40" i="36" a="1"/>
  <c r="Y40" i="36" a="1"/>
  <c r="I40" i="36" a="1"/>
  <c r="J40" i="36" a="1"/>
  <c r="AE39" i="36" a="1"/>
  <c r="Y39" i="36" a="1"/>
  <c r="J39" i="36" a="1"/>
  <c r="I39" i="36" a="1"/>
  <c r="B39" i="36"/>
  <c r="C39" i="36"/>
  <c r="AE38" i="36" a="1"/>
  <c r="Y38" i="36" a="1"/>
  <c r="J38" i="36" a="1"/>
  <c r="I38" i="36" a="1"/>
  <c r="AE37" i="36" a="1"/>
  <c r="J37" i="36" a="1"/>
  <c r="Y37" i="36" a="1"/>
  <c r="I37" i="36" a="1"/>
  <c r="B37" i="36"/>
  <c r="C37" i="36"/>
  <c r="AE36" i="36" a="1"/>
  <c r="Y36" i="36" a="1"/>
  <c r="J36" i="36" a="1"/>
  <c r="I36" i="36" a="1"/>
  <c r="Y35" i="36" a="1"/>
  <c r="I35" i="36" a="1"/>
  <c r="J35" i="36" a="1"/>
  <c r="AE35" i="36" a="1"/>
  <c r="C35" i="36"/>
  <c r="B35" i="36"/>
  <c r="AE34" i="36" a="1"/>
  <c r="Y34" i="36" a="1"/>
  <c r="J34" i="36" a="1"/>
  <c r="I34" i="36" a="1"/>
  <c r="AE33" i="36" a="1"/>
  <c r="J33" i="36" a="1"/>
  <c r="Y33" i="36" a="1"/>
  <c r="I33" i="36" a="1"/>
  <c r="C33" i="36"/>
  <c r="B33" i="36"/>
  <c r="AE32" i="36" a="1"/>
  <c r="Y32" i="36" a="1"/>
  <c r="J32" i="36" a="1"/>
  <c r="I32" i="36" a="1"/>
  <c r="AE31" i="36" a="1"/>
  <c r="Y31" i="36" a="1"/>
  <c r="I31" i="36" a="1"/>
  <c r="J31" i="36" a="1"/>
  <c r="B31" i="36"/>
  <c r="C31" i="36"/>
  <c r="J30" i="36" a="1"/>
  <c r="AE30" i="36" a="1"/>
  <c r="Y30" i="36" a="1"/>
  <c r="I30" i="36" a="1"/>
  <c r="J29" i="36" a="1"/>
  <c r="Y29" i="36" a="1"/>
  <c r="I29" i="36" a="1"/>
  <c r="AE29" i="36" a="1"/>
  <c r="B29" i="36"/>
  <c r="C29" i="36"/>
  <c r="J28" i="36" a="1"/>
  <c r="AE28" i="36" a="1"/>
  <c r="Y28" i="36" a="1"/>
  <c r="I28" i="36" a="1"/>
  <c r="Z27" i="36"/>
  <c r="AF27" i="36"/>
  <c r="AG27" i="36" s="1"/>
  <c r="AH27" i="36" s="1"/>
  <c r="B27" i="36"/>
  <c r="C27" i="36"/>
  <c r="I26" i="36" a="1"/>
  <c r="Y26" i="36" a="1"/>
  <c r="AE26" i="36" a="1"/>
  <c r="J26" i="36" a="1"/>
  <c r="AE25" i="36" a="1"/>
  <c r="I25" i="36" a="1"/>
  <c r="J25" i="36" a="1"/>
  <c r="Y25" i="36" a="1"/>
  <c r="C25" i="36"/>
  <c r="B25" i="36"/>
  <c r="AE23" i="36" a="1"/>
  <c r="Y23" i="36" a="1"/>
  <c r="J23" i="36" a="1"/>
  <c r="I23" i="36" a="1"/>
  <c r="AE22" i="36" a="1"/>
  <c r="Y22" i="36" a="1"/>
  <c r="I22" i="36" a="1"/>
  <c r="J22" i="36" a="1"/>
  <c r="C22" i="36"/>
  <c r="B22" i="36"/>
  <c r="I21" i="36" a="1"/>
  <c r="Y21" i="36" a="1"/>
  <c r="AE21" i="36" a="1"/>
  <c r="J21" i="36" a="1"/>
  <c r="J20" i="36" a="1"/>
  <c r="Y20" i="36" a="1"/>
  <c r="AE20" i="36" a="1"/>
  <c r="I20" i="36" a="1"/>
  <c r="B20" i="36"/>
  <c r="C20" i="36"/>
  <c r="I19" i="36" a="1"/>
  <c r="Y19" i="36" a="1"/>
  <c r="J19" i="36" a="1"/>
  <c r="AE19" i="36" a="1"/>
  <c r="I18" i="36" a="1"/>
  <c r="J18" i="36" a="1"/>
  <c r="Y18" i="36" a="1"/>
  <c r="AE18" i="36" a="1"/>
  <c r="C18" i="36"/>
  <c r="B18" i="36"/>
  <c r="I17" i="36" a="1"/>
  <c r="J17" i="36" a="1"/>
  <c r="Y17" i="36" a="1"/>
  <c r="AE17" i="36" a="1"/>
  <c r="J16" i="36" a="1"/>
  <c r="Y16" i="36" a="1"/>
  <c r="I16" i="36" a="1"/>
  <c r="AE16" i="36" a="1"/>
  <c r="C16" i="36"/>
  <c r="B16" i="36"/>
  <c r="J15" i="36" a="1"/>
  <c r="Y15" i="36" a="1"/>
  <c r="AE15" i="36" a="1"/>
  <c r="I15" i="36" a="1"/>
  <c r="Y14" i="36" a="1"/>
  <c r="I14" i="36" a="1"/>
  <c r="J14" i="36" a="1"/>
  <c r="AE14" i="36" a="1"/>
  <c r="C14" i="36"/>
  <c r="B14" i="36"/>
  <c r="J13" i="36" a="1"/>
  <c r="Y13" i="36" a="1"/>
  <c r="I13" i="36" a="1"/>
  <c r="AE13" i="36" a="1"/>
  <c r="I12" i="36" a="1"/>
  <c r="AE12" i="36" a="1"/>
  <c r="J12" i="36" a="1"/>
  <c r="Y12" i="36" a="1"/>
  <c r="B12" i="36"/>
  <c r="C12" i="36"/>
  <c r="I11" i="36" a="1"/>
  <c r="J11" i="36" a="1"/>
  <c r="Y11" i="36" a="1"/>
  <c r="AE11" i="36" a="1"/>
  <c r="J10" i="36" a="1"/>
  <c r="I10" i="36" a="1"/>
  <c r="Z10" i="36" s="1"/>
  <c r="C10" i="36"/>
  <c r="B10" i="36"/>
  <c r="AE9" i="36" a="1"/>
  <c r="Y9" i="36" a="1"/>
  <c r="I9" i="36" a="1"/>
  <c r="J9" i="36" a="1"/>
  <c r="I8" i="36" a="1"/>
  <c r="J8" i="36" a="1"/>
  <c r="Y8" i="36" a="1"/>
  <c r="AE8" i="36" a="1"/>
  <c r="C8" i="36"/>
  <c r="B8" i="36"/>
  <c r="J7" i="36" a="1"/>
  <c r="Y7" i="36" a="1"/>
  <c r="AE7" i="36" a="1"/>
  <c r="I7" i="36" a="1"/>
  <c r="J6" i="36" a="1"/>
  <c r="I6" i="36" a="1"/>
  <c r="Y6" i="36" a="1"/>
  <c r="AE6" i="36" a="1"/>
  <c r="C6" i="36"/>
  <c r="B6" i="36"/>
  <c r="AD9" i="32" a="1"/>
  <c r="I9" i="32" a="1"/>
  <c r="L9" i="32" s="1"/>
  <c r="X9" i="32" a="1"/>
  <c r="H9" i="32" a="1"/>
  <c r="E9" i="32" a="1"/>
  <c r="J9" i="32" a="1"/>
  <c r="M9" i="32" a="1"/>
  <c r="F9" i="32" a="1"/>
  <c r="H8" i="32" a="1"/>
  <c r="AD8" i="32" a="1"/>
  <c r="X8" i="32" a="1"/>
  <c r="I8" i="32" a="1"/>
  <c r="L8" i="32" s="1"/>
  <c r="W8" i="32" a="1"/>
  <c r="V8" i="32" a="1"/>
  <c r="S8" i="32" a="1"/>
  <c r="R8" i="32" a="1"/>
  <c r="E8" i="32" a="1"/>
  <c r="M8" i="32" a="1"/>
  <c r="J8" i="32" a="1"/>
  <c r="F8" i="32" a="1"/>
  <c r="AD7" i="32" a="1"/>
  <c r="X7" i="32" a="1"/>
  <c r="I7" i="32" a="1"/>
  <c r="L7" i="32" s="1"/>
  <c r="H7" i="32" a="1"/>
  <c r="M7" i="32" a="1"/>
  <c r="J7" i="32" a="1"/>
  <c r="F7" i="32" a="1"/>
  <c r="E7" i="32" a="1"/>
  <c r="AD6" i="32" a="1"/>
  <c r="H6" i="32" a="1"/>
  <c r="X6" i="32" a="1"/>
  <c r="I6" i="32" a="1"/>
  <c r="L6" i="32" s="1"/>
  <c r="W6" i="32" a="1"/>
  <c r="S6" i="32" a="1"/>
  <c r="V6" i="32" a="1"/>
  <c r="R6" i="32" a="1"/>
  <c r="M6" i="32" a="1"/>
  <c r="F6" i="32" a="1"/>
  <c r="E6" i="32" a="1"/>
  <c r="J6" i="32" a="1"/>
  <c r="M25" i="20"/>
  <c r="M24" i="20"/>
  <c r="M23" i="20"/>
  <c r="M22" i="20"/>
  <c r="D25" i="24" a="1"/>
  <c r="C25" i="24" a="1"/>
  <c r="E25" i="24" a="1"/>
  <c r="B25" i="24" a="1"/>
  <c r="M24" i="24"/>
  <c r="N24" i="24" s="1"/>
  <c r="E24" i="24" a="1"/>
  <c r="D24" i="24" a="1"/>
  <c r="C24" i="24" a="1"/>
  <c r="B24" i="24" a="1"/>
  <c r="D23" i="24" a="1"/>
  <c r="E23" i="24" a="1"/>
  <c r="C23" i="24" a="1"/>
  <c r="B23" i="24" a="1"/>
  <c r="E22" i="24" a="1"/>
  <c r="D22" i="24" a="1"/>
  <c r="C22" i="24" a="1"/>
  <c r="B22" i="24" a="1"/>
  <c r="M21" i="20"/>
  <c r="M20" i="20"/>
  <c r="AF23" i="25"/>
  <c r="AF22" i="25"/>
  <c r="Z23" i="25"/>
  <c r="Y23" i="25"/>
  <c r="Z22" i="25"/>
  <c r="Y22" i="25"/>
  <c r="L23" i="25"/>
  <c r="O23" i="25" s="1"/>
  <c r="K23" i="25"/>
  <c r="N23" i="25" s="1"/>
  <c r="K22" i="25"/>
  <c r="N22" i="25" s="1"/>
  <c r="L22" i="25"/>
  <c r="O22" i="25" s="1"/>
  <c r="AF21" i="25"/>
  <c r="AF20" i="25"/>
  <c r="Z21" i="25"/>
  <c r="Y21" i="25"/>
  <c r="Z20" i="25"/>
  <c r="Y20" i="25"/>
  <c r="L21" i="25"/>
  <c r="O21" i="25" s="1"/>
  <c r="K21" i="25"/>
  <c r="N21" i="25" s="1"/>
  <c r="L20" i="25"/>
  <c r="O20" i="25" s="1"/>
  <c r="K20" i="25"/>
  <c r="N20" i="25" s="1"/>
  <c r="AF27" i="25"/>
  <c r="AF26" i="25"/>
  <c r="Z27" i="25"/>
  <c r="Y27" i="25"/>
  <c r="Z26" i="25"/>
  <c r="Y26" i="25"/>
  <c r="L27" i="25"/>
  <c r="O27" i="25" s="1"/>
  <c r="K27" i="25"/>
  <c r="N27" i="25" s="1"/>
  <c r="L26" i="25"/>
  <c r="O26" i="25" s="1"/>
  <c r="K26" i="25"/>
  <c r="N26" i="25" s="1"/>
  <c r="AF25" i="25"/>
  <c r="AF24" i="25"/>
  <c r="Z25" i="25"/>
  <c r="Y25" i="25"/>
  <c r="Z24" i="25"/>
  <c r="Y24" i="25"/>
  <c r="L25" i="25"/>
  <c r="O25" i="25" s="1"/>
  <c r="K25" i="25"/>
  <c r="N25" i="25" s="1"/>
  <c r="L24" i="25"/>
  <c r="O24" i="25" s="1"/>
  <c r="K24" i="25"/>
  <c r="N24" i="25" s="1"/>
  <c r="L64" i="26"/>
  <c r="L63" i="26"/>
  <c r="L62" i="26"/>
  <c r="L61" i="26"/>
  <c r="L60" i="26"/>
  <c r="L59" i="26"/>
  <c r="L58" i="26"/>
  <c r="L57" i="26"/>
  <c r="L56" i="26"/>
  <c r="L55" i="26"/>
  <c r="L32" i="26"/>
  <c r="L31" i="26"/>
  <c r="L30" i="26"/>
  <c r="L29" i="26"/>
  <c r="L28" i="26"/>
  <c r="L27" i="26"/>
  <c r="L26" i="26"/>
  <c r="L25" i="26"/>
  <c r="L24" i="26"/>
  <c r="L23" i="26"/>
  <c r="L22" i="26"/>
  <c r="L21" i="26"/>
  <c r="L19" i="26"/>
  <c r="L18" i="26"/>
  <c r="L17" i="26"/>
  <c r="L16" i="26"/>
  <c r="L15" i="26"/>
  <c r="L14" i="26"/>
  <c r="L13" i="26"/>
  <c r="L12" i="26"/>
  <c r="L11" i="26"/>
  <c r="L10" i="26"/>
  <c r="L9" i="26"/>
  <c r="L8" i="26"/>
  <c r="L7" i="26"/>
  <c r="L6" i="26"/>
  <c r="L53" i="26"/>
  <c r="L52" i="26"/>
  <c r="L51" i="26"/>
  <c r="L50" i="26"/>
  <c r="L49" i="26"/>
  <c r="L48" i="26"/>
  <c r="L47" i="26"/>
  <c r="L46" i="26"/>
  <c r="L45" i="26"/>
  <c r="L44" i="26"/>
  <c r="L43" i="26"/>
  <c r="L42" i="26"/>
  <c r="L41" i="26"/>
  <c r="L40" i="26"/>
  <c r="L39" i="26"/>
  <c r="L38" i="26"/>
  <c r="L37" i="26"/>
  <c r="L36" i="26"/>
  <c r="L35" i="26"/>
  <c r="L34" i="26"/>
  <c r="X18" i="29" a="1"/>
  <c r="I18" i="29" a="1"/>
  <c r="L18" i="29" s="1"/>
  <c r="H18" i="29" a="1"/>
  <c r="AD18" i="29" s="1"/>
  <c r="AE18" i="29" s="1"/>
  <c r="AG18" i="29" s="1"/>
  <c r="AH18" i="29" s="1"/>
  <c r="M18" i="29" a="1"/>
  <c r="J18" i="29" a="1"/>
  <c r="D18" i="29" a="1"/>
  <c r="C18" i="29" a="1"/>
  <c r="F18" i="29" a="1"/>
  <c r="H17" i="29" a="1"/>
  <c r="AD17" i="29" s="1"/>
  <c r="AE17" i="29" s="1"/>
  <c r="AG17" i="29" s="1"/>
  <c r="AH17" i="29" s="1"/>
  <c r="X17" i="29" a="1"/>
  <c r="I17" i="29" a="1"/>
  <c r="L17" i="29" s="1"/>
  <c r="J17" i="29" a="1"/>
  <c r="M17" i="29" a="1"/>
  <c r="C17" i="29" a="1"/>
  <c r="D17" i="29" a="1"/>
  <c r="F17" i="29" a="1"/>
  <c r="X16" i="29" a="1"/>
  <c r="I16" i="29" a="1"/>
  <c r="L16" i="29" s="1"/>
  <c r="H16" i="29" a="1"/>
  <c r="AD16" i="29" s="1"/>
  <c r="AE16" i="29" s="1"/>
  <c r="AG16" i="29" s="1"/>
  <c r="AH16" i="29" s="1"/>
  <c r="M16" i="29" a="1"/>
  <c r="J16" i="29" a="1"/>
  <c r="F16" i="29" a="1"/>
  <c r="D16" i="29" a="1"/>
  <c r="C16" i="29" a="1"/>
  <c r="X15" i="29" a="1"/>
  <c r="I15" i="29" a="1"/>
  <c r="L15" i="29" s="1"/>
  <c r="H15" i="29" a="1"/>
  <c r="AD15" i="29" s="1"/>
  <c r="AE15" i="29" s="1"/>
  <c r="AG15" i="29" s="1"/>
  <c r="AH15" i="29" s="1"/>
  <c r="F15" i="29" a="1"/>
  <c r="D15" i="29" a="1"/>
  <c r="C15" i="29" a="1"/>
  <c r="J15" i="29" a="1"/>
  <c r="M15" i="29" a="1"/>
  <c r="X14" i="29" a="1"/>
  <c r="I14" i="29" a="1"/>
  <c r="L14" i="29" s="1"/>
  <c r="H14" i="29" a="1"/>
  <c r="AD14" i="29" s="1"/>
  <c r="AE14" i="29" s="1"/>
  <c r="AG14" i="29" s="1"/>
  <c r="AH14" i="29" s="1"/>
  <c r="C14" i="29" a="1"/>
  <c r="F14" i="29" a="1"/>
  <c r="J14" i="29" a="1"/>
  <c r="M14" i="29" a="1"/>
  <c r="D14" i="29" a="1"/>
  <c r="I13" i="29" a="1"/>
  <c r="L13" i="29" s="1"/>
  <c r="X13" i="29" a="1"/>
  <c r="H13" i="29" a="1"/>
  <c r="AD13" i="29" s="1"/>
  <c r="AE13" i="29" s="1"/>
  <c r="AG13" i="29" s="1"/>
  <c r="AH13" i="29" s="1"/>
  <c r="M13" i="29" a="1"/>
  <c r="D13" i="29" a="1"/>
  <c r="C13" i="29" a="1"/>
  <c r="J13" i="29" a="1"/>
  <c r="F13" i="29" a="1"/>
  <c r="H12" i="29" a="1"/>
  <c r="AD12" i="29" s="1"/>
  <c r="AE12" i="29" s="1"/>
  <c r="AG12" i="29" s="1"/>
  <c r="AH12" i="29" s="1"/>
  <c r="X12" i="29" a="1"/>
  <c r="I12" i="29" a="1"/>
  <c r="L12" i="29" s="1"/>
  <c r="C12" i="29" a="1"/>
  <c r="M12" i="29" a="1"/>
  <c r="D12" i="29" a="1"/>
  <c r="J12" i="29" a="1"/>
  <c r="F12" i="29" a="1"/>
  <c r="X11" i="29" a="1"/>
  <c r="I11" i="29" a="1"/>
  <c r="L11" i="29" s="1"/>
  <c r="H11" i="29" a="1"/>
  <c r="AD11" i="29" s="1"/>
  <c r="AE11" i="29" s="1"/>
  <c r="AG11" i="29" s="1"/>
  <c r="AH11" i="29" s="1"/>
  <c r="M11" i="29" a="1"/>
  <c r="J11" i="29" a="1"/>
  <c r="F11" i="29" a="1"/>
  <c r="D11" i="29" a="1"/>
  <c r="C11" i="29" a="1"/>
  <c r="I10" i="29" a="1"/>
  <c r="L10" i="29" s="1"/>
  <c r="H10" i="29" a="1"/>
  <c r="AD10" i="29" s="1"/>
  <c r="AE10" i="29" s="1"/>
  <c r="AG10" i="29" s="1"/>
  <c r="AH10" i="29" s="1"/>
  <c r="X10" i="29" a="1"/>
  <c r="D10" i="29" a="1"/>
  <c r="C10" i="29" a="1"/>
  <c r="M10" i="29" a="1"/>
  <c r="J10" i="29" a="1"/>
  <c r="F10" i="29" a="1"/>
  <c r="H9" i="29" a="1"/>
  <c r="AD9" i="29" s="1"/>
  <c r="AE9" i="29" s="1"/>
  <c r="AG9" i="29" s="1"/>
  <c r="AH9" i="29" s="1"/>
  <c r="X9" i="29" a="1"/>
  <c r="I9" i="29" a="1"/>
  <c r="L9" i="29" s="1"/>
  <c r="F9" i="29" a="1"/>
  <c r="D9" i="29" a="1"/>
  <c r="C9" i="29" a="1"/>
  <c r="M9" i="29" a="1"/>
  <c r="J9" i="29" a="1"/>
  <c r="H8" i="29" a="1"/>
  <c r="AD8" i="29" s="1"/>
  <c r="AE8" i="29" s="1"/>
  <c r="AG8" i="29" s="1"/>
  <c r="AH8" i="29" s="1"/>
  <c r="X8" i="29" a="1"/>
  <c r="I8" i="29" a="1"/>
  <c r="L8" i="29" s="1"/>
  <c r="F8" i="29" a="1"/>
  <c r="M8" i="29" a="1"/>
  <c r="C8" i="29" a="1"/>
  <c r="D8" i="29" a="1"/>
  <c r="J8" i="29" a="1"/>
  <c r="H7" i="29" a="1"/>
  <c r="AD7" i="29" s="1"/>
  <c r="AE7" i="29" s="1"/>
  <c r="AG7" i="29" s="1"/>
  <c r="AH7" i="29" s="1"/>
  <c r="I7" i="29" a="1"/>
  <c r="L7" i="29" s="1"/>
  <c r="X7" i="29" a="1"/>
  <c r="F7" i="29" a="1"/>
  <c r="J7" i="29" a="1"/>
  <c r="C7" i="29" a="1"/>
  <c r="D7" i="29" a="1"/>
  <c r="M7" i="29" a="1"/>
  <c r="I6" i="29" a="1"/>
  <c r="L6" i="29" s="1"/>
  <c r="X6" i="29" a="1"/>
  <c r="H6" i="29" a="1"/>
  <c r="AD6" i="29" s="1"/>
  <c r="AE6" i="29" s="1"/>
  <c r="AG6" i="29" s="1"/>
  <c r="AH6" i="29" s="1"/>
  <c r="D6" i="29" a="1"/>
  <c r="C6" i="29" a="1"/>
  <c r="J6" i="29" a="1"/>
  <c r="M6" i="29" a="1"/>
  <c r="F6" i="29" a="1"/>
  <c r="I5" i="29" a="1"/>
  <c r="L5" i="29" s="1"/>
  <c r="H5" i="29" a="1"/>
  <c r="AD5" i="29" s="1"/>
  <c r="AE5" i="29" s="1"/>
  <c r="AG5" i="29" s="1"/>
  <c r="AH5" i="29" s="1"/>
  <c r="X5" i="29" a="1"/>
  <c r="M5" i="29" a="1"/>
  <c r="C5" i="29" a="1"/>
  <c r="F5" i="29" a="1"/>
  <c r="D5" i="29" a="1"/>
  <c r="J5" i="29" a="1"/>
  <c r="L33" i="25"/>
  <c r="L32" i="25"/>
  <c r="L9" i="25"/>
  <c r="L8" i="25"/>
  <c r="L7" i="25"/>
  <c r="L6" i="25"/>
  <c r="L29" i="25"/>
  <c r="L28" i="25"/>
  <c r="L19" i="25"/>
  <c r="L18" i="25"/>
  <c r="L35" i="25"/>
  <c r="L34" i="25"/>
  <c r="L17" i="25"/>
  <c r="L16" i="25"/>
  <c r="L15" i="25"/>
  <c r="L14" i="25"/>
  <c r="L11" i="25"/>
  <c r="L10" i="25"/>
  <c r="L31" i="25"/>
  <c r="L30" i="25"/>
  <c r="L13" i="25"/>
  <c r="L12" i="25"/>
  <c r="A2" i="24"/>
  <c r="A3" i="24"/>
  <c r="A4" i="24"/>
  <c r="A5" i="24"/>
  <c r="A6" i="24"/>
  <c r="A7" i="24"/>
  <c r="A8" i="24"/>
  <c r="A9" i="24"/>
  <c r="A10" i="24"/>
  <c r="A11" i="24"/>
  <c r="A12" i="24"/>
  <c r="A13" i="24"/>
  <c r="A14" i="24"/>
  <c r="A15" i="24"/>
  <c r="A16" i="24"/>
  <c r="A17" i="24"/>
  <c r="A18" i="24"/>
  <c r="A19" i="24"/>
  <c r="A20" i="24"/>
  <c r="A21" i="24"/>
  <c r="C1" i="24"/>
  <c r="P1" i="24"/>
  <c r="D1" i="24"/>
  <c r="E1" i="24"/>
  <c r="B1" i="24"/>
  <c r="C19" i="23"/>
  <c r="C18" i="23"/>
  <c r="C15" i="23"/>
  <c r="C14" i="23"/>
  <c r="C34" i="23"/>
  <c r="C33" i="23"/>
  <c r="C30" i="23"/>
  <c r="C29" i="23"/>
  <c r="A19" i="23"/>
  <c r="A18" i="23"/>
  <c r="A15" i="23"/>
  <c r="A14" i="23"/>
  <c r="A34" i="23"/>
  <c r="A33" i="23"/>
  <c r="A30" i="23"/>
  <c r="A29" i="23"/>
  <c r="C23" i="23"/>
  <c r="A23" i="23"/>
  <c r="C22" i="23"/>
  <c r="A22" i="23"/>
  <c r="C21" i="23"/>
  <c r="A21" i="23"/>
  <c r="C20" i="23"/>
  <c r="A20" i="23"/>
  <c r="C17" i="23"/>
  <c r="A17" i="23"/>
  <c r="C16" i="23"/>
  <c r="A16" i="23"/>
  <c r="C13" i="23"/>
  <c r="A13" i="23"/>
  <c r="C12" i="23"/>
  <c r="A12" i="23"/>
  <c r="C11" i="23"/>
  <c r="A11" i="23"/>
  <c r="C10" i="23"/>
  <c r="A10" i="23"/>
  <c r="C9" i="23"/>
  <c r="A9" i="23"/>
  <c r="C8" i="23"/>
  <c r="A8" i="23"/>
  <c r="C32" i="23"/>
  <c r="A32" i="23"/>
  <c r="C31" i="23"/>
  <c r="A31" i="23"/>
  <c r="C28" i="23"/>
  <c r="A28" i="23"/>
  <c r="C27" i="23"/>
  <c r="A27" i="23"/>
  <c r="C36" i="23"/>
  <c r="A36" i="23"/>
  <c r="C35" i="23"/>
  <c r="A35" i="23"/>
  <c r="C40" i="23"/>
  <c r="A40" i="23"/>
  <c r="C39" i="23"/>
  <c r="A39" i="23"/>
  <c r="C42" i="23"/>
  <c r="A42" i="23"/>
  <c r="C41" i="23"/>
  <c r="A41" i="23"/>
  <c r="C38" i="23"/>
  <c r="A38" i="23"/>
  <c r="C37" i="23"/>
  <c r="A37" i="23"/>
  <c r="D15" i="20"/>
  <c r="D14" i="20"/>
  <c r="D13" i="20"/>
  <c r="D12" i="20"/>
  <c r="D7" i="20"/>
  <c r="D6" i="20"/>
  <c r="D19" i="20"/>
  <c r="D18" i="20"/>
  <c r="D17" i="20"/>
  <c r="D16" i="20"/>
  <c r="D11" i="20"/>
  <c r="D10" i="20"/>
  <c r="D9" i="20"/>
  <c r="D8" i="20"/>
  <c r="B7" i="20"/>
  <c r="Y1" i="20"/>
  <c r="Z6" i="23"/>
  <c r="Z7" i="23"/>
  <c r="P8" i="35" l="1"/>
  <c r="AF9" i="35"/>
  <c r="AG9" i="35" s="1"/>
  <c r="AH9" i="35" s="1"/>
  <c r="L9" i="35"/>
  <c r="O9" i="35" s="1"/>
  <c r="AA9" i="35"/>
  <c r="Z9" i="35"/>
  <c r="L8" i="35"/>
  <c r="O8" i="35" s="1"/>
  <c r="AF8" i="35"/>
  <c r="AG8" i="35" s="1"/>
  <c r="AH8" i="35" s="1"/>
  <c r="AA8" i="35"/>
  <c r="AB8" i="35" s="1"/>
  <c r="Z8" i="35"/>
  <c r="AF7" i="35"/>
  <c r="AG7" i="35" s="1"/>
  <c r="AH7" i="35" s="1"/>
  <c r="Z7" i="35"/>
  <c r="AA7" i="35"/>
  <c r="Z6" i="35"/>
  <c r="AF6" i="35"/>
  <c r="AG6" i="35" s="1"/>
  <c r="AH6" i="35" s="1"/>
  <c r="AH1" i="35" s="1"/>
  <c r="X6" i="35" a="1"/>
  <c r="S6" i="35" a="1"/>
  <c r="T6" i="35" a="1"/>
  <c r="W6" i="35" a="1"/>
  <c r="K6" i="35" a="1"/>
  <c r="K7" i="35" a="1"/>
  <c r="G6" i="35" a="1"/>
  <c r="F6" i="35" a="1"/>
  <c r="N6" i="35" a="1"/>
  <c r="Z42" i="36"/>
  <c r="AA42" i="36"/>
  <c r="AF42" i="36"/>
  <c r="AG42" i="36" s="1"/>
  <c r="AH42" i="36" s="1"/>
  <c r="Z41" i="36"/>
  <c r="AF41" i="36"/>
  <c r="AG41" i="36" s="1"/>
  <c r="AH41" i="36" s="1"/>
  <c r="AI41" i="36" s="1"/>
  <c r="F41" i="36" a="1"/>
  <c r="K41" i="36" a="1"/>
  <c r="G41" i="36" a="1"/>
  <c r="N41" i="36" a="1"/>
  <c r="K42" i="36" a="1"/>
  <c r="S41" i="36" a="1"/>
  <c r="X41" i="36" a="1"/>
  <c r="T41" i="36" a="1"/>
  <c r="W41" i="36" a="1"/>
  <c r="Z40" i="36"/>
  <c r="AA40" i="36"/>
  <c r="AF40" i="36"/>
  <c r="AG40" i="36" s="1"/>
  <c r="AH40" i="36" s="1"/>
  <c r="Z39" i="36"/>
  <c r="AF39" i="36"/>
  <c r="AG39" i="36" s="1"/>
  <c r="AH39" i="36" s="1"/>
  <c r="F39" i="36" a="1"/>
  <c r="G39" i="36" a="1"/>
  <c r="K39" i="36" a="1"/>
  <c r="N39" i="36" a="1"/>
  <c r="K40" i="36" a="1"/>
  <c r="S39" i="36" a="1"/>
  <c r="T39" i="36" a="1"/>
  <c r="W39" i="36" a="1"/>
  <c r="X39" i="36" a="1"/>
  <c r="AA38" i="36"/>
  <c r="Z38" i="36"/>
  <c r="AF38" i="36"/>
  <c r="AG38" i="36" s="1"/>
  <c r="AH38" i="36" s="1"/>
  <c r="Z37" i="36"/>
  <c r="AF37" i="36"/>
  <c r="AG37" i="36" s="1"/>
  <c r="AH37" i="36" s="1"/>
  <c r="AI37" i="36" s="1"/>
  <c r="F37" i="36" a="1"/>
  <c r="K37" i="36" a="1"/>
  <c r="K38" i="36" a="1"/>
  <c r="G37" i="36" a="1"/>
  <c r="N37" i="36" a="1"/>
  <c r="W37" i="36" a="1"/>
  <c r="S37" i="36" a="1"/>
  <c r="T37" i="36" a="1"/>
  <c r="X37" i="36" a="1"/>
  <c r="Z36" i="36"/>
  <c r="AA36" i="36"/>
  <c r="AF36" i="36"/>
  <c r="AG36" i="36" s="1"/>
  <c r="AH36" i="36" s="1"/>
  <c r="Z35" i="36"/>
  <c r="AF35" i="36"/>
  <c r="AG35" i="36" s="1"/>
  <c r="AH35" i="36" s="1"/>
  <c r="AI35" i="36" s="1"/>
  <c r="T35" i="36" a="1"/>
  <c r="X35" i="36" a="1"/>
  <c r="S35" i="36" a="1"/>
  <c r="W35" i="36" a="1"/>
  <c r="F35" i="36" a="1"/>
  <c r="G35" i="36" a="1"/>
  <c r="K35" i="36" a="1"/>
  <c r="N35" i="36" a="1"/>
  <c r="K36" i="36" a="1"/>
  <c r="AA34" i="36"/>
  <c r="Z34" i="36"/>
  <c r="AF34" i="36"/>
  <c r="AG34" i="36" s="1"/>
  <c r="AH34" i="36" s="1"/>
  <c r="Z33" i="36"/>
  <c r="AF33" i="36"/>
  <c r="AG33" i="36" s="1"/>
  <c r="AH33" i="36" s="1"/>
  <c r="AI33" i="36" s="1"/>
  <c r="S33" i="36" a="1"/>
  <c r="W33" i="36" a="1"/>
  <c r="T33" i="36" a="1"/>
  <c r="X33" i="36" a="1"/>
  <c r="F33" i="36" a="1"/>
  <c r="N33" i="36" a="1"/>
  <c r="G33" i="36" a="1"/>
  <c r="K33" i="36" a="1"/>
  <c r="K34" i="36" a="1"/>
  <c r="AA32" i="36"/>
  <c r="Z32" i="36"/>
  <c r="AF32" i="36"/>
  <c r="AG32" i="36" s="1"/>
  <c r="AH32" i="36" s="1"/>
  <c r="Z31" i="36"/>
  <c r="AF31" i="36"/>
  <c r="AG31" i="36" s="1"/>
  <c r="AH31" i="36" s="1"/>
  <c r="AI31" i="36" s="1"/>
  <c r="F31" i="36" a="1"/>
  <c r="G31" i="36" a="1"/>
  <c r="K31" i="36" a="1"/>
  <c r="N31" i="36" a="1"/>
  <c r="K32" i="36" a="1"/>
  <c r="S31" i="36" a="1"/>
  <c r="T31" i="36" a="1"/>
  <c r="W31" i="36" a="1"/>
  <c r="X31" i="36" a="1"/>
  <c r="AA30" i="36"/>
  <c r="Z30" i="36"/>
  <c r="AF30" i="36"/>
  <c r="AG30" i="36" s="1"/>
  <c r="AH30" i="36" s="1"/>
  <c r="Z29" i="36"/>
  <c r="AF29" i="36"/>
  <c r="AG29" i="36" s="1"/>
  <c r="AH29" i="36" s="1"/>
  <c r="F29" i="36" a="1"/>
  <c r="K30" i="36" a="1"/>
  <c r="N29" i="36" a="1"/>
  <c r="G29" i="36" a="1"/>
  <c r="K29" i="36" a="1"/>
  <c r="T29" i="36" a="1"/>
  <c r="X29" i="36" a="1"/>
  <c r="S29" i="36" a="1"/>
  <c r="W29" i="36" a="1"/>
  <c r="AA28" i="36"/>
  <c r="Z28" i="36"/>
  <c r="AF28" i="36"/>
  <c r="AG28" i="36" s="1"/>
  <c r="AH28" i="36" s="1"/>
  <c r="AI27" i="36" s="1"/>
  <c r="F27" i="36" a="1"/>
  <c r="G27" i="36" a="1"/>
  <c r="N27" i="36" a="1"/>
  <c r="K28" i="36" a="1"/>
  <c r="K27" i="36" a="1"/>
  <c r="S27" i="36" a="1"/>
  <c r="T27" i="36" a="1"/>
  <c r="W27" i="36" a="1"/>
  <c r="X27" i="36" a="1"/>
  <c r="AF26" i="36"/>
  <c r="AG26" i="36" s="1"/>
  <c r="AH26" i="36" s="1"/>
  <c r="Z26" i="36"/>
  <c r="AA26" i="36"/>
  <c r="AF25" i="36"/>
  <c r="AG25" i="36" s="1"/>
  <c r="AH25" i="36" s="1"/>
  <c r="Z25" i="36"/>
  <c r="S25" i="36" a="1"/>
  <c r="T25" i="36" a="1"/>
  <c r="W25" i="36" a="1"/>
  <c r="X25" i="36" a="1"/>
  <c r="F25" i="36" a="1"/>
  <c r="G25" i="36" a="1"/>
  <c r="K25" i="36" a="1"/>
  <c r="N25" i="36" a="1"/>
  <c r="K26" i="36" a="1"/>
  <c r="Z23" i="36"/>
  <c r="AA23" i="36"/>
  <c r="AF23" i="36"/>
  <c r="AG23" i="36" s="1"/>
  <c r="AH23" i="36" s="1"/>
  <c r="Z22" i="36"/>
  <c r="AF22" i="36"/>
  <c r="AG22" i="36" s="1"/>
  <c r="AH22" i="36" s="1"/>
  <c r="S22" i="36" a="1"/>
  <c r="T22" i="36" a="1"/>
  <c r="W22" i="36" a="1"/>
  <c r="X22" i="36" a="1"/>
  <c r="F22" i="36" a="1"/>
  <c r="K22" i="36" a="1"/>
  <c r="G22" i="36" a="1"/>
  <c r="N22" i="36" a="1"/>
  <c r="K23" i="36" a="1"/>
  <c r="AF21" i="36"/>
  <c r="AG21" i="36" s="1"/>
  <c r="AH21" i="36" s="1"/>
  <c r="Z21" i="36"/>
  <c r="AA21" i="36"/>
  <c r="Z20" i="36"/>
  <c r="AF20" i="36"/>
  <c r="AG20" i="36" s="1"/>
  <c r="AH20" i="36" s="1"/>
  <c r="F20" i="36" a="1"/>
  <c r="G20" i="36" a="1"/>
  <c r="K20" i="36" a="1"/>
  <c r="N20" i="36" a="1"/>
  <c r="K21" i="36" a="1"/>
  <c r="S20" i="36" a="1"/>
  <c r="T20" i="36" a="1"/>
  <c r="W20" i="36" a="1"/>
  <c r="X20" i="36" a="1"/>
  <c r="AF19" i="36"/>
  <c r="AG19" i="36" s="1"/>
  <c r="AH19" i="36" s="1"/>
  <c r="Z19" i="36"/>
  <c r="AA19" i="36"/>
  <c r="AF18" i="36"/>
  <c r="AG18" i="36" s="1"/>
  <c r="AH18" i="36" s="1"/>
  <c r="AI18" i="36" s="1"/>
  <c r="Z18" i="36"/>
  <c r="S18" i="36" a="1"/>
  <c r="T18" i="36" a="1"/>
  <c r="W18" i="36" a="1"/>
  <c r="X18" i="36" a="1"/>
  <c r="G18" i="36" a="1"/>
  <c r="F18" i="36" a="1"/>
  <c r="K18" i="36" a="1"/>
  <c r="N18" i="36" a="1"/>
  <c r="K19" i="36" a="1"/>
  <c r="AF17" i="36"/>
  <c r="AG17" i="36" s="1"/>
  <c r="AH17" i="36" s="1"/>
  <c r="Z17" i="36"/>
  <c r="AA17" i="36"/>
  <c r="Z16" i="36"/>
  <c r="AF16" i="36"/>
  <c r="AG16" i="36" s="1"/>
  <c r="AH16" i="36" s="1"/>
  <c r="AI16" i="36" s="1"/>
  <c r="S16" i="36" a="1"/>
  <c r="T16" i="36" a="1"/>
  <c r="W16" i="36" a="1"/>
  <c r="X16" i="36" a="1"/>
  <c r="G16" i="36" a="1"/>
  <c r="N16" i="36" a="1"/>
  <c r="K17" i="36" a="1"/>
  <c r="F16" i="36" a="1"/>
  <c r="K16" i="36" a="1"/>
  <c r="Z15" i="36"/>
  <c r="AA15" i="36"/>
  <c r="AF15" i="36"/>
  <c r="AG15" i="36" s="1"/>
  <c r="AH15" i="36" s="1"/>
  <c r="Z14" i="36"/>
  <c r="AF14" i="36"/>
  <c r="AG14" i="36" s="1"/>
  <c r="AH14" i="36" s="1"/>
  <c r="S14" i="36" a="1"/>
  <c r="T14" i="36" a="1"/>
  <c r="W14" i="36" a="1"/>
  <c r="X14" i="36" a="1"/>
  <c r="F14" i="36" a="1"/>
  <c r="N14" i="36" a="1"/>
  <c r="G14" i="36" a="1"/>
  <c r="K14" i="36" a="1"/>
  <c r="K15" i="36" a="1"/>
  <c r="Z13" i="36"/>
  <c r="AA13" i="36"/>
  <c r="AF13" i="36"/>
  <c r="AG13" i="36" s="1"/>
  <c r="AH13" i="36" s="1"/>
  <c r="AF12" i="36"/>
  <c r="AG12" i="36" s="1"/>
  <c r="AH12" i="36" s="1"/>
  <c r="Z12" i="36"/>
  <c r="F12" i="36" a="1"/>
  <c r="N12" i="36" a="1"/>
  <c r="K13" i="36" a="1"/>
  <c r="G12" i="36" a="1"/>
  <c r="K12" i="36" a="1"/>
  <c r="S12" i="36" a="1"/>
  <c r="T12" i="36" a="1"/>
  <c r="W12" i="36" a="1"/>
  <c r="X12" i="36" a="1"/>
  <c r="AF11" i="36"/>
  <c r="AG11" i="36" s="1"/>
  <c r="AH11" i="36" s="1"/>
  <c r="AA11" i="36"/>
  <c r="Z11" i="36"/>
  <c r="AF10" i="36"/>
  <c r="AG10" i="36" s="1"/>
  <c r="AH10" i="36" s="1"/>
  <c r="T10" i="36" a="1"/>
  <c r="S10" i="36" a="1"/>
  <c r="W10" i="36" a="1"/>
  <c r="X10" i="36" a="1"/>
  <c r="F10" i="36" a="1"/>
  <c r="G10" i="36" a="1"/>
  <c r="K10" i="36" a="1"/>
  <c r="N10" i="36" a="1"/>
  <c r="K11" i="36" a="1"/>
  <c r="Z9" i="36"/>
  <c r="AA9" i="36"/>
  <c r="AF9" i="36"/>
  <c r="AG9" i="36" s="1"/>
  <c r="AH9" i="36" s="1"/>
  <c r="AF8" i="36"/>
  <c r="AG8" i="36" s="1"/>
  <c r="AH8" i="36" s="1"/>
  <c r="AI8" i="36" s="1"/>
  <c r="Z8" i="36"/>
  <c r="S8" i="36" a="1"/>
  <c r="T8" i="36" a="1"/>
  <c r="W8" i="36" a="1"/>
  <c r="X8" i="36" a="1"/>
  <c r="F8" i="36" a="1"/>
  <c r="G8" i="36" a="1"/>
  <c r="K8" i="36" a="1"/>
  <c r="N8" i="36" a="1"/>
  <c r="K9" i="36" a="1"/>
  <c r="Z7" i="36"/>
  <c r="AA7" i="36"/>
  <c r="AF7" i="36"/>
  <c r="AG7" i="36" s="1"/>
  <c r="AH7" i="36" s="1"/>
  <c r="AF6" i="36"/>
  <c r="AG6" i="36" s="1"/>
  <c r="AH6" i="36" s="1"/>
  <c r="Z6" i="36"/>
  <c r="S6" i="36" a="1"/>
  <c r="T6" i="36" a="1"/>
  <c r="W6" i="36" a="1"/>
  <c r="X6" i="36" a="1"/>
  <c r="F6" i="36" a="1"/>
  <c r="G6" i="36" a="1"/>
  <c r="K6" i="36" a="1"/>
  <c r="N6" i="36" a="1"/>
  <c r="K7" i="36" a="1"/>
  <c r="F2" i="24" a="1"/>
  <c r="L2" i="24" s="1"/>
  <c r="H2" i="24" a="1"/>
  <c r="G2" i="24" a="1"/>
  <c r="F3" i="24" a="1"/>
  <c r="L3" i="24" s="1"/>
  <c r="H3" i="24" a="1"/>
  <c r="G3" i="24" a="1"/>
  <c r="G12" i="24" a="1"/>
  <c r="F12" i="24" a="1"/>
  <c r="L12" i="24" s="1"/>
  <c r="H12" i="24" a="1"/>
  <c r="G13" i="24" a="1"/>
  <c r="F13" i="24" a="1"/>
  <c r="L13" i="24" s="1"/>
  <c r="H13" i="24" a="1"/>
  <c r="G14" i="24" a="1"/>
  <c r="H14" i="24" a="1"/>
  <c r="F14" i="24" a="1"/>
  <c r="L14" i="24" s="1"/>
  <c r="G15" i="24" a="1"/>
  <c r="F15" i="24" a="1"/>
  <c r="L15" i="24" s="1"/>
  <c r="H15" i="24" a="1"/>
  <c r="F16" i="24" a="1"/>
  <c r="L16" i="24" s="1"/>
  <c r="G16" i="24" a="1"/>
  <c r="H16" i="24" a="1"/>
  <c r="G17" i="24" a="1"/>
  <c r="F17" i="24" a="1"/>
  <c r="L17" i="24" s="1"/>
  <c r="H17" i="24" a="1"/>
  <c r="G18" i="24" a="1"/>
  <c r="F18" i="24" a="1"/>
  <c r="L18" i="24" s="1"/>
  <c r="H18" i="24" a="1"/>
  <c r="H19" i="24" a="1"/>
  <c r="G19" i="24" a="1"/>
  <c r="F19" i="24" a="1"/>
  <c r="L19" i="24" s="1"/>
  <c r="H20" i="24" a="1"/>
  <c r="G20" i="24" a="1"/>
  <c r="F20" i="24" a="1"/>
  <c r="L20" i="24" s="1"/>
  <c r="F21" i="24" a="1"/>
  <c r="L21" i="24" s="1"/>
  <c r="G21" i="24" a="1"/>
  <c r="H21" i="24" a="1"/>
  <c r="H4" i="24" a="1"/>
  <c r="G4" i="24" a="1"/>
  <c r="F4" i="24" a="1"/>
  <c r="L4" i="24" s="1"/>
  <c r="H5" i="24" a="1"/>
  <c r="G5" i="24" a="1"/>
  <c r="F5" i="24" a="1"/>
  <c r="L5" i="24" s="1"/>
  <c r="H6" i="24" a="1"/>
  <c r="G6" i="24" a="1"/>
  <c r="F6" i="24" a="1"/>
  <c r="L6" i="24" s="1"/>
  <c r="H7" i="24" a="1"/>
  <c r="G7" i="24" a="1"/>
  <c r="F7" i="24" a="1"/>
  <c r="L7" i="24" s="1"/>
  <c r="H8" i="24" a="1"/>
  <c r="G8" i="24" a="1"/>
  <c r="F8" i="24" a="1"/>
  <c r="L8" i="24" s="1"/>
  <c r="H9" i="24" a="1"/>
  <c r="G9" i="24" a="1"/>
  <c r="F9" i="24" a="1"/>
  <c r="L9" i="24" s="1"/>
  <c r="H10" i="24" a="1"/>
  <c r="G10" i="24" a="1"/>
  <c r="F10" i="24" a="1"/>
  <c r="L10" i="24" s="1"/>
  <c r="H11" i="24" a="1"/>
  <c r="G11" i="24" a="1"/>
  <c r="F11" i="24" a="1"/>
  <c r="L11" i="24" s="1"/>
  <c r="O6" i="32"/>
  <c r="N14" i="20" a="1"/>
  <c r="N12" i="20" a="1"/>
  <c r="F6" i="20" a="1"/>
  <c r="N6" i="20" a="1"/>
  <c r="G6" i="20" a="1"/>
  <c r="N18" i="20" a="1"/>
  <c r="N16" i="20" a="1"/>
  <c r="N10" i="20" a="1"/>
  <c r="O7" i="32"/>
  <c r="O8" i="32"/>
  <c r="J19" i="23" a="1"/>
  <c r="M19" i="23" a="1"/>
  <c r="M18" i="23" a="1"/>
  <c r="J18" i="23" a="1"/>
  <c r="J15" i="23" a="1"/>
  <c r="M15" i="23" a="1"/>
  <c r="J14" i="23" a="1"/>
  <c r="M14" i="23" a="1"/>
  <c r="J34" i="23" a="1"/>
  <c r="M34" i="23" a="1"/>
  <c r="J33" i="23" a="1"/>
  <c r="M33" i="23" a="1"/>
  <c r="J30" i="23" a="1"/>
  <c r="M30" i="23" a="1"/>
  <c r="M29" i="23" a="1"/>
  <c r="J29" i="23" a="1"/>
  <c r="M23" i="23" a="1"/>
  <c r="J23" i="23" a="1"/>
  <c r="M22" i="23" a="1"/>
  <c r="J22" i="23" a="1"/>
  <c r="M21" i="23" a="1"/>
  <c r="J21" i="23" a="1"/>
  <c r="M20" i="23" a="1"/>
  <c r="J20" i="23" a="1"/>
  <c r="M17" i="23" a="1"/>
  <c r="J17" i="23" a="1"/>
  <c r="M16" i="23" a="1"/>
  <c r="J16" i="23" a="1"/>
  <c r="M13" i="23" a="1"/>
  <c r="J13" i="23" a="1"/>
  <c r="M12" i="23" a="1"/>
  <c r="J12" i="23" a="1"/>
  <c r="J11" i="23" a="1"/>
  <c r="M11" i="23" a="1"/>
  <c r="J10" i="23" a="1"/>
  <c r="M10" i="23" a="1"/>
  <c r="J9" i="23" a="1"/>
  <c r="M9" i="23" a="1"/>
  <c r="J8" i="23" a="1"/>
  <c r="M8" i="23" a="1"/>
  <c r="J32" i="23" a="1"/>
  <c r="M32" i="23" a="1"/>
  <c r="J31" i="23" a="1"/>
  <c r="M31" i="23" a="1"/>
  <c r="J28" i="23" a="1"/>
  <c r="M28" i="23" a="1"/>
  <c r="M27" i="23" a="1"/>
  <c r="J27" i="23" a="1"/>
  <c r="J36" i="23" a="1"/>
  <c r="M36" i="23" a="1"/>
  <c r="M35" i="23" a="1"/>
  <c r="J35" i="23" a="1"/>
  <c r="M40" i="23" a="1"/>
  <c r="J40" i="23" a="1"/>
  <c r="J39" i="23" a="1"/>
  <c r="M39" i="23" a="1"/>
  <c r="M42" i="23" a="1"/>
  <c r="J42" i="23" a="1"/>
  <c r="J41" i="23" a="1"/>
  <c r="M41" i="23" a="1"/>
  <c r="J38" i="23" a="1"/>
  <c r="M38" i="23" a="1"/>
  <c r="J37" i="23" a="1"/>
  <c r="M37" i="23" a="1"/>
  <c r="O9" i="32"/>
  <c r="Y9" i="32"/>
  <c r="Z9" i="32"/>
  <c r="K9" i="32"/>
  <c r="N9" i="32" s="1"/>
  <c r="AE9" i="32"/>
  <c r="AF9" i="32" s="1"/>
  <c r="K8" i="32"/>
  <c r="N8" i="32" s="1"/>
  <c r="AE8" i="32"/>
  <c r="AF8" i="32" s="1"/>
  <c r="Y8" i="32"/>
  <c r="Z8" i="32"/>
  <c r="AA8" i="32" s="1"/>
  <c r="Z7" i="32"/>
  <c r="Y7" i="32"/>
  <c r="K7" i="32"/>
  <c r="N7" i="32" s="1"/>
  <c r="AE7" i="32"/>
  <c r="AF7" i="32" s="1"/>
  <c r="AG7" i="32" s="1"/>
  <c r="AE6" i="32"/>
  <c r="AF6" i="32" s="1"/>
  <c r="AG6" i="32" s="1"/>
  <c r="K6" i="32"/>
  <c r="N6" i="32" s="1"/>
  <c r="Y6" i="32"/>
  <c r="Z6" i="32"/>
  <c r="X19" i="23" a="1"/>
  <c r="AD19" i="23" a="1"/>
  <c r="X18" i="23" a="1"/>
  <c r="AD18" i="23" a="1"/>
  <c r="AD15" i="23" a="1"/>
  <c r="X15" i="23" a="1"/>
  <c r="I14" i="23" a="1"/>
  <c r="X14" i="23" a="1"/>
  <c r="AD14" i="23" a="1"/>
  <c r="AD34" i="23" a="1"/>
  <c r="X34" i="23" a="1"/>
  <c r="X33" i="23" a="1"/>
  <c r="AD33" i="23" a="1"/>
  <c r="X30" i="23" a="1"/>
  <c r="AD30" i="23" a="1"/>
  <c r="X29" i="23" a="1"/>
  <c r="AD29" i="23" a="1"/>
  <c r="AD23" i="23" a="1"/>
  <c r="X23" i="23" a="1"/>
  <c r="AD22" i="23" a="1"/>
  <c r="X22" i="23" a="1"/>
  <c r="X21" i="23" a="1"/>
  <c r="AD21" i="23" a="1"/>
  <c r="X20" i="23" a="1"/>
  <c r="AD20" i="23" a="1"/>
  <c r="X17" i="23" a="1"/>
  <c r="AD17" i="23" a="1"/>
  <c r="AD16" i="23" a="1"/>
  <c r="X16" i="23" a="1"/>
  <c r="AD13" i="23" a="1"/>
  <c r="X13" i="23" a="1"/>
  <c r="AD12" i="23" a="1"/>
  <c r="X12" i="23" a="1"/>
  <c r="AD11" i="23" a="1"/>
  <c r="X11" i="23" a="1"/>
  <c r="AD10" i="23" a="1"/>
  <c r="X10" i="23" a="1"/>
  <c r="AD9" i="23" a="1"/>
  <c r="X9" i="23" a="1"/>
  <c r="X8" i="23" a="1"/>
  <c r="AD8" i="23" a="1"/>
  <c r="AD32" i="23" a="1"/>
  <c r="X32" i="23" a="1"/>
  <c r="AD31" i="23" a="1"/>
  <c r="X31" i="23" a="1"/>
  <c r="AD28" i="23" a="1"/>
  <c r="X28" i="23" a="1"/>
  <c r="AD27" i="23" a="1"/>
  <c r="X27" i="23" a="1"/>
  <c r="AD36" i="23" a="1"/>
  <c r="X36" i="23" a="1"/>
  <c r="AD35" i="23" a="1"/>
  <c r="X35" i="23" a="1"/>
  <c r="X40" i="23" a="1"/>
  <c r="AD40" i="23" a="1"/>
  <c r="X39" i="23" a="1"/>
  <c r="AD39" i="23" a="1"/>
  <c r="AD42" i="23" a="1"/>
  <c r="X42" i="23" a="1"/>
  <c r="X41" i="23" a="1"/>
  <c r="AD41" i="23" a="1"/>
  <c r="X38" i="23" a="1"/>
  <c r="AD38" i="23" a="1"/>
  <c r="AD37" i="23" a="1"/>
  <c r="X37" i="23" a="1"/>
  <c r="H19" i="23" a="1"/>
  <c r="I19" i="23" a="1"/>
  <c r="H18" i="23" a="1"/>
  <c r="I18" i="23" a="1"/>
  <c r="H15" i="23" a="1"/>
  <c r="I15" i="23" a="1"/>
  <c r="H34" i="23" a="1"/>
  <c r="I34" i="23" a="1"/>
  <c r="Y34" i="23" s="1"/>
  <c r="H33" i="23" a="1"/>
  <c r="I33" i="23" a="1"/>
  <c r="Y33" i="23" s="1"/>
  <c r="H30" i="23" a="1"/>
  <c r="I30" i="23" a="1"/>
  <c r="H29" i="23" a="1"/>
  <c r="I29" i="23" a="1"/>
  <c r="H23" i="23" a="1"/>
  <c r="I23" i="23" a="1"/>
  <c r="H22" i="23" a="1"/>
  <c r="I22" i="23" a="1"/>
  <c r="H21" i="23" a="1"/>
  <c r="I21" i="23" a="1"/>
  <c r="H20" i="23" a="1"/>
  <c r="I20" i="23" a="1"/>
  <c r="H17" i="23" a="1"/>
  <c r="I17" i="23" a="1"/>
  <c r="H16" i="23" a="1"/>
  <c r="I16" i="23" a="1"/>
  <c r="H13" i="23" a="1"/>
  <c r="I13" i="23" a="1"/>
  <c r="H12" i="23" a="1"/>
  <c r="I12" i="23" a="1"/>
  <c r="H11" i="23" a="1"/>
  <c r="I11" i="23" a="1"/>
  <c r="H10" i="23" a="1"/>
  <c r="I10" i="23" a="1"/>
  <c r="H9" i="23" a="1"/>
  <c r="I9" i="23" a="1"/>
  <c r="H8" i="23" a="1"/>
  <c r="I8" i="23" a="1"/>
  <c r="H32" i="23" a="1"/>
  <c r="I32" i="23" a="1"/>
  <c r="H31" i="23" a="1"/>
  <c r="I31" i="23" a="1"/>
  <c r="H28" i="23" a="1"/>
  <c r="I28" i="23" a="1"/>
  <c r="H27" i="23" a="1"/>
  <c r="I27" i="23" a="1"/>
  <c r="H36" i="23" a="1"/>
  <c r="I36" i="23" a="1"/>
  <c r="H35" i="23" a="1"/>
  <c r="I35" i="23" a="1"/>
  <c r="H40" i="23" a="1"/>
  <c r="I40" i="23" a="1"/>
  <c r="H39" i="23" a="1"/>
  <c r="I39" i="23" a="1"/>
  <c r="H42" i="23" a="1"/>
  <c r="I42" i="23" a="1"/>
  <c r="H41" i="23" a="1"/>
  <c r="I41" i="23" a="1"/>
  <c r="H38" i="23" a="1"/>
  <c r="I38" i="23" a="1"/>
  <c r="H37" i="23" a="1"/>
  <c r="I37" i="23" a="1"/>
  <c r="H14" i="23" a="1"/>
  <c r="Y15" i="20" a="1"/>
  <c r="AE15" i="20" a="1"/>
  <c r="Y14" i="20" a="1"/>
  <c r="AE14" i="20" a="1"/>
  <c r="Y13" i="20" a="1"/>
  <c r="AE13" i="20" a="1"/>
  <c r="Y12" i="20" a="1"/>
  <c r="AE12" i="20" a="1"/>
  <c r="Y7" i="20" a="1"/>
  <c r="AE7" i="20" a="1"/>
  <c r="Y19" i="20" a="1"/>
  <c r="AE19" i="20" a="1"/>
  <c r="Y18" i="20" a="1"/>
  <c r="AE18" i="20" a="1"/>
  <c r="Y17" i="20" a="1"/>
  <c r="AE17" i="20" a="1"/>
  <c r="Y16" i="20" a="1"/>
  <c r="AE16" i="20" a="1"/>
  <c r="Y11" i="20" a="1"/>
  <c r="AE11" i="20" a="1"/>
  <c r="Y10" i="20" a="1"/>
  <c r="AE10" i="20" a="1"/>
  <c r="Y9" i="20" a="1"/>
  <c r="AE9" i="20" a="1"/>
  <c r="Y8" i="20" a="1"/>
  <c r="AE8" i="20" a="1"/>
  <c r="AE6" i="20" a="1"/>
  <c r="Y6" i="20" a="1"/>
  <c r="J15" i="20" a="1"/>
  <c r="I15" i="20" a="1"/>
  <c r="J14" i="20" a="1"/>
  <c r="I14" i="20" a="1"/>
  <c r="J13" i="20" a="1"/>
  <c r="I13" i="20" a="1"/>
  <c r="J12" i="20" a="1"/>
  <c r="I12" i="20" a="1"/>
  <c r="J7" i="20" a="1"/>
  <c r="I7" i="20" a="1"/>
  <c r="J6" i="20" a="1"/>
  <c r="I6" i="20" a="1"/>
  <c r="J19" i="20" a="1"/>
  <c r="I19" i="20" a="1"/>
  <c r="J18" i="20" a="1"/>
  <c r="I18" i="20" a="1"/>
  <c r="J17" i="20" a="1"/>
  <c r="I17" i="20" a="1"/>
  <c r="J16" i="20" a="1"/>
  <c r="I16" i="20" a="1"/>
  <c r="J11" i="20" a="1"/>
  <c r="I11" i="20" a="1"/>
  <c r="J10" i="20" a="1"/>
  <c r="I10" i="20" a="1"/>
  <c r="J9" i="20" a="1"/>
  <c r="I9" i="20" a="1"/>
  <c r="J8" i="20" a="1"/>
  <c r="I8" i="20" a="1"/>
  <c r="M22" i="24"/>
  <c r="N22" i="24" s="1"/>
  <c r="AG23" i="25"/>
  <c r="AG22" i="25"/>
  <c r="AG21" i="25"/>
  <c r="AG20" i="25"/>
  <c r="AG27" i="25"/>
  <c r="AG26" i="25"/>
  <c r="AG25" i="25"/>
  <c r="AG24" i="25"/>
  <c r="P24" i="20"/>
  <c r="P25" i="20"/>
  <c r="Z25" i="20"/>
  <c r="AA25" i="20"/>
  <c r="AF25" i="20"/>
  <c r="AG25" i="20" s="1"/>
  <c r="AH25" i="20" s="1"/>
  <c r="L25" i="20"/>
  <c r="O25" i="20" s="1"/>
  <c r="Z24" i="20"/>
  <c r="AA24" i="20"/>
  <c r="AF24" i="20"/>
  <c r="AG24" i="20" s="1"/>
  <c r="AH24" i="20" s="1"/>
  <c r="L24" i="20"/>
  <c r="O24" i="20" s="1"/>
  <c r="P22" i="20"/>
  <c r="P23" i="20"/>
  <c r="Z23" i="20"/>
  <c r="AA23" i="20"/>
  <c r="L23" i="20"/>
  <c r="O23" i="20" s="1"/>
  <c r="AF23" i="20"/>
  <c r="AG23" i="20" s="1"/>
  <c r="AH23" i="20" s="1"/>
  <c r="Z22" i="20"/>
  <c r="AA22" i="20"/>
  <c r="L22" i="20"/>
  <c r="O22" i="20" s="1"/>
  <c r="AF22" i="20"/>
  <c r="AG22" i="20" s="1"/>
  <c r="AH22" i="20" s="1"/>
  <c r="P20" i="20"/>
  <c r="P21" i="20"/>
  <c r="Z21" i="20"/>
  <c r="AA21" i="20"/>
  <c r="L21" i="20"/>
  <c r="O21" i="20" s="1"/>
  <c r="AF21" i="20"/>
  <c r="AG21" i="20" s="1"/>
  <c r="AH21" i="20" s="1"/>
  <c r="AF20" i="20"/>
  <c r="AG20" i="20" s="1"/>
  <c r="AH20" i="20" s="1"/>
  <c r="L20" i="20"/>
  <c r="O20" i="20" s="1"/>
  <c r="Z20" i="20"/>
  <c r="AA20" i="20"/>
  <c r="E2" i="24" a="1"/>
  <c r="E3" i="24" a="1"/>
  <c r="D3" i="24" a="1"/>
  <c r="C3" i="24" a="1"/>
  <c r="B3" i="24" a="1"/>
  <c r="E4" i="24" a="1"/>
  <c r="D4" i="24" a="1"/>
  <c r="C4" i="24" a="1"/>
  <c r="B4" i="24" a="1"/>
  <c r="C5" i="24" a="1"/>
  <c r="D5" i="24" a="1"/>
  <c r="B5" i="24" a="1"/>
  <c r="E5" i="24" a="1"/>
  <c r="E6" i="24" a="1"/>
  <c r="D6" i="24" a="1"/>
  <c r="C6" i="24" a="1"/>
  <c r="B6" i="24" a="1"/>
  <c r="B7" i="24" a="1"/>
  <c r="C7" i="24" a="1"/>
  <c r="E7" i="24" a="1"/>
  <c r="D7" i="24" a="1"/>
  <c r="E8" i="24" a="1"/>
  <c r="D8" i="24" a="1"/>
  <c r="C8" i="24" a="1"/>
  <c r="B8" i="24" a="1"/>
  <c r="D9" i="24" a="1"/>
  <c r="C9" i="24" a="1"/>
  <c r="B9" i="24" a="1"/>
  <c r="E9" i="24" a="1"/>
  <c r="C10" i="24" a="1"/>
  <c r="B10" i="24" a="1"/>
  <c r="E10" i="24" a="1"/>
  <c r="D10" i="24" a="1"/>
  <c r="B11" i="24" a="1"/>
  <c r="C11" i="24" a="1"/>
  <c r="D11" i="24" a="1"/>
  <c r="E11" i="24" a="1"/>
  <c r="D12" i="24" a="1"/>
  <c r="B12" i="24" a="1"/>
  <c r="C12" i="24" a="1"/>
  <c r="E12" i="24" a="1"/>
  <c r="D13" i="24" a="1"/>
  <c r="C13" i="24" a="1"/>
  <c r="B13" i="24" a="1"/>
  <c r="E13" i="24" a="1"/>
  <c r="E14" i="24" a="1"/>
  <c r="D14" i="24" a="1"/>
  <c r="C14" i="24" a="1"/>
  <c r="B14" i="24" a="1"/>
  <c r="E15" i="24" a="1"/>
  <c r="B15" i="24" a="1"/>
  <c r="D15" i="24" a="1"/>
  <c r="C15" i="24" a="1"/>
  <c r="E16" i="24" a="1"/>
  <c r="D16" i="24" a="1"/>
  <c r="C16" i="24" a="1"/>
  <c r="B16" i="24" a="1"/>
  <c r="E17" i="24" a="1"/>
  <c r="D17" i="24" a="1"/>
  <c r="C17" i="24" a="1"/>
  <c r="B17" i="24" a="1"/>
  <c r="E18" i="24" a="1"/>
  <c r="C18" i="24" a="1"/>
  <c r="B18" i="24" a="1"/>
  <c r="D18" i="24" a="1"/>
  <c r="C19" i="24" a="1"/>
  <c r="B19" i="24" a="1"/>
  <c r="D19" i="24" a="1"/>
  <c r="E19" i="24" a="1"/>
  <c r="E20" i="24" a="1"/>
  <c r="B20" i="24" a="1"/>
  <c r="C20" i="24" a="1"/>
  <c r="D20" i="24" a="1"/>
  <c r="E21" i="24" a="1"/>
  <c r="D21" i="24" a="1"/>
  <c r="B21" i="24" a="1"/>
  <c r="C21" i="24" a="1"/>
  <c r="B2" i="24" a="1"/>
  <c r="C2" i="24" a="1"/>
  <c r="D2" i="24" a="1"/>
  <c r="AA22" i="25"/>
  <c r="AA26" i="25"/>
  <c r="AA24" i="25"/>
  <c r="AA20" i="25"/>
  <c r="P22" i="25"/>
  <c r="Q22" i="25"/>
  <c r="T22" i="25"/>
  <c r="U22" i="25"/>
  <c r="P20" i="25"/>
  <c r="Q20" i="25"/>
  <c r="T20" i="25"/>
  <c r="U20" i="25"/>
  <c r="P26" i="25"/>
  <c r="Q26" i="25"/>
  <c r="T26" i="25"/>
  <c r="U26" i="25"/>
  <c r="P24" i="25"/>
  <c r="Q24" i="25"/>
  <c r="T24" i="25"/>
  <c r="U24" i="25"/>
  <c r="O50" i="26"/>
  <c r="O61" i="26"/>
  <c r="O60" i="26"/>
  <c r="O59" i="26"/>
  <c r="O55" i="26"/>
  <c r="O28" i="26"/>
  <c r="O62" i="26"/>
  <c r="O56" i="26"/>
  <c r="O27" i="26"/>
  <c r="O64" i="26"/>
  <c r="O63" i="26"/>
  <c r="Y64" i="26"/>
  <c r="Z64" i="26"/>
  <c r="K64" i="26"/>
  <c r="N64" i="26" s="1"/>
  <c r="AE64" i="26"/>
  <c r="AF64" i="26" s="1"/>
  <c r="AG64" i="26" s="1"/>
  <c r="K63" i="26"/>
  <c r="N63" i="26" s="1"/>
  <c r="AE63" i="26"/>
  <c r="AF63" i="26" s="1"/>
  <c r="AG63" i="26" s="1"/>
  <c r="Y63" i="26"/>
  <c r="Z63" i="26"/>
  <c r="K62" i="26"/>
  <c r="N62" i="26" s="1"/>
  <c r="AE62" i="26"/>
  <c r="AF62" i="26" s="1"/>
  <c r="AG62" i="26" s="1"/>
  <c r="Y62" i="26"/>
  <c r="Z62" i="26"/>
  <c r="K61" i="26"/>
  <c r="N61" i="26" s="1"/>
  <c r="AE61" i="26"/>
  <c r="AF61" i="26" s="1"/>
  <c r="AG61" i="26" s="1"/>
  <c r="Y61" i="26"/>
  <c r="Z61" i="26"/>
  <c r="K60" i="26"/>
  <c r="N60" i="26" s="1"/>
  <c r="AE60" i="26"/>
  <c r="AF60" i="26" s="1"/>
  <c r="AG60" i="26" s="1"/>
  <c r="Z60" i="26"/>
  <c r="Y60" i="26"/>
  <c r="K59" i="26"/>
  <c r="N59" i="26" s="1"/>
  <c r="AE59" i="26"/>
  <c r="AF59" i="26" s="1"/>
  <c r="AG59" i="26" s="1"/>
  <c r="Y59" i="26"/>
  <c r="Z59" i="26"/>
  <c r="K58" i="26"/>
  <c r="N58" i="26" s="1"/>
  <c r="AE58" i="26"/>
  <c r="AF58" i="26" s="1"/>
  <c r="AG58" i="26" s="1"/>
  <c r="Z58" i="26"/>
  <c r="Y58" i="26"/>
  <c r="K57" i="26"/>
  <c r="N57" i="26" s="1"/>
  <c r="AE57" i="26"/>
  <c r="AF57" i="26" s="1"/>
  <c r="AG57" i="26" s="1"/>
  <c r="Z57" i="26"/>
  <c r="Y57" i="26"/>
  <c r="Z56" i="26"/>
  <c r="Y56" i="26"/>
  <c r="AE56" i="26"/>
  <c r="AF56" i="26" s="1"/>
  <c r="AG56" i="26" s="1"/>
  <c r="K56" i="26"/>
  <c r="N56" i="26" s="1"/>
  <c r="Z55" i="26"/>
  <c r="Y55" i="26"/>
  <c r="K55" i="26"/>
  <c r="N55" i="26" s="1"/>
  <c r="AE55" i="26"/>
  <c r="AF55" i="26" s="1"/>
  <c r="AG55" i="26" s="1"/>
  <c r="O32" i="26"/>
  <c r="O24" i="26"/>
  <c r="O16" i="26"/>
  <c r="O29" i="26"/>
  <c r="O58" i="26"/>
  <c r="O57" i="26"/>
  <c r="O30" i="26"/>
  <c r="O25" i="26"/>
  <c r="O23" i="26"/>
  <c r="O22" i="26"/>
  <c r="O31" i="26"/>
  <c r="O26" i="26"/>
  <c r="O21" i="26"/>
  <c r="Y32" i="26"/>
  <c r="Z32" i="26"/>
  <c r="K32" i="26"/>
  <c r="N32" i="26" s="1"/>
  <c r="AE32" i="26"/>
  <c r="AF32" i="26" s="1"/>
  <c r="Y31" i="26"/>
  <c r="Z31" i="26"/>
  <c r="K31" i="26"/>
  <c r="N31" i="26" s="1"/>
  <c r="AE31" i="26"/>
  <c r="AF31" i="26" s="1"/>
  <c r="Y30" i="26"/>
  <c r="Z30" i="26"/>
  <c r="K30" i="26"/>
  <c r="N30" i="26" s="1"/>
  <c r="AE30" i="26"/>
  <c r="AF30" i="26" s="1"/>
  <c r="Y29" i="26"/>
  <c r="Z29" i="26"/>
  <c r="AE29" i="26"/>
  <c r="AF29" i="26" s="1"/>
  <c r="K29" i="26"/>
  <c r="N29" i="26" s="1"/>
  <c r="Z28" i="26"/>
  <c r="Y28" i="26"/>
  <c r="AE28" i="26"/>
  <c r="AF28" i="26" s="1"/>
  <c r="K28" i="26"/>
  <c r="N28" i="26" s="1"/>
  <c r="Y27" i="26"/>
  <c r="Z27" i="26"/>
  <c r="AE27" i="26"/>
  <c r="AF27" i="26" s="1"/>
  <c r="K27" i="26"/>
  <c r="N27" i="26" s="1"/>
  <c r="Y26" i="26"/>
  <c r="Z26" i="26"/>
  <c r="K26" i="26"/>
  <c r="N26" i="26" s="1"/>
  <c r="AE26" i="26"/>
  <c r="AF26" i="26" s="1"/>
  <c r="AE25" i="26"/>
  <c r="AF25" i="26" s="1"/>
  <c r="K25" i="26"/>
  <c r="N25" i="26" s="1"/>
  <c r="Z25" i="26"/>
  <c r="Y25" i="26"/>
  <c r="Z24" i="26"/>
  <c r="Y24" i="26"/>
  <c r="K24" i="26"/>
  <c r="N24" i="26" s="1"/>
  <c r="AE24" i="26"/>
  <c r="AF24" i="26" s="1"/>
  <c r="K23" i="26"/>
  <c r="N23" i="26" s="1"/>
  <c r="AE23" i="26"/>
  <c r="AF23" i="26" s="1"/>
  <c r="Y23" i="26"/>
  <c r="Z23" i="26"/>
  <c r="Y22" i="26"/>
  <c r="Z22" i="26"/>
  <c r="AE22" i="26"/>
  <c r="AF22" i="26" s="1"/>
  <c r="K22" i="26"/>
  <c r="N22" i="26" s="1"/>
  <c r="Y21" i="26"/>
  <c r="Z21" i="26"/>
  <c r="K21" i="26"/>
  <c r="N21" i="26" s="1"/>
  <c r="AE21" i="26"/>
  <c r="AF21" i="26" s="1"/>
  <c r="O18" i="26"/>
  <c r="O14" i="26"/>
  <c r="O19" i="26"/>
  <c r="O17" i="26"/>
  <c r="O15" i="26"/>
  <c r="O12" i="26"/>
  <c r="O11" i="26"/>
  <c r="O8" i="26"/>
  <c r="O9" i="26"/>
  <c r="O7" i="26"/>
  <c r="O13" i="26"/>
  <c r="O10" i="26"/>
  <c r="O6" i="26"/>
  <c r="Y19" i="26"/>
  <c r="Z19" i="26"/>
  <c r="K19" i="26"/>
  <c r="N19" i="26" s="1"/>
  <c r="AE19" i="26"/>
  <c r="AF19" i="26" s="1"/>
  <c r="AG19" i="26" s="1"/>
  <c r="Y18" i="26"/>
  <c r="Z18" i="26"/>
  <c r="K18" i="26"/>
  <c r="N18" i="26" s="1"/>
  <c r="AE18" i="26"/>
  <c r="AF18" i="26" s="1"/>
  <c r="AG18" i="26" s="1"/>
  <c r="AE17" i="26"/>
  <c r="AF17" i="26" s="1"/>
  <c r="AG17" i="26" s="1"/>
  <c r="K17" i="26"/>
  <c r="N17" i="26" s="1"/>
  <c r="Z17" i="26"/>
  <c r="Y17" i="26"/>
  <c r="K16" i="26"/>
  <c r="N16" i="26" s="1"/>
  <c r="AE16" i="26"/>
  <c r="AF16" i="26" s="1"/>
  <c r="AG16" i="26" s="1"/>
  <c r="Y16" i="26"/>
  <c r="Z16" i="26"/>
  <c r="Y15" i="26"/>
  <c r="Z15" i="26"/>
  <c r="K15" i="26"/>
  <c r="N15" i="26" s="1"/>
  <c r="AE15" i="26"/>
  <c r="AF15" i="26" s="1"/>
  <c r="AG15" i="26" s="1"/>
  <c r="K14" i="26"/>
  <c r="N14" i="26" s="1"/>
  <c r="AE14" i="26"/>
  <c r="AF14" i="26" s="1"/>
  <c r="AG14" i="26" s="1"/>
  <c r="Y14" i="26"/>
  <c r="Z14" i="26"/>
  <c r="Z13" i="26"/>
  <c r="Y13" i="26"/>
  <c r="K13" i="26"/>
  <c r="N13" i="26" s="1"/>
  <c r="AE13" i="26"/>
  <c r="AF13" i="26" s="1"/>
  <c r="AG13" i="26" s="1"/>
  <c r="K12" i="26"/>
  <c r="N12" i="26" s="1"/>
  <c r="AE12" i="26"/>
  <c r="AF12" i="26" s="1"/>
  <c r="AG12" i="26" s="1"/>
  <c r="Y12" i="26"/>
  <c r="Z12" i="26"/>
  <c r="Z11" i="26"/>
  <c r="Y11" i="26"/>
  <c r="AE11" i="26"/>
  <c r="AF11" i="26" s="1"/>
  <c r="AG11" i="26" s="1"/>
  <c r="K11" i="26"/>
  <c r="N11" i="26" s="1"/>
  <c r="Z10" i="26"/>
  <c r="Y10" i="26"/>
  <c r="K10" i="26"/>
  <c r="N10" i="26" s="1"/>
  <c r="AE10" i="26"/>
  <c r="AF10" i="26" s="1"/>
  <c r="AG10" i="26" s="1"/>
  <c r="AE9" i="26"/>
  <c r="AF9" i="26" s="1"/>
  <c r="AG9" i="26" s="1"/>
  <c r="K9" i="26"/>
  <c r="N9" i="26" s="1"/>
  <c r="Z9" i="26"/>
  <c r="Y9" i="26"/>
  <c r="Y8" i="26"/>
  <c r="Z8" i="26"/>
  <c r="AE8" i="26"/>
  <c r="AF8" i="26" s="1"/>
  <c r="AG8" i="26" s="1"/>
  <c r="K8" i="26"/>
  <c r="N8" i="26" s="1"/>
  <c r="Y7" i="26"/>
  <c r="Z7" i="26"/>
  <c r="K7" i="26"/>
  <c r="N7" i="26" s="1"/>
  <c r="AE7" i="26"/>
  <c r="AF7" i="26" s="1"/>
  <c r="AG7" i="26" s="1"/>
  <c r="K6" i="26"/>
  <c r="N6" i="26" s="1"/>
  <c r="AE6" i="26"/>
  <c r="AF6" i="26" s="1"/>
  <c r="Z6" i="26"/>
  <c r="Y6" i="26"/>
  <c r="O46" i="26"/>
  <c r="O53" i="26"/>
  <c r="O47" i="26"/>
  <c r="O48" i="26"/>
  <c r="O42" i="26"/>
  <c r="O44" i="26"/>
  <c r="O38" i="26"/>
  <c r="O52" i="26"/>
  <c r="O51" i="26"/>
  <c r="O43" i="26"/>
  <c r="O39" i="26"/>
  <c r="O37" i="26"/>
  <c r="O49" i="26"/>
  <c r="O45" i="26"/>
  <c r="O40" i="26"/>
  <c r="O36" i="26"/>
  <c r="O35" i="26"/>
  <c r="O34" i="26"/>
  <c r="O41" i="26"/>
  <c r="Y53" i="26"/>
  <c r="Z53" i="26"/>
  <c r="K53" i="26"/>
  <c r="N53" i="26" s="1"/>
  <c r="AE53" i="26"/>
  <c r="AF53" i="26" s="1"/>
  <c r="AE52" i="26"/>
  <c r="AF52" i="26" s="1"/>
  <c r="K52" i="26"/>
  <c r="N52" i="26" s="1"/>
  <c r="Z52" i="26"/>
  <c r="Y52" i="26"/>
  <c r="Y51" i="26"/>
  <c r="Z51" i="26"/>
  <c r="K51" i="26"/>
  <c r="N51" i="26" s="1"/>
  <c r="AE51" i="26"/>
  <c r="AF51" i="26" s="1"/>
  <c r="Y50" i="26"/>
  <c r="Z50" i="26"/>
  <c r="AE50" i="26"/>
  <c r="AF50" i="26" s="1"/>
  <c r="K50" i="26"/>
  <c r="N50" i="26" s="1"/>
  <c r="Y49" i="26"/>
  <c r="Z49" i="26"/>
  <c r="K49" i="26"/>
  <c r="N49" i="26" s="1"/>
  <c r="AE49" i="26"/>
  <c r="AF49" i="26" s="1"/>
  <c r="Y48" i="26"/>
  <c r="Z48" i="26"/>
  <c r="AE48" i="26"/>
  <c r="AF48" i="26" s="1"/>
  <c r="K48" i="26"/>
  <c r="N48" i="26" s="1"/>
  <c r="K47" i="26"/>
  <c r="N47" i="26" s="1"/>
  <c r="AE47" i="26"/>
  <c r="AF47" i="26" s="1"/>
  <c r="Y47" i="26"/>
  <c r="Z47" i="26"/>
  <c r="K46" i="26"/>
  <c r="N46" i="26" s="1"/>
  <c r="AE46" i="26"/>
  <c r="AF46" i="26" s="1"/>
  <c r="Y46" i="26"/>
  <c r="Z46" i="26"/>
  <c r="K45" i="26"/>
  <c r="N45" i="26" s="1"/>
  <c r="AE45" i="26"/>
  <c r="AF45" i="26" s="1"/>
  <c r="Y45" i="26"/>
  <c r="Z45" i="26"/>
  <c r="Y44" i="26"/>
  <c r="Z44" i="26"/>
  <c r="K44" i="26"/>
  <c r="N44" i="26" s="1"/>
  <c r="AE44" i="26"/>
  <c r="AF44" i="26" s="1"/>
  <c r="AE43" i="26"/>
  <c r="AF43" i="26" s="1"/>
  <c r="K43" i="26"/>
  <c r="N43" i="26" s="1"/>
  <c r="Z43" i="26"/>
  <c r="Y43" i="26"/>
  <c r="Y42" i="26"/>
  <c r="Z42" i="26"/>
  <c r="AE42" i="26"/>
  <c r="AF42" i="26" s="1"/>
  <c r="K42" i="26"/>
  <c r="N42" i="26" s="1"/>
  <c r="K41" i="26"/>
  <c r="N41" i="26" s="1"/>
  <c r="AE41" i="26"/>
  <c r="AF41" i="26" s="1"/>
  <c r="Z41" i="26"/>
  <c r="Y41" i="26"/>
  <c r="Z40" i="26"/>
  <c r="Y40" i="26"/>
  <c r="K40" i="26"/>
  <c r="N40" i="26" s="1"/>
  <c r="AE40" i="26"/>
  <c r="AF40" i="26" s="1"/>
  <c r="Y39" i="26"/>
  <c r="Z39" i="26"/>
  <c r="AE39" i="26"/>
  <c r="AF39" i="26" s="1"/>
  <c r="K39" i="26"/>
  <c r="N39" i="26" s="1"/>
  <c r="Y38" i="26"/>
  <c r="Z38" i="26"/>
  <c r="K38" i="26"/>
  <c r="N38" i="26" s="1"/>
  <c r="AE38" i="26"/>
  <c r="AF38" i="26" s="1"/>
  <c r="Y37" i="26"/>
  <c r="Z37" i="26"/>
  <c r="K37" i="26"/>
  <c r="N37" i="26" s="1"/>
  <c r="AE37" i="26"/>
  <c r="AF37" i="26" s="1"/>
  <c r="K36" i="26"/>
  <c r="N36" i="26" s="1"/>
  <c r="AE36" i="26"/>
  <c r="AF36" i="26" s="1"/>
  <c r="Z36" i="26"/>
  <c r="Y36" i="26"/>
  <c r="Z35" i="26"/>
  <c r="Y35" i="26"/>
  <c r="K35" i="26"/>
  <c r="N35" i="26" s="1"/>
  <c r="AE35" i="26"/>
  <c r="AF35" i="26" s="1"/>
  <c r="Y34" i="26"/>
  <c r="Z34" i="26"/>
  <c r="AE34" i="26"/>
  <c r="AF34" i="26" s="1"/>
  <c r="K34" i="26"/>
  <c r="N34" i="26" s="1"/>
  <c r="AI15" i="29"/>
  <c r="AH1" i="29"/>
  <c r="AI5" i="29"/>
  <c r="AI9" i="29"/>
  <c r="K18" i="29"/>
  <c r="N18" i="29" s="1"/>
  <c r="K17" i="29"/>
  <c r="N17" i="29" s="1"/>
  <c r="K16" i="29"/>
  <c r="N16" i="29" s="1"/>
  <c r="K15" i="29"/>
  <c r="N15" i="29" s="1"/>
  <c r="K14" i="29"/>
  <c r="N14" i="29" s="1"/>
  <c r="K13" i="29"/>
  <c r="N13" i="29" s="1"/>
  <c r="K12" i="29"/>
  <c r="N12" i="29" s="1"/>
  <c r="K11" i="29"/>
  <c r="N11" i="29" s="1"/>
  <c r="K10" i="29"/>
  <c r="N10" i="29" s="1"/>
  <c r="K9" i="29"/>
  <c r="N9" i="29" s="1"/>
  <c r="K8" i="29"/>
  <c r="N8" i="29" s="1"/>
  <c r="K7" i="29"/>
  <c r="N7" i="29" s="1"/>
  <c r="K6" i="29"/>
  <c r="N6" i="29" s="1"/>
  <c r="K5" i="29"/>
  <c r="N5" i="29" s="1"/>
  <c r="O17" i="29"/>
  <c r="O18" i="29"/>
  <c r="O15" i="29"/>
  <c r="O8" i="29"/>
  <c r="O13" i="29"/>
  <c r="O14" i="29"/>
  <c r="O6" i="29"/>
  <c r="O9" i="29"/>
  <c r="O5" i="29"/>
  <c r="O10" i="29"/>
  <c r="O16" i="29"/>
  <c r="O11" i="29"/>
  <c r="O12" i="29"/>
  <c r="Y18" i="29"/>
  <c r="Z18" i="29"/>
  <c r="Z17" i="29"/>
  <c r="Y17" i="29"/>
  <c r="Y16" i="29"/>
  <c r="Z16" i="29"/>
  <c r="Y15" i="29"/>
  <c r="Z15" i="29"/>
  <c r="Y14" i="29"/>
  <c r="Z14" i="29"/>
  <c r="Z13" i="29"/>
  <c r="Y13" i="29"/>
  <c r="Y12" i="29"/>
  <c r="Z12" i="29"/>
  <c r="Y11" i="29"/>
  <c r="Z11" i="29"/>
  <c r="Z10" i="29"/>
  <c r="Y10" i="29"/>
  <c r="Z9" i="29"/>
  <c r="Y9" i="29"/>
  <c r="Z8" i="29"/>
  <c r="Y8" i="29"/>
  <c r="Z7" i="29"/>
  <c r="Y7" i="29"/>
  <c r="Y6" i="29"/>
  <c r="Z6" i="29"/>
  <c r="Z5" i="29"/>
  <c r="Y5" i="29"/>
  <c r="O7" i="29"/>
  <c r="O32" i="25"/>
  <c r="Y33" i="25"/>
  <c r="Z33" i="25"/>
  <c r="K33" i="25"/>
  <c r="N33" i="25" s="1"/>
  <c r="AE33" i="25"/>
  <c r="AF33" i="25" s="1"/>
  <c r="Y32" i="25"/>
  <c r="Z32" i="25"/>
  <c r="K32" i="25"/>
  <c r="N32" i="25" s="1"/>
  <c r="AE32" i="25"/>
  <c r="AF32" i="25" s="1"/>
  <c r="O33" i="25"/>
  <c r="O28" i="25"/>
  <c r="O8" i="25"/>
  <c r="O9" i="25"/>
  <c r="O29" i="25"/>
  <c r="Y9" i="25"/>
  <c r="Z9" i="25"/>
  <c r="K9" i="25"/>
  <c r="N9" i="25" s="1"/>
  <c r="AE9" i="25"/>
  <c r="AF9" i="25" s="1"/>
  <c r="K8" i="25"/>
  <c r="N8" i="25" s="1"/>
  <c r="AE8" i="25"/>
  <c r="AF8" i="25" s="1"/>
  <c r="Y8" i="25"/>
  <c r="Z8" i="25"/>
  <c r="O19" i="25"/>
  <c r="O7" i="25"/>
  <c r="O18" i="25"/>
  <c r="O6" i="25"/>
  <c r="Y7" i="25"/>
  <c r="Z7" i="25"/>
  <c r="K7" i="25"/>
  <c r="N7" i="25" s="1"/>
  <c r="AE7" i="25"/>
  <c r="AF7" i="25" s="1"/>
  <c r="Y6" i="25"/>
  <c r="Z6" i="25"/>
  <c r="K6" i="25"/>
  <c r="N6" i="25" s="1"/>
  <c r="AE6" i="25"/>
  <c r="AF6" i="25" s="1"/>
  <c r="Y29" i="25"/>
  <c r="Z29" i="25"/>
  <c r="K29" i="25"/>
  <c r="N29" i="25" s="1"/>
  <c r="AE29" i="25"/>
  <c r="AF29" i="25" s="1"/>
  <c r="K28" i="25"/>
  <c r="N28" i="25" s="1"/>
  <c r="AE28" i="25"/>
  <c r="AF28" i="25" s="1"/>
  <c r="Y28" i="25"/>
  <c r="Z28" i="25"/>
  <c r="K19" i="25"/>
  <c r="N19" i="25" s="1"/>
  <c r="AE19" i="25"/>
  <c r="AF19" i="25" s="1"/>
  <c r="Y19" i="25"/>
  <c r="Z19" i="25"/>
  <c r="Y18" i="25"/>
  <c r="Z18" i="25"/>
  <c r="K18" i="25"/>
  <c r="N18" i="25" s="1"/>
  <c r="AE18" i="25"/>
  <c r="AF18" i="25" s="1"/>
  <c r="Y35" i="25"/>
  <c r="Z35" i="25"/>
  <c r="K35" i="25"/>
  <c r="N35" i="25" s="1"/>
  <c r="AE35" i="25"/>
  <c r="AF35" i="25" s="1"/>
  <c r="Y34" i="25"/>
  <c r="Z34" i="25"/>
  <c r="AE34" i="25"/>
  <c r="AF34" i="25" s="1"/>
  <c r="K34" i="25"/>
  <c r="N34" i="25" s="1"/>
  <c r="O35" i="25"/>
  <c r="O34" i="25"/>
  <c r="Y7" i="23"/>
  <c r="AE7" i="23"/>
  <c r="AF7" i="23" s="1"/>
  <c r="Y6" i="23"/>
  <c r="AE6" i="23"/>
  <c r="AF6" i="23" s="1"/>
  <c r="AA6" i="23"/>
  <c r="O17" i="25"/>
  <c r="O11" i="25"/>
  <c r="O16" i="25"/>
  <c r="O14" i="25"/>
  <c r="O10" i="25"/>
  <c r="O13" i="25"/>
  <c r="O15" i="25"/>
  <c r="Z17" i="25"/>
  <c r="Y17" i="25"/>
  <c r="AE17" i="25"/>
  <c r="AF17" i="25" s="1"/>
  <c r="K17" i="25"/>
  <c r="N17" i="25" s="1"/>
  <c r="Y16" i="25"/>
  <c r="Z16" i="25"/>
  <c r="K16" i="25"/>
  <c r="N16" i="25" s="1"/>
  <c r="AE16" i="25"/>
  <c r="AF16" i="25" s="1"/>
  <c r="Y15" i="25"/>
  <c r="Z15" i="25"/>
  <c r="K15" i="25"/>
  <c r="N15" i="25" s="1"/>
  <c r="AE15" i="25"/>
  <c r="AF15" i="25" s="1"/>
  <c r="Y14" i="25"/>
  <c r="Z14" i="25"/>
  <c r="K14" i="25"/>
  <c r="N14" i="25" s="1"/>
  <c r="AE14" i="25"/>
  <c r="AF14" i="25" s="1"/>
  <c r="O31" i="25"/>
  <c r="O30" i="25"/>
  <c r="O12" i="25"/>
  <c r="Y11" i="25"/>
  <c r="Z11" i="25"/>
  <c r="K11" i="25"/>
  <c r="N11" i="25" s="1"/>
  <c r="AE11" i="25"/>
  <c r="AF11" i="25" s="1"/>
  <c r="AE10" i="25"/>
  <c r="AF10" i="25" s="1"/>
  <c r="K10" i="25"/>
  <c r="N10" i="25" s="1"/>
  <c r="Y10" i="25"/>
  <c r="Z10" i="25"/>
  <c r="Y31" i="25"/>
  <c r="Z31" i="25"/>
  <c r="K31" i="25"/>
  <c r="N31" i="25" s="1"/>
  <c r="AE31" i="25"/>
  <c r="AF31" i="25" s="1"/>
  <c r="Z30" i="25"/>
  <c r="Y30" i="25"/>
  <c r="K30" i="25"/>
  <c r="N30" i="25" s="1"/>
  <c r="AE30" i="25"/>
  <c r="AF30" i="25" s="1"/>
  <c r="Z13" i="25"/>
  <c r="Y13" i="25"/>
  <c r="K13" i="25"/>
  <c r="N13" i="25" s="1"/>
  <c r="AE13" i="25"/>
  <c r="AF13" i="25" s="1"/>
  <c r="K12" i="25"/>
  <c r="N12" i="25" s="1"/>
  <c r="AE12" i="25"/>
  <c r="AF12" i="25" s="1"/>
  <c r="Y12" i="25"/>
  <c r="Z12" i="25"/>
  <c r="F18" i="23" a="1"/>
  <c r="F19" i="23" a="1"/>
  <c r="E33" i="23" a="1"/>
  <c r="E13" i="23" a="1"/>
  <c r="E39" i="23" a="1"/>
  <c r="F22" i="23" a="1"/>
  <c r="E14" i="23" a="1"/>
  <c r="E37" i="23" a="1"/>
  <c r="E42" i="23" a="1"/>
  <c r="E31" i="23" a="1"/>
  <c r="E11" i="23" a="1"/>
  <c r="F21" i="23" a="1"/>
  <c r="E29" i="23" a="1"/>
  <c r="F31" i="23" a="1"/>
  <c r="F12" i="23" a="1"/>
  <c r="E17" i="23" a="1"/>
  <c r="E16" i="23" a="1"/>
  <c r="E8" i="23" a="1"/>
  <c r="E32" i="23" a="1"/>
  <c r="E30" i="23" a="1"/>
  <c r="E27" i="23" a="1"/>
  <c r="F10" i="23" a="1"/>
  <c r="F33" i="23" a="1"/>
  <c r="F28" i="23" a="1"/>
  <c r="F16" i="23" a="1"/>
  <c r="F38" i="23" a="1"/>
  <c r="F36" i="23" a="1"/>
  <c r="F8" i="23" a="1"/>
  <c r="E34" i="23" a="1"/>
  <c r="F30" i="23" a="1"/>
  <c r="E40" i="23" a="1"/>
  <c r="F32" i="23" a="1"/>
  <c r="F37" i="23" a="1"/>
  <c r="F20" i="23" a="1"/>
  <c r="F34" i="23" a="1"/>
  <c r="E12" i="23" a="1"/>
  <c r="F9" i="23" a="1"/>
  <c r="E20" i="23" a="1"/>
  <c r="F39" i="23" a="1"/>
  <c r="F15" i="23" a="1"/>
  <c r="E41" i="23" a="1"/>
  <c r="F17" i="23" a="1"/>
  <c r="E10" i="23" a="1"/>
  <c r="E22" i="23" a="1"/>
  <c r="F35" i="23" a="1"/>
  <c r="E9" i="23" a="1"/>
  <c r="E28" i="23" a="1"/>
  <c r="F27" i="23" a="1"/>
  <c r="F41" i="23" a="1"/>
  <c r="F14" i="23" a="1"/>
  <c r="E15" i="23" a="1"/>
  <c r="E36" i="23" a="1"/>
  <c r="E19" i="23" a="1"/>
  <c r="F29" i="23" a="1"/>
  <c r="F11" i="23" a="1"/>
  <c r="E23" i="23" a="1"/>
  <c r="E35" i="23" a="1"/>
  <c r="F13" i="23" a="1"/>
  <c r="E18" i="23" a="1"/>
  <c r="F40" i="23" a="1"/>
  <c r="F42" i="23" a="1"/>
  <c r="F23" i="23" a="1"/>
  <c r="E38" i="23" a="1"/>
  <c r="E21" i="23" a="1"/>
  <c r="AI29" i="36" l="1"/>
  <c r="AH1" i="36"/>
  <c r="AI22" i="36"/>
  <c r="AI14" i="36"/>
  <c r="AI10" i="36"/>
  <c r="AI39" i="36"/>
  <c r="AI25" i="36"/>
  <c r="R8" i="35"/>
  <c r="Q8" i="35"/>
  <c r="U8" i="35"/>
  <c r="V8" i="35"/>
  <c r="AI6" i="35"/>
  <c r="AI1" i="35" s="1"/>
  <c r="H4" i="15" s="1"/>
  <c r="M6" i="35"/>
  <c r="P6" i="35" s="1"/>
  <c r="L6" i="35"/>
  <c r="O6" i="35" s="1"/>
  <c r="M7" i="35"/>
  <c r="P7" i="35" s="1"/>
  <c r="L7" i="35"/>
  <c r="O7" i="35" s="1"/>
  <c r="AA6" i="35"/>
  <c r="AB6" i="35" s="1"/>
  <c r="AI12" i="36"/>
  <c r="AA27" i="36"/>
  <c r="AB27" i="36" s="1"/>
  <c r="L27" i="36"/>
  <c r="O27" i="36" s="1"/>
  <c r="M27" i="36"/>
  <c r="P27" i="36" s="1"/>
  <c r="M41" i="36"/>
  <c r="P41" i="36" s="1"/>
  <c r="L41" i="36"/>
  <c r="O41" i="36" s="1"/>
  <c r="AA41" i="36"/>
  <c r="AB41" i="36" s="1"/>
  <c r="M42" i="36"/>
  <c r="P42" i="36" s="1"/>
  <c r="L42" i="36"/>
  <c r="O42" i="36" s="1"/>
  <c r="M39" i="36"/>
  <c r="P39" i="36" s="1"/>
  <c r="L39" i="36"/>
  <c r="O39" i="36" s="1"/>
  <c r="AA39" i="36"/>
  <c r="AB39" i="36" s="1"/>
  <c r="M40" i="36"/>
  <c r="P40" i="36" s="1"/>
  <c r="L40" i="36"/>
  <c r="O40" i="36" s="1"/>
  <c r="M37" i="36"/>
  <c r="L37" i="36"/>
  <c r="O37" i="36" s="1"/>
  <c r="M38" i="36"/>
  <c r="P38" i="36" s="1"/>
  <c r="L38" i="36"/>
  <c r="O38" i="36" s="1"/>
  <c r="P37" i="36"/>
  <c r="AA37" i="36"/>
  <c r="AB37" i="36" s="1"/>
  <c r="M35" i="36"/>
  <c r="P35" i="36" s="1"/>
  <c r="L35" i="36"/>
  <c r="O35" i="36" s="1"/>
  <c r="AA35" i="36"/>
  <c r="AB35" i="36" s="1"/>
  <c r="M36" i="36"/>
  <c r="P36" i="36" s="1"/>
  <c r="L36" i="36"/>
  <c r="O36" i="36" s="1"/>
  <c r="AA33" i="36"/>
  <c r="AB33" i="36" s="1"/>
  <c r="M33" i="36"/>
  <c r="P33" i="36" s="1"/>
  <c r="L33" i="36"/>
  <c r="O33" i="36" s="1"/>
  <c r="M34" i="36"/>
  <c r="P34" i="36" s="1"/>
  <c r="L34" i="36"/>
  <c r="O34" i="36" s="1"/>
  <c r="M31" i="36"/>
  <c r="P31" i="36" s="1"/>
  <c r="L31" i="36"/>
  <c r="O31" i="36" s="1"/>
  <c r="AA31" i="36"/>
  <c r="AB31" i="36" s="1"/>
  <c r="M32" i="36"/>
  <c r="P32" i="36" s="1"/>
  <c r="L32" i="36"/>
  <c r="O32" i="36" s="1"/>
  <c r="M30" i="36"/>
  <c r="P30" i="36" s="1"/>
  <c r="L30" i="36"/>
  <c r="O30" i="36" s="1"/>
  <c r="AA29" i="36"/>
  <c r="AB29" i="36" s="1"/>
  <c r="M29" i="36"/>
  <c r="P29" i="36" s="1"/>
  <c r="L29" i="36"/>
  <c r="O29" i="36" s="1"/>
  <c r="M28" i="36"/>
  <c r="P28" i="36" s="1"/>
  <c r="L28" i="36"/>
  <c r="O28" i="36" s="1"/>
  <c r="M25" i="36"/>
  <c r="P25" i="36" s="1"/>
  <c r="L25" i="36"/>
  <c r="O25" i="36" s="1"/>
  <c r="AA25" i="36"/>
  <c r="AB25" i="36" s="1"/>
  <c r="M26" i="36"/>
  <c r="P26" i="36" s="1"/>
  <c r="L26" i="36"/>
  <c r="O26" i="36" s="1"/>
  <c r="AI20" i="36"/>
  <c r="AA10" i="36"/>
  <c r="AB10" i="36" s="1"/>
  <c r="AI6" i="36"/>
  <c r="M22" i="36"/>
  <c r="P22" i="36" s="1"/>
  <c r="L22" i="36"/>
  <c r="O22" i="36" s="1"/>
  <c r="AA22" i="36"/>
  <c r="AB22" i="36" s="1"/>
  <c r="M23" i="36"/>
  <c r="P23" i="36" s="1"/>
  <c r="L23" i="36"/>
  <c r="O23" i="36" s="1"/>
  <c r="M20" i="36"/>
  <c r="P20" i="36" s="1"/>
  <c r="L20" i="36"/>
  <c r="O20" i="36" s="1"/>
  <c r="AA20" i="36"/>
  <c r="AB20" i="36" s="1"/>
  <c r="M21" i="36"/>
  <c r="P21" i="36" s="1"/>
  <c r="L21" i="36"/>
  <c r="O21" i="36" s="1"/>
  <c r="M18" i="36"/>
  <c r="P18" i="36" s="1"/>
  <c r="L18" i="36"/>
  <c r="O18" i="36" s="1"/>
  <c r="AA18" i="36"/>
  <c r="AB18" i="36" s="1"/>
  <c r="M19" i="36"/>
  <c r="P19" i="36" s="1"/>
  <c r="L19" i="36"/>
  <c r="O19" i="36" s="1"/>
  <c r="AA16" i="36"/>
  <c r="AB16" i="36" s="1"/>
  <c r="M17" i="36"/>
  <c r="P17" i="36" s="1"/>
  <c r="L17" i="36"/>
  <c r="O17" i="36" s="1"/>
  <c r="M16" i="36"/>
  <c r="P16" i="36" s="1"/>
  <c r="L16" i="36"/>
  <c r="O16" i="36" s="1"/>
  <c r="AA14" i="36"/>
  <c r="AB14" i="36" s="1"/>
  <c r="M14" i="36"/>
  <c r="P14" i="36" s="1"/>
  <c r="L14" i="36"/>
  <c r="O14" i="36" s="1"/>
  <c r="M15" i="36"/>
  <c r="P15" i="36" s="1"/>
  <c r="L15" i="36"/>
  <c r="O15" i="36" s="1"/>
  <c r="AA12" i="36"/>
  <c r="AB12" i="36" s="1"/>
  <c r="M13" i="36"/>
  <c r="P13" i="36" s="1"/>
  <c r="L13" i="36"/>
  <c r="O13" i="36" s="1"/>
  <c r="M12" i="36"/>
  <c r="P12" i="36" s="1"/>
  <c r="L12" i="36"/>
  <c r="O12" i="36" s="1"/>
  <c r="M10" i="36"/>
  <c r="P10" i="36" s="1"/>
  <c r="L10" i="36"/>
  <c r="O10" i="36" s="1"/>
  <c r="M11" i="36"/>
  <c r="P11" i="36" s="1"/>
  <c r="L11" i="36"/>
  <c r="O11" i="36" s="1"/>
  <c r="M8" i="36"/>
  <c r="P8" i="36" s="1"/>
  <c r="L8" i="36"/>
  <c r="O8" i="36" s="1"/>
  <c r="AA8" i="36"/>
  <c r="AB8" i="36" s="1"/>
  <c r="M9" i="36"/>
  <c r="P9" i="36" s="1"/>
  <c r="L9" i="36"/>
  <c r="O9" i="36" s="1"/>
  <c r="M6" i="36"/>
  <c r="P6" i="36" s="1"/>
  <c r="L6" i="36"/>
  <c r="O6" i="36" s="1"/>
  <c r="AA6" i="36"/>
  <c r="AB6" i="36" s="1"/>
  <c r="M7" i="36"/>
  <c r="P7" i="36" s="1"/>
  <c r="L7" i="36"/>
  <c r="O7" i="36" s="1"/>
  <c r="M2" i="24"/>
  <c r="N2" i="24" s="1"/>
  <c r="M14" i="24"/>
  <c r="N14" i="24" s="1"/>
  <c r="M16" i="24"/>
  <c r="N16" i="24" s="1"/>
  <c r="M18" i="24"/>
  <c r="N18" i="24" s="1"/>
  <c r="M4" i="24"/>
  <c r="N4" i="24" s="1"/>
  <c r="M6" i="24"/>
  <c r="N6" i="24" s="1"/>
  <c r="M8" i="24"/>
  <c r="N8" i="24" s="1"/>
  <c r="AA6" i="32"/>
  <c r="P8" i="32"/>
  <c r="Q8" i="32"/>
  <c r="T8" i="32"/>
  <c r="U8" i="32"/>
  <c r="Q6" i="32"/>
  <c r="P6" i="32"/>
  <c r="AH6" i="32"/>
  <c r="AH1" i="32" s="1"/>
  <c r="AG1" i="32"/>
  <c r="U6" i="32"/>
  <c r="T6" i="32"/>
  <c r="AH20" i="25"/>
  <c r="M12" i="24"/>
  <c r="N12" i="24" s="1"/>
  <c r="AH24" i="25"/>
  <c r="AH26" i="25"/>
  <c r="AA34" i="26"/>
  <c r="AA50" i="26"/>
  <c r="AH22" i="25"/>
  <c r="AG53" i="26"/>
  <c r="AG52" i="26"/>
  <c r="AG51" i="26"/>
  <c r="AG50" i="26"/>
  <c r="AG49" i="26"/>
  <c r="AG48" i="26"/>
  <c r="AG47" i="26"/>
  <c r="AG46" i="26"/>
  <c r="AG45" i="26"/>
  <c r="AG44" i="26"/>
  <c r="AG43" i="26"/>
  <c r="AG42" i="26"/>
  <c r="AG41" i="26"/>
  <c r="AG40" i="26"/>
  <c r="AG39" i="26"/>
  <c r="AG38" i="26"/>
  <c r="AG37" i="26"/>
  <c r="AG36" i="26"/>
  <c r="AG35" i="26"/>
  <c r="AG34" i="26"/>
  <c r="AG32" i="26"/>
  <c r="AG31" i="26"/>
  <c r="AG30" i="26"/>
  <c r="AG29" i="26"/>
  <c r="AG28" i="26"/>
  <c r="AG27" i="26"/>
  <c r="AG26" i="26"/>
  <c r="AG25" i="26"/>
  <c r="AG24" i="26"/>
  <c r="AG23" i="26"/>
  <c r="AG22" i="26"/>
  <c r="AG21" i="26"/>
  <c r="AH18" i="26"/>
  <c r="AH16" i="26"/>
  <c r="AH14" i="26"/>
  <c r="AH12" i="26"/>
  <c r="AH10" i="26"/>
  <c r="AH8" i="26"/>
  <c r="AG6" i="26"/>
  <c r="AI1" i="25"/>
  <c r="I6" i="15" s="1"/>
  <c r="AG33" i="25"/>
  <c r="AG32" i="25"/>
  <c r="AG9" i="25"/>
  <c r="AG8" i="25"/>
  <c r="AG7" i="25"/>
  <c r="AG6" i="25"/>
  <c r="AG29" i="25"/>
  <c r="AG28" i="25"/>
  <c r="AG19" i="25"/>
  <c r="AG18" i="25"/>
  <c r="AG35" i="25"/>
  <c r="AG34" i="25"/>
  <c r="AG17" i="25"/>
  <c r="AG16" i="25"/>
  <c r="AG15" i="25"/>
  <c r="AG14" i="25"/>
  <c r="AG11" i="25"/>
  <c r="AG10" i="25"/>
  <c r="AG31" i="25"/>
  <c r="AG30" i="25"/>
  <c r="AG13" i="25"/>
  <c r="AG12" i="25"/>
  <c r="AG7" i="23"/>
  <c r="AG6" i="23"/>
  <c r="M20" i="24"/>
  <c r="N20" i="24" s="1"/>
  <c r="AA23" i="26"/>
  <c r="AA21" i="26"/>
  <c r="M10" i="24"/>
  <c r="N10" i="24" s="1"/>
  <c r="AB22" i="20"/>
  <c r="AA18" i="26"/>
  <c r="AA36" i="26"/>
  <c r="AB24" i="20"/>
  <c r="AI24" i="20"/>
  <c r="AI22" i="20"/>
  <c r="AA14" i="26"/>
  <c r="Q24" i="20"/>
  <c r="R24" i="20"/>
  <c r="U24" i="20"/>
  <c r="V24" i="20"/>
  <c r="Q22" i="20"/>
  <c r="R22" i="20"/>
  <c r="U22" i="20"/>
  <c r="V22" i="20"/>
  <c r="AA8" i="26"/>
  <c r="AA27" i="26"/>
  <c r="AA31" i="26"/>
  <c r="AA25" i="26"/>
  <c r="AA42" i="26"/>
  <c r="AA29" i="26"/>
  <c r="AA10" i="26"/>
  <c r="AA46" i="26"/>
  <c r="AB20" i="20"/>
  <c r="AA16" i="26"/>
  <c r="AA48" i="26"/>
  <c r="AA38" i="26"/>
  <c r="AA52" i="26"/>
  <c r="AA12" i="26"/>
  <c r="AA63" i="26"/>
  <c r="AA40" i="26"/>
  <c r="AA61" i="26"/>
  <c r="AA59" i="26"/>
  <c r="AA57" i="26"/>
  <c r="AA6" i="26"/>
  <c r="AA44" i="26"/>
  <c r="AA55" i="26"/>
  <c r="AI20" i="20"/>
  <c r="Q20" i="20"/>
  <c r="R20" i="20"/>
  <c r="V20" i="20"/>
  <c r="U20" i="20"/>
  <c r="R23" i="25"/>
  <c r="W23" i="25"/>
  <c r="S23" i="25"/>
  <c r="V23" i="25"/>
  <c r="R21" i="25"/>
  <c r="W21" i="25"/>
  <c r="S21" i="25"/>
  <c r="V21" i="25"/>
  <c r="W27" i="25"/>
  <c r="R27" i="25"/>
  <c r="S27" i="25"/>
  <c r="V27" i="25"/>
  <c r="R25" i="25"/>
  <c r="W25" i="25"/>
  <c r="V25" i="25"/>
  <c r="S25" i="25"/>
  <c r="AH55" i="26"/>
  <c r="AH57" i="26"/>
  <c r="AH63" i="26"/>
  <c r="AH59" i="26"/>
  <c r="AH61" i="26"/>
  <c r="P63" i="26"/>
  <c r="Q63" i="26"/>
  <c r="T63" i="26"/>
  <c r="U63" i="26"/>
  <c r="P61" i="26"/>
  <c r="Q61" i="26"/>
  <c r="T61" i="26"/>
  <c r="U61" i="26"/>
  <c r="Q59" i="26"/>
  <c r="P59" i="26"/>
  <c r="T59" i="26"/>
  <c r="U59" i="26"/>
  <c r="P57" i="26"/>
  <c r="Q57" i="26"/>
  <c r="U57" i="26"/>
  <c r="T57" i="26"/>
  <c r="Q55" i="26"/>
  <c r="P55" i="26"/>
  <c r="U55" i="26"/>
  <c r="T55" i="26"/>
  <c r="P31" i="26"/>
  <c r="Q31" i="26"/>
  <c r="T31" i="26"/>
  <c r="U31" i="26"/>
  <c r="P29" i="26"/>
  <c r="Q29" i="26"/>
  <c r="U29" i="26"/>
  <c r="T29" i="26"/>
  <c r="P27" i="26"/>
  <c r="Q27" i="26"/>
  <c r="T27" i="26"/>
  <c r="U27" i="26"/>
  <c r="P25" i="26"/>
  <c r="Q25" i="26"/>
  <c r="U25" i="26"/>
  <c r="T25" i="26"/>
  <c r="P23" i="26"/>
  <c r="Q23" i="26"/>
  <c r="T23" i="26"/>
  <c r="U23" i="26"/>
  <c r="P21" i="26"/>
  <c r="Q21" i="26"/>
  <c r="T21" i="26"/>
  <c r="U21" i="26"/>
  <c r="P18" i="26"/>
  <c r="Q18" i="26"/>
  <c r="T18" i="26"/>
  <c r="U18" i="26"/>
  <c r="P16" i="26"/>
  <c r="Q16" i="26"/>
  <c r="T16" i="26"/>
  <c r="U16" i="26"/>
  <c r="Q14" i="26"/>
  <c r="P14" i="26"/>
  <c r="U14" i="26"/>
  <c r="T14" i="26"/>
  <c r="P12" i="26"/>
  <c r="Q12" i="26"/>
  <c r="T12" i="26"/>
  <c r="U12" i="26"/>
  <c r="Q10" i="26"/>
  <c r="P10" i="26"/>
  <c r="T10" i="26"/>
  <c r="U10" i="26"/>
  <c r="P8" i="26"/>
  <c r="Q8" i="26"/>
  <c r="T8" i="26"/>
  <c r="U8" i="26"/>
  <c r="Q6" i="26"/>
  <c r="P6" i="26"/>
  <c r="T6" i="26"/>
  <c r="U6" i="26"/>
  <c r="Q52" i="26"/>
  <c r="P52" i="26"/>
  <c r="U52" i="26"/>
  <c r="T52" i="26"/>
  <c r="P50" i="26"/>
  <c r="Q50" i="26"/>
  <c r="U50" i="26"/>
  <c r="T50" i="26"/>
  <c r="Q48" i="26"/>
  <c r="P48" i="26"/>
  <c r="U48" i="26"/>
  <c r="T48" i="26"/>
  <c r="P46" i="26"/>
  <c r="Q46" i="26"/>
  <c r="T46" i="26"/>
  <c r="U46" i="26"/>
  <c r="Q44" i="26"/>
  <c r="P44" i="26"/>
  <c r="T44" i="26"/>
  <c r="U44" i="26"/>
  <c r="Q42" i="26"/>
  <c r="P42" i="26"/>
  <c r="U42" i="26"/>
  <c r="T42" i="26"/>
  <c r="Q40" i="26"/>
  <c r="P40" i="26"/>
  <c r="U40" i="26"/>
  <c r="T40" i="26"/>
  <c r="P38" i="26"/>
  <c r="Q38" i="26"/>
  <c r="T38" i="26"/>
  <c r="U38" i="26"/>
  <c r="Q36" i="26"/>
  <c r="P36" i="26"/>
  <c r="U36" i="26"/>
  <c r="T36" i="26"/>
  <c r="Q34" i="26"/>
  <c r="P34" i="26"/>
  <c r="U34" i="26"/>
  <c r="T34" i="26"/>
  <c r="T12" i="29"/>
  <c r="U12" i="29" s="1"/>
  <c r="T17" i="29"/>
  <c r="U17" i="29" s="1"/>
  <c r="T7" i="29"/>
  <c r="U7" i="29" s="1"/>
  <c r="AI1" i="29"/>
  <c r="H2" i="15" s="1"/>
  <c r="T11" i="29"/>
  <c r="T16" i="29"/>
  <c r="T6" i="29"/>
  <c r="P5" i="29"/>
  <c r="AA15" i="29"/>
  <c r="P15" i="29"/>
  <c r="P9" i="29"/>
  <c r="P18" i="29"/>
  <c r="P14" i="29"/>
  <c r="P8" i="29"/>
  <c r="AA9" i="29"/>
  <c r="AA5" i="29"/>
  <c r="AA18" i="25"/>
  <c r="AA8" i="25"/>
  <c r="AA32" i="25"/>
  <c r="AA6" i="25"/>
  <c r="AA28" i="25"/>
  <c r="Q32" i="25"/>
  <c r="P32" i="25"/>
  <c r="U32" i="25"/>
  <c r="T32" i="25"/>
  <c r="AA34" i="25"/>
  <c r="Q8" i="25"/>
  <c r="P8" i="25"/>
  <c r="T8" i="25"/>
  <c r="U8" i="25"/>
  <c r="P6" i="25"/>
  <c r="Q6" i="25"/>
  <c r="T6" i="25"/>
  <c r="U6" i="25"/>
  <c r="P28" i="25"/>
  <c r="Q28" i="25"/>
  <c r="T28" i="25"/>
  <c r="U28" i="25"/>
  <c r="P18" i="25"/>
  <c r="Q18" i="25"/>
  <c r="U18" i="25"/>
  <c r="T18" i="25"/>
  <c r="Q34" i="25"/>
  <c r="P34" i="25"/>
  <c r="T34" i="25"/>
  <c r="U34" i="25"/>
  <c r="AA16" i="25"/>
  <c r="AA12" i="25"/>
  <c r="AA10" i="25"/>
  <c r="AA14" i="25"/>
  <c r="P16" i="25"/>
  <c r="Q16" i="25"/>
  <c r="T16" i="25"/>
  <c r="U16" i="25"/>
  <c r="P14" i="25"/>
  <c r="Q14" i="25"/>
  <c r="T14" i="25"/>
  <c r="U14" i="25"/>
  <c r="AA30" i="25"/>
  <c r="P10" i="25"/>
  <c r="Q10" i="25"/>
  <c r="T10" i="25"/>
  <c r="U10" i="25"/>
  <c r="P30" i="25"/>
  <c r="Q30" i="25"/>
  <c r="T30" i="25"/>
  <c r="U30" i="25"/>
  <c r="P12" i="25"/>
  <c r="Q12" i="25"/>
  <c r="T12" i="25"/>
  <c r="U12" i="25"/>
  <c r="M6" i="20"/>
  <c r="M10" i="20" s="1"/>
  <c r="L20" i="23" s="1"/>
  <c r="L12" i="23" s="1"/>
  <c r="L6" i="23" s="1"/>
  <c r="L35" i="23" s="1"/>
  <c r="L29" i="23" s="1"/>
  <c r="AI1" i="36" l="1"/>
  <c r="H3" i="15" s="1"/>
  <c r="S9" i="35"/>
  <c r="X9" i="35"/>
  <c r="T9" i="35"/>
  <c r="W9" i="35"/>
  <c r="U6" i="35"/>
  <c r="V6" i="35"/>
  <c r="Q6" i="35"/>
  <c r="R6" i="35"/>
  <c r="V27" i="36"/>
  <c r="U27" i="36"/>
  <c r="V41" i="36"/>
  <c r="U41" i="36"/>
  <c r="Q41" i="36"/>
  <c r="R41" i="36"/>
  <c r="V39" i="36"/>
  <c r="U39" i="36"/>
  <c r="R39" i="36"/>
  <c r="Q39" i="36"/>
  <c r="V37" i="36"/>
  <c r="U37" i="36"/>
  <c r="Q37" i="36"/>
  <c r="R37" i="36"/>
  <c r="V35" i="36"/>
  <c r="U35" i="36"/>
  <c r="Q35" i="36"/>
  <c r="R35" i="36"/>
  <c r="V33" i="36"/>
  <c r="U33" i="36"/>
  <c r="R33" i="36"/>
  <c r="Q33" i="36"/>
  <c r="V31" i="36"/>
  <c r="U31" i="36"/>
  <c r="Q31" i="36"/>
  <c r="R31" i="36"/>
  <c r="Q29" i="36"/>
  <c r="R29" i="36"/>
  <c r="U29" i="36"/>
  <c r="V29" i="36"/>
  <c r="Q27" i="36"/>
  <c r="R27" i="36"/>
  <c r="V25" i="36"/>
  <c r="U25" i="36"/>
  <c r="R25" i="36"/>
  <c r="Q25" i="36"/>
  <c r="V22" i="36"/>
  <c r="U22" i="36"/>
  <c r="Q22" i="36"/>
  <c r="R22" i="36"/>
  <c r="V20" i="36"/>
  <c r="U20" i="36"/>
  <c r="R20" i="36"/>
  <c r="Q20" i="36"/>
  <c r="V18" i="36"/>
  <c r="U18" i="36"/>
  <c r="R18" i="36"/>
  <c r="Q18" i="36"/>
  <c r="R16" i="36"/>
  <c r="Q16" i="36"/>
  <c r="V16" i="36"/>
  <c r="U16" i="36"/>
  <c r="V14" i="36"/>
  <c r="U14" i="36"/>
  <c r="R14" i="36"/>
  <c r="Q14" i="36"/>
  <c r="Q12" i="36"/>
  <c r="R12" i="36"/>
  <c r="V12" i="36"/>
  <c r="U12" i="36"/>
  <c r="V10" i="36"/>
  <c r="U10" i="36"/>
  <c r="R10" i="36"/>
  <c r="Q10" i="36"/>
  <c r="V8" i="36"/>
  <c r="U8" i="36"/>
  <c r="R8" i="36"/>
  <c r="Q8" i="36"/>
  <c r="V6" i="36"/>
  <c r="U6" i="36"/>
  <c r="R6" i="36"/>
  <c r="Q6" i="36"/>
  <c r="R9" i="32"/>
  <c r="W9" i="32"/>
  <c r="S9" i="32"/>
  <c r="V9" i="32"/>
  <c r="R7" i="32"/>
  <c r="W7" i="32"/>
  <c r="S7" i="32"/>
  <c r="V7" i="32"/>
  <c r="AH6" i="23"/>
  <c r="AH48" i="26"/>
  <c r="AH46" i="26"/>
  <c r="AH27" i="26"/>
  <c r="AH52" i="26"/>
  <c r="AH31" i="26"/>
  <c r="AH50" i="26"/>
  <c r="AH44" i="26"/>
  <c r="AH36" i="26"/>
  <c r="AH8" i="25"/>
  <c r="AG1" i="26"/>
  <c r="AH23" i="26"/>
  <c r="AH34" i="26"/>
  <c r="AH42" i="26"/>
  <c r="AH32" i="25"/>
  <c r="AH21" i="26"/>
  <c r="AH40" i="26"/>
  <c r="AH38" i="26"/>
  <c r="AH18" i="25"/>
  <c r="AH25" i="26"/>
  <c r="AH34" i="25"/>
  <c r="AH29" i="26"/>
  <c r="AH6" i="25"/>
  <c r="AH28" i="25"/>
  <c r="AH6" i="26"/>
  <c r="AH10" i="25"/>
  <c r="AH14" i="25"/>
  <c r="AH16" i="25"/>
  <c r="AH12" i="25"/>
  <c r="AH30" i="25"/>
  <c r="AG1" i="25"/>
  <c r="S25" i="20"/>
  <c r="X25" i="20"/>
  <c r="T25" i="20"/>
  <c r="W25" i="20"/>
  <c r="S23" i="20"/>
  <c r="X23" i="20"/>
  <c r="T23" i="20"/>
  <c r="W23" i="20"/>
  <c r="X21" i="20"/>
  <c r="S21" i="20"/>
  <c r="T21" i="20"/>
  <c r="W21" i="20"/>
  <c r="R64" i="26"/>
  <c r="W64" i="26"/>
  <c r="S64" i="26"/>
  <c r="V64" i="26"/>
  <c r="R62" i="26"/>
  <c r="W62" i="26"/>
  <c r="S62" i="26"/>
  <c r="V62" i="26"/>
  <c r="W60" i="26"/>
  <c r="R60" i="26"/>
  <c r="V60" i="26"/>
  <c r="S60" i="26"/>
  <c r="R58" i="26"/>
  <c r="W58" i="26"/>
  <c r="V58" i="26"/>
  <c r="S58" i="26"/>
  <c r="R56" i="26"/>
  <c r="W56" i="26"/>
  <c r="V56" i="26"/>
  <c r="S56" i="26"/>
  <c r="R32" i="26"/>
  <c r="W32" i="26"/>
  <c r="S32" i="26"/>
  <c r="V32" i="26"/>
  <c r="W30" i="26"/>
  <c r="R30" i="26"/>
  <c r="V30" i="26"/>
  <c r="S30" i="26"/>
  <c r="W28" i="26"/>
  <c r="R28" i="26"/>
  <c r="S28" i="26"/>
  <c r="V28" i="26"/>
  <c r="R26" i="26"/>
  <c r="W26" i="26"/>
  <c r="S26" i="26"/>
  <c r="V26" i="26"/>
  <c r="R24" i="26"/>
  <c r="W24" i="26"/>
  <c r="S24" i="26"/>
  <c r="V24" i="26"/>
  <c r="R22" i="26"/>
  <c r="W22" i="26"/>
  <c r="S22" i="26"/>
  <c r="V22" i="26"/>
  <c r="R19" i="26"/>
  <c r="W19" i="26"/>
  <c r="S19" i="26"/>
  <c r="V19" i="26"/>
  <c r="R17" i="26"/>
  <c r="W17" i="26"/>
  <c r="V17" i="26"/>
  <c r="S17" i="26"/>
  <c r="R15" i="26"/>
  <c r="W15" i="26"/>
  <c r="V15" i="26"/>
  <c r="S15" i="26"/>
  <c r="R13" i="26"/>
  <c r="W13" i="26"/>
  <c r="S13" i="26"/>
  <c r="V13" i="26"/>
  <c r="R11" i="26"/>
  <c r="W11" i="26"/>
  <c r="S11" i="26"/>
  <c r="V11" i="26"/>
  <c r="R9" i="26"/>
  <c r="W9" i="26"/>
  <c r="V9" i="26"/>
  <c r="S9" i="26"/>
  <c r="R7" i="26"/>
  <c r="W7" i="26"/>
  <c r="S7" i="26"/>
  <c r="V7" i="26"/>
  <c r="R53" i="26"/>
  <c r="W53" i="26"/>
  <c r="S53" i="26"/>
  <c r="V53" i="26"/>
  <c r="R51" i="26"/>
  <c r="W51" i="26"/>
  <c r="V51" i="26"/>
  <c r="S51" i="26"/>
  <c r="W49" i="26"/>
  <c r="R49" i="26"/>
  <c r="S49" i="26"/>
  <c r="V49" i="26"/>
  <c r="R47" i="26"/>
  <c r="W47" i="26"/>
  <c r="S47" i="26"/>
  <c r="V47" i="26"/>
  <c r="W45" i="26"/>
  <c r="R45" i="26"/>
  <c r="S45" i="26"/>
  <c r="V45" i="26"/>
  <c r="R43" i="26"/>
  <c r="W43" i="26"/>
  <c r="S43" i="26"/>
  <c r="V43" i="26"/>
  <c r="R41" i="26"/>
  <c r="W41" i="26"/>
  <c r="V41" i="26"/>
  <c r="S41" i="26"/>
  <c r="R39" i="26"/>
  <c r="W39" i="26"/>
  <c r="V39" i="26"/>
  <c r="S39" i="26"/>
  <c r="R37" i="26"/>
  <c r="W37" i="26"/>
  <c r="V37" i="26"/>
  <c r="S37" i="26"/>
  <c r="R35" i="26"/>
  <c r="W35" i="26"/>
  <c r="S35" i="26"/>
  <c r="V35" i="26"/>
  <c r="U11" i="29"/>
  <c r="U16" i="29"/>
  <c r="U6" i="29"/>
  <c r="Q5" i="29"/>
  <c r="Q15" i="29"/>
  <c r="Q9" i="29"/>
  <c r="R35" i="25"/>
  <c r="W35" i="25"/>
  <c r="V35" i="25"/>
  <c r="S35" i="25"/>
  <c r="W33" i="25"/>
  <c r="R33" i="25"/>
  <c r="V33" i="25"/>
  <c r="S33" i="25"/>
  <c r="W31" i="25"/>
  <c r="R31" i="25"/>
  <c r="V31" i="25"/>
  <c r="S31" i="25"/>
  <c r="W29" i="25"/>
  <c r="R29" i="25"/>
  <c r="V29" i="25"/>
  <c r="S29" i="25"/>
  <c r="W19" i="25"/>
  <c r="R19" i="25"/>
  <c r="V19" i="25"/>
  <c r="S19" i="25"/>
  <c r="W17" i="25"/>
  <c r="R17" i="25"/>
  <c r="V17" i="25"/>
  <c r="S17" i="25"/>
  <c r="W15" i="25"/>
  <c r="R15" i="25"/>
  <c r="V15" i="25"/>
  <c r="S15" i="25"/>
  <c r="W13" i="25"/>
  <c r="R13" i="25"/>
  <c r="V13" i="25"/>
  <c r="S13" i="25"/>
  <c r="W11" i="25"/>
  <c r="R11" i="25"/>
  <c r="S11" i="25"/>
  <c r="V11" i="25"/>
  <c r="W9" i="25"/>
  <c r="R9" i="25"/>
  <c r="V9" i="25"/>
  <c r="S9" i="25"/>
  <c r="R7" i="25"/>
  <c r="W7" i="25"/>
  <c r="V7" i="25"/>
  <c r="S7" i="25"/>
  <c r="L34" i="23"/>
  <c r="O34" i="23" s="1"/>
  <c r="L11" i="23"/>
  <c r="O11" i="23" s="1"/>
  <c r="M19" i="20"/>
  <c r="P19" i="20" s="1"/>
  <c r="L41" i="23"/>
  <c r="O41" i="23" s="1"/>
  <c r="L18" i="23"/>
  <c r="O18" i="23" s="1"/>
  <c r="M8" i="20"/>
  <c r="P8" i="20" s="1"/>
  <c r="L27" i="23"/>
  <c r="O27" i="23" s="1"/>
  <c r="L33" i="23"/>
  <c r="O33" i="23" s="1"/>
  <c r="L10" i="23"/>
  <c r="O10" i="23" s="1"/>
  <c r="M18" i="20"/>
  <c r="P18" i="20" s="1"/>
  <c r="L28" i="23"/>
  <c r="O28" i="23" s="1"/>
  <c r="L42" i="23"/>
  <c r="O42" i="23" s="1"/>
  <c r="L19" i="23"/>
  <c r="O19" i="23" s="1"/>
  <c r="M9" i="20"/>
  <c r="P9" i="20" s="1"/>
  <c r="L25" i="23"/>
  <c r="O25" i="23" s="1"/>
  <c r="L39" i="23"/>
  <c r="O39" i="23" s="1"/>
  <c r="L16" i="23"/>
  <c r="O16" i="23" s="1"/>
  <c r="M14" i="20"/>
  <c r="P14" i="20" s="1"/>
  <c r="L37" i="23"/>
  <c r="O37" i="23" s="1"/>
  <c r="L14" i="23"/>
  <c r="O14" i="23" s="1"/>
  <c r="M12" i="20"/>
  <c r="P12" i="20" s="1"/>
  <c r="L38" i="23"/>
  <c r="O38" i="23" s="1"/>
  <c r="L15" i="23"/>
  <c r="O15" i="23" s="1"/>
  <c r="M13" i="20"/>
  <c r="P13" i="20" s="1"/>
  <c r="L32" i="23"/>
  <c r="O32" i="23" s="1"/>
  <c r="L9" i="23"/>
  <c r="O9" i="23" s="1"/>
  <c r="L23" i="23"/>
  <c r="O23" i="23" s="1"/>
  <c r="M17" i="20"/>
  <c r="P17" i="20" s="1"/>
  <c r="AF17" i="20"/>
  <c r="AG17" i="20" s="1"/>
  <c r="AH17" i="20" s="1"/>
  <c r="L17" i="20"/>
  <c r="O17" i="20" s="1"/>
  <c r="P6" i="20"/>
  <c r="L26" i="23"/>
  <c r="O26" i="23" s="1"/>
  <c r="Z35" i="23"/>
  <c r="Y35" i="23"/>
  <c r="AE37" i="23"/>
  <c r="AF37" i="23" s="1"/>
  <c r="K37" i="23"/>
  <c r="N37" i="23" s="1"/>
  <c r="L40" i="23"/>
  <c r="O40" i="23" s="1"/>
  <c r="Y12" i="23"/>
  <c r="Z12" i="23"/>
  <c r="AE14" i="23"/>
  <c r="AF14" i="23" s="1"/>
  <c r="K14" i="23"/>
  <c r="N14" i="23" s="1"/>
  <c r="L17" i="23"/>
  <c r="O17" i="23" s="1"/>
  <c r="AA6" i="20"/>
  <c r="Z6" i="20"/>
  <c r="AF12" i="20"/>
  <c r="AG12" i="20" s="1"/>
  <c r="AH12" i="20" s="1"/>
  <c r="L12" i="20"/>
  <c r="O12" i="20" s="1"/>
  <c r="M15" i="20"/>
  <c r="P15" i="20" s="1"/>
  <c r="Y36" i="23"/>
  <c r="Z36" i="23"/>
  <c r="Z13" i="23"/>
  <c r="Y13" i="23"/>
  <c r="AA7" i="20"/>
  <c r="Z7" i="20"/>
  <c r="AE20" i="23"/>
  <c r="AF20" i="23" s="1"/>
  <c r="K20" i="23"/>
  <c r="N20" i="23" s="1"/>
  <c r="AF10" i="20"/>
  <c r="AG10" i="20" s="1"/>
  <c r="AH10" i="20" s="1"/>
  <c r="L10" i="20"/>
  <c r="O10" i="20" s="1"/>
  <c r="O35" i="23"/>
  <c r="AE40" i="23"/>
  <c r="AF40" i="23" s="1"/>
  <c r="K40" i="23"/>
  <c r="N40" i="23" s="1"/>
  <c r="Z32" i="23"/>
  <c r="Y32" i="23"/>
  <c r="AE11" i="23"/>
  <c r="AF11" i="23" s="1"/>
  <c r="K11" i="23"/>
  <c r="N11" i="23" s="1"/>
  <c r="O20" i="23"/>
  <c r="Y23" i="23"/>
  <c r="Z23" i="23"/>
  <c r="Z29" i="23"/>
  <c r="Y29" i="23"/>
  <c r="AE31" i="23"/>
  <c r="AF31" i="23" s="1"/>
  <c r="K31" i="23"/>
  <c r="N31" i="23" s="1"/>
  <c r="AE8" i="23"/>
  <c r="AF8" i="23" s="1"/>
  <c r="K8" i="23"/>
  <c r="N8" i="23" s="1"/>
  <c r="Z20" i="23"/>
  <c r="Y20" i="23"/>
  <c r="AE22" i="23"/>
  <c r="AF22" i="23" s="1"/>
  <c r="K22" i="23"/>
  <c r="N22" i="23" s="1"/>
  <c r="Z10" i="20"/>
  <c r="AA10" i="20"/>
  <c r="AF16" i="20"/>
  <c r="AG16" i="20" s="1"/>
  <c r="AH16" i="20" s="1"/>
  <c r="L16" i="20"/>
  <c r="O16" i="20" s="1"/>
  <c r="AE38" i="23"/>
  <c r="AF38" i="23" s="1"/>
  <c r="K38" i="23"/>
  <c r="N38" i="23" s="1"/>
  <c r="AE15" i="23"/>
  <c r="AF15" i="23" s="1"/>
  <c r="K15" i="23"/>
  <c r="N15" i="23" s="1"/>
  <c r="AF13" i="20"/>
  <c r="AG13" i="20" s="1"/>
  <c r="AH13" i="20" s="1"/>
  <c r="L13" i="20"/>
  <c r="O13" i="20" s="1"/>
  <c r="Z33" i="23"/>
  <c r="AE35" i="23"/>
  <c r="AF35" i="23" s="1"/>
  <c r="K35" i="23"/>
  <c r="N35" i="23" s="1"/>
  <c r="Z10" i="23"/>
  <c r="Y10" i="23"/>
  <c r="AE12" i="23"/>
  <c r="AF12" i="23" s="1"/>
  <c r="K12" i="23"/>
  <c r="N12" i="23" s="1"/>
  <c r="Z18" i="20"/>
  <c r="AA18" i="20"/>
  <c r="AF6" i="20"/>
  <c r="AG6" i="20" s="1"/>
  <c r="AH6" i="20" s="1"/>
  <c r="L6" i="20"/>
  <c r="O6" i="20" s="1"/>
  <c r="AE32" i="23"/>
  <c r="AF32" i="23" s="1"/>
  <c r="K32" i="23"/>
  <c r="N32" i="23" s="1"/>
  <c r="Z21" i="23"/>
  <c r="Y21" i="23"/>
  <c r="Z11" i="20"/>
  <c r="AA11" i="20"/>
  <c r="Y27" i="23"/>
  <c r="Z27" i="23"/>
  <c r="AE29" i="23"/>
  <c r="AF29" i="23" s="1"/>
  <c r="K29" i="23"/>
  <c r="N29" i="23" s="1"/>
  <c r="Y41" i="23"/>
  <c r="Z41" i="23"/>
  <c r="K6" i="23"/>
  <c r="N6" i="23" s="1"/>
  <c r="O12" i="23"/>
  <c r="O29" i="23"/>
  <c r="AE34" i="23"/>
  <c r="AF34" i="23" s="1"/>
  <c r="K34" i="23"/>
  <c r="N34" i="23" s="1"/>
  <c r="O6" i="23"/>
  <c r="Z9" i="23"/>
  <c r="Y9" i="23"/>
  <c r="P10" i="20"/>
  <c r="Z17" i="20"/>
  <c r="AA17" i="20"/>
  <c r="AF19" i="20"/>
  <c r="AG19" i="20" s="1"/>
  <c r="AH19" i="20" s="1"/>
  <c r="L19" i="20"/>
  <c r="O19" i="20" s="1"/>
  <c r="Y26" i="23"/>
  <c r="Z26" i="23"/>
  <c r="AE28" i="23"/>
  <c r="AF28" i="23" s="1"/>
  <c r="K28" i="23"/>
  <c r="N28" i="23" s="1"/>
  <c r="L31" i="23"/>
  <c r="O31" i="23" s="1"/>
  <c r="Z40" i="23"/>
  <c r="Y40" i="23"/>
  <c r="AE42" i="23"/>
  <c r="AF42" i="23" s="1"/>
  <c r="K42" i="23"/>
  <c r="N42" i="23" s="1"/>
  <c r="L8" i="23"/>
  <c r="O8" i="23" s="1"/>
  <c r="Z17" i="23"/>
  <c r="Y17" i="23"/>
  <c r="AE19" i="23"/>
  <c r="AF19" i="23" s="1"/>
  <c r="K19" i="23"/>
  <c r="N19" i="23" s="1"/>
  <c r="L22" i="23"/>
  <c r="O22" i="23" s="1"/>
  <c r="AF9" i="20"/>
  <c r="AG9" i="20" s="1"/>
  <c r="AH9" i="20" s="1"/>
  <c r="L9" i="20"/>
  <c r="O9" i="20" s="1"/>
  <c r="M16" i="20"/>
  <c r="P16" i="20" s="1"/>
  <c r="Z15" i="20"/>
  <c r="AA15" i="20"/>
  <c r="Z18" i="23"/>
  <c r="Y18" i="23"/>
  <c r="K26" i="23"/>
  <c r="N26" i="23" s="1"/>
  <c r="AE26" i="23"/>
  <c r="AF26" i="23" s="1"/>
  <c r="AE17" i="23"/>
  <c r="AF17" i="23" s="1"/>
  <c r="K17" i="23"/>
  <c r="N17" i="23" s="1"/>
  <c r="AF15" i="20"/>
  <c r="AG15" i="20" s="1"/>
  <c r="AH15" i="20" s="1"/>
  <c r="L15" i="20"/>
  <c r="O15" i="20" s="1"/>
  <c r="M11" i="20"/>
  <c r="P11" i="20" s="1"/>
  <c r="Z34" i="23"/>
  <c r="Y11" i="23"/>
  <c r="Z11" i="23"/>
  <c r="Z19" i="20"/>
  <c r="AA19" i="20"/>
  <c r="AF7" i="20"/>
  <c r="AG7" i="20" s="1"/>
  <c r="AH7" i="20" s="1"/>
  <c r="L7" i="20"/>
  <c r="O7" i="20" s="1"/>
  <c r="Z30" i="23"/>
  <c r="Y30" i="23"/>
  <c r="AE23" i="23"/>
  <c r="AF23" i="23" s="1"/>
  <c r="K23" i="23"/>
  <c r="N23" i="23" s="1"/>
  <c r="Z8" i="20"/>
  <c r="AA8" i="20"/>
  <c r="Z13" i="20"/>
  <c r="AA13" i="20"/>
  <c r="Y31" i="23"/>
  <c r="Z31" i="23"/>
  <c r="AE33" i="23"/>
  <c r="AF33" i="23" s="1"/>
  <c r="K33" i="23"/>
  <c r="N33" i="23" s="1"/>
  <c r="L36" i="23"/>
  <c r="O36" i="23" s="1"/>
  <c r="Z8" i="23"/>
  <c r="Y8" i="23"/>
  <c r="AE10" i="23"/>
  <c r="AF10" i="23" s="1"/>
  <c r="K10" i="23"/>
  <c r="N10" i="23" s="1"/>
  <c r="L13" i="23"/>
  <c r="O13" i="23" s="1"/>
  <c r="Y22" i="23"/>
  <c r="Z22" i="23"/>
  <c r="AA16" i="20"/>
  <c r="Z16" i="20"/>
  <c r="AF18" i="20"/>
  <c r="AG18" i="20" s="1"/>
  <c r="AH18" i="20" s="1"/>
  <c r="L18" i="20"/>
  <c r="O18" i="20" s="1"/>
  <c r="M7" i="20"/>
  <c r="P7" i="20" s="1"/>
  <c r="AE9" i="23"/>
  <c r="AF9" i="23" s="1"/>
  <c r="K9" i="23"/>
  <c r="N9" i="23" s="1"/>
  <c r="Y38" i="23"/>
  <c r="Z38" i="23"/>
  <c r="Z15" i="23"/>
  <c r="Y15" i="23"/>
  <c r="Y37" i="23"/>
  <c r="Z37" i="23"/>
  <c r="AE16" i="23"/>
  <c r="AF16" i="23" s="1"/>
  <c r="K16" i="23"/>
  <c r="N16" i="23" s="1"/>
  <c r="Z12" i="20"/>
  <c r="AA12" i="20"/>
  <c r="AE36" i="23"/>
  <c r="AF36" i="23" s="1"/>
  <c r="K36" i="23"/>
  <c r="N36" i="23" s="1"/>
  <c r="AE30" i="23"/>
  <c r="AF30" i="23" s="1"/>
  <c r="K30" i="23"/>
  <c r="N30" i="23" s="1"/>
  <c r="Z42" i="23"/>
  <c r="Y42" i="23"/>
  <c r="K7" i="23"/>
  <c r="N7" i="23" s="1"/>
  <c r="Y19" i="23"/>
  <c r="Z19" i="23"/>
  <c r="AE21" i="23"/>
  <c r="AF21" i="23" s="1"/>
  <c r="K21" i="23"/>
  <c r="N21" i="23" s="1"/>
  <c r="Z9" i="20"/>
  <c r="AA9" i="20"/>
  <c r="AF11" i="20"/>
  <c r="AG11" i="20" s="1"/>
  <c r="AH11" i="20" s="1"/>
  <c r="L11" i="20"/>
  <c r="O11" i="20" s="1"/>
  <c r="K25" i="23"/>
  <c r="N25" i="23" s="1"/>
  <c r="AE25" i="23"/>
  <c r="AF25" i="23" s="1"/>
  <c r="AE39" i="23"/>
  <c r="AF39" i="23" s="1"/>
  <c r="K39" i="23"/>
  <c r="N39" i="23" s="1"/>
  <c r="Y14" i="23"/>
  <c r="Z14" i="23"/>
  <c r="AF14" i="20"/>
  <c r="AG14" i="20" s="1"/>
  <c r="AH14" i="20" s="1"/>
  <c r="L14" i="20"/>
  <c r="O14" i="20" s="1"/>
  <c r="AE13" i="23"/>
  <c r="AF13" i="23" s="1"/>
  <c r="K13" i="23"/>
  <c r="N13" i="23" s="1"/>
  <c r="Z28" i="23"/>
  <c r="Y28" i="23"/>
  <c r="Y25" i="23"/>
  <c r="Z25" i="23"/>
  <c r="AE27" i="23"/>
  <c r="AF27" i="23" s="1"/>
  <c r="K27" i="23"/>
  <c r="N27" i="23" s="1"/>
  <c r="L30" i="23"/>
  <c r="O30" i="23" s="1"/>
  <c r="Z39" i="23"/>
  <c r="Y39" i="23"/>
  <c r="AE41" i="23"/>
  <c r="AF41" i="23" s="1"/>
  <c r="K41" i="23"/>
  <c r="N41" i="23" s="1"/>
  <c r="L7" i="23"/>
  <c r="O7" i="23" s="1"/>
  <c r="Z16" i="23"/>
  <c r="Y16" i="23"/>
  <c r="AE18" i="23"/>
  <c r="AF18" i="23" s="1"/>
  <c r="K18" i="23"/>
  <c r="N18" i="23" s="1"/>
  <c r="L21" i="23"/>
  <c r="O21" i="23" s="1"/>
  <c r="AF8" i="20"/>
  <c r="AG8" i="20" s="1"/>
  <c r="AH8" i="20" s="1"/>
  <c r="L8" i="20"/>
  <c r="O8" i="20" s="1"/>
  <c r="Z14" i="20"/>
  <c r="AA14" i="20"/>
  <c r="T7" i="35" l="1"/>
  <c r="W7" i="35"/>
  <c r="X7" i="35"/>
  <c r="S7" i="35"/>
  <c r="W28" i="36"/>
  <c r="T28" i="36"/>
  <c r="T42" i="36"/>
  <c r="W42" i="36"/>
  <c r="S42" i="36"/>
  <c r="X42" i="36"/>
  <c r="T40" i="36"/>
  <c r="W40" i="36"/>
  <c r="S40" i="36"/>
  <c r="X40" i="36"/>
  <c r="T38" i="36"/>
  <c r="W38" i="36"/>
  <c r="S38" i="36"/>
  <c r="X38" i="36"/>
  <c r="W36" i="36"/>
  <c r="T36" i="36"/>
  <c r="S36" i="36"/>
  <c r="X36" i="36"/>
  <c r="W34" i="36"/>
  <c r="T34" i="36"/>
  <c r="S34" i="36"/>
  <c r="X34" i="36"/>
  <c r="W32" i="36"/>
  <c r="T32" i="36"/>
  <c r="S32" i="36"/>
  <c r="X32" i="36"/>
  <c r="S30" i="36"/>
  <c r="X30" i="36"/>
  <c r="W30" i="36"/>
  <c r="T30" i="36"/>
  <c r="S28" i="36"/>
  <c r="X28" i="36"/>
  <c r="T26" i="36"/>
  <c r="W26" i="36"/>
  <c r="S26" i="36"/>
  <c r="X26" i="36"/>
  <c r="T23" i="36"/>
  <c r="W23" i="36"/>
  <c r="S23" i="36"/>
  <c r="X23" i="36"/>
  <c r="T21" i="36"/>
  <c r="W21" i="36"/>
  <c r="S21" i="36"/>
  <c r="X21" i="36"/>
  <c r="T19" i="36"/>
  <c r="W19" i="36"/>
  <c r="S19" i="36"/>
  <c r="X19" i="36"/>
  <c r="S17" i="36"/>
  <c r="X17" i="36"/>
  <c r="T17" i="36"/>
  <c r="W17" i="36"/>
  <c r="W15" i="36"/>
  <c r="T15" i="36"/>
  <c r="X15" i="36"/>
  <c r="S15" i="36"/>
  <c r="S13" i="36"/>
  <c r="X13" i="36"/>
  <c r="T13" i="36"/>
  <c r="W13" i="36"/>
  <c r="W11" i="36"/>
  <c r="T11" i="36"/>
  <c r="S11" i="36"/>
  <c r="X11" i="36"/>
  <c r="T9" i="36"/>
  <c r="W9" i="36"/>
  <c r="S9" i="36"/>
  <c r="X9" i="36"/>
  <c r="T7" i="36"/>
  <c r="W7" i="36"/>
  <c r="S7" i="36"/>
  <c r="X7" i="36"/>
  <c r="AH1" i="20"/>
  <c r="U8" i="20"/>
  <c r="AH1" i="25"/>
  <c r="H6" i="15" s="1"/>
  <c r="AH1" i="26"/>
  <c r="H7" i="15" s="1"/>
  <c r="AG37" i="23"/>
  <c r="AG14" i="23"/>
  <c r="AG20" i="23"/>
  <c r="AG40" i="23"/>
  <c r="AG11" i="23"/>
  <c r="AG31" i="23"/>
  <c r="AG8" i="23"/>
  <c r="AG22" i="23"/>
  <c r="AG38" i="23"/>
  <c r="AG15" i="23"/>
  <c r="AG35" i="23"/>
  <c r="AG12" i="23"/>
  <c r="AG32" i="23"/>
  <c r="AG29" i="23"/>
  <c r="AG34" i="23"/>
  <c r="AG28" i="23"/>
  <c r="AG42" i="23"/>
  <c r="AG19" i="23"/>
  <c r="AG26" i="23"/>
  <c r="AG17" i="23"/>
  <c r="AG23" i="23"/>
  <c r="AG33" i="23"/>
  <c r="AG10" i="23"/>
  <c r="AG9" i="23"/>
  <c r="AG16" i="23"/>
  <c r="AG36" i="23"/>
  <c r="AG30" i="23"/>
  <c r="AG21" i="23"/>
  <c r="AG25" i="23"/>
  <c r="AG39" i="23"/>
  <c r="AG13" i="23"/>
  <c r="AG27" i="23"/>
  <c r="AG41" i="23"/>
  <c r="AG18" i="23"/>
  <c r="Q8" i="23"/>
  <c r="R9" i="23" s="1"/>
  <c r="AB8" i="20"/>
  <c r="AA31" i="23"/>
  <c r="T33" i="23"/>
  <c r="U20" i="23"/>
  <c r="AI16" i="20"/>
  <c r="AA29" i="23"/>
  <c r="AB10" i="20"/>
  <c r="AA8" i="23"/>
  <c r="AA14" i="23"/>
  <c r="AA33" i="23"/>
  <c r="P8" i="23"/>
  <c r="AA25" i="23"/>
  <c r="AA20" i="23"/>
  <c r="U35" i="23"/>
  <c r="S36" i="23" s="1"/>
  <c r="U8" i="23"/>
  <c r="S9" i="23" s="1"/>
  <c r="AA16" i="23"/>
  <c r="U33" i="23"/>
  <c r="AB12" i="20"/>
  <c r="T18" i="23"/>
  <c r="AA37" i="23"/>
  <c r="AI18" i="20"/>
  <c r="V14" i="20"/>
  <c r="T15" i="20" s="1"/>
  <c r="T31" i="23"/>
  <c r="AI12" i="20"/>
  <c r="AA22" i="23"/>
  <c r="U27" i="23"/>
  <c r="S28" i="23" s="1"/>
  <c r="T22" i="23"/>
  <c r="U22" i="23"/>
  <c r="P12" i="23"/>
  <c r="Q12" i="23"/>
  <c r="R13" i="23" s="1"/>
  <c r="Q16" i="23"/>
  <c r="P16" i="23"/>
  <c r="Q39" i="23"/>
  <c r="R40" i="23" s="1"/>
  <c r="P39" i="23"/>
  <c r="T35" i="23"/>
  <c r="T16" i="23"/>
  <c r="U16" i="23"/>
  <c r="Q8" i="20"/>
  <c r="R8" i="20"/>
  <c r="AJ8" i="20" s="1"/>
  <c r="AK8" i="20" s="1"/>
  <c r="P22" i="23"/>
  <c r="Q22" i="23"/>
  <c r="R23" i="23" s="1"/>
  <c r="P27" i="23"/>
  <c r="Q27" i="23"/>
  <c r="R28" i="23" s="1"/>
  <c r="T41" i="23"/>
  <c r="U41" i="23"/>
  <c r="S42" i="23" s="1"/>
  <c r="U25" i="23"/>
  <c r="T25" i="23"/>
  <c r="Q29" i="23"/>
  <c r="P29" i="23"/>
  <c r="P18" i="23"/>
  <c r="Q18" i="23"/>
  <c r="R19" i="23" s="1"/>
  <c r="P33" i="23"/>
  <c r="Q33" i="23"/>
  <c r="AA41" i="23"/>
  <c r="U6" i="20"/>
  <c r="V6" i="20"/>
  <c r="AA35" i="23"/>
  <c r="AB16" i="20"/>
  <c r="AI6" i="20"/>
  <c r="Q12" i="20"/>
  <c r="R12" i="20"/>
  <c r="AB6" i="20"/>
  <c r="U31" i="23"/>
  <c r="S32" i="23" s="1"/>
  <c r="R6" i="20"/>
  <c r="Q6" i="20"/>
  <c r="T6" i="23"/>
  <c r="U6" i="23"/>
  <c r="U12" i="20"/>
  <c r="V12" i="20"/>
  <c r="R10" i="20"/>
  <c r="Q10" i="20"/>
  <c r="AB14" i="20"/>
  <c r="P35" i="23"/>
  <c r="Q35" i="23"/>
  <c r="R36" i="23" s="1"/>
  <c r="Q25" i="23"/>
  <c r="P25" i="23"/>
  <c r="AB18" i="20"/>
  <c r="Q14" i="20"/>
  <c r="R14" i="20"/>
  <c r="T12" i="23"/>
  <c r="U12" i="23"/>
  <c r="Q10" i="23"/>
  <c r="P10" i="23"/>
  <c r="P6" i="23"/>
  <c r="Q6" i="23"/>
  <c r="T39" i="23"/>
  <c r="U39" i="23"/>
  <c r="S40" i="23" s="1"/>
  <c r="U18" i="20"/>
  <c r="V18" i="20"/>
  <c r="T29" i="23"/>
  <c r="U29" i="23"/>
  <c r="P20" i="23"/>
  <c r="Q20" i="23"/>
  <c r="R21" i="23" s="1"/>
  <c r="V8" i="20"/>
  <c r="U18" i="23"/>
  <c r="S19" i="23" s="1"/>
  <c r="AA27" i="23"/>
  <c r="Q37" i="23"/>
  <c r="R38" i="23" s="1"/>
  <c r="P37" i="23"/>
  <c r="U10" i="20"/>
  <c r="V10" i="20"/>
  <c r="T14" i="23"/>
  <c r="U14" i="23"/>
  <c r="S15" i="23" s="1"/>
  <c r="AA39" i="23"/>
  <c r="Q14" i="23"/>
  <c r="P14" i="23"/>
  <c r="T8" i="23"/>
  <c r="AI8" i="20"/>
  <c r="T27" i="23"/>
  <c r="U14" i="20"/>
  <c r="AA18" i="23"/>
  <c r="P41" i="23"/>
  <c r="Q41" i="23"/>
  <c r="R42" i="23" s="1"/>
  <c r="R18" i="20"/>
  <c r="Q18" i="20"/>
  <c r="AI10" i="20"/>
  <c r="Q16" i="20"/>
  <c r="R16" i="20"/>
  <c r="U16" i="20"/>
  <c r="V16" i="20"/>
  <c r="T37" i="23"/>
  <c r="U37" i="23"/>
  <c r="S38" i="23" s="1"/>
  <c r="AI14" i="20"/>
  <c r="T10" i="23"/>
  <c r="U10" i="23"/>
  <c r="S11" i="23" s="1"/>
  <c r="Q31" i="23"/>
  <c r="R32" i="23" s="1"/>
  <c r="P31" i="23"/>
  <c r="AA10" i="23"/>
  <c r="T20" i="23"/>
  <c r="AA12" i="23"/>
  <c r="AI1" i="20" l="1"/>
  <c r="AI20" i="23"/>
  <c r="S21" i="23"/>
  <c r="AI22" i="23"/>
  <c r="S23" i="23"/>
  <c r="AI14" i="23"/>
  <c r="R15" i="23"/>
  <c r="AI12" i="23"/>
  <c r="S13" i="23"/>
  <c r="AI10" i="23"/>
  <c r="R11" i="23"/>
  <c r="AH22" i="23"/>
  <c r="AH31" i="23"/>
  <c r="AH14" i="23"/>
  <c r="AJ1" i="20"/>
  <c r="AH8" i="23"/>
  <c r="AH12" i="23"/>
  <c r="AH27" i="23"/>
  <c r="AH41" i="23"/>
  <c r="AH18" i="23"/>
  <c r="AH25" i="23"/>
  <c r="AH35" i="23"/>
  <c r="AH16" i="23"/>
  <c r="AH29" i="23"/>
  <c r="AH37" i="23"/>
  <c r="AG1" i="23"/>
  <c r="AH20" i="23"/>
  <c r="AH10" i="23"/>
  <c r="AH33" i="23"/>
  <c r="AH39" i="23"/>
  <c r="W13" i="23"/>
  <c r="V13" i="23"/>
  <c r="S7" i="23"/>
  <c r="V7" i="23"/>
  <c r="W7" i="23"/>
  <c r="R7" i="23"/>
  <c r="V36" i="23"/>
  <c r="W36" i="23"/>
  <c r="V32" i="23"/>
  <c r="W32" i="23"/>
  <c r="V28" i="23"/>
  <c r="W40" i="23"/>
  <c r="W28" i="23"/>
  <c r="V42" i="23"/>
  <c r="V40" i="23"/>
  <c r="W38" i="23"/>
  <c r="W42" i="23"/>
  <c r="V38" i="23"/>
  <c r="V23" i="23"/>
  <c r="W23" i="23"/>
  <c r="V21" i="23"/>
  <c r="W19" i="23"/>
  <c r="W21" i="23"/>
  <c r="V19" i="23"/>
  <c r="V15" i="23"/>
  <c r="W15" i="23"/>
  <c r="W11" i="23"/>
  <c r="V11" i="23"/>
  <c r="V9" i="23"/>
  <c r="W9" i="23"/>
  <c r="W15" i="20"/>
  <c r="X15" i="20"/>
  <c r="S15" i="20"/>
  <c r="W7" i="20"/>
  <c r="T7" i="20"/>
  <c r="W19" i="20"/>
  <c r="T19" i="20"/>
  <c r="X19" i="20"/>
  <c r="S19" i="20"/>
  <c r="W17" i="20"/>
  <c r="T17" i="20"/>
  <c r="X7" i="20"/>
  <c r="S7" i="20"/>
  <c r="X13" i="20"/>
  <c r="S13" i="20"/>
  <c r="S11" i="20"/>
  <c r="X11" i="20"/>
  <c r="S17" i="20"/>
  <c r="X17" i="20"/>
  <c r="W9" i="20"/>
  <c r="T9" i="20"/>
  <c r="X9" i="20"/>
  <c r="S9" i="20"/>
  <c r="W11" i="20"/>
  <c r="T11" i="20"/>
  <c r="T13" i="20"/>
  <c r="W13" i="20"/>
  <c r="I5" i="15" l="1"/>
  <c r="H5" i="15"/>
  <c r="AJ22" i="23"/>
  <c r="AJ20" i="23"/>
  <c r="AJ14" i="23"/>
  <c r="AJ12" i="23"/>
  <c r="AJ10" i="23"/>
  <c r="AH1" i="23"/>
  <c r="H11" i="15" l="1"/>
  <c r="AI1" i="23"/>
  <c r="I11" i="15" s="1"/>
  <c r="AF1" i="35" l="1"/>
  <c r="AE1" i="32"/>
  <c r="AF1" i="36"/>
  <c r="AE1" i="26"/>
  <c r="AE1" i="25"/>
  <c r="AF1" i="20"/>
  <c r="AJ1" i="29"/>
  <c r="AE1" i="23"/>
  <c r="AL1" i="35"/>
  <c r="AL1" i="36"/>
  <c r="AK1" i="32"/>
  <c r="AK1" i="25"/>
  <c r="AK1" i="26"/>
  <c r="AK1" i="23"/>
  <c r="AL1"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<sst xmlns="http://schemas.openxmlformats.org/spreadsheetml/2006/main" count="3938" uniqueCount="568">
  <si>
    <t>IBKR</t>
  </si>
  <si>
    <t>my_pf_name</t>
  </si>
  <si>
    <t>my_fi_name</t>
  </si>
  <si>
    <t>MUB</t>
  </si>
  <si>
    <t>SCHZ</t>
  </si>
  <si>
    <t>SPAB</t>
  </si>
  <si>
    <t>BND</t>
  </si>
  <si>
    <t>AGG</t>
  </si>
  <si>
    <t>moving_avg_days</t>
  </si>
  <si>
    <t>Keys</t>
  </si>
  <si>
    <t>Values</t>
  </si>
  <si>
    <t>SPHY</t>
  </si>
  <si>
    <t>SCYB</t>
  </si>
  <si>
    <t>HYLB</t>
  </si>
  <si>
    <t>USHY</t>
  </si>
  <si>
    <t>HYG</t>
  </si>
  <si>
    <t>JNK</t>
  </si>
  <si>
    <t>SPMB</t>
  </si>
  <si>
    <t>VMBS</t>
  </si>
  <si>
    <t>TFI</t>
  </si>
  <si>
    <t>SPBO</t>
  </si>
  <si>
    <t>USIG</t>
  </si>
  <si>
    <t>VTC</t>
  </si>
  <si>
    <t>CORP</t>
  </si>
  <si>
    <t>pct</t>
  </si>
  <si>
    <t>trading_inputs_sheet</t>
  </si>
  <si>
    <t>$A$1</t>
  </si>
  <si>
    <t>my_prod_type</t>
  </si>
  <si>
    <t>size_screen_bid</t>
  </si>
  <si>
    <t>size_screen_ask</t>
  </si>
  <si>
    <t>price_screen_close</t>
  </si>
  <si>
    <t>time</t>
  </si>
  <si>
    <t>equity</t>
  </si>
  <si>
    <t>ANGL</t>
  </si>
  <si>
    <t>BNDX</t>
  </si>
  <si>
    <t>BWX</t>
  </si>
  <si>
    <t>CMF</t>
  </si>
  <si>
    <t>CWB</t>
  </si>
  <si>
    <t>EMB</t>
  </si>
  <si>
    <t>FALN</t>
  </si>
  <si>
    <t>IAGG</t>
  </si>
  <si>
    <t>ICVT</t>
  </si>
  <si>
    <t>IGOV</t>
  </si>
  <si>
    <t>PFF</t>
  </si>
  <si>
    <t>PFFD</t>
  </si>
  <si>
    <t>SCHH</t>
  </si>
  <si>
    <t>USRT</t>
  </si>
  <si>
    <t>VTEC</t>
  </si>
  <si>
    <t>VWOB</t>
  </si>
  <si>
    <t>position</t>
  </si>
  <si>
    <t>symbol</t>
  </si>
  <si>
    <t>scalar</t>
  </si>
  <si>
    <t>best_unit_cf</t>
  </si>
  <si>
    <t>hit bid</t>
  </si>
  <si>
    <t>lift ask</t>
  </si>
  <si>
    <t>rows</t>
  </si>
  <si>
    <t>mkt data</t>
  </si>
  <si>
    <t>mkt prices</t>
  </si>
  <si>
    <t>bid</t>
  </si>
  <si>
    <t>ask</t>
  </si>
  <si>
    <t>unit cf</t>
  </si>
  <si>
    <t>current position</t>
  </si>
  <si>
    <t>shs</t>
  </si>
  <si>
    <t>net units</t>
  </si>
  <si>
    <t>trading_inputs_upload_cell</t>
  </si>
  <si>
    <t>margin</t>
  </si>
  <si>
    <t>net price</t>
  </si>
  <si>
    <t>enter</t>
  </si>
  <si>
    <t>exit</t>
  </si>
  <si>
    <t>lift top/hit bottom</t>
  </si>
  <si>
    <t>hit top/lift bottom</t>
  </si>
  <si>
    <t>buy top</t>
  </si>
  <si>
    <t>sell top</t>
  </si>
  <si>
    <t>units</t>
  </si>
  <si>
    <t>$val</t>
  </si>
  <si>
    <t>cd git-projects\trading\stat_arb</t>
  </si>
  <si>
    <t>anchor</t>
  </si>
  <si>
    <t>FSTA</t>
  </si>
  <si>
    <t>VDC</t>
  </si>
  <si>
    <t>XLP</t>
  </si>
  <si>
    <t>FENY</t>
  </si>
  <si>
    <t>IYE</t>
  </si>
  <si>
    <t>VDE</t>
  </si>
  <si>
    <t>XLE</t>
  </si>
  <si>
    <t>IYF</t>
  </si>
  <si>
    <t>VFH</t>
  </si>
  <si>
    <t>XLF</t>
  </si>
  <si>
    <t>FHLC</t>
  </si>
  <si>
    <t>IYH</t>
  </si>
  <si>
    <t>VHT</t>
  </si>
  <si>
    <t>XLV</t>
  </si>
  <si>
    <t>FIDU</t>
  </si>
  <si>
    <t>XLI</t>
  </si>
  <si>
    <t>FREL</t>
  </si>
  <si>
    <t>IYR</t>
  </si>
  <si>
    <t>VNQ</t>
  </si>
  <si>
    <t>XLRE</t>
  </si>
  <si>
    <t>FTEC</t>
  </si>
  <si>
    <t>IYW</t>
  </si>
  <si>
    <t>VGT</t>
  </si>
  <si>
    <t>XLK</t>
  </si>
  <si>
    <t>FUTY</t>
  </si>
  <si>
    <t>IDU</t>
  </si>
  <si>
    <t>VPU</t>
  </si>
  <si>
    <t>XLU</t>
  </si>
  <si>
    <t>sector</t>
  </si>
  <si>
    <t>staples</t>
  </si>
  <si>
    <t>utilities</t>
  </si>
  <si>
    <t>real estate</t>
  </si>
  <si>
    <t>energy</t>
  </si>
  <si>
    <t>healthcare</t>
  </si>
  <si>
    <t>financials</t>
  </si>
  <si>
    <t>discretionary</t>
  </si>
  <si>
    <t>FNCL</t>
  </si>
  <si>
    <t>VIS</t>
  </si>
  <si>
    <t>IYJ</t>
  </si>
  <si>
    <t>IYK</t>
  </si>
  <si>
    <t>div_treatment</t>
  </si>
  <si>
    <t>fixed income</t>
  </si>
  <si>
    <t>agg</t>
  </si>
  <si>
    <t>fallen angels</t>
  </si>
  <si>
    <t>corps</t>
  </si>
  <si>
    <t>converts</t>
  </si>
  <si>
    <t>hi yld</t>
  </si>
  <si>
    <t>mortgages</t>
  </si>
  <si>
    <t>munis</t>
  </si>
  <si>
    <t>prefs</t>
  </si>
  <si>
    <t>calif munis</t>
  </si>
  <si>
    <t>technology</t>
  </si>
  <si>
    <t>div adj</t>
  </si>
  <si>
    <t>adv</t>
  </si>
  <si>
    <t>industrials</t>
  </si>
  <si>
    <t>TRUE/FALSE</t>
  </si>
  <si>
    <t>scalar_outputs_download_cell</t>
  </si>
  <si>
    <t>scalar_outputs_sheet</t>
  </si>
  <si>
    <t>simple moving avg</t>
  </si>
  <si>
    <t>add 1st div between ex-dates</t>
  </si>
  <si>
    <t>annual div accumulation</t>
  </si>
  <si>
    <t>shop-shop*usdcad</t>
  </si>
  <si>
    <t>GOOG</t>
  </si>
  <si>
    <t>GOOGL</t>
  </si>
  <si>
    <t>FOX</t>
  </si>
  <si>
    <t>FOXA</t>
  </si>
  <si>
    <t>NWS</t>
  </si>
  <si>
    <t>NWSA</t>
  </si>
  <si>
    <t>HEI</t>
  </si>
  <si>
    <t>FDIS</t>
  </si>
  <si>
    <t>IYC</t>
  </si>
  <si>
    <t>XLY</t>
  </si>
  <si>
    <t>VCR</t>
  </si>
  <si>
    <t>google</t>
  </si>
  <si>
    <t>fox corp</t>
  </si>
  <si>
    <t>news corp</t>
  </si>
  <si>
    <t>heico</t>
  </si>
  <si>
    <t>HEI A</t>
  </si>
  <si>
    <t>berkshire</t>
  </si>
  <si>
    <t>BRK A</t>
  </si>
  <si>
    <t>BRK B</t>
  </si>
  <si>
    <t>SMH</t>
  </si>
  <si>
    <t>SOXX</t>
  </si>
  <si>
    <t>IBB</t>
  </si>
  <si>
    <t>ITA</t>
  </si>
  <si>
    <t>PPA</t>
  </si>
  <si>
    <t>KBE</t>
  </si>
  <si>
    <t>KBWB</t>
  </si>
  <si>
    <t>REIT</t>
  </si>
  <si>
    <t>ICF</t>
  </si>
  <si>
    <t>RWR</t>
  </si>
  <si>
    <t>DFAR - active?</t>
  </si>
  <si>
    <t>scalars</t>
  </si>
  <si>
    <t>close</t>
  </si>
  <si>
    <t>div</t>
  </si>
  <si>
    <t>chg</t>
  </si>
  <si>
    <t>pnl</t>
  </si>
  <si>
    <t>avg of</t>
  </si>
  <si>
    <t>TOTAL</t>
  </si>
  <si>
    <t>bid / ask</t>
  </si>
  <si>
    <t>price</t>
  </si>
  <si>
    <t>total</t>
  </si>
  <si>
    <t>price w/ comm &amp; div</t>
  </si>
  <si>
    <t>regions</t>
  </si>
  <si>
    <t>semis</t>
  </si>
  <si>
    <t>pref vs pref - espcially banks and fin companies</t>
  </si>
  <si>
    <t>IBDR</t>
  </si>
  <si>
    <t>BSCQ</t>
  </si>
  <si>
    <t>IBDS</t>
  </si>
  <si>
    <t>BSCR</t>
  </si>
  <si>
    <t>IBDT</t>
  </si>
  <si>
    <t>BSCS</t>
  </si>
  <si>
    <t>IBDU</t>
  </si>
  <si>
    <t>BSCT</t>
  </si>
  <si>
    <t>IBDV</t>
  </si>
  <si>
    <t>BSCU</t>
  </si>
  <si>
    <t>IBDW</t>
  </si>
  <si>
    <t>BSCV</t>
  </si>
  <si>
    <t>IBDX</t>
  </si>
  <si>
    <t>BSCW</t>
  </si>
  <si>
    <t>IBDY</t>
  </si>
  <si>
    <t>BSCX</t>
  </si>
  <si>
    <t>IBDZ</t>
  </si>
  <si>
    <t>BSCY</t>
  </si>
  <si>
    <t>IBCA</t>
  </si>
  <si>
    <t>BSCZ</t>
  </si>
  <si>
    <t>UA</t>
  </si>
  <si>
    <t>UAA</t>
  </si>
  <si>
    <t>under armour</t>
  </si>
  <si>
    <t>brown foreman</t>
  </si>
  <si>
    <t>BF A</t>
  </si>
  <si>
    <t>BF B</t>
  </si>
  <si>
    <t>moog</t>
  </si>
  <si>
    <t>MOG A</t>
  </si>
  <si>
    <t>MOG B</t>
  </si>
  <si>
    <t>lenar</t>
  </si>
  <si>
    <t>LEN</t>
  </si>
  <si>
    <t>LEN B</t>
  </si>
  <si>
    <t>atlanta braves</t>
  </si>
  <si>
    <t>BATRA</t>
  </si>
  <si>
    <t>BATRK</t>
  </si>
  <si>
    <t>Z</t>
  </si>
  <si>
    <t>ZG</t>
  </si>
  <si>
    <t>zillow</t>
  </si>
  <si>
    <t>are there many Canadian, Mexican and South American ADRs? they are in my time zone</t>
  </si>
  <si>
    <t>Good instinct on the time zone — that actually changes the trade's character quite a bit, not just its convenience. Let me break down availability first, then the mechanism difference.</t>
  </si>
  <si>
    <r>
      <t>Canada</t>
    </r>
    <r>
      <rPr>
        <sz val="11"/>
        <color theme="1"/>
        <rFont val="Aptos Narrow"/>
        <family val="2"/>
        <scheme val="minor"/>
      </rPr>
      <t xml:space="preserve"> — technically the smallest ADR opportunity set, but for a good reason: most large Canadian names aren't ADRs at all, they're </t>
    </r>
    <r>
      <rPr>
        <b/>
        <sz val="11"/>
        <color theme="1"/>
        <rFont val="Aptos Narrow"/>
        <family val="2"/>
        <scheme val="minor"/>
      </rPr>
      <t>interlisted ordinary shares</t>
    </r>
    <r>
      <rPr>
        <sz val="11"/>
        <color theme="1"/>
        <rFont val="Aptos Narrow"/>
        <family val="2"/>
        <scheme val="minor"/>
      </rPr>
      <t xml:space="preserve"> trading directly on both the TSX and NYSE/Nasdaq under the same or a very similar ticker (RY, TD, BMO, BNS, CNQ, SU, ENB, SHOP, CP, CNI). No depositary bank, no conversion ratio, no depositary fee — it's the identical share, just listed on two exchanges. This is actually a </t>
    </r>
    <r>
      <rPr>
        <i/>
        <sz val="11"/>
        <color theme="1"/>
        <rFont val="Aptos Narrow"/>
        <family val="2"/>
        <scheme val="minor"/>
      </rPr>
      <t>cleaner</t>
    </r>
    <r>
      <rPr>
        <sz val="11"/>
        <color theme="1"/>
        <rFont val="Aptos Narrow"/>
        <family val="2"/>
        <scheme val="minor"/>
      </rPr>
      <t xml:space="preserve"> trade than true ADR arb: the only frictions left are FX (CAD/USD) and cross-border settlement/liquidity timing, since both legs trade during full overlapping hours (TSX and NYSE both run ~9:30am–4pm ET). This is close to your GOOG/GOOGL trade with an FX leg bolted on, rather than classic ADR arb.</t>
    </r>
  </si>
  <si>
    <r>
      <t>Mexico</t>
    </r>
    <r>
      <rPr>
        <sz val="11"/>
        <color theme="1"/>
        <rFont val="Aptos Narrow"/>
        <family val="2"/>
        <scheme val="minor"/>
      </rPr>
      <t xml:space="preserve"> — a real but moderate set of true ADRs: América Móvil (AMX), Cemex (CX, fixed 10:1 ratio confirmed against the CEMEX.CPO Mexico line), and a handful of others (Grupo Televisa, Vitro historically, Grupo Aeroportuario names). Mexican and US markets overlap almost entirely (Mexico City is US Central time), so again you lose the overnight-gap dynamic — but Cemex is liquid enough on both sides to be a workable real-time basis trade, and the peso adds a genuine FX-hedging leg since USD/MXN moves are non-trivial.</t>
    </r>
  </si>
  <si>
    <r>
      <t>Brazil</t>
    </r>
    <r>
      <rPr>
        <sz val="11"/>
        <color theme="1"/>
        <rFont val="Aptos Narrow"/>
        <family val="2"/>
        <scheme val="minor"/>
      </rPr>
      <t xml:space="preserve"> — the deepest South American ADR list: Petrobras (PBR/PBR-A), Vale (VALE), Itaú Unibanco (ITUB), Banco Bradesco (BBD), Ambev (ABEV), Gerdau (GGB), and more. Brazil is only 1-2 hours ahead of US Eastern depending on DST alignment, so overlap is substantial for most of the US trading day — similar dynamic to Mexico.</t>
    </r>
  </si>
  <si>
    <r>
      <t>Argentina</t>
    </r>
    <r>
      <rPr>
        <sz val="11"/>
        <color theme="1"/>
        <rFont val="Aptos Narrow"/>
        <family val="2"/>
        <scheme val="minor"/>
      </rPr>
      <t xml:space="preserve"> — disproportionately ADR-heavy relative to the size of its market, because Argentine capital controls have historically pushed a lot of trading volume into the ADR structure rather than the local Buenos Aires exchange. Confirmed a long list still active: YPF, Grupo Financiero Galicia (GGAL), Banco Macro (BMA), BBVA Argentina (BBAR), Grupo Supervielle (SUPV), IRSA, Telecom Argentina (TEO), Pampa Energía, Vista Energy, Cresud (CRESY), Loma Negra, Adecoagro, Corporación América Airports (CAAP), Transportadora de Gas del Sur — a genuinely rich set for a systematic screener, and Argentina trades same time zone as US Eastern (no offset at all most of the year).</t>
    </r>
  </si>
  <si>
    <r>
      <t>Chile, Peru, Colombia</t>
    </r>
    <r>
      <rPr>
        <sz val="11"/>
        <color theme="1"/>
        <rFont val="Aptos Narrow"/>
        <family val="2"/>
        <scheme val="minor"/>
      </rPr>
      <t xml:space="preserve"> — thin. A handful of ADRs each (e.g., Banco de Chile, Credicorp for Peru, Bancolombia, Ecopetrol), generally lower liquidity, wider spreads — workable but you'll be capacity-constrained fast.</t>
    </r>
  </si>
  <si>
    <t>Why the time-zone overlap changes the trade, not just the convenience</t>
  </si>
  <si>
    <r>
      <t xml:space="preserve">For Asian/European ADRs, a meaningful chunk of the "edge" is really a forecasting problem — the ADR is stale against an overnight move you haven't seen yet, so you're pricing in expected home-market reaction, which is closer to alpha generation than arb. With Canada/Mexico/Argentina/Brazil trading concurrently (or near-concurrently) with the US, that overnight-gap source of edge mostly disappears — which is good for you in one sense (removes a forecasting risk you can't easily model) but means the remaining edge is purely mechanical: bid-ask/liquidity mismatches between the two listings, real-time FX slippage, and periodic conversion-ratio or corporate-action mispricings. That's a </t>
    </r>
    <r>
      <rPr>
        <i/>
        <sz val="11"/>
        <color theme="1"/>
        <rFont val="Aptos Narrow"/>
        <family val="2"/>
        <scheme val="minor"/>
      </rPr>
      <t>higher win-rate, lower magnitude-per-trade</t>
    </r>
    <r>
      <rPr>
        <sz val="11"/>
        <color theme="1"/>
        <rFont val="Aptos Narrow"/>
        <family val="2"/>
        <scheme val="minor"/>
      </rPr>
      <t xml:space="preserve"> profile — much closer in character to your existing pairs trades than to the classical ADR-arb literature, which is written almost entirely around the Asian/European overnight-gap case.</t>
    </r>
  </si>
  <si>
    <t>Given your IBKR access already covers TSX, BMV (Mexico), B3 (Brazil), and BYMA (Argentina), this is one of the more directly executable extensions of what you're already running — the Canadian interlisted names in particular are close to a drop-in addition to your existing screener with an FX-hedge module bolted on.</t>
  </si>
  <si>
    <t>pair</t>
  </si>
  <si>
    <t>max/min</t>
  </si>
  <si>
    <t>diff/pct</t>
  </si>
  <si>
    <t>bid/ask</t>
  </si>
  <si>
    <t>group</t>
  </si>
  <si>
    <t>trade relative discounts in similar securities</t>
  </si>
  <si>
    <t>BSJQ</t>
  </si>
  <si>
    <t>IBHF</t>
  </si>
  <si>
    <t>BSJR</t>
  </si>
  <si>
    <t>IBHG</t>
  </si>
  <si>
    <t>BSJS</t>
  </si>
  <si>
    <t>IBHH</t>
  </si>
  <si>
    <t>BSJT</t>
  </si>
  <si>
    <t>IBHI</t>
  </si>
  <si>
    <t>BSJU</t>
  </si>
  <si>
    <t>IBHJ</t>
  </si>
  <si>
    <t>BSJV</t>
  </si>
  <si>
    <t>IBHK</t>
  </si>
  <si>
    <t>BSJW</t>
  </si>
  <si>
    <t>IBHL</t>
  </si>
  <si>
    <t>BSMQ</t>
  </si>
  <si>
    <t>IBMO</t>
  </si>
  <si>
    <t>BSMR</t>
  </si>
  <si>
    <t>IBMP</t>
  </si>
  <si>
    <t>BSMS</t>
  </si>
  <si>
    <t>IBMQ</t>
  </si>
  <si>
    <t>BSMT</t>
  </si>
  <si>
    <t>IBMR</t>
  </si>
  <si>
    <t>BSMU</t>
  </si>
  <si>
    <t>IBMS</t>
  </si>
  <si>
    <t>BSMV</t>
  </si>
  <si>
    <t>IBMT</t>
  </si>
  <si>
    <t>BSGR</t>
  </si>
  <si>
    <t>IBTH</t>
  </si>
  <si>
    <t>BSTS</t>
  </si>
  <si>
    <t>IBTI</t>
  </si>
  <si>
    <t>BSGT</t>
  </si>
  <si>
    <t>IBTJ</t>
  </si>
  <si>
    <t>BSTU</t>
  </si>
  <si>
    <t>IBTK</t>
  </si>
  <si>
    <t>BSTV</t>
  </si>
  <si>
    <t>IBTL</t>
  </si>
  <si>
    <t>If you mean traditional U.S. exchange-traded closed-end funds (CEFs), the latest ICI count is 338 funds as of June 30, 2026. That breaks down into:</t>
  </si>
  <si>
    <t>203 bond CEFs</t>
  </si>
  <si>
    <t>135 equity CEFs</t>
  </si>
  <si>
    <t>Those funds had about $267 billion of assets. ICI</t>
  </si>
  <si>
    <t>The count has been shrinking: 393 at year-end 2024 → 364 at year-end 2025 → 347 in Q1 2026 → 338 in Q2 2026, largely because of mergers, liquidations, and conversions. ICI</t>
  </si>
  <si>
    <t>There are more entities if you use the broader legal definition of “closed-end fund.” At year-end 2025, ICI counted 816 total, including interval funds, tender-offer funds, and BDCs. But for what I think you're asking about — tickered CEFs you could potentially trade against each other — think roughly 340 securities. ICI</t>
  </si>
  <si>
    <t>Given what you're doing with ETF pairs, the interesting next question is probably: how many of those 338 have another CEF with a sufficiently similar portfolio/mandate to make a sensible pairs trade? That universe could be quite substantial.</t>
  </si>
  <si>
    <t>AFTER 9:30am!</t>
  </si>
  <si>
    <t>executions</t>
  </si>
  <si>
    <t>delay</t>
  </si>
  <si>
    <t>strat_name</t>
  </si>
  <si>
    <t>LimitLimit</t>
  </si>
  <si>
    <t>python App_StatArb_Trade_Pairs_Batch.py</t>
  </si>
  <si>
    <t>FI GROUP</t>
  </si>
  <si>
    <t>FIXED INCOME</t>
  </si>
  <si>
    <t>CORPS</t>
  </si>
  <si>
    <t>TARGETS</t>
  </si>
  <si>
    <t>CEFS</t>
  </si>
  <si>
    <t>ADRS</t>
  </si>
  <si>
    <t>LBTYA</t>
  </si>
  <si>
    <t>LBTYK</t>
  </si>
  <si>
    <t>LILAK</t>
  </si>
  <si>
    <t>FWONA</t>
  </si>
  <si>
    <t>FWONK</t>
  </si>
  <si>
    <t>GLIBK</t>
  </si>
  <si>
    <t>GLIBA</t>
  </si>
  <si>
    <t>liberty</t>
  </si>
  <si>
    <t>LILA</t>
  </si>
  <si>
    <t>TLT / VGLT</t>
  </si>
  <si>
    <t>CORP / VTC</t>
  </si>
  <si>
    <t>CHECK BORROW RATES FIRST !!!</t>
  </si>
  <si>
    <t>shares</t>
  </si>
  <si>
    <t>initial_profit</t>
  </si>
  <si>
    <t>profit_increment</t>
  </si>
  <si>
    <t>cd git-projects\trading\apps</t>
  </si>
  <si>
    <t>python App_Stream_MktData.py</t>
  </si>
  <si>
    <t>Scalar Inputs Table</t>
  </si>
  <si>
    <t>SCALAR INPUTS</t>
  </si>
  <si>
    <t>2026 Fin Inst Database</t>
  </si>
  <si>
    <t>target</t>
  </si>
  <si>
    <t>FI GROUPS</t>
  </si>
  <si>
    <t>SECTOR GROUPS</t>
  </si>
  <si>
    <t>CLOSED END FUNDS</t>
  </si>
  <si>
    <t>To add a new equity</t>
  </si>
  <si>
    <t>Next to investigate</t>
  </si>
  <si>
    <t>TARGET BOUNDARIES</t>
  </si>
  <si>
    <t>CLOSED TRADES</t>
  </si>
  <si>
    <t>POSITIVE!!!</t>
  </si>
  <si>
    <t>s_row</t>
  </si>
  <si>
    <t>m_row</t>
  </si>
  <si>
    <t>current_position</t>
  </si>
  <si>
    <t>max_shs</t>
  </si>
  <si>
    <t>max_units</t>
  </si>
  <si>
    <t>closing_price</t>
  </si>
  <si>
    <t>$_val</t>
  </si>
  <si>
    <t>EMLC</t>
  </si>
  <si>
    <t>LEMB</t>
  </si>
  <si>
    <t>industry</t>
  </si>
  <si>
    <t>trade</t>
  </si>
  <si>
    <t>date</t>
  </si>
  <si>
    <t>potential pnl</t>
  </si>
  <si>
    <t>$ amt</t>
  </si>
  <si>
    <t>ACTUAL</t>
  </si>
  <si>
    <t>POTENTIAL</t>
  </si>
  <si>
    <t>best_low_enter</t>
  </si>
  <si>
    <t>best_low_exit</t>
  </si>
  <si>
    <t>best_low_sharpe</t>
  </si>
  <si>
    <t>comment</t>
  </si>
  <si>
    <t>div_method</t>
  </si>
  <si>
    <t>best_high_enter</t>
  </si>
  <si>
    <t>best_high_exit</t>
  </si>
  <si>
    <t>best_high_sharpe</t>
  </si>
  <si>
    <t>active_low_enter</t>
  </si>
  <si>
    <t>active_low_exit</t>
  </si>
  <si>
    <t>active_low_sharpe</t>
  </si>
  <si>
    <t>active_low_rtn</t>
  </si>
  <si>
    <t>active_high_enter</t>
  </si>
  <si>
    <t>active_high_exit</t>
  </si>
  <si>
    <t>active_high_sharpe</t>
  </si>
  <si>
    <t>active_high_rtn</t>
  </si>
  <si>
    <t>t'hold</t>
  </si>
  <si>
    <t>total_sharpe</t>
  </si>
  <si>
    <t>total_rtn</t>
  </si>
  <si>
    <t>price_screen_bid</t>
  </si>
  <si>
    <t>price_screen_ask</t>
  </si>
  <si>
    <t>s/b big winner on high side soon</t>
  </si>
  <si>
    <t>IYG</t>
  </si>
  <si>
    <t>XITK</t>
  </si>
  <si>
    <t>IETC</t>
  </si>
  <si>
    <t>careful</t>
  </si>
  <si>
    <t>BBH</t>
  </si>
  <si>
    <t>FTXR</t>
  </si>
  <si>
    <t>IYT</t>
  </si>
  <si>
    <t>OIH</t>
  </si>
  <si>
    <t>IEZ</t>
  </si>
  <si>
    <t>PJP</t>
  </si>
  <si>
    <t>IHE</t>
  </si>
  <si>
    <t>PKB</t>
  </si>
  <si>
    <t>ITB</t>
  </si>
  <si>
    <t>PXE</t>
  </si>
  <si>
    <t>IEO</t>
  </si>
  <si>
    <t>biotech</t>
  </si>
  <si>
    <t>aerospace</t>
  </si>
  <si>
    <t>pharma</t>
  </si>
  <si>
    <t>transport</t>
  </si>
  <si>
    <t>home builders</t>
  </si>
  <si>
    <t>japan</t>
  </si>
  <si>
    <t>india</t>
  </si>
  <si>
    <t>china</t>
  </si>
  <si>
    <t>XLKM</t>
  </si>
  <si>
    <t>XLYM</t>
  </si>
  <si>
    <t>XLPM</t>
  </si>
  <si>
    <t>XLEM</t>
  </si>
  <si>
    <t>country</t>
  </si>
  <si>
    <t>canada</t>
  </si>
  <si>
    <t>EWC</t>
  </si>
  <si>
    <t>BBCA</t>
  </si>
  <si>
    <t>mexico</t>
  </si>
  <si>
    <t>FLMX</t>
  </si>
  <si>
    <t>EWW</t>
  </si>
  <si>
    <t>united kingdom</t>
  </si>
  <si>
    <t>FLGB</t>
  </si>
  <si>
    <t>EWU</t>
  </si>
  <si>
    <t>australia</t>
  </si>
  <si>
    <t>EWA</t>
  </si>
  <si>
    <t>FLAU</t>
  </si>
  <si>
    <t>taiwan</t>
  </si>
  <si>
    <t>FLTW</t>
  </si>
  <si>
    <t>EWT</t>
  </si>
  <si>
    <t>south korea</t>
  </si>
  <si>
    <t>FLKR</t>
  </si>
  <si>
    <t>EWY</t>
  </si>
  <si>
    <t>brazil</t>
  </si>
  <si>
    <t>FLBR</t>
  </si>
  <si>
    <t>EWZ</t>
  </si>
  <si>
    <t>germany</t>
  </si>
  <si>
    <t>EWG</t>
  </si>
  <si>
    <t>FGM</t>
  </si>
  <si>
    <t>scalar_input_sheet</t>
  </si>
  <si>
    <t>scalar_input_table</t>
  </si>
  <si>
    <t>DIVIDEND INFO</t>
  </si>
  <si>
    <t>This workbook</t>
  </si>
  <si>
    <t>column number -&gt;</t>
  </si>
  <si>
    <t>corp</t>
  </si>
  <si>
    <t>threshold_sheet</t>
  </si>
  <si>
    <t>threshold_input_range</t>
  </si>
  <si>
    <t>threshold_output_cell</t>
  </si>
  <si>
    <t>analysis_date</t>
  </si>
  <si>
    <t>corr(log_chg*)</t>
  </si>
  <si>
    <t>min(ratio*_ma)</t>
  </si>
  <si>
    <t>max(ratio*_ma)</t>
  </si>
  <si>
    <t>log_diff(ratio*_ma)</t>
  </si>
  <si>
    <t>min(ln(unit_prices))</t>
  </si>
  <si>
    <t>max(ln(unit_prices))</t>
  </si>
  <si>
    <t>diff(ln(unit_prices))</t>
  </si>
  <si>
    <t>stdev(ln(unit_prices))</t>
  </si>
  <si>
    <t>D1</t>
  </si>
  <si>
    <t>2026-10-23_16-00-28</t>
  </si>
  <si>
    <t>category1</t>
  </si>
  <si>
    <t>category2</t>
  </si>
  <si>
    <t>category3</t>
  </si>
  <si>
    <t>intl agg</t>
  </si>
  <si>
    <t>usd hedged</t>
  </si>
  <si>
    <t>tsy</t>
  </si>
  <si>
    <t>intl gov</t>
  </si>
  <si>
    <t>unhedged</t>
  </si>
  <si>
    <t>em gov</t>
  </si>
  <si>
    <t>usd denom</t>
  </si>
  <si>
    <t>em bonds</t>
  </si>
  <si>
    <t>local ccy</t>
  </si>
  <si>
    <t>oil &amp; gas</t>
  </si>
  <si>
    <t>expl &amp; prod</t>
  </si>
  <si>
    <t>equip &amp; svcs</t>
  </si>
  <si>
    <t>BATRK_BATRA</t>
  </si>
  <si>
    <t>BF B_BF A</t>
  </si>
  <si>
    <t>BND_AGG</t>
  </si>
  <si>
    <t>BRK B_BRK A</t>
  </si>
  <si>
    <t>CMF_VTEC</t>
  </si>
  <si>
    <t>CWB_ICVT</t>
  </si>
  <si>
    <t>EWA_FLAU</t>
  </si>
  <si>
    <t>EWC_BBCA</t>
  </si>
  <si>
    <t>EWG_FGM</t>
  </si>
  <si>
    <t>FALN_ANGL</t>
  </si>
  <si>
    <t>FDIS_VCR</t>
  </si>
  <si>
    <t>FENY_VDE</t>
  </si>
  <si>
    <t>FHLC_VHT</t>
  </si>
  <si>
    <t>FIDU_VIS</t>
  </si>
  <si>
    <t>FLBR_EWZ</t>
  </si>
  <si>
    <t>FLGB_EWU</t>
  </si>
  <si>
    <t>FLKR_EWY</t>
  </si>
  <si>
    <t>FLMX_EWW</t>
  </si>
  <si>
    <t>FLTW_EWT</t>
  </si>
  <si>
    <t>FNCL_VFH</t>
  </si>
  <si>
    <t>FOX_FOXA</t>
  </si>
  <si>
    <t>FREL_VNQ</t>
  </si>
  <si>
    <t>FSTA_VDC</t>
  </si>
  <si>
    <t>FTXR_IYT</t>
  </si>
  <si>
    <t>FUTY_VPU</t>
  </si>
  <si>
    <t>FWONA_FWONK</t>
  </si>
  <si>
    <t>GLIBK_GLIBA</t>
  </si>
  <si>
    <t>GOOG_GOOGL</t>
  </si>
  <si>
    <t>HEI A_HEI</t>
  </si>
  <si>
    <t>HYG_JNK</t>
  </si>
  <si>
    <t>HYLB_JNK</t>
  </si>
  <si>
    <t>IBB_BBH</t>
  </si>
  <si>
    <t>IYC_XLY</t>
  </si>
  <si>
    <t>IYH_XLV</t>
  </si>
  <si>
    <t>IYJ_XLI</t>
  </si>
  <si>
    <t>IYK_XLP</t>
  </si>
  <si>
    <t>LBTYK_LBTYA</t>
  </si>
  <si>
    <t>LEN B_LEN</t>
  </si>
  <si>
    <t>LILAK_LILA</t>
  </si>
  <si>
    <t>MOG A_MOG B</t>
  </si>
  <si>
    <t>NWSA_NWS</t>
  </si>
  <si>
    <t>PFFD_PFF</t>
  </si>
  <si>
    <t>PJP_IHE</t>
  </si>
  <si>
    <t>PKB_ITB</t>
  </si>
  <si>
    <t>PPA_ITA</t>
  </si>
  <si>
    <t>SCHH_USRT</t>
  </si>
  <si>
    <t>SCHZ_AGG</t>
  </si>
  <si>
    <t>SCYB_JNK</t>
  </si>
  <si>
    <t>SOXX_SMH</t>
  </si>
  <si>
    <t>SPAB_AGG</t>
  </si>
  <si>
    <t>SPBO_CORP</t>
  </si>
  <si>
    <t>SPHY_JNK</t>
  </si>
  <si>
    <t>SPMB_VMBS</t>
  </si>
  <si>
    <t>TFI_MUB</t>
  </si>
  <si>
    <t>UA_UAA</t>
  </si>
  <si>
    <t>USHY_JNK</t>
  </si>
  <si>
    <t>USIG_CORP</t>
  </si>
  <si>
    <t>VGT_FTEC</t>
  </si>
  <si>
    <t>VTC_CORP</t>
  </si>
  <si>
    <t>BSCQ_IBDR</t>
  </si>
  <si>
    <t>BSJQ_IBHF</t>
  </si>
  <si>
    <t>BSMQ_IBMO</t>
  </si>
  <si>
    <t>BSCR_IBDS</t>
  </si>
  <si>
    <t>BSGR_IBTH</t>
  </si>
  <si>
    <t>BSJR_IBHG</t>
  </si>
  <si>
    <t>BSMR_IBMP</t>
  </si>
  <si>
    <t>BSCS_IBDT</t>
  </si>
  <si>
    <t>BSJS_IBHH</t>
  </si>
  <si>
    <t>BSMS_IBMQ</t>
  </si>
  <si>
    <t>BSTS_IBTI</t>
  </si>
  <si>
    <t>BSCT_IBDU</t>
  </si>
  <si>
    <t>BSGT_IBTJ</t>
  </si>
  <si>
    <t>BSJT_IBHI</t>
  </si>
  <si>
    <t>BSMT_IBMR</t>
  </si>
  <si>
    <t>BSCU_IBDV</t>
  </si>
  <si>
    <t>BSJU_IBHJ</t>
  </si>
  <si>
    <t>BSMU_IBMS</t>
  </si>
  <si>
    <t>BSTU_IBTK</t>
  </si>
  <si>
    <t>BSCV_IBDW</t>
  </si>
  <si>
    <t>BSJV_IBHK</t>
  </si>
  <si>
    <t>BSMV_IBMT</t>
  </si>
  <si>
    <t>BSTV_IBTL</t>
  </si>
  <si>
    <t>BSCW_IBDX</t>
  </si>
  <si>
    <t>BSJW_IBHL</t>
  </si>
  <si>
    <t>BSCX_IBDY</t>
  </si>
  <si>
    <t>BSCY_IBDZ</t>
  </si>
  <si>
    <t>BSCZ_IBCA</t>
  </si>
  <si>
    <t>OIH_IEZ</t>
  </si>
  <si>
    <t>PXE_IEO</t>
  </si>
  <si>
    <t>EMLC_LEMB</t>
  </si>
  <si>
    <t>BWX_IGOV</t>
  </si>
  <si>
    <t>VWOB_EMB</t>
  </si>
  <si>
    <t>BNDX_IAGG</t>
  </si>
  <si>
    <t>XLE_IYE</t>
  </si>
  <si>
    <t>XLF_IYF</t>
  </si>
  <si>
    <t>XLK_IYW</t>
  </si>
  <si>
    <t>XLRE_IYR</t>
  </si>
  <si>
    <t>XLU_IDU</t>
  </si>
  <si>
    <t>Z_ZG</t>
  </si>
  <si>
    <t>pair_name</t>
  </si>
  <si>
    <t>lo_px_sym</t>
  </si>
  <si>
    <t>hi_px_sym</t>
  </si>
  <si>
    <t>multiplier</t>
  </si>
  <si>
    <t>lo_div_adj</t>
  </si>
  <si>
    <t>hi_div_adj</t>
  </si>
  <si>
    <t>E1:G100</t>
  </si>
  <si>
    <t>-</t>
  </si>
  <si>
    <t>10/11</t>
  </si>
  <si>
    <t>ADV?</t>
  </si>
  <si>
    <t>MARGIN?</t>
  </si>
  <si>
    <t>last_update</t>
  </si>
  <si>
    <t>IYC_VCR</t>
  </si>
  <si>
    <t>IYE_VDE</t>
  </si>
  <si>
    <t>IYF_VFH</t>
  </si>
  <si>
    <t>IYH_VHT</t>
  </si>
  <si>
    <t>IYJ_VIS</t>
  </si>
  <si>
    <t>IYK_VDC</t>
  </si>
  <si>
    <t>VGT_IYW</t>
  </si>
  <si>
    <t>IDU_VPU</t>
  </si>
  <si>
    <t>VNQ_IYR</t>
  </si>
  <si>
    <t>SECTOR</t>
  </si>
  <si>
    <t>INDUSTRY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</si>
</sst>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_(&quot;$&quot;* \(#,##0.00\);_(&quot;$&quot;* &quot;-&quot;??_);_(@_)"/>
    <numFmt numFmtId="43" formatCode="_(* #,##0.00_);_(* \(#,##0.00\);_(* &quot;-&quot;??_);_(@_)"/>
    <numFmt numFmtId="164" formatCode="_(* #,##0.0000_);_(* \(#,##0.0000\);_(* &quot;-&quot;??_);_(@_)"/>
    <numFmt numFmtId="165" formatCode="_(* #,##0_);_(* \(#,##0\);_(* &quot;-&quot;??_);_(@_)"/>
    <numFmt numFmtId="166" formatCode="_(&quot;$&quot;* #,##0.000_);_(&quot;$&quot;* \(#,##0.000\);_(&quot;$&quot;* &quot;-&quot;??_);_(@_)"/>
    <numFmt numFmtId="167" formatCode="0.000%"/>
    <numFmt numFmtId="168" formatCode="_(&quot;$&quot;* #,##0_);_(&quot;$&quot;* \(#,##0\);_(&quot;$&quot;* &quot;-&quot;??_);_(@_)"/>
    <numFmt numFmtId="169" formatCode="0.00000"/>
    <numFmt numFmtId="170" formatCode="_(&quot;$&quot;* #,##0.0000_);_(&quot;$&quot;* \(#,##0.0000\);_(&quot;$&quot;* &quot;-&quot;??_);_(@_)"/>
    <numFmt numFmtId="171" formatCode="_(&quot;$&quot;* #,##0.000000_);_(&quot;$&quot;* \(#,##0.000000\);_(&quot;$&quot;* &quot;-&quot;??_);_(@_)"/>
    <numFmt numFmtId="172" formatCode="&quot;$&quot;#,##0.0000"/>
    <numFmt numFmtId="173" formatCode="0.0000"/>
    <numFmt numFmtId="174" formatCode="[$-409]dd\-mmm\-yy;@"/>
    <numFmt numFmtId="175" formatCode="0.0%"/>
    <numFmt numFmtId="176" formatCode="_(&quot;$&quot;* #,##0.0000000_);_(&quot;$&quot;* \(#,##0.0000000\);_(&quot;$&quot;* &quot;-&quot;??_);_(@_)"/>
  </numFmts>
  <fonts count="28" x14ac:knownFonts="1">
    <font>
      <sz val="11"/>
      <color theme="1"/>
      <name val="Aptos Narrow"/>
      <family val="2"/>
      <scheme val="minor"/>
    </font>
    <font>
      <sz val="11"/>
      <color theme="1"/>
      <name val="Aptos Narrow"/>
      <family val="2"/>
      <scheme val="minor"/>
    </font>
    <font>
      <sz val="8"/>
      <name val="Aptos Narrow"/>
      <family val="2"/>
      <scheme val="minor"/>
    </font>
    <font>
      <b/>
      <u/>
      <sz val="11"/>
      <color theme="1"/>
      <name val="Aptos Narrow"/>
      <family val="2"/>
      <scheme val="minor"/>
    </font>
    <font>
      <b/>
      <sz val="11"/>
      <color theme="1"/>
      <name val="Aptos Narrow"/>
      <family val="2"/>
      <scheme val="minor"/>
    </font>
    <font>
      <b/>
      <sz val="9"/>
      <color theme="1"/>
      <name val="Aptos Narrow"/>
      <family val="2"/>
      <scheme val="minor"/>
    </font>
    <font>
      <b/>
      <u/>
      <sz val="9"/>
      <color theme="1"/>
      <name val="Aptos Narrow"/>
      <family val="2"/>
      <scheme val="minor"/>
    </font>
    <font>
      <b/>
      <u/>
      <sz val="9"/>
      <color theme="0" tint="-0.499984740745262"/>
      <name val="Aptos Narrow"/>
      <family val="2"/>
      <scheme val="minor"/>
    </font>
    <font>
      <sz val="11"/>
      <color theme="0" tint="-0.499984740745262"/>
      <name val="Aptos Narrow"/>
      <family val="2"/>
      <scheme val="minor"/>
    </font>
    <font>
      <b/>
      <sz val="9"/>
      <color theme="0" tint="-0.499984740745262"/>
      <name val="Aptos Narrow"/>
      <family val="2"/>
      <scheme val="minor"/>
    </font>
    <font>
      <b/>
      <sz val="9"/>
      <color rgb="FFFF0000"/>
      <name val="Aptos Narrow"/>
      <family val="2"/>
      <scheme val="minor"/>
    </font>
    <font>
      <b/>
      <sz val="11"/>
      <name val="Aptos Narrow"/>
      <family val="2"/>
      <scheme val="minor"/>
    </font>
    <font>
      <b/>
      <sz val="11"/>
      <color rgb="FF7030A0"/>
      <name val="Aptos Narrow"/>
      <family val="2"/>
      <scheme val="minor"/>
    </font>
    <font>
      <sz val="11"/>
      <name val="Aptos Narrow"/>
      <family val="2"/>
      <scheme val="minor"/>
    </font>
    <font>
      <sz val="9"/>
      <color theme="1"/>
      <name val="Aptos Narrow"/>
      <family val="2"/>
      <scheme val="minor"/>
    </font>
    <font>
      <strike/>
      <sz val="11"/>
      <color theme="1"/>
      <name val="Aptos Narrow"/>
      <family val="2"/>
      <scheme val="minor"/>
    </font>
    <font>
      <b/>
      <sz val="11"/>
      <color theme="0" tint="-0.499984740745262"/>
      <name val="Aptos Narrow"/>
      <family val="2"/>
      <scheme val="minor"/>
    </font>
    <font>
      <b/>
      <sz val="11"/>
      <color rgb="FF0070C0"/>
      <name val="Aptos Narrow"/>
      <family val="2"/>
      <scheme val="minor"/>
    </font>
    <font>
      <b/>
      <sz val="11"/>
      <color rgb="FFFF0000"/>
      <name val="Aptos Narrow"/>
      <family val="2"/>
      <scheme val="minor"/>
    </font>
    <font>
      <b/>
      <sz val="9"/>
      <name val="Aptos Narrow"/>
      <family val="2"/>
      <scheme val="minor"/>
    </font>
    <font>
      <b/>
      <u/>
      <sz val="9"/>
      <name val="Aptos Narrow"/>
      <family val="2"/>
      <scheme val="minor"/>
    </font>
    <font>
      <b/>
      <sz val="11"/>
      <color theme="8"/>
      <name val="Aptos Narrow"/>
      <family val="2"/>
      <scheme val="minor"/>
    </font>
    <font>
      <i/>
      <sz val="11"/>
      <color theme="1"/>
      <name val="Aptos Narrow"/>
      <family val="2"/>
      <scheme val="minor"/>
    </font>
    <font>
      <sz val="9"/>
      <color theme="0" tint="-0.499984740745262"/>
      <name val="Aptos Narrow"/>
      <family val="2"/>
      <scheme val="minor"/>
    </font>
    <font>
      <sz val="11"/>
      <color theme="1"/>
      <name val="Arial"/>
      <family val="2"/>
    </font>
    <font>
      <u val="singleAccounting"/>
      <sz val="11"/>
      <color theme="1"/>
      <name val="Aptos Narrow"/>
      <family val="2"/>
      <scheme val="minor"/>
    </font>
    <font>
      <b/>
      <sz val="14"/>
      <color rgb="FFFF0000"/>
      <name val="Aptos Narrow"/>
      <family val="2"/>
      <scheme val="minor"/>
    </font>
    <font>
      <u/>
      <sz val="11"/>
      <color theme="1"/>
      <name val="Aptos Narrow"/>
      <family val="2"/>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89999084444715716"/>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top/>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600">
    <xf numFmtId="0" fontId="0" fillId="0" borderId="0" xfId="0"/>
    <xf numFmtId="0" fontId="0" fillId="0" borderId="0" xfId="0" applyAlignment="1">
      <alignment horizontal="center"/>
    </xf>
    <xf numFmtId="44" fontId="0" fillId="0" borderId="0" xfId="1" applyFont="1"/>
    <xf numFmtId="0" fontId="3" fillId="0" borderId="0" xfId="0" applyFont="1"/>
    <xf numFmtId="164" fontId="0" fillId="0" borderId="0" xfId="3" applyNumberFormat="1" applyFont="1"/>
    <xf numFmtId="0" fontId="3" fillId="0" borderId="0" xfId="0" applyFont="1" applyAlignment="1">
      <alignment horizontal="left"/>
    </xf>
    <xf numFmtId="165" fontId="0" fillId="0" borderId="0" xfId="3" applyNumberFormat="1" applyFont="1"/>
    <xf numFmtId="166" fontId="0" fillId="0" borderId="0" xfId="1" applyNumberFormat="1" applyFont="1"/>
    <xf numFmtId="0" fontId="4" fillId="0" borderId="0" xfId="0" applyFont="1"/>
    <xf numFmtId="0" fontId="5" fillId="0" borderId="0" xfId="0" applyFont="1"/>
    <xf numFmtId="0" fontId="8" fillId="0" borderId="0" xfId="0" applyFont="1"/>
    <xf numFmtId="166" fontId="0" fillId="0" borderId="0" xfId="0" applyNumberFormat="1"/>
    <xf numFmtId="0" fontId="6" fillId="0" borderId="0" xfId="0" applyFont="1" applyAlignment="1">
      <alignment horizontal="center"/>
    </xf>
    <xf numFmtId="166" fontId="8" fillId="0" borderId="0" xfId="1" applyNumberFormat="1" applyFont="1"/>
    <xf numFmtId="0" fontId="8" fillId="0" borderId="2" xfId="0" applyFont="1" applyBorder="1"/>
    <xf numFmtId="0" fontId="4" fillId="0" borderId="2" xfId="0" applyFont="1" applyBorder="1"/>
    <xf numFmtId="166" fontId="8" fillId="0" borderId="2" xfId="1" applyNumberFormat="1" applyFont="1" applyBorder="1"/>
    <xf numFmtId="166" fontId="0" fillId="0" borderId="2" xfId="1" applyNumberFormat="1" applyFont="1" applyBorder="1"/>
    <xf numFmtId="166" fontId="8" fillId="0" borderId="0" xfId="1" applyNumberFormat="1" applyFont="1" applyBorder="1"/>
    <xf numFmtId="166" fontId="0" fillId="0" borderId="0" xfId="1" applyNumberFormat="1" applyFont="1" applyBorder="1"/>
    <xf numFmtId="0" fontId="8" fillId="0" borderId="7" xfId="0" applyFont="1" applyBorder="1"/>
    <xf numFmtId="0" fontId="4" fillId="0" borderId="7" xfId="0" applyFont="1" applyBorder="1"/>
    <xf numFmtId="166" fontId="8" fillId="0" borderId="7" xfId="1" applyNumberFormat="1" applyFont="1" applyBorder="1"/>
    <xf numFmtId="166" fontId="0" fillId="0" borderId="7" xfId="1" applyNumberFormat="1" applyFont="1" applyBorder="1"/>
    <xf numFmtId="22" fontId="0" fillId="0" borderId="0" xfId="0" applyNumberFormat="1" applyAlignment="1">
      <alignment horizontal="center"/>
    </xf>
    <xf numFmtId="43" fontId="12" fillId="0" borderId="0" xfId="0" applyNumberFormat="1" applyFont="1"/>
    <xf numFmtId="0" fontId="12" fillId="0" borderId="0" xfId="0" applyFont="1"/>
    <xf numFmtId="165" fontId="12" fillId="0" borderId="2" xfId="3" applyNumberFormat="1" applyFont="1" applyBorder="1"/>
    <xf numFmtId="165" fontId="12" fillId="0" borderId="0" xfId="3" applyNumberFormat="1" applyFont="1" applyBorder="1"/>
    <xf numFmtId="165" fontId="12" fillId="0" borderId="7" xfId="3" applyNumberFormat="1" applyFont="1" applyBorder="1"/>
    <xf numFmtId="165" fontId="12" fillId="0" borderId="0" xfId="3" applyNumberFormat="1" applyFont="1"/>
    <xf numFmtId="0" fontId="7" fillId="0" borderId="4" xfId="0" applyFont="1" applyBorder="1" applyAlignment="1">
      <alignment horizontal="center"/>
    </xf>
    <xf numFmtId="0" fontId="7" fillId="0" borderId="5" xfId="0" applyFont="1" applyBorder="1" applyAlignment="1">
      <alignment horizontal="center"/>
    </xf>
    <xf numFmtId="44" fontId="0" fillId="0" borderId="1" xfId="1" applyFont="1" applyBorder="1"/>
    <xf numFmtId="44" fontId="0" fillId="0" borderId="3" xfId="1" applyFont="1" applyBorder="1"/>
    <xf numFmtId="44" fontId="0" fillId="0" borderId="4" xfId="1" applyFont="1" applyBorder="1"/>
    <xf numFmtId="44" fontId="0" fillId="0" borderId="5" xfId="1" applyFont="1" applyBorder="1"/>
    <xf numFmtId="44" fontId="0" fillId="0" borderId="6" xfId="1" applyFont="1" applyBorder="1"/>
    <xf numFmtId="44" fontId="0" fillId="0" borderId="8" xfId="1" applyFont="1" applyBorder="1"/>
    <xf numFmtId="164" fontId="5" fillId="0" borderId="9" xfId="3" applyNumberFormat="1" applyFont="1" applyBorder="1"/>
    <xf numFmtId="0" fontId="6" fillId="0" borderId="4" xfId="0" applyFont="1" applyBorder="1" applyAlignment="1">
      <alignment horizontal="center"/>
    </xf>
    <xf numFmtId="166" fontId="5" fillId="0" borderId="1" xfId="1" applyNumberFormat="1" applyFont="1" applyBorder="1" applyAlignment="1">
      <alignment horizontal="center"/>
    </xf>
    <xf numFmtId="166" fontId="5" fillId="0" borderId="3" xfId="1" applyNumberFormat="1" applyFont="1" applyBorder="1" applyAlignment="1">
      <alignment horizontal="center"/>
    </xf>
    <xf numFmtId="166" fontId="5" fillId="0" borderId="2" xfId="1" applyNumberFormat="1" applyFont="1" applyBorder="1" applyAlignment="1">
      <alignment horizontal="center"/>
    </xf>
    <xf numFmtId="164" fontId="4" fillId="0" borderId="9" xfId="3" applyNumberFormat="1" applyFont="1" applyBorder="1"/>
    <xf numFmtId="164" fontId="4" fillId="0" borderId="11" xfId="3" applyNumberFormat="1" applyFont="1" applyBorder="1"/>
    <xf numFmtId="164" fontId="4" fillId="0" borderId="10" xfId="3" applyNumberFormat="1" applyFont="1" applyBorder="1"/>
    <xf numFmtId="164" fontId="4" fillId="0" borderId="0" xfId="3" applyNumberFormat="1" applyFont="1"/>
    <xf numFmtId="168" fontId="12" fillId="0" borderId="2" xfId="1" applyNumberFormat="1" applyFont="1" applyBorder="1"/>
    <xf numFmtId="168" fontId="12" fillId="0" borderId="0" xfId="1" applyNumberFormat="1" applyFont="1" applyBorder="1"/>
    <xf numFmtId="168" fontId="12" fillId="0" borderId="7" xfId="1" applyNumberFormat="1" applyFont="1" applyBorder="1"/>
    <xf numFmtId="168" fontId="4" fillId="0" borderId="0" xfId="1" applyNumberFormat="1" applyFont="1"/>
    <xf numFmtId="0" fontId="5" fillId="0" borderId="2" xfId="0" applyFont="1" applyBorder="1"/>
    <xf numFmtId="0" fontId="6" fillId="0" borderId="7" xfId="0" applyFont="1" applyBorder="1" applyAlignment="1">
      <alignment horizontal="center"/>
    </xf>
    <xf numFmtId="44" fontId="6" fillId="0" borderId="6" xfId="1" applyFont="1" applyBorder="1" applyAlignment="1">
      <alignment horizontal="center"/>
    </xf>
    <xf numFmtId="44" fontId="6" fillId="0" borderId="8" xfId="1" applyFont="1" applyBorder="1" applyAlignment="1">
      <alignment horizontal="center"/>
    </xf>
    <xf numFmtId="164" fontId="6" fillId="0" borderId="11" xfId="3" applyNumberFormat="1" applyFont="1" applyBorder="1" applyAlignment="1">
      <alignment horizontal="center"/>
    </xf>
    <xf numFmtId="166" fontId="6" fillId="0" borderId="7" xfId="1" applyNumberFormat="1" applyFont="1" applyBorder="1" applyAlignment="1">
      <alignment horizontal="center"/>
    </xf>
    <xf numFmtId="166" fontId="6" fillId="0" borderId="8" xfId="1" applyNumberFormat="1" applyFont="1" applyBorder="1" applyAlignment="1">
      <alignment horizontal="center"/>
    </xf>
    <xf numFmtId="166" fontId="6" fillId="0" borderId="5" xfId="1" applyNumberFormat="1" applyFont="1" applyFill="1" applyBorder="1" applyAlignment="1">
      <alignment horizontal="center"/>
    </xf>
    <xf numFmtId="10" fontId="14" fillId="0" borderId="3" xfId="0" applyNumberFormat="1" applyFont="1" applyBorder="1"/>
    <xf numFmtId="10" fontId="14" fillId="0" borderId="8" xfId="0" applyNumberFormat="1" applyFont="1" applyBorder="1"/>
    <xf numFmtId="0" fontId="5" fillId="0" borderId="9" xfId="0" applyFont="1" applyBorder="1"/>
    <xf numFmtId="0" fontId="6" fillId="0" borderId="11" xfId="0" applyFont="1" applyBorder="1" applyAlignment="1">
      <alignment horizontal="center"/>
    </xf>
    <xf numFmtId="10" fontId="0" fillId="2" borderId="9" xfId="2" applyNumberFormat="1" applyFont="1" applyFill="1" applyBorder="1"/>
    <xf numFmtId="10" fontId="0" fillId="2" borderId="11" xfId="2" applyNumberFormat="1" applyFont="1" applyFill="1" applyBorder="1"/>
    <xf numFmtId="10" fontId="0" fillId="2" borderId="10" xfId="2" applyNumberFormat="1" applyFont="1" applyFill="1" applyBorder="1"/>
    <xf numFmtId="0" fontId="15" fillId="0" borderId="0" xfId="0" applyFont="1"/>
    <xf numFmtId="0" fontId="3" fillId="0" borderId="0" xfId="0" applyFont="1" applyAlignment="1">
      <alignment horizontal="center"/>
    </xf>
    <xf numFmtId="0" fontId="7" fillId="0" borderId="7" xfId="0" applyFont="1" applyBorder="1" applyAlignment="1">
      <alignment horizontal="center"/>
    </xf>
    <xf numFmtId="0" fontId="9" fillId="0" borderId="9" xfId="0" applyFont="1" applyBorder="1" applyAlignment="1">
      <alignment horizontal="center"/>
    </xf>
    <xf numFmtId="0" fontId="7" fillId="0" borderId="10" xfId="0" applyFont="1" applyBorder="1" applyAlignment="1">
      <alignment horizontal="center"/>
    </xf>
    <xf numFmtId="164" fontId="11" fillId="0" borderId="11" xfId="3" applyNumberFormat="1" applyFont="1" applyBorder="1"/>
    <xf numFmtId="164" fontId="11" fillId="0" borderId="9" xfId="3" applyNumberFormat="1" applyFont="1" applyBorder="1"/>
    <xf numFmtId="0" fontId="8" fillId="0" borderId="0" xfId="0" applyFont="1" applyAlignment="1">
      <alignment horizontal="center"/>
    </xf>
    <xf numFmtId="0" fontId="8" fillId="0" borderId="1" xfId="0" applyFont="1" applyBorder="1"/>
    <xf numFmtId="0" fontId="8" fillId="0" borderId="3" xfId="0" applyFont="1" applyBorder="1"/>
    <xf numFmtId="0" fontId="8" fillId="0" borderId="6" xfId="0" applyFont="1" applyBorder="1"/>
    <xf numFmtId="0" fontId="8" fillId="0" borderId="8" xfId="0" applyFont="1" applyBorder="1"/>
    <xf numFmtId="0" fontId="8" fillId="0" borderId="1"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8" fillId="0" borderId="8"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9" fillId="0" borderId="1" xfId="0" applyFont="1" applyBorder="1" applyAlignment="1">
      <alignment horizontal="center"/>
    </xf>
    <xf numFmtId="164" fontId="17" fillId="0" borderId="9" xfId="3" applyNumberFormat="1" applyFont="1" applyBorder="1"/>
    <xf numFmtId="164" fontId="17" fillId="0" borderId="11" xfId="3" applyNumberFormat="1" applyFont="1" applyBorder="1"/>
    <xf numFmtId="0" fontId="17" fillId="0" borderId="2" xfId="0" applyFont="1" applyBorder="1"/>
    <xf numFmtId="0" fontId="17" fillId="0" borderId="7" xfId="0" applyFont="1" applyBorder="1"/>
    <xf numFmtId="44" fontId="5" fillId="0" borderId="9" xfId="1" applyFont="1" applyBorder="1" applyAlignment="1">
      <alignment horizontal="center"/>
    </xf>
    <xf numFmtId="44" fontId="6" fillId="0" borderId="11" xfId="1" applyFont="1" applyBorder="1" applyAlignment="1">
      <alignment horizontal="center"/>
    </xf>
    <xf numFmtId="0" fontId="8" fillId="4" borderId="1" xfId="0" applyFont="1" applyFill="1" applyBorder="1" applyAlignment="1">
      <alignment horizontal="center"/>
    </xf>
    <xf numFmtId="0" fontId="8" fillId="4" borderId="3" xfId="0" applyFont="1" applyFill="1" applyBorder="1" applyAlignment="1">
      <alignment horizontal="center"/>
    </xf>
    <xf numFmtId="0" fontId="8" fillId="4" borderId="2" xfId="0" applyFont="1" applyFill="1" applyBorder="1"/>
    <xf numFmtId="44" fontId="1" fillId="4" borderId="1" xfId="1" applyFont="1" applyFill="1" applyBorder="1"/>
    <xf numFmtId="44" fontId="1" fillId="4" borderId="3" xfId="1" applyFont="1" applyFill="1" applyBorder="1"/>
    <xf numFmtId="166" fontId="8" fillId="4" borderId="2" xfId="1" applyNumberFormat="1" applyFont="1" applyFill="1" applyBorder="1"/>
    <xf numFmtId="166" fontId="1" fillId="4" borderId="2" xfId="1" applyNumberFormat="1" applyFont="1" applyFill="1" applyBorder="1"/>
    <xf numFmtId="10" fontId="14" fillId="4" borderId="3" xfId="0" applyNumberFormat="1" applyFont="1" applyFill="1" applyBorder="1"/>
    <xf numFmtId="0" fontId="8" fillId="4" borderId="6" xfId="0" applyFont="1" applyFill="1" applyBorder="1" applyAlignment="1">
      <alignment horizontal="center"/>
    </xf>
    <xf numFmtId="0" fontId="8" fillId="4" borderId="8" xfId="0" applyFont="1" applyFill="1" applyBorder="1" applyAlignment="1">
      <alignment horizontal="center"/>
    </xf>
    <xf numFmtId="0" fontId="8" fillId="4" borderId="7" xfId="0" applyFont="1" applyFill="1" applyBorder="1"/>
    <xf numFmtId="44" fontId="1" fillId="4" borderId="6" xfId="1" applyFont="1" applyFill="1" applyBorder="1"/>
    <xf numFmtId="44" fontId="1" fillId="4" borderId="8" xfId="1" applyFont="1" applyFill="1" applyBorder="1"/>
    <xf numFmtId="166" fontId="8" fillId="4" borderId="7" xfId="1" applyNumberFormat="1" applyFont="1" applyFill="1" applyBorder="1"/>
    <xf numFmtId="166" fontId="1" fillId="4" borderId="7" xfId="1" applyNumberFormat="1" applyFont="1" applyFill="1" applyBorder="1"/>
    <xf numFmtId="10" fontId="14" fillId="4" borderId="8" xfId="0" applyNumberFormat="1" applyFont="1" applyFill="1" applyBorder="1"/>
    <xf numFmtId="0" fontId="0" fillId="4" borderId="2" xfId="0" applyFill="1" applyBorder="1"/>
    <xf numFmtId="164" fontId="1" fillId="4" borderId="9" xfId="3" applyNumberFormat="1" applyFont="1" applyFill="1" applyBorder="1"/>
    <xf numFmtId="0" fontId="0" fillId="4" borderId="7" xfId="0" applyFill="1" applyBorder="1"/>
    <xf numFmtId="164" fontId="13" fillId="4" borderId="11" xfId="3" applyNumberFormat="1" applyFont="1" applyFill="1" applyBorder="1"/>
    <xf numFmtId="165" fontId="12" fillId="4" borderId="2" xfId="3" applyNumberFormat="1" applyFont="1" applyFill="1" applyBorder="1"/>
    <xf numFmtId="168" fontId="12" fillId="4" borderId="2" xfId="1" applyNumberFormat="1" applyFont="1" applyFill="1" applyBorder="1"/>
    <xf numFmtId="44" fontId="0" fillId="4" borderId="1" xfId="1" applyFont="1" applyFill="1" applyBorder="1"/>
    <xf numFmtId="44" fontId="0" fillId="4" borderId="3" xfId="1" applyFont="1" applyFill="1" applyBorder="1"/>
    <xf numFmtId="166" fontId="0" fillId="4" borderId="2" xfId="1" applyNumberFormat="1" applyFont="1" applyFill="1" applyBorder="1"/>
    <xf numFmtId="165" fontId="12" fillId="4" borderId="7" xfId="3" applyNumberFormat="1" applyFont="1" applyFill="1" applyBorder="1"/>
    <xf numFmtId="168" fontId="12" fillId="4" borderId="7" xfId="1" applyNumberFormat="1" applyFont="1" applyFill="1" applyBorder="1"/>
    <xf numFmtId="44" fontId="0" fillId="4" borderId="6" xfId="1" applyFont="1" applyFill="1" applyBorder="1"/>
    <xf numFmtId="44" fontId="0" fillId="4" borderId="8" xfId="1" applyFont="1" applyFill="1" applyBorder="1"/>
    <xf numFmtId="166" fontId="0" fillId="4" borderId="7" xfId="1" applyNumberFormat="1" applyFont="1" applyFill="1" applyBorder="1"/>
    <xf numFmtId="0" fontId="16" fillId="4" borderId="2" xfId="0" applyFont="1" applyFill="1" applyBorder="1"/>
    <xf numFmtId="164" fontId="4" fillId="4" borderId="9" xfId="3" applyNumberFormat="1" applyFont="1" applyFill="1" applyBorder="1"/>
    <xf numFmtId="0" fontId="16" fillId="4" borderId="7" xfId="0" applyFont="1" applyFill="1" applyBorder="1"/>
    <xf numFmtId="164" fontId="4" fillId="4" borderId="11" xfId="3" applyNumberFormat="1" applyFont="1" applyFill="1" applyBorder="1"/>
    <xf numFmtId="0" fontId="8" fillId="0" borderId="2" xfId="0" applyFont="1" applyBorder="1" applyAlignment="1">
      <alignment horizontal="center"/>
    </xf>
    <xf numFmtId="0" fontId="8" fillId="0" borderId="7" xfId="0" applyFont="1" applyBorder="1" applyAlignment="1">
      <alignment horizontal="center"/>
    </xf>
    <xf numFmtId="0" fontId="3" fillId="0" borderId="0" xfId="0" applyFont="1" applyAlignment="1">
      <alignment horizontal="right"/>
    </xf>
    <xf numFmtId="10" fontId="0" fillId="0" borderId="9" xfId="2" applyNumberFormat="1" applyFont="1" applyFill="1" applyBorder="1"/>
    <xf numFmtId="10" fontId="0" fillId="0" borderId="11" xfId="2" applyNumberFormat="1" applyFont="1" applyFill="1" applyBorder="1"/>
    <xf numFmtId="165" fontId="20" fillId="0" borderId="7" xfId="3" applyNumberFormat="1" applyFont="1" applyBorder="1" applyAlignment="1">
      <alignment horizontal="center"/>
    </xf>
    <xf numFmtId="168" fontId="20" fillId="0" borderId="7" xfId="1" applyNumberFormat="1" applyFont="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44" fontId="0" fillId="0" borderId="0" xfId="0" applyNumberFormat="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3" fillId="0" borderId="1" xfId="0" applyFont="1" applyBorder="1"/>
    <xf numFmtId="165" fontId="8" fillId="0" borderId="9" xfId="0" applyNumberFormat="1" applyFont="1" applyBorder="1" applyAlignment="1">
      <alignment horizontal="center"/>
    </xf>
    <xf numFmtId="165" fontId="8" fillId="0" borderId="10" xfId="0" applyNumberFormat="1" applyFont="1" applyBorder="1" applyAlignment="1">
      <alignment horizontal="center"/>
    </xf>
    <xf numFmtId="165" fontId="8" fillId="0" borderId="11" xfId="0" applyNumberFormat="1" applyFont="1" applyBorder="1" applyAlignment="1">
      <alignment horizontal="center"/>
    </xf>
    <xf numFmtId="170" fontId="0" fillId="0" borderId="0" xfId="1" applyNumberFormat="1" applyFont="1"/>
    <xf numFmtId="171" fontId="3" fillId="0" borderId="0" xfId="1" applyNumberFormat="1" applyFont="1" applyAlignment="1">
      <alignment horizontal="center"/>
    </xf>
    <xf numFmtId="171" fontId="0" fillId="0" borderId="0" xfId="1" applyNumberFormat="1" applyFont="1" applyAlignment="1">
      <alignment horizontal="right"/>
    </xf>
    <xf numFmtId="0" fontId="0" fillId="0" borderId="4" xfId="0" applyBorder="1" applyAlignment="1">
      <alignment horizontal="center"/>
    </xf>
    <xf numFmtId="0" fontId="0" fillId="0" borderId="6" xfId="0" applyBorder="1" applyAlignment="1">
      <alignment horizontal="center"/>
    </xf>
    <xf numFmtId="170" fontId="0" fillId="0" borderId="9" xfId="1" applyNumberFormat="1" applyFont="1" applyBorder="1"/>
    <xf numFmtId="170" fontId="0" fillId="0" borderId="11" xfId="1" applyNumberFormat="1" applyFont="1" applyBorder="1"/>
    <xf numFmtId="170" fontId="0" fillId="0" borderId="10" xfId="1" applyNumberFormat="1" applyFont="1" applyBorder="1"/>
    <xf numFmtId="170" fontId="0" fillId="4" borderId="9" xfId="1" applyNumberFormat="1" applyFont="1" applyFill="1" applyBorder="1"/>
    <xf numFmtId="170" fontId="0" fillId="4" borderId="11" xfId="1" applyNumberFormat="1" applyFont="1" applyFill="1" applyBorder="1"/>
    <xf numFmtId="170" fontId="1" fillId="4" borderId="9" xfId="1" applyNumberFormat="1" applyFont="1" applyFill="1" applyBorder="1"/>
    <xf numFmtId="170" fontId="1" fillId="4" borderId="11" xfId="1" applyNumberFormat="1" applyFont="1" applyFill="1" applyBorder="1"/>
    <xf numFmtId="170" fontId="0" fillId="0" borderId="2" xfId="0" applyNumberFormat="1" applyBorder="1"/>
    <xf numFmtId="0" fontId="10" fillId="0" borderId="2" xfId="0" applyFont="1" applyBorder="1"/>
    <xf numFmtId="171" fontId="3" fillId="0" borderId="0" xfId="1" applyNumberFormat="1" applyFont="1" applyAlignment="1">
      <alignment horizontal="right"/>
    </xf>
    <xf numFmtId="0" fontId="5" fillId="0" borderId="2" xfId="0" applyFont="1" applyBorder="1" applyAlignment="1">
      <alignment horizontal="center"/>
    </xf>
    <xf numFmtId="0" fontId="4" fillId="0" borderId="1" xfId="0" applyFont="1" applyBorder="1"/>
    <xf numFmtId="44" fontId="1" fillId="4" borderId="4" xfId="1" applyFont="1" applyFill="1" applyBorder="1"/>
    <xf numFmtId="166" fontId="6" fillId="0" borderId="6" xfId="1" applyNumberFormat="1" applyFont="1" applyFill="1" applyBorder="1" applyAlignment="1">
      <alignment horizontal="center"/>
    </xf>
    <xf numFmtId="166" fontId="6" fillId="0" borderId="7" xfId="1" applyNumberFormat="1" applyFont="1" applyFill="1" applyBorder="1" applyAlignment="1">
      <alignment horizontal="center"/>
    </xf>
    <xf numFmtId="44" fontId="0" fillId="0" borderId="2" xfId="1" applyFont="1" applyBorder="1"/>
    <xf numFmtId="44" fontId="0" fillId="0" borderId="0" xfId="1" applyFont="1" applyBorder="1"/>
    <xf numFmtId="44" fontId="0" fillId="0" borderId="7" xfId="1" applyFont="1" applyBorder="1"/>
    <xf numFmtId="44" fontId="6" fillId="0" borderId="7" xfId="1" applyFont="1" applyBorder="1" applyAlignment="1">
      <alignment horizontal="center"/>
    </xf>
    <xf numFmtId="44" fontId="1" fillId="4" borderId="2" xfId="1" applyFont="1" applyFill="1" applyBorder="1"/>
    <xf numFmtId="44" fontId="1" fillId="4" borderId="0" xfId="1" applyFont="1" applyFill="1" applyBorder="1"/>
    <xf numFmtId="44" fontId="0" fillId="4" borderId="2" xfId="1" applyFont="1" applyFill="1" applyBorder="1"/>
    <xf numFmtId="44" fontId="0" fillId="4" borderId="0" xfId="1" applyFont="1" applyFill="1" applyBorder="1"/>
    <xf numFmtId="0" fontId="4" fillId="0" borderId="2" xfId="0" applyFont="1" applyBorder="1" applyAlignment="1">
      <alignment horizontal="center"/>
    </xf>
    <xf numFmtId="170" fontId="0" fillId="0" borderId="7" xfId="0" applyNumberFormat="1" applyBorder="1"/>
    <xf numFmtId="0" fontId="10" fillId="0" borderId="7" xfId="0" applyFont="1" applyBorder="1"/>
    <xf numFmtId="44" fontId="0" fillId="2" borderId="2" xfId="1" applyFont="1" applyFill="1" applyBorder="1"/>
    <xf numFmtId="44" fontId="0" fillId="2" borderId="0" xfId="1" applyFont="1" applyFill="1" applyBorder="1"/>
    <xf numFmtId="44" fontId="0" fillId="2" borderId="7" xfId="1" applyFont="1" applyFill="1" applyBorder="1"/>
    <xf numFmtId="0" fontId="16" fillId="4" borderId="2" xfId="0" applyFont="1" applyFill="1" applyBorder="1" applyAlignment="1">
      <alignment horizontal="center"/>
    </xf>
    <xf numFmtId="0" fontId="16" fillId="4" borderId="7" xfId="0" applyFont="1" applyFill="1" applyBorder="1" applyAlignment="1">
      <alignment horizontal="center"/>
    </xf>
    <xf numFmtId="0" fontId="4" fillId="0" borderId="7" xfId="0" applyFont="1" applyBorder="1" applyAlignment="1">
      <alignment horizontal="center"/>
    </xf>
    <xf numFmtId="0" fontId="17" fillId="0" borderId="2" xfId="0" applyFont="1" applyBorder="1" applyAlignment="1">
      <alignment horizontal="center"/>
    </xf>
    <xf numFmtId="0" fontId="17" fillId="0" borderId="7"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0" fontId="0" fillId="4" borderId="2" xfId="0" applyFill="1" applyBorder="1" applyAlignment="1">
      <alignment horizontal="center"/>
    </xf>
    <xf numFmtId="0" fontId="0" fillId="4" borderId="7" xfId="0" applyFill="1" applyBorder="1" applyAlignment="1">
      <alignment horizontal="center"/>
    </xf>
    <xf numFmtId="166" fontId="7" fillId="0" borderId="6" xfId="1" applyNumberFormat="1" applyFont="1" applyBorder="1" applyAlignment="1">
      <alignment horizontal="center"/>
    </xf>
    <xf numFmtId="166" fontId="7" fillId="0" borderId="8" xfId="1" applyNumberFormat="1" applyFont="1" applyBorder="1" applyAlignment="1">
      <alignment horizontal="center"/>
    </xf>
    <xf numFmtId="170" fontId="0" fillId="0" borderId="0" xfId="1" applyNumberFormat="1" applyFont="1" applyBorder="1"/>
    <xf numFmtId="164" fontId="4" fillId="0" borderId="0" xfId="3" applyNumberFormat="1" applyFont="1" applyBorder="1"/>
    <xf numFmtId="10" fontId="14" fillId="0" borderId="0" xfId="0" applyNumberFormat="1" applyFont="1"/>
    <xf numFmtId="43" fontId="12" fillId="0" borderId="0" xfId="0" applyNumberFormat="1" applyFont="1" applyAlignment="1">
      <alignment horizontal="center" vertical="center"/>
    </xf>
    <xf numFmtId="0" fontId="4" fillId="0" borderId="3" xfId="0" applyFont="1" applyBorder="1"/>
    <xf numFmtId="0" fontId="4" fillId="0" borderId="8" xfId="0" applyFont="1" applyBorder="1"/>
    <xf numFmtId="0" fontId="8" fillId="5" borderId="0" xfId="0" applyFont="1" applyFill="1" applyAlignment="1">
      <alignment horizontal="center"/>
    </xf>
    <xf numFmtId="10" fontId="0" fillId="5" borderId="0" xfId="2" applyNumberFormat="1" applyFont="1" applyFill="1" applyBorder="1"/>
    <xf numFmtId="0" fontId="8" fillId="5" borderId="0" xfId="0" applyFont="1" applyFill="1"/>
    <xf numFmtId="0" fontId="4" fillId="5" borderId="0" xfId="0" applyFont="1" applyFill="1"/>
    <xf numFmtId="44" fontId="0" fillId="5" borderId="0" xfId="1" applyFont="1" applyFill="1" applyBorder="1"/>
    <xf numFmtId="170" fontId="0" fillId="5" borderId="0" xfId="1" applyNumberFormat="1" applyFont="1" applyFill="1" applyBorder="1"/>
    <xf numFmtId="166" fontId="8" fillId="5" borderId="0" xfId="1" applyNumberFormat="1" applyFont="1" applyFill="1" applyBorder="1"/>
    <xf numFmtId="164" fontId="11" fillId="5" borderId="0" xfId="3" applyNumberFormat="1" applyFont="1" applyFill="1" applyBorder="1"/>
    <xf numFmtId="166" fontId="0" fillId="5" borderId="0" xfId="1" applyNumberFormat="1" applyFont="1" applyFill="1" applyBorder="1"/>
    <xf numFmtId="0" fontId="18" fillId="5" borderId="0" xfId="0" applyFont="1" applyFill="1" applyAlignment="1">
      <alignment vertical="center"/>
    </xf>
    <xf numFmtId="167" fontId="4" fillId="5" borderId="0" xfId="2" applyNumberFormat="1" applyFont="1" applyFill="1" applyBorder="1" applyAlignment="1">
      <alignment vertical="center"/>
    </xf>
    <xf numFmtId="0" fontId="0" fillId="5" borderId="0" xfId="0" applyFill="1" applyAlignment="1">
      <alignment vertical="center"/>
    </xf>
    <xf numFmtId="10" fontId="14" fillId="5" borderId="0" xfId="0" applyNumberFormat="1" applyFont="1" applyFill="1"/>
    <xf numFmtId="165" fontId="12" fillId="5" borderId="0" xfId="3" applyNumberFormat="1" applyFont="1" applyFill="1" applyBorder="1"/>
    <xf numFmtId="168" fontId="12" fillId="5" borderId="0" xfId="1" applyNumberFormat="1" applyFont="1" applyFill="1" applyBorder="1"/>
    <xf numFmtId="43" fontId="12" fillId="5" borderId="0" xfId="0" applyNumberFormat="1" applyFont="1" applyFill="1" applyAlignment="1">
      <alignment horizontal="center" vertical="center"/>
    </xf>
    <xf numFmtId="0" fontId="4" fillId="5" borderId="0" xfId="0" applyFont="1" applyFill="1" applyAlignment="1">
      <alignment horizontal="center"/>
    </xf>
    <xf numFmtId="44" fontId="0" fillId="5" borderId="7" xfId="1" applyFont="1" applyFill="1" applyBorder="1"/>
    <xf numFmtId="44" fontId="0" fillId="5" borderId="8" xfId="1" applyFont="1" applyFill="1" applyBorder="1" applyAlignment="1">
      <alignment horizontal="center" vertical="center"/>
    </xf>
    <xf numFmtId="172" fontId="0" fillId="0" borderId="2" xfId="0" applyNumberFormat="1" applyBorder="1"/>
    <xf numFmtId="44" fontId="0" fillId="0" borderId="3" xfId="1" applyFont="1" applyBorder="1" applyAlignment="1">
      <alignment horizontal="center" vertical="center"/>
    </xf>
    <xf numFmtId="44" fontId="0" fillId="0" borderId="8" xfId="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167" fontId="4" fillId="5" borderId="12" xfId="2" applyNumberFormat="1" applyFont="1" applyFill="1" applyBorder="1" applyAlignment="1">
      <alignment vertical="center"/>
    </xf>
    <xf numFmtId="0" fontId="0" fillId="5" borderId="13" xfId="0" applyFill="1" applyBorder="1" applyAlignment="1">
      <alignment vertical="center"/>
    </xf>
    <xf numFmtId="166" fontId="6" fillId="0" borderId="12" xfId="1" applyNumberFormat="1" applyFont="1" applyFill="1" applyBorder="1" applyAlignment="1">
      <alignment horizontal="center"/>
    </xf>
    <xf numFmtId="10" fontId="14" fillId="0" borderId="14" xfId="0" applyNumberFormat="1" applyFont="1" applyBorder="1"/>
    <xf numFmtId="10" fontId="14" fillId="0" borderId="15" xfId="0" applyNumberFormat="1" applyFont="1" applyBorder="1"/>
    <xf numFmtId="10" fontId="14" fillId="5" borderId="12" xfId="0" applyNumberFormat="1" applyFont="1" applyFill="1" applyBorder="1"/>
    <xf numFmtId="10" fontId="14" fillId="5" borderId="13" xfId="0" applyNumberFormat="1" applyFont="1" applyFill="1" applyBorder="1"/>
    <xf numFmtId="10" fontId="14" fillId="4" borderId="14" xfId="0" applyNumberFormat="1" applyFont="1" applyFill="1" applyBorder="1"/>
    <xf numFmtId="10" fontId="14" fillId="4" borderId="15" xfId="0" applyNumberFormat="1" applyFont="1" applyFill="1" applyBorder="1"/>
    <xf numFmtId="0" fontId="10" fillId="0" borderId="2" xfId="0" applyFont="1" applyBorder="1" applyAlignment="1">
      <alignment vertical="center"/>
    </xf>
    <xf numFmtId="0" fontId="10" fillId="0" borderId="7" xfId="0" applyFont="1" applyBorder="1" applyAlignment="1">
      <alignment vertical="center"/>
    </xf>
    <xf numFmtId="44" fontId="21" fillId="0" borderId="1" xfId="1" applyFont="1" applyBorder="1"/>
    <xf numFmtId="44" fontId="21" fillId="0" borderId="3" xfId="1" applyFont="1" applyBorder="1"/>
    <xf numFmtId="44" fontId="21" fillId="0" borderId="6" xfId="1" applyFont="1" applyBorder="1"/>
    <xf numFmtId="44" fontId="21" fillId="0" borderId="8" xfId="1" applyFont="1" applyBorder="1"/>
    <xf numFmtId="43" fontId="0" fillId="0" borderId="0" xfId="0" applyNumberFormat="1"/>
    <xf numFmtId="0" fontId="18" fillId="2" borderId="0" xfId="0" applyFont="1" applyFill="1"/>
    <xf numFmtId="166" fontId="0" fillId="0" borderId="1" xfId="0" applyNumberFormat="1" applyBorder="1" applyAlignment="1">
      <alignment vertical="center"/>
    </xf>
    <xf numFmtId="167" fontId="4" fillId="0" borderId="8" xfId="2" applyNumberFormat="1" applyFont="1" applyFill="1" applyBorder="1" applyAlignment="1">
      <alignment vertical="center"/>
    </xf>
    <xf numFmtId="166" fontId="0" fillId="0" borderId="4" xfId="0" applyNumberFormat="1" applyBorder="1" applyAlignment="1">
      <alignment vertical="center"/>
    </xf>
    <xf numFmtId="166" fontId="0" fillId="0" borderId="6" xfId="0" applyNumberFormat="1" applyBorder="1" applyAlignment="1">
      <alignment vertical="center"/>
    </xf>
    <xf numFmtId="0" fontId="5" fillId="0" borderId="1" xfId="0" applyFont="1" applyBorder="1" applyAlignment="1">
      <alignment horizontal="center"/>
    </xf>
    <xf numFmtId="0" fontId="5" fillId="0" borderId="3" xfId="0" applyFont="1" applyBorder="1" applyAlignment="1">
      <alignment horizontal="center"/>
    </xf>
    <xf numFmtId="10" fontId="14" fillId="0" borderId="0" xfId="0" applyNumberFormat="1" applyFont="1" applyAlignment="1">
      <alignment horizontal="center"/>
    </xf>
    <xf numFmtId="165" fontId="12" fillId="0" borderId="0" xfId="3" applyNumberFormat="1" applyFont="1" applyAlignment="1">
      <alignment horizontal="center"/>
    </xf>
    <xf numFmtId="0" fontId="5" fillId="0" borderId="9" xfId="0" applyFont="1" applyBorder="1" applyAlignment="1">
      <alignment horizontal="center"/>
    </xf>
    <xf numFmtId="0" fontId="12" fillId="0" borderId="0" xfId="0" applyFont="1" applyAlignment="1">
      <alignment horizontal="center"/>
    </xf>
    <xf numFmtId="0" fontId="5" fillId="0" borderId="1" xfId="0" applyFont="1" applyBorder="1"/>
    <xf numFmtId="0" fontId="5" fillId="0" borderId="3" xfId="0" applyFont="1" applyBorder="1"/>
    <xf numFmtId="166" fontId="0" fillId="0" borderId="3" xfId="0" applyNumberFormat="1" applyBorder="1" applyAlignment="1">
      <alignment vertical="center"/>
    </xf>
    <xf numFmtId="166" fontId="0" fillId="0" borderId="5" xfId="0" applyNumberFormat="1" applyBorder="1" applyAlignment="1">
      <alignment vertical="center"/>
    </xf>
    <xf numFmtId="166" fontId="6" fillId="0" borderId="0" xfId="1" applyNumberFormat="1" applyFont="1" applyFill="1" applyBorder="1" applyAlignment="1">
      <alignment horizontal="center"/>
    </xf>
    <xf numFmtId="10" fontId="14" fillId="0" borderId="2" xfId="0" applyNumberFormat="1" applyFont="1" applyBorder="1"/>
    <xf numFmtId="10" fontId="14" fillId="0" borderId="7" xfId="0" applyNumberFormat="1" applyFont="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167" fontId="4" fillId="0" borderId="5" xfId="2" applyNumberFormat="1" applyFont="1" applyFill="1" applyBorder="1" applyAlignment="1">
      <alignment horizontal="center" vertic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0" fontId="14" fillId="4" borderId="2" xfId="0" applyNumberFormat="1" applyFont="1" applyFill="1" applyBorder="1"/>
    <xf numFmtId="10" fontId="14" fillId="4" borderId="7" xfId="0" applyNumberFormat="1" applyFont="1" applyFill="1" applyBorder="1"/>
    <xf numFmtId="10" fontId="0" fillId="0" borderId="10" xfId="2" applyNumberFormat="1" applyFont="1" applyFill="1" applyBorder="1"/>
    <xf numFmtId="0" fontId="8" fillId="0" borderId="9" xfId="0" applyFont="1" applyBorder="1" applyAlignment="1">
      <alignment horizontal="center"/>
    </xf>
    <xf numFmtId="0" fontId="8" fillId="0" borderId="11" xfId="0" applyFont="1" applyBorder="1" applyAlignment="1">
      <alignment horizontal="center"/>
    </xf>
    <xf numFmtId="10" fontId="0" fillId="0" borderId="0" xfId="0" applyNumberFormat="1"/>
    <xf numFmtId="0" fontId="16" fillId="0" borderId="3" xfId="0" applyFont="1" applyBorder="1"/>
    <xf numFmtId="44" fontId="8" fillId="0" borderId="1" xfId="1" applyFont="1" applyBorder="1"/>
    <xf numFmtId="44" fontId="8" fillId="0" borderId="3" xfId="1" applyFont="1" applyBorder="1"/>
    <xf numFmtId="170" fontId="8" fillId="0" borderId="9" xfId="1" applyNumberFormat="1" applyFont="1" applyBorder="1"/>
    <xf numFmtId="164" fontId="16" fillId="0" borderId="9" xfId="3" applyNumberFormat="1" applyFont="1" applyBorder="1"/>
    <xf numFmtId="165" fontId="16" fillId="0" borderId="2" xfId="3" applyNumberFormat="1" applyFont="1" applyBorder="1"/>
    <xf numFmtId="168" fontId="16" fillId="0" borderId="2" xfId="1" applyNumberFormat="1" applyFont="1" applyBorder="1"/>
    <xf numFmtId="0" fontId="16" fillId="0" borderId="2" xfId="0" applyFont="1" applyBorder="1" applyAlignment="1">
      <alignment horizontal="center"/>
    </xf>
    <xf numFmtId="44" fontId="8" fillId="0" borderId="2" xfId="1" applyFont="1" applyBorder="1"/>
    <xf numFmtId="0" fontId="16" fillId="0" borderId="8" xfId="0" applyFont="1" applyBorder="1"/>
    <xf numFmtId="44" fontId="8" fillId="0" borderId="6" xfId="1" applyFont="1" applyBorder="1"/>
    <xf numFmtId="44" fontId="8" fillId="0" borderId="8" xfId="1" applyFont="1" applyBorder="1"/>
    <xf numFmtId="170" fontId="8" fillId="0" borderId="11" xfId="1" applyNumberFormat="1" applyFont="1" applyBorder="1"/>
    <xf numFmtId="164" fontId="16" fillId="0" borderId="11" xfId="3" applyNumberFormat="1" applyFont="1" applyBorder="1"/>
    <xf numFmtId="10" fontId="23" fillId="0" borderId="7" xfId="0" applyNumberFormat="1" applyFont="1" applyBorder="1"/>
    <xf numFmtId="10" fontId="23" fillId="0" borderId="15" xfId="0" applyNumberFormat="1" applyFont="1" applyBorder="1"/>
    <xf numFmtId="10" fontId="23" fillId="0" borderId="8" xfId="0" applyNumberFormat="1" applyFont="1" applyBorder="1"/>
    <xf numFmtId="165" fontId="16" fillId="0" borderId="7" xfId="3" applyNumberFormat="1" applyFont="1" applyBorder="1"/>
    <xf numFmtId="168" fontId="16" fillId="0" borderId="7" xfId="1" applyNumberFormat="1" applyFont="1" applyBorder="1"/>
    <xf numFmtId="0" fontId="16" fillId="0" borderId="7" xfId="0" applyFont="1" applyBorder="1" applyAlignment="1">
      <alignment horizontal="center"/>
    </xf>
    <xf numFmtId="44" fontId="8" fillId="0" borderId="7" xfId="1" applyFont="1" applyBorder="1"/>
    <xf numFmtId="167" fontId="0" fillId="0" borderId="0" xfId="0" applyNumberFormat="1"/>
    <xf numFmtId="0" fontId="24" fillId="3" borderId="9" xfId="0" applyFont="1" applyFill="1" applyBorder="1"/>
    <xf numFmtId="0" fontId="24" fillId="3" borderId="11" xfId="0" applyFont="1" applyFill="1" applyBorder="1"/>
    <xf numFmtId="0" fontId="0" fillId="0" borderId="1" xfId="0" applyBorder="1"/>
    <xf numFmtId="0" fontId="0" fillId="0" borderId="4" xfId="0" applyBorder="1"/>
    <xf numFmtId="44" fontId="0" fillId="0" borderId="5" xfId="0" applyNumberFormat="1" applyBorder="1"/>
    <xf numFmtId="0" fontId="0" fillId="0" borderId="6" xfId="0" applyBorder="1"/>
    <xf numFmtId="10" fontId="0" fillId="0" borderId="0" xfId="2" applyNumberFormat="1" applyFont="1" applyFill="1" applyBorder="1"/>
    <xf numFmtId="0" fontId="0" fillId="0" borderId="0" xfId="0" applyAlignment="1">
      <alignment vertical="center"/>
    </xf>
    <xf numFmtId="167" fontId="4" fillId="0" borderId="0" xfId="2" applyNumberFormat="1" applyFont="1" applyFill="1" applyBorder="1" applyAlignment="1">
      <alignment vertical="center"/>
    </xf>
    <xf numFmtId="43" fontId="12" fillId="0" borderId="0" xfId="3" applyFont="1" applyBorder="1" applyAlignment="1">
      <alignment vertical="center"/>
    </xf>
    <xf numFmtId="0" fontId="4" fillId="0" borderId="0" xfId="0" applyFont="1" applyAlignment="1">
      <alignment horizontal="center"/>
    </xf>
    <xf numFmtId="44" fontId="0" fillId="0" borderId="0" xfId="1" applyFont="1" applyBorder="1" applyAlignment="1">
      <alignment horizontal="center" vertical="center"/>
    </xf>
    <xf numFmtId="44" fontId="4" fillId="0" borderId="0" xfId="1" applyFont="1"/>
    <xf numFmtId="44" fontId="5" fillId="0" borderId="0" xfId="1" applyFont="1"/>
    <xf numFmtId="44" fontId="6" fillId="0" borderId="0" xfId="1" applyFont="1" applyAlignment="1">
      <alignment horizontal="center"/>
    </xf>
    <xf numFmtId="165" fontId="0" fillId="0" borderId="0" xfId="3" applyNumberFormat="1" applyFont="1" applyFill="1"/>
    <xf numFmtId="0" fontId="0" fillId="4" borderId="1" xfId="0" applyFill="1" applyBorder="1" applyAlignment="1">
      <alignment horizontal="center"/>
    </xf>
    <xf numFmtId="0" fontId="0" fillId="2" borderId="2" xfId="0" applyFill="1" applyBorder="1" applyAlignment="1">
      <alignment horizontal="center"/>
      <extLst>
        <ext xmlns:xfpb="http://schemas.microsoft.com/office/spreadsheetml/2022/featurepropertybag" uri="{C7286773-470A-42A8-94C5-96B5CB345126}">
          <xfpb:xfComplement i="0"/>
        </ext>
      </extLst>
    </xf>
    <xf numFmtId="0" fontId="0" fillId="4" borderId="6" xfId="0" applyFill="1" applyBorder="1" applyAlignment="1">
      <alignment horizontal="center"/>
    </xf>
    <xf numFmtId="0" fontId="0" fillId="2" borderId="7" xfId="0" applyFill="1" applyBorder="1" applyAlignment="1">
      <alignment horizontal="center"/>
      <extLst>
        <ext xmlns:xfpb="http://schemas.microsoft.com/office/spreadsheetml/2022/featurepropertybag" uri="{C7286773-470A-42A8-94C5-96B5CB345126}">
          <xfpb:xfComplement i="0"/>
        </ext>
      </extLst>
    </xf>
    <xf numFmtId="0" fontId="3" fillId="4" borderId="16" xfId="0" applyFont="1" applyFill="1" applyBorder="1"/>
    <xf numFmtId="0" fontId="3" fillId="2" borderId="17" xfId="0" applyFont="1" applyFill="1" applyBorder="1" applyAlignment="1">
      <alignment horizontal="center"/>
    </xf>
    <xf numFmtId="0" fontId="3" fillId="2" borderId="17" xfId="0" applyFont="1" applyFill="1" applyBorder="1"/>
    <xf numFmtId="165" fontId="0" fillId="0" borderId="0" xfId="3" applyNumberFormat="1" applyFont="1" applyFill="1" applyBorder="1"/>
    <xf numFmtId="0" fontId="4" fillId="2" borderId="2" xfId="0" applyFont="1" applyFill="1" applyBorder="1" applyAlignment="1">
      <alignment horizontal="center"/>
    </xf>
    <xf numFmtId="0" fontId="4" fillId="2" borderId="7" xfId="0" applyFont="1" applyFill="1" applyBorder="1" applyAlignment="1">
      <alignment horizontal="center"/>
    </xf>
    <xf numFmtId="0" fontId="3" fillId="4" borderId="17" xfId="0" applyFont="1" applyFill="1" applyBorder="1" applyAlignment="1">
      <alignment horizontal="center"/>
    </xf>
    <xf numFmtId="169" fontId="0" fillId="4" borderId="2" xfId="0" applyNumberFormat="1" applyFill="1" applyBorder="1" applyAlignment="1">
      <alignment horizontal="center"/>
    </xf>
    <xf numFmtId="169" fontId="0" fillId="4" borderId="7" xfId="0" applyNumberFormat="1" applyFill="1" applyBorder="1" applyAlignment="1">
      <alignment horizontal="center"/>
    </xf>
    <xf numFmtId="0" fontId="24" fillId="3" borderId="9" xfId="0" applyFont="1" applyFill="1" applyBorder="1" applyAlignment="1">
      <alignment horizontal="center"/>
    </xf>
    <xf numFmtId="0" fontId="24" fillId="3" borderId="11" xfId="0" applyFont="1" applyFill="1" applyBorder="1" applyAlignment="1">
      <alignment horizontal="center"/>
    </xf>
    <xf numFmtId="165" fontId="3" fillId="6" borderId="17" xfId="3" applyNumberFormat="1" applyFont="1" applyFill="1" applyBorder="1" applyAlignment="1">
      <alignment horizontal="center"/>
    </xf>
    <xf numFmtId="165" fontId="3" fillId="6" borderId="18" xfId="3" applyNumberFormat="1" applyFont="1" applyFill="1" applyBorder="1" applyAlignment="1">
      <alignment horizontal="center"/>
    </xf>
    <xf numFmtId="0" fontId="3" fillId="0" borderId="9" xfId="0" applyFont="1" applyBorder="1"/>
    <xf numFmtId="0" fontId="0" fillId="0" borderId="10" xfId="0" applyBorder="1"/>
    <xf numFmtId="0" fontId="0" fillId="0" borderId="11" xfId="0" applyBorder="1"/>
    <xf numFmtId="44" fontId="25" fillId="0" borderId="0" xfId="0" applyNumberFormat="1" applyFont="1"/>
    <xf numFmtId="0" fontId="18" fillId="2" borderId="19" xfId="0" applyFont="1" applyFill="1" applyBorder="1" applyAlignment="1">
      <alignment horizontal="center"/>
    </xf>
    <xf numFmtId="3" fontId="0" fillId="4" borderId="2" xfId="3" applyNumberFormat="1" applyFont="1" applyFill="1" applyBorder="1" applyAlignment="1">
      <alignment horizontal="center"/>
    </xf>
    <xf numFmtId="3" fontId="0" fillId="4" borderId="7" xfId="0" applyNumberFormat="1" applyFill="1" applyBorder="1" applyAlignment="1">
      <alignment horizontal="center"/>
    </xf>
    <xf numFmtId="3" fontId="0" fillId="4" borderId="2" xfId="0" applyNumberFormat="1" applyFill="1" applyBorder="1" applyAlignment="1">
      <alignment horizontal="center"/>
    </xf>
    <xf numFmtId="0" fontId="3" fillId="7" borderId="17" xfId="0" applyFont="1" applyFill="1" applyBorder="1"/>
    <xf numFmtId="0" fontId="0" fillId="7" borderId="2" xfId="0" applyFill="1" applyBorder="1" applyAlignment="1">
      <alignment horizontal="center"/>
    </xf>
    <xf numFmtId="0" fontId="0" fillId="7" borderId="7" xfId="0" applyFill="1" applyBorder="1" applyAlignment="1">
      <alignment horizontal="center"/>
    </xf>
    <xf numFmtId="0" fontId="3" fillId="7" borderId="17" xfId="0" applyFont="1" applyFill="1" applyBorder="1" applyAlignment="1">
      <alignment horizontal="center"/>
    </xf>
    <xf numFmtId="38" fontId="0" fillId="7" borderId="2" xfId="3" applyNumberFormat="1" applyFont="1" applyFill="1" applyBorder="1" applyAlignment="1">
      <alignment horizontal="center"/>
    </xf>
    <xf numFmtId="38" fontId="0" fillId="7" borderId="7" xfId="0" applyNumberFormat="1" applyFill="1" applyBorder="1" applyAlignment="1">
      <alignment horizontal="center"/>
    </xf>
    <xf numFmtId="38" fontId="0" fillId="7" borderId="2" xfId="0" applyNumberFormat="1" applyFill="1" applyBorder="1" applyAlignment="1">
      <alignment horizontal="center"/>
    </xf>
    <xf numFmtId="38" fontId="0" fillId="2" borderId="7" xfId="0" applyNumberFormat="1" applyFill="1" applyBorder="1" applyAlignment="1">
      <alignment horizontal="center"/>
    </xf>
    <xf numFmtId="38" fontId="0" fillId="2" borderId="2" xfId="0" applyNumberFormat="1" applyFill="1" applyBorder="1" applyAlignment="1">
      <alignment horizontal="center"/>
    </xf>
    <xf numFmtId="0" fontId="3" fillId="8" borderId="17" xfId="0" applyFont="1" applyFill="1" applyBorder="1" applyAlignment="1">
      <alignment horizontal="center"/>
    </xf>
    <xf numFmtId="9" fontId="0" fillId="2" borderId="19" xfId="0" applyNumberFormat="1" applyFill="1" applyBorder="1" applyAlignment="1">
      <alignment horizontal="center"/>
    </xf>
    <xf numFmtId="38" fontId="0" fillId="8" borderId="2" xfId="3" applyNumberFormat="1" applyFont="1" applyFill="1" applyBorder="1" applyAlignment="1">
      <alignment horizontal="center"/>
    </xf>
    <xf numFmtId="38" fontId="0" fillId="8" borderId="7" xfId="0" applyNumberFormat="1" applyFill="1" applyBorder="1" applyAlignment="1">
      <alignment horizontal="center"/>
    </xf>
    <xf numFmtId="38" fontId="0" fillId="8" borderId="2" xfId="0" applyNumberFormat="1" applyFill="1" applyBorder="1" applyAlignment="1">
      <alignment horizontal="center"/>
    </xf>
    <xf numFmtId="1" fontId="0" fillId="2" borderId="19" xfId="0" applyNumberFormat="1" applyFill="1" applyBorder="1" applyAlignment="1">
      <alignment horizontal="center"/>
    </xf>
    <xf numFmtId="44" fontId="0" fillId="7" borderId="2" xfId="1" applyFont="1" applyFill="1" applyBorder="1" applyAlignment="1">
      <alignment horizontal="center"/>
    </xf>
    <xf numFmtId="44" fontId="0" fillId="7" borderId="7" xfId="1" applyFont="1" applyFill="1" applyBorder="1" applyAlignment="1">
      <alignment horizontal="center"/>
    </xf>
    <xf numFmtId="173" fontId="1" fillId="2" borderId="2" xfId="1" applyNumberFormat="1" applyFont="1" applyFill="1" applyBorder="1" applyAlignment="1">
      <alignment horizontal="center" vertical="center"/>
    </xf>
    <xf numFmtId="173" fontId="1" fillId="2" borderId="7" xfId="1" applyNumberFormat="1" applyFont="1" applyFill="1" applyBorder="1" applyAlignment="1">
      <alignment horizontal="center" vertical="center"/>
    </xf>
    <xf numFmtId="0" fontId="7" fillId="0" borderId="0" xfId="0" applyFont="1" applyAlignment="1">
      <alignment horizontal="center"/>
    </xf>
    <xf numFmtId="0" fontId="8" fillId="4" borderId="9" xfId="0" applyFont="1" applyFill="1" applyBorder="1" applyAlignment="1">
      <alignment horizontal="center"/>
    </xf>
    <xf numFmtId="0" fontId="8" fillId="4" borderId="11" xfId="0" applyFont="1" applyFill="1" applyBorder="1" applyAlignment="1">
      <alignment horizontal="center"/>
    </xf>
    <xf numFmtId="0" fontId="8" fillId="5" borderId="10" xfId="0" applyFont="1" applyFill="1" applyBorder="1" applyAlignment="1">
      <alignment horizontal="center"/>
    </xf>
    <xf numFmtId="10" fontId="0" fillId="2" borderId="1" xfId="2" applyNumberFormat="1" applyFont="1" applyFill="1" applyBorder="1"/>
    <xf numFmtId="10" fontId="0" fillId="2" borderId="6" xfId="2" applyNumberFormat="1" applyFont="1" applyFill="1" applyBorder="1"/>
    <xf numFmtId="0" fontId="7" fillId="0" borderId="11" xfId="0" applyFont="1" applyBorder="1" applyAlignment="1">
      <alignment horizontal="center"/>
    </xf>
    <xf numFmtId="44" fontId="25" fillId="2" borderId="0" xfId="0" applyNumberFormat="1" applyFont="1" applyFill="1"/>
    <xf numFmtId="44" fontId="0" fillId="0" borderId="7" xfId="0" applyNumberFormat="1" applyBorder="1"/>
    <xf numFmtId="0" fontId="27" fillId="0" borderId="2" xfId="0" applyFont="1" applyBorder="1" applyAlignment="1">
      <alignment horizontal="center"/>
    </xf>
    <xf numFmtId="0" fontId="27" fillId="0" borderId="3" xfId="0" applyFont="1" applyBorder="1" applyAlignment="1">
      <alignment horizontal="center"/>
    </xf>
    <xf numFmtId="0" fontId="25" fillId="0" borderId="5" xfId="0" applyFont="1" applyBorder="1"/>
    <xf numFmtId="174" fontId="0" fillId="0" borderId="0" xfId="0" applyNumberFormat="1" applyAlignment="1">
      <alignment horizontal="center"/>
    </xf>
    <xf numFmtId="10" fontId="0" fillId="0" borderId="0" xfId="2" applyNumberFormat="1" applyFont="1"/>
    <xf numFmtId="10" fontId="0" fillId="0" borderId="0" xfId="2" applyNumberFormat="1" applyFont="1" applyAlignment="1">
      <alignment horizontal="center"/>
    </xf>
    <xf numFmtId="43" fontId="0" fillId="0" borderId="0" xfId="3" applyFont="1"/>
    <xf numFmtId="44" fontId="7" fillId="0" borderId="7" xfId="1" applyFont="1" applyBorder="1" applyAlignment="1">
      <alignment horizontal="center"/>
    </xf>
    <xf numFmtId="44" fontId="7" fillId="0" borderId="8" xfId="1" applyFont="1" applyBorder="1" applyAlignment="1">
      <alignment horizontal="center"/>
    </xf>
    <xf numFmtId="44" fontId="8" fillId="4" borderId="0" xfId="1" applyFont="1" applyFill="1" applyBorder="1"/>
    <xf numFmtId="44" fontId="8" fillId="4" borderId="3" xfId="1" applyFont="1" applyFill="1" applyBorder="1" applyAlignment="1">
      <alignment horizontal="center" vertical="center"/>
    </xf>
    <xf numFmtId="44" fontId="8" fillId="4" borderId="8" xfId="1" applyFont="1" applyFill="1" applyBorder="1" applyAlignment="1">
      <alignment horizontal="center" vertical="center"/>
    </xf>
    <xf numFmtId="44" fontId="8" fillId="5" borderId="7" xfId="1" applyFont="1" applyFill="1" applyBorder="1"/>
    <xf numFmtId="44" fontId="8" fillId="5" borderId="8" xfId="1" applyFont="1" applyFill="1" applyBorder="1" applyAlignment="1">
      <alignment horizontal="center" vertical="center"/>
    </xf>
    <xf numFmtId="44" fontId="8" fillId="4" borderId="2" xfId="1" applyFont="1" applyFill="1" applyBorder="1"/>
    <xf numFmtId="0" fontId="13" fillId="0" borderId="0" xfId="0" applyFont="1"/>
    <xf numFmtId="0" fontId="11" fillId="0" borderId="0" xfId="0" applyFont="1"/>
    <xf numFmtId="0" fontId="13" fillId="0" borderId="2" xfId="0" applyFont="1" applyBorder="1"/>
    <xf numFmtId="0" fontId="13" fillId="0" borderId="7" xfId="0" applyFont="1" applyBorder="1"/>
    <xf numFmtId="0" fontId="19" fillId="0" borderId="9" xfId="0" applyFont="1" applyBorder="1" applyAlignment="1">
      <alignment horizontal="center"/>
    </xf>
    <xf numFmtId="0" fontId="20" fillId="0" borderId="11" xfId="0" applyFont="1" applyBorder="1" applyAlignment="1">
      <alignment horizontal="center"/>
    </xf>
    <xf numFmtId="0" fontId="13" fillId="2" borderId="11" xfId="0" applyFont="1" applyFill="1" applyBorder="1" applyAlignment="1">
      <alignment horizontal="center" vertical="center"/>
    </xf>
    <xf numFmtId="16" fontId="13" fillId="2" borderId="9" xfId="0" applyNumberFormat="1" applyFont="1" applyFill="1" applyBorder="1" applyAlignment="1">
      <alignment horizontal="center" vertical="center"/>
    </xf>
    <xf numFmtId="0" fontId="13" fillId="5" borderId="0" xfId="0" applyFont="1" applyFill="1" applyAlignment="1">
      <alignment horizontal="center"/>
    </xf>
    <xf numFmtId="0" fontId="19" fillId="0" borderId="2" xfId="0" applyFont="1" applyBorder="1" applyAlignment="1">
      <alignment horizontal="center" vertical="center"/>
    </xf>
    <xf numFmtId="0" fontId="19" fillId="0" borderId="0" xfId="0" applyFont="1" applyAlignment="1">
      <alignment horizontal="center" vertical="center"/>
    </xf>
    <xf numFmtId="43" fontId="11" fillId="0" borderId="0" xfId="3" applyFont="1" applyBorder="1" applyAlignment="1">
      <alignment vertical="center"/>
    </xf>
    <xf numFmtId="43" fontId="11" fillId="5" borderId="0" xfId="0" applyNumberFormat="1" applyFont="1" applyFill="1" applyAlignment="1">
      <alignment horizontal="center" vertical="center"/>
    </xf>
    <xf numFmtId="10" fontId="0" fillId="0" borderId="0" xfId="2" applyNumberFormat="1" applyFont="1" applyFill="1"/>
    <xf numFmtId="43" fontId="0" fillId="0" borderId="0" xfId="3" applyFont="1" applyFill="1"/>
    <xf numFmtId="10" fontId="0" fillId="0" borderId="0" xfId="3" applyNumberFormat="1" applyFont="1"/>
    <xf numFmtId="44" fontId="0" fillId="10" borderId="2" xfId="1" applyFont="1" applyFill="1" applyBorder="1"/>
    <xf numFmtId="44" fontId="0" fillId="10" borderId="7" xfId="1" applyFont="1" applyFill="1" applyBorder="1"/>
    <xf numFmtId="166" fontId="12" fillId="0" borderId="0" xfId="0" applyNumberFormat="1" applyFont="1"/>
    <xf numFmtId="10" fontId="0" fillId="0" borderId="0" xfId="2" applyNumberFormat="1" applyFont="1" applyAlignment="1"/>
    <xf numFmtId="164" fontId="0" fillId="0" borderId="0" xfId="3" applyNumberFormat="1" applyFont="1" applyAlignment="1">
      <alignment horizontal="center"/>
    </xf>
    <xf numFmtId="175" fontId="0" fillId="0" borderId="0" xfId="2" applyNumberFormat="1" applyFont="1" applyAlignment="1"/>
    <xf numFmtId="0" fontId="0" fillId="0" borderId="9" xfId="0" applyBorder="1"/>
    <xf numFmtId="0" fontId="4" fillId="0" borderId="0" xfId="0" applyFont="1" applyAlignment="1">
      <alignment vertical="center" wrapText="1"/>
    </xf>
    <xf numFmtId="14" fontId="0" fillId="0" borderId="0" xfId="0" applyNumberFormat="1"/>
    <xf numFmtId="0" fontId="9" fillId="0" borderId="3" xfId="0" applyFont="1" applyBorder="1" applyAlignment="1">
      <alignment horizontal="center"/>
    </xf>
    <xf numFmtId="0" fontId="9" fillId="0" borderId="2" xfId="0" applyFont="1" applyBorder="1" applyAlignment="1">
      <alignment horizontal="center"/>
    </xf>
    <xf numFmtId="164" fontId="3" fillId="0" borderId="0" xfId="3" applyNumberFormat="1" applyFont="1" applyAlignment="1">
      <alignment horizontal="center"/>
    </xf>
    <xf numFmtId="164" fontId="0" fillId="0" borderId="0" xfId="3" applyNumberFormat="1" applyFont="1" applyAlignment="1">
      <alignment horizontal="right"/>
    </xf>
    <xf numFmtId="0" fontId="9" fillId="0" borderId="0" xfId="0" applyFont="1" applyAlignment="1">
      <alignment horizontal="center"/>
    </xf>
    <xf numFmtId="0" fontId="5" fillId="0" borderId="10" xfId="0" applyFont="1" applyBorder="1"/>
    <xf numFmtId="44" fontId="5" fillId="0" borderId="10" xfId="1" applyFont="1" applyBorder="1" applyAlignment="1">
      <alignment horizontal="center"/>
    </xf>
    <xf numFmtId="164" fontId="5" fillId="0" borderId="10" xfId="3" applyNumberFormat="1" applyFont="1" applyBorder="1"/>
    <xf numFmtId="166" fontId="5" fillId="0" borderId="0" xfId="1" applyNumberFormat="1" applyFont="1" applyBorder="1" applyAlignment="1">
      <alignment horizontal="center"/>
    </xf>
    <xf numFmtId="166" fontId="5" fillId="0" borderId="5" xfId="1" applyNumberFormat="1" applyFont="1" applyBorder="1" applyAlignment="1">
      <alignment horizontal="center"/>
    </xf>
    <xf numFmtId="166" fontId="5" fillId="0" borderId="4" xfId="1" applyNumberFormat="1" applyFont="1" applyBorder="1" applyAlignment="1">
      <alignment horizontal="center"/>
    </xf>
    <xf numFmtId="0" fontId="19" fillId="0" borderId="10" xfId="0" applyFont="1" applyBorder="1" applyAlignment="1">
      <alignment horizontal="center"/>
    </xf>
    <xf numFmtId="0" fontId="5" fillId="0" borderId="0" xfId="0" applyFont="1" applyAlignment="1">
      <alignment horizontal="center"/>
    </xf>
    <xf numFmtId="0" fontId="9" fillId="0" borderId="1" xfId="1" applyNumberFormat="1" applyFont="1" applyBorder="1" applyAlignment="1">
      <alignment horizontal="center"/>
    </xf>
    <xf numFmtId="0" fontId="9" fillId="0" borderId="3" xfId="1" applyNumberFormat="1" applyFont="1" applyBorder="1" applyAlignment="1">
      <alignment horizontal="center"/>
    </xf>
    <xf numFmtId="0" fontId="9" fillId="0" borderId="9" xfId="1" applyNumberFormat="1" applyFont="1" applyBorder="1" applyAlignment="1">
      <alignment horizontal="center"/>
    </xf>
    <xf numFmtId="0" fontId="7" fillId="0" borderId="1" xfId="1" applyNumberFormat="1" applyFont="1" applyBorder="1" applyAlignment="1">
      <alignment horizontal="center"/>
    </xf>
    <xf numFmtId="0" fontId="7" fillId="0" borderId="3" xfId="1" applyNumberFormat="1" applyFont="1" applyBorder="1" applyAlignment="1">
      <alignment horizontal="center"/>
    </xf>
    <xf numFmtId="0" fontId="9" fillId="0" borderId="9" xfId="3" applyNumberFormat="1" applyFont="1" applyBorder="1" applyAlignment="1">
      <alignment horizontal="center"/>
    </xf>
    <xf numFmtId="0" fontId="9" fillId="0" borderId="2" xfId="1" applyNumberFormat="1" applyFont="1" applyBorder="1" applyAlignment="1">
      <alignment horizontal="center"/>
    </xf>
    <xf numFmtId="0" fontId="9" fillId="0" borderId="14" xfId="1" applyNumberFormat="1" applyFont="1" applyBorder="1" applyAlignment="1">
      <alignment horizontal="center"/>
    </xf>
    <xf numFmtId="0" fontId="9" fillId="0" borderId="2" xfId="3" applyNumberFormat="1" applyFont="1" applyBorder="1" applyAlignment="1">
      <alignment horizontal="center"/>
    </xf>
    <xf numFmtId="0" fontId="9" fillId="0" borderId="3" xfId="3" applyNumberFormat="1" applyFont="1" applyBorder="1" applyAlignment="1">
      <alignment horizontal="center"/>
    </xf>
    <xf numFmtId="0" fontId="16" fillId="0" borderId="0" xfId="1" applyNumberFormat="1" applyFont="1" applyBorder="1" applyAlignment="1">
      <alignment horizontal="center"/>
    </xf>
    <xf numFmtId="0" fontId="8" fillId="0" borderId="0" xfId="1" applyNumberFormat="1" applyFont="1" applyBorder="1" applyAlignment="1">
      <alignment horizontal="center"/>
    </xf>
    <xf numFmtId="0" fontId="9" fillId="0" borderId="1" xfId="0" applyFont="1" applyBorder="1"/>
    <xf numFmtId="0" fontId="9" fillId="0" borderId="16" xfId="0" applyFont="1" applyBorder="1"/>
    <xf numFmtId="0" fontId="9" fillId="0" borderId="17" xfId="0" applyFont="1" applyBorder="1" applyAlignment="1">
      <alignment horizontal="center"/>
    </xf>
    <xf numFmtId="0" fontId="9" fillId="0" borderId="18" xfId="0" applyFont="1" applyBorder="1" applyAlignment="1">
      <alignment horizontal="center"/>
    </xf>
    <xf numFmtId="0" fontId="9" fillId="0" borderId="19" xfId="0" applyFont="1" applyBorder="1" applyAlignment="1">
      <alignment horizontal="center"/>
    </xf>
    <xf numFmtId="0" fontId="9" fillId="0" borderId="16" xfId="1" applyNumberFormat="1" applyFont="1" applyBorder="1" applyAlignment="1">
      <alignment horizontal="center"/>
    </xf>
    <xf numFmtId="0" fontId="9" fillId="0" borderId="18" xfId="1" applyNumberFormat="1" applyFont="1" applyBorder="1" applyAlignment="1">
      <alignment horizontal="center"/>
    </xf>
    <xf numFmtId="0" fontId="7" fillId="0" borderId="16" xfId="1" applyNumberFormat="1" applyFont="1" applyBorder="1" applyAlignment="1">
      <alignment horizontal="center"/>
    </xf>
    <xf numFmtId="0" fontId="7" fillId="0" borderId="18" xfId="1" applyNumberFormat="1" applyFont="1" applyBorder="1" applyAlignment="1">
      <alignment horizontal="center"/>
    </xf>
    <xf numFmtId="0" fontId="9" fillId="0" borderId="19" xfId="3" applyNumberFormat="1" applyFont="1" applyBorder="1" applyAlignment="1">
      <alignment horizontal="center"/>
    </xf>
    <xf numFmtId="0" fontId="9" fillId="0" borderId="17" xfId="1" applyNumberFormat="1" applyFont="1" applyBorder="1" applyAlignment="1">
      <alignment horizontal="center"/>
    </xf>
    <xf numFmtId="0" fontId="9" fillId="0" borderId="20" xfId="1" applyNumberFormat="1" applyFont="1" applyBorder="1" applyAlignment="1">
      <alignment horizontal="center"/>
    </xf>
    <xf numFmtId="0" fontId="9" fillId="0" borderId="17" xfId="3" applyNumberFormat="1" applyFont="1" applyBorder="1" applyAlignment="1">
      <alignment horizontal="center"/>
    </xf>
    <xf numFmtId="0" fontId="9" fillId="0" borderId="18" xfId="3" applyNumberFormat="1" applyFont="1" applyBorder="1" applyAlignment="1">
      <alignment horizontal="center"/>
    </xf>
    <xf numFmtId="0" fontId="3" fillId="0" borderId="0" xfId="3" applyNumberFormat="1" applyFont="1" applyAlignment="1">
      <alignment horizontal="center"/>
    </xf>
    <xf numFmtId="0" fontId="3" fillId="0" borderId="0" xfId="1" applyNumberFormat="1" applyFont="1" applyAlignment="1">
      <alignment horizontal="center"/>
    </xf>
    <xf numFmtId="0" fontId="0" fillId="0" borderId="0" xfId="3" applyNumberFormat="1" applyFont="1" applyAlignment="1">
      <alignment horizontal="center"/>
    </xf>
    <xf numFmtId="0" fontId="0" fillId="0" borderId="0" xfId="1" applyNumberFormat="1" applyFont="1" applyAlignment="1">
      <alignment horizontal="center"/>
    </xf>
    <xf numFmtId="14" fontId="4" fillId="0" borderId="0" xfId="0" applyNumberFormat="1" applyFont="1"/>
    <xf numFmtId="10" fontId="4" fillId="0" borderId="0" xfId="2" applyNumberFormat="1" applyFont="1"/>
    <xf numFmtId="164" fontId="0" fillId="0" borderId="0" xfId="3" applyNumberFormat="1" applyFont="1" applyAlignment="1"/>
    <xf numFmtId="0" fontId="0" fillId="0" borderId="0" xfId="0" applyAlignment="1">
      <alignment horizontal="left"/>
    </xf>
    <xf numFmtId="0" fontId="4" fillId="0" borderId="0" xfId="0" applyFont="1" applyAlignment="1">
      <alignment horizontal="left"/>
    </xf>
    <xf numFmtId="174" fontId="0" fillId="0" borderId="0" xfId="0" applyNumberFormat="1" applyAlignment="1">
      <alignment horizontal="left"/>
    </xf>
    <xf numFmtId="10" fontId="0" fillId="0" borderId="0" xfId="2" applyNumberFormat="1" applyFont="1" applyAlignment="1">
      <alignment horizontal="left"/>
    </xf>
    <xf numFmtId="164" fontId="0" fillId="0" borderId="0" xfId="3" applyNumberFormat="1" applyFont="1" applyAlignment="1">
      <alignment horizontal="left"/>
    </xf>
    <xf numFmtId="43" fontId="0" fillId="0" borderId="0" xfId="3" applyFont="1" applyAlignment="1">
      <alignment horizontal="left"/>
    </xf>
    <xf numFmtId="9" fontId="0" fillId="0" borderId="0" xfId="0" applyNumberFormat="1"/>
    <xf numFmtId="176" fontId="3" fillId="0" borderId="0" xfId="1" applyNumberFormat="1" applyFont="1" applyAlignment="1">
      <alignment horizontal="center"/>
    </xf>
    <xf numFmtId="176" fontId="3" fillId="0" borderId="0" xfId="1" applyNumberFormat="1" applyFont="1"/>
    <xf numFmtId="176" fontId="0" fillId="0" borderId="0" xfId="1" applyNumberFormat="1" applyFont="1" applyAlignment="1">
      <alignment horizontal="right"/>
    </xf>
    <xf numFmtId="176" fontId="0" fillId="0" borderId="0" xfId="1" applyNumberFormat="1" applyFont="1"/>
    <xf numFmtId="0" fontId="9" fillId="0" borderId="17" xfId="0" applyFont="1" applyBorder="1"/>
    <xf numFmtId="16" fontId="9" fillId="0" borderId="19" xfId="1" quotePrefix="1" applyNumberFormat="1" applyFont="1" applyBorder="1" applyAlignment="1">
      <alignment horizontal="center"/>
    </xf>
    <xf numFmtId="10" fontId="4" fillId="0" borderId="0" xfId="2" applyNumberFormat="1" applyFont="1" applyAlignment="1">
      <alignment horizontal="center"/>
    </xf>
    <xf numFmtId="44" fontId="8" fillId="0" borderId="3" xfId="1" applyFont="1" applyBorder="1" applyAlignment="1">
      <alignment horizontal="center" vertical="center"/>
    </xf>
    <xf numFmtId="44" fontId="8" fillId="0" borderId="8" xfId="1" applyFont="1" applyBorder="1" applyAlignment="1">
      <alignment horizontal="center" vertical="center"/>
    </xf>
    <xf numFmtId="10" fontId="8" fillId="0" borderId="1" xfId="2" applyNumberFormat="1" applyFont="1" applyBorder="1" applyAlignment="1">
      <alignment vertical="center"/>
    </xf>
    <xf numFmtId="10" fontId="8" fillId="0" borderId="6" xfId="2" applyNumberFormat="1" applyFont="1" applyBorder="1" applyAlignment="1">
      <alignment vertical="center"/>
    </xf>
    <xf numFmtId="0" fontId="13" fillId="2" borderId="9" xfId="0" applyFont="1" applyFill="1" applyBorder="1" applyAlignment="1">
      <alignment horizontal="center" vertical="center"/>
    </xf>
    <xf numFmtId="0" fontId="13" fillId="2" borderId="11" xfId="0" applyFont="1" applyFill="1" applyBorder="1" applyAlignment="1">
      <alignment horizontal="center" vertical="center"/>
    </xf>
    <xf numFmtId="44" fontId="16" fillId="0" borderId="9" xfId="0" applyNumberFormat="1" applyFont="1" applyBorder="1" applyAlignment="1">
      <alignment horizontal="center" vertical="center"/>
    </xf>
    <xf numFmtId="44" fontId="16" fillId="0" borderId="11" xfId="0" applyNumberFormat="1" applyFont="1" applyBorder="1" applyAlignment="1">
      <alignment horizontal="center" vertical="center"/>
    </xf>
    <xf numFmtId="44" fontId="16" fillId="0" borderId="4" xfId="0" applyNumberFormat="1" applyFont="1" applyBorder="1" applyAlignment="1">
      <alignment horizontal="center" vertical="center"/>
    </xf>
    <xf numFmtId="44" fontId="16" fillId="0" borderId="0" xfId="0" applyNumberFormat="1" applyFont="1" applyAlignment="1">
      <alignment horizontal="center" vertical="center"/>
    </xf>
    <xf numFmtId="44" fontId="16" fillId="0" borderId="6" xfId="0" applyNumberFormat="1" applyFont="1" applyBorder="1" applyAlignment="1">
      <alignment horizontal="center" vertical="center"/>
    </xf>
    <xf numFmtId="44" fontId="16" fillId="0" borderId="7" xfId="0" applyNumberFormat="1" applyFont="1" applyBorder="1" applyAlignment="1">
      <alignment horizontal="center" vertical="center"/>
    </xf>
    <xf numFmtId="44" fontId="8" fillId="4" borderId="3" xfId="1" applyFont="1" applyFill="1" applyBorder="1" applyAlignment="1">
      <alignment horizontal="center" vertical="center"/>
    </xf>
    <xf numFmtId="44" fontId="8" fillId="4" borderId="8" xfId="1" applyFont="1" applyFill="1" applyBorder="1" applyAlignment="1">
      <alignment horizontal="center" vertical="center"/>
    </xf>
    <xf numFmtId="166" fontId="9" fillId="0" borderId="1" xfId="1" applyNumberFormat="1" applyFont="1" applyBorder="1" applyAlignment="1">
      <alignment horizontal="center"/>
    </xf>
    <xf numFmtId="166" fontId="9" fillId="0" borderId="3" xfId="1" applyNumberFormat="1" applyFont="1" applyBorder="1" applyAlignment="1">
      <alignment horizontal="center"/>
    </xf>
    <xf numFmtId="16" fontId="13" fillId="2" borderId="9" xfId="0" applyNumberFormat="1" applyFont="1" applyFill="1" applyBorder="1" applyAlignment="1">
      <alignment horizontal="center" vertical="center"/>
    </xf>
    <xf numFmtId="167" fontId="4" fillId="0" borderId="2" xfId="2" applyNumberFormat="1" applyFont="1" applyFill="1" applyBorder="1" applyAlignment="1">
      <alignment vertical="center"/>
    </xf>
    <xf numFmtId="167" fontId="4" fillId="0" borderId="7" xfId="2" applyNumberFormat="1" applyFont="1" applyFill="1" applyBorder="1" applyAlignment="1">
      <alignment vertical="center"/>
    </xf>
    <xf numFmtId="166" fontId="0" fillId="0" borderId="1" xfId="0" applyNumberFormat="1" applyBorder="1" applyAlignment="1">
      <alignment vertical="center"/>
    </xf>
    <xf numFmtId="0" fontId="0" fillId="0" borderId="6" xfId="0" applyBorder="1" applyAlignment="1">
      <alignment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44" fontId="4" fillId="0" borderId="2" xfId="0" applyNumberFormat="1" applyFont="1" applyBorder="1" applyAlignment="1">
      <alignment horizontal="center" vertical="center"/>
    </xf>
    <xf numFmtId="44" fontId="4" fillId="0" borderId="7" xfId="0" applyNumberFormat="1" applyFont="1" applyBorder="1" applyAlignment="1">
      <alignment horizontal="center" vertical="center"/>
    </xf>
    <xf numFmtId="44" fontId="4" fillId="0" borderId="3" xfId="0" applyNumberFormat="1" applyFont="1" applyBorder="1" applyAlignment="1">
      <alignment horizontal="center" vertical="center"/>
    </xf>
    <xf numFmtId="44" fontId="4" fillId="0" borderId="8" xfId="0" applyNumberFormat="1" applyFont="1" applyBorder="1" applyAlignment="1">
      <alignment horizontal="center" vertical="center"/>
    </xf>
    <xf numFmtId="43" fontId="12" fillId="0" borderId="3" xfId="3" applyFont="1" applyBorder="1" applyAlignment="1">
      <alignment vertical="center"/>
    </xf>
    <xf numFmtId="43" fontId="12" fillId="0" borderId="8" xfId="3" applyFont="1" applyBorder="1" applyAlignment="1">
      <alignment vertical="center"/>
    </xf>
    <xf numFmtId="43" fontId="12" fillId="0" borderId="3" xfId="3" applyFont="1" applyFill="1" applyBorder="1" applyAlignment="1">
      <alignment vertical="center"/>
    </xf>
    <xf numFmtId="43" fontId="12" fillId="0" borderId="8" xfId="3" applyFont="1" applyFill="1" applyBorder="1" applyAlignment="1">
      <alignment vertical="center"/>
    </xf>
    <xf numFmtId="166" fontId="5" fillId="0" borderId="1" xfId="1" applyNumberFormat="1" applyFont="1" applyBorder="1" applyAlignment="1">
      <alignment horizontal="center"/>
    </xf>
    <xf numFmtId="166" fontId="5" fillId="0" borderId="2" xfId="1" applyNumberFormat="1" applyFont="1" applyBorder="1" applyAlignment="1">
      <alignment horizontal="center"/>
    </xf>
    <xf numFmtId="166" fontId="5" fillId="0" borderId="14" xfId="1" applyNumberFormat="1" applyFont="1" applyBorder="1" applyAlignment="1">
      <alignment horizontal="center"/>
    </xf>
    <xf numFmtId="166" fontId="5" fillId="0" borderId="3" xfId="1" applyNumberFormat="1" applyFont="1" applyBorder="1" applyAlignment="1">
      <alignment horizontal="center"/>
    </xf>
    <xf numFmtId="167" fontId="18" fillId="0" borderId="2" xfId="2" applyNumberFormat="1" applyFont="1" applyFill="1" applyBorder="1" applyAlignment="1">
      <alignment vertical="center"/>
    </xf>
    <xf numFmtId="167" fontId="18" fillId="0" borderId="7" xfId="2" applyNumberFormat="1" applyFont="1" applyFill="1" applyBorder="1" applyAlignment="1">
      <alignment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0" fontId="9" fillId="0" borderId="1"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165" fontId="19" fillId="0" borderId="2" xfId="3" applyNumberFormat="1" applyFont="1" applyBorder="1" applyAlignment="1">
      <alignment horizontal="center"/>
    </xf>
    <xf numFmtId="165" fontId="19" fillId="0" borderId="3" xfId="3" applyNumberFormat="1" applyFont="1" applyBorder="1" applyAlignment="1">
      <alignment horizontal="center"/>
    </xf>
    <xf numFmtId="44" fontId="5" fillId="0" borderId="1" xfId="1" applyFont="1" applyBorder="1" applyAlignment="1">
      <alignment horizontal="center"/>
    </xf>
    <xf numFmtId="44" fontId="5" fillId="0" borderId="3" xfId="1" applyFont="1" applyBorder="1" applyAlignment="1">
      <alignment horizontal="center"/>
    </xf>
    <xf numFmtId="166" fontId="13" fillId="0" borderId="1" xfId="0" applyNumberFormat="1" applyFont="1" applyBorder="1" applyAlignment="1">
      <alignment vertical="center"/>
    </xf>
    <xf numFmtId="0" fontId="13" fillId="0" borderId="6" xfId="0" applyFont="1" applyBorder="1" applyAlignment="1">
      <alignment vertical="center"/>
    </xf>
    <xf numFmtId="166" fontId="7" fillId="0" borderId="1" xfId="1" applyNumberFormat="1" applyFont="1" applyBorder="1" applyAlignment="1">
      <alignment horizontal="center"/>
    </xf>
    <xf numFmtId="166" fontId="7" fillId="0" borderId="3" xfId="1" applyNumberFormat="1" applyFont="1" applyBorder="1" applyAlignment="1">
      <alignment horizontal="center"/>
    </xf>
    <xf numFmtId="167" fontId="11" fillId="0" borderId="2" xfId="2" applyNumberFormat="1" applyFont="1" applyFill="1" applyBorder="1" applyAlignment="1">
      <alignment vertical="center"/>
    </xf>
    <xf numFmtId="167" fontId="11" fillId="0" borderId="7" xfId="2" applyNumberFormat="1" applyFont="1" applyFill="1" applyBorder="1" applyAlignment="1">
      <alignment vertical="center"/>
    </xf>
    <xf numFmtId="172" fontId="9" fillId="0" borderId="2" xfId="1" applyNumberFormat="1" applyFont="1" applyBorder="1" applyAlignment="1">
      <alignment horizontal="center" vertical="center"/>
    </xf>
    <xf numFmtId="172" fontId="9" fillId="0" borderId="7" xfId="1" applyNumberFormat="1" applyFont="1" applyBorder="1" applyAlignment="1">
      <alignment horizontal="center" vertical="center"/>
    </xf>
    <xf numFmtId="167" fontId="4" fillId="4" borderId="2" xfId="2" applyNumberFormat="1" applyFont="1" applyFill="1" applyBorder="1" applyAlignment="1">
      <alignment vertical="center"/>
    </xf>
    <xf numFmtId="167" fontId="4" fillId="4" borderId="7" xfId="2" applyNumberFormat="1" applyFont="1" applyFill="1" applyBorder="1" applyAlignment="1">
      <alignment vertical="center"/>
    </xf>
    <xf numFmtId="166" fontId="0" fillId="4" borderId="1" xfId="0" applyNumberFormat="1" applyFill="1" applyBorder="1" applyAlignment="1">
      <alignment vertical="center"/>
    </xf>
    <xf numFmtId="0" fontId="0" fillId="4" borderId="6" xfId="0" applyFill="1" applyBorder="1" applyAlignment="1">
      <alignment vertical="center"/>
    </xf>
    <xf numFmtId="43" fontId="12" fillId="4" borderId="3" xfId="3" applyFont="1" applyFill="1" applyBorder="1" applyAlignment="1">
      <alignment vertical="center"/>
    </xf>
    <xf numFmtId="43" fontId="12" fillId="4" borderId="8" xfId="3" applyFont="1" applyFill="1" applyBorder="1" applyAlignment="1">
      <alignment vertical="center"/>
    </xf>
    <xf numFmtId="44" fontId="17" fillId="0" borderId="9" xfId="0" applyNumberFormat="1" applyFont="1" applyBorder="1" applyAlignment="1">
      <alignment horizontal="center" vertical="center"/>
    </xf>
    <xf numFmtId="44" fontId="17" fillId="0" borderId="11" xfId="0" applyNumberFormat="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44" fontId="0" fillId="0" borderId="3" xfId="1" applyFont="1" applyBorder="1" applyAlignment="1">
      <alignment horizontal="center" vertical="center"/>
    </xf>
    <xf numFmtId="44" fontId="0" fillId="0" borderId="8" xfId="1" applyFont="1" applyBorder="1" applyAlignment="1">
      <alignment horizontal="center" vertical="center"/>
    </xf>
    <xf numFmtId="0" fontId="8" fillId="0" borderId="2" xfId="0" applyFont="1" applyBorder="1" applyAlignment="1">
      <alignment horizontal="center" vertical="center"/>
    </xf>
    <xf numFmtId="0" fontId="8" fillId="0" borderId="7" xfId="0" applyFont="1" applyBorder="1" applyAlignment="1">
      <alignment horizontal="center" vertical="center"/>
    </xf>
    <xf numFmtId="0" fontId="8" fillId="4" borderId="2" xfId="0" applyFont="1" applyFill="1" applyBorder="1" applyAlignment="1">
      <alignment horizontal="center" vertical="center"/>
    </xf>
    <xf numFmtId="0" fontId="8" fillId="4" borderId="7" xfId="0" applyFont="1" applyFill="1" applyBorder="1" applyAlignment="1">
      <alignment horizontal="center" vertical="center"/>
    </xf>
    <xf numFmtId="44" fontId="0" fillId="10" borderId="3" xfId="1" applyFont="1" applyFill="1" applyBorder="1" applyAlignment="1">
      <alignment horizontal="center" vertical="center"/>
    </xf>
    <xf numFmtId="44" fontId="0" fillId="10" borderId="8" xfId="1" applyFont="1" applyFill="1" applyBorder="1" applyAlignment="1">
      <alignment horizontal="center" vertical="center"/>
    </xf>
    <xf numFmtId="0" fontId="8" fillId="0" borderId="9" xfId="0" applyFont="1" applyBorder="1" applyAlignment="1">
      <alignment horizontal="center" vertical="center" wrapText="1"/>
    </xf>
    <xf numFmtId="0" fontId="8" fillId="0" borderId="11" xfId="0" applyFont="1" applyBorder="1" applyAlignment="1">
      <alignment horizontal="center" vertical="center" wrapText="1"/>
    </xf>
    <xf numFmtId="167" fontId="8" fillId="0" borderId="1" xfId="2" applyNumberFormat="1" applyFont="1" applyBorder="1" applyAlignment="1">
      <alignment vertical="center"/>
    </xf>
    <xf numFmtId="167" fontId="8" fillId="0" borderId="6" xfId="2" applyNumberFormat="1" applyFont="1" applyBorder="1" applyAlignment="1">
      <alignment vertical="center"/>
    </xf>
    <xf numFmtId="43" fontId="12" fillId="0" borderId="3" xfId="0" applyNumberFormat="1" applyFont="1" applyBorder="1" applyAlignment="1">
      <alignment horizontal="center" vertical="center"/>
    </xf>
    <xf numFmtId="43" fontId="12" fillId="0" borderId="8" xfId="0" applyNumberFormat="1" applyFont="1" applyBorder="1" applyAlignment="1">
      <alignment horizontal="center" vertical="center"/>
    </xf>
    <xf numFmtId="166" fontId="9" fillId="0" borderId="4" xfId="1" applyNumberFormat="1" applyFont="1" applyBorder="1" applyAlignment="1">
      <alignment horizontal="center"/>
    </xf>
    <xf numFmtId="166" fontId="9" fillId="0" borderId="5" xfId="1" applyNumberFormat="1" applyFont="1" applyBorder="1" applyAlignment="1">
      <alignment horizontal="center"/>
    </xf>
    <xf numFmtId="166" fontId="5" fillId="0" borderId="4" xfId="1" applyNumberFormat="1" applyFont="1" applyBorder="1" applyAlignment="1">
      <alignment horizontal="center"/>
    </xf>
    <xf numFmtId="166" fontId="5" fillId="0" borderId="0" xfId="1" applyNumberFormat="1" applyFont="1" applyBorder="1" applyAlignment="1">
      <alignment horizontal="center"/>
    </xf>
    <xf numFmtId="166" fontId="5" fillId="0" borderId="12" xfId="1" applyNumberFormat="1" applyFont="1" applyBorder="1" applyAlignment="1">
      <alignment horizontal="center"/>
    </xf>
    <xf numFmtId="166" fontId="5" fillId="0" borderId="5" xfId="1" applyNumberFormat="1" applyFont="1" applyBorder="1" applyAlignment="1">
      <alignment horizontal="center"/>
    </xf>
    <xf numFmtId="166" fontId="0" fillId="9" borderId="1" xfId="0" applyNumberFormat="1" applyFill="1" applyBorder="1" applyAlignment="1">
      <alignment vertical="center"/>
    </xf>
    <xf numFmtId="166" fontId="0" fillId="9" borderId="6" xfId="0" applyNumberFormat="1" applyFill="1" applyBorder="1" applyAlignment="1">
      <alignment vertical="center"/>
    </xf>
    <xf numFmtId="44" fontId="5" fillId="0" borderId="4" xfId="1" applyFont="1" applyBorder="1" applyAlignment="1">
      <alignment horizontal="center"/>
    </xf>
    <xf numFmtId="44" fontId="5" fillId="0" borderId="5" xfId="1" applyFont="1" applyBorder="1" applyAlignment="1">
      <alignment horizontal="center"/>
    </xf>
    <xf numFmtId="166" fontId="7" fillId="0" borderId="4" xfId="1" applyNumberFormat="1" applyFont="1" applyBorder="1" applyAlignment="1">
      <alignment horizontal="center"/>
    </xf>
    <xf numFmtId="166" fontId="7" fillId="0" borderId="5" xfId="1" applyNumberFormat="1" applyFont="1" applyBorder="1" applyAlignment="1">
      <alignment horizontal="center"/>
    </xf>
    <xf numFmtId="165" fontId="19" fillId="0" borderId="0" xfId="3" applyNumberFormat="1" applyFont="1" applyBorder="1" applyAlignment="1">
      <alignment horizontal="center"/>
    </xf>
    <xf numFmtId="165" fontId="19" fillId="0" borderId="5" xfId="3" applyNumberFormat="1" applyFont="1" applyBorder="1" applyAlignment="1">
      <alignment horizontal="center"/>
    </xf>
    <xf numFmtId="43" fontId="12" fillId="0" borderId="3" xfId="0" applyNumberFormat="1" applyFont="1" applyBorder="1" applyAlignment="1">
      <alignment vertical="center"/>
    </xf>
    <xf numFmtId="43" fontId="12" fillId="0" borderId="8" xfId="0" applyNumberFormat="1" applyFont="1" applyBorder="1" applyAlignment="1">
      <alignment vertical="center"/>
    </xf>
    <xf numFmtId="44" fontId="16" fillId="0" borderId="5" xfId="0" applyNumberFormat="1" applyFont="1" applyBorder="1" applyAlignment="1">
      <alignment horizontal="center" vertical="center"/>
    </xf>
    <xf numFmtId="44" fontId="16" fillId="0" borderId="8" xfId="0" applyNumberFormat="1" applyFont="1" applyBorder="1" applyAlignment="1">
      <alignment horizontal="center" vertical="center"/>
    </xf>
    <xf numFmtId="10" fontId="0" fillId="0" borderId="1" xfId="2" applyNumberFormat="1" applyFont="1" applyBorder="1" applyAlignment="1">
      <alignment vertical="center"/>
    </xf>
    <xf numFmtId="10" fontId="0" fillId="0" borderId="6" xfId="2" applyNumberFormat="1" applyFont="1" applyBorder="1" applyAlignment="1">
      <alignment vertical="center"/>
    </xf>
    <xf numFmtId="44" fontId="4" fillId="0" borderId="4" xfId="0" applyNumberFormat="1" applyFont="1" applyBorder="1" applyAlignment="1">
      <alignment horizontal="center" vertical="center"/>
    </xf>
    <xf numFmtId="44" fontId="4" fillId="0" borderId="0" xfId="0" applyNumberFormat="1" applyFont="1" applyAlignment="1">
      <alignment horizontal="center" vertical="center"/>
    </xf>
    <xf numFmtId="44" fontId="4" fillId="0" borderId="6" xfId="0" applyNumberFormat="1" applyFont="1" applyBorder="1" applyAlignment="1">
      <alignment horizontal="center" vertical="center"/>
    </xf>
    <xf numFmtId="166" fontId="8" fillId="0" borderId="1" xfId="0" applyNumberFormat="1" applyFont="1" applyBorder="1" applyAlignment="1">
      <alignment vertical="center"/>
    </xf>
    <xf numFmtId="0" fontId="8" fillId="0" borderId="6" xfId="0" applyFont="1" applyBorder="1" applyAlignment="1">
      <alignment vertical="center"/>
    </xf>
    <xf numFmtId="167" fontId="16" fillId="0" borderId="2" xfId="2" applyNumberFormat="1" applyFont="1" applyFill="1" applyBorder="1" applyAlignment="1">
      <alignment vertical="center"/>
    </xf>
    <xf numFmtId="167" fontId="16" fillId="0" borderId="7" xfId="2" applyNumberFormat="1" applyFont="1" applyFill="1" applyBorder="1" applyAlignment="1">
      <alignment vertical="center"/>
    </xf>
    <xf numFmtId="43" fontId="16" fillId="0" borderId="3" xfId="0" applyNumberFormat="1" applyFont="1" applyBorder="1" applyAlignment="1">
      <alignment horizontal="center" vertical="center"/>
    </xf>
    <xf numFmtId="43" fontId="16" fillId="0" borderId="8" xfId="0" applyNumberFormat="1" applyFont="1" applyBorder="1" applyAlignment="1">
      <alignment horizontal="center" vertical="center"/>
    </xf>
    <xf numFmtId="43" fontId="16" fillId="0" borderId="3" xfId="0" applyNumberFormat="1" applyFont="1" applyBorder="1" applyAlignment="1">
      <alignment vertical="center"/>
    </xf>
    <xf numFmtId="43" fontId="16" fillId="0" borderId="8" xfId="0" applyNumberFormat="1" applyFont="1" applyBorder="1" applyAlignment="1">
      <alignment vertical="center"/>
    </xf>
    <xf numFmtId="43" fontId="16" fillId="0" borderId="3" xfId="3" applyFont="1" applyBorder="1" applyAlignment="1">
      <alignment vertical="center"/>
    </xf>
    <xf numFmtId="43" fontId="16" fillId="0" borderId="8" xfId="3" applyFont="1" applyBorder="1" applyAlignment="1">
      <alignment vertical="center"/>
    </xf>
    <xf numFmtId="10" fontId="14" fillId="0" borderId="1" xfId="0" applyNumberFormat="1" applyFont="1" applyBorder="1" applyAlignment="1">
      <alignment horizontal="center" vertical="center"/>
    </xf>
    <xf numFmtId="10" fontId="14" fillId="0" borderId="4" xfId="0" applyNumberFormat="1" applyFont="1" applyBorder="1" applyAlignment="1">
      <alignment horizontal="center" vertical="center"/>
    </xf>
    <xf numFmtId="165" fontId="13" fillId="0" borderId="3" xfId="3" applyNumberFormat="1" applyFont="1" applyBorder="1" applyAlignment="1">
      <alignment horizontal="center" vertical="center"/>
    </xf>
    <xf numFmtId="165" fontId="13" fillId="0" borderId="5" xfId="3" applyNumberFormat="1" applyFont="1" applyBorder="1" applyAlignment="1">
      <alignment horizontal="center" vertical="center"/>
    </xf>
    <xf numFmtId="0" fontId="6" fillId="0" borderId="6" xfId="0" applyFont="1" applyBorder="1" applyAlignment="1">
      <alignment horizontal="center"/>
    </xf>
    <xf numFmtId="0" fontId="6" fillId="0" borderId="8" xfId="0"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44" fontId="17" fillId="0" borderId="3" xfId="0" applyNumberFormat="1" applyFont="1" applyBorder="1" applyAlignment="1">
      <alignment horizontal="center" vertical="center"/>
    </xf>
    <xf numFmtId="44" fontId="17" fillId="0" borderId="8" xfId="0" applyNumberFormat="1" applyFont="1" applyBorder="1" applyAlignment="1">
      <alignment horizontal="center" vertical="center"/>
    </xf>
    <xf numFmtId="10" fontId="14" fillId="0" borderId="6" xfId="0" applyNumberFormat="1" applyFont="1" applyBorder="1" applyAlignment="1">
      <alignment horizontal="center" vertical="center"/>
    </xf>
    <xf numFmtId="165" fontId="13" fillId="0" borderId="8" xfId="3" applyNumberFormat="1" applyFont="1" applyBorder="1" applyAlignment="1">
      <alignment horizontal="center" vertical="center"/>
    </xf>
    <xf numFmtId="43" fontId="12" fillId="0" borderId="5" xfId="0" applyNumberFormat="1" applyFont="1" applyBorder="1" applyAlignment="1">
      <alignment vertical="center"/>
    </xf>
    <xf numFmtId="43" fontId="12" fillId="0" borderId="5" xfId="0" applyNumberFormat="1" applyFont="1" applyBorder="1" applyAlignment="1">
      <alignment horizontal="center" vertical="center"/>
    </xf>
    <xf numFmtId="44" fontId="0" fillId="0" borderId="5" xfId="1" applyFont="1" applyBorder="1" applyAlignment="1">
      <alignment horizontal="center" vertical="center"/>
    </xf>
    <xf numFmtId="38" fontId="0" fillId="8" borderId="2" xfId="3" applyNumberFormat="1" applyFont="1" applyFill="1" applyBorder="1" applyAlignment="1">
      <alignment horizontal="center" vertical="center"/>
    </xf>
    <xf numFmtId="38" fontId="0" fillId="8" borderId="7" xfId="3" applyNumberFormat="1" applyFont="1" applyFill="1" applyBorder="1" applyAlignment="1">
      <alignment horizontal="center" vertical="center"/>
    </xf>
    <xf numFmtId="168" fontId="0" fillId="8" borderId="2" xfId="1" applyNumberFormat="1" applyFont="1" applyFill="1" applyBorder="1" applyAlignment="1">
      <alignment horizontal="center" vertical="center"/>
    </xf>
    <xf numFmtId="168" fontId="0" fillId="8" borderId="7" xfId="1" applyNumberFormat="1" applyFont="1" applyFill="1" applyBorder="1" applyAlignment="1">
      <alignment horizontal="center" vertical="center"/>
    </xf>
    <xf numFmtId="0" fontId="0" fillId="2" borderId="2" xfId="0" applyFill="1" applyBorder="1" applyAlignment="1">
      <alignment horizontal="center" vertical="center"/>
    </xf>
    <xf numFmtId="0" fontId="0" fillId="2" borderId="7" xfId="0" applyFill="1" applyBorder="1" applyAlignment="1">
      <alignment horizontal="center" vertical="center"/>
    </xf>
    <xf numFmtId="173" fontId="1" fillId="2" borderId="2" xfId="1" applyNumberFormat="1" applyFont="1" applyFill="1" applyBorder="1" applyAlignment="1">
      <alignment horizontal="center" vertical="center"/>
    </xf>
    <xf numFmtId="173" fontId="1" fillId="2" borderId="7" xfId="1" applyNumberFormat="1" applyFont="1" applyFill="1" applyBorder="1" applyAlignment="1">
      <alignment horizontal="center" vertical="center"/>
    </xf>
    <xf numFmtId="0" fontId="0" fillId="6" borderId="2" xfId="0" applyFill="1" applyBorder="1" applyAlignment="1">
      <alignment horizontal="center" vertical="center"/>
    </xf>
    <xf numFmtId="0" fontId="0" fillId="6" borderId="7" xfId="0" applyFill="1" applyBorder="1" applyAlignment="1">
      <alignment horizontal="center" vertical="center"/>
    </xf>
    <xf numFmtId="170" fontId="0" fillId="6" borderId="3" xfId="1" applyNumberFormat="1" applyFont="1" applyFill="1" applyBorder="1" applyAlignment="1">
      <alignment horizontal="center" vertical="center"/>
    </xf>
    <xf numFmtId="170" fontId="0" fillId="6" borderId="8" xfId="1" applyNumberFormat="1" applyFont="1" applyFill="1" applyBorder="1" applyAlignment="1">
      <alignment horizontal="center" vertical="center"/>
    </xf>
    <xf numFmtId="0" fontId="26" fillId="2" borderId="9" xfId="0" applyFont="1" applyFill="1" applyBorder="1" applyAlignment="1">
      <alignment horizontal="center" vertical="center"/>
    </xf>
    <xf numFmtId="0" fontId="26" fillId="2" borderId="11" xfId="0" applyFont="1" applyFill="1" applyBorder="1" applyAlignment="1">
      <alignment horizontal="center" vertical="center"/>
    </xf>
    <xf numFmtId="166" fontId="0" fillId="0" borderId="6" xfId="0" applyNumberFormat="1" applyBorder="1" applyAlignment="1">
      <alignment vertical="center"/>
    </xf>
    <xf numFmtId="44" fontId="0" fillId="5" borderId="0" xfId="1" applyFont="1" applyFill="1" applyBorder="1" applyAlignment="1">
      <alignment horizontal="center"/>
    </xf>
  </cellXfs>
  <cellStyles count="4">
    <cellStyle name="Comma" xfId="3" builtinId="3"/>
    <cellStyle name="Currency" xfId="1" builtinId="4"/>
    <cellStyle name="Normal" xfId="0" builtinId="0"/>
    <cellStyle name="Percent" xfId="2" builtinId="5"/>
  </cellStyles>
  <dxfs count="520">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strike val="0"/>
        <color theme="6"/>
      </font>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strike val="0"/>
        <color theme="6"/>
      </font>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b/>
        <i val="0"/>
        <strike val="0"/>
        <color theme="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b/>
        <i val="0"/>
        <strike val="0"/>
        <color theme="6"/>
      </font>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numFmt numFmtId="174" formatCode="[$-409]dd\-mmm\-yy;@"/>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b/>
      </font>
    </dxf>
    <dxf>
      <font>
        <b/>
      </font>
      <numFmt numFmtId="0" formatCode="General"/>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numFmt numFmtId="14" formatCode="0.00%"/>
    </dxf>
    <dxf>
      <numFmt numFmtId="14" formatCode="0.00%"/>
    </dxf>
    <dxf>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64" formatCode="_(* #,##0.0000_);_(* \(#,##0.0000\);_(* &quot;-&quot;??_);_(@_)"/>
      <alignment horizontal="general" vertical="bottom" textRotation="0" wrapText="0" indent="0" justifyLastLine="0" shrinkToFit="0" readingOrder="0"/>
    </dxf>
    <dxf>
      <numFmt numFmtId="164" formatCode="_(* #,##0.0000_);_(* \(#,##0.0000\);_(* &quot;-&quot;??_);_(@_)"/>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74" formatCode="[$-409]dd\-mmm\-yy;@"/>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b/>
      </font>
    </dxf>
    <dxf>
      <font>
        <b/>
      </font>
      <numFmt numFmtId="0" formatCode="General"/>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b/>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b/>
      </font>
    </dxf>
    <dxf>
      <font>
        <b/>
      </font>
      <numFmt numFmtId="0" formatCode="General"/>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1/relationships/FeaturePropertyBag" Target="featurePropertyBag/featurePropertyBag.xml"/></Relationships>
</file>

<file path=xl/drawings/drawing1.xml><?xml version="1.0" encoding="utf-8"?>
<xdr:wsDr xmlns:xdr="http://schemas.openxmlformats.org/drawingml/2006/spreadsheetDrawing" xmlns:a="http://schemas.openxmlformats.org/drawingml/2006/main">
  <xdr:twoCellAnchor>
    <xdr:from>
      <xdr:col>3</xdr:col>
      <xdr:colOff>200025</xdr:colOff>
      <xdr:row>0</xdr:row>
      <xdr:rowOff>161925</xdr:rowOff>
    </xdr:from>
    <xdr:to>
      <xdr:col>3</xdr:col>
      <xdr:colOff>1114425</xdr:colOff>
      <xdr:row>4</xdr:row>
      <xdr:rowOff>85725</xdr:rowOff>
    </xdr:to>
    <xdr:sp macro="[0]!UpdateMultipliersGroup" textlink="">
      <xdr:nvSpPr>
        <xdr:cNvPr id="2" name="Rectangle 1">
          <a:extLst>
            <a:ext uri="{FF2B5EF4-FFF2-40B4-BE49-F238E27FC236}">
              <a16:creationId xmlns:a16="http://schemas.microsoft.com/office/drawing/2014/main" id="{677D85F0-62B1-2EFC-2A3C-1AC9205685BF}"/>
            </a:ext>
          </a:extLst>
        </xdr:cNvPr>
        <xdr:cNvSpPr/>
      </xdr:nvSpPr>
      <xdr:spPr>
        <a:xfrm>
          <a:off x="3895725" y="161925"/>
          <a:ext cx="914400" cy="6858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Update Scalars</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913BC0-E3D8-4CCA-950F-A7509FC6B526}" name="initial_inputs" displayName="initial_inputs" ref="A1:B10" totalsRowShown="0">
  <autoFilter ref="A1:B10" xr:uid="{7E913BC0-E3D8-4CCA-950F-A7509FC6B526}"/>
  <tableColumns count="2">
    <tableColumn id="1" xr3:uid="{DBCC28E9-5CC8-4346-8F1B-B8CC81979271}" name="Keys"/>
    <tableColumn id="2" xr3:uid="{BC9C663B-3B3C-4AB3-A127-6F36C4D9E41D}" name="Valu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87CA2E-D376-4C11-B6F4-FBD1736BE37C}" name="scalar_inputs" displayName="scalar_inputs" ref="A1:H100" totalsRowShown="0" headerRowDxfId="519">
  <autoFilter ref="A1:H100" xr:uid="{F987CA2E-D376-4C11-B6F4-FBD1736BE37C}"/>
  <sortState xmlns:xlrd2="http://schemas.microsoft.com/office/spreadsheetml/2017/richdata2" ref="A2:H100">
    <sortCondition ref="H1:H100"/>
  </sortState>
  <tableColumns count="8">
    <tableColumn id="4" xr3:uid="{682084C0-EBE6-4E32-8904-C2A4FFED391D}" name="category1" dataDxfId="518"/>
    <tableColumn id="2" xr3:uid="{6DFBFF19-55B3-4108-AFB2-E379A13FA178}" name="category2" dataDxfId="517"/>
    <tableColumn id="8" xr3:uid="{146123E5-E644-474B-8369-994EC12F5633}" name="category3" dataDxfId="516"/>
    <tableColumn id="33" xr3:uid="{38142944-F76B-426A-B599-AE9E9FF0F134}" name="pair_name" dataDxfId="515"/>
    <tableColumn id="1" xr3:uid="{95474644-CF34-49A1-880F-5CC1F5131734}" name="lo_px_sym" dataDxfId="514"/>
    <tableColumn id="5" xr3:uid="{881001B5-8756-4DC6-8702-B37576BD6E5C}" name="hi_px_sym" dataDxfId="513"/>
    <tableColumn id="35" xr3:uid="{6136CC28-6C4E-4458-883B-C7D711AD838B}" name="moving_avg_days" dataDxfId="512"/>
    <tableColumn id="7" xr3:uid="{1D2302C9-3FF4-4494-8CD9-10DE3607CCE4}" name="div_method" dataDxfId="51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0EF421-9015-4AA5-9494-B806A37E595C}" name="scalar_inputs34" displayName="scalar_inputs34" ref="A1:AH100" totalsRowShown="0" headerRowDxfId="510">
  <autoFilter ref="A1:AH100" xr:uid="{650EF421-9015-4AA5-9494-B806A37E595C}"/>
  <sortState xmlns:xlrd2="http://schemas.microsoft.com/office/spreadsheetml/2017/richdata2" ref="A2:AH100">
    <sortCondition ref="C1:C100"/>
  </sortState>
  <tableColumns count="34">
    <tableColumn id="4" xr3:uid="{962816E4-71AA-4B0C-9053-2BBA0E45CE42}" name="category1" dataDxfId="509"/>
    <tableColumn id="2" xr3:uid="{E39FF753-A0AE-47D8-8C52-7DEC8FB0C37A}" name="category2" dataDxfId="508"/>
    <tableColumn id="8" xr3:uid="{F5891773-9243-4428-A3B7-5B007227AF6B}" name="category3" dataDxfId="507"/>
    <tableColumn id="33" xr3:uid="{ED13DC10-AE87-479C-9CBF-3CFCD01EE3F2}" name="pair_name" dataDxfId="506"/>
    <tableColumn id="1" xr3:uid="{785CB772-C1C0-415B-8AF1-D7430A27F7F9}" name="lo_px_sym" dataDxfId="505"/>
    <tableColumn id="5" xr3:uid="{1B9B55B7-384A-45D3-A77B-710865F0D043}" name="hi_px_sym" dataDxfId="504"/>
    <tableColumn id="35" xr3:uid="{2AC762F0-604C-4A6C-8DA5-A63D0A31F1DB}" name="moving_avg_days" dataDxfId="503"/>
    <tableColumn id="7" xr3:uid="{86240E54-343E-482C-949A-C156077B8A43}" name="div_method" dataDxfId="502"/>
    <tableColumn id="15" xr3:uid="{59FAA940-5F06-479D-9AE5-23A63413233A}" name="active_low_enter" dataDxfId="501" dataCellStyle="Percent"/>
    <tableColumn id="16" xr3:uid="{7A2A76B7-80E1-4819-A656-822222A92F57}" name="active_low_exit" dataDxfId="500" dataCellStyle="Percent"/>
    <tableColumn id="19" xr3:uid="{627DB41A-C229-4D46-9903-AA1E3E97A1B9}" name="active_high_enter" dataDxfId="499" dataCellStyle="Percent"/>
    <tableColumn id="20" xr3:uid="{86156ED4-83A4-470E-857C-796ADDE50473}" name="active_high_exit" dataDxfId="498" dataCellStyle="Percent"/>
    <tableColumn id="3" xr3:uid="{6328614D-2BA7-4892-B266-B8D7CB7CB1BB}" name="analysis_date" dataDxfId="497"/>
    <tableColumn id="10" xr3:uid="{48AE2E49-A038-4DCD-9512-A0BE57F7FD36}" name="corr(log_chg*)" dataDxfId="496" dataCellStyle="Percent"/>
    <tableColumn id="14" xr3:uid="{D4122468-995C-4A29-88B4-B786A83D29AD}" name="min(ratio*_ma)" dataDxfId="495" dataCellStyle="Comma"/>
    <tableColumn id="32" xr3:uid="{173FCDF9-3736-488F-841E-A0DFD36B7E01}" name="max(ratio*_ma)" dataDxfId="494" dataCellStyle="Comma"/>
    <tableColumn id="28" xr3:uid="{764EE02F-8293-4B9F-B609-255B85CD3D3E}" name="log_diff(ratio*_ma)" dataDxfId="493" dataCellStyle="Percent"/>
    <tableColumn id="29" xr3:uid="{85EF699C-CBAD-46BE-9EE5-BE77F49875D7}" name="min(ln(unit_prices))" dataDxfId="492" dataCellStyle="Percent"/>
    <tableColumn id="30" xr3:uid="{2001C6D9-A94A-4389-A6FD-DF21C6F99B88}" name="max(ln(unit_prices))" dataDxfId="491" dataCellStyle="Percent"/>
    <tableColumn id="27" xr3:uid="{8015CA4D-19DE-43F6-B978-4C9DE9EB2BAB}" name="diff(ln(unit_prices))" dataDxfId="490" dataCellStyle="Percent"/>
    <tableColumn id="31" xr3:uid="{4B1463AA-1417-4A02-A2A9-392364BEE4E1}" name="stdev(ln(unit_prices))" dataDxfId="489" dataCellStyle="Percent"/>
    <tableColumn id="24" xr3:uid="{9D65C2B5-4E9A-4ABD-BF28-9F3720A317B1}" name="best_low_enter" dataDxfId="488" dataCellStyle="Percent"/>
    <tableColumn id="6" xr3:uid="{481D7454-008F-4D13-85E8-4EE0B9895785}" name="best_low_exit" dataDxfId="487" dataCellStyle="Percent"/>
    <tableColumn id="9" xr3:uid="{585D64B3-28E0-4288-9E0A-9563370228CD}" name="best_low_sharpe" dataCellStyle="Comma"/>
    <tableColumn id="11" xr3:uid="{982D36EC-78C7-471D-91BB-EF6776896397}" name="best_high_enter" dataDxfId="486" dataCellStyle="Percent"/>
    <tableColumn id="12" xr3:uid="{B5544F2C-33CD-419A-9382-87F5FBB3002A}" name="best_high_exit" dataDxfId="485" dataCellStyle="Percent"/>
    <tableColumn id="13" xr3:uid="{87DE26AE-6378-4AD1-B890-560C41B074D2}" name="best_high_sharpe" dataDxfId="484" dataCellStyle="Comma"/>
    <tableColumn id="17" xr3:uid="{A6445E2E-213B-439B-B0E6-31A3C9244008}" name="active_low_sharpe" dataDxfId="483" dataCellStyle="Comma"/>
    <tableColumn id="18" xr3:uid="{684E9778-B862-4A6C-8AB9-5120DC91DEC0}" name="active_low_rtn" dataDxfId="482" dataCellStyle="Percent"/>
    <tableColumn id="21" xr3:uid="{C1839AD2-F0B6-4FC4-A63F-0030F2E9D4BB}" name="active_high_sharpe" dataDxfId="481" dataCellStyle="Comma"/>
    <tableColumn id="22" xr3:uid="{D286D89B-3CFB-4295-A4DF-0451EC708CF4}" name="active_high_rtn" dataDxfId="480" dataCellStyle="Percent"/>
    <tableColumn id="25" xr3:uid="{A964E04F-0117-46AC-955B-1D106FCFE6B5}" name="total_sharpe" dataDxfId="479" dataCellStyle="Comma"/>
    <tableColumn id="26" xr3:uid="{7BFD26B1-D7E9-4144-905F-4C522C2DDF84}" name="total_rtn" dataDxfId="478" dataCellStyle="Percent"/>
    <tableColumn id="23" xr3:uid="{32A89126-188F-4774-ADFA-5D71685A7CE8}" name="com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B24E16-5C91-4599-A64D-C39936C0B3BD}" name="scalar_inputs3" displayName="scalar_inputs3" ref="A1:M100" totalsRowShown="0" headerRowDxfId="477">
  <autoFilter ref="A1:M100" xr:uid="{60B24E16-5C91-4599-A64D-C39936C0B3BD}"/>
  <sortState xmlns:xlrd2="http://schemas.microsoft.com/office/spreadsheetml/2017/richdata2" ref="A2:AH100">
    <sortCondition ref="C1:C100"/>
  </sortState>
  <tableColumns count="13">
    <tableColumn id="4" xr3:uid="{7A069F3B-BC59-4969-BC65-647A4E4A41CD}" name="category1" dataDxfId="476"/>
    <tableColumn id="2" xr3:uid="{32219087-6532-476D-9A90-A20473E391DB}" name="category2" dataDxfId="475"/>
    <tableColumn id="8" xr3:uid="{7EA9D8E3-157D-43A7-A2E1-9A10C6EE8CAC}" name="category3" dataDxfId="474"/>
    <tableColumn id="33" xr3:uid="{44C67DE7-5228-414D-B41F-BB7BCD9D3583}" name="pair_name" dataDxfId="473"/>
    <tableColumn id="1" xr3:uid="{D4B7EF6E-47A6-4D33-892F-59DE8D89FC30}" name="lo_px_sym" dataDxfId="472"/>
    <tableColumn id="5" xr3:uid="{7019E36F-0A61-4694-A771-4765472E9EA0}" name="hi_px_sym" dataDxfId="471"/>
    <tableColumn id="35" xr3:uid="{DC4BC4D1-D759-4C90-89DC-A0B0C9F5CBED}" name="moving_avg_days" dataDxfId="470"/>
    <tableColumn id="7" xr3:uid="{AB467F11-B8EB-4F74-A638-5205C40C9AF1}" name="div_method" dataDxfId="469"/>
    <tableColumn id="15" xr3:uid="{5C58645A-B280-45A7-A91F-8D0B8159EEEF}" name="active_low_enter" dataDxfId="468" dataCellStyle="Percent"/>
    <tableColumn id="16" xr3:uid="{854D4E05-B547-45D9-B858-CC46FE0D78A2}" name="active_low_exit" dataDxfId="467" dataCellStyle="Percent"/>
    <tableColumn id="19" xr3:uid="{C1DB0982-80E2-4F34-B8DB-81CB08671084}" name="active_high_enter" dataDxfId="466" dataCellStyle="Percent"/>
    <tableColumn id="20" xr3:uid="{8D692593-A286-48EF-B628-E3FA011D0576}" name="active_high_exit" dataDxfId="465" dataCellStyle="Percent"/>
    <tableColumn id="3" xr3:uid="{7296BD9C-515D-4839-BC5B-7E4EFC3C8E6C}" name="last_update" dataDxfId="46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3B66-DD64-4B52-A1F6-E049BD827304}">
  <sheetPr codeName="Sheet1"/>
  <dimension ref="A1:L27"/>
  <sheetViews>
    <sheetView workbookViewId="0">
      <selection activeCell="G23" sqref="G23"/>
    </sheetView>
  </sheetViews>
  <sheetFormatPr defaultRowHeight="15" x14ac:dyDescent="0.25"/>
  <cols>
    <col min="1" max="1" width="31.42578125" bestFit="1" customWidth="1"/>
    <col min="2" max="2" width="24.42578125" bestFit="1" customWidth="1"/>
    <col min="3" max="3" width="11.5703125" bestFit="1" customWidth="1"/>
    <col min="4" max="4" width="19.42578125" customWidth="1"/>
    <col min="5" max="5" width="14" bestFit="1" customWidth="1"/>
    <col min="7" max="7" width="14.85546875" bestFit="1" customWidth="1"/>
    <col min="8" max="8" width="14.85546875" customWidth="1"/>
    <col min="9" max="9" width="15.140625" customWidth="1"/>
    <col min="11" max="11" width="13.7109375" bestFit="1" customWidth="1"/>
    <col min="12" max="12" width="26.5703125" bestFit="1" customWidth="1"/>
  </cols>
  <sheetData>
    <row r="1" spans="1:12" x14ac:dyDescent="0.25">
      <c r="A1" t="s">
        <v>9</v>
      </c>
      <c r="B1" t="s">
        <v>10</v>
      </c>
      <c r="G1" s="291"/>
      <c r="H1" s="358" t="s">
        <v>335</v>
      </c>
      <c r="I1" s="359" t="s">
        <v>336</v>
      </c>
      <c r="K1" s="141" t="s">
        <v>117</v>
      </c>
      <c r="L1" s="137"/>
    </row>
    <row r="2" spans="1:12" x14ac:dyDescent="0.25">
      <c r="A2" t="s">
        <v>411</v>
      </c>
      <c r="B2" t="str" cm="1">
        <f t="array" aca="1" ref="B2" ca="1">_xlfn.TEXTAFTER(CELL("filename",scalar_inputs[category1]),"]")</f>
        <v>SCALAR INPUTS</v>
      </c>
      <c r="G2" s="292" t="s">
        <v>286</v>
      </c>
      <c r="H2" s="135">
        <f ca="1">'FI GROUP'!AI$1</f>
        <v>0</v>
      </c>
      <c r="I2" s="138"/>
      <c r="K2" s="148">
        <v>0</v>
      </c>
      <c r="L2" s="138" t="s">
        <v>135</v>
      </c>
    </row>
    <row r="3" spans="1:12" x14ac:dyDescent="0.25">
      <c r="A3" t="s">
        <v>412</v>
      </c>
      <c r="B3" t="str">
        <f ca="1">LOWER(_xlfn.REGEXREPLACE(B2," ","_"))</f>
        <v>scalar_inputs</v>
      </c>
      <c r="E3" s="236" t="s">
        <v>280</v>
      </c>
      <c r="G3" s="292" t="s">
        <v>566</v>
      </c>
      <c r="H3" s="135">
        <f ca="1">SECTOR!AI$1</f>
        <v>530.66563900006224</v>
      </c>
      <c r="I3" s="293">
        <f>SECTOR!AJ$1</f>
        <v>0</v>
      </c>
      <c r="K3" s="148">
        <v>1</v>
      </c>
      <c r="L3" s="138" t="s">
        <v>136</v>
      </c>
    </row>
    <row r="4" spans="1:12" ht="15.75" thickBot="1" x14ac:dyDescent="0.3">
      <c r="A4" t="s">
        <v>134</v>
      </c>
      <c r="B4" t="str" cm="1">
        <f t="array" aca="1" ref="B4" ca="1">_xlfn.TEXTAFTER(CELL("filename",SCALARS!A3),"]")</f>
        <v>SCALARS</v>
      </c>
      <c r="G4" s="292" t="s">
        <v>567</v>
      </c>
      <c r="H4" s="135">
        <f ca="1">INDUSTRY!AI$1</f>
        <v>0</v>
      </c>
      <c r="I4" s="293">
        <f>INDUSTRY!AJ$1</f>
        <v>0</v>
      </c>
      <c r="K4" s="149">
        <v>2</v>
      </c>
      <c r="L4" s="140" t="s">
        <v>137</v>
      </c>
    </row>
    <row r="5" spans="1:12" x14ac:dyDescent="0.25">
      <c r="A5" t="s">
        <v>133</v>
      </c>
      <c r="B5" t="s">
        <v>26</v>
      </c>
      <c r="G5" s="292" t="s">
        <v>287</v>
      </c>
      <c r="H5" s="135">
        <f ca="1">'FIXED INCOME'!AI$1</f>
        <v>621.80129199999772</v>
      </c>
      <c r="I5" s="293">
        <f ca="1">'FIXED INCOME'!AJ$1</f>
        <v>3847.1845091987584</v>
      </c>
    </row>
    <row r="6" spans="1:12" x14ac:dyDescent="0.25">
      <c r="A6" t="s">
        <v>417</v>
      </c>
      <c r="B6" t="str" cm="1">
        <f t="array" aca="1" ref="B6" ca="1">_xlfn.TEXTAFTER(CELL("filename",'SCALAR INPUTS'!A1),"]")</f>
        <v>SCALAR INPUTS</v>
      </c>
      <c r="D6" s="24">
        <v>46319.590324074074</v>
      </c>
      <c r="G6" s="292" t="s">
        <v>288</v>
      </c>
      <c r="H6" s="135">
        <f ca="1">CORPS!AH$1</f>
        <v>0</v>
      </c>
      <c r="I6" s="293">
        <f>CORPS!AI1</f>
        <v>0</v>
      </c>
    </row>
    <row r="7" spans="1:12" x14ac:dyDescent="0.25">
      <c r="A7" t="s">
        <v>418</v>
      </c>
      <c r="B7" t="s">
        <v>551</v>
      </c>
      <c r="G7" s="292" t="s">
        <v>289</v>
      </c>
      <c r="H7" s="135">
        <f ca="1">TARGETS!AH1</f>
        <v>0</v>
      </c>
      <c r="I7" s="293">
        <f>TARGETS!AI1</f>
        <v>0</v>
      </c>
    </row>
    <row r="8" spans="1:12" x14ac:dyDescent="0.25">
      <c r="A8" t="s">
        <v>419</v>
      </c>
      <c r="B8" t="s">
        <v>429</v>
      </c>
      <c r="G8" s="292" t="s">
        <v>290</v>
      </c>
      <c r="H8" s="135">
        <f>CEFS!AI$1</f>
        <v>0</v>
      </c>
      <c r="I8" s="293"/>
    </row>
    <row r="9" spans="1:12" x14ac:dyDescent="0.25">
      <c r="A9" t="s">
        <v>25</v>
      </c>
      <c r="B9" t="str" cm="1">
        <f t="array" aca="1" ref="B9" ca="1">_xlfn.TEXTAFTER(CELL("filename",'TRADING INPUTS'!A1),"]")</f>
        <v>TRADING INPUTS</v>
      </c>
      <c r="G9" s="292" t="s">
        <v>291</v>
      </c>
      <c r="H9" s="135">
        <f>ADRS!AI$1</f>
        <v>0</v>
      </c>
      <c r="I9" s="138"/>
    </row>
    <row r="10" spans="1:12" ht="17.25" x14ac:dyDescent="0.4">
      <c r="A10" t="s">
        <v>64</v>
      </c>
      <c r="B10" t="s">
        <v>26</v>
      </c>
      <c r="G10" s="292" t="s">
        <v>319</v>
      </c>
      <c r="H10" s="356">
        <v>0</v>
      </c>
      <c r="I10" s="360"/>
    </row>
    <row r="11" spans="1:12" ht="15.75" thickBot="1" x14ac:dyDescent="0.3">
      <c r="G11" s="294" t="s">
        <v>175</v>
      </c>
      <c r="H11" s="357">
        <f ca="1">SUM(H2:H10)</f>
        <v>1152.46693100006</v>
      </c>
      <c r="I11" s="38">
        <f ca="1">SUM(I2:I10)</f>
        <v>3847.1845091987584</v>
      </c>
    </row>
    <row r="12" spans="1:12" ht="15.75" thickBot="1" x14ac:dyDescent="0.3"/>
    <row r="13" spans="1:12" x14ac:dyDescent="0.25">
      <c r="A13" s="289" t="s">
        <v>307</v>
      </c>
    </row>
    <row r="14" spans="1:12" ht="15.75" thickBot="1" x14ac:dyDescent="0.3">
      <c r="A14" s="290" t="s">
        <v>308</v>
      </c>
    </row>
    <row r="16" spans="1:12" ht="15.75" thickBot="1" x14ac:dyDescent="0.3"/>
    <row r="17" spans="1:2" x14ac:dyDescent="0.25">
      <c r="A17" s="141" t="s">
        <v>316</v>
      </c>
      <c r="B17" s="137"/>
    </row>
    <row r="18" spans="1:2" x14ac:dyDescent="0.25">
      <c r="A18" s="292" t="s">
        <v>413</v>
      </c>
      <c r="B18" s="138" t="s">
        <v>414</v>
      </c>
    </row>
    <row r="19" spans="1:2" x14ac:dyDescent="0.25">
      <c r="A19" s="292" t="s">
        <v>310</v>
      </c>
      <c r="B19" s="138" t="s">
        <v>414</v>
      </c>
    </row>
    <row r="20" spans="1:2" ht="15.75" thickBot="1" x14ac:dyDescent="0.3">
      <c r="A20" s="294" t="s">
        <v>309</v>
      </c>
      <c r="B20" s="140" t="s">
        <v>311</v>
      </c>
    </row>
    <row r="22" spans="1:2" ht="15.75" thickBot="1" x14ac:dyDescent="0.3"/>
    <row r="23" spans="1:2" x14ac:dyDescent="0.25">
      <c r="A23" s="322" t="s">
        <v>317</v>
      </c>
    </row>
    <row r="24" spans="1:2" x14ac:dyDescent="0.25">
      <c r="A24" s="323" t="s">
        <v>318</v>
      </c>
    </row>
    <row r="25" spans="1:2" x14ac:dyDescent="0.25">
      <c r="A25" s="323" t="s">
        <v>313</v>
      </c>
    </row>
    <row r="26" spans="1:2" x14ac:dyDescent="0.25">
      <c r="A26" s="323" t="s">
        <v>314</v>
      </c>
    </row>
    <row r="27" spans="1:2" ht="15.75" thickBot="1" x14ac:dyDescent="0.3">
      <c r="A27" s="324" t="s">
        <v>315</v>
      </c>
    </row>
  </sheetData>
  <phoneticPr fontId="2" type="noConversion"/>
  <conditionalFormatting sqref="K1:K4">
    <cfRule type="cellIs" dxfId="463" priority="1" operator="equal">
      <formula>1</formula>
    </cfRule>
    <cfRule type="cellIs" dxfId="462" priority="2" operator="equal">
      <formula>2</formula>
    </cfRule>
  </conditionalFormatting>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08255-2A57-4F27-A9A1-87D4FCDC5F87}">
  <sheetPr codeName="Sheet9"/>
  <dimension ref="A1:AG224"/>
  <sheetViews>
    <sheetView tabSelected="1" zoomScale="85" zoomScaleNormal="85" workbookViewId="0">
      <pane ySplit="1" topLeftCell="A2" activePane="bottomLeft" state="frozen"/>
      <selection pane="bottomLeft" activeCell="J2" sqref="J2"/>
    </sheetView>
  </sheetViews>
  <sheetFormatPr defaultRowHeight="15" x14ac:dyDescent="0.25"/>
  <cols>
    <col min="1" max="1" width="12.140625" bestFit="1" customWidth="1"/>
    <col min="2" max="2" width="14.85546875" bestFit="1" customWidth="1"/>
    <col min="3" max="3" width="12.140625" style="444" bestFit="1" customWidth="1"/>
    <col min="4" max="4" width="15.7109375" style="8" bestFit="1" customWidth="1"/>
    <col min="5" max="6" width="12.5703125" style="8" bestFit="1" customWidth="1"/>
    <col min="7" max="7" width="18.85546875" style="8" bestFit="1" customWidth="1"/>
    <col min="8" max="8" width="13.85546875" style="299" bestFit="1" customWidth="1"/>
    <col min="9" max="9" width="15.5703125" style="361" bestFit="1" customWidth="1"/>
    <col min="10" max="10" width="16.140625" style="363" bestFit="1" customWidth="1"/>
    <col min="11" max="11" width="18.42578125" style="393" bestFit="1" customWidth="1"/>
    <col min="12" max="12" width="18.7109375" style="443" bestFit="1" customWidth="1"/>
    <col min="13" max="13" width="20.42578125" style="363" bestFit="1" customWidth="1"/>
    <col min="14" max="14" width="21.5703125" style="363" bestFit="1" customWidth="1"/>
    <col min="15" max="15" width="21.85546875" style="363" bestFit="1" customWidth="1"/>
    <col min="16" max="16" width="23.5703125" style="363" bestFit="1" customWidth="1"/>
    <col min="17" max="17" width="25.42578125" style="392" bestFit="1" customWidth="1"/>
    <col min="18" max="18" width="17.140625" style="363" customWidth="1"/>
    <col min="19" max="19" width="15.7109375" style="362" bestFit="1" customWidth="1"/>
    <col min="20" max="20" width="20" style="364" bestFit="1" customWidth="1"/>
    <col min="21" max="21" width="17.85546875" style="363" bestFit="1" customWidth="1"/>
    <col min="22" max="22" width="16.42578125" style="362" bestFit="1" customWidth="1"/>
    <col min="23" max="23" width="20.7109375" style="364" bestFit="1" customWidth="1"/>
    <col min="24" max="24" width="18.5703125" style="363" bestFit="1" customWidth="1"/>
    <col min="25" max="25" width="17.140625" style="362" bestFit="1" customWidth="1"/>
    <col min="26" max="26" width="21.42578125" style="364" bestFit="1" customWidth="1"/>
    <col min="27" max="27" width="16.28515625" style="362" bestFit="1" customWidth="1"/>
    <col min="28" max="28" width="19.28515625" style="363" bestFit="1" customWidth="1"/>
    <col min="29" max="29" width="17.85546875" style="362" bestFit="1" customWidth="1"/>
    <col min="30" max="30" width="22.140625" style="364" bestFit="1" customWidth="1"/>
    <col min="31" max="31" width="17" style="362" bestFit="1" customWidth="1"/>
    <col min="32" max="32" width="14.42578125" style="362" bestFit="1" customWidth="1"/>
    <col min="33" max="33" width="10.85546875" style="362" bestFit="1" customWidth="1"/>
    <col min="34" max="34" width="30.140625" bestFit="1" customWidth="1"/>
    <col min="36" max="36" width="7.28515625" bestFit="1" customWidth="1"/>
    <col min="37" max="37" width="6.7109375" bestFit="1" customWidth="1"/>
    <col min="38" max="38" width="12.85546875" bestFit="1" customWidth="1"/>
    <col min="39" max="39" width="13.5703125" bestFit="1" customWidth="1"/>
    <col min="40" max="40" width="15" bestFit="1" customWidth="1"/>
  </cols>
  <sheetData>
    <row r="1" spans="1:33" s="444" customFormat="1" x14ac:dyDescent="0.25">
      <c r="A1" t="s">
        <v>431</v>
      </c>
      <c r="B1" t="s">
        <v>432</v>
      </c>
      <c r="C1" s="444" t="s">
        <v>433</v>
      </c>
      <c r="D1" s="445" t="s">
        <v>545</v>
      </c>
      <c r="E1" s="445" t="s">
        <v>546</v>
      </c>
      <c r="F1" s="445" t="s">
        <v>547</v>
      </c>
      <c r="G1" s="445" t="s">
        <v>8</v>
      </c>
      <c r="H1" s="445" t="s">
        <v>341</v>
      </c>
      <c r="I1" s="446"/>
      <c r="J1" s="447"/>
      <c r="K1" s="448"/>
      <c r="L1" s="448"/>
      <c r="M1" s="363"/>
      <c r="N1" s="447"/>
      <c r="O1" s="447"/>
      <c r="P1" s="447"/>
      <c r="Q1" s="447"/>
      <c r="R1" s="447"/>
      <c r="S1" s="447"/>
      <c r="T1" s="449"/>
      <c r="U1" s="447"/>
      <c r="V1" s="447"/>
      <c r="W1" s="449"/>
      <c r="X1" s="447"/>
      <c r="Y1" s="447"/>
      <c r="Z1" s="449"/>
      <c r="AA1" s="447"/>
      <c r="AB1" s="447"/>
      <c r="AC1" s="447"/>
      <c r="AD1" s="449"/>
      <c r="AE1" s="447"/>
      <c r="AF1" s="447"/>
      <c r="AG1" s="447"/>
    </row>
    <row r="2" spans="1:33" x14ac:dyDescent="0.25">
      <c r="A2" t="s">
        <v>416</v>
      </c>
      <c r="B2" t="s">
        <v>215</v>
      </c>
      <c r="C2" s="444" t="s">
        <v>552</v>
      </c>
      <c r="D2" s="8" t="s">
        <v>446</v>
      </c>
      <c r="E2" s="8" t="s">
        <v>217</v>
      </c>
      <c r="F2" s="8" t="s">
        <v>216</v>
      </c>
      <c r="G2" s="299">
        <v>20</v>
      </c>
      <c r="H2" s="299">
        <v>0</v>
      </c>
      <c r="J2" s="363" t="str">
        <f>_xlfn.CONCAT("'",scalar_inputs[[#This Row],[lo_px_sym]],"'")</f>
        <v>'BATRK'</v>
      </c>
      <c r="K2" s="363" t="str">
        <f>_xlfn.CONCAT("'",scalar_inputs[[#This Row],[hi_px_sym]],"'")</f>
        <v>'BATRA'</v>
      </c>
      <c r="L2" s="443" t="str">
        <f t="shared" ref="L2:L17" si="0">_xlfn.CONCAT("(",J2,", ",K2,"),")</f>
        <v>('BATRK', 'BATRA'),</v>
      </c>
      <c r="R2" s="362"/>
      <c r="U2" s="362"/>
      <c r="X2" s="362"/>
      <c r="AB2" s="362"/>
      <c r="AF2" s="364"/>
    </row>
    <row r="3" spans="1:33" x14ac:dyDescent="0.25">
      <c r="A3" t="s">
        <v>416</v>
      </c>
      <c r="B3" t="s">
        <v>206</v>
      </c>
      <c r="C3" s="444" t="s">
        <v>552</v>
      </c>
      <c r="D3" s="8" t="s">
        <v>447</v>
      </c>
      <c r="E3" s="8" t="s">
        <v>208</v>
      </c>
      <c r="F3" s="8" t="s">
        <v>207</v>
      </c>
      <c r="G3" s="299">
        <v>20</v>
      </c>
      <c r="H3" s="299">
        <v>0</v>
      </c>
      <c r="J3" s="363" t="str">
        <f>_xlfn.CONCAT("'",scalar_inputs[[#This Row],[lo_px_sym]],"'")</f>
        <v>'BF B'</v>
      </c>
      <c r="K3" s="363" t="str">
        <f>_xlfn.CONCAT("'",scalar_inputs[[#This Row],[hi_px_sym]],"'")</f>
        <v>'BF A'</v>
      </c>
      <c r="L3" s="443" t="str">
        <f t="shared" si="0"/>
        <v>('BF B', 'BF A'),</v>
      </c>
      <c r="R3" s="362"/>
      <c r="U3" s="362"/>
      <c r="X3" s="362"/>
      <c r="AB3" s="362"/>
      <c r="AF3" s="364"/>
    </row>
    <row r="4" spans="1:33" x14ac:dyDescent="0.25">
      <c r="A4" t="s">
        <v>118</v>
      </c>
      <c r="B4" t="s">
        <v>119</v>
      </c>
      <c r="C4" s="444" t="s">
        <v>552</v>
      </c>
      <c r="D4" s="8" t="s">
        <v>448</v>
      </c>
      <c r="E4" s="8" t="s">
        <v>6</v>
      </c>
      <c r="F4" s="8" t="s">
        <v>7</v>
      </c>
      <c r="G4" s="299">
        <v>20</v>
      </c>
      <c r="H4" s="299">
        <v>0</v>
      </c>
      <c r="J4" s="363" t="str">
        <f>_xlfn.CONCAT("'",scalar_inputs[[#This Row],[lo_px_sym]],"'")</f>
        <v>'BND'</v>
      </c>
      <c r="K4" s="363" t="str">
        <f>_xlfn.CONCAT("'",scalar_inputs[[#This Row],[hi_px_sym]],"'")</f>
        <v>'AGG'</v>
      </c>
      <c r="L4" s="443" t="str">
        <f t="shared" si="0"/>
        <v>('BND', 'AGG'),</v>
      </c>
      <c r="R4" s="362"/>
      <c r="U4" s="362"/>
      <c r="X4" s="362"/>
      <c r="AB4" s="362"/>
      <c r="AF4" s="364"/>
    </row>
    <row r="5" spans="1:33" x14ac:dyDescent="0.25">
      <c r="A5" t="s">
        <v>416</v>
      </c>
      <c r="B5" t="s">
        <v>155</v>
      </c>
      <c r="C5" s="444" t="s">
        <v>552</v>
      </c>
      <c r="D5" s="8" t="s">
        <v>449</v>
      </c>
      <c r="E5" s="8" t="s">
        <v>157</v>
      </c>
      <c r="F5" s="8" t="s">
        <v>156</v>
      </c>
      <c r="G5" s="299">
        <v>20</v>
      </c>
      <c r="H5" s="299">
        <v>0</v>
      </c>
      <c r="J5" s="363" t="str">
        <f>_xlfn.CONCAT("'",scalar_inputs[[#This Row],[lo_px_sym]],"'")</f>
        <v>'BRK B'</v>
      </c>
      <c r="K5" s="363" t="str">
        <f>_xlfn.CONCAT("'",scalar_inputs[[#This Row],[hi_px_sym]],"'")</f>
        <v>'BRK A'</v>
      </c>
      <c r="L5" s="443" t="str">
        <f t="shared" si="0"/>
        <v>('BRK B', 'BRK A'),</v>
      </c>
      <c r="R5" s="362"/>
      <c r="U5" s="362"/>
      <c r="X5" s="362"/>
      <c r="AB5" s="362"/>
      <c r="AF5" s="364"/>
    </row>
    <row r="6" spans="1:33" x14ac:dyDescent="0.25">
      <c r="A6" t="s">
        <v>416</v>
      </c>
      <c r="B6" t="s">
        <v>151</v>
      </c>
      <c r="C6" s="444" t="s">
        <v>552</v>
      </c>
      <c r="D6" s="8" t="s">
        <v>466</v>
      </c>
      <c r="E6" s="8" t="s">
        <v>141</v>
      </c>
      <c r="F6" s="8" t="s">
        <v>142</v>
      </c>
      <c r="G6" s="299">
        <v>20</v>
      </c>
      <c r="H6" s="299">
        <v>0</v>
      </c>
      <c r="J6" s="363" t="str">
        <f>_xlfn.CONCAT("'",scalar_inputs[[#This Row],[lo_px_sym]],"'")</f>
        <v>'FOX'</v>
      </c>
      <c r="K6" s="363" t="str">
        <f>_xlfn.CONCAT("'",scalar_inputs[[#This Row],[hi_px_sym]],"'")</f>
        <v>'FOXA'</v>
      </c>
      <c r="L6" s="443" t="str">
        <f t="shared" si="0"/>
        <v>('FOX', 'FOXA'),</v>
      </c>
      <c r="R6" s="362"/>
      <c r="U6" s="362"/>
      <c r="X6" s="362"/>
      <c r="AB6" s="362"/>
      <c r="AF6" s="364"/>
    </row>
    <row r="7" spans="1:33" x14ac:dyDescent="0.25">
      <c r="A7" t="s">
        <v>416</v>
      </c>
      <c r="B7" t="s">
        <v>299</v>
      </c>
      <c r="C7" s="444" t="s">
        <v>552</v>
      </c>
      <c r="D7" s="8" t="s">
        <v>471</v>
      </c>
      <c r="E7" s="8" t="s">
        <v>295</v>
      </c>
      <c r="F7" s="8" t="s">
        <v>296</v>
      </c>
      <c r="G7" s="299">
        <v>20</v>
      </c>
      <c r="H7" s="299">
        <v>0</v>
      </c>
      <c r="J7" s="363" t="str">
        <f>_xlfn.CONCAT("'",scalar_inputs[[#This Row],[lo_px_sym]],"'")</f>
        <v>'FWONA'</v>
      </c>
      <c r="K7" s="363" t="str">
        <f>_xlfn.CONCAT("'",scalar_inputs[[#This Row],[hi_px_sym]],"'")</f>
        <v>'FWONK'</v>
      </c>
      <c r="L7" s="443" t="str">
        <f t="shared" si="0"/>
        <v>('FWONA', 'FWONK'),</v>
      </c>
      <c r="R7" s="362"/>
      <c r="U7" s="362"/>
      <c r="X7" s="362"/>
      <c r="AB7" s="362"/>
      <c r="AF7" s="364"/>
    </row>
    <row r="8" spans="1:33" x14ac:dyDescent="0.25">
      <c r="A8" t="s">
        <v>416</v>
      </c>
      <c r="B8" t="s">
        <v>299</v>
      </c>
      <c r="C8" s="444" t="s">
        <v>552</v>
      </c>
      <c r="D8" s="8" t="s">
        <v>472</v>
      </c>
      <c r="E8" s="8" t="s">
        <v>297</v>
      </c>
      <c r="F8" s="8" t="s">
        <v>298</v>
      </c>
      <c r="G8" s="299">
        <v>20</v>
      </c>
      <c r="H8" s="299">
        <v>0</v>
      </c>
      <c r="J8" s="363" t="str">
        <f>_xlfn.CONCAT("'",scalar_inputs[[#This Row],[lo_px_sym]],"'")</f>
        <v>'GLIBK'</v>
      </c>
      <c r="K8" s="363" t="str">
        <f>_xlfn.CONCAT("'",scalar_inputs[[#This Row],[hi_px_sym]],"'")</f>
        <v>'GLIBA'</v>
      </c>
      <c r="L8" s="443" t="str">
        <f t="shared" si="0"/>
        <v>('GLIBK', 'GLIBA'),</v>
      </c>
      <c r="R8" s="362"/>
      <c r="U8" s="362"/>
      <c r="X8" s="362"/>
      <c r="AB8" s="362"/>
      <c r="AF8" s="364"/>
    </row>
    <row r="9" spans="1:33" x14ac:dyDescent="0.25">
      <c r="A9" t="s">
        <v>416</v>
      </c>
      <c r="B9" t="s">
        <v>150</v>
      </c>
      <c r="C9" s="444" t="s">
        <v>552</v>
      </c>
      <c r="D9" s="396" t="s">
        <v>473</v>
      </c>
      <c r="E9" s="374" t="s">
        <v>139</v>
      </c>
      <c r="F9" s="8" t="s">
        <v>140</v>
      </c>
      <c r="G9" s="299">
        <v>20</v>
      </c>
      <c r="H9" s="299">
        <v>0</v>
      </c>
      <c r="J9" s="363" t="str">
        <f>_xlfn.CONCAT("'",scalar_inputs[[#This Row],[lo_px_sym]],"'")</f>
        <v>'GOOG'</v>
      </c>
      <c r="K9" s="363" t="str">
        <f>_xlfn.CONCAT("'",scalar_inputs[[#This Row],[hi_px_sym]],"'")</f>
        <v>'GOOGL'</v>
      </c>
      <c r="L9" s="443" t="str">
        <f t="shared" si="0"/>
        <v>('GOOG', 'GOOGL'),</v>
      </c>
      <c r="R9" s="362"/>
      <c r="U9" s="362"/>
      <c r="X9" s="362"/>
      <c r="AB9" s="362"/>
      <c r="AF9" s="364"/>
    </row>
    <row r="10" spans="1:33" x14ac:dyDescent="0.25">
      <c r="A10" t="s">
        <v>416</v>
      </c>
      <c r="B10" t="s">
        <v>153</v>
      </c>
      <c r="C10" s="444" t="s">
        <v>552</v>
      </c>
      <c r="D10" s="8" t="s">
        <v>474</v>
      </c>
      <c r="E10" s="8" t="s">
        <v>154</v>
      </c>
      <c r="F10" s="8" t="s">
        <v>145</v>
      </c>
      <c r="G10" s="299">
        <v>20</v>
      </c>
      <c r="H10" s="299">
        <v>0</v>
      </c>
      <c r="J10" s="363" t="str">
        <f>_xlfn.CONCAT("'",scalar_inputs[[#This Row],[lo_px_sym]],"'")</f>
        <v>'HEI A'</v>
      </c>
      <c r="K10" s="363" t="str">
        <f>_xlfn.CONCAT("'",scalar_inputs[[#This Row],[hi_px_sym]],"'")</f>
        <v>'HEI'</v>
      </c>
      <c r="L10" s="443" t="str">
        <f t="shared" si="0"/>
        <v>('HEI A', 'HEI'),</v>
      </c>
      <c r="R10" s="362"/>
      <c r="U10" s="362"/>
      <c r="X10" s="362"/>
      <c r="AB10" s="362"/>
      <c r="AF10" s="364"/>
    </row>
    <row r="11" spans="1:33" x14ac:dyDescent="0.25">
      <c r="A11" t="s">
        <v>118</v>
      </c>
      <c r="B11" t="s">
        <v>123</v>
      </c>
      <c r="C11" s="444" t="s">
        <v>552</v>
      </c>
      <c r="D11" s="8" t="s">
        <v>475</v>
      </c>
      <c r="E11" s="8" t="s">
        <v>15</v>
      </c>
      <c r="F11" s="8" t="s">
        <v>16</v>
      </c>
      <c r="G11" s="299">
        <v>20</v>
      </c>
      <c r="H11" s="299">
        <v>0</v>
      </c>
      <c r="J11" s="363" t="str">
        <f>_xlfn.CONCAT("'",scalar_inputs[[#This Row],[lo_px_sym]],"'")</f>
        <v>'HYG'</v>
      </c>
      <c r="K11" s="363" t="str">
        <f>_xlfn.CONCAT("'",scalar_inputs[[#This Row],[hi_px_sym]],"'")</f>
        <v>'JNK'</v>
      </c>
      <c r="L11" s="443" t="str">
        <f t="shared" si="0"/>
        <v>('HYG', 'JNK'),</v>
      </c>
      <c r="R11" s="362"/>
      <c r="U11" s="362"/>
      <c r="X11" s="362"/>
      <c r="AB11" s="362"/>
      <c r="AF11" s="364"/>
    </row>
    <row r="12" spans="1:33" x14ac:dyDescent="0.25">
      <c r="A12" t="s">
        <v>118</v>
      </c>
      <c r="B12" t="s">
        <v>123</v>
      </c>
      <c r="C12" s="444" t="s">
        <v>552</v>
      </c>
      <c r="D12" s="8" t="s">
        <v>476</v>
      </c>
      <c r="E12" s="8" t="s">
        <v>13</v>
      </c>
      <c r="F12" s="8" t="s">
        <v>16</v>
      </c>
      <c r="G12" s="299">
        <v>20</v>
      </c>
      <c r="H12" s="299">
        <v>0</v>
      </c>
      <c r="J12" s="363" t="str">
        <f>_xlfn.CONCAT("'",scalar_inputs[[#This Row],[lo_px_sym]],"'")</f>
        <v>'HYLB'</v>
      </c>
      <c r="K12" s="363" t="str">
        <f>_xlfn.CONCAT("'",scalar_inputs[[#This Row],[hi_px_sym]],"'")</f>
        <v>'JNK'</v>
      </c>
      <c r="L12" s="443" t="str">
        <f t="shared" si="0"/>
        <v>('HYLB', 'JNK'),</v>
      </c>
      <c r="R12" s="362"/>
      <c r="U12" s="362"/>
      <c r="X12" s="362"/>
      <c r="AB12" s="362"/>
      <c r="AF12" s="364"/>
    </row>
    <row r="13" spans="1:33" x14ac:dyDescent="0.25">
      <c r="A13" t="s">
        <v>416</v>
      </c>
      <c r="B13" t="s">
        <v>299</v>
      </c>
      <c r="C13" s="444" t="s">
        <v>552</v>
      </c>
      <c r="D13" s="8" t="s">
        <v>482</v>
      </c>
      <c r="E13" s="8" t="s">
        <v>293</v>
      </c>
      <c r="F13" s="8" t="s">
        <v>292</v>
      </c>
      <c r="G13" s="299">
        <v>20</v>
      </c>
      <c r="H13" s="299">
        <v>0</v>
      </c>
      <c r="J13" s="363" t="str">
        <f>_xlfn.CONCAT("'",scalar_inputs[[#This Row],[lo_px_sym]],"'")</f>
        <v>'LBTYK'</v>
      </c>
      <c r="K13" s="363" t="str">
        <f>_xlfn.CONCAT("'",scalar_inputs[[#This Row],[hi_px_sym]],"'")</f>
        <v>'LBTYA'</v>
      </c>
      <c r="L13" s="443" t="str">
        <f t="shared" si="0"/>
        <v>('LBTYK', 'LBTYA'),</v>
      </c>
      <c r="N13" s="363" t="s">
        <v>7</v>
      </c>
      <c r="R13" s="362"/>
      <c r="U13" s="362"/>
      <c r="X13" s="362"/>
      <c r="AB13" s="362"/>
      <c r="AF13" s="364"/>
    </row>
    <row r="14" spans="1:33" x14ac:dyDescent="0.25">
      <c r="A14" t="s">
        <v>416</v>
      </c>
      <c r="B14" t="s">
        <v>212</v>
      </c>
      <c r="C14" s="444" t="s">
        <v>552</v>
      </c>
      <c r="D14" s="8" t="s">
        <v>483</v>
      </c>
      <c r="E14" s="8" t="s">
        <v>214</v>
      </c>
      <c r="F14" s="8" t="s">
        <v>213</v>
      </c>
      <c r="G14" s="299">
        <v>20</v>
      </c>
      <c r="H14" s="299">
        <v>0</v>
      </c>
      <c r="J14" s="363" t="str">
        <f>_xlfn.CONCAT("'",scalar_inputs[[#This Row],[lo_px_sym]],"'")</f>
        <v>'LEN B'</v>
      </c>
      <c r="K14" s="363" t="str">
        <f>_xlfn.CONCAT("'",scalar_inputs[[#This Row],[hi_px_sym]],"'")</f>
        <v>'LEN'</v>
      </c>
      <c r="L14" s="443" t="str">
        <f t="shared" si="0"/>
        <v>('LEN B', 'LEN'),</v>
      </c>
      <c r="N14" s="363" t="s">
        <v>16</v>
      </c>
      <c r="R14" s="362"/>
      <c r="U14" s="362"/>
      <c r="X14" s="362"/>
      <c r="AB14" s="362"/>
      <c r="AF14" s="364"/>
    </row>
    <row r="15" spans="1:33" x14ac:dyDescent="0.25">
      <c r="A15" t="s">
        <v>416</v>
      </c>
      <c r="B15" t="s">
        <v>299</v>
      </c>
      <c r="C15" s="444" t="s">
        <v>552</v>
      </c>
      <c r="D15" s="8" t="s">
        <v>484</v>
      </c>
      <c r="E15" s="8" t="s">
        <v>294</v>
      </c>
      <c r="F15" s="8" t="s">
        <v>300</v>
      </c>
      <c r="G15" s="299">
        <v>20</v>
      </c>
      <c r="H15" s="299">
        <v>0</v>
      </c>
      <c r="J15" s="363" t="str">
        <f>_xlfn.CONCAT("'",scalar_inputs[[#This Row],[lo_px_sym]],"'")</f>
        <v>'LILAK'</v>
      </c>
      <c r="K15" s="363" t="str">
        <f>_xlfn.CONCAT("'",scalar_inputs[[#This Row],[hi_px_sym]],"'")</f>
        <v>'LILA'</v>
      </c>
      <c r="L15" s="443" t="str">
        <f t="shared" si="0"/>
        <v>('LILAK', 'LILA'),</v>
      </c>
      <c r="N15" s="363" t="s">
        <v>23</v>
      </c>
      <c r="R15" s="362"/>
      <c r="U15" s="362"/>
      <c r="X15" s="362"/>
      <c r="AB15" s="362"/>
      <c r="AF15" s="364"/>
    </row>
    <row r="16" spans="1:33" x14ac:dyDescent="0.25">
      <c r="A16" t="s">
        <v>416</v>
      </c>
      <c r="B16" t="s">
        <v>209</v>
      </c>
      <c r="C16" s="444" t="s">
        <v>552</v>
      </c>
      <c r="D16" s="8" t="s">
        <v>485</v>
      </c>
      <c r="E16" s="8" t="s">
        <v>210</v>
      </c>
      <c r="F16" s="8" t="s">
        <v>211</v>
      </c>
      <c r="G16" s="299">
        <v>20</v>
      </c>
      <c r="H16" s="299">
        <v>0</v>
      </c>
      <c r="J16" s="363" t="str">
        <f>_xlfn.CONCAT("'",scalar_inputs[[#This Row],[lo_px_sym]],"'")</f>
        <v>'MOG A'</v>
      </c>
      <c r="K16" s="363" t="str">
        <f>_xlfn.CONCAT("'",scalar_inputs[[#This Row],[hi_px_sym]],"'")</f>
        <v>'MOG B'</v>
      </c>
      <c r="L16" s="443" t="str">
        <f t="shared" si="0"/>
        <v>('MOG A', 'MOG B'),</v>
      </c>
      <c r="R16" s="362"/>
      <c r="U16" s="362"/>
      <c r="X16" s="362"/>
      <c r="AB16" s="362"/>
      <c r="AF16" s="364"/>
    </row>
    <row r="17" spans="1:32" x14ac:dyDescent="0.25">
      <c r="A17" t="s">
        <v>416</v>
      </c>
      <c r="B17" t="s">
        <v>152</v>
      </c>
      <c r="C17" s="444" t="s">
        <v>552</v>
      </c>
      <c r="D17" s="8" t="s">
        <v>486</v>
      </c>
      <c r="E17" s="8" t="s">
        <v>144</v>
      </c>
      <c r="F17" s="8" t="s">
        <v>143</v>
      </c>
      <c r="G17" s="299">
        <v>20</v>
      </c>
      <c r="H17" s="299">
        <v>0</v>
      </c>
      <c r="J17" s="363" t="str">
        <f>_xlfn.CONCAT("'",scalar_inputs[[#This Row],[lo_px_sym]],"'")</f>
        <v>'NWSA'</v>
      </c>
      <c r="K17" s="363" t="str">
        <f>_xlfn.CONCAT("'",scalar_inputs[[#This Row],[hi_px_sym]],"'")</f>
        <v>'NWS'</v>
      </c>
      <c r="L17" s="443" t="str">
        <f t="shared" si="0"/>
        <v>('NWSA', 'NWS'),</v>
      </c>
      <c r="R17" s="362"/>
      <c r="U17" s="362"/>
      <c r="X17" s="362"/>
      <c r="AB17" s="362"/>
      <c r="AF17" s="364"/>
    </row>
    <row r="18" spans="1:32" x14ac:dyDescent="0.25">
      <c r="A18" t="s">
        <v>118</v>
      </c>
      <c r="B18" t="s">
        <v>119</v>
      </c>
      <c r="C18" s="444" t="s">
        <v>552</v>
      </c>
      <c r="D18" s="8" t="s">
        <v>492</v>
      </c>
      <c r="E18" s="8" t="s">
        <v>4</v>
      </c>
      <c r="F18" s="8" t="s">
        <v>7</v>
      </c>
      <c r="G18" s="299">
        <v>20</v>
      </c>
      <c r="H18" s="299">
        <v>0</v>
      </c>
      <c r="J18" s="363" t="str">
        <f>_xlfn.CONCAT("'",scalar_inputs[[#This Row],[lo_px_sym]],"'")</f>
        <v>'SCHZ'</v>
      </c>
      <c r="K18" s="363" t="str">
        <f>_xlfn.CONCAT("'",scalar_inputs[[#This Row],[hi_px_sym]],"'")</f>
        <v>'AGG'</v>
      </c>
      <c r="L18" s="443" t="str">
        <f t="shared" ref="L18:L47" si="1">_xlfn.CONCAT("(",J18,", ",K18,"),")</f>
        <v>('SCHZ', 'AGG'),</v>
      </c>
      <c r="R18" s="362"/>
      <c r="U18" s="362"/>
      <c r="X18" s="362"/>
      <c r="AB18" s="362"/>
      <c r="AF18" s="364"/>
    </row>
    <row r="19" spans="1:32" x14ac:dyDescent="0.25">
      <c r="A19" t="s">
        <v>118</v>
      </c>
      <c r="B19" t="s">
        <v>123</v>
      </c>
      <c r="C19" s="444" t="s">
        <v>552</v>
      </c>
      <c r="D19" s="8" t="s">
        <v>493</v>
      </c>
      <c r="E19" s="8" t="s">
        <v>12</v>
      </c>
      <c r="F19" s="8" t="s">
        <v>16</v>
      </c>
      <c r="G19" s="299">
        <v>20</v>
      </c>
      <c r="H19" s="299">
        <v>0</v>
      </c>
      <c r="J19" s="363" t="str">
        <f>_xlfn.CONCAT("'",scalar_inputs[[#This Row],[lo_px_sym]],"'")</f>
        <v>'SCYB'</v>
      </c>
      <c r="K19" s="363" t="str">
        <f>_xlfn.CONCAT("'",scalar_inputs[[#This Row],[hi_px_sym]],"'")</f>
        <v>'JNK'</v>
      </c>
      <c r="L19" s="443" t="str">
        <f t="shared" si="1"/>
        <v>('SCYB', 'JNK'),</v>
      </c>
      <c r="R19" s="362"/>
      <c r="U19" s="362"/>
      <c r="X19" s="362"/>
      <c r="AB19" s="362"/>
      <c r="AF19" s="364"/>
    </row>
    <row r="20" spans="1:32" x14ac:dyDescent="0.25">
      <c r="A20" t="s">
        <v>118</v>
      </c>
      <c r="B20" t="s">
        <v>119</v>
      </c>
      <c r="C20" s="444" t="s">
        <v>552</v>
      </c>
      <c r="D20" s="8" t="s">
        <v>495</v>
      </c>
      <c r="E20" s="8" t="s">
        <v>5</v>
      </c>
      <c r="F20" s="8" t="s">
        <v>7</v>
      </c>
      <c r="G20" s="299">
        <v>20</v>
      </c>
      <c r="H20" s="299">
        <v>0</v>
      </c>
      <c r="J20" s="363" t="str">
        <f>_xlfn.CONCAT("'",scalar_inputs[[#This Row],[lo_px_sym]],"'")</f>
        <v>'SPAB'</v>
      </c>
      <c r="K20" s="363" t="str">
        <f>_xlfn.CONCAT("'",scalar_inputs[[#This Row],[hi_px_sym]],"'")</f>
        <v>'AGG'</v>
      </c>
      <c r="L20" s="443" t="str">
        <f t="shared" si="1"/>
        <v>('SPAB', 'AGG'),</v>
      </c>
      <c r="R20" s="362"/>
      <c r="U20" s="362"/>
      <c r="X20" s="362"/>
      <c r="AB20" s="362"/>
      <c r="AF20" s="364"/>
    </row>
    <row r="21" spans="1:32" x14ac:dyDescent="0.25">
      <c r="A21" t="s">
        <v>118</v>
      </c>
      <c r="B21" t="s">
        <v>121</v>
      </c>
      <c r="C21" s="444" t="s">
        <v>552</v>
      </c>
      <c r="D21" s="8" t="s">
        <v>496</v>
      </c>
      <c r="E21" s="8" t="s">
        <v>20</v>
      </c>
      <c r="F21" s="8" t="s">
        <v>23</v>
      </c>
      <c r="G21" s="299">
        <v>20</v>
      </c>
      <c r="H21" s="299">
        <v>0</v>
      </c>
      <c r="J21" s="363" t="str">
        <f>_xlfn.CONCAT("'",scalar_inputs[[#This Row],[lo_px_sym]],"'")</f>
        <v>'SPBO'</v>
      </c>
      <c r="K21" s="363" t="str">
        <f>_xlfn.CONCAT("'",scalar_inputs[[#This Row],[hi_px_sym]],"'")</f>
        <v>'CORP'</v>
      </c>
      <c r="L21" s="443" t="str">
        <f t="shared" si="1"/>
        <v>('SPBO', 'CORP'),</v>
      </c>
      <c r="R21" s="362"/>
      <c r="U21" s="362"/>
      <c r="X21" s="362"/>
      <c r="AB21" s="362"/>
      <c r="AF21" s="364"/>
    </row>
    <row r="22" spans="1:32" x14ac:dyDescent="0.25">
      <c r="A22" t="s">
        <v>118</v>
      </c>
      <c r="B22" t="s">
        <v>123</v>
      </c>
      <c r="C22" s="444" t="s">
        <v>552</v>
      </c>
      <c r="D22" s="8" t="s">
        <v>497</v>
      </c>
      <c r="E22" s="8" t="s">
        <v>11</v>
      </c>
      <c r="F22" s="8" t="s">
        <v>16</v>
      </c>
      <c r="G22" s="299">
        <v>20</v>
      </c>
      <c r="H22" s="299">
        <v>0</v>
      </c>
      <c r="J22" s="363" t="str">
        <f>_xlfn.CONCAT("'",scalar_inputs[[#This Row],[lo_px_sym]],"'")</f>
        <v>'SPHY'</v>
      </c>
      <c r="K22" s="363" t="str">
        <f>_xlfn.CONCAT("'",scalar_inputs[[#This Row],[hi_px_sym]],"'")</f>
        <v>'JNK'</v>
      </c>
      <c r="L22" s="443" t="str">
        <f t="shared" si="1"/>
        <v>('SPHY', 'JNK'),</v>
      </c>
      <c r="R22" s="362"/>
      <c r="U22" s="362"/>
      <c r="X22" s="362"/>
      <c r="AB22" s="362"/>
      <c r="AF22" s="364"/>
    </row>
    <row r="23" spans="1:32" x14ac:dyDescent="0.25">
      <c r="A23" t="s">
        <v>416</v>
      </c>
      <c r="B23" t="s">
        <v>205</v>
      </c>
      <c r="C23" s="444" t="s">
        <v>552</v>
      </c>
      <c r="D23" s="8" t="s">
        <v>500</v>
      </c>
      <c r="E23" s="8" t="s">
        <v>203</v>
      </c>
      <c r="F23" s="8" t="s">
        <v>204</v>
      </c>
      <c r="G23" s="299">
        <v>20</v>
      </c>
      <c r="H23" s="299">
        <v>0</v>
      </c>
      <c r="J23" s="363" t="str">
        <f>_xlfn.CONCAT("'",scalar_inputs[[#This Row],[lo_px_sym]],"'")</f>
        <v>'UA'</v>
      </c>
      <c r="K23" s="363" t="str">
        <f>_xlfn.CONCAT("'",scalar_inputs[[#This Row],[hi_px_sym]],"'")</f>
        <v>'UAA'</v>
      </c>
      <c r="L23" s="443" t="str">
        <f t="shared" si="1"/>
        <v>('UA', 'UAA'),</v>
      </c>
      <c r="R23" s="362"/>
      <c r="U23" s="362"/>
      <c r="X23" s="362"/>
      <c r="AB23" s="362"/>
      <c r="AF23" s="364"/>
    </row>
    <row r="24" spans="1:32" x14ac:dyDescent="0.25">
      <c r="A24" t="s">
        <v>118</v>
      </c>
      <c r="B24" t="s">
        <v>123</v>
      </c>
      <c r="C24" s="444" t="s">
        <v>552</v>
      </c>
      <c r="D24" s="8" t="s">
        <v>501</v>
      </c>
      <c r="E24" s="8" t="s">
        <v>14</v>
      </c>
      <c r="F24" s="8" t="s">
        <v>16</v>
      </c>
      <c r="G24" s="299">
        <v>20</v>
      </c>
      <c r="H24" s="299">
        <v>0</v>
      </c>
      <c r="J24" s="363" t="str">
        <f>_xlfn.CONCAT("'",scalar_inputs[[#This Row],[lo_px_sym]],"'")</f>
        <v>'USHY'</v>
      </c>
      <c r="K24" s="363" t="str">
        <f>_xlfn.CONCAT("'",scalar_inputs[[#This Row],[hi_px_sym]],"'")</f>
        <v>'JNK'</v>
      </c>
      <c r="L24" s="443" t="str">
        <f t="shared" si="1"/>
        <v>('USHY', 'JNK'),</v>
      </c>
      <c r="R24" s="362"/>
      <c r="U24" s="362"/>
      <c r="X24" s="362"/>
      <c r="AB24" s="362"/>
      <c r="AF24" s="364"/>
    </row>
    <row r="25" spans="1:32" x14ac:dyDescent="0.25">
      <c r="A25" t="s">
        <v>118</v>
      </c>
      <c r="B25" t="s">
        <v>121</v>
      </c>
      <c r="C25" s="444" t="s">
        <v>552</v>
      </c>
      <c r="D25" s="8" t="s">
        <v>502</v>
      </c>
      <c r="E25" s="8" t="s">
        <v>21</v>
      </c>
      <c r="F25" s="8" t="s">
        <v>23</v>
      </c>
      <c r="G25" s="299">
        <v>20</v>
      </c>
      <c r="H25" s="299">
        <v>0</v>
      </c>
      <c r="J25" s="363" t="str">
        <f>_xlfn.CONCAT("'",scalar_inputs[[#This Row],[lo_px_sym]],"'")</f>
        <v>'USIG'</v>
      </c>
      <c r="K25" s="363" t="str">
        <f>_xlfn.CONCAT("'",scalar_inputs[[#This Row],[hi_px_sym]],"'")</f>
        <v>'CORP'</v>
      </c>
      <c r="L25" s="443" t="str">
        <f t="shared" si="1"/>
        <v>('USIG', 'CORP'),</v>
      </c>
      <c r="R25" s="362"/>
      <c r="U25" s="362"/>
      <c r="X25" s="362"/>
      <c r="AB25" s="362"/>
      <c r="AF25" s="364"/>
    </row>
    <row r="26" spans="1:32" x14ac:dyDescent="0.25">
      <c r="A26" t="s">
        <v>118</v>
      </c>
      <c r="B26" t="s">
        <v>121</v>
      </c>
      <c r="C26" s="444" t="s">
        <v>552</v>
      </c>
      <c r="D26" s="8" t="s">
        <v>504</v>
      </c>
      <c r="E26" s="8" t="s">
        <v>22</v>
      </c>
      <c r="F26" s="8" t="s">
        <v>23</v>
      </c>
      <c r="G26" s="299">
        <v>20</v>
      </c>
      <c r="H26" s="299">
        <v>0</v>
      </c>
      <c r="J26" s="363" t="str">
        <f>_xlfn.CONCAT("'",scalar_inputs[[#This Row],[lo_px_sym]],"'")</f>
        <v>'VTC'</v>
      </c>
      <c r="K26" s="363" t="str">
        <f>_xlfn.CONCAT("'",scalar_inputs[[#This Row],[hi_px_sym]],"'")</f>
        <v>'CORP'</v>
      </c>
      <c r="L26" s="443" t="str">
        <f t="shared" si="1"/>
        <v>('VTC', 'CORP'),</v>
      </c>
      <c r="R26" s="362"/>
      <c r="U26" s="362"/>
      <c r="X26" s="362"/>
      <c r="AB26" s="362"/>
      <c r="AF26" s="364"/>
    </row>
    <row r="27" spans="1:32" x14ac:dyDescent="0.25">
      <c r="A27" t="s">
        <v>416</v>
      </c>
      <c r="B27" t="s">
        <v>220</v>
      </c>
      <c r="C27" s="444" t="s">
        <v>552</v>
      </c>
      <c r="D27" s="8" t="s">
        <v>544</v>
      </c>
      <c r="E27" s="8" t="s">
        <v>218</v>
      </c>
      <c r="F27" s="8" t="s">
        <v>219</v>
      </c>
      <c r="G27" s="299">
        <v>20</v>
      </c>
      <c r="H27" s="299">
        <v>0</v>
      </c>
      <c r="J27" s="363" t="str">
        <f>_xlfn.CONCAT("'",scalar_inputs[[#This Row],[lo_px_sym]],"'")</f>
        <v>'Z'</v>
      </c>
      <c r="K27" s="363" t="str">
        <f>_xlfn.CONCAT("'",scalar_inputs[[#This Row],[hi_px_sym]],"'")</f>
        <v>'ZG'</v>
      </c>
      <c r="L27" s="443" t="str">
        <f t="shared" si="1"/>
        <v>('Z', 'ZG'),</v>
      </c>
      <c r="R27" s="362"/>
      <c r="U27" s="362"/>
      <c r="X27" s="362"/>
      <c r="AB27" s="362"/>
      <c r="AF27" s="364"/>
    </row>
    <row r="28" spans="1:32" x14ac:dyDescent="0.25">
      <c r="A28" t="s">
        <v>105</v>
      </c>
      <c r="B28" t="s">
        <v>112</v>
      </c>
      <c r="C28" s="444" t="s">
        <v>552</v>
      </c>
      <c r="D28" s="8" t="s">
        <v>456</v>
      </c>
      <c r="E28" s="8" t="s">
        <v>146</v>
      </c>
      <c r="F28" s="8" t="s">
        <v>149</v>
      </c>
      <c r="G28" s="299">
        <v>20</v>
      </c>
      <c r="H28" s="299">
        <v>1</v>
      </c>
      <c r="J28" s="363" t="str">
        <f>_xlfn.CONCAT("'",scalar_inputs[[#This Row],[lo_px_sym]],"'")</f>
        <v>'FDIS'</v>
      </c>
      <c r="K28" s="363" t="str">
        <f>_xlfn.CONCAT("'",scalar_inputs[[#This Row],[hi_px_sym]],"'")</f>
        <v>'VCR'</v>
      </c>
      <c r="L28" s="443" t="str">
        <f t="shared" si="1"/>
        <v>('FDIS', 'VCR'),</v>
      </c>
      <c r="R28" s="362"/>
      <c r="U28" s="362"/>
      <c r="X28" s="362"/>
      <c r="AB28" s="362"/>
      <c r="AF28" s="364"/>
    </row>
    <row r="29" spans="1:32" x14ac:dyDescent="0.25">
      <c r="A29" t="s">
        <v>105</v>
      </c>
      <c r="B29" t="s">
        <v>109</v>
      </c>
      <c r="C29" s="444" t="s">
        <v>552</v>
      </c>
      <c r="D29" s="8" t="s">
        <v>457</v>
      </c>
      <c r="E29" s="374" t="s">
        <v>80</v>
      </c>
      <c r="F29" s="8" t="s">
        <v>82</v>
      </c>
      <c r="G29" s="299">
        <v>20</v>
      </c>
      <c r="H29" s="299">
        <v>1</v>
      </c>
      <c r="J29" s="363" t="str">
        <f>_xlfn.CONCAT("'",scalar_inputs[[#This Row],[lo_px_sym]],"'")</f>
        <v>'FENY'</v>
      </c>
      <c r="K29" s="363" t="str">
        <f>_xlfn.CONCAT("'",scalar_inputs[[#This Row],[hi_px_sym]],"'")</f>
        <v>'VDE'</v>
      </c>
      <c r="L29" s="443" t="str">
        <f t="shared" si="1"/>
        <v>('FENY', 'VDE'),</v>
      </c>
      <c r="R29" s="362"/>
      <c r="U29" s="362"/>
      <c r="X29" s="362"/>
      <c r="AB29" s="362"/>
      <c r="AF29" s="364"/>
    </row>
    <row r="30" spans="1:32" x14ac:dyDescent="0.25">
      <c r="A30" t="s">
        <v>105</v>
      </c>
      <c r="B30" t="s">
        <v>110</v>
      </c>
      <c r="C30" s="444" t="s">
        <v>552</v>
      </c>
      <c r="D30" s="8" t="s">
        <v>458</v>
      </c>
      <c r="E30" s="374" t="s">
        <v>87</v>
      </c>
      <c r="F30" s="8" t="s">
        <v>89</v>
      </c>
      <c r="G30" s="299">
        <v>20</v>
      </c>
      <c r="H30" s="299">
        <v>1</v>
      </c>
      <c r="J30" s="363" t="str">
        <f>_xlfn.CONCAT("'",scalar_inputs[[#This Row],[lo_px_sym]],"'")</f>
        <v>'FHLC'</v>
      </c>
      <c r="K30" s="363" t="str">
        <f>_xlfn.CONCAT("'",scalar_inputs[[#This Row],[hi_px_sym]],"'")</f>
        <v>'VHT'</v>
      </c>
      <c r="L30" s="443" t="str">
        <f t="shared" si="1"/>
        <v>('FHLC', 'VHT'),</v>
      </c>
      <c r="R30" s="362"/>
      <c r="U30" s="362"/>
      <c r="X30" s="362"/>
      <c r="AB30" s="362"/>
      <c r="AF30" s="364"/>
    </row>
    <row r="31" spans="1:32" x14ac:dyDescent="0.25">
      <c r="A31" t="s">
        <v>105</v>
      </c>
      <c r="B31" t="s">
        <v>131</v>
      </c>
      <c r="C31" s="444" t="s">
        <v>552</v>
      </c>
      <c r="D31" s="396" t="s">
        <v>459</v>
      </c>
      <c r="E31" s="374" t="s">
        <v>91</v>
      </c>
      <c r="F31" s="8" t="s">
        <v>114</v>
      </c>
      <c r="G31" s="299">
        <v>20</v>
      </c>
      <c r="H31" s="299">
        <v>1</v>
      </c>
      <c r="J31" s="363" t="str">
        <f>_xlfn.CONCAT("'",scalar_inputs[[#This Row],[lo_px_sym]],"'")</f>
        <v>'FIDU'</v>
      </c>
      <c r="K31" s="363" t="str">
        <f>_xlfn.CONCAT("'",scalar_inputs[[#This Row],[hi_px_sym]],"'")</f>
        <v>'VIS'</v>
      </c>
      <c r="L31" s="443" t="str">
        <f t="shared" si="1"/>
        <v>('FIDU', 'VIS'),</v>
      </c>
      <c r="R31" s="362"/>
      <c r="U31" s="362"/>
      <c r="X31" s="362"/>
      <c r="AB31" s="362"/>
      <c r="AF31" s="364"/>
    </row>
    <row r="32" spans="1:32" x14ac:dyDescent="0.25">
      <c r="A32" t="s">
        <v>105</v>
      </c>
      <c r="B32" t="s">
        <v>111</v>
      </c>
      <c r="C32" s="444" t="s">
        <v>552</v>
      </c>
      <c r="D32" s="396" t="s">
        <v>465</v>
      </c>
      <c r="E32" s="374" t="s">
        <v>113</v>
      </c>
      <c r="F32" s="8" t="s">
        <v>85</v>
      </c>
      <c r="G32" s="299">
        <v>20</v>
      </c>
      <c r="H32" s="299">
        <v>1</v>
      </c>
      <c r="J32" s="363" t="str">
        <f>_xlfn.CONCAT("'",scalar_inputs[[#This Row],[lo_px_sym]],"'")</f>
        <v>'FNCL'</v>
      </c>
      <c r="K32" s="363" t="str">
        <f>_xlfn.CONCAT("'",scalar_inputs[[#This Row],[hi_px_sym]],"'")</f>
        <v>'VFH'</v>
      </c>
      <c r="L32" s="443" t="str">
        <f t="shared" si="1"/>
        <v>('FNCL', 'VFH'),</v>
      </c>
      <c r="R32" s="362"/>
      <c r="U32" s="362"/>
      <c r="X32" s="362"/>
      <c r="AB32" s="362"/>
      <c r="AF32" s="364"/>
    </row>
    <row r="33" spans="1:32" x14ac:dyDescent="0.25">
      <c r="A33" t="s">
        <v>105</v>
      </c>
      <c r="B33" t="s">
        <v>108</v>
      </c>
      <c r="C33" s="444" t="s">
        <v>552</v>
      </c>
      <c r="D33" s="8" t="s">
        <v>467</v>
      </c>
      <c r="E33" s="374" t="s">
        <v>93</v>
      </c>
      <c r="F33" s="8" t="s">
        <v>95</v>
      </c>
      <c r="G33" s="299">
        <v>20</v>
      </c>
      <c r="H33" s="299">
        <v>1</v>
      </c>
      <c r="J33" s="363" t="str">
        <f>_xlfn.CONCAT("'",scalar_inputs[[#This Row],[lo_px_sym]],"'")</f>
        <v>'FREL'</v>
      </c>
      <c r="K33" s="363" t="str">
        <f>_xlfn.CONCAT("'",scalar_inputs[[#This Row],[hi_px_sym]],"'")</f>
        <v>'VNQ'</v>
      </c>
      <c r="L33" s="443" t="str">
        <f t="shared" si="1"/>
        <v>('FREL', 'VNQ'),</v>
      </c>
      <c r="R33" s="362"/>
      <c r="U33" s="362"/>
      <c r="X33" s="362"/>
      <c r="AB33" s="362"/>
      <c r="AF33" s="364"/>
    </row>
    <row r="34" spans="1:32" x14ac:dyDescent="0.25">
      <c r="A34" t="s">
        <v>105</v>
      </c>
      <c r="B34" t="s">
        <v>106</v>
      </c>
      <c r="C34" s="444" t="s">
        <v>552</v>
      </c>
      <c r="D34" s="8" t="s">
        <v>468</v>
      </c>
      <c r="E34" s="374" t="s">
        <v>77</v>
      </c>
      <c r="F34" s="8" t="s">
        <v>78</v>
      </c>
      <c r="G34" s="299">
        <v>20</v>
      </c>
      <c r="H34" s="299">
        <v>1</v>
      </c>
      <c r="J34" s="363" t="str">
        <f>_xlfn.CONCAT("'",scalar_inputs[[#This Row],[lo_px_sym]],"'")</f>
        <v>'FSTA'</v>
      </c>
      <c r="K34" s="363" t="str">
        <f>_xlfn.CONCAT("'",scalar_inputs[[#This Row],[hi_px_sym]],"'")</f>
        <v>'VDC'</v>
      </c>
      <c r="L34" s="443" t="str">
        <f t="shared" si="1"/>
        <v>('FSTA', 'VDC'),</v>
      </c>
      <c r="R34" s="362"/>
      <c r="U34" s="362"/>
      <c r="X34" s="362"/>
      <c r="AB34" s="362"/>
      <c r="AF34" s="364"/>
    </row>
    <row r="35" spans="1:32" x14ac:dyDescent="0.25">
      <c r="A35" t="s">
        <v>105</v>
      </c>
      <c r="B35" t="s">
        <v>107</v>
      </c>
      <c r="C35" s="444" t="s">
        <v>552</v>
      </c>
      <c r="D35" s="8" t="s">
        <v>470</v>
      </c>
      <c r="E35" s="374" t="s">
        <v>101</v>
      </c>
      <c r="F35" s="8" t="s">
        <v>103</v>
      </c>
      <c r="G35" s="299">
        <v>20</v>
      </c>
      <c r="H35" s="299">
        <v>1</v>
      </c>
      <c r="J35" s="363" t="str">
        <f>_xlfn.CONCAT("'",scalar_inputs[[#This Row],[lo_px_sym]],"'")</f>
        <v>'FUTY'</v>
      </c>
      <c r="K35" s="363" t="str">
        <f>_xlfn.CONCAT("'",scalar_inputs[[#This Row],[hi_px_sym]],"'")</f>
        <v>'VPU'</v>
      </c>
      <c r="L35" s="443" t="str">
        <f t="shared" si="1"/>
        <v>('FUTY', 'VPU'),</v>
      </c>
      <c r="R35" s="362"/>
      <c r="U35" s="362"/>
      <c r="X35" s="386"/>
      <c r="Y35" s="386"/>
      <c r="Z35" s="387"/>
      <c r="AA35" s="386"/>
      <c r="AB35" s="362"/>
      <c r="AD35" s="387"/>
      <c r="AF35" s="364"/>
    </row>
    <row r="36" spans="1:32" x14ac:dyDescent="0.25">
      <c r="A36" t="s">
        <v>105</v>
      </c>
      <c r="B36" t="s">
        <v>112</v>
      </c>
      <c r="C36" s="444" t="s">
        <v>552</v>
      </c>
      <c r="D36" s="8" t="s">
        <v>478</v>
      </c>
      <c r="E36" s="374" t="s">
        <v>147</v>
      </c>
      <c r="F36" s="8" t="s">
        <v>148</v>
      </c>
      <c r="G36" s="299">
        <v>20</v>
      </c>
      <c r="H36" s="299">
        <v>1</v>
      </c>
      <c r="J36" s="363" t="str">
        <f>_xlfn.CONCAT("'",scalar_inputs[[#This Row],[lo_px_sym]],"'")</f>
        <v>'IYC'</v>
      </c>
      <c r="K36" s="363" t="str">
        <f>_xlfn.CONCAT("'",scalar_inputs[[#This Row],[hi_px_sym]],"'")</f>
        <v>'XLY'</v>
      </c>
      <c r="L36" s="443" t="str">
        <f t="shared" si="1"/>
        <v>('IYC', 'XLY'),</v>
      </c>
      <c r="R36" s="362"/>
      <c r="U36" s="362"/>
      <c r="X36" s="362"/>
      <c r="AB36" s="362"/>
      <c r="AF36" s="364"/>
    </row>
    <row r="37" spans="1:32" x14ac:dyDescent="0.25">
      <c r="A37" t="s">
        <v>105</v>
      </c>
      <c r="B37" t="s">
        <v>110</v>
      </c>
      <c r="C37" s="444" t="s">
        <v>552</v>
      </c>
      <c r="D37" s="8" t="s">
        <v>479</v>
      </c>
      <c r="E37" s="374" t="s">
        <v>88</v>
      </c>
      <c r="F37" s="8" t="s">
        <v>90</v>
      </c>
      <c r="G37" s="299">
        <v>20</v>
      </c>
      <c r="H37" s="299">
        <v>1</v>
      </c>
      <c r="J37" s="363" t="str">
        <f>_xlfn.CONCAT("'",scalar_inputs[[#This Row],[lo_px_sym]],"'")</f>
        <v>'IYH'</v>
      </c>
      <c r="K37" s="363" t="str">
        <f>_xlfn.CONCAT("'",scalar_inputs[[#This Row],[hi_px_sym]],"'")</f>
        <v>'XLV'</v>
      </c>
      <c r="L37" s="443" t="str">
        <f t="shared" si="1"/>
        <v>('IYH', 'XLV'),</v>
      </c>
      <c r="R37" s="362"/>
      <c r="U37" s="362"/>
      <c r="X37" s="362"/>
      <c r="AB37" s="362"/>
      <c r="AF37" s="364"/>
    </row>
    <row r="38" spans="1:32" x14ac:dyDescent="0.25">
      <c r="A38" t="s">
        <v>105</v>
      </c>
      <c r="B38" t="s">
        <v>131</v>
      </c>
      <c r="C38" s="444" t="s">
        <v>552</v>
      </c>
      <c r="D38" s="8" t="s">
        <v>480</v>
      </c>
      <c r="E38" s="374" t="s">
        <v>115</v>
      </c>
      <c r="F38" s="8" t="s">
        <v>92</v>
      </c>
      <c r="G38" s="299">
        <v>20</v>
      </c>
      <c r="H38" s="299">
        <v>1</v>
      </c>
      <c r="J38" s="363" t="str">
        <f>_xlfn.CONCAT("'",scalar_inputs[[#This Row],[lo_px_sym]],"'")</f>
        <v>'IYJ'</v>
      </c>
      <c r="K38" s="363" t="str">
        <f>_xlfn.CONCAT("'",scalar_inputs[[#This Row],[hi_px_sym]],"'")</f>
        <v>'XLI'</v>
      </c>
      <c r="L38" s="443" t="str">
        <f t="shared" si="1"/>
        <v>('IYJ', 'XLI'),</v>
      </c>
      <c r="R38" s="362"/>
      <c r="U38" s="362"/>
      <c r="X38" s="362"/>
      <c r="AB38" s="362"/>
      <c r="AF38" s="364"/>
    </row>
    <row r="39" spans="1:32" x14ac:dyDescent="0.25">
      <c r="A39" t="s">
        <v>105</v>
      </c>
      <c r="B39" t="s">
        <v>106</v>
      </c>
      <c r="C39" s="444" t="s">
        <v>552</v>
      </c>
      <c r="D39" s="8" t="s">
        <v>481</v>
      </c>
      <c r="E39" s="374" t="s">
        <v>116</v>
      </c>
      <c r="F39" s="8" t="s">
        <v>79</v>
      </c>
      <c r="G39" s="299">
        <v>20</v>
      </c>
      <c r="H39" s="299">
        <v>1</v>
      </c>
      <c r="J39" s="363" t="str">
        <f>_xlfn.CONCAT("'",scalar_inputs[[#This Row],[lo_px_sym]],"'")</f>
        <v>'IYK'</v>
      </c>
      <c r="K39" s="363" t="str">
        <f>_xlfn.CONCAT("'",scalar_inputs[[#This Row],[hi_px_sym]],"'")</f>
        <v>'XLP'</v>
      </c>
      <c r="L39" s="443" t="str">
        <f t="shared" si="1"/>
        <v>('IYK', 'XLP'),</v>
      </c>
      <c r="R39" s="362"/>
      <c r="U39" s="362"/>
      <c r="X39" s="362"/>
      <c r="AB39" s="362"/>
      <c r="AF39" s="364"/>
    </row>
    <row r="40" spans="1:32" x14ac:dyDescent="0.25">
      <c r="A40" t="s">
        <v>330</v>
      </c>
      <c r="B40" t="s">
        <v>108</v>
      </c>
      <c r="C40" s="444" t="s">
        <v>552</v>
      </c>
      <c r="D40" s="8" t="s">
        <v>491</v>
      </c>
      <c r="E40" s="374" t="s">
        <v>45</v>
      </c>
      <c r="F40" s="8" t="s">
        <v>46</v>
      </c>
      <c r="G40" s="299">
        <v>20</v>
      </c>
      <c r="H40" s="299">
        <v>1</v>
      </c>
      <c r="J40" s="363" t="str">
        <f>_xlfn.CONCAT("'",scalar_inputs[[#This Row],[lo_px_sym]],"'")</f>
        <v>'SCHH'</v>
      </c>
      <c r="K40" s="363" t="str">
        <f>_xlfn.CONCAT("'",scalar_inputs[[#This Row],[hi_px_sym]],"'")</f>
        <v>'USRT'</v>
      </c>
      <c r="L40" s="443" t="str">
        <f t="shared" si="1"/>
        <v>('SCHH', 'USRT'),</v>
      </c>
      <c r="R40" s="362"/>
      <c r="U40" s="362"/>
      <c r="X40" s="362"/>
      <c r="AB40" s="362"/>
      <c r="AF40" s="364"/>
    </row>
    <row r="41" spans="1:32" x14ac:dyDescent="0.25">
      <c r="A41" t="s">
        <v>330</v>
      </c>
      <c r="B41" t="s">
        <v>181</v>
      </c>
      <c r="C41" s="444" t="s">
        <v>552</v>
      </c>
      <c r="D41" s="8" t="s">
        <v>494</v>
      </c>
      <c r="E41" s="374" t="s">
        <v>159</v>
      </c>
      <c r="F41" s="8" t="s">
        <v>158</v>
      </c>
      <c r="G41" s="299">
        <v>20</v>
      </c>
      <c r="H41" s="299">
        <v>1</v>
      </c>
      <c r="J41" s="363" t="str">
        <f>_xlfn.CONCAT("'",scalar_inputs[[#This Row],[lo_px_sym]],"'")</f>
        <v>'SOXX'</v>
      </c>
      <c r="K41" s="363" t="str">
        <f>_xlfn.CONCAT("'",scalar_inputs[[#This Row],[hi_px_sym]],"'")</f>
        <v>'SMH'</v>
      </c>
      <c r="L41" s="443" t="str">
        <f t="shared" si="1"/>
        <v>('SOXX', 'SMH'),</v>
      </c>
      <c r="R41" s="362"/>
      <c r="U41" s="362"/>
      <c r="X41" s="362"/>
      <c r="AB41" s="362"/>
      <c r="AF41" s="364"/>
    </row>
    <row r="42" spans="1:32" x14ac:dyDescent="0.25">
      <c r="A42" t="s">
        <v>105</v>
      </c>
      <c r="B42" t="s">
        <v>128</v>
      </c>
      <c r="C42" s="444" t="s">
        <v>552</v>
      </c>
      <c r="D42" s="8" t="s">
        <v>503</v>
      </c>
      <c r="E42" s="374" t="s">
        <v>99</v>
      </c>
      <c r="F42" s="8" t="s">
        <v>97</v>
      </c>
      <c r="G42" s="299">
        <v>20</v>
      </c>
      <c r="H42" s="299">
        <v>1</v>
      </c>
      <c r="J42" s="363" t="str">
        <f>_xlfn.CONCAT("'",scalar_inputs[[#This Row],[lo_px_sym]],"'")</f>
        <v>'VGT'</v>
      </c>
      <c r="K42" s="363" t="str">
        <f>_xlfn.CONCAT("'",scalar_inputs[[#This Row],[hi_px_sym]],"'")</f>
        <v>'FTEC'</v>
      </c>
      <c r="L42" s="443" t="str">
        <f t="shared" si="1"/>
        <v>('VGT', 'FTEC'),</v>
      </c>
      <c r="R42" s="362"/>
      <c r="U42" s="362"/>
      <c r="X42" s="362"/>
      <c r="AB42" s="362"/>
      <c r="AF42" s="364"/>
    </row>
    <row r="43" spans="1:32" x14ac:dyDescent="0.25">
      <c r="A43" t="s">
        <v>105</v>
      </c>
      <c r="B43" t="s">
        <v>109</v>
      </c>
      <c r="C43" s="444" t="s">
        <v>552</v>
      </c>
      <c r="D43" s="8" t="s">
        <v>539</v>
      </c>
      <c r="E43" s="374" t="s">
        <v>83</v>
      </c>
      <c r="F43" s="8" t="s">
        <v>81</v>
      </c>
      <c r="G43" s="299">
        <v>20</v>
      </c>
      <c r="H43" s="299">
        <v>1</v>
      </c>
      <c r="J43" s="363" t="str">
        <f>_xlfn.CONCAT("'",scalar_inputs[[#This Row],[lo_px_sym]],"'")</f>
        <v>'XLE'</v>
      </c>
      <c r="K43" s="363" t="str">
        <f>_xlfn.CONCAT("'",scalar_inputs[[#This Row],[hi_px_sym]],"'")</f>
        <v>'IYE'</v>
      </c>
      <c r="L43" s="443" t="str">
        <f t="shared" si="1"/>
        <v>('XLE', 'IYE'),</v>
      </c>
      <c r="R43" s="362"/>
      <c r="U43" s="362"/>
      <c r="X43" s="362"/>
      <c r="AB43" s="362"/>
      <c r="AF43" s="364"/>
    </row>
    <row r="44" spans="1:32" x14ac:dyDescent="0.25">
      <c r="A44" t="s">
        <v>105</v>
      </c>
      <c r="B44" t="s">
        <v>111</v>
      </c>
      <c r="C44" s="444" t="s">
        <v>552</v>
      </c>
      <c r="D44" s="8" t="s">
        <v>540</v>
      </c>
      <c r="E44" s="374" t="s">
        <v>86</v>
      </c>
      <c r="F44" s="8" t="s">
        <v>84</v>
      </c>
      <c r="G44" s="299">
        <v>20</v>
      </c>
      <c r="H44" s="299">
        <v>1</v>
      </c>
      <c r="J44" s="363" t="str">
        <f>_xlfn.CONCAT("'",scalar_inputs[[#This Row],[lo_px_sym]],"'")</f>
        <v>'XLF'</v>
      </c>
      <c r="K44" s="363" t="str">
        <f>_xlfn.CONCAT("'",scalar_inputs[[#This Row],[hi_px_sym]],"'")</f>
        <v>'IYF'</v>
      </c>
      <c r="L44" s="443" t="str">
        <f t="shared" si="1"/>
        <v>('XLF', 'IYF'),</v>
      </c>
      <c r="R44" s="362"/>
      <c r="U44" s="362"/>
      <c r="X44" s="362"/>
      <c r="AB44" s="362"/>
      <c r="AF44" s="364"/>
    </row>
    <row r="45" spans="1:32" x14ac:dyDescent="0.25">
      <c r="A45" t="s">
        <v>105</v>
      </c>
      <c r="B45" t="s">
        <v>128</v>
      </c>
      <c r="C45" s="444" t="s">
        <v>552</v>
      </c>
      <c r="D45" s="8" t="s">
        <v>541</v>
      </c>
      <c r="E45" s="374" t="s">
        <v>100</v>
      </c>
      <c r="F45" s="8" t="s">
        <v>98</v>
      </c>
      <c r="G45" s="299">
        <v>20</v>
      </c>
      <c r="H45" s="299">
        <v>1</v>
      </c>
      <c r="J45" s="363" t="str">
        <f>_xlfn.CONCAT("'",scalar_inputs[[#This Row],[lo_px_sym]],"'")</f>
        <v>'XLK'</v>
      </c>
      <c r="K45" s="363" t="str">
        <f>_xlfn.CONCAT("'",scalar_inputs[[#This Row],[hi_px_sym]],"'")</f>
        <v>'IYW'</v>
      </c>
      <c r="L45" s="443" t="str">
        <f t="shared" si="1"/>
        <v>('XLK', 'IYW'),</v>
      </c>
      <c r="R45" s="362"/>
      <c r="U45" s="362"/>
      <c r="X45" s="362"/>
      <c r="AB45" s="362"/>
      <c r="AF45" s="364"/>
    </row>
    <row r="46" spans="1:32" x14ac:dyDescent="0.25">
      <c r="A46" t="s">
        <v>105</v>
      </c>
      <c r="B46" t="s">
        <v>108</v>
      </c>
      <c r="C46" s="444" t="s">
        <v>552</v>
      </c>
      <c r="D46" s="8" t="s">
        <v>542</v>
      </c>
      <c r="E46" s="374" t="s">
        <v>96</v>
      </c>
      <c r="F46" s="8" t="s">
        <v>94</v>
      </c>
      <c r="G46" s="299">
        <v>20</v>
      </c>
      <c r="H46" s="299">
        <v>1</v>
      </c>
      <c r="J46" s="363" t="str">
        <f>_xlfn.CONCAT("'",scalar_inputs[[#This Row],[lo_px_sym]],"'")</f>
        <v>'XLRE'</v>
      </c>
      <c r="K46" s="363" t="str">
        <f>_xlfn.CONCAT("'",scalar_inputs[[#This Row],[hi_px_sym]],"'")</f>
        <v>'IYR'</v>
      </c>
      <c r="L46" s="443" t="str">
        <f t="shared" si="1"/>
        <v>('XLRE', 'IYR'),</v>
      </c>
      <c r="R46" s="362"/>
      <c r="U46" s="362"/>
      <c r="X46" s="362"/>
      <c r="AB46" s="362"/>
      <c r="AF46" s="364"/>
    </row>
    <row r="47" spans="1:32" x14ac:dyDescent="0.25">
      <c r="A47" t="s">
        <v>105</v>
      </c>
      <c r="B47" t="s">
        <v>107</v>
      </c>
      <c r="C47" s="444" t="s">
        <v>552</v>
      </c>
      <c r="D47" s="8" t="s">
        <v>543</v>
      </c>
      <c r="E47" s="374" t="s">
        <v>104</v>
      </c>
      <c r="F47" s="8" t="s">
        <v>102</v>
      </c>
      <c r="G47" s="299">
        <v>20</v>
      </c>
      <c r="H47" s="299">
        <v>1</v>
      </c>
      <c r="J47" s="363" t="str">
        <f>_xlfn.CONCAT("'",scalar_inputs[[#This Row],[lo_px_sym]],"'")</f>
        <v>'XLU'</v>
      </c>
      <c r="K47" s="363" t="str">
        <f>_xlfn.CONCAT("'",scalar_inputs[[#This Row],[hi_px_sym]],"'")</f>
        <v>'IDU'</v>
      </c>
      <c r="L47" s="443" t="str">
        <f t="shared" si="1"/>
        <v>('XLU', 'IDU'),</v>
      </c>
      <c r="R47" s="362"/>
      <c r="U47" s="362"/>
      <c r="X47" s="362"/>
      <c r="AB47" s="362"/>
      <c r="AF47" s="364"/>
    </row>
    <row r="48" spans="1:32" x14ac:dyDescent="0.25">
      <c r="A48" t="s">
        <v>312</v>
      </c>
      <c r="B48" t="s">
        <v>121</v>
      </c>
      <c r="C48" s="444">
        <v>2026</v>
      </c>
      <c r="D48" s="8" t="s">
        <v>505</v>
      </c>
      <c r="E48" s="8" t="s">
        <v>184</v>
      </c>
      <c r="F48" s="8" t="s">
        <v>183</v>
      </c>
      <c r="G48" s="299">
        <v>20</v>
      </c>
      <c r="H48" s="299">
        <v>2</v>
      </c>
      <c r="J48" s="363" t="str">
        <f>_xlfn.CONCAT("'",scalar_inputs[[#This Row],[lo_px_sym]],"'")</f>
        <v>'BSCQ'</v>
      </c>
      <c r="K48" s="363" t="str">
        <f>_xlfn.CONCAT("'",scalar_inputs[[#This Row],[hi_px_sym]],"'")</f>
        <v>'IBDR'</v>
      </c>
      <c r="L48" s="443" t="str">
        <f>_xlfn.CONCAT("(",J48,", ",K48,"),")</f>
        <v>('BSCQ', 'IBDR'),</v>
      </c>
      <c r="R48" s="362"/>
      <c r="U48" s="362"/>
      <c r="X48" s="362"/>
      <c r="AB48" s="362"/>
      <c r="AF48" s="364"/>
    </row>
    <row r="49" spans="1:32" x14ac:dyDescent="0.25">
      <c r="A49" t="s">
        <v>312</v>
      </c>
      <c r="B49" t="s">
        <v>123</v>
      </c>
      <c r="C49" s="444">
        <v>2026</v>
      </c>
      <c r="D49" s="8" t="s">
        <v>506</v>
      </c>
      <c r="E49" s="8" t="s">
        <v>237</v>
      </c>
      <c r="F49" s="8" t="s">
        <v>238</v>
      </c>
      <c r="G49" s="299">
        <v>20</v>
      </c>
      <c r="H49" s="299">
        <v>2</v>
      </c>
      <c r="J49" s="363" t="str">
        <f>_xlfn.CONCAT("'",scalar_inputs[[#This Row],[lo_px_sym]],"'")</f>
        <v>'BSJQ'</v>
      </c>
      <c r="K49" s="363" t="str">
        <f>_xlfn.CONCAT("'",scalar_inputs[[#This Row],[hi_px_sym]],"'")</f>
        <v>'IBHF'</v>
      </c>
      <c r="L49" s="443" t="str">
        <f t="shared" ref="L49:L100" si="2">_xlfn.CONCAT("(",J49,", ",K49,"),")</f>
        <v>('BSJQ', 'IBHF'),</v>
      </c>
      <c r="R49" s="362"/>
      <c r="U49" s="362"/>
      <c r="X49" s="362"/>
      <c r="AB49" s="362"/>
      <c r="AF49" s="364"/>
    </row>
    <row r="50" spans="1:32" x14ac:dyDescent="0.25">
      <c r="A50" t="s">
        <v>312</v>
      </c>
      <c r="B50" t="s">
        <v>125</v>
      </c>
      <c r="C50" s="444">
        <v>2026</v>
      </c>
      <c r="D50" s="8" t="s">
        <v>507</v>
      </c>
      <c r="E50" s="8" t="s">
        <v>251</v>
      </c>
      <c r="F50" s="8" t="s">
        <v>252</v>
      </c>
      <c r="G50" s="299">
        <v>20</v>
      </c>
      <c r="H50" s="299">
        <v>2</v>
      </c>
      <c r="J50" s="363" t="str">
        <f>_xlfn.CONCAT("'",scalar_inputs[[#This Row],[lo_px_sym]],"'")</f>
        <v>'BSMQ'</v>
      </c>
      <c r="K50" s="363" t="str">
        <f>_xlfn.CONCAT("'",scalar_inputs[[#This Row],[hi_px_sym]],"'")</f>
        <v>'IBMO'</v>
      </c>
      <c r="L50" s="443" t="str">
        <f t="shared" si="2"/>
        <v>('BSMQ', 'IBMO'),</v>
      </c>
      <c r="R50" s="362"/>
      <c r="U50" s="362"/>
      <c r="X50" s="362"/>
      <c r="AB50" s="362"/>
      <c r="AF50" s="364"/>
    </row>
    <row r="51" spans="1:32" x14ac:dyDescent="0.25">
      <c r="A51" t="s">
        <v>312</v>
      </c>
      <c r="B51" t="s">
        <v>121</v>
      </c>
      <c r="C51" s="444">
        <v>2027</v>
      </c>
      <c r="D51" s="8" t="s">
        <v>508</v>
      </c>
      <c r="E51" s="8" t="s">
        <v>186</v>
      </c>
      <c r="F51" s="8" t="s">
        <v>185</v>
      </c>
      <c r="G51" s="299">
        <v>20</v>
      </c>
      <c r="H51" s="299">
        <v>2</v>
      </c>
      <c r="J51" s="363" t="str">
        <f>_xlfn.CONCAT("'",scalar_inputs[[#This Row],[lo_px_sym]],"'")</f>
        <v>'BSCR'</v>
      </c>
      <c r="K51" s="363" t="str">
        <f>_xlfn.CONCAT("'",scalar_inputs[[#This Row],[hi_px_sym]],"'")</f>
        <v>'IBDS'</v>
      </c>
      <c r="L51" s="443" t="str">
        <f t="shared" si="2"/>
        <v>('BSCR', 'IBDS'),</v>
      </c>
      <c r="R51" s="362"/>
      <c r="U51" s="362"/>
      <c r="X51" s="362"/>
      <c r="AB51" s="362"/>
      <c r="AF51" s="364"/>
    </row>
    <row r="52" spans="1:32" x14ac:dyDescent="0.25">
      <c r="A52" t="s">
        <v>312</v>
      </c>
      <c r="B52" t="s">
        <v>436</v>
      </c>
      <c r="C52" s="444">
        <v>2027</v>
      </c>
      <c r="D52" s="8" t="s">
        <v>509</v>
      </c>
      <c r="E52" s="8" t="s">
        <v>263</v>
      </c>
      <c r="F52" s="8" t="s">
        <v>264</v>
      </c>
      <c r="G52" s="299">
        <v>20</v>
      </c>
      <c r="H52" s="299">
        <v>2</v>
      </c>
      <c r="J52" s="363" t="str">
        <f>_xlfn.CONCAT("'",scalar_inputs[[#This Row],[lo_px_sym]],"'")</f>
        <v>'BSGR'</v>
      </c>
      <c r="K52" s="363" t="str">
        <f>_xlfn.CONCAT("'",scalar_inputs[[#This Row],[hi_px_sym]],"'")</f>
        <v>'IBTH'</v>
      </c>
      <c r="L52" s="443" t="str">
        <f t="shared" si="2"/>
        <v>('BSGR', 'IBTH'),</v>
      </c>
      <c r="R52" s="362"/>
      <c r="U52" s="362"/>
      <c r="X52" s="362"/>
      <c r="AB52" s="362"/>
      <c r="AF52" s="364"/>
    </row>
    <row r="53" spans="1:32" x14ac:dyDescent="0.25">
      <c r="A53" t="s">
        <v>312</v>
      </c>
      <c r="B53" t="s">
        <v>123</v>
      </c>
      <c r="C53" s="444">
        <v>2027</v>
      </c>
      <c r="D53" s="8" t="s">
        <v>510</v>
      </c>
      <c r="E53" s="8" t="s">
        <v>239</v>
      </c>
      <c r="F53" s="8" t="s">
        <v>240</v>
      </c>
      <c r="G53" s="299">
        <v>20</v>
      </c>
      <c r="H53" s="299">
        <v>2</v>
      </c>
      <c r="J53" s="363" t="str">
        <f>_xlfn.CONCAT("'",scalar_inputs[[#This Row],[lo_px_sym]],"'")</f>
        <v>'BSJR'</v>
      </c>
      <c r="K53" s="363" t="str">
        <f>_xlfn.CONCAT("'",scalar_inputs[[#This Row],[hi_px_sym]],"'")</f>
        <v>'IBHG'</v>
      </c>
      <c r="L53" s="443" t="str">
        <f t="shared" si="2"/>
        <v>('BSJR', 'IBHG'),</v>
      </c>
      <c r="R53" s="362"/>
      <c r="U53" s="362"/>
      <c r="X53" s="362"/>
      <c r="AB53" s="362"/>
      <c r="AF53" s="364"/>
    </row>
    <row r="54" spans="1:32" x14ac:dyDescent="0.25">
      <c r="A54" t="s">
        <v>312</v>
      </c>
      <c r="B54" t="s">
        <v>125</v>
      </c>
      <c r="C54" s="444">
        <v>2027</v>
      </c>
      <c r="D54" s="8" t="s">
        <v>511</v>
      </c>
      <c r="E54" s="8" t="s">
        <v>253</v>
      </c>
      <c r="F54" s="8" t="s">
        <v>254</v>
      </c>
      <c r="G54" s="299">
        <v>20</v>
      </c>
      <c r="H54" s="299">
        <v>2</v>
      </c>
      <c r="J54" s="363" t="str">
        <f>_xlfn.CONCAT("'",scalar_inputs[[#This Row],[lo_px_sym]],"'")</f>
        <v>'BSMR'</v>
      </c>
      <c r="K54" s="363" t="str">
        <f>_xlfn.CONCAT("'",scalar_inputs[[#This Row],[hi_px_sym]],"'")</f>
        <v>'IBMP'</v>
      </c>
      <c r="L54" s="443" t="str">
        <f t="shared" si="2"/>
        <v>('BSMR', 'IBMP'),</v>
      </c>
      <c r="R54" s="362"/>
      <c r="U54" s="362"/>
      <c r="X54" s="362"/>
      <c r="AB54" s="362"/>
      <c r="AF54" s="364"/>
    </row>
    <row r="55" spans="1:32" x14ac:dyDescent="0.25">
      <c r="A55" t="s">
        <v>312</v>
      </c>
      <c r="B55" t="s">
        <v>121</v>
      </c>
      <c r="C55" s="444">
        <v>2028</v>
      </c>
      <c r="D55" s="8" t="s">
        <v>512</v>
      </c>
      <c r="E55" s="8" t="s">
        <v>188</v>
      </c>
      <c r="F55" s="8" t="s">
        <v>187</v>
      </c>
      <c r="G55" s="299">
        <v>20</v>
      </c>
      <c r="H55" s="299">
        <v>2</v>
      </c>
      <c r="J55" s="363" t="str">
        <f>_xlfn.CONCAT("'",scalar_inputs[[#This Row],[lo_px_sym]],"'")</f>
        <v>'BSCS'</v>
      </c>
      <c r="K55" s="363" t="str">
        <f>_xlfn.CONCAT("'",scalar_inputs[[#This Row],[hi_px_sym]],"'")</f>
        <v>'IBDT'</v>
      </c>
      <c r="L55" s="443" t="str">
        <f t="shared" si="2"/>
        <v>('BSCS', 'IBDT'),</v>
      </c>
      <c r="R55" s="362"/>
      <c r="U55" s="362"/>
      <c r="X55" s="362"/>
      <c r="AB55" s="362"/>
      <c r="AF55" s="364"/>
    </row>
    <row r="56" spans="1:32" x14ac:dyDescent="0.25">
      <c r="A56" t="s">
        <v>312</v>
      </c>
      <c r="B56" t="s">
        <v>123</v>
      </c>
      <c r="C56" s="444">
        <v>2028</v>
      </c>
      <c r="D56" s="8" t="s">
        <v>513</v>
      </c>
      <c r="E56" s="8" t="s">
        <v>241</v>
      </c>
      <c r="F56" s="8" t="s">
        <v>242</v>
      </c>
      <c r="G56" s="299">
        <v>20</v>
      </c>
      <c r="H56" s="299">
        <v>2</v>
      </c>
      <c r="J56" s="363" t="str">
        <f>_xlfn.CONCAT("'",scalar_inputs[[#This Row],[lo_px_sym]],"'")</f>
        <v>'BSJS'</v>
      </c>
      <c r="K56" s="363" t="str">
        <f>_xlfn.CONCAT("'",scalar_inputs[[#This Row],[hi_px_sym]],"'")</f>
        <v>'IBHH'</v>
      </c>
      <c r="L56" s="443" t="str">
        <f t="shared" si="2"/>
        <v>('BSJS', 'IBHH'),</v>
      </c>
      <c r="R56" s="362"/>
      <c r="U56" s="362"/>
      <c r="X56" s="362"/>
      <c r="AB56" s="362"/>
      <c r="AF56" s="364"/>
    </row>
    <row r="57" spans="1:32" x14ac:dyDescent="0.25">
      <c r="A57" t="s">
        <v>312</v>
      </c>
      <c r="B57" t="s">
        <v>125</v>
      </c>
      <c r="C57" s="444">
        <v>2028</v>
      </c>
      <c r="D57" s="8" t="s">
        <v>514</v>
      </c>
      <c r="E57" s="8" t="s">
        <v>255</v>
      </c>
      <c r="F57" s="8" t="s">
        <v>256</v>
      </c>
      <c r="G57" s="299">
        <v>20</v>
      </c>
      <c r="H57" s="299">
        <v>2</v>
      </c>
      <c r="J57" s="363" t="str">
        <f>_xlfn.CONCAT("'",scalar_inputs[[#This Row],[lo_px_sym]],"'")</f>
        <v>'BSMS'</v>
      </c>
      <c r="K57" s="363" t="str">
        <f>_xlfn.CONCAT("'",scalar_inputs[[#This Row],[hi_px_sym]],"'")</f>
        <v>'IBMQ'</v>
      </c>
      <c r="L57" s="443" t="str">
        <f t="shared" si="2"/>
        <v>('BSMS', 'IBMQ'),</v>
      </c>
      <c r="R57" s="362"/>
      <c r="U57" s="362"/>
      <c r="X57" s="362"/>
      <c r="AB57" s="362"/>
      <c r="AF57" s="364"/>
    </row>
    <row r="58" spans="1:32" x14ac:dyDescent="0.25">
      <c r="A58" t="s">
        <v>312</v>
      </c>
      <c r="B58" t="s">
        <v>436</v>
      </c>
      <c r="C58" s="444">
        <v>2028</v>
      </c>
      <c r="D58" s="8" t="s">
        <v>515</v>
      </c>
      <c r="E58" s="8" t="s">
        <v>265</v>
      </c>
      <c r="F58" s="8" t="s">
        <v>266</v>
      </c>
      <c r="G58" s="299">
        <v>20</v>
      </c>
      <c r="H58" s="299">
        <v>2</v>
      </c>
      <c r="J58" s="363" t="str">
        <f>_xlfn.CONCAT("'",scalar_inputs[[#This Row],[lo_px_sym]],"'")</f>
        <v>'BSTS'</v>
      </c>
      <c r="K58" s="363" t="str">
        <f>_xlfn.CONCAT("'",scalar_inputs[[#This Row],[hi_px_sym]],"'")</f>
        <v>'IBTI'</v>
      </c>
      <c r="L58" s="443" t="str">
        <f t="shared" si="2"/>
        <v>('BSTS', 'IBTI'),</v>
      </c>
      <c r="R58" s="362"/>
      <c r="U58" s="362"/>
      <c r="X58" s="362"/>
      <c r="AB58" s="362"/>
      <c r="AF58" s="364"/>
    </row>
    <row r="59" spans="1:32" x14ac:dyDescent="0.25">
      <c r="A59" t="s">
        <v>312</v>
      </c>
      <c r="B59" t="s">
        <v>121</v>
      </c>
      <c r="C59" s="444">
        <v>2029</v>
      </c>
      <c r="D59" s="8" t="s">
        <v>516</v>
      </c>
      <c r="E59" s="8" t="s">
        <v>190</v>
      </c>
      <c r="F59" s="8" t="s">
        <v>189</v>
      </c>
      <c r="G59" s="299">
        <v>20</v>
      </c>
      <c r="H59" s="299">
        <v>2</v>
      </c>
      <c r="J59" s="363" t="str">
        <f>_xlfn.CONCAT("'",scalar_inputs[[#This Row],[lo_px_sym]],"'")</f>
        <v>'BSCT'</v>
      </c>
      <c r="K59" s="363" t="str">
        <f>_xlfn.CONCAT("'",scalar_inputs[[#This Row],[hi_px_sym]],"'")</f>
        <v>'IBDU'</v>
      </c>
      <c r="L59" s="443" t="str">
        <f t="shared" si="2"/>
        <v>('BSCT', 'IBDU'),</v>
      </c>
      <c r="R59" s="362"/>
      <c r="U59" s="362"/>
      <c r="X59" s="362"/>
      <c r="AB59" s="362"/>
      <c r="AF59" s="364"/>
    </row>
    <row r="60" spans="1:32" x14ac:dyDescent="0.25">
      <c r="A60" t="s">
        <v>312</v>
      </c>
      <c r="B60" t="s">
        <v>436</v>
      </c>
      <c r="C60" s="444">
        <v>2029</v>
      </c>
      <c r="D60" s="8" t="s">
        <v>517</v>
      </c>
      <c r="E60" s="8" t="s">
        <v>267</v>
      </c>
      <c r="F60" s="8" t="s">
        <v>268</v>
      </c>
      <c r="G60" s="299">
        <v>20</v>
      </c>
      <c r="H60" s="299">
        <v>2</v>
      </c>
      <c r="J60" s="363" t="str">
        <f>_xlfn.CONCAT("'",scalar_inputs[[#This Row],[lo_px_sym]],"'")</f>
        <v>'BSGT'</v>
      </c>
      <c r="K60" s="363" t="str">
        <f>_xlfn.CONCAT("'",scalar_inputs[[#This Row],[hi_px_sym]],"'")</f>
        <v>'IBTJ'</v>
      </c>
      <c r="L60" s="443" t="str">
        <f t="shared" si="2"/>
        <v>('BSGT', 'IBTJ'),</v>
      </c>
      <c r="R60" s="362"/>
      <c r="U60" s="362"/>
      <c r="X60" s="362"/>
      <c r="AB60" s="362"/>
      <c r="AF60" s="364"/>
    </row>
    <row r="61" spans="1:32" x14ac:dyDescent="0.25">
      <c r="A61" t="s">
        <v>312</v>
      </c>
      <c r="B61" t="s">
        <v>123</v>
      </c>
      <c r="C61" s="444">
        <v>2029</v>
      </c>
      <c r="D61" s="8" t="s">
        <v>518</v>
      </c>
      <c r="E61" s="8" t="s">
        <v>243</v>
      </c>
      <c r="F61" s="8" t="s">
        <v>244</v>
      </c>
      <c r="G61" s="299">
        <v>20</v>
      </c>
      <c r="H61" s="299">
        <v>2</v>
      </c>
      <c r="J61" s="363" t="str">
        <f>_xlfn.CONCAT("'",scalar_inputs[[#This Row],[lo_px_sym]],"'")</f>
        <v>'BSJT'</v>
      </c>
      <c r="K61" s="363" t="str">
        <f>_xlfn.CONCAT("'",scalar_inputs[[#This Row],[hi_px_sym]],"'")</f>
        <v>'IBHI'</v>
      </c>
      <c r="L61" s="443" t="str">
        <f t="shared" si="2"/>
        <v>('BSJT', 'IBHI'),</v>
      </c>
      <c r="R61" s="362"/>
      <c r="U61" s="362"/>
      <c r="X61" s="362"/>
      <c r="AB61" s="362"/>
      <c r="AF61" s="364"/>
    </row>
    <row r="62" spans="1:32" x14ac:dyDescent="0.25">
      <c r="A62" t="s">
        <v>312</v>
      </c>
      <c r="B62" t="s">
        <v>125</v>
      </c>
      <c r="C62" s="444">
        <v>2029</v>
      </c>
      <c r="D62" s="8" t="s">
        <v>519</v>
      </c>
      <c r="E62" s="8" t="s">
        <v>257</v>
      </c>
      <c r="F62" s="8" t="s">
        <v>258</v>
      </c>
      <c r="G62" s="299">
        <v>20</v>
      </c>
      <c r="H62" s="299">
        <v>2</v>
      </c>
      <c r="J62" s="363" t="str">
        <f>_xlfn.CONCAT("'",scalar_inputs[[#This Row],[lo_px_sym]],"'")</f>
        <v>'BSMT'</v>
      </c>
      <c r="K62" s="363" t="str">
        <f>_xlfn.CONCAT("'",scalar_inputs[[#This Row],[hi_px_sym]],"'")</f>
        <v>'IBMR'</v>
      </c>
      <c r="L62" s="443" t="str">
        <f t="shared" si="2"/>
        <v>('BSMT', 'IBMR'),</v>
      </c>
      <c r="R62" s="362"/>
      <c r="U62" s="362"/>
      <c r="X62" s="362"/>
      <c r="AB62" s="362"/>
      <c r="AF62" s="364"/>
    </row>
    <row r="63" spans="1:32" x14ac:dyDescent="0.25">
      <c r="A63" t="s">
        <v>312</v>
      </c>
      <c r="B63" t="s">
        <v>121</v>
      </c>
      <c r="C63" s="444">
        <v>2030</v>
      </c>
      <c r="D63" s="8" t="s">
        <v>520</v>
      </c>
      <c r="E63" s="8" t="s">
        <v>192</v>
      </c>
      <c r="F63" s="8" t="s">
        <v>191</v>
      </c>
      <c r="G63" s="299">
        <v>20</v>
      </c>
      <c r="H63" s="299">
        <v>2</v>
      </c>
      <c r="J63" s="363" t="str">
        <f>_xlfn.CONCAT("'",scalar_inputs[[#This Row],[lo_px_sym]],"'")</f>
        <v>'BSCU'</v>
      </c>
      <c r="K63" s="363" t="str">
        <f>_xlfn.CONCAT("'",scalar_inputs[[#This Row],[hi_px_sym]],"'")</f>
        <v>'IBDV'</v>
      </c>
      <c r="L63" s="443" t="str">
        <f t="shared" si="2"/>
        <v>('BSCU', 'IBDV'),</v>
      </c>
      <c r="R63" s="362"/>
      <c r="U63" s="362"/>
      <c r="X63" s="362"/>
      <c r="AB63" s="362"/>
      <c r="AF63" s="364"/>
    </row>
    <row r="64" spans="1:32" x14ac:dyDescent="0.25">
      <c r="A64" t="s">
        <v>312</v>
      </c>
      <c r="B64" t="s">
        <v>123</v>
      </c>
      <c r="C64" s="444">
        <v>2030</v>
      </c>
      <c r="D64" s="8" t="s">
        <v>521</v>
      </c>
      <c r="E64" s="8" t="s">
        <v>245</v>
      </c>
      <c r="F64" s="8" t="s">
        <v>246</v>
      </c>
      <c r="G64" s="299">
        <v>20</v>
      </c>
      <c r="H64" s="299">
        <v>2</v>
      </c>
      <c r="J64" s="363" t="str">
        <f>_xlfn.CONCAT("'",scalar_inputs[[#This Row],[lo_px_sym]],"'")</f>
        <v>'BSJU'</v>
      </c>
      <c r="K64" s="363" t="str">
        <f>_xlfn.CONCAT("'",scalar_inputs[[#This Row],[hi_px_sym]],"'")</f>
        <v>'IBHJ'</v>
      </c>
      <c r="L64" s="443" t="str">
        <f t="shared" si="2"/>
        <v>('BSJU', 'IBHJ'),</v>
      </c>
      <c r="R64" s="362"/>
      <c r="U64" s="362"/>
      <c r="X64" s="362"/>
      <c r="AB64" s="362"/>
      <c r="AF64" s="364"/>
    </row>
    <row r="65" spans="1:32" x14ac:dyDescent="0.25">
      <c r="A65" t="s">
        <v>312</v>
      </c>
      <c r="B65" t="s">
        <v>125</v>
      </c>
      <c r="C65" s="444">
        <v>2030</v>
      </c>
      <c r="D65" s="8" t="s">
        <v>522</v>
      </c>
      <c r="E65" s="8" t="s">
        <v>259</v>
      </c>
      <c r="F65" s="8" t="s">
        <v>260</v>
      </c>
      <c r="G65" s="299">
        <v>20</v>
      </c>
      <c r="H65" s="299">
        <v>2</v>
      </c>
      <c r="J65" s="363" t="str">
        <f>_xlfn.CONCAT("'",scalar_inputs[[#This Row],[lo_px_sym]],"'")</f>
        <v>'BSMU'</v>
      </c>
      <c r="K65" s="363" t="str">
        <f>_xlfn.CONCAT("'",scalar_inputs[[#This Row],[hi_px_sym]],"'")</f>
        <v>'IBMS'</v>
      </c>
      <c r="L65" s="443" t="str">
        <f t="shared" si="2"/>
        <v>('BSMU', 'IBMS'),</v>
      </c>
      <c r="R65" s="362"/>
      <c r="U65" s="362"/>
      <c r="X65" s="362"/>
      <c r="AB65" s="362"/>
      <c r="AF65" s="364"/>
    </row>
    <row r="66" spans="1:32" x14ac:dyDescent="0.25">
      <c r="A66" t="s">
        <v>312</v>
      </c>
      <c r="B66" t="s">
        <v>436</v>
      </c>
      <c r="C66" s="444">
        <v>2030</v>
      </c>
      <c r="D66" s="8" t="s">
        <v>523</v>
      </c>
      <c r="E66" s="8" t="s">
        <v>269</v>
      </c>
      <c r="F66" s="8" t="s">
        <v>270</v>
      </c>
      <c r="G66" s="299">
        <v>20</v>
      </c>
      <c r="H66" s="299">
        <v>2</v>
      </c>
      <c r="J66" s="363" t="str">
        <f>_xlfn.CONCAT("'",scalar_inputs[[#This Row],[lo_px_sym]],"'")</f>
        <v>'BSTU'</v>
      </c>
      <c r="K66" s="363" t="str">
        <f>_xlfn.CONCAT("'",scalar_inputs[[#This Row],[hi_px_sym]],"'")</f>
        <v>'IBTK'</v>
      </c>
      <c r="L66" s="443" t="str">
        <f t="shared" si="2"/>
        <v>('BSTU', 'IBTK'),</v>
      </c>
      <c r="R66" s="362"/>
      <c r="U66" s="362"/>
      <c r="X66" s="362"/>
      <c r="AB66" s="362"/>
      <c r="AF66" s="364"/>
    </row>
    <row r="67" spans="1:32" x14ac:dyDescent="0.25">
      <c r="A67" t="s">
        <v>312</v>
      </c>
      <c r="B67" t="s">
        <v>121</v>
      </c>
      <c r="C67" s="444">
        <v>2031</v>
      </c>
      <c r="D67" s="8" t="s">
        <v>524</v>
      </c>
      <c r="E67" s="8" t="s">
        <v>194</v>
      </c>
      <c r="F67" s="8" t="s">
        <v>193</v>
      </c>
      <c r="G67" s="299">
        <v>20</v>
      </c>
      <c r="H67" s="299">
        <v>2</v>
      </c>
      <c r="J67" s="363" t="str">
        <f>_xlfn.CONCAT("'",scalar_inputs[[#This Row],[lo_px_sym]],"'")</f>
        <v>'BSCV'</v>
      </c>
      <c r="K67" s="363" t="str">
        <f>_xlfn.CONCAT("'",scalar_inputs[[#This Row],[hi_px_sym]],"'")</f>
        <v>'IBDW'</v>
      </c>
      <c r="L67" s="443" t="str">
        <f t="shared" si="2"/>
        <v>('BSCV', 'IBDW'),</v>
      </c>
      <c r="R67" s="362"/>
      <c r="U67" s="362"/>
      <c r="X67" s="362"/>
      <c r="AB67" s="362"/>
      <c r="AF67" s="364"/>
    </row>
    <row r="68" spans="1:32" x14ac:dyDescent="0.25">
      <c r="A68" t="s">
        <v>312</v>
      </c>
      <c r="B68" t="s">
        <v>123</v>
      </c>
      <c r="C68" s="444">
        <v>2031</v>
      </c>
      <c r="D68" s="8" t="s">
        <v>525</v>
      </c>
      <c r="E68" s="8" t="s">
        <v>247</v>
      </c>
      <c r="F68" s="8" t="s">
        <v>248</v>
      </c>
      <c r="G68" s="299">
        <v>20</v>
      </c>
      <c r="H68" s="299">
        <v>2</v>
      </c>
      <c r="J68" s="363" t="str">
        <f>_xlfn.CONCAT("'",scalar_inputs[[#This Row],[lo_px_sym]],"'")</f>
        <v>'BSJV'</v>
      </c>
      <c r="K68" s="363" t="str">
        <f>_xlfn.CONCAT("'",scalar_inputs[[#This Row],[hi_px_sym]],"'")</f>
        <v>'IBHK'</v>
      </c>
      <c r="L68" s="443" t="str">
        <f t="shared" si="2"/>
        <v>('BSJV', 'IBHK'),</v>
      </c>
      <c r="R68" s="362"/>
      <c r="U68" s="362"/>
      <c r="X68" s="362"/>
      <c r="AB68" s="362"/>
      <c r="AF68" s="364"/>
    </row>
    <row r="69" spans="1:32" x14ac:dyDescent="0.25">
      <c r="A69" t="s">
        <v>312</v>
      </c>
      <c r="B69" t="s">
        <v>125</v>
      </c>
      <c r="C69" s="444">
        <v>2031</v>
      </c>
      <c r="D69" s="8" t="s">
        <v>526</v>
      </c>
      <c r="E69" s="8" t="s">
        <v>261</v>
      </c>
      <c r="F69" s="8" t="s">
        <v>262</v>
      </c>
      <c r="G69" s="299">
        <v>20</v>
      </c>
      <c r="H69" s="299">
        <v>2</v>
      </c>
      <c r="J69" s="363" t="str">
        <f>_xlfn.CONCAT("'",scalar_inputs[[#This Row],[lo_px_sym]],"'")</f>
        <v>'BSMV'</v>
      </c>
      <c r="K69" s="363" t="str">
        <f>_xlfn.CONCAT("'",scalar_inputs[[#This Row],[hi_px_sym]],"'")</f>
        <v>'IBMT'</v>
      </c>
      <c r="L69" s="443" t="str">
        <f t="shared" si="2"/>
        <v>('BSMV', 'IBMT'),</v>
      </c>
      <c r="R69" s="362"/>
      <c r="U69" s="362"/>
      <c r="X69" s="362"/>
      <c r="AB69" s="362"/>
      <c r="AF69" s="364"/>
    </row>
    <row r="70" spans="1:32" x14ac:dyDescent="0.25">
      <c r="A70" t="s">
        <v>312</v>
      </c>
      <c r="B70" t="s">
        <v>436</v>
      </c>
      <c r="C70" s="444">
        <v>2031</v>
      </c>
      <c r="D70" s="8" t="s">
        <v>527</v>
      </c>
      <c r="E70" s="8" t="s">
        <v>271</v>
      </c>
      <c r="F70" s="8" t="s">
        <v>272</v>
      </c>
      <c r="G70" s="299">
        <v>20</v>
      </c>
      <c r="H70" s="299">
        <v>2</v>
      </c>
      <c r="J70" s="363" t="str">
        <f>_xlfn.CONCAT("'",scalar_inputs[[#This Row],[lo_px_sym]],"'")</f>
        <v>'BSTV'</v>
      </c>
      <c r="K70" s="363" t="str">
        <f>_xlfn.CONCAT("'",scalar_inputs[[#This Row],[hi_px_sym]],"'")</f>
        <v>'IBTL'</v>
      </c>
      <c r="L70" s="443" t="str">
        <f t="shared" si="2"/>
        <v>('BSTV', 'IBTL'),</v>
      </c>
      <c r="R70" s="362"/>
      <c r="U70" s="362"/>
      <c r="X70" s="362"/>
      <c r="AB70" s="362"/>
      <c r="AF70" s="364"/>
    </row>
    <row r="71" spans="1:32" x14ac:dyDescent="0.25">
      <c r="A71" t="s">
        <v>312</v>
      </c>
      <c r="B71" t="s">
        <v>121</v>
      </c>
      <c r="C71" s="444">
        <v>2032</v>
      </c>
      <c r="D71" s="8" t="s">
        <v>528</v>
      </c>
      <c r="E71" s="8" t="s">
        <v>196</v>
      </c>
      <c r="F71" s="8" t="s">
        <v>195</v>
      </c>
      <c r="G71" s="299">
        <v>20</v>
      </c>
      <c r="H71" s="299">
        <v>2</v>
      </c>
      <c r="J71" s="363" t="str">
        <f>_xlfn.CONCAT("'",scalar_inputs[[#This Row],[lo_px_sym]],"'")</f>
        <v>'BSCW'</v>
      </c>
      <c r="K71" s="363" t="str">
        <f>_xlfn.CONCAT("'",scalar_inputs[[#This Row],[hi_px_sym]],"'")</f>
        <v>'IBDX'</v>
      </c>
      <c r="L71" s="443" t="str">
        <f t="shared" si="2"/>
        <v>('BSCW', 'IBDX'),</v>
      </c>
      <c r="R71" s="362"/>
      <c r="U71" s="362"/>
      <c r="X71" s="362"/>
      <c r="AB71" s="362"/>
      <c r="AF71" s="364"/>
    </row>
    <row r="72" spans="1:32" x14ac:dyDescent="0.25">
      <c r="A72" t="s">
        <v>312</v>
      </c>
      <c r="B72" t="s">
        <v>123</v>
      </c>
      <c r="C72" s="444">
        <v>2032</v>
      </c>
      <c r="D72" s="8" t="s">
        <v>529</v>
      </c>
      <c r="E72" s="8" t="s">
        <v>249</v>
      </c>
      <c r="F72" s="8" t="s">
        <v>250</v>
      </c>
      <c r="G72" s="299">
        <v>20</v>
      </c>
      <c r="H72" s="299">
        <v>2</v>
      </c>
      <c r="J72" s="363" t="str">
        <f>_xlfn.CONCAT("'",scalar_inputs[[#This Row],[lo_px_sym]],"'")</f>
        <v>'BSJW'</v>
      </c>
      <c r="K72" s="363" t="str">
        <f>_xlfn.CONCAT("'",scalar_inputs[[#This Row],[hi_px_sym]],"'")</f>
        <v>'IBHL'</v>
      </c>
      <c r="L72" s="443" t="str">
        <f t="shared" si="2"/>
        <v>('BSJW', 'IBHL'),</v>
      </c>
      <c r="R72" s="362"/>
      <c r="U72" s="362"/>
      <c r="X72" s="362"/>
      <c r="AB72" s="362"/>
      <c r="AF72" s="364"/>
    </row>
    <row r="73" spans="1:32" x14ac:dyDescent="0.25">
      <c r="A73" t="s">
        <v>312</v>
      </c>
      <c r="B73" t="s">
        <v>121</v>
      </c>
      <c r="C73" s="444">
        <v>2033</v>
      </c>
      <c r="D73" s="8" t="s">
        <v>530</v>
      </c>
      <c r="E73" s="8" t="s">
        <v>198</v>
      </c>
      <c r="F73" s="8" t="s">
        <v>197</v>
      </c>
      <c r="G73" s="299">
        <v>20</v>
      </c>
      <c r="H73" s="299">
        <v>2</v>
      </c>
      <c r="J73" s="363" t="str">
        <f>_xlfn.CONCAT("'",scalar_inputs[[#This Row],[lo_px_sym]],"'")</f>
        <v>'BSCX'</v>
      </c>
      <c r="K73" s="363" t="str">
        <f>_xlfn.CONCAT("'",scalar_inputs[[#This Row],[hi_px_sym]],"'")</f>
        <v>'IBDY'</v>
      </c>
      <c r="L73" s="443" t="str">
        <f t="shared" si="2"/>
        <v>('BSCX', 'IBDY'),</v>
      </c>
      <c r="R73" s="362"/>
      <c r="U73" s="362"/>
      <c r="X73" s="362"/>
      <c r="AB73" s="362"/>
      <c r="AF73" s="364"/>
    </row>
    <row r="74" spans="1:32" x14ac:dyDescent="0.25">
      <c r="A74" t="s">
        <v>312</v>
      </c>
      <c r="B74" t="s">
        <v>121</v>
      </c>
      <c r="C74" s="444">
        <v>2034</v>
      </c>
      <c r="D74" s="8" t="s">
        <v>531</v>
      </c>
      <c r="E74" s="8" t="s">
        <v>200</v>
      </c>
      <c r="F74" s="8" t="s">
        <v>199</v>
      </c>
      <c r="G74" s="299">
        <v>20</v>
      </c>
      <c r="H74" s="299">
        <v>2</v>
      </c>
      <c r="J74" s="363" t="str">
        <f>_xlfn.CONCAT("'",scalar_inputs[[#This Row],[lo_px_sym]],"'")</f>
        <v>'BSCY'</v>
      </c>
      <c r="K74" s="363" t="str">
        <f>_xlfn.CONCAT("'",scalar_inputs[[#This Row],[hi_px_sym]],"'")</f>
        <v>'IBDZ'</v>
      </c>
      <c r="L74" s="443" t="str">
        <f t="shared" si="2"/>
        <v>('BSCY', 'IBDZ'),</v>
      </c>
      <c r="R74" s="362"/>
      <c r="U74" s="362"/>
      <c r="X74" s="362"/>
      <c r="AB74" s="362"/>
      <c r="AF74" s="364"/>
    </row>
    <row r="75" spans="1:32" x14ac:dyDescent="0.25">
      <c r="A75" t="s">
        <v>312</v>
      </c>
      <c r="B75" t="s">
        <v>121</v>
      </c>
      <c r="C75" s="444">
        <v>2035</v>
      </c>
      <c r="D75" s="8" t="s">
        <v>532</v>
      </c>
      <c r="E75" s="8" t="s">
        <v>202</v>
      </c>
      <c r="F75" s="8" t="s">
        <v>201</v>
      </c>
      <c r="G75" s="299">
        <v>20</v>
      </c>
      <c r="H75" s="299">
        <v>2</v>
      </c>
      <c r="J75" s="363" t="str">
        <f>_xlfn.CONCAT("'",scalar_inputs[[#This Row],[lo_px_sym]],"'")</f>
        <v>'BSCZ'</v>
      </c>
      <c r="K75" s="363" t="str">
        <f>_xlfn.CONCAT("'",scalar_inputs[[#This Row],[hi_px_sym]],"'")</f>
        <v>'IBCA'</v>
      </c>
      <c r="L75" s="443" t="str">
        <f t="shared" si="2"/>
        <v>('BSCZ', 'IBCA'),</v>
      </c>
      <c r="R75" s="362"/>
      <c r="U75" s="362"/>
      <c r="X75" s="362"/>
      <c r="AB75" s="362"/>
      <c r="AF75" s="364"/>
    </row>
    <row r="76" spans="1:32" x14ac:dyDescent="0.25">
      <c r="A76" t="s">
        <v>330</v>
      </c>
      <c r="B76" t="s">
        <v>443</v>
      </c>
      <c r="C76" s="444" t="s">
        <v>445</v>
      </c>
      <c r="D76" s="8" t="s">
        <v>533</v>
      </c>
      <c r="E76" s="8" t="s">
        <v>367</v>
      </c>
      <c r="F76" s="8" t="s">
        <v>366</v>
      </c>
      <c r="G76" s="299">
        <v>20</v>
      </c>
      <c r="H76" s="299">
        <v>2</v>
      </c>
      <c r="J76" s="363" t="str">
        <f>_xlfn.CONCAT("'",scalar_inputs[[#This Row],[lo_px_sym]],"'")</f>
        <v>'IEZ'</v>
      </c>
      <c r="K76" s="363" t="str">
        <f>_xlfn.CONCAT("'",scalar_inputs[[#This Row],[hi_px_sym]],"'")</f>
        <v>'OIH'</v>
      </c>
      <c r="L76" s="443" t="str">
        <f t="shared" si="2"/>
        <v>('IEZ', 'OIH'),</v>
      </c>
      <c r="R76" s="362"/>
      <c r="U76" s="362"/>
      <c r="X76" s="362"/>
      <c r="AB76" s="362"/>
      <c r="AF76" s="364"/>
    </row>
    <row r="77" spans="1:32" x14ac:dyDescent="0.25">
      <c r="A77" t="s">
        <v>330</v>
      </c>
      <c r="B77" t="s">
        <v>443</v>
      </c>
      <c r="C77" s="444" t="s">
        <v>444</v>
      </c>
      <c r="D77" s="8" t="s">
        <v>534</v>
      </c>
      <c r="E77" s="8" t="s">
        <v>372</v>
      </c>
      <c r="F77" s="8" t="s">
        <v>373</v>
      </c>
      <c r="G77" s="299">
        <v>20</v>
      </c>
      <c r="H77" s="299">
        <v>2</v>
      </c>
      <c r="J77" s="363" t="str">
        <f>_xlfn.CONCAT("'",scalar_inputs[[#This Row],[lo_px_sym]],"'")</f>
        <v>'PXE'</v>
      </c>
      <c r="K77" s="363" t="str">
        <f>_xlfn.CONCAT("'",scalar_inputs[[#This Row],[hi_px_sym]],"'")</f>
        <v>'IEO'</v>
      </c>
      <c r="L77" s="443" t="str">
        <f t="shared" si="2"/>
        <v>('PXE', 'IEO'),</v>
      </c>
      <c r="R77" s="362"/>
      <c r="U77" s="362"/>
      <c r="X77" s="362"/>
      <c r="AB77" s="362"/>
      <c r="AF77" s="364"/>
    </row>
    <row r="78" spans="1:32" x14ac:dyDescent="0.25">
      <c r="A78" t="s">
        <v>118</v>
      </c>
      <c r="B78" t="s">
        <v>441</v>
      </c>
      <c r="C78" s="444" t="s">
        <v>442</v>
      </c>
      <c r="D78" s="8" t="s">
        <v>535</v>
      </c>
      <c r="E78" s="8" t="s">
        <v>328</v>
      </c>
      <c r="F78" s="8" t="s">
        <v>329</v>
      </c>
      <c r="G78" s="299">
        <v>20</v>
      </c>
      <c r="H78" s="299">
        <v>2</v>
      </c>
      <c r="J78" s="363" t="str">
        <f>_xlfn.CONCAT("'",scalar_inputs[[#This Row],[lo_px_sym]],"'")</f>
        <v>'EMLC'</v>
      </c>
      <c r="K78" s="363" t="str">
        <f>_xlfn.CONCAT("'",scalar_inputs[[#This Row],[hi_px_sym]],"'")</f>
        <v>'LEMB'</v>
      </c>
      <c r="L78" s="443" t="str">
        <f t="shared" si="2"/>
        <v>('EMLC', 'LEMB'),</v>
      </c>
      <c r="R78" s="362"/>
      <c r="U78" s="362"/>
      <c r="X78" s="362"/>
      <c r="AB78" s="362"/>
      <c r="AF78" s="364"/>
    </row>
    <row r="79" spans="1:32" x14ac:dyDescent="0.25">
      <c r="A79" t="s">
        <v>118</v>
      </c>
      <c r="B79" t="s">
        <v>437</v>
      </c>
      <c r="C79" s="444" t="s">
        <v>438</v>
      </c>
      <c r="D79" s="8" t="s">
        <v>536</v>
      </c>
      <c r="E79" s="8" t="s">
        <v>35</v>
      </c>
      <c r="F79" s="8" t="s">
        <v>42</v>
      </c>
      <c r="G79" s="299">
        <v>20</v>
      </c>
      <c r="H79" s="299">
        <v>2</v>
      </c>
      <c r="J79" s="363" t="str">
        <f>_xlfn.CONCAT("'",scalar_inputs[[#This Row],[lo_px_sym]],"'")</f>
        <v>'BWX'</v>
      </c>
      <c r="K79" s="363" t="str">
        <f>_xlfn.CONCAT("'",scalar_inputs[[#This Row],[hi_px_sym]],"'")</f>
        <v>'IGOV'</v>
      </c>
      <c r="L79" s="443" t="str">
        <f t="shared" si="2"/>
        <v>('BWX', 'IGOV'),</v>
      </c>
      <c r="R79" s="362"/>
      <c r="U79" s="362"/>
      <c r="X79" s="362"/>
      <c r="AB79" s="362"/>
      <c r="AF79" s="364"/>
    </row>
    <row r="80" spans="1:32" x14ac:dyDescent="0.25">
      <c r="A80" t="s">
        <v>118</v>
      </c>
      <c r="B80" t="s">
        <v>439</v>
      </c>
      <c r="C80" s="444" t="s">
        <v>440</v>
      </c>
      <c r="D80" s="8" t="s">
        <v>537</v>
      </c>
      <c r="E80" s="8" t="s">
        <v>48</v>
      </c>
      <c r="F80" s="8" t="s">
        <v>38</v>
      </c>
      <c r="G80" s="299">
        <v>20</v>
      </c>
      <c r="H80" s="299">
        <v>2</v>
      </c>
      <c r="J80" s="363" t="str">
        <f>_xlfn.CONCAT("'",scalar_inputs[[#This Row],[lo_px_sym]],"'")</f>
        <v>'VWOB'</v>
      </c>
      <c r="K80" s="363" t="str">
        <f>_xlfn.CONCAT("'",scalar_inputs[[#This Row],[hi_px_sym]],"'")</f>
        <v>'EMB'</v>
      </c>
      <c r="L80" s="443" t="str">
        <f t="shared" si="2"/>
        <v>('VWOB', 'EMB'),</v>
      </c>
      <c r="R80" s="362"/>
      <c r="U80" s="362"/>
      <c r="X80" s="362"/>
      <c r="AB80" s="362"/>
      <c r="AF80" s="364"/>
    </row>
    <row r="81" spans="1:32" x14ac:dyDescent="0.25">
      <c r="A81" t="s">
        <v>118</v>
      </c>
      <c r="B81" t="s">
        <v>434</v>
      </c>
      <c r="C81" s="444" t="s">
        <v>435</v>
      </c>
      <c r="D81" s="8" t="s">
        <v>538</v>
      </c>
      <c r="E81" s="8" t="s">
        <v>34</v>
      </c>
      <c r="F81" s="8" t="s">
        <v>40</v>
      </c>
      <c r="G81" s="299">
        <v>20</v>
      </c>
      <c r="H81" s="299">
        <v>2</v>
      </c>
      <c r="J81" s="363" t="str">
        <f>_xlfn.CONCAT("'",scalar_inputs[[#This Row],[lo_px_sym]],"'")</f>
        <v>'BNDX'</v>
      </c>
      <c r="K81" s="363" t="str">
        <f>_xlfn.CONCAT("'",scalar_inputs[[#This Row],[hi_px_sym]],"'")</f>
        <v>'IAGG'</v>
      </c>
      <c r="L81" s="443" t="str">
        <f t="shared" si="2"/>
        <v>('BNDX', 'IAGG'),</v>
      </c>
      <c r="R81" s="362"/>
      <c r="U81" s="362"/>
      <c r="X81" s="362"/>
      <c r="AB81" s="362"/>
      <c r="AF81" s="364"/>
    </row>
    <row r="82" spans="1:32" x14ac:dyDescent="0.25">
      <c r="A82" t="s">
        <v>118</v>
      </c>
      <c r="B82" t="s">
        <v>127</v>
      </c>
      <c r="C82" s="444" t="s">
        <v>552</v>
      </c>
      <c r="D82" s="8" t="s">
        <v>450</v>
      </c>
      <c r="E82" s="8" t="s">
        <v>36</v>
      </c>
      <c r="F82" s="8" t="s">
        <v>47</v>
      </c>
      <c r="G82" s="299">
        <v>20</v>
      </c>
      <c r="H82" s="299">
        <v>2</v>
      </c>
      <c r="J82" s="363" t="str">
        <f>_xlfn.CONCAT("'",scalar_inputs[[#This Row],[lo_px_sym]],"'")</f>
        <v>'CMF'</v>
      </c>
      <c r="K82" s="363" t="str">
        <f>_xlfn.CONCAT("'",scalar_inputs[[#This Row],[hi_px_sym]],"'")</f>
        <v>'VTEC'</v>
      </c>
      <c r="L82" s="443" t="str">
        <f t="shared" si="2"/>
        <v>('CMF', 'VTEC'),</v>
      </c>
      <c r="R82" s="362"/>
      <c r="U82" s="362"/>
      <c r="X82" s="362"/>
      <c r="AB82" s="362"/>
      <c r="AF82" s="364"/>
    </row>
    <row r="83" spans="1:32" x14ac:dyDescent="0.25">
      <c r="A83" t="s">
        <v>118</v>
      </c>
      <c r="B83" t="s">
        <v>122</v>
      </c>
      <c r="C83" s="444" t="s">
        <v>552</v>
      </c>
      <c r="D83" s="8" t="s">
        <v>451</v>
      </c>
      <c r="E83" s="8" t="s">
        <v>37</v>
      </c>
      <c r="F83" s="8" t="s">
        <v>41</v>
      </c>
      <c r="G83" s="299">
        <v>20</v>
      </c>
      <c r="H83" s="299">
        <v>2</v>
      </c>
      <c r="J83" s="363" t="str">
        <f>_xlfn.CONCAT("'",scalar_inputs[[#This Row],[lo_px_sym]],"'")</f>
        <v>'CWB'</v>
      </c>
      <c r="K83" s="363" t="str">
        <f>_xlfn.CONCAT("'",scalar_inputs[[#This Row],[hi_px_sym]],"'")</f>
        <v>'ICVT'</v>
      </c>
      <c r="L83" s="443" t="str">
        <f t="shared" si="2"/>
        <v>('CWB', 'ICVT'),</v>
      </c>
      <c r="R83" s="362"/>
      <c r="U83" s="362"/>
      <c r="X83" s="362"/>
      <c r="AB83" s="362"/>
      <c r="AF83" s="364"/>
    </row>
    <row r="84" spans="1:32" x14ac:dyDescent="0.25">
      <c r="A84" t="s">
        <v>386</v>
      </c>
      <c r="B84" t="s">
        <v>396</v>
      </c>
      <c r="C84" s="444" t="s">
        <v>552</v>
      </c>
      <c r="D84" s="8" t="s">
        <v>452</v>
      </c>
      <c r="E84" s="8" t="s">
        <v>397</v>
      </c>
      <c r="F84" s="8" t="s">
        <v>398</v>
      </c>
      <c r="G84" s="299">
        <v>20</v>
      </c>
      <c r="H84" s="299">
        <v>2</v>
      </c>
      <c r="J84" s="363" t="str">
        <f>_xlfn.CONCAT("'",scalar_inputs[[#This Row],[lo_px_sym]],"'")</f>
        <v>'EWA'</v>
      </c>
      <c r="K84" s="363" t="str">
        <f>_xlfn.CONCAT("'",scalar_inputs[[#This Row],[hi_px_sym]],"'")</f>
        <v>'FLAU'</v>
      </c>
      <c r="L84" s="443" t="str">
        <f t="shared" si="2"/>
        <v>('EWA', 'FLAU'),</v>
      </c>
      <c r="R84" s="362"/>
      <c r="U84" s="362"/>
      <c r="X84" s="362"/>
      <c r="AB84" s="362"/>
      <c r="AF84" s="364"/>
    </row>
    <row r="85" spans="1:32" x14ac:dyDescent="0.25">
      <c r="A85" t="s">
        <v>386</v>
      </c>
      <c r="B85" t="s">
        <v>387</v>
      </c>
      <c r="C85" s="444" t="s">
        <v>552</v>
      </c>
      <c r="D85" s="8" t="s">
        <v>453</v>
      </c>
      <c r="E85" s="8" t="s">
        <v>388</v>
      </c>
      <c r="F85" s="8" t="s">
        <v>389</v>
      </c>
      <c r="G85" s="299">
        <v>20</v>
      </c>
      <c r="H85" s="299">
        <v>2</v>
      </c>
      <c r="J85" s="363" t="str">
        <f>_xlfn.CONCAT("'",scalar_inputs[[#This Row],[lo_px_sym]],"'")</f>
        <v>'EWC'</v>
      </c>
      <c r="K85" s="363" t="str">
        <f>_xlfn.CONCAT("'",scalar_inputs[[#This Row],[hi_px_sym]],"'")</f>
        <v>'BBCA'</v>
      </c>
      <c r="L85" s="443" t="str">
        <f t="shared" si="2"/>
        <v>('EWC', 'BBCA'),</v>
      </c>
      <c r="R85" s="362"/>
      <c r="U85" s="362"/>
      <c r="X85" s="362"/>
      <c r="AB85" s="362"/>
      <c r="AF85" s="364"/>
    </row>
    <row r="86" spans="1:32" x14ac:dyDescent="0.25">
      <c r="A86" t="s">
        <v>386</v>
      </c>
      <c r="B86" t="s">
        <v>408</v>
      </c>
      <c r="C86" s="444" t="s">
        <v>552</v>
      </c>
      <c r="D86" s="8" t="s">
        <v>454</v>
      </c>
      <c r="E86" s="8" t="s">
        <v>409</v>
      </c>
      <c r="F86" s="8" t="s">
        <v>410</v>
      </c>
      <c r="G86" s="299">
        <v>20</v>
      </c>
      <c r="H86" s="299">
        <v>2</v>
      </c>
      <c r="J86" s="363" t="str">
        <f>_xlfn.CONCAT("'",scalar_inputs[[#This Row],[lo_px_sym]],"'")</f>
        <v>'EWG'</v>
      </c>
      <c r="K86" s="363" t="str">
        <f>_xlfn.CONCAT("'",scalar_inputs[[#This Row],[hi_px_sym]],"'")</f>
        <v>'FGM'</v>
      </c>
      <c r="L86" s="443" t="str">
        <f t="shared" si="2"/>
        <v>('EWG', 'FGM'),</v>
      </c>
      <c r="R86" s="362"/>
      <c r="U86" s="362"/>
      <c r="X86" s="362"/>
      <c r="AB86" s="362"/>
      <c r="AF86" s="364"/>
    </row>
    <row r="87" spans="1:32" x14ac:dyDescent="0.25">
      <c r="A87" t="s">
        <v>118</v>
      </c>
      <c r="B87" t="s">
        <v>120</v>
      </c>
      <c r="C87" s="444" t="s">
        <v>552</v>
      </c>
      <c r="D87" s="8" t="s">
        <v>455</v>
      </c>
      <c r="E87" s="8" t="s">
        <v>39</v>
      </c>
      <c r="F87" s="8" t="s">
        <v>33</v>
      </c>
      <c r="G87" s="299">
        <v>20</v>
      </c>
      <c r="H87" s="299">
        <v>2</v>
      </c>
      <c r="J87" s="363" t="str">
        <f>_xlfn.CONCAT("'",scalar_inputs[[#This Row],[lo_px_sym]],"'")</f>
        <v>'FALN'</v>
      </c>
      <c r="K87" s="363" t="str">
        <f>_xlfn.CONCAT("'",scalar_inputs[[#This Row],[hi_px_sym]],"'")</f>
        <v>'ANGL'</v>
      </c>
      <c r="L87" s="443" t="str">
        <f t="shared" si="2"/>
        <v>('FALN', 'ANGL'),</v>
      </c>
      <c r="R87" s="362"/>
      <c r="U87" s="362"/>
      <c r="X87" s="362"/>
      <c r="AB87" s="362"/>
      <c r="AF87" s="364"/>
    </row>
    <row r="88" spans="1:32" x14ac:dyDescent="0.25">
      <c r="A88" t="s">
        <v>386</v>
      </c>
      <c r="B88" t="s">
        <v>405</v>
      </c>
      <c r="C88" s="444" t="s">
        <v>552</v>
      </c>
      <c r="D88" s="8" t="s">
        <v>460</v>
      </c>
      <c r="E88" s="8" t="s">
        <v>406</v>
      </c>
      <c r="F88" s="8" t="s">
        <v>407</v>
      </c>
      <c r="G88" s="299">
        <v>20</v>
      </c>
      <c r="H88" s="299">
        <v>2</v>
      </c>
      <c r="J88" s="363" t="str">
        <f>_xlfn.CONCAT("'",scalar_inputs[[#This Row],[lo_px_sym]],"'")</f>
        <v>'FLBR'</v>
      </c>
      <c r="K88" s="363" t="str">
        <f>_xlfn.CONCAT("'",scalar_inputs[[#This Row],[hi_px_sym]],"'")</f>
        <v>'EWZ'</v>
      </c>
      <c r="L88" s="443" t="str">
        <f t="shared" si="2"/>
        <v>('FLBR', 'EWZ'),</v>
      </c>
      <c r="R88" s="362"/>
      <c r="U88" s="362"/>
      <c r="X88" s="362"/>
      <c r="AB88" s="362"/>
      <c r="AF88" s="364"/>
    </row>
    <row r="89" spans="1:32" x14ac:dyDescent="0.25">
      <c r="A89" t="s">
        <v>386</v>
      </c>
      <c r="B89" t="s">
        <v>393</v>
      </c>
      <c r="C89" s="444" t="s">
        <v>552</v>
      </c>
      <c r="D89" s="8" t="s">
        <v>461</v>
      </c>
      <c r="E89" s="8" t="s">
        <v>394</v>
      </c>
      <c r="F89" s="8" t="s">
        <v>395</v>
      </c>
      <c r="G89" s="299">
        <v>20</v>
      </c>
      <c r="H89" s="299">
        <v>2</v>
      </c>
      <c r="J89" s="363" t="str">
        <f>_xlfn.CONCAT("'",scalar_inputs[[#This Row],[lo_px_sym]],"'")</f>
        <v>'FLGB'</v>
      </c>
      <c r="K89" s="363" t="str">
        <f>_xlfn.CONCAT("'",scalar_inputs[[#This Row],[hi_px_sym]],"'")</f>
        <v>'EWU'</v>
      </c>
      <c r="L89" s="443" t="str">
        <f t="shared" si="2"/>
        <v>('FLGB', 'EWU'),</v>
      </c>
      <c r="R89" s="362"/>
      <c r="U89" s="362"/>
      <c r="X89" s="362"/>
      <c r="AB89" s="362"/>
      <c r="AF89" s="364"/>
    </row>
    <row r="90" spans="1:32" x14ac:dyDescent="0.25">
      <c r="A90" t="s">
        <v>386</v>
      </c>
      <c r="B90" t="s">
        <v>402</v>
      </c>
      <c r="C90" s="444" t="s">
        <v>552</v>
      </c>
      <c r="D90" s="8" t="s">
        <v>462</v>
      </c>
      <c r="E90" s="8" t="s">
        <v>403</v>
      </c>
      <c r="F90" s="8" t="s">
        <v>404</v>
      </c>
      <c r="G90" s="299">
        <v>20</v>
      </c>
      <c r="H90" s="299">
        <v>2</v>
      </c>
      <c r="J90" s="363" t="str">
        <f>_xlfn.CONCAT("'",scalar_inputs[[#This Row],[lo_px_sym]],"'")</f>
        <v>'FLKR'</v>
      </c>
      <c r="K90" s="363" t="str">
        <f>_xlfn.CONCAT("'",scalar_inputs[[#This Row],[hi_px_sym]],"'")</f>
        <v>'EWY'</v>
      </c>
      <c r="L90" s="443" t="str">
        <f t="shared" si="2"/>
        <v>('FLKR', 'EWY'),</v>
      </c>
      <c r="R90" s="362"/>
      <c r="U90" s="362"/>
      <c r="X90" s="362"/>
      <c r="AB90" s="362"/>
      <c r="AF90" s="364"/>
    </row>
    <row r="91" spans="1:32" x14ac:dyDescent="0.25">
      <c r="A91" t="s">
        <v>386</v>
      </c>
      <c r="B91" t="s">
        <v>390</v>
      </c>
      <c r="C91" s="444" t="s">
        <v>552</v>
      </c>
      <c r="D91" s="8" t="s">
        <v>463</v>
      </c>
      <c r="E91" s="8" t="s">
        <v>391</v>
      </c>
      <c r="F91" s="8" t="s">
        <v>392</v>
      </c>
      <c r="G91" s="299">
        <v>20</v>
      </c>
      <c r="H91" s="299">
        <v>2</v>
      </c>
      <c r="J91" s="363" t="str">
        <f>_xlfn.CONCAT("'",scalar_inputs[[#This Row],[lo_px_sym]],"'")</f>
        <v>'FLMX'</v>
      </c>
      <c r="K91" s="363" t="str">
        <f>_xlfn.CONCAT("'",scalar_inputs[[#This Row],[hi_px_sym]],"'")</f>
        <v>'EWW'</v>
      </c>
      <c r="L91" s="443" t="str">
        <f t="shared" si="2"/>
        <v>('FLMX', 'EWW'),</v>
      </c>
      <c r="R91" s="362"/>
      <c r="U91" s="362"/>
      <c r="X91" s="362"/>
      <c r="AB91" s="362"/>
      <c r="AF91" s="364"/>
    </row>
    <row r="92" spans="1:32" x14ac:dyDescent="0.25">
      <c r="A92" t="s">
        <v>386</v>
      </c>
      <c r="B92" t="s">
        <v>399</v>
      </c>
      <c r="C92" s="444" t="s">
        <v>552</v>
      </c>
      <c r="D92" s="8" t="s">
        <v>464</v>
      </c>
      <c r="E92" s="8" t="s">
        <v>400</v>
      </c>
      <c r="F92" s="8" t="s">
        <v>401</v>
      </c>
      <c r="G92" s="299">
        <v>20</v>
      </c>
      <c r="H92" s="299">
        <v>2</v>
      </c>
      <c r="J92" s="363" t="str">
        <f>_xlfn.CONCAT("'",scalar_inputs[[#This Row],[lo_px_sym]],"'")</f>
        <v>'FLTW'</v>
      </c>
      <c r="K92" s="363" t="str">
        <f>_xlfn.CONCAT("'",scalar_inputs[[#This Row],[hi_px_sym]],"'")</f>
        <v>'EWT'</v>
      </c>
      <c r="L92" s="443" t="str">
        <f t="shared" si="2"/>
        <v>('FLTW', 'EWT'),</v>
      </c>
      <c r="R92" s="362"/>
      <c r="U92" s="362"/>
      <c r="X92" s="362"/>
      <c r="AB92" s="362"/>
      <c r="AF92" s="364"/>
    </row>
    <row r="93" spans="1:32" x14ac:dyDescent="0.25">
      <c r="A93" t="s">
        <v>330</v>
      </c>
      <c r="B93" t="s">
        <v>377</v>
      </c>
      <c r="C93" s="444" t="s">
        <v>552</v>
      </c>
      <c r="D93" s="8" t="s">
        <v>469</v>
      </c>
      <c r="E93" s="8" t="s">
        <v>364</v>
      </c>
      <c r="F93" s="8" t="s">
        <v>365</v>
      </c>
      <c r="G93" s="299">
        <v>20</v>
      </c>
      <c r="H93" s="299">
        <v>2</v>
      </c>
      <c r="J93" s="363" t="str">
        <f>_xlfn.CONCAT("'",scalar_inputs[[#This Row],[lo_px_sym]],"'")</f>
        <v>'FTXR'</v>
      </c>
      <c r="K93" s="363" t="str">
        <f>_xlfn.CONCAT("'",scalar_inputs[[#This Row],[hi_px_sym]],"'")</f>
        <v>'IYT'</v>
      </c>
      <c r="L93" s="443" t="str">
        <f t="shared" si="2"/>
        <v>('FTXR', 'IYT'),</v>
      </c>
      <c r="R93" s="362"/>
      <c r="U93" s="362"/>
      <c r="X93" s="362"/>
      <c r="AB93" s="362"/>
      <c r="AF93" s="364"/>
    </row>
    <row r="94" spans="1:32" x14ac:dyDescent="0.25">
      <c r="A94" t="s">
        <v>330</v>
      </c>
      <c r="B94" t="s">
        <v>374</v>
      </c>
      <c r="C94" s="444" t="s">
        <v>552</v>
      </c>
      <c r="D94" s="8" t="s">
        <v>477</v>
      </c>
      <c r="E94" s="8" t="s">
        <v>160</v>
      </c>
      <c r="F94" s="8" t="s">
        <v>363</v>
      </c>
      <c r="G94" s="299">
        <v>20</v>
      </c>
      <c r="H94" s="299">
        <v>2</v>
      </c>
      <c r="J94" s="363" t="str">
        <f>_xlfn.CONCAT("'",scalar_inputs[[#This Row],[lo_px_sym]],"'")</f>
        <v>'IBB'</v>
      </c>
      <c r="K94" s="363" t="str">
        <f>_xlfn.CONCAT("'",scalar_inputs[[#This Row],[hi_px_sym]],"'")</f>
        <v>'BBH'</v>
      </c>
      <c r="L94" s="443" t="str">
        <f t="shared" si="2"/>
        <v>('IBB', 'BBH'),</v>
      </c>
      <c r="R94" s="362"/>
      <c r="U94" s="362"/>
      <c r="X94" s="362"/>
      <c r="AB94" s="362"/>
      <c r="AF94" s="364"/>
    </row>
    <row r="95" spans="1:32" x14ac:dyDescent="0.25">
      <c r="A95" t="s">
        <v>118</v>
      </c>
      <c r="B95" t="s">
        <v>126</v>
      </c>
      <c r="C95" s="444" t="s">
        <v>552</v>
      </c>
      <c r="D95" s="8" t="s">
        <v>487</v>
      </c>
      <c r="E95" s="8" t="s">
        <v>44</v>
      </c>
      <c r="F95" s="8" t="s">
        <v>43</v>
      </c>
      <c r="G95" s="299">
        <v>20</v>
      </c>
      <c r="H95" s="299">
        <v>2</v>
      </c>
      <c r="J95" s="363" t="str">
        <f>_xlfn.CONCAT("'",scalar_inputs[[#This Row],[lo_px_sym]],"'")</f>
        <v>'PFFD'</v>
      </c>
      <c r="K95" s="363" t="str">
        <f>_xlfn.CONCAT("'",scalar_inputs[[#This Row],[hi_px_sym]],"'")</f>
        <v>'PFF'</v>
      </c>
      <c r="L95" s="443" t="str">
        <f t="shared" si="2"/>
        <v>('PFFD', 'PFF'),</v>
      </c>
      <c r="R95" s="362"/>
      <c r="U95" s="362"/>
      <c r="X95" s="362"/>
      <c r="AB95" s="362"/>
      <c r="AF95" s="364"/>
    </row>
    <row r="96" spans="1:32" x14ac:dyDescent="0.25">
      <c r="A96" t="s">
        <v>330</v>
      </c>
      <c r="B96" t="s">
        <v>376</v>
      </c>
      <c r="C96" s="444" t="s">
        <v>552</v>
      </c>
      <c r="D96" s="8" t="s">
        <v>488</v>
      </c>
      <c r="E96" s="8" t="s">
        <v>368</v>
      </c>
      <c r="F96" s="8" t="s">
        <v>369</v>
      </c>
      <c r="G96" s="299">
        <v>20</v>
      </c>
      <c r="H96" s="299">
        <v>2</v>
      </c>
      <c r="J96" s="363" t="str">
        <f>_xlfn.CONCAT("'",scalar_inputs[[#This Row],[lo_px_sym]],"'")</f>
        <v>'PJP'</v>
      </c>
      <c r="K96" s="363" t="str">
        <f>_xlfn.CONCAT("'",scalar_inputs[[#This Row],[hi_px_sym]],"'")</f>
        <v>'IHE'</v>
      </c>
      <c r="L96" s="443" t="str">
        <f t="shared" si="2"/>
        <v>('PJP', 'IHE'),</v>
      </c>
      <c r="R96" s="362"/>
      <c r="U96" s="362"/>
      <c r="X96" s="386"/>
      <c r="Y96" s="386"/>
      <c r="Z96" s="387"/>
      <c r="AA96" s="386"/>
      <c r="AB96" s="362"/>
      <c r="AD96" s="387"/>
      <c r="AF96" s="364"/>
    </row>
    <row r="97" spans="1:32" x14ac:dyDescent="0.25">
      <c r="A97" t="s">
        <v>330</v>
      </c>
      <c r="B97" t="s">
        <v>378</v>
      </c>
      <c r="C97" s="444" t="s">
        <v>552</v>
      </c>
      <c r="D97" s="8" t="s">
        <v>489</v>
      </c>
      <c r="E97" s="8" t="s">
        <v>370</v>
      </c>
      <c r="F97" s="8" t="s">
        <v>371</v>
      </c>
      <c r="G97" s="299">
        <v>20</v>
      </c>
      <c r="H97" s="299">
        <v>2</v>
      </c>
      <c r="J97" s="363" t="str">
        <f>_xlfn.CONCAT("'",scalar_inputs[[#This Row],[lo_px_sym]],"'")</f>
        <v>'PKB'</v>
      </c>
      <c r="K97" s="363" t="str">
        <f>_xlfn.CONCAT("'",scalar_inputs[[#This Row],[hi_px_sym]],"'")</f>
        <v>'ITB'</v>
      </c>
      <c r="L97" s="443" t="str">
        <f t="shared" si="2"/>
        <v>('PKB', 'ITB'),</v>
      </c>
      <c r="R97" s="362"/>
      <c r="U97" s="362"/>
      <c r="X97" s="362"/>
      <c r="AB97" s="362"/>
      <c r="AF97" s="364"/>
    </row>
    <row r="98" spans="1:32" x14ac:dyDescent="0.25">
      <c r="A98" t="s">
        <v>330</v>
      </c>
      <c r="B98" t="s">
        <v>375</v>
      </c>
      <c r="C98" s="444" t="s">
        <v>552</v>
      </c>
      <c r="D98" s="8" t="s">
        <v>490</v>
      </c>
      <c r="E98" s="8" t="s">
        <v>162</v>
      </c>
      <c r="F98" s="8" t="s">
        <v>161</v>
      </c>
      <c r="G98" s="299">
        <v>20</v>
      </c>
      <c r="H98" s="299">
        <v>2</v>
      </c>
      <c r="J98" s="363" t="str">
        <f>_xlfn.CONCAT("'",scalar_inputs[[#This Row],[lo_px_sym]],"'")</f>
        <v>'PPA'</v>
      </c>
      <c r="K98" s="363" t="str">
        <f>_xlfn.CONCAT("'",scalar_inputs[[#This Row],[hi_px_sym]],"'")</f>
        <v>'ITA'</v>
      </c>
      <c r="L98" s="443" t="str">
        <f t="shared" si="2"/>
        <v>('PPA', 'ITA'),</v>
      </c>
      <c r="AF98" s="388"/>
    </row>
    <row r="99" spans="1:32" x14ac:dyDescent="0.25">
      <c r="A99" t="s">
        <v>118</v>
      </c>
      <c r="B99" t="s">
        <v>124</v>
      </c>
      <c r="C99" s="444" t="s">
        <v>552</v>
      </c>
      <c r="D99" s="8" t="s">
        <v>498</v>
      </c>
      <c r="E99" s="8" t="s">
        <v>17</v>
      </c>
      <c r="F99" s="8" t="s">
        <v>18</v>
      </c>
      <c r="G99" s="299">
        <v>20</v>
      </c>
      <c r="H99" s="299">
        <v>2</v>
      </c>
      <c r="J99" s="363" t="str">
        <f>_xlfn.CONCAT("'",scalar_inputs[[#This Row],[lo_px_sym]],"'")</f>
        <v>'SPMB'</v>
      </c>
      <c r="K99" s="363" t="str">
        <f>_xlfn.CONCAT("'",scalar_inputs[[#This Row],[hi_px_sym]],"'")</f>
        <v>'VMBS'</v>
      </c>
      <c r="L99" s="443" t="str">
        <f t="shared" si="2"/>
        <v>('SPMB', 'VMBS'),</v>
      </c>
      <c r="R99" s="362"/>
      <c r="U99" s="362"/>
      <c r="X99" s="362"/>
      <c r="AB99" s="362"/>
      <c r="AF99" s="364"/>
    </row>
    <row r="100" spans="1:32" x14ac:dyDescent="0.25">
      <c r="A100" t="s">
        <v>118</v>
      </c>
      <c r="B100" t="s">
        <v>125</v>
      </c>
      <c r="C100" s="444" t="s">
        <v>552</v>
      </c>
      <c r="D100" s="8" t="s">
        <v>499</v>
      </c>
      <c r="E100" s="8" t="s">
        <v>19</v>
      </c>
      <c r="F100" s="8" t="s">
        <v>3</v>
      </c>
      <c r="G100" s="299">
        <v>20</v>
      </c>
      <c r="H100" s="299">
        <v>2</v>
      </c>
      <c r="J100" s="363" t="str">
        <f>_xlfn.CONCAT("'",scalar_inputs[[#This Row],[lo_px_sym]],"'")</f>
        <v>'TFI'</v>
      </c>
      <c r="K100" s="363" t="str">
        <f>_xlfn.CONCAT("'",scalar_inputs[[#This Row],[hi_px_sym]],"'")</f>
        <v>'MUB'</v>
      </c>
      <c r="L100" s="443" t="str">
        <f t="shared" si="2"/>
        <v>('TFI', 'MUB'),</v>
      </c>
      <c r="R100" s="362"/>
      <c r="U100" s="362"/>
      <c r="X100" s="362"/>
      <c r="AB100" s="362"/>
      <c r="AF100" s="364"/>
    </row>
    <row r="101" spans="1:32" x14ac:dyDescent="0.25">
      <c r="B101" s="450"/>
      <c r="L101" s="393"/>
    </row>
    <row r="102" spans="1:32" x14ac:dyDescent="0.25">
      <c r="A102" t="s">
        <v>105</v>
      </c>
      <c r="B102" t="s">
        <v>112</v>
      </c>
      <c r="C102" s="444" t="s">
        <v>0</v>
      </c>
      <c r="E102" s="8" t="s">
        <v>147</v>
      </c>
      <c r="F102" s="8" t="s">
        <v>149</v>
      </c>
      <c r="H102" s="299">
        <v>2</v>
      </c>
      <c r="J102" s="362"/>
      <c r="K102" s="4"/>
      <c r="N102" s="362"/>
      <c r="O102" s="362"/>
      <c r="P102" s="362"/>
      <c r="Q102" s="394"/>
      <c r="T102" s="392"/>
    </row>
    <row r="103" spans="1:32" x14ac:dyDescent="0.25">
      <c r="A103" t="s">
        <v>105</v>
      </c>
      <c r="B103" t="s">
        <v>109</v>
      </c>
      <c r="C103" s="444" t="s">
        <v>0</v>
      </c>
      <c r="E103" s="8" t="s">
        <v>81</v>
      </c>
      <c r="F103" s="8" t="s">
        <v>82</v>
      </c>
      <c r="H103" s="299">
        <v>2</v>
      </c>
      <c r="J103" s="362"/>
      <c r="K103" s="4"/>
      <c r="N103" s="362"/>
      <c r="O103" s="362"/>
      <c r="P103" s="362"/>
      <c r="Q103" s="394"/>
      <c r="T103" s="392"/>
    </row>
    <row r="104" spans="1:32" x14ac:dyDescent="0.25">
      <c r="A104" t="s">
        <v>105</v>
      </c>
      <c r="B104" t="s">
        <v>111</v>
      </c>
      <c r="C104" s="444" t="s">
        <v>0</v>
      </c>
      <c r="E104" s="8" t="s">
        <v>84</v>
      </c>
      <c r="F104" s="8" t="s">
        <v>85</v>
      </c>
      <c r="H104" s="299">
        <v>2</v>
      </c>
      <c r="J104" s="362"/>
      <c r="K104" s="4"/>
      <c r="N104" s="362"/>
      <c r="O104" s="362"/>
      <c r="P104" s="362"/>
      <c r="Q104" s="394"/>
      <c r="T104" s="392"/>
    </row>
    <row r="105" spans="1:32" x14ac:dyDescent="0.25">
      <c r="A105" t="s">
        <v>105</v>
      </c>
      <c r="B105" t="s">
        <v>110</v>
      </c>
      <c r="C105" s="444" t="s">
        <v>0</v>
      </c>
      <c r="E105" s="8" t="s">
        <v>88</v>
      </c>
      <c r="F105" s="8" t="s">
        <v>89</v>
      </c>
      <c r="H105" s="299">
        <v>2</v>
      </c>
      <c r="J105" s="362"/>
      <c r="K105" s="4"/>
      <c r="M105" s="457"/>
      <c r="N105" s="362"/>
      <c r="O105" s="362"/>
      <c r="P105" s="362"/>
      <c r="Q105" s="394"/>
    </row>
    <row r="106" spans="1:32" x14ac:dyDescent="0.25">
      <c r="A106" t="s">
        <v>105</v>
      </c>
      <c r="B106" t="s">
        <v>131</v>
      </c>
      <c r="C106" s="444" t="s">
        <v>0</v>
      </c>
      <c r="E106" s="8" t="s">
        <v>115</v>
      </c>
      <c r="F106" s="8" t="s">
        <v>114</v>
      </c>
      <c r="H106" s="299">
        <v>2</v>
      </c>
      <c r="J106" s="362"/>
      <c r="K106" s="4"/>
      <c r="N106" s="362"/>
      <c r="O106" s="362"/>
      <c r="P106" s="362"/>
      <c r="Q106" s="394"/>
    </row>
    <row r="107" spans="1:32" x14ac:dyDescent="0.25">
      <c r="A107" t="s">
        <v>105</v>
      </c>
      <c r="B107" t="s">
        <v>106</v>
      </c>
      <c r="C107" s="444" t="s">
        <v>0</v>
      </c>
      <c r="E107" s="8" t="s">
        <v>116</v>
      </c>
      <c r="F107" s="8" t="s">
        <v>78</v>
      </c>
      <c r="H107" s="299">
        <v>2</v>
      </c>
      <c r="J107" s="362"/>
      <c r="K107" s="4"/>
      <c r="N107" s="362"/>
      <c r="O107" s="362"/>
      <c r="P107" s="362"/>
      <c r="Q107" s="394"/>
    </row>
    <row r="108" spans="1:32" x14ac:dyDescent="0.25">
      <c r="A108" t="s">
        <v>105</v>
      </c>
      <c r="B108" t="s">
        <v>128</v>
      </c>
      <c r="C108" s="444" t="s">
        <v>0</v>
      </c>
      <c r="E108" s="8" t="s">
        <v>99</v>
      </c>
      <c r="F108" s="8" t="s">
        <v>98</v>
      </c>
      <c r="H108" s="299">
        <v>2</v>
      </c>
      <c r="J108" s="362"/>
      <c r="K108" s="4"/>
      <c r="N108" s="362"/>
      <c r="O108" s="362"/>
      <c r="P108" s="362"/>
      <c r="Q108" s="394"/>
    </row>
    <row r="109" spans="1:32" x14ac:dyDescent="0.25">
      <c r="A109" t="s">
        <v>105</v>
      </c>
      <c r="B109" t="s">
        <v>107</v>
      </c>
      <c r="C109" s="444" t="s">
        <v>0</v>
      </c>
      <c r="E109" s="8" t="s">
        <v>102</v>
      </c>
      <c r="F109" s="8" t="s">
        <v>103</v>
      </c>
      <c r="H109" s="299">
        <v>2</v>
      </c>
      <c r="J109" s="362"/>
      <c r="K109" s="4"/>
      <c r="N109" s="362"/>
      <c r="O109" s="362"/>
      <c r="P109" s="362"/>
      <c r="Q109" s="394"/>
    </row>
    <row r="110" spans="1:32" x14ac:dyDescent="0.25">
      <c r="A110" t="s">
        <v>105</v>
      </c>
      <c r="B110" t="s">
        <v>108</v>
      </c>
      <c r="C110" s="444" t="s">
        <v>0</v>
      </c>
      <c r="E110" s="8" t="s">
        <v>95</v>
      </c>
      <c r="F110" s="8" t="s">
        <v>94</v>
      </c>
      <c r="H110" s="299">
        <v>2</v>
      </c>
      <c r="J110" s="362"/>
      <c r="K110" s="4"/>
      <c r="N110" s="362"/>
      <c r="O110" s="362"/>
      <c r="P110" s="362"/>
      <c r="Q110" s="394"/>
    </row>
    <row r="112" spans="1:32" x14ac:dyDescent="0.25">
      <c r="E112" t="s">
        <v>360</v>
      </c>
      <c r="F112" t="s">
        <v>361</v>
      </c>
      <c r="G112"/>
    </row>
    <row r="113" spans="5:17" x14ac:dyDescent="0.25">
      <c r="E113" t="s">
        <v>359</v>
      </c>
    </row>
    <row r="117" spans="5:17" x14ac:dyDescent="0.25">
      <c r="I117" s="8"/>
      <c r="J117" s="442"/>
      <c r="L117" s="393"/>
      <c r="N117" s="442"/>
      <c r="O117" s="442"/>
      <c r="P117" s="442"/>
      <c r="Q117" s="361"/>
    </row>
    <row r="126" spans="5:17" x14ac:dyDescent="0.25">
      <c r="E126" s="441"/>
    </row>
    <row r="127" spans="5:17" x14ac:dyDescent="0.25">
      <c r="E127" s="441"/>
    </row>
    <row r="128" spans="5:17" x14ac:dyDescent="0.25">
      <c r="E128" s="441"/>
    </row>
    <row r="129" spans="5:5" x14ac:dyDescent="0.25">
      <c r="E129" s="441"/>
    </row>
    <row r="131" spans="5:5" x14ac:dyDescent="0.25">
      <c r="E131" s="441"/>
    </row>
    <row r="134" spans="5:5" x14ac:dyDescent="0.25">
      <c r="E134" s="441"/>
    </row>
    <row r="135" spans="5:5" x14ac:dyDescent="0.25">
      <c r="E135" s="441"/>
    </row>
    <row r="136" spans="5:5" x14ac:dyDescent="0.25">
      <c r="E136" s="441"/>
    </row>
    <row r="137" spans="5:5" x14ac:dyDescent="0.25">
      <c r="E137" s="441"/>
    </row>
    <row r="138" spans="5:5" x14ac:dyDescent="0.25">
      <c r="E138" s="441"/>
    </row>
    <row r="140" spans="5:5" x14ac:dyDescent="0.25">
      <c r="E140" s="441"/>
    </row>
    <row r="141" spans="5:5" x14ac:dyDescent="0.25">
      <c r="E141" s="441"/>
    </row>
    <row r="142" spans="5:5" x14ac:dyDescent="0.25">
      <c r="E142" s="441"/>
    </row>
    <row r="143" spans="5:5" x14ac:dyDescent="0.25">
      <c r="E143" s="441"/>
    </row>
    <row r="146" spans="5:5" x14ac:dyDescent="0.25">
      <c r="E146" s="441"/>
    </row>
    <row r="147" spans="5:5" x14ac:dyDescent="0.25">
      <c r="E147" s="441"/>
    </row>
    <row r="148" spans="5:5" x14ac:dyDescent="0.25">
      <c r="E148" s="441"/>
    </row>
    <row r="149" spans="5:5" x14ac:dyDescent="0.25">
      <c r="E149" s="441"/>
    </row>
    <row r="150" spans="5:5" x14ac:dyDescent="0.25">
      <c r="E150" s="441"/>
    </row>
    <row r="151" spans="5:5" x14ac:dyDescent="0.25">
      <c r="E151" s="441"/>
    </row>
    <row r="153" spans="5:5" x14ac:dyDescent="0.25">
      <c r="E153" s="441"/>
    </row>
    <row r="154" spans="5:5" x14ac:dyDescent="0.25">
      <c r="E154" s="441"/>
    </row>
    <row r="155" spans="5:5" x14ac:dyDescent="0.25">
      <c r="E155" s="441"/>
    </row>
    <row r="156" spans="5:5" x14ac:dyDescent="0.25">
      <c r="E156" s="441"/>
    </row>
    <row r="158" spans="5:5" x14ac:dyDescent="0.25">
      <c r="E158" s="441"/>
    </row>
    <row r="159" spans="5:5" x14ac:dyDescent="0.25">
      <c r="E159" s="441"/>
    </row>
    <row r="160" spans="5:5" x14ac:dyDescent="0.25">
      <c r="E160" s="441"/>
    </row>
    <row r="161" spans="5:5" x14ac:dyDescent="0.25">
      <c r="E161" s="441"/>
    </row>
    <row r="162" spans="5:5" x14ac:dyDescent="0.25">
      <c r="E162" s="441"/>
    </row>
    <row r="163" spans="5:5" x14ac:dyDescent="0.25">
      <c r="E163" s="441"/>
    </row>
    <row r="164" spans="5:5" x14ac:dyDescent="0.25">
      <c r="E164" s="441"/>
    </row>
    <row r="165" spans="5:5" x14ac:dyDescent="0.25">
      <c r="E165" s="441"/>
    </row>
    <row r="166" spans="5:5" x14ac:dyDescent="0.25">
      <c r="E166" s="441"/>
    </row>
    <row r="167" spans="5:5" x14ac:dyDescent="0.25">
      <c r="E167" s="441"/>
    </row>
    <row r="168" spans="5:5" x14ac:dyDescent="0.25">
      <c r="E168" s="441"/>
    </row>
    <row r="169" spans="5:5" x14ac:dyDescent="0.25">
      <c r="E169" s="441"/>
    </row>
    <row r="170" spans="5:5" x14ac:dyDescent="0.25">
      <c r="E170" s="441"/>
    </row>
    <row r="171" spans="5:5" x14ac:dyDescent="0.25">
      <c r="E171" s="441"/>
    </row>
    <row r="172" spans="5:5" x14ac:dyDescent="0.25">
      <c r="E172" s="441"/>
    </row>
    <row r="173" spans="5:5" x14ac:dyDescent="0.25">
      <c r="E173" s="441"/>
    </row>
    <row r="174" spans="5:5" x14ac:dyDescent="0.25">
      <c r="E174" s="441"/>
    </row>
    <row r="175" spans="5:5" x14ac:dyDescent="0.25">
      <c r="E175" s="441"/>
    </row>
    <row r="176" spans="5:5" x14ac:dyDescent="0.25">
      <c r="E176" s="441"/>
    </row>
    <row r="177" spans="5:5" x14ac:dyDescent="0.25">
      <c r="E177" s="441"/>
    </row>
    <row r="178" spans="5:5" x14ac:dyDescent="0.25">
      <c r="E178" s="441"/>
    </row>
    <row r="179" spans="5:5" x14ac:dyDescent="0.25">
      <c r="E179" s="441"/>
    </row>
    <row r="180" spans="5:5" x14ac:dyDescent="0.25">
      <c r="E180" s="441"/>
    </row>
    <row r="181" spans="5:5" x14ac:dyDescent="0.25">
      <c r="E181" s="441"/>
    </row>
    <row r="182" spans="5:5" x14ac:dyDescent="0.25">
      <c r="E182" s="441"/>
    </row>
    <row r="183" spans="5:5" x14ac:dyDescent="0.25">
      <c r="E183" s="441"/>
    </row>
    <row r="184" spans="5:5" x14ac:dyDescent="0.25">
      <c r="E184" s="441"/>
    </row>
    <row r="185" spans="5:5" x14ac:dyDescent="0.25">
      <c r="E185" s="441"/>
    </row>
    <row r="186" spans="5:5" x14ac:dyDescent="0.25">
      <c r="E186" s="441"/>
    </row>
    <row r="187" spans="5:5" x14ac:dyDescent="0.25">
      <c r="E187" s="441"/>
    </row>
    <row r="188" spans="5:5" x14ac:dyDescent="0.25">
      <c r="E188" s="441"/>
    </row>
    <row r="189" spans="5:5" x14ac:dyDescent="0.25">
      <c r="E189" s="441"/>
    </row>
    <row r="190" spans="5:5" x14ac:dyDescent="0.25">
      <c r="E190" s="441"/>
    </row>
    <row r="191" spans="5:5" x14ac:dyDescent="0.25">
      <c r="E191" s="441"/>
    </row>
    <row r="192" spans="5:5" x14ac:dyDescent="0.25">
      <c r="E192" s="441"/>
    </row>
    <row r="193" spans="5:5" x14ac:dyDescent="0.25">
      <c r="E193" s="441"/>
    </row>
    <row r="194" spans="5:5" x14ac:dyDescent="0.25">
      <c r="E194" s="441"/>
    </row>
    <row r="195" spans="5:5" x14ac:dyDescent="0.25">
      <c r="E195" s="441"/>
    </row>
    <row r="196" spans="5:5" x14ac:dyDescent="0.25">
      <c r="E196" s="441"/>
    </row>
    <row r="197" spans="5:5" x14ac:dyDescent="0.25">
      <c r="E197" s="441"/>
    </row>
    <row r="198" spans="5:5" x14ac:dyDescent="0.25">
      <c r="E198" s="441"/>
    </row>
    <row r="199" spans="5:5" x14ac:dyDescent="0.25">
      <c r="E199" s="441"/>
    </row>
    <row r="200" spans="5:5" x14ac:dyDescent="0.25">
      <c r="E200" s="441"/>
    </row>
    <row r="201" spans="5:5" x14ac:dyDescent="0.25">
      <c r="E201" s="441"/>
    </row>
    <row r="202" spans="5:5" x14ac:dyDescent="0.25">
      <c r="E202" s="441"/>
    </row>
    <row r="203" spans="5:5" x14ac:dyDescent="0.25">
      <c r="E203" s="441"/>
    </row>
    <row r="204" spans="5:5" x14ac:dyDescent="0.25">
      <c r="E204" s="441"/>
    </row>
    <row r="205" spans="5:5" x14ac:dyDescent="0.25">
      <c r="E205" s="441"/>
    </row>
    <row r="206" spans="5:5" x14ac:dyDescent="0.25">
      <c r="E206" s="441"/>
    </row>
    <row r="207" spans="5:5" x14ac:dyDescent="0.25">
      <c r="E207" s="441"/>
    </row>
    <row r="208" spans="5:5" x14ac:dyDescent="0.25">
      <c r="E208" s="441"/>
    </row>
    <row r="209" spans="5:5" x14ac:dyDescent="0.25">
      <c r="E209" s="441"/>
    </row>
    <row r="210" spans="5:5" x14ac:dyDescent="0.25">
      <c r="E210" s="441"/>
    </row>
    <row r="211" spans="5:5" x14ac:dyDescent="0.25">
      <c r="E211" s="441"/>
    </row>
    <row r="212" spans="5:5" x14ac:dyDescent="0.25">
      <c r="E212" s="441"/>
    </row>
    <row r="213" spans="5:5" x14ac:dyDescent="0.25">
      <c r="E213" s="441"/>
    </row>
    <row r="214" spans="5:5" x14ac:dyDescent="0.25">
      <c r="E214" s="441"/>
    </row>
    <row r="215" spans="5:5" x14ac:dyDescent="0.25">
      <c r="E215" s="441"/>
    </row>
    <row r="216" spans="5:5" x14ac:dyDescent="0.25">
      <c r="E216" s="441"/>
    </row>
    <row r="217" spans="5:5" x14ac:dyDescent="0.25">
      <c r="E217" s="441"/>
    </row>
    <row r="218" spans="5:5" x14ac:dyDescent="0.25">
      <c r="E218" s="441"/>
    </row>
    <row r="219" spans="5:5" x14ac:dyDescent="0.25">
      <c r="E219" s="441"/>
    </row>
    <row r="220" spans="5:5" x14ac:dyDescent="0.25">
      <c r="E220" s="441"/>
    </row>
    <row r="221" spans="5:5" x14ac:dyDescent="0.25">
      <c r="E221" s="441"/>
    </row>
    <row r="222" spans="5:5" x14ac:dyDescent="0.25">
      <c r="E222" s="441"/>
    </row>
    <row r="223" spans="5:5" x14ac:dyDescent="0.25">
      <c r="E223" s="441"/>
    </row>
    <row r="224" spans="5:5" x14ac:dyDescent="0.25">
      <c r="E224" s="441"/>
    </row>
  </sheetData>
  <sortState xmlns:xlrd2="http://schemas.microsoft.com/office/spreadsheetml/2017/richdata2" ref="M1:M224">
    <sortCondition ref="M1:M224"/>
  </sortState>
  <phoneticPr fontId="2" type="noConversion"/>
  <conditionalFormatting sqref="H2:H100">
    <cfRule type="cellIs" dxfId="461" priority="7" operator="equal">
      <formula>2</formula>
    </cfRule>
  </conditionalFormatting>
  <conditionalFormatting sqref="H2:H100">
    <cfRule type="cellIs" dxfId="460" priority="6" operator="equal">
      <formula>1</formula>
    </cfRule>
  </conditionalFormatting>
  <conditionalFormatting sqref="AD111:AD1048576 Z111:Z1048576 Z1:Z100 AD1:AD100">
    <cfRule type="cellIs" dxfId="459" priority="5" operator="between">
      <formula>0.000001</formula>
      <formula>1.5</formula>
    </cfRule>
  </conditionalFormatting>
  <conditionalFormatting sqref="Z102:Z110 AD102:AD110">
    <cfRule type="cellIs" dxfId="458" priority="2" operator="between">
      <formula>0.000001</formula>
      <formula>1.5</formula>
    </cfRule>
  </conditionalFormatting>
  <conditionalFormatting sqref="M3:M198">
    <cfRule type="duplicateValues" dxfId="457" priority="1"/>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6CDDC-7782-4403-AB78-7ED1C8D15CDF}">
  <sheetPr codeName="Sheet5"/>
  <dimension ref="A1:AU175"/>
  <sheetViews>
    <sheetView zoomScale="85" zoomScaleNormal="85" workbookViewId="0">
      <pane ySplit="1" topLeftCell="A64" activePane="bottomLeft" state="frozen"/>
      <selection pane="bottomLeft" activeCell="G89" sqref="G89"/>
    </sheetView>
  </sheetViews>
  <sheetFormatPr defaultRowHeight="15" x14ac:dyDescent="0.25"/>
  <cols>
    <col min="1" max="1" width="12.140625" bestFit="1" customWidth="1"/>
    <col min="2" max="2" width="14.85546875" bestFit="1" customWidth="1"/>
    <col min="3" max="3" width="12" style="444" bestFit="1" customWidth="1"/>
    <col min="4" max="4" width="15.42578125" bestFit="1" customWidth="1"/>
    <col min="5" max="5" width="10.28515625" bestFit="1" customWidth="1"/>
    <col min="6" max="6" width="10.28515625" style="439" bestFit="1" customWidth="1"/>
    <col min="7" max="7" width="16.5703125" style="440" bestFit="1" customWidth="1"/>
    <col min="8" max="8" width="11.5703125" style="1" bestFit="1" customWidth="1"/>
    <col min="9" max="9" width="11.5703125" style="401" bestFit="1" customWidth="1"/>
    <col min="10" max="10" width="12.140625" style="453" bestFit="1" customWidth="1"/>
    <col min="11" max="11" width="12.140625" style="454" bestFit="1" customWidth="1"/>
    <col min="12" max="12" width="13" style="147" customWidth="1"/>
    <col min="18" max="18" width="10.140625" bestFit="1" customWidth="1"/>
    <col min="19" max="19" width="13.28515625" bestFit="1" customWidth="1"/>
    <col min="21" max="21" width="13.28515625" bestFit="1" customWidth="1"/>
  </cols>
  <sheetData>
    <row r="1" spans="1:47" s="3" customFormat="1" x14ac:dyDescent="0.25">
      <c r="A1" s="5" t="s">
        <v>431</v>
      </c>
      <c r="B1" s="5" t="s">
        <v>432</v>
      </c>
      <c r="C1" s="5" t="s">
        <v>433</v>
      </c>
      <c r="D1" s="5" t="s">
        <v>545</v>
      </c>
      <c r="E1" s="5" t="s">
        <v>546</v>
      </c>
      <c r="F1" s="437" t="s">
        <v>547</v>
      </c>
      <c r="G1" s="438" t="s">
        <v>8</v>
      </c>
      <c r="H1" s="68" t="s">
        <v>341</v>
      </c>
      <c r="I1" s="400" t="s">
        <v>548</v>
      </c>
      <c r="J1" s="451" t="s">
        <v>549</v>
      </c>
      <c r="K1" s="452" t="s">
        <v>550</v>
      </c>
      <c r="L1" s="146"/>
    </row>
    <row r="2" spans="1:47" x14ac:dyDescent="0.25">
      <c r="A2" t="s">
        <v>416</v>
      </c>
      <c r="B2" t="s">
        <v>215</v>
      </c>
      <c r="C2" s="444" t="s">
        <v>552</v>
      </c>
      <c r="D2" t="s">
        <v>446</v>
      </c>
      <c r="E2" t="s">
        <v>217</v>
      </c>
      <c r="F2" s="439" t="s">
        <v>216</v>
      </c>
      <c r="G2" s="440">
        <v>20</v>
      </c>
      <c r="H2" s="1">
        <v>0</v>
      </c>
      <c r="I2" s="401">
        <v>1.1025478798047632</v>
      </c>
      <c r="J2" s="453">
        <v>0</v>
      </c>
      <c r="K2" s="454">
        <v>0</v>
      </c>
      <c r="V2" s="397"/>
      <c r="W2" s="397"/>
      <c r="Z2" s="397"/>
      <c r="AA2" s="397"/>
      <c r="AD2" s="397"/>
      <c r="AE2" s="397"/>
      <c r="AF2" s="397"/>
      <c r="AG2" s="397"/>
      <c r="AH2" s="397"/>
      <c r="AI2" s="397"/>
      <c r="AJ2" s="397"/>
      <c r="AK2" s="397"/>
      <c r="AL2" s="397"/>
      <c r="AM2" s="397"/>
      <c r="AN2" s="397"/>
      <c r="AO2" s="397"/>
      <c r="AP2" s="397"/>
      <c r="AQ2" s="397"/>
      <c r="AR2" s="397"/>
      <c r="AS2" s="397"/>
      <c r="AT2" s="397"/>
      <c r="AU2" s="397"/>
    </row>
    <row r="3" spans="1:47" x14ac:dyDescent="0.25">
      <c r="A3" t="s">
        <v>416</v>
      </c>
      <c r="B3" t="s">
        <v>206</v>
      </c>
      <c r="C3" s="444" t="s">
        <v>552</v>
      </c>
      <c r="D3" t="s">
        <v>447</v>
      </c>
      <c r="E3" t="s">
        <v>208</v>
      </c>
      <c r="F3" s="439" t="s">
        <v>207</v>
      </c>
      <c r="G3" s="440">
        <v>20</v>
      </c>
      <c r="H3" s="1">
        <v>0</v>
      </c>
      <c r="I3" s="401">
        <v>1.0212266262615632</v>
      </c>
      <c r="J3" s="453">
        <v>0</v>
      </c>
      <c r="K3" s="454">
        <v>0</v>
      </c>
      <c r="V3" s="397"/>
      <c r="W3" s="397"/>
      <c r="Z3" s="397"/>
      <c r="AA3" s="397"/>
      <c r="AD3" s="397"/>
      <c r="AE3" s="397"/>
      <c r="AF3" s="397"/>
      <c r="AG3" s="397"/>
      <c r="AH3" s="397"/>
      <c r="AI3" s="397"/>
      <c r="AJ3" s="397"/>
      <c r="AK3" s="397"/>
      <c r="AL3" s="397"/>
      <c r="AM3" s="397"/>
      <c r="AN3" s="397"/>
      <c r="AO3" s="397"/>
      <c r="AP3" s="397"/>
      <c r="AQ3" s="397"/>
      <c r="AR3" s="397"/>
      <c r="AS3" s="397"/>
      <c r="AT3" s="397"/>
      <c r="AU3" s="397"/>
    </row>
    <row r="4" spans="1:47" x14ac:dyDescent="0.25">
      <c r="A4" t="s">
        <v>118</v>
      </c>
      <c r="B4" t="s">
        <v>119</v>
      </c>
      <c r="C4" s="444" t="s">
        <v>552</v>
      </c>
      <c r="D4" t="s">
        <v>448</v>
      </c>
      <c r="E4" t="s">
        <v>6</v>
      </c>
      <c r="F4" s="439" t="s">
        <v>7</v>
      </c>
      <c r="G4" s="440">
        <v>20</v>
      </c>
      <c r="H4" s="1">
        <v>0</v>
      </c>
      <c r="I4" s="401">
        <v>1.3471198792567962</v>
      </c>
      <c r="J4" s="453">
        <v>0</v>
      </c>
      <c r="K4" s="454">
        <v>0</v>
      </c>
      <c r="V4" s="397"/>
      <c r="W4" s="397"/>
    </row>
    <row r="5" spans="1:47" x14ac:dyDescent="0.25">
      <c r="A5" t="s">
        <v>416</v>
      </c>
      <c r="B5" t="s">
        <v>155</v>
      </c>
      <c r="C5" s="444" t="s">
        <v>552</v>
      </c>
      <c r="D5" t="s">
        <v>449</v>
      </c>
      <c r="E5" t="s">
        <v>157</v>
      </c>
      <c r="F5" s="439" t="s">
        <v>156</v>
      </c>
      <c r="G5" s="440">
        <v>20</v>
      </c>
      <c r="H5" s="1">
        <v>0</v>
      </c>
      <c r="I5" s="401">
        <v>1500.6956051970342</v>
      </c>
      <c r="J5" s="453">
        <v>0</v>
      </c>
      <c r="K5" s="454">
        <v>0</v>
      </c>
      <c r="V5" s="397"/>
      <c r="W5" s="397"/>
    </row>
    <row r="6" spans="1:47" x14ac:dyDescent="0.25">
      <c r="A6" t="s">
        <v>118</v>
      </c>
      <c r="B6" t="s">
        <v>127</v>
      </c>
      <c r="C6" s="444" t="s">
        <v>552</v>
      </c>
      <c r="D6" t="s">
        <v>450</v>
      </c>
      <c r="E6" t="s">
        <v>36</v>
      </c>
      <c r="F6" s="439" t="s">
        <v>47</v>
      </c>
      <c r="G6" s="440">
        <v>20</v>
      </c>
      <c r="H6" s="1">
        <v>2</v>
      </c>
      <c r="I6" s="401">
        <v>1.743183335924225</v>
      </c>
      <c r="J6" s="453">
        <v>1.267263</v>
      </c>
      <c r="K6" s="454">
        <v>2.3209</v>
      </c>
      <c r="V6" s="397"/>
      <c r="W6" s="397"/>
      <c r="Z6" s="397"/>
      <c r="AA6" s="397"/>
    </row>
    <row r="7" spans="1:47" x14ac:dyDescent="0.25">
      <c r="A7" t="s">
        <v>118</v>
      </c>
      <c r="B7" t="s">
        <v>122</v>
      </c>
      <c r="C7" s="444" t="s">
        <v>552</v>
      </c>
      <c r="D7" t="s">
        <v>451</v>
      </c>
      <c r="E7" t="s">
        <v>37</v>
      </c>
      <c r="F7" s="439" t="s">
        <v>41</v>
      </c>
      <c r="G7" s="440">
        <v>20</v>
      </c>
      <c r="H7" s="1">
        <v>2</v>
      </c>
      <c r="I7" s="401">
        <v>1.1096403270639605</v>
      </c>
      <c r="J7" s="453">
        <v>1.1624699999999999</v>
      </c>
      <c r="K7" s="454">
        <v>1.152731</v>
      </c>
      <c r="V7" s="397"/>
      <c r="W7" s="397"/>
      <c r="Z7" s="397"/>
      <c r="AA7" s="397"/>
      <c r="AF7" s="397"/>
      <c r="AG7" s="397"/>
      <c r="AL7" s="397"/>
      <c r="AM7" s="397"/>
      <c r="AR7" s="397"/>
      <c r="AS7" s="397"/>
    </row>
    <row r="8" spans="1:47" x14ac:dyDescent="0.25">
      <c r="A8" t="s">
        <v>386</v>
      </c>
      <c r="B8" t="s">
        <v>396</v>
      </c>
      <c r="C8" s="444" t="s">
        <v>552</v>
      </c>
      <c r="D8" t="s">
        <v>452</v>
      </c>
      <c r="E8" t="s">
        <v>397</v>
      </c>
      <c r="F8" s="439" t="s">
        <v>398</v>
      </c>
      <c r="G8" s="440">
        <v>20</v>
      </c>
      <c r="H8" s="1">
        <v>2</v>
      </c>
      <c r="I8" s="401">
        <v>1.1928799174686886</v>
      </c>
      <c r="J8" s="453">
        <v>0.40486</v>
      </c>
      <c r="K8" s="454">
        <v>0.48543999999999998</v>
      </c>
      <c r="V8" s="397"/>
      <c r="W8" s="397"/>
      <c r="Z8" s="397"/>
      <c r="AA8" s="397"/>
      <c r="AF8" s="397"/>
      <c r="AG8" s="397"/>
      <c r="AL8" s="397"/>
      <c r="AM8" s="397"/>
      <c r="AR8" s="397"/>
      <c r="AS8" s="397"/>
    </row>
    <row r="9" spans="1:47" x14ac:dyDescent="0.25">
      <c r="A9" t="s">
        <v>386</v>
      </c>
      <c r="B9" t="s">
        <v>387</v>
      </c>
      <c r="C9" s="444" t="s">
        <v>552</v>
      </c>
      <c r="D9" t="s">
        <v>453</v>
      </c>
      <c r="E9" t="s">
        <v>388</v>
      </c>
      <c r="F9" s="439" t="s">
        <v>389</v>
      </c>
      <c r="G9" s="440">
        <v>20</v>
      </c>
      <c r="H9" s="1">
        <v>2</v>
      </c>
      <c r="I9" s="401">
        <v>1.7306778776200695</v>
      </c>
      <c r="J9" s="453">
        <v>0.27550000000000002</v>
      </c>
      <c r="K9" s="454">
        <v>1.13253</v>
      </c>
      <c r="V9" s="397"/>
      <c r="W9" s="397"/>
      <c r="Z9" s="397"/>
      <c r="AA9" s="397"/>
      <c r="AD9" s="397"/>
      <c r="AE9" s="397"/>
      <c r="AF9" s="397"/>
      <c r="AG9" s="397"/>
      <c r="AH9" s="397"/>
      <c r="AI9" s="397"/>
      <c r="AJ9" s="397"/>
      <c r="AK9" s="397"/>
      <c r="AL9" s="397"/>
      <c r="AM9" s="397"/>
      <c r="AN9" s="397"/>
      <c r="AO9" s="397"/>
      <c r="AP9" s="397"/>
      <c r="AQ9" s="397"/>
      <c r="AR9" s="397"/>
      <c r="AS9" s="397"/>
      <c r="AT9" s="397"/>
      <c r="AU9" s="397"/>
    </row>
    <row r="10" spans="1:47" x14ac:dyDescent="0.25">
      <c r="A10" t="s">
        <v>386</v>
      </c>
      <c r="B10" t="s">
        <v>408</v>
      </c>
      <c r="C10" s="444" t="s">
        <v>552</v>
      </c>
      <c r="D10" t="s">
        <v>454</v>
      </c>
      <c r="E10" t="s">
        <v>409</v>
      </c>
      <c r="F10" s="439" t="s">
        <v>410</v>
      </c>
      <c r="G10" s="440">
        <v>20</v>
      </c>
      <c r="H10" s="1">
        <v>2</v>
      </c>
      <c r="I10" s="401">
        <v>1.3974266802134561</v>
      </c>
      <c r="J10" s="453">
        <v>0.83157999999999999</v>
      </c>
      <c r="K10" s="454">
        <v>0.84219999999999995</v>
      </c>
      <c r="V10" s="397"/>
      <c r="W10" s="397"/>
      <c r="Z10" s="397"/>
      <c r="AA10" s="397"/>
      <c r="AD10" s="397"/>
      <c r="AE10" s="397"/>
      <c r="AF10" s="397"/>
      <c r="AG10" s="397"/>
      <c r="AH10" s="397"/>
      <c r="AI10" s="397"/>
      <c r="AJ10" s="397"/>
      <c r="AK10" s="397"/>
      <c r="AL10" s="397"/>
      <c r="AM10" s="397"/>
      <c r="AN10" s="397"/>
      <c r="AO10" s="397"/>
      <c r="AP10" s="397"/>
      <c r="AQ10" s="397"/>
      <c r="AR10" s="397"/>
      <c r="AS10" s="397"/>
      <c r="AT10" s="397"/>
      <c r="AU10" s="397"/>
    </row>
    <row r="11" spans="1:47" x14ac:dyDescent="0.25">
      <c r="A11" t="s">
        <v>118</v>
      </c>
      <c r="B11" t="s">
        <v>120</v>
      </c>
      <c r="C11" s="444" t="s">
        <v>552</v>
      </c>
      <c r="D11" t="s">
        <v>455</v>
      </c>
      <c r="E11" t="s">
        <v>39</v>
      </c>
      <c r="F11" s="439" t="s">
        <v>33</v>
      </c>
      <c r="G11" s="440">
        <v>20</v>
      </c>
      <c r="H11" s="1">
        <v>2</v>
      </c>
      <c r="I11" s="401">
        <v>1.0700343422243339</v>
      </c>
      <c r="J11" s="453">
        <v>1.319258</v>
      </c>
      <c r="K11" s="454">
        <v>1.4405999999999999</v>
      </c>
      <c r="V11" s="397"/>
      <c r="W11" s="397"/>
    </row>
    <row r="12" spans="1:47" x14ac:dyDescent="0.25">
      <c r="A12" t="s">
        <v>105</v>
      </c>
      <c r="B12" t="s">
        <v>112</v>
      </c>
      <c r="C12" s="444" t="s">
        <v>552</v>
      </c>
      <c r="D12" t="s">
        <v>456</v>
      </c>
      <c r="E12" t="s">
        <v>146</v>
      </c>
      <c r="F12" s="439" t="s">
        <v>149</v>
      </c>
      <c r="G12" s="440">
        <v>20</v>
      </c>
      <c r="H12" s="1">
        <v>1</v>
      </c>
      <c r="I12" s="401">
        <v>3.8498971710079077</v>
      </c>
      <c r="J12" s="453">
        <v>0</v>
      </c>
      <c r="K12" s="454">
        <v>0</v>
      </c>
      <c r="V12" s="397"/>
      <c r="W12" s="397"/>
    </row>
    <row r="13" spans="1:47" x14ac:dyDescent="0.25">
      <c r="A13" t="s">
        <v>105</v>
      </c>
      <c r="B13" t="s">
        <v>109</v>
      </c>
      <c r="C13" s="444" t="s">
        <v>552</v>
      </c>
      <c r="D13" t="s">
        <v>457</v>
      </c>
      <c r="E13" t="s">
        <v>80</v>
      </c>
      <c r="F13" s="439" t="s">
        <v>82</v>
      </c>
      <c r="G13" s="440">
        <v>20</v>
      </c>
      <c r="H13" s="1">
        <v>1</v>
      </c>
      <c r="I13" s="401">
        <v>5.0804910874323221</v>
      </c>
      <c r="J13" s="453">
        <v>0</v>
      </c>
      <c r="K13" s="454">
        <v>0</v>
      </c>
      <c r="V13" s="397"/>
      <c r="W13" s="397"/>
      <c r="Z13" s="397"/>
      <c r="AA13" s="397"/>
      <c r="AB13" s="397"/>
      <c r="AC13" s="397"/>
      <c r="AD13" s="397"/>
      <c r="AE13" s="397"/>
      <c r="AF13" s="397"/>
      <c r="AG13" s="397"/>
      <c r="AH13" s="397"/>
      <c r="AI13" s="397"/>
      <c r="AJ13" s="397"/>
      <c r="AK13" s="397"/>
      <c r="AL13" s="397"/>
      <c r="AM13" s="397"/>
      <c r="AN13" s="397"/>
      <c r="AO13" s="397"/>
      <c r="AP13" s="397"/>
      <c r="AQ13" s="397"/>
      <c r="AR13" s="397"/>
      <c r="AS13" s="397"/>
      <c r="AT13" s="397"/>
      <c r="AU13" s="397"/>
    </row>
    <row r="14" spans="1:47" x14ac:dyDescent="0.25">
      <c r="A14" t="s">
        <v>105</v>
      </c>
      <c r="B14" t="s">
        <v>110</v>
      </c>
      <c r="C14" s="444" t="s">
        <v>552</v>
      </c>
      <c r="D14" t="s">
        <v>458</v>
      </c>
      <c r="E14" t="s">
        <v>87</v>
      </c>
      <c r="F14" s="439" t="s">
        <v>89</v>
      </c>
      <c r="G14" s="440">
        <v>20</v>
      </c>
      <c r="H14" s="1">
        <v>1</v>
      </c>
      <c r="I14" s="401">
        <v>3.8688675686628429</v>
      </c>
      <c r="J14" s="453">
        <v>0</v>
      </c>
      <c r="K14" s="454">
        <v>0</v>
      </c>
      <c r="V14" s="397"/>
      <c r="W14" s="397"/>
      <c r="Z14" s="397"/>
      <c r="AA14" s="397"/>
      <c r="AB14" s="397"/>
      <c r="AC14" s="397"/>
      <c r="AD14" s="397"/>
      <c r="AE14" s="397"/>
      <c r="AF14" s="397"/>
      <c r="AG14" s="397"/>
      <c r="AH14" s="397"/>
      <c r="AI14" s="397"/>
      <c r="AJ14" s="397"/>
      <c r="AK14" s="397"/>
      <c r="AL14" s="397"/>
      <c r="AM14" s="397"/>
      <c r="AN14" s="397"/>
      <c r="AO14" s="397"/>
      <c r="AP14" s="397"/>
      <c r="AQ14" s="397"/>
      <c r="AR14" s="397"/>
      <c r="AS14" s="397"/>
      <c r="AT14" s="397"/>
      <c r="AU14" s="397"/>
    </row>
    <row r="15" spans="1:47" x14ac:dyDescent="0.25">
      <c r="A15" t="s">
        <v>105</v>
      </c>
      <c r="B15" t="s">
        <v>131</v>
      </c>
      <c r="C15" s="444" t="s">
        <v>552</v>
      </c>
      <c r="D15" t="s">
        <v>459</v>
      </c>
      <c r="E15" t="s">
        <v>91</v>
      </c>
      <c r="F15" s="439" t="s">
        <v>114</v>
      </c>
      <c r="G15" s="440">
        <v>20</v>
      </c>
      <c r="H15" s="1">
        <v>1</v>
      </c>
      <c r="I15" s="401">
        <v>3.6163074436575924</v>
      </c>
      <c r="J15" s="453">
        <v>0</v>
      </c>
      <c r="K15" s="454">
        <v>0</v>
      </c>
      <c r="V15" s="397"/>
      <c r="W15" s="397"/>
      <c r="Z15" s="397"/>
      <c r="AA15" s="397"/>
      <c r="AB15" s="397"/>
      <c r="AC15" s="397"/>
      <c r="AD15" s="397"/>
      <c r="AE15" s="397"/>
      <c r="AF15" s="397"/>
      <c r="AG15" s="397"/>
      <c r="AH15" s="397"/>
      <c r="AI15" s="397"/>
      <c r="AJ15" s="397"/>
      <c r="AK15" s="397"/>
      <c r="AL15" s="397"/>
      <c r="AM15" s="397"/>
      <c r="AN15" s="397"/>
      <c r="AO15" s="397"/>
      <c r="AP15" s="397"/>
      <c r="AQ15" s="397"/>
      <c r="AR15" s="397"/>
      <c r="AS15" s="397"/>
      <c r="AT15" s="397"/>
      <c r="AU15" s="397"/>
    </row>
    <row r="16" spans="1:47" x14ac:dyDescent="0.25">
      <c r="A16" t="s">
        <v>386</v>
      </c>
      <c r="B16" t="s">
        <v>405</v>
      </c>
      <c r="C16" s="444" t="s">
        <v>552</v>
      </c>
      <c r="D16" t="s">
        <v>460</v>
      </c>
      <c r="E16" t="s">
        <v>406</v>
      </c>
      <c r="F16" s="439" t="s">
        <v>407</v>
      </c>
      <c r="G16" s="440">
        <v>20</v>
      </c>
      <c r="H16" s="1">
        <v>2</v>
      </c>
      <c r="I16" s="401">
        <v>1.5935236611464014</v>
      </c>
      <c r="J16" s="453">
        <v>0.26134000000000002</v>
      </c>
      <c r="K16" s="454">
        <v>0.33069999999999999</v>
      </c>
      <c r="V16" s="397"/>
      <c r="W16" s="397"/>
      <c r="Z16" s="397"/>
      <c r="AA16" s="397"/>
      <c r="AB16" s="397"/>
      <c r="AC16" s="397"/>
      <c r="AD16" s="397"/>
      <c r="AE16" s="397"/>
      <c r="AF16" s="397"/>
      <c r="AG16" s="397"/>
      <c r="AH16" s="397"/>
      <c r="AI16" s="397"/>
      <c r="AJ16" s="397"/>
      <c r="AK16" s="397"/>
      <c r="AL16" s="397"/>
      <c r="AM16" s="397"/>
      <c r="AN16" s="397"/>
      <c r="AO16" s="397"/>
      <c r="AP16" s="397"/>
      <c r="AQ16" s="397"/>
      <c r="AR16" s="397"/>
      <c r="AS16" s="397"/>
      <c r="AT16" s="397"/>
      <c r="AU16" s="397"/>
    </row>
    <row r="17" spans="1:47" x14ac:dyDescent="0.25">
      <c r="A17" t="s">
        <v>386</v>
      </c>
      <c r="B17" t="s">
        <v>393</v>
      </c>
      <c r="C17" s="444" t="s">
        <v>552</v>
      </c>
      <c r="D17" t="s">
        <v>461</v>
      </c>
      <c r="E17" t="s">
        <v>394</v>
      </c>
      <c r="F17" s="439" t="s">
        <v>395</v>
      </c>
      <c r="G17" s="440">
        <v>20</v>
      </c>
      <c r="H17" s="1">
        <v>2</v>
      </c>
      <c r="I17" s="401">
        <v>1.301053361235962</v>
      </c>
      <c r="J17" s="453">
        <v>0.46568999999999999</v>
      </c>
      <c r="K17" s="454">
        <v>0.66625000000000001</v>
      </c>
      <c r="V17" s="397"/>
      <c r="W17" s="397"/>
      <c r="Z17" s="397"/>
      <c r="AA17" s="397"/>
      <c r="AB17" s="397"/>
      <c r="AC17" s="397"/>
      <c r="AD17" s="397"/>
      <c r="AE17" s="397"/>
      <c r="AF17" s="397"/>
      <c r="AG17" s="397"/>
      <c r="AH17" s="397"/>
      <c r="AI17" s="397"/>
      <c r="AJ17" s="397"/>
      <c r="AK17" s="397"/>
      <c r="AL17" s="397"/>
      <c r="AM17" s="397"/>
      <c r="AN17" s="397"/>
      <c r="AO17" s="397"/>
      <c r="AP17" s="397"/>
      <c r="AQ17" s="397"/>
      <c r="AR17" s="397"/>
      <c r="AS17" s="397"/>
      <c r="AT17" s="397"/>
      <c r="AU17" s="397"/>
    </row>
    <row r="18" spans="1:47" x14ac:dyDescent="0.25">
      <c r="A18" t="s">
        <v>386</v>
      </c>
      <c r="B18" t="s">
        <v>402</v>
      </c>
      <c r="C18" s="444" t="s">
        <v>552</v>
      </c>
      <c r="D18" t="s">
        <v>462</v>
      </c>
      <c r="E18" t="s">
        <v>403</v>
      </c>
      <c r="F18" s="439" t="s">
        <v>404</v>
      </c>
      <c r="G18" s="440">
        <v>20</v>
      </c>
      <c r="H18" s="1">
        <v>2</v>
      </c>
      <c r="I18" s="401">
        <v>3.0189487940156807</v>
      </c>
      <c r="J18" s="453">
        <v>0.29809000000000002</v>
      </c>
      <c r="K18" s="454">
        <v>0</v>
      </c>
      <c r="V18" s="397"/>
      <c r="W18" s="397"/>
      <c r="Z18" s="397"/>
      <c r="AA18" s="397"/>
      <c r="AB18" s="397"/>
      <c r="AC18" s="397"/>
      <c r="AD18" s="397"/>
      <c r="AE18" s="397"/>
      <c r="AF18" s="397"/>
      <c r="AG18" s="397"/>
      <c r="AH18" s="397"/>
      <c r="AI18" s="397"/>
      <c r="AJ18" s="397"/>
      <c r="AK18" s="397"/>
      <c r="AL18" s="397"/>
      <c r="AM18" s="397"/>
      <c r="AN18" s="397"/>
      <c r="AO18" s="397"/>
      <c r="AP18" s="397"/>
      <c r="AQ18" s="397"/>
      <c r="AR18" s="397"/>
      <c r="AS18" s="397"/>
      <c r="AT18" s="397"/>
      <c r="AU18" s="397"/>
    </row>
    <row r="19" spans="1:47" x14ac:dyDescent="0.25">
      <c r="A19" t="s">
        <v>386</v>
      </c>
      <c r="B19" t="s">
        <v>390</v>
      </c>
      <c r="C19" s="444" t="s">
        <v>552</v>
      </c>
      <c r="D19" t="s">
        <v>463</v>
      </c>
      <c r="E19" t="s">
        <v>391</v>
      </c>
      <c r="F19" s="439" t="s">
        <v>392</v>
      </c>
      <c r="G19" s="440">
        <v>20</v>
      </c>
      <c r="H19" s="1">
        <v>2</v>
      </c>
      <c r="I19" s="401">
        <v>2.052312082875809</v>
      </c>
      <c r="J19" s="453">
        <v>0.72097</v>
      </c>
      <c r="K19" s="454">
        <v>1.1378299999999999</v>
      </c>
      <c r="V19" s="397"/>
      <c r="W19" s="397"/>
      <c r="Z19" s="397"/>
      <c r="AA19" s="397"/>
      <c r="AB19" s="397"/>
      <c r="AC19" s="397"/>
      <c r="AD19" s="397"/>
      <c r="AE19" s="397"/>
      <c r="AF19" s="397"/>
      <c r="AG19" s="397"/>
      <c r="AH19" s="397"/>
      <c r="AI19" s="397"/>
      <c r="AJ19" s="397"/>
      <c r="AK19" s="397"/>
      <c r="AL19" s="397"/>
      <c r="AM19" s="397"/>
      <c r="AN19" s="397"/>
      <c r="AO19" s="397"/>
      <c r="AP19" s="397"/>
      <c r="AQ19" s="397"/>
      <c r="AR19" s="397"/>
      <c r="AS19" s="397"/>
      <c r="AT19" s="397"/>
      <c r="AU19" s="397"/>
    </row>
    <row r="20" spans="1:47" x14ac:dyDescent="0.25">
      <c r="A20" t="s">
        <v>386</v>
      </c>
      <c r="B20" t="s">
        <v>399</v>
      </c>
      <c r="C20" s="444" t="s">
        <v>552</v>
      </c>
      <c r="D20" t="s">
        <v>464</v>
      </c>
      <c r="E20" t="s">
        <v>400</v>
      </c>
      <c r="F20" s="439" t="s">
        <v>401</v>
      </c>
      <c r="G20" s="440">
        <v>20</v>
      </c>
      <c r="H20" s="1">
        <v>2</v>
      </c>
      <c r="I20" s="401">
        <v>1.0353257176119701</v>
      </c>
      <c r="J20" s="453">
        <v>0.18434</v>
      </c>
      <c r="K20" s="454">
        <v>0</v>
      </c>
      <c r="V20" s="397"/>
      <c r="W20" s="397"/>
      <c r="Z20" s="397"/>
      <c r="AA20" s="397"/>
      <c r="AB20" s="397"/>
      <c r="AC20" s="397"/>
      <c r="AD20" s="397"/>
      <c r="AE20" s="397"/>
      <c r="AF20" s="397"/>
      <c r="AG20" s="397"/>
      <c r="AH20" s="397"/>
      <c r="AI20" s="397"/>
      <c r="AJ20" s="397"/>
      <c r="AK20" s="397"/>
      <c r="AL20" s="397"/>
      <c r="AM20" s="397"/>
      <c r="AN20" s="397"/>
      <c r="AO20" s="397"/>
      <c r="AP20" s="397"/>
      <c r="AQ20" s="397"/>
      <c r="AR20" s="397"/>
      <c r="AS20" s="397"/>
      <c r="AT20" s="397"/>
      <c r="AU20" s="397"/>
    </row>
    <row r="21" spans="1:47" x14ac:dyDescent="0.25">
      <c r="A21" t="s">
        <v>105</v>
      </c>
      <c r="B21" t="s">
        <v>111</v>
      </c>
      <c r="C21" s="444" t="s">
        <v>552</v>
      </c>
      <c r="D21" t="s">
        <v>465</v>
      </c>
      <c r="E21" t="s">
        <v>113</v>
      </c>
      <c r="F21" s="439" t="s">
        <v>85</v>
      </c>
      <c r="G21" s="440">
        <v>20</v>
      </c>
      <c r="H21" s="1">
        <v>1</v>
      </c>
      <c r="I21" s="401">
        <v>1.7181415229658914</v>
      </c>
      <c r="J21" s="453">
        <v>0</v>
      </c>
      <c r="K21" s="454">
        <v>0</v>
      </c>
      <c r="V21" s="397"/>
      <c r="W21" s="397"/>
      <c r="Z21" s="397"/>
      <c r="AA21" s="397"/>
      <c r="AB21" s="397"/>
      <c r="AC21" s="397"/>
      <c r="AD21" s="397"/>
      <c r="AE21" s="397"/>
      <c r="AF21" s="397"/>
      <c r="AG21" s="397"/>
      <c r="AH21" s="397"/>
      <c r="AI21" s="397"/>
      <c r="AJ21" s="397"/>
      <c r="AK21" s="397"/>
      <c r="AL21" s="397"/>
      <c r="AM21" s="397"/>
      <c r="AN21" s="397"/>
      <c r="AO21" s="397"/>
      <c r="AP21" s="397"/>
      <c r="AQ21" s="397"/>
      <c r="AR21" s="397"/>
      <c r="AS21" s="397"/>
      <c r="AT21" s="397"/>
      <c r="AU21" s="397"/>
    </row>
    <row r="22" spans="1:47" x14ac:dyDescent="0.25">
      <c r="A22" t="s">
        <v>416</v>
      </c>
      <c r="B22" t="s">
        <v>151</v>
      </c>
      <c r="C22" s="444" t="s">
        <v>552</v>
      </c>
      <c r="D22" t="s">
        <v>466</v>
      </c>
      <c r="E22" t="s">
        <v>141</v>
      </c>
      <c r="F22" s="439" t="s">
        <v>142</v>
      </c>
      <c r="G22" s="440">
        <v>20</v>
      </c>
      <c r="H22" s="1">
        <v>0</v>
      </c>
      <c r="I22" s="401">
        <v>1.1179252815030463</v>
      </c>
      <c r="J22" s="453">
        <v>0</v>
      </c>
      <c r="K22" s="454">
        <v>0</v>
      </c>
      <c r="V22" s="397"/>
      <c r="W22" s="397"/>
      <c r="Z22" s="397"/>
      <c r="AA22" s="397"/>
      <c r="AB22" s="397"/>
      <c r="AC22" s="397"/>
      <c r="AD22" s="397"/>
      <c r="AE22" s="397"/>
      <c r="AF22" s="397"/>
      <c r="AG22" s="397"/>
      <c r="AH22" s="397"/>
      <c r="AI22" s="397"/>
      <c r="AJ22" s="397"/>
      <c r="AK22" s="397"/>
      <c r="AL22" s="397"/>
      <c r="AM22" s="397"/>
      <c r="AN22" s="397"/>
      <c r="AO22" s="397"/>
      <c r="AP22" s="397"/>
      <c r="AQ22" s="397"/>
      <c r="AR22" s="397"/>
      <c r="AS22" s="397"/>
      <c r="AT22" s="397"/>
      <c r="AU22" s="397"/>
    </row>
    <row r="23" spans="1:47" x14ac:dyDescent="0.25">
      <c r="A23" t="s">
        <v>105</v>
      </c>
      <c r="B23" t="s">
        <v>108</v>
      </c>
      <c r="C23" s="444" t="s">
        <v>552</v>
      </c>
      <c r="D23" t="s">
        <v>467</v>
      </c>
      <c r="E23" t="s">
        <v>93</v>
      </c>
      <c r="F23" s="439" t="s">
        <v>95</v>
      </c>
      <c r="G23" s="440">
        <v>20</v>
      </c>
      <c r="H23" s="1">
        <v>1</v>
      </c>
      <c r="I23" s="401">
        <v>3.2971692852691055</v>
      </c>
      <c r="J23" s="453">
        <v>0</v>
      </c>
      <c r="K23" s="454">
        <v>0</v>
      </c>
      <c r="V23" s="397"/>
      <c r="W23" s="397"/>
      <c r="AN23" s="397"/>
      <c r="AO23" s="397"/>
      <c r="AP23" s="397"/>
      <c r="AQ23" s="397"/>
      <c r="AR23" s="397"/>
      <c r="AS23" s="397"/>
      <c r="AT23" s="397"/>
      <c r="AU23" s="397"/>
    </row>
    <row r="24" spans="1:47" x14ac:dyDescent="0.25">
      <c r="A24" t="s">
        <v>105</v>
      </c>
      <c r="B24" t="s">
        <v>106</v>
      </c>
      <c r="C24" s="444" t="s">
        <v>552</v>
      </c>
      <c r="D24" t="s">
        <v>468</v>
      </c>
      <c r="E24" t="s">
        <v>77</v>
      </c>
      <c r="F24" s="439" t="s">
        <v>78</v>
      </c>
      <c r="G24" s="440">
        <v>20</v>
      </c>
      <c r="H24" s="1">
        <v>1</v>
      </c>
      <c r="I24" s="401">
        <v>4.2909485790018387</v>
      </c>
      <c r="J24" s="453">
        <v>0</v>
      </c>
      <c r="K24" s="454">
        <v>0</v>
      </c>
      <c r="V24" s="397"/>
      <c r="W24" s="397"/>
      <c r="AN24" s="397"/>
      <c r="AO24" s="397"/>
      <c r="AP24" s="397"/>
      <c r="AQ24" s="397"/>
      <c r="AR24" s="397"/>
      <c r="AS24" s="397"/>
      <c r="AT24" s="397"/>
      <c r="AU24" s="397"/>
    </row>
    <row r="25" spans="1:47" x14ac:dyDescent="0.25">
      <c r="A25" t="s">
        <v>330</v>
      </c>
      <c r="B25" t="s">
        <v>377</v>
      </c>
      <c r="C25" s="444" t="s">
        <v>552</v>
      </c>
      <c r="D25" t="s">
        <v>469</v>
      </c>
      <c r="E25" t="s">
        <v>364</v>
      </c>
      <c r="F25" s="439" t="s">
        <v>365</v>
      </c>
      <c r="G25" s="440">
        <v>20</v>
      </c>
      <c r="H25" s="1">
        <v>2</v>
      </c>
      <c r="I25" s="401">
        <v>1.9299014071028491</v>
      </c>
      <c r="J25" s="453">
        <v>0.28010000000000002</v>
      </c>
      <c r="K25" s="454">
        <v>0.60779200000000011</v>
      </c>
      <c r="V25" s="397"/>
      <c r="W25" s="397"/>
      <c r="Z25" s="397"/>
      <c r="AA25" s="397"/>
      <c r="AB25" s="397"/>
      <c r="AC25" s="397"/>
      <c r="AD25" s="397"/>
      <c r="AE25" s="397"/>
      <c r="AF25" s="397"/>
      <c r="AG25" s="397"/>
      <c r="AH25" s="397"/>
      <c r="AI25" s="397"/>
      <c r="AJ25" s="397"/>
      <c r="AK25" s="397"/>
      <c r="AL25" s="397"/>
      <c r="AM25" s="397"/>
      <c r="AN25" s="397"/>
      <c r="AO25" s="397"/>
      <c r="AP25" s="397"/>
      <c r="AQ25" s="397"/>
      <c r="AR25" s="397"/>
      <c r="AS25" s="397"/>
      <c r="AT25" s="397"/>
      <c r="AU25" s="397"/>
    </row>
    <row r="26" spans="1:47" x14ac:dyDescent="0.25">
      <c r="A26" t="s">
        <v>105</v>
      </c>
      <c r="B26" t="s">
        <v>107</v>
      </c>
      <c r="C26" s="444" t="s">
        <v>552</v>
      </c>
      <c r="D26" t="s">
        <v>470</v>
      </c>
      <c r="E26" t="s">
        <v>101</v>
      </c>
      <c r="F26" s="439" t="s">
        <v>103</v>
      </c>
      <c r="G26" s="440">
        <v>20</v>
      </c>
      <c r="H26" s="1">
        <v>1</v>
      </c>
      <c r="I26" s="401">
        <v>3.3503672680154892</v>
      </c>
      <c r="J26" s="453">
        <v>0</v>
      </c>
      <c r="K26" s="454">
        <v>0</v>
      </c>
      <c r="V26" s="397"/>
      <c r="W26" s="397"/>
      <c r="Z26" s="397"/>
      <c r="AA26" s="397"/>
      <c r="AB26" s="397"/>
      <c r="AC26" s="397"/>
      <c r="AD26" s="397"/>
      <c r="AE26" s="397"/>
      <c r="AF26" s="397"/>
      <c r="AG26" s="397"/>
      <c r="AH26" s="397"/>
      <c r="AI26" s="397"/>
      <c r="AJ26" s="397"/>
      <c r="AK26" s="397"/>
      <c r="AL26" s="397"/>
      <c r="AM26" s="397"/>
      <c r="AN26" s="397"/>
      <c r="AO26" s="397"/>
      <c r="AP26" s="397"/>
      <c r="AQ26" s="397"/>
      <c r="AR26" s="397"/>
      <c r="AS26" s="397"/>
      <c r="AT26" s="397"/>
      <c r="AU26" s="397"/>
    </row>
    <row r="27" spans="1:47" x14ac:dyDescent="0.25">
      <c r="A27" t="s">
        <v>416</v>
      </c>
      <c r="B27" t="s">
        <v>299</v>
      </c>
      <c r="C27" s="444" t="s">
        <v>552</v>
      </c>
      <c r="D27" t="s">
        <v>471</v>
      </c>
      <c r="E27" t="s">
        <v>295</v>
      </c>
      <c r="F27" s="439" t="s">
        <v>296</v>
      </c>
      <c r="G27" s="440">
        <v>20</v>
      </c>
      <c r="H27" s="1">
        <v>0</v>
      </c>
      <c r="I27" s="401">
        <v>1.0902564364342739</v>
      </c>
      <c r="J27" s="453">
        <v>0</v>
      </c>
      <c r="K27" s="454">
        <v>0</v>
      </c>
      <c r="V27" s="397"/>
      <c r="W27" s="397"/>
      <c r="Z27" s="397"/>
      <c r="AA27" s="397"/>
      <c r="AB27" s="397"/>
      <c r="AC27" s="397"/>
      <c r="AD27" s="397"/>
      <c r="AE27" s="397"/>
      <c r="AF27" s="397"/>
      <c r="AG27" s="397"/>
      <c r="AH27" s="397"/>
      <c r="AI27" s="397"/>
      <c r="AJ27" s="397"/>
      <c r="AK27" s="397"/>
      <c r="AL27" s="397"/>
      <c r="AM27" s="397"/>
      <c r="AN27" s="397"/>
      <c r="AO27" s="397"/>
      <c r="AP27" s="397"/>
      <c r="AQ27" s="397"/>
      <c r="AR27" s="397"/>
      <c r="AS27" s="397"/>
      <c r="AT27" s="397"/>
      <c r="AU27" s="397"/>
    </row>
    <row r="28" spans="1:47" x14ac:dyDescent="0.25">
      <c r="A28" t="s">
        <v>416</v>
      </c>
      <c r="B28" t="s">
        <v>299</v>
      </c>
      <c r="C28" s="444" t="s">
        <v>552</v>
      </c>
      <c r="D28" t="s">
        <v>472</v>
      </c>
      <c r="E28" t="s">
        <v>297</v>
      </c>
      <c r="F28" s="439" t="s">
        <v>298</v>
      </c>
      <c r="G28" s="440">
        <v>20</v>
      </c>
      <c r="H28" s="1">
        <v>0</v>
      </c>
      <c r="I28" s="401">
        <v>0.99518044889024071</v>
      </c>
      <c r="J28" s="453">
        <v>0</v>
      </c>
      <c r="K28" s="454">
        <v>0</v>
      </c>
      <c r="V28" s="397"/>
      <c r="W28" s="397"/>
      <c r="Z28" s="397"/>
      <c r="AA28" s="397"/>
      <c r="AB28" s="397"/>
      <c r="AC28" s="397"/>
      <c r="AD28" s="397"/>
      <c r="AE28" s="397"/>
      <c r="AF28" s="397"/>
      <c r="AG28" s="397"/>
      <c r="AH28" s="397"/>
      <c r="AI28" s="397"/>
      <c r="AJ28" s="397"/>
      <c r="AK28" s="397"/>
      <c r="AL28" s="397"/>
      <c r="AM28" s="397"/>
      <c r="AN28" s="397"/>
      <c r="AO28" s="397"/>
      <c r="AP28" s="397"/>
      <c r="AQ28" s="397"/>
      <c r="AR28" s="397"/>
      <c r="AS28" s="397"/>
      <c r="AT28" s="397"/>
      <c r="AU28" s="397"/>
    </row>
    <row r="29" spans="1:47" x14ac:dyDescent="0.25">
      <c r="A29" t="s">
        <v>416</v>
      </c>
      <c r="B29" t="s">
        <v>150</v>
      </c>
      <c r="C29" s="444" t="s">
        <v>552</v>
      </c>
      <c r="D29" t="s">
        <v>473</v>
      </c>
      <c r="E29" t="s">
        <v>139</v>
      </c>
      <c r="F29" s="439" t="s">
        <v>140</v>
      </c>
      <c r="G29" s="440">
        <v>20</v>
      </c>
      <c r="H29" s="1">
        <v>0</v>
      </c>
      <c r="I29" s="401">
        <v>1.010433219181464</v>
      </c>
      <c r="J29" s="453">
        <v>0</v>
      </c>
      <c r="K29" s="454">
        <v>0</v>
      </c>
      <c r="V29" s="397"/>
      <c r="W29" s="397"/>
      <c r="Z29" s="397"/>
      <c r="AA29" s="397"/>
      <c r="AB29" s="397"/>
      <c r="AC29" s="397"/>
      <c r="AD29" s="397"/>
      <c r="AE29" s="397"/>
      <c r="AF29" s="397"/>
      <c r="AG29" s="397"/>
      <c r="AH29" s="397"/>
      <c r="AI29" s="397"/>
      <c r="AJ29" s="397"/>
      <c r="AK29" s="397"/>
      <c r="AL29" s="397"/>
      <c r="AM29" s="397"/>
      <c r="AN29" s="397"/>
      <c r="AO29" s="397"/>
      <c r="AP29" s="397"/>
      <c r="AQ29" s="397"/>
      <c r="AR29" s="397"/>
      <c r="AS29" s="397"/>
      <c r="AT29" s="397"/>
      <c r="AU29" s="397"/>
    </row>
    <row r="30" spans="1:47" x14ac:dyDescent="0.25">
      <c r="A30" t="s">
        <v>416</v>
      </c>
      <c r="B30" t="s">
        <v>153</v>
      </c>
      <c r="C30" s="444" t="s">
        <v>552</v>
      </c>
      <c r="D30" t="s">
        <v>474</v>
      </c>
      <c r="E30" t="s">
        <v>154</v>
      </c>
      <c r="F30" s="439" t="s">
        <v>145</v>
      </c>
      <c r="G30" s="440">
        <v>20</v>
      </c>
      <c r="H30" s="1">
        <v>0</v>
      </c>
      <c r="I30" s="401">
        <v>1.3306975022430321</v>
      </c>
      <c r="J30" s="453">
        <v>0</v>
      </c>
      <c r="K30" s="454">
        <v>0</v>
      </c>
      <c r="V30" s="397"/>
      <c r="W30" s="397"/>
      <c r="Z30" s="397"/>
      <c r="AA30" s="397"/>
      <c r="AB30" s="397"/>
      <c r="AC30" s="397"/>
      <c r="AD30" s="397"/>
      <c r="AE30" s="397"/>
      <c r="AF30" s="397"/>
      <c r="AG30" s="397"/>
      <c r="AH30" s="397"/>
      <c r="AI30" s="397"/>
      <c r="AJ30" s="397"/>
      <c r="AK30" s="397"/>
      <c r="AL30" s="397"/>
      <c r="AM30" s="397"/>
      <c r="AN30" s="397"/>
      <c r="AO30" s="397"/>
      <c r="AP30" s="397"/>
      <c r="AQ30" s="397"/>
      <c r="AR30" s="397"/>
      <c r="AS30" s="397"/>
      <c r="AT30" s="397"/>
      <c r="AU30" s="397"/>
    </row>
    <row r="31" spans="1:47" x14ac:dyDescent="0.25">
      <c r="A31" t="s">
        <v>118</v>
      </c>
      <c r="B31" t="s">
        <v>123</v>
      </c>
      <c r="C31" s="444" t="s">
        <v>552</v>
      </c>
      <c r="D31" t="s">
        <v>475</v>
      </c>
      <c r="E31" t="s">
        <v>15</v>
      </c>
      <c r="F31" s="439" t="s">
        <v>16</v>
      </c>
      <c r="G31" s="440">
        <v>20</v>
      </c>
      <c r="H31" s="1">
        <v>0</v>
      </c>
      <c r="I31" s="401">
        <v>1.2013017442193192</v>
      </c>
      <c r="J31" s="453">
        <v>0</v>
      </c>
      <c r="K31" s="454">
        <v>0</v>
      </c>
      <c r="V31" s="397"/>
      <c r="W31" s="397"/>
      <c r="Z31" s="397"/>
      <c r="AA31" s="397"/>
      <c r="AB31" s="397"/>
      <c r="AC31" s="397"/>
      <c r="AD31" s="397"/>
      <c r="AE31" s="397"/>
      <c r="AF31" s="397"/>
      <c r="AG31" s="397"/>
      <c r="AH31" s="397"/>
      <c r="AI31" s="397"/>
      <c r="AJ31" s="397"/>
      <c r="AK31" s="397"/>
      <c r="AL31" s="397"/>
      <c r="AM31" s="397"/>
      <c r="AN31" s="397"/>
      <c r="AO31" s="397"/>
      <c r="AP31" s="397"/>
      <c r="AQ31" s="397"/>
      <c r="AR31" s="397"/>
      <c r="AS31" s="397"/>
      <c r="AT31" s="397"/>
      <c r="AU31" s="397"/>
    </row>
    <row r="32" spans="1:47" x14ac:dyDescent="0.25">
      <c r="A32" t="s">
        <v>118</v>
      </c>
      <c r="B32" t="s">
        <v>123</v>
      </c>
      <c r="C32" s="444" t="s">
        <v>552</v>
      </c>
      <c r="D32" t="s">
        <v>476</v>
      </c>
      <c r="E32" t="s">
        <v>13</v>
      </c>
      <c r="F32" s="439" t="s">
        <v>16</v>
      </c>
      <c r="G32" s="440">
        <v>20</v>
      </c>
      <c r="H32" s="1">
        <v>0</v>
      </c>
      <c r="I32" s="401">
        <v>2.635785713773207</v>
      </c>
      <c r="J32" s="453">
        <v>0</v>
      </c>
      <c r="K32" s="454">
        <v>0</v>
      </c>
      <c r="V32" s="397"/>
      <c r="W32" s="397"/>
      <c r="Z32" s="397"/>
      <c r="AA32" s="397"/>
      <c r="AB32" s="397"/>
      <c r="AC32" s="397"/>
      <c r="AD32" s="397"/>
      <c r="AE32" s="397"/>
      <c r="AF32" s="397"/>
      <c r="AG32" s="397"/>
      <c r="AH32" s="397"/>
      <c r="AI32" s="397"/>
      <c r="AJ32" s="397"/>
      <c r="AK32" s="397"/>
      <c r="AL32" s="397"/>
      <c r="AM32" s="397"/>
      <c r="AN32" s="397"/>
      <c r="AO32" s="397"/>
      <c r="AP32" s="397"/>
      <c r="AQ32" s="397"/>
      <c r="AR32" s="397"/>
      <c r="AS32" s="397"/>
      <c r="AT32" s="397"/>
      <c r="AU32" s="397"/>
    </row>
    <row r="33" spans="1:47" x14ac:dyDescent="0.25">
      <c r="A33" t="s">
        <v>330</v>
      </c>
      <c r="B33" t="s">
        <v>374</v>
      </c>
      <c r="C33" s="444" t="s">
        <v>552</v>
      </c>
      <c r="D33" t="s">
        <v>477</v>
      </c>
      <c r="E33" t="s">
        <v>160</v>
      </c>
      <c r="F33" s="439" t="s">
        <v>363</v>
      </c>
      <c r="G33" s="440">
        <v>20</v>
      </c>
      <c r="H33" s="1">
        <v>2</v>
      </c>
      <c r="I33" s="401">
        <v>1.1716320743056321</v>
      </c>
      <c r="J33" s="453">
        <v>0.15678600000000001</v>
      </c>
      <c r="K33" s="454">
        <v>0</v>
      </c>
      <c r="V33" s="397"/>
      <c r="W33" s="397"/>
      <c r="Z33" s="397"/>
      <c r="AA33" s="397"/>
      <c r="AB33" s="397"/>
      <c r="AC33" s="397"/>
      <c r="AD33" s="397"/>
      <c r="AE33" s="397"/>
      <c r="AF33" s="397"/>
      <c r="AG33" s="397"/>
      <c r="AH33" s="397"/>
      <c r="AI33" s="397"/>
      <c r="AJ33" s="397"/>
      <c r="AK33" s="397"/>
      <c r="AL33" s="397"/>
      <c r="AM33" s="397"/>
      <c r="AN33" s="397"/>
      <c r="AO33" s="397"/>
      <c r="AP33" s="397"/>
      <c r="AQ33" s="397"/>
      <c r="AR33" s="397"/>
      <c r="AS33" s="397"/>
      <c r="AT33" s="397"/>
      <c r="AU33" s="397"/>
    </row>
    <row r="34" spans="1:47" x14ac:dyDescent="0.25">
      <c r="A34" t="s">
        <v>105</v>
      </c>
      <c r="B34" t="s">
        <v>112</v>
      </c>
      <c r="C34" s="444" t="s">
        <v>552</v>
      </c>
      <c r="D34" t="s">
        <v>478</v>
      </c>
      <c r="E34" t="s">
        <v>147</v>
      </c>
      <c r="F34" s="439" t="s">
        <v>148</v>
      </c>
      <c r="G34" s="440">
        <v>20</v>
      </c>
      <c r="H34" s="1">
        <v>1</v>
      </c>
      <c r="I34" s="401">
        <v>1.1490450308305171</v>
      </c>
      <c r="J34" s="453">
        <v>0</v>
      </c>
      <c r="K34" s="454">
        <v>0</v>
      </c>
      <c r="V34" s="397"/>
      <c r="W34" s="397"/>
      <c r="Z34" s="397"/>
      <c r="AA34" s="397"/>
      <c r="AB34" s="397"/>
      <c r="AC34" s="397"/>
      <c r="AD34" s="397"/>
      <c r="AE34" s="397"/>
      <c r="AF34" s="397"/>
      <c r="AG34" s="397"/>
      <c r="AH34" s="397"/>
      <c r="AI34" s="397"/>
      <c r="AJ34" s="397"/>
      <c r="AK34" s="397"/>
      <c r="AL34" s="397"/>
      <c r="AM34" s="397"/>
      <c r="AN34" s="397"/>
      <c r="AO34" s="397"/>
      <c r="AP34" s="397"/>
      <c r="AQ34" s="397"/>
      <c r="AR34" s="397"/>
      <c r="AS34" s="397"/>
      <c r="AT34" s="397"/>
      <c r="AU34" s="397"/>
    </row>
    <row r="35" spans="1:47" x14ac:dyDescent="0.25">
      <c r="A35" t="s">
        <v>105</v>
      </c>
      <c r="B35" t="s">
        <v>110</v>
      </c>
      <c r="C35" s="444" t="s">
        <v>552</v>
      </c>
      <c r="D35" t="s">
        <v>479</v>
      </c>
      <c r="E35" t="s">
        <v>88</v>
      </c>
      <c r="F35" s="439" t="s">
        <v>90</v>
      </c>
      <c r="G35" s="440">
        <v>20</v>
      </c>
      <c r="H35" s="1">
        <v>1</v>
      </c>
      <c r="I35" s="401">
        <v>2.3688775352894398</v>
      </c>
      <c r="J35" s="453">
        <v>0</v>
      </c>
      <c r="K35" s="454">
        <v>0</v>
      </c>
      <c r="V35" s="397"/>
      <c r="W35" s="397"/>
      <c r="Z35" s="397"/>
      <c r="AA35" s="397"/>
      <c r="AB35" s="397"/>
      <c r="AC35" s="397"/>
      <c r="AD35" s="397"/>
      <c r="AE35" s="397"/>
      <c r="AF35" s="397"/>
      <c r="AG35" s="397"/>
      <c r="AH35" s="397"/>
      <c r="AI35" s="397"/>
      <c r="AJ35" s="397"/>
      <c r="AK35" s="397"/>
      <c r="AL35" s="397"/>
      <c r="AM35" s="397"/>
      <c r="AN35" s="397"/>
      <c r="AO35" s="397"/>
      <c r="AP35" s="397"/>
      <c r="AQ35" s="397"/>
      <c r="AR35" s="397"/>
      <c r="AS35" s="397"/>
      <c r="AT35" s="397"/>
      <c r="AU35" s="397"/>
    </row>
    <row r="36" spans="1:47" x14ac:dyDescent="0.25">
      <c r="A36" t="s">
        <v>105</v>
      </c>
      <c r="B36" t="s">
        <v>131</v>
      </c>
      <c r="C36" s="444" t="s">
        <v>552</v>
      </c>
      <c r="D36" t="s">
        <v>480</v>
      </c>
      <c r="E36" t="s">
        <v>115</v>
      </c>
      <c r="F36" s="439" t="s">
        <v>92</v>
      </c>
      <c r="G36" s="440">
        <v>20</v>
      </c>
      <c r="H36" s="1">
        <v>1</v>
      </c>
      <c r="I36" s="401">
        <v>1.0782339604110101</v>
      </c>
      <c r="J36" s="453">
        <v>0</v>
      </c>
      <c r="K36" s="454">
        <v>0</v>
      </c>
      <c r="V36" s="397"/>
      <c r="W36" s="397"/>
      <c r="Z36" s="397"/>
      <c r="AA36" s="397"/>
      <c r="AB36" s="397"/>
      <c r="AC36" s="397"/>
      <c r="AD36" s="397"/>
      <c r="AE36" s="397"/>
      <c r="AF36" s="397"/>
      <c r="AG36" s="397"/>
      <c r="AH36" s="397"/>
      <c r="AI36" s="397"/>
      <c r="AJ36" s="397"/>
      <c r="AK36" s="397"/>
      <c r="AL36" s="397"/>
      <c r="AM36" s="397"/>
      <c r="AN36" s="397"/>
      <c r="AO36" s="397"/>
      <c r="AP36" s="397"/>
      <c r="AQ36" s="397"/>
      <c r="AR36" s="397"/>
      <c r="AS36" s="397"/>
      <c r="AT36" s="397"/>
      <c r="AU36" s="397"/>
    </row>
    <row r="37" spans="1:47" x14ac:dyDescent="0.25">
      <c r="A37" t="s">
        <v>105</v>
      </c>
      <c r="B37" t="s">
        <v>106</v>
      </c>
      <c r="C37" s="444" t="s">
        <v>552</v>
      </c>
      <c r="D37" t="s">
        <v>481</v>
      </c>
      <c r="E37" t="s">
        <v>116</v>
      </c>
      <c r="F37" s="439" t="s">
        <v>79</v>
      </c>
      <c r="G37" s="440">
        <v>20</v>
      </c>
      <c r="H37" s="1">
        <v>1</v>
      </c>
      <c r="I37" s="401">
        <v>1.1371880047163194</v>
      </c>
      <c r="J37" s="453">
        <v>0</v>
      </c>
      <c r="K37" s="454">
        <v>0</v>
      </c>
      <c r="V37" s="397"/>
      <c r="W37" s="397"/>
      <c r="Z37" s="397"/>
      <c r="AA37" s="397"/>
      <c r="AB37" s="397"/>
      <c r="AC37" s="397"/>
      <c r="AD37" s="397"/>
      <c r="AE37" s="397"/>
      <c r="AF37" s="397"/>
      <c r="AG37" s="397"/>
      <c r="AH37" s="397"/>
      <c r="AI37" s="397"/>
      <c r="AJ37" s="397"/>
      <c r="AK37" s="397"/>
      <c r="AL37" s="397"/>
      <c r="AM37" s="397"/>
      <c r="AN37" s="397"/>
      <c r="AO37" s="397"/>
      <c r="AP37" s="397"/>
      <c r="AQ37" s="397"/>
      <c r="AR37" s="397"/>
      <c r="AS37" s="397"/>
      <c r="AT37" s="397"/>
      <c r="AU37" s="397"/>
    </row>
    <row r="38" spans="1:47" x14ac:dyDescent="0.25">
      <c r="A38" t="s">
        <v>416</v>
      </c>
      <c r="B38" t="s">
        <v>299</v>
      </c>
      <c r="C38" s="444" t="s">
        <v>552</v>
      </c>
      <c r="D38" t="s">
        <v>482</v>
      </c>
      <c r="E38" t="s">
        <v>293</v>
      </c>
      <c r="F38" s="439" t="s">
        <v>292</v>
      </c>
      <c r="G38" s="440">
        <v>20</v>
      </c>
      <c r="H38" s="1">
        <v>0</v>
      </c>
      <c r="I38" s="401">
        <v>1.0199716412504523</v>
      </c>
      <c r="J38" s="453">
        <v>0</v>
      </c>
      <c r="K38" s="454">
        <v>0</v>
      </c>
      <c r="V38" s="397"/>
      <c r="W38" s="397"/>
      <c r="AN38" s="397"/>
      <c r="AO38" s="397"/>
      <c r="AP38" s="397"/>
      <c r="AQ38" s="397"/>
      <c r="AR38" s="397"/>
      <c r="AS38" s="397"/>
      <c r="AT38" s="397"/>
      <c r="AU38" s="397"/>
    </row>
    <row r="39" spans="1:47" x14ac:dyDescent="0.25">
      <c r="A39" t="s">
        <v>416</v>
      </c>
      <c r="B39" t="s">
        <v>212</v>
      </c>
      <c r="C39" s="444" t="s">
        <v>552</v>
      </c>
      <c r="D39" t="s">
        <v>483</v>
      </c>
      <c r="E39" t="s">
        <v>214</v>
      </c>
      <c r="F39" s="439" t="s">
        <v>213</v>
      </c>
      <c r="G39" s="440">
        <v>20</v>
      </c>
      <c r="H39" s="1">
        <v>0</v>
      </c>
      <c r="I39" s="401">
        <v>1.01029581645139</v>
      </c>
      <c r="J39" s="453">
        <v>0</v>
      </c>
      <c r="K39" s="454">
        <v>0</v>
      </c>
      <c r="V39" s="397"/>
      <c r="W39" s="397"/>
      <c r="AN39" s="397"/>
      <c r="AO39" s="397"/>
      <c r="AP39" s="397"/>
      <c r="AQ39" s="397"/>
      <c r="AR39" s="397"/>
      <c r="AS39" s="397"/>
      <c r="AT39" s="397"/>
      <c r="AU39" s="397"/>
    </row>
    <row r="40" spans="1:47" x14ac:dyDescent="0.25">
      <c r="A40" t="s">
        <v>416</v>
      </c>
      <c r="B40" t="s">
        <v>299</v>
      </c>
      <c r="C40" s="444" t="s">
        <v>552</v>
      </c>
      <c r="D40" t="s">
        <v>484</v>
      </c>
      <c r="E40" t="s">
        <v>294</v>
      </c>
      <c r="F40" s="439" t="s">
        <v>300</v>
      </c>
      <c r="G40" s="440">
        <v>20</v>
      </c>
      <c r="H40" s="1">
        <v>0</v>
      </c>
      <c r="I40" s="401">
        <v>1.0054779192393681</v>
      </c>
      <c r="J40" s="453">
        <v>0</v>
      </c>
      <c r="K40" s="454">
        <v>0</v>
      </c>
      <c r="V40" s="397"/>
      <c r="W40" s="397"/>
      <c r="AN40" s="397"/>
      <c r="AO40" s="397"/>
      <c r="AP40" s="397"/>
      <c r="AQ40" s="397"/>
      <c r="AR40" s="397"/>
      <c r="AS40" s="397"/>
      <c r="AT40" s="397"/>
      <c r="AU40" s="397"/>
    </row>
    <row r="41" spans="1:47" x14ac:dyDescent="0.25">
      <c r="A41" t="s">
        <v>416</v>
      </c>
      <c r="B41" t="s">
        <v>209</v>
      </c>
      <c r="C41" s="444" t="s">
        <v>552</v>
      </c>
      <c r="D41" t="s">
        <v>485</v>
      </c>
      <c r="E41" t="s">
        <v>210</v>
      </c>
      <c r="F41" s="439" t="s">
        <v>211</v>
      </c>
      <c r="G41" s="440">
        <v>20</v>
      </c>
      <c r="H41" s="1">
        <v>0</v>
      </c>
      <c r="I41" s="401">
        <v>0.99698193312648797</v>
      </c>
      <c r="J41" s="453">
        <v>0</v>
      </c>
      <c r="K41" s="454">
        <v>0</v>
      </c>
      <c r="V41" s="397"/>
      <c r="W41" s="397"/>
      <c r="Z41" s="397"/>
      <c r="AA41" s="397"/>
      <c r="AD41" s="397"/>
      <c r="AE41" s="397"/>
      <c r="AF41" s="397"/>
      <c r="AG41" s="397"/>
      <c r="AH41" s="397"/>
      <c r="AI41" s="397"/>
      <c r="AJ41" s="397"/>
      <c r="AK41" s="397"/>
      <c r="AL41" s="397"/>
      <c r="AM41" s="397"/>
      <c r="AN41" s="397"/>
      <c r="AO41" s="397"/>
      <c r="AP41" s="397"/>
      <c r="AQ41" s="397"/>
      <c r="AR41" s="397"/>
      <c r="AS41" s="397"/>
      <c r="AT41" s="397"/>
      <c r="AU41" s="397"/>
    </row>
    <row r="42" spans="1:47" x14ac:dyDescent="0.25">
      <c r="A42" t="s">
        <v>416</v>
      </c>
      <c r="B42" t="s">
        <v>152</v>
      </c>
      <c r="C42" s="444" t="s">
        <v>552</v>
      </c>
      <c r="D42" t="s">
        <v>486</v>
      </c>
      <c r="E42" t="s">
        <v>144</v>
      </c>
      <c r="F42" s="439" t="s">
        <v>143</v>
      </c>
      <c r="G42" s="440">
        <v>20</v>
      </c>
      <c r="H42" s="1">
        <v>0</v>
      </c>
      <c r="I42" s="401">
        <v>1.100281073565831</v>
      </c>
      <c r="J42" s="453">
        <v>0</v>
      </c>
      <c r="K42" s="454">
        <v>0</v>
      </c>
      <c r="V42" s="397"/>
      <c r="W42" s="397"/>
      <c r="Z42" s="397"/>
      <c r="AA42" s="397"/>
      <c r="AD42" s="397"/>
      <c r="AE42" s="397"/>
      <c r="AF42" s="397"/>
      <c r="AG42" s="397"/>
      <c r="AH42" s="397"/>
      <c r="AI42" s="397"/>
      <c r="AJ42" s="397"/>
      <c r="AK42" s="397"/>
      <c r="AL42" s="397"/>
      <c r="AM42" s="397"/>
      <c r="AN42" s="397"/>
      <c r="AO42" s="397"/>
      <c r="AP42" s="397"/>
      <c r="AQ42" s="397"/>
      <c r="AR42" s="397"/>
      <c r="AS42" s="397"/>
      <c r="AT42" s="397"/>
      <c r="AU42" s="397"/>
    </row>
    <row r="43" spans="1:47" x14ac:dyDescent="0.25">
      <c r="A43" t="s">
        <v>118</v>
      </c>
      <c r="B43" t="s">
        <v>126</v>
      </c>
      <c r="C43" s="444" t="s">
        <v>552</v>
      </c>
      <c r="D43" t="s">
        <v>487</v>
      </c>
      <c r="E43" t="s">
        <v>44</v>
      </c>
      <c r="F43" s="439" t="s">
        <v>43</v>
      </c>
      <c r="G43" s="440">
        <v>20</v>
      </c>
      <c r="H43" s="1">
        <v>2</v>
      </c>
      <c r="I43" s="401">
        <v>1.6622533949761078</v>
      </c>
      <c r="J43" s="453">
        <v>0.89999999999999991</v>
      </c>
      <c r="K43" s="454">
        <v>1.2197870000000002</v>
      </c>
      <c r="V43" s="397"/>
      <c r="W43" s="397"/>
      <c r="Z43" s="397"/>
      <c r="AA43" s="397"/>
      <c r="AD43" s="397"/>
      <c r="AE43" s="397"/>
      <c r="AF43" s="397"/>
      <c r="AG43" s="397"/>
      <c r="AH43" s="397"/>
      <c r="AI43" s="397"/>
      <c r="AJ43" s="397"/>
      <c r="AK43" s="397"/>
      <c r="AL43" s="397"/>
      <c r="AM43" s="397"/>
      <c r="AN43" s="397"/>
      <c r="AO43" s="397"/>
      <c r="AP43" s="397"/>
      <c r="AQ43" s="397"/>
      <c r="AR43" s="397"/>
      <c r="AS43" s="397"/>
      <c r="AT43" s="397"/>
      <c r="AU43" s="397"/>
    </row>
    <row r="44" spans="1:47" x14ac:dyDescent="0.25">
      <c r="A44" t="s">
        <v>330</v>
      </c>
      <c r="B44" t="s">
        <v>376</v>
      </c>
      <c r="C44" s="444" t="s">
        <v>552</v>
      </c>
      <c r="D44" t="s">
        <v>488</v>
      </c>
      <c r="E44" t="s">
        <v>368</v>
      </c>
      <c r="F44" s="439" t="s">
        <v>369</v>
      </c>
      <c r="G44" s="440">
        <v>20</v>
      </c>
      <c r="H44" s="1">
        <v>2</v>
      </c>
      <c r="I44" s="401">
        <v>0.81455506525676535</v>
      </c>
      <c r="J44" s="453">
        <v>0.88372000000000006</v>
      </c>
      <c r="K44" s="454">
        <v>0.84815499999999999</v>
      </c>
      <c r="V44" s="397"/>
      <c r="W44" s="397"/>
      <c r="Z44" s="397"/>
      <c r="AA44" s="397"/>
      <c r="AD44" s="397"/>
      <c r="AE44" s="397"/>
      <c r="AF44" s="397"/>
      <c r="AG44" s="397"/>
      <c r="AH44" s="397"/>
      <c r="AI44" s="397"/>
      <c r="AJ44" s="397"/>
      <c r="AK44" s="397"/>
      <c r="AL44" s="397"/>
      <c r="AM44" s="397"/>
      <c r="AN44" s="397"/>
      <c r="AO44" s="397"/>
      <c r="AP44" s="397"/>
      <c r="AQ44" s="397"/>
      <c r="AR44" s="397"/>
      <c r="AS44" s="397"/>
      <c r="AT44" s="397"/>
      <c r="AU44" s="397"/>
    </row>
    <row r="45" spans="1:47" x14ac:dyDescent="0.25">
      <c r="A45" t="s">
        <v>330</v>
      </c>
      <c r="B45" t="s">
        <v>378</v>
      </c>
      <c r="C45" s="444" t="s">
        <v>552</v>
      </c>
      <c r="D45" t="s">
        <v>489</v>
      </c>
      <c r="E45" t="s">
        <v>370</v>
      </c>
      <c r="F45" s="439" t="s">
        <v>371</v>
      </c>
      <c r="G45" s="440">
        <v>20</v>
      </c>
      <c r="H45" s="1">
        <v>2</v>
      </c>
      <c r="I45" s="401">
        <v>0.97143728674365859</v>
      </c>
      <c r="J45" s="453">
        <v>0.14819000000000002</v>
      </c>
      <c r="K45" s="454">
        <v>1.093242</v>
      </c>
      <c r="V45" s="397"/>
      <c r="W45" s="397"/>
      <c r="Z45" s="397"/>
      <c r="AA45" s="397"/>
      <c r="AD45" s="397"/>
      <c r="AE45" s="397"/>
      <c r="AF45" s="397"/>
      <c r="AG45" s="397"/>
      <c r="AH45" s="397"/>
      <c r="AI45" s="397"/>
      <c r="AJ45" s="397"/>
      <c r="AK45" s="397"/>
      <c r="AL45" s="397"/>
      <c r="AM45" s="397"/>
      <c r="AN45" s="397"/>
      <c r="AO45" s="397"/>
      <c r="AP45" s="397"/>
      <c r="AQ45" s="397"/>
      <c r="AR45" s="397"/>
      <c r="AS45" s="397"/>
      <c r="AT45" s="397"/>
      <c r="AU45" s="397"/>
    </row>
    <row r="46" spans="1:47" x14ac:dyDescent="0.25">
      <c r="A46" t="s">
        <v>330</v>
      </c>
      <c r="B46" t="s">
        <v>375</v>
      </c>
      <c r="C46" s="444" t="s">
        <v>552</v>
      </c>
      <c r="D46" t="s">
        <v>490</v>
      </c>
      <c r="E46" t="s">
        <v>162</v>
      </c>
      <c r="F46" s="439" t="s">
        <v>161</v>
      </c>
      <c r="G46" s="440">
        <v>20</v>
      </c>
      <c r="H46" s="1">
        <v>2</v>
      </c>
      <c r="I46" s="401">
        <v>1.331577276644814</v>
      </c>
      <c r="J46" s="453">
        <v>0.66070000000000007</v>
      </c>
      <c r="K46" s="454">
        <v>0.56542500000000007</v>
      </c>
      <c r="V46" s="397"/>
      <c r="W46" s="397"/>
      <c r="Z46" s="397"/>
      <c r="AA46" s="397"/>
      <c r="AD46" s="397"/>
      <c r="AE46" s="397"/>
      <c r="AF46" s="397"/>
      <c r="AG46" s="397"/>
      <c r="AH46" s="397"/>
      <c r="AI46" s="397"/>
      <c r="AJ46" s="397"/>
      <c r="AK46" s="397"/>
      <c r="AL46" s="397"/>
      <c r="AM46" s="397"/>
      <c r="AN46" s="397"/>
      <c r="AO46" s="397"/>
      <c r="AP46" s="397"/>
      <c r="AQ46" s="397"/>
      <c r="AR46" s="397"/>
      <c r="AS46" s="397"/>
      <c r="AT46" s="397"/>
      <c r="AU46" s="397"/>
    </row>
    <row r="47" spans="1:47" x14ac:dyDescent="0.25">
      <c r="A47" t="s">
        <v>330</v>
      </c>
      <c r="B47" t="s">
        <v>108</v>
      </c>
      <c r="C47" s="444" t="s">
        <v>552</v>
      </c>
      <c r="D47" t="s">
        <v>491</v>
      </c>
      <c r="E47" t="s">
        <v>45</v>
      </c>
      <c r="F47" s="439" t="s">
        <v>46</v>
      </c>
      <c r="G47" s="440">
        <v>20</v>
      </c>
      <c r="H47" s="1">
        <v>1</v>
      </c>
      <c r="I47" s="401">
        <v>2.7840570692335991</v>
      </c>
      <c r="J47" s="453">
        <v>0</v>
      </c>
      <c r="K47" s="454">
        <v>0</v>
      </c>
      <c r="V47" s="397"/>
      <c r="W47" s="397"/>
      <c r="Z47" s="397"/>
      <c r="AA47" s="397"/>
      <c r="AD47" s="397"/>
      <c r="AE47" s="397"/>
      <c r="AF47" s="397"/>
      <c r="AG47" s="397"/>
      <c r="AH47" s="397"/>
      <c r="AI47" s="397"/>
      <c r="AJ47" s="397"/>
      <c r="AK47" s="397"/>
      <c r="AL47" s="397"/>
      <c r="AM47" s="397"/>
      <c r="AN47" s="397"/>
      <c r="AO47" s="397"/>
      <c r="AP47" s="397"/>
      <c r="AQ47" s="397"/>
      <c r="AR47" s="397"/>
      <c r="AS47" s="397"/>
      <c r="AT47" s="397"/>
      <c r="AU47" s="397"/>
    </row>
    <row r="48" spans="1:47" x14ac:dyDescent="0.25">
      <c r="A48" t="s">
        <v>118</v>
      </c>
      <c r="B48" t="s">
        <v>119</v>
      </c>
      <c r="C48" s="444" t="s">
        <v>552</v>
      </c>
      <c r="D48" t="s">
        <v>492</v>
      </c>
      <c r="E48" t="s">
        <v>4</v>
      </c>
      <c r="F48" s="439" t="s">
        <v>7</v>
      </c>
      <c r="G48" s="440">
        <v>20</v>
      </c>
      <c r="H48" s="1">
        <v>0</v>
      </c>
      <c r="I48" s="401">
        <v>4.2786429201043594</v>
      </c>
      <c r="J48" s="453">
        <v>0</v>
      </c>
      <c r="K48" s="454">
        <v>0</v>
      </c>
      <c r="V48" s="397"/>
      <c r="W48" s="397"/>
      <c r="Z48" s="397"/>
      <c r="AA48" s="397"/>
      <c r="AF48" s="397"/>
      <c r="AG48" s="397"/>
      <c r="AL48" s="397"/>
      <c r="AM48" s="397"/>
      <c r="AR48" s="397"/>
      <c r="AS48" s="397"/>
    </row>
    <row r="49" spans="1:45" x14ac:dyDescent="0.25">
      <c r="A49" t="s">
        <v>118</v>
      </c>
      <c r="B49" t="s">
        <v>123</v>
      </c>
      <c r="C49" s="444" t="s">
        <v>552</v>
      </c>
      <c r="D49" t="s">
        <v>493</v>
      </c>
      <c r="E49" t="s">
        <v>12</v>
      </c>
      <c r="F49" s="439" t="s">
        <v>16</v>
      </c>
      <c r="G49" s="440">
        <v>20</v>
      </c>
      <c r="H49" s="1">
        <v>0</v>
      </c>
      <c r="I49" s="401">
        <v>3.6817225644087359</v>
      </c>
      <c r="J49" s="453">
        <v>0</v>
      </c>
      <c r="K49" s="454">
        <v>0</v>
      </c>
      <c r="V49" s="397"/>
      <c r="W49" s="397"/>
      <c r="Z49" s="397"/>
      <c r="AA49" s="397"/>
      <c r="AF49" s="397"/>
      <c r="AG49" s="397"/>
      <c r="AL49" s="397"/>
      <c r="AM49" s="397"/>
      <c r="AR49" s="397"/>
      <c r="AS49" s="397"/>
    </row>
    <row r="50" spans="1:45" x14ac:dyDescent="0.25">
      <c r="A50" t="s">
        <v>330</v>
      </c>
      <c r="B50" t="s">
        <v>181</v>
      </c>
      <c r="C50" s="444" t="s">
        <v>552</v>
      </c>
      <c r="D50" t="s">
        <v>494</v>
      </c>
      <c r="E50" t="s">
        <v>159</v>
      </c>
      <c r="F50" s="439" t="s">
        <v>158</v>
      </c>
      <c r="G50" s="440">
        <v>20</v>
      </c>
      <c r="H50" s="1">
        <v>1</v>
      </c>
      <c r="I50" s="401">
        <v>1.0799594601288685</v>
      </c>
      <c r="J50" s="453">
        <v>0</v>
      </c>
      <c r="K50" s="454">
        <v>0</v>
      </c>
      <c r="V50" s="397"/>
      <c r="W50" s="397"/>
      <c r="Z50" s="397"/>
      <c r="AA50" s="397"/>
      <c r="AF50" s="397"/>
      <c r="AG50" s="397"/>
      <c r="AL50" s="397"/>
      <c r="AM50" s="397"/>
      <c r="AR50" s="397"/>
      <c r="AS50" s="397"/>
    </row>
    <row r="51" spans="1:45" x14ac:dyDescent="0.25">
      <c r="A51" t="s">
        <v>118</v>
      </c>
      <c r="B51" t="s">
        <v>119</v>
      </c>
      <c r="C51" s="444" t="s">
        <v>552</v>
      </c>
      <c r="D51" t="s">
        <v>495</v>
      </c>
      <c r="E51" t="s">
        <v>5</v>
      </c>
      <c r="F51" s="439" t="s">
        <v>7</v>
      </c>
      <c r="G51" s="440">
        <v>20</v>
      </c>
      <c r="H51" s="1">
        <v>0</v>
      </c>
      <c r="I51" s="401">
        <v>3.8803029655534496</v>
      </c>
      <c r="J51" s="453">
        <v>0</v>
      </c>
      <c r="K51" s="454">
        <v>0</v>
      </c>
      <c r="V51" s="397"/>
      <c r="W51" s="397"/>
      <c r="Z51" s="397"/>
      <c r="AA51" s="397"/>
      <c r="AF51" s="397"/>
      <c r="AG51" s="397"/>
      <c r="AL51" s="397"/>
      <c r="AM51" s="397"/>
      <c r="AR51" s="397"/>
      <c r="AS51" s="397"/>
    </row>
    <row r="52" spans="1:45" x14ac:dyDescent="0.25">
      <c r="A52" t="s">
        <v>118</v>
      </c>
      <c r="B52" t="s">
        <v>121</v>
      </c>
      <c r="C52" s="444" t="s">
        <v>552</v>
      </c>
      <c r="D52" t="s">
        <v>496</v>
      </c>
      <c r="E52" t="s">
        <v>20</v>
      </c>
      <c r="F52" s="439" t="s">
        <v>23</v>
      </c>
      <c r="G52" s="440">
        <v>20</v>
      </c>
      <c r="H52" s="1">
        <v>0</v>
      </c>
      <c r="I52" s="401">
        <v>3.3360062456591573</v>
      </c>
      <c r="J52" s="453">
        <v>0</v>
      </c>
      <c r="K52" s="454">
        <v>0</v>
      </c>
      <c r="V52" s="397"/>
      <c r="W52" s="397"/>
      <c r="Z52" s="397"/>
      <c r="AA52" s="397"/>
      <c r="AF52" s="397"/>
      <c r="AG52" s="397"/>
      <c r="AL52" s="397"/>
      <c r="AM52" s="397"/>
      <c r="AR52" s="397"/>
      <c r="AS52" s="397"/>
    </row>
    <row r="53" spans="1:45" x14ac:dyDescent="0.25">
      <c r="A53" t="s">
        <v>118</v>
      </c>
      <c r="B53" t="s">
        <v>123</v>
      </c>
      <c r="C53" s="444" t="s">
        <v>552</v>
      </c>
      <c r="D53" t="s">
        <v>497</v>
      </c>
      <c r="E53" t="s">
        <v>11</v>
      </c>
      <c r="F53" s="439" t="s">
        <v>16</v>
      </c>
      <c r="G53" s="440">
        <v>20</v>
      </c>
      <c r="H53" s="1">
        <v>0</v>
      </c>
      <c r="I53" s="401">
        <v>4.1108608285941157</v>
      </c>
      <c r="J53" s="453">
        <v>0</v>
      </c>
      <c r="K53" s="454">
        <v>0</v>
      </c>
      <c r="V53" s="397"/>
      <c r="W53" s="397"/>
      <c r="AF53" s="397"/>
      <c r="AG53" s="397"/>
      <c r="AR53" s="397"/>
      <c r="AS53" s="397"/>
    </row>
    <row r="54" spans="1:45" x14ac:dyDescent="0.25">
      <c r="A54" t="s">
        <v>118</v>
      </c>
      <c r="B54" t="s">
        <v>124</v>
      </c>
      <c r="C54" s="444" t="s">
        <v>552</v>
      </c>
      <c r="D54" t="s">
        <v>498</v>
      </c>
      <c r="E54" t="s">
        <v>17</v>
      </c>
      <c r="F54" s="439" t="s">
        <v>18</v>
      </c>
      <c r="G54" s="440">
        <v>20</v>
      </c>
      <c r="H54" s="1">
        <v>2</v>
      </c>
      <c r="I54" s="401">
        <v>2.1075884170070407</v>
      </c>
      <c r="J54" s="453">
        <v>0.63775799999999994</v>
      </c>
      <c r="K54" s="454">
        <v>1.4737</v>
      </c>
      <c r="V54" s="397"/>
      <c r="W54" s="397"/>
      <c r="AF54" s="397"/>
      <c r="AG54" s="397"/>
      <c r="AR54" s="397"/>
      <c r="AS54" s="397"/>
    </row>
    <row r="55" spans="1:45" x14ac:dyDescent="0.25">
      <c r="A55" t="s">
        <v>118</v>
      </c>
      <c r="B55" t="s">
        <v>125</v>
      </c>
      <c r="C55" s="444" t="s">
        <v>552</v>
      </c>
      <c r="D55" t="s">
        <v>499</v>
      </c>
      <c r="E55" t="s">
        <v>19</v>
      </c>
      <c r="F55" s="439" t="s">
        <v>3</v>
      </c>
      <c r="G55" s="440">
        <v>20</v>
      </c>
      <c r="H55" s="1">
        <v>2</v>
      </c>
      <c r="I55" s="401">
        <v>2.3570600142169802</v>
      </c>
      <c r="J55" s="453">
        <v>1.2129179999999999</v>
      </c>
      <c r="K55" s="454">
        <v>2.5661949999999996</v>
      </c>
      <c r="V55" s="397"/>
      <c r="W55" s="397"/>
      <c r="Z55" s="397"/>
      <c r="AA55" s="397"/>
      <c r="AF55" s="397"/>
      <c r="AG55" s="397"/>
      <c r="AL55" s="397"/>
      <c r="AM55" s="397"/>
      <c r="AR55" s="397"/>
      <c r="AS55" s="397"/>
    </row>
    <row r="56" spans="1:45" x14ac:dyDescent="0.25">
      <c r="A56" t="s">
        <v>416</v>
      </c>
      <c r="B56" t="s">
        <v>205</v>
      </c>
      <c r="C56" s="444" t="s">
        <v>552</v>
      </c>
      <c r="D56" t="s">
        <v>500</v>
      </c>
      <c r="E56" t="s">
        <v>203</v>
      </c>
      <c r="F56" s="439" t="s">
        <v>204</v>
      </c>
      <c r="G56" s="440">
        <v>20</v>
      </c>
      <c r="H56" s="1">
        <v>0</v>
      </c>
      <c r="I56" s="401">
        <v>1.025203210188685</v>
      </c>
      <c r="J56" s="453">
        <v>0</v>
      </c>
      <c r="K56" s="454">
        <v>0</v>
      </c>
      <c r="V56" s="397"/>
      <c r="W56" s="397"/>
      <c r="Z56" s="397"/>
      <c r="AA56" s="397"/>
      <c r="AF56" s="397"/>
      <c r="AG56" s="397"/>
      <c r="AL56" s="397"/>
      <c r="AM56" s="397"/>
      <c r="AR56" s="397"/>
      <c r="AS56" s="397"/>
    </row>
    <row r="57" spans="1:45" x14ac:dyDescent="0.25">
      <c r="A57" t="s">
        <v>118</v>
      </c>
      <c r="B57" t="s">
        <v>123</v>
      </c>
      <c r="C57" s="444" t="s">
        <v>552</v>
      </c>
      <c r="D57" t="s">
        <v>501</v>
      </c>
      <c r="E57" t="s">
        <v>14</v>
      </c>
      <c r="F57" s="439" t="s">
        <v>16</v>
      </c>
      <c r="G57" s="440">
        <v>20</v>
      </c>
      <c r="H57" s="1">
        <v>0</v>
      </c>
      <c r="I57" s="401">
        <v>2.5993308198700023</v>
      </c>
      <c r="J57" s="453">
        <v>0</v>
      </c>
      <c r="K57" s="454">
        <v>0</v>
      </c>
      <c r="V57" s="397"/>
      <c r="W57" s="397"/>
      <c r="Z57" s="397"/>
      <c r="AA57" s="397"/>
      <c r="AF57" s="397"/>
      <c r="AG57" s="397"/>
      <c r="AL57" s="397"/>
      <c r="AM57" s="397"/>
      <c r="AR57" s="397"/>
      <c r="AS57" s="397"/>
    </row>
    <row r="58" spans="1:45" x14ac:dyDescent="0.25">
      <c r="A58" t="s">
        <v>118</v>
      </c>
      <c r="B58" t="s">
        <v>121</v>
      </c>
      <c r="C58" s="444" t="s">
        <v>552</v>
      </c>
      <c r="D58" t="s">
        <v>502</v>
      </c>
      <c r="E58" t="s">
        <v>21</v>
      </c>
      <c r="F58" s="439" t="s">
        <v>23</v>
      </c>
      <c r="G58" s="440">
        <v>20</v>
      </c>
      <c r="H58" s="1">
        <v>0</v>
      </c>
      <c r="I58" s="401">
        <v>1.8844401569890343</v>
      </c>
      <c r="J58" s="453">
        <v>0</v>
      </c>
      <c r="K58" s="454">
        <v>0</v>
      </c>
      <c r="V58" s="397"/>
      <c r="W58" s="397"/>
      <c r="Z58" s="397"/>
      <c r="AA58" s="397"/>
      <c r="AF58" s="397"/>
      <c r="AG58" s="397"/>
      <c r="AL58" s="397"/>
      <c r="AM58" s="397"/>
      <c r="AR58" s="397"/>
      <c r="AS58" s="397"/>
    </row>
    <row r="59" spans="1:45" x14ac:dyDescent="0.25">
      <c r="A59" t="s">
        <v>105</v>
      </c>
      <c r="B59" t="s">
        <v>128</v>
      </c>
      <c r="C59" s="444" t="s">
        <v>552</v>
      </c>
      <c r="D59" t="s">
        <v>503</v>
      </c>
      <c r="E59" t="s">
        <v>99</v>
      </c>
      <c r="F59" s="439" t="s">
        <v>97</v>
      </c>
      <c r="G59" s="440">
        <v>20</v>
      </c>
      <c r="H59" s="1">
        <v>1</v>
      </c>
      <c r="I59" s="401">
        <v>2.3869407020055839</v>
      </c>
      <c r="J59" s="453">
        <v>0</v>
      </c>
      <c r="K59" s="454">
        <v>0</v>
      </c>
      <c r="V59" s="397"/>
      <c r="W59" s="397"/>
      <c r="Z59" s="397"/>
      <c r="AA59" s="397"/>
      <c r="AF59" s="397"/>
      <c r="AG59" s="397"/>
      <c r="AL59" s="397"/>
      <c r="AM59" s="397"/>
      <c r="AR59" s="397"/>
      <c r="AS59" s="397"/>
    </row>
    <row r="60" spans="1:45" x14ac:dyDescent="0.25">
      <c r="A60" t="s">
        <v>118</v>
      </c>
      <c r="B60" t="s">
        <v>121</v>
      </c>
      <c r="C60" s="444" t="s">
        <v>552</v>
      </c>
      <c r="D60" t="s">
        <v>504</v>
      </c>
      <c r="E60" t="s">
        <v>22</v>
      </c>
      <c r="F60" s="439" t="s">
        <v>23</v>
      </c>
      <c r="G60" s="440">
        <v>20</v>
      </c>
      <c r="H60" s="1">
        <v>0</v>
      </c>
      <c r="I60" s="401">
        <v>1.2608527711841397</v>
      </c>
      <c r="J60" s="453">
        <v>0</v>
      </c>
      <c r="K60" s="454">
        <v>0</v>
      </c>
      <c r="V60" s="397"/>
      <c r="W60" s="397"/>
    </row>
    <row r="61" spans="1:45" x14ac:dyDescent="0.25">
      <c r="A61" t="s">
        <v>312</v>
      </c>
      <c r="B61" t="s">
        <v>121</v>
      </c>
      <c r="C61" s="444">
        <v>2026</v>
      </c>
      <c r="D61" t="s">
        <v>505</v>
      </c>
      <c r="E61" t="s">
        <v>184</v>
      </c>
      <c r="F61" s="439" t="s">
        <v>183</v>
      </c>
      <c r="G61" s="440">
        <v>20</v>
      </c>
      <c r="H61" s="1">
        <v>2</v>
      </c>
      <c r="I61" s="401">
        <v>1.2375113434596379</v>
      </c>
      <c r="J61" s="453">
        <v>0.65244999999999997</v>
      </c>
      <c r="K61" s="454">
        <v>0.72267000000000015</v>
      </c>
      <c r="V61" s="397"/>
      <c r="W61" s="397"/>
    </row>
    <row r="62" spans="1:45" x14ac:dyDescent="0.25">
      <c r="A62" t="s">
        <v>312</v>
      </c>
      <c r="B62" t="s">
        <v>123</v>
      </c>
      <c r="C62" s="444">
        <v>2026</v>
      </c>
      <c r="D62" t="s">
        <v>506</v>
      </c>
      <c r="E62" t="s">
        <v>237</v>
      </c>
      <c r="F62" s="439" t="s">
        <v>238</v>
      </c>
      <c r="G62" s="440">
        <v>20</v>
      </c>
      <c r="H62" s="1">
        <v>2</v>
      </c>
      <c r="I62" s="401">
        <v>0.98455262923903741</v>
      </c>
      <c r="J62" s="453">
        <v>0.98788999999999993</v>
      </c>
      <c r="K62" s="454">
        <v>0.8874209999999999</v>
      </c>
      <c r="V62" s="397"/>
      <c r="W62" s="397"/>
    </row>
    <row r="63" spans="1:45" x14ac:dyDescent="0.25">
      <c r="A63" t="s">
        <v>312</v>
      </c>
      <c r="B63" t="s">
        <v>125</v>
      </c>
      <c r="C63" s="444">
        <v>2026</v>
      </c>
      <c r="D63" t="s">
        <v>507</v>
      </c>
      <c r="E63" t="s">
        <v>251</v>
      </c>
      <c r="F63" s="439" t="s">
        <v>252</v>
      </c>
      <c r="G63" s="440">
        <v>20</v>
      </c>
      <c r="H63" s="1">
        <v>2</v>
      </c>
      <c r="I63" s="401">
        <v>1.0894453245439879</v>
      </c>
      <c r="J63" s="453">
        <v>0.54608999999999996</v>
      </c>
      <c r="K63" s="454">
        <v>0.46543000000000001</v>
      </c>
      <c r="V63" s="397"/>
      <c r="W63" s="397"/>
    </row>
    <row r="64" spans="1:45" x14ac:dyDescent="0.25">
      <c r="A64" t="s">
        <v>312</v>
      </c>
      <c r="B64" t="s">
        <v>121</v>
      </c>
      <c r="C64" s="444">
        <v>2027</v>
      </c>
      <c r="D64" t="s">
        <v>508</v>
      </c>
      <c r="E64" t="s">
        <v>186</v>
      </c>
      <c r="F64" s="439" t="s">
        <v>185</v>
      </c>
      <c r="G64" s="440">
        <v>20</v>
      </c>
      <c r="H64" s="1">
        <v>2</v>
      </c>
      <c r="I64" s="401">
        <v>1.2301274110982896</v>
      </c>
      <c r="J64" s="453">
        <v>0.68947000000000003</v>
      </c>
      <c r="K64" s="454">
        <v>0.76592599999999988</v>
      </c>
      <c r="V64" s="397"/>
      <c r="W64" s="397"/>
      <c r="Z64" s="397"/>
      <c r="AA64" s="397"/>
      <c r="AF64" s="397"/>
      <c r="AG64" s="397"/>
      <c r="AL64" s="397"/>
      <c r="AM64" s="397"/>
      <c r="AR64" s="397"/>
      <c r="AS64" s="397"/>
    </row>
    <row r="65" spans="1:47" x14ac:dyDescent="0.25">
      <c r="A65" t="s">
        <v>312</v>
      </c>
      <c r="B65" t="s">
        <v>436</v>
      </c>
      <c r="C65" s="444">
        <v>2027</v>
      </c>
      <c r="D65" t="s">
        <v>509</v>
      </c>
      <c r="E65" t="s">
        <v>263</v>
      </c>
      <c r="F65" s="439" t="s">
        <v>264</v>
      </c>
      <c r="G65" s="440">
        <v>20</v>
      </c>
      <c r="H65" s="1">
        <v>2</v>
      </c>
      <c r="I65" s="401">
        <v>0.90646267115902346</v>
      </c>
      <c r="J65" s="453">
        <v>0.34166000000000002</v>
      </c>
      <c r="K65" s="454">
        <v>0.62232599999999993</v>
      </c>
      <c r="V65" s="397"/>
      <c r="W65" s="397"/>
      <c r="Z65" s="397"/>
      <c r="AA65" s="397"/>
      <c r="AF65" s="397"/>
      <c r="AG65" s="397"/>
      <c r="AL65" s="397"/>
      <c r="AM65" s="397"/>
      <c r="AR65" s="397"/>
      <c r="AS65" s="397"/>
    </row>
    <row r="66" spans="1:47" x14ac:dyDescent="0.25">
      <c r="A66" t="s">
        <v>312</v>
      </c>
      <c r="B66" t="s">
        <v>123</v>
      </c>
      <c r="C66" s="444">
        <v>2027</v>
      </c>
      <c r="D66" t="s">
        <v>510</v>
      </c>
      <c r="E66" t="s">
        <v>239</v>
      </c>
      <c r="F66" s="439" t="s">
        <v>240</v>
      </c>
      <c r="G66" s="440">
        <v>20</v>
      </c>
      <c r="H66" s="1">
        <v>2</v>
      </c>
      <c r="I66" s="401">
        <v>0.98337555491951589</v>
      </c>
      <c r="J66" s="453">
        <v>0.98380999999999985</v>
      </c>
      <c r="K66" s="454">
        <v>0.95134600000000002</v>
      </c>
      <c r="V66" s="397"/>
      <c r="W66" s="397"/>
      <c r="AB66" s="397"/>
      <c r="AC66" s="397"/>
      <c r="AN66" s="397"/>
      <c r="AO66" s="397"/>
      <c r="AT66" s="397"/>
      <c r="AU66" s="397"/>
    </row>
    <row r="67" spans="1:47" x14ac:dyDescent="0.25">
      <c r="A67" t="s">
        <v>312</v>
      </c>
      <c r="B67" t="s">
        <v>125</v>
      </c>
      <c r="C67" s="444">
        <v>2027</v>
      </c>
      <c r="D67" t="s">
        <v>511</v>
      </c>
      <c r="E67" t="s">
        <v>253</v>
      </c>
      <c r="F67" s="439" t="s">
        <v>254</v>
      </c>
      <c r="G67" s="440">
        <v>20</v>
      </c>
      <c r="H67" s="1">
        <v>2</v>
      </c>
      <c r="I67" s="401">
        <v>1.0798832887596526</v>
      </c>
      <c r="J67" s="453">
        <v>0.53744999999999998</v>
      </c>
      <c r="K67" s="454">
        <v>0.48370899999999994</v>
      </c>
      <c r="V67" s="397"/>
      <c r="W67" s="397"/>
      <c r="AB67" s="397"/>
      <c r="AC67" s="397"/>
      <c r="AN67" s="397"/>
      <c r="AO67" s="397"/>
      <c r="AT67" s="397"/>
      <c r="AU67" s="397"/>
    </row>
    <row r="68" spans="1:47" x14ac:dyDescent="0.25">
      <c r="A68" t="s">
        <v>312</v>
      </c>
      <c r="B68" t="s">
        <v>121</v>
      </c>
      <c r="C68" s="444">
        <v>2028</v>
      </c>
      <c r="D68" t="s">
        <v>512</v>
      </c>
      <c r="E68" t="s">
        <v>188</v>
      </c>
      <c r="F68" s="439" t="s">
        <v>187</v>
      </c>
      <c r="G68" s="440">
        <v>20</v>
      </c>
      <c r="H68" s="1">
        <v>2</v>
      </c>
      <c r="I68" s="401">
        <v>1.2356516571927667</v>
      </c>
      <c r="J68" s="453">
        <v>0.74602999999999997</v>
      </c>
      <c r="K68" s="454">
        <v>0.8372210000000001</v>
      </c>
      <c r="V68" s="397"/>
      <c r="W68" s="397"/>
      <c r="Z68" s="397"/>
      <c r="AA68" s="397"/>
      <c r="AD68" s="397"/>
      <c r="AE68" s="397"/>
      <c r="AF68" s="397"/>
      <c r="AG68" s="397"/>
      <c r="AH68" s="397"/>
      <c r="AI68" s="397"/>
      <c r="AJ68" s="397"/>
      <c r="AK68" s="397"/>
      <c r="AL68" s="397"/>
      <c r="AM68" s="397"/>
      <c r="AN68" s="397"/>
      <c r="AO68" s="397"/>
      <c r="AP68" s="397"/>
      <c r="AQ68" s="397"/>
      <c r="AR68" s="397"/>
      <c r="AS68" s="397"/>
      <c r="AT68" s="397"/>
      <c r="AU68" s="397"/>
    </row>
    <row r="69" spans="1:47" x14ac:dyDescent="0.25">
      <c r="A69" t="s">
        <v>312</v>
      </c>
      <c r="B69" t="s">
        <v>123</v>
      </c>
      <c r="C69" s="444">
        <v>2028</v>
      </c>
      <c r="D69" t="s">
        <v>513</v>
      </c>
      <c r="E69" t="s">
        <v>241</v>
      </c>
      <c r="F69" s="439" t="s">
        <v>242</v>
      </c>
      <c r="G69" s="440">
        <v>20</v>
      </c>
      <c r="H69" s="1">
        <v>2</v>
      </c>
      <c r="I69" s="401">
        <v>1.0760389631897387</v>
      </c>
      <c r="J69" s="453">
        <v>1.0796399999999999</v>
      </c>
      <c r="K69" s="454">
        <v>1.0893950000000001</v>
      </c>
      <c r="V69" s="397"/>
      <c r="W69" s="397"/>
      <c r="Z69" s="397"/>
      <c r="AA69" s="397"/>
      <c r="AD69" s="397"/>
      <c r="AE69" s="397"/>
      <c r="AF69" s="397"/>
      <c r="AG69" s="397"/>
      <c r="AH69" s="397"/>
      <c r="AI69" s="397"/>
      <c r="AJ69" s="397"/>
      <c r="AK69" s="397"/>
      <c r="AL69" s="397"/>
      <c r="AM69" s="397"/>
      <c r="AN69" s="397"/>
      <c r="AO69" s="397"/>
      <c r="AP69" s="397"/>
      <c r="AQ69" s="397"/>
      <c r="AR69" s="397"/>
      <c r="AS69" s="397"/>
      <c r="AT69" s="397"/>
      <c r="AU69" s="397"/>
    </row>
    <row r="70" spans="1:47" x14ac:dyDescent="0.25">
      <c r="A70" t="s">
        <v>312</v>
      </c>
      <c r="B70" t="s">
        <v>125</v>
      </c>
      <c r="C70" s="444">
        <v>2028</v>
      </c>
      <c r="D70" t="s">
        <v>514</v>
      </c>
      <c r="E70" t="s">
        <v>255</v>
      </c>
      <c r="F70" s="439" t="s">
        <v>256</v>
      </c>
      <c r="G70" s="440">
        <v>20</v>
      </c>
      <c r="H70" s="1">
        <v>2</v>
      </c>
      <c r="I70" s="401">
        <v>1.095889130212836</v>
      </c>
      <c r="J70" s="453">
        <v>0.5474</v>
      </c>
      <c r="K70" s="454">
        <v>0.476329</v>
      </c>
      <c r="V70" s="397"/>
      <c r="W70" s="397"/>
      <c r="Z70" s="397"/>
      <c r="AA70" s="397"/>
      <c r="AD70" s="397"/>
      <c r="AE70" s="397"/>
      <c r="AF70" s="397"/>
      <c r="AG70" s="397"/>
      <c r="AH70" s="397"/>
      <c r="AI70" s="397"/>
      <c r="AL70" s="397"/>
      <c r="AM70" s="397"/>
      <c r="AN70" s="397"/>
      <c r="AO70" s="397"/>
      <c r="AP70" s="397"/>
      <c r="AQ70" s="397"/>
      <c r="AR70" s="397"/>
      <c r="AS70" s="397"/>
      <c r="AT70" s="397"/>
      <c r="AU70" s="397"/>
    </row>
    <row r="71" spans="1:47" x14ac:dyDescent="0.25">
      <c r="A71" t="s">
        <v>312</v>
      </c>
      <c r="B71" t="s">
        <v>436</v>
      </c>
      <c r="C71" s="444">
        <v>2028</v>
      </c>
      <c r="D71" t="s">
        <v>515</v>
      </c>
      <c r="E71" t="s">
        <v>265</v>
      </c>
      <c r="F71" s="439" t="s">
        <v>266</v>
      </c>
      <c r="G71" s="440">
        <v>20</v>
      </c>
      <c r="H71" s="1">
        <v>2</v>
      </c>
      <c r="I71" s="401">
        <v>0.8961891305245594</v>
      </c>
      <c r="J71" s="453">
        <v>0.36453000000000002</v>
      </c>
      <c r="K71" s="454">
        <v>0.61648800000000004</v>
      </c>
      <c r="V71" s="397"/>
      <c r="W71" s="397"/>
      <c r="Z71" s="397"/>
      <c r="AA71" s="397"/>
      <c r="AF71" s="397"/>
      <c r="AG71" s="397"/>
      <c r="AL71" s="397"/>
      <c r="AM71" s="397"/>
      <c r="AR71" s="397"/>
      <c r="AS71" s="397"/>
    </row>
    <row r="72" spans="1:47" x14ac:dyDescent="0.25">
      <c r="A72" t="s">
        <v>312</v>
      </c>
      <c r="B72" t="s">
        <v>121</v>
      </c>
      <c r="C72" s="444">
        <v>2029</v>
      </c>
      <c r="D72" t="s">
        <v>516</v>
      </c>
      <c r="E72" t="s">
        <v>190</v>
      </c>
      <c r="F72" s="439" t="s">
        <v>189</v>
      </c>
      <c r="G72" s="440">
        <v>20</v>
      </c>
      <c r="H72" s="1">
        <v>2</v>
      </c>
      <c r="I72" s="401">
        <v>1.2426363982299979</v>
      </c>
      <c r="J72" s="453">
        <v>0.69565999999999995</v>
      </c>
      <c r="K72" s="454">
        <v>0.79496500000000014</v>
      </c>
      <c r="V72" s="397"/>
      <c r="W72" s="397"/>
      <c r="Z72" s="397"/>
      <c r="AA72" s="397"/>
      <c r="AD72" s="397"/>
      <c r="AE72" s="397"/>
      <c r="AF72" s="397"/>
      <c r="AG72" s="397"/>
      <c r="AH72" s="397"/>
      <c r="AI72" s="397"/>
      <c r="AJ72" s="397"/>
      <c r="AK72" s="397"/>
      <c r="AL72" s="397"/>
      <c r="AM72" s="397"/>
      <c r="AN72" s="397"/>
      <c r="AO72" s="397"/>
      <c r="AP72" s="397"/>
      <c r="AQ72" s="397"/>
      <c r="AR72" s="397"/>
      <c r="AS72" s="397"/>
      <c r="AT72" s="397"/>
      <c r="AU72" s="397"/>
    </row>
    <row r="73" spans="1:47" x14ac:dyDescent="0.25">
      <c r="A73" t="s">
        <v>312</v>
      </c>
      <c r="B73" t="s">
        <v>436</v>
      </c>
      <c r="C73" s="444">
        <v>2029</v>
      </c>
      <c r="D73" t="s">
        <v>517</v>
      </c>
      <c r="E73" t="s">
        <v>267</v>
      </c>
      <c r="F73" s="439" t="s">
        <v>268</v>
      </c>
      <c r="G73" s="440">
        <v>20</v>
      </c>
      <c r="H73" s="1">
        <v>2</v>
      </c>
      <c r="I73" s="401">
        <v>0.87509351861730045</v>
      </c>
      <c r="J73" s="453">
        <v>0.37415000000000004</v>
      </c>
      <c r="K73" s="454">
        <v>0.61112900000000003</v>
      </c>
      <c r="V73" s="397"/>
      <c r="W73" s="397"/>
      <c r="Z73" s="397"/>
      <c r="AA73" s="397"/>
      <c r="AD73" s="397"/>
      <c r="AE73" s="397"/>
      <c r="AF73" s="397"/>
      <c r="AG73" s="397"/>
      <c r="AH73" s="397"/>
      <c r="AI73" s="397"/>
      <c r="AJ73" s="397"/>
      <c r="AK73" s="397"/>
      <c r="AL73" s="397"/>
      <c r="AM73" s="397"/>
      <c r="AN73" s="397"/>
      <c r="AO73" s="397"/>
      <c r="AP73" s="397"/>
      <c r="AQ73" s="397"/>
      <c r="AR73" s="397"/>
      <c r="AS73" s="397"/>
      <c r="AT73" s="397"/>
      <c r="AU73" s="397"/>
    </row>
    <row r="74" spans="1:47" x14ac:dyDescent="0.25">
      <c r="A74" t="s">
        <v>312</v>
      </c>
      <c r="B74" t="s">
        <v>123</v>
      </c>
      <c r="C74" s="444">
        <v>2029</v>
      </c>
      <c r="D74" t="s">
        <v>518</v>
      </c>
      <c r="E74" t="s">
        <v>243</v>
      </c>
      <c r="F74" s="439" t="s">
        <v>244</v>
      </c>
      <c r="G74" s="440">
        <v>20</v>
      </c>
      <c r="H74" s="1">
        <v>2</v>
      </c>
      <c r="I74" s="401">
        <v>1.1010613114940888</v>
      </c>
      <c r="J74" s="453">
        <v>1.1369199999999999</v>
      </c>
      <c r="K74" s="454">
        <v>1.15381</v>
      </c>
      <c r="V74" s="397"/>
      <c r="W74" s="397"/>
      <c r="Z74" s="397"/>
      <c r="AA74" s="397"/>
      <c r="AD74" s="397"/>
      <c r="AE74" s="397"/>
      <c r="AF74" s="397"/>
      <c r="AG74" s="397"/>
      <c r="AH74" s="397"/>
      <c r="AI74" s="397"/>
      <c r="AJ74" s="397"/>
      <c r="AK74" s="397"/>
      <c r="AL74" s="397"/>
      <c r="AM74" s="397"/>
      <c r="AN74" s="397"/>
      <c r="AO74" s="397"/>
      <c r="AP74" s="397"/>
      <c r="AQ74" s="397"/>
      <c r="AR74" s="397"/>
      <c r="AS74" s="397"/>
      <c r="AT74" s="397"/>
      <c r="AU74" s="397"/>
    </row>
    <row r="75" spans="1:47" x14ac:dyDescent="0.25">
      <c r="A75" t="s">
        <v>312</v>
      </c>
      <c r="B75" t="s">
        <v>125</v>
      </c>
      <c r="C75" s="444">
        <v>2029</v>
      </c>
      <c r="D75" t="s">
        <v>519</v>
      </c>
      <c r="E75" t="s">
        <v>257</v>
      </c>
      <c r="F75" s="439" t="s">
        <v>258</v>
      </c>
      <c r="G75" s="440">
        <v>20</v>
      </c>
      <c r="H75" s="1">
        <v>2</v>
      </c>
      <c r="I75" s="401">
        <v>1.1075224383014404</v>
      </c>
      <c r="J75" s="453">
        <v>0.52925999999999995</v>
      </c>
      <c r="K75" s="454">
        <v>0.47927100000000006</v>
      </c>
      <c r="V75" s="397"/>
      <c r="W75" s="397"/>
      <c r="Z75" s="397"/>
      <c r="AA75" s="397"/>
      <c r="AD75" s="397"/>
      <c r="AE75" s="397"/>
      <c r="AF75" s="397"/>
      <c r="AG75" s="397"/>
      <c r="AH75" s="397"/>
      <c r="AI75" s="397"/>
      <c r="AJ75" s="397"/>
      <c r="AK75" s="397"/>
      <c r="AL75" s="397"/>
      <c r="AM75" s="397"/>
      <c r="AN75" s="397"/>
      <c r="AO75" s="397"/>
      <c r="AP75" s="397"/>
      <c r="AQ75" s="397"/>
      <c r="AR75" s="397"/>
      <c r="AS75" s="397"/>
      <c r="AT75" s="397"/>
      <c r="AU75" s="397"/>
    </row>
    <row r="76" spans="1:47" x14ac:dyDescent="0.25">
      <c r="A76" t="s">
        <v>312</v>
      </c>
      <c r="B76" t="s">
        <v>121</v>
      </c>
      <c r="C76" s="444">
        <v>2030</v>
      </c>
      <c r="D76" t="s">
        <v>520</v>
      </c>
      <c r="E76" t="s">
        <v>192</v>
      </c>
      <c r="F76" s="439" t="s">
        <v>191</v>
      </c>
      <c r="G76" s="440">
        <v>20</v>
      </c>
      <c r="H76" s="1">
        <v>2</v>
      </c>
      <c r="I76" s="401">
        <v>1.3044921391161348</v>
      </c>
      <c r="J76" s="453">
        <v>0.63388</v>
      </c>
      <c r="K76" s="454">
        <v>0.74047199999999991</v>
      </c>
      <c r="V76" s="397"/>
      <c r="W76" s="397"/>
      <c r="Z76" s="397"/>
      <c r="AA76" s="397"/>
      <c r="AD76" s="397"/>
      <c r="AE76" s="397"/>
      <c r="AF76" s="397"/>
      <c r="AG76" s="397"/>
      <c r="AH76" s="397"/>
      <c r="AI76" s="397"/>
      <c r="AJ76" s="397"/>
      <c r="AK76" s="397"/>
      <c r="AL76" s="397"/>
      <c r="AM76" s="397"/>
      <c r="AN76" s="397"/>
      <c r="AO76" s="397"/>
      <c r="AP76" s="397"/>
      <c r="AQ76" s="397"/>
      <c r="AR76" s="397"/>
      <c r="AS76" s="397"/>
      <c r="AT76" s="397"/>
      <c r="AU76" s="397"/>
    </row>
    <row r="77" spans="1:47" x14ac:dyDescent="0.25">
      <c r="A77" t="s">
        <v>312</v>
      </c>
      <c r="B77" t="s">
        <v>123</v>
      </c>
      <c r="C77" s="444">
        <v>2030</v>
      </c>
      <c r="D77" t="s">
        <v>521</v>
      </c>
      <c r="E77" t="s">
        <v>245</v>
      </c>
      <c r="F77" s="439" t="s">
        <v>246</v>
      </c>
      <c r="G77" s="440">
        <v>20</v>
      </c>
      <c r="H77" s="1">
        <v>2</v>
      </c>
      <c r="I77" s="401">
        <v>1.0221209569047274</v>
      </c>
      <c r="J77" s="453">
        <v>1.4411800000000001</v>
      </c>
      <c r="K77" s="454">
        <v>1.3173820000000001</v>
      </c>
      <c r="V77" s="397"/>
      <c r="W77" s="397"/>
      <c r="Z77" s="397"/>
      <c r="AA77" s="397"/>
      <c r="AD77" s="397"/>
      <c r="AE77" s="397"/>
      <c r="AF77" s="397"/>
      <c r="AG77" s="397"/>
      <c r="AH77" s="397"/>
      <c r="AI77" s="397"/>
      <c r="AJ77" s="397"/>
      <c r="AK77" s="397"/>
      <c r="AL77" s="397"/>
      <c r="AM77" s="397"/>
      <c r="AN77" s="397"/>
      <c r="AO77" s="397"/>
      <c r="AP77" s="397"/>
      <c r="AQ77" s="397"/>
      <c r="AR77" s="397"/>
      <c r="AS77" s="397"/>
      <c r="AT77" s="397"/>
      <c r="AU77" s="397"/>
    </row>
    <row r="78" spans="1:47" x14ac:dyDescent="0.25">
      <c r="A78" t="s">
        <v>312</v>
      </c>
      <c r="B78" t="s">
        <v>125</v>
      </c>
      <c r="C78" s="444">
        <v>2030</v>
      </c>
      <c r="D78" t="s">
        <v>522</v>
      </c>
      <c r="E78" t="s">
        <v>259</v>
      </c>
      <c r="F78" s="439" t="s">
        <v>260</v>
      </c>
      <c r="G78" s="440">
        <v>20</v>
      </c>
      <c r="H78" s="1">
        <v>2</v>
      </c>
      <c r="I78" s="401">
        <v>1.1933299036818599</v>
      </c>
      <c r="J78" s="453">
        <v>0.51845999999999992</v>
      </c>
      <c r="K78" s="454">
        <v>0.48324499999999998</v>
      </c>
      <c r="V78" s="397"/>
      <c r="W78" s="397"/>
      <c r="Z78" s="397"/>
      <c r="AA78" s="397"/>
      <c r="AD78" s="397"/>
      <c r="AE78" s="397"/>
      <c r="AF78" s="397"/>
      <c r="AG78" s="397"/>
      <c r="AH78" s="397"/>
      <c r="AI78" s="397"/>
      <c r="AJ78" s="397"/>
      <c r="AK78" s="397"/>
      <c r="AL78" s="397"/>
      <c r="AM78" s="397"/>
      <c r="AN78" s="397"/>
      <c r="AO78" s="397"/>
      <c r="AP78" s="397"/>
      <c r="AQ78" s="397"/>
      <c r="AR78" s="397"/>
      <c r="AS78" s="397"/>
      <c r="AT78" s="397"/>
      <c r="AU78" s="397"/>
    </row>
    <row r="79" spans="1:47" x14ac:dyDescent="0.25">
      <c r="A79" t="s">
        <v>312</v>
      </c>
      <c r="B79" t="s">
        <v>436</v>
      </c>
      <c r="C79" s="444">
        <v>2030</v>
      </c>
      <c r="D79" t="s">
        <v>523</v>
      </c>
      <c r="E79" t="s">
        <v>269</v>
      </c>
      <c r="F79" s="439" t="s">
        <v>270</v>
      </c>
      <c r="G79" s="440">
        <v>20</v>
      </c>
      <c r="H79" s="1">
        <v>2</v>
      </c>
      <c r="I79" s="401">
        <v>0.78879439992226774</v>
      </c>
      <c r="J79" s="453">
        <v>0.37972000000000006</v>
      </c>
      <c r="K79" s="454">
        <v>0.54581999999999997</v>
      </c>
      <c r="V79" s="397"/>
      <c r="W79" s="397"/>
      <c r="Z79" s="397"/>
      <c r="AA79" s="397"/>
      <c r="AD79" s="397"/>
      <c r="AE79" s="397"/>
      <c r="AF79" s="397"/>
      <c r="AG79" s="397"/>
      <c r="AH79" s="397"/>
      <c r="AI79" s="397"/>
      <c r="AJ79" s="397"/>
      <c r="AK79" s="397"/>
      <c r="AL79" s="397"/>
      <c r="AM79" s="397"/>
      <c r="AN79" s="397"/>
      <c r="AO79" s="397"/>
      <c r="AP79" s="397"/>
      <c r="AQ79" s="397"/>
      <c r="AR79" s="397"/>
      <c r="AS79" s="397"/>
      <c r="AT79" s="397"/>
      <c r="AU79" s="397"/>
    </row>
    <row r="80" spans="1:47" x14ac:dyDescent="0.25">
      <c r="A80" t="s">
        <v>312</v>
      </c>
      <c r="B80" t="s">
        <v>121</v>
      </c>
      <c r="C80" s="444">
        <v>2031</v>
      </c>
      <c r="D80" t="s">
        <v>524</v>
      </c>
      <c r="E80" t="s">
        <v>194</v>
      </c>
      <c r="F80" s="439" t="s">
        <v>193</v>
      </c>
      <c r="G80" s="440">
        <v>20</v>
      </c>
      <c r="H80" s="1">
        <v>2</v>
      </c>
      <c r="I80" s="401">
        <v>1.2670264534996551</v>
      </c>
      <c r="J80" s="453">
        <v>0.64073000000000002</v>
      </c>
      <c r="K80" s="454">
        <v>0.73946900000000004</v>
      </c>
      <c r="V80" s="397"/>
      <c r="W80" s="397"/>
      <c r="Z80" s="397"/>
      <c r="AA80" s="397"/>
      <c r="AD80" s="397"/>
      <c r="AE80" s="397"/>
      <c r="AF80" s="397"/>
      <c r="AG80" s="397"/>
      <c r="AH80" s="397"/>
      <c r="AI80" s="397"/>
      <c r="AJ80" s="397"/>
      <c r="AK80" s="397"/>
      <c r="AL80" s="397"/>
      <c r="AM80" s="397"/>
      <c r="AN80" s="397"/>
      <c r="AO80" s="397"/>
      <c r="AP80" s="397"/>
      <c r="AQ80" s="397"/>
      <c r="AR80" s="397"/>
      <c r="AS80" s="397"/>
      <c r="AT80" s="397"/>
      <c r="AU80" s="397"/>
    </row>
    <row r="81" spans="1:47" x14ac:dyDescent="0.25">
      <c r="A81" t="s">
        <v>312</v>
      </c>
      <c r="B81" t="s">
        <v>123</v>
      </c>
      <c r="C81" s="444">
        <v>2031</v>
      </c>
      <c r="D81" t="s">
        <v>525</v>
      </c>
      <c r="E81" t="s">
        <v>247</v>
      </c>
      <c r="F81" s="439" t="s">
        <v>248</v>
      </c>
      <c r="G81" s="440">
        <v>20</v>
      </c>
      <c r="H81" s="1">
        <v>2</v>
      </c>
      <c r="I81" s="401">
        <v>0.97907739990995457</v>
      </c>
      <c r="J81" s="453">
        <v>1.4222800000000002</v>
      </c>
      <c r="K81" s="454">
        <v>1.2451219999999998</v>
      </c>
      <c r="V81" s="397"/>
      <c r="W81" s="397"/>
      <c r="Z81" s="397"/>
      <c r="AA81" s="397"/>
      <c r="AD81" s="397"/>
      <c r="AE81" s="397"/>
      <c r="AF81" s="397"/>
      <c r="AG81" s="397"/>
      <c r="AH81" s="397"/>
      <c r="AI81" s="397"/>
      <c r="AJ81" s="397"/>
      <c r="AK81" s="397"/>
      <c r="AL81" s="397"/>
      <c r="AM81" s="397"/>
      <c r="AN81" s="397"/>
      <c r="AO81" s="397"/>
      <c r="AP81" s="397"/>
      <c r="AQ81" s="397"/>
      <c r="AR81" s="397"/>
      <c r="AS81" s="397"/>
      <c r="AT81" s="397"/>
      <c r="AU81" s="397"/>
    </row>
    <row r="82" spans="1:47" x14ac:dyDescent="0.25">
      <c r="A82" t="s">
        <v>312</v>
      </c>
      <c r="B82" t="s">
        <v>125</v>
      </c>
      <c r="C82" s="444">
        <v>2031</v>
      </c>
      <c r="D82" t="s">
        <v>526</v>
      </c>
      <c r="E82" t="s">
        <v>261</v>
      </c>
      <c r="F82" s="439" t="s">
        <v>262</v>
      </c>
      <c r="G82" s="440">
        <v>20</v>
      </c>
      <c r="H82" s="1">
        <v>2</v>
      </c>
      <c r="I82" s="401">
        <v>1.2353285654161679</v>
      </c>
      <c r="J82" s="453">
        <v>0.51354999999999995</v>
      </c>
      <c r="K82" s="454">
        <v>0.46354400000000001</v>
      </c>
      <c r="V82" s="397"/>
      <c r="W82" s="397"/>
      <c r="Z82" s="397"/>
      <c r="AA82" s="397"/>
      <c r="AD82" s="397"/>
      <c r="AE82" s="397"/>
      <c r="AF82" s="397"/>
      <c r="AG82" s="397"/>
      <c r="AH82" s="397"/>
      <c r="AI82" s="397"/>
      <c r="AJ82" s="397"/>
      <c r="AK82" s="397"/>
      <c r="AL82" s="397"/>
      <c r="AM82" s="397"/>
      <c r="AN82" s="397"/>
      <c r="AO82" s="397"/>
      <c r="AP82" s="397"/>
      <c r="AQ82" s="397"/>
      <c r="AR82" s="397"/>
      <c r="AS82" s="397"/>
      <c r="AT82" s="397"/>
      <c r="AU82" s="397"/>
    </row>
    <row r="83" spans="1:47" x14ac:dyDescent="0.25">
      <c r="A83" t="s">
        <v>312</v>
      </c>
      <c r="B83" t="s">
        <v>436</v>
      </c>
      <c r="C83" s="444">
        <v>2031</v>
      </c>
      <c r="D83" t="s">
        <v>527</v>
      </c>
      <c r="E83" t="s">
        <v>271</v>
      </c>
      <c r="F83" s="439" t="s">
        <v>272</v>
      </c>
      <c r="G83" s="440">
        <v>20</v>
      </c>
      <c r="H83" s="1">
        <v>2</v>
      </c>
      <c r="I83" s="401">
        <v>0.8142745543862745</v>
      </c>
      <c r="J83" s="453">
        <v>0.38671</v>
      </c>
      <c r="K83" s="454">
        <v>0.58545300000000011</v>
      </c>
      <c r="V83" s="397"/>
      <c r="W83" s="397"/>
      <c r="Z83" s="397"/>
      <c r="AA83" s="397"/>
      <c r="AD83" s="397"/>
      <c r="AE83" s="397"/>
      <c r="AF83" s="397"/>
      <c r="AG83" s="397"/>
      <c r="AH83" s="397"/>
      <c r="AI83" s="397"/>
      <c r="AJ83" s="397"/>
      <c r="AK83" s="397"/>
      <c r="AL83" s="397"/>
      <c r="AM83" s="397"/>
      <c r="AN83" s="397"/>
      <c r="AO83" s="397"/>
      <c r="AP83" s="397"/>
      <c r="AQ83" s="397"/>
      <c r="AR83" s="397"/>
      <c r="AS83" s="397"/>
      <c r="AT83" s="397"/>
      <c r="AU83" s="397"/>
    </row>
    <row r="84" spans="1:47" x14ac:dyDescent="0.25">
      <c r="A84" t="s">
        <v>312</v>
      </c>
      <c r="B84" t="s">
        <v>121</v>
      </c>
      <c r="C84" s="444">
        <v>2032</v>
      </c>
      <c r="D84" t="s">
        <v>528</v>
      </c>
      <c r="E84" t="s">
        <v>196</v>
      </c>
      <c r="F84" s="439" t="s">
        <v>195</v>
      </c>
      <c r="G84" s="440">
        <v>20</v>
      </c>
      <c r="H84" s="1">
        <v>2</v>
      </c>
      <c r="I84" s="401">
        <v>1.2237796031938195</v>
      </c>
      <c r="J84" s="453">
        <v>0.81720000000000004</v>
      </c>
      <c r="K84" s="454">
        <v>0.90356099999999995</v>
      </c>
      <c r="V84" s="397"/>
      <c r="W84" s="397"/>
      <c r="Z84" s="397"/>
      <c r="AA84" s="397"/>
      <c r="AD84" s="397"/>
      <c r="AE84" s="397"/>
      <c r="AF84" s="397"/>
      <c r="AG84" s="397"/>
      <c r="AH84" s="397"/>
      <c r="AI84" s="397"/>
      <c r="AJ84" s="397"/>
      <c r="AK84" s="397"/>
      <c r="AL84" s="397"/>
      <c r="AM84" s="397"/>
      <c r="AN84" s="397"/>
      <c r="AO84" s="397"/>
      <c r="AP84" s="397"/>
      <c r="AQ84" s="397"/>
      <c r="AR84" s="397"/>
      <c r="AS84" s="397"/>
      <c r="AT84" s="397"/>
      <c r="AU84" s="397"/>
    </row>
    <row r="85" spans="1:47" x14ac:dyDescent="0.25">
      <c r="A85" t="s">
        <v>312</v>
      </c>
      <c r="B85" t="s">
        <v>123</v>
      </c>
      <c r="C85" s="444">
        <v>2032</v>
      </c>
      <c r="D85" t="s">
        <v>529</v>
      </c>
      <c r="E85" t="s">
        <v>249</v>
      </c>
      <c r="F85" s="439" t="s">
        <v>250</v>
      </c>
      <c r="G85" s="440">
        <v>20</v>
      </c>
      <c r="H85" s="1">
        <v>2</v>
      </c>
      <c r="I85" s="401">
        <v>1.0017339719309526</v>
      </c>
      <c r="J85" s="453">
        <v>1.3622300000000001</v>
      </c>
      <c r="K85" s="454">
        <v>1.17604</v>
      </c>
      <c r="V85" s="397"/>
      <c r="W85" s="397"/>
      <c r="Z85" s="397"/>
      <c r="AA85" s="397"/>
      <c r="AD85" s="397"/>
      <c r="AE85" s="397"/>
      <c r="AF85" s="397"/>
      <c r="AG85" s="397"/>
      <c r="AH85" s="397"/>
      <c r="AI85" s="397"/>
      <c r="AJ85" s="397"/>
      <c r="AK85" s="397"/>
      <c r="AL85" s="397"/>
      <c r="AM85" s="397"/>
      <c r="AN85" s="397"/>
      <c r="AO85" s="397"/>
      <c r="AP85" s="397"/>
      <c r="AQ85" s="397"/>
      <c r="AR85" s="397"/>
      <c r="AS85" s="397"/>
      <c r="AT85" s="397"/>
      <c r="AU85" s="397"/>
    </row>
    <row r="86" spans="1:47" x14ac:dyDescent="0.25">
      <c r="A86" t="s">
        <v>312</v>
      </c>
      <c r="B86" t="s">
        <v>121</v>
      </c>
      <c r="C86" s="444">
        <v>2033</v>
      </c>
      <c r="D86" t="s">
        <v>530</v>
      </c>
      <c r="E86" t="s">
        <v>198</v>
      </c>
      <c r="F86" s="439" t="s">
        <v>197</v>
      </c>
      <c r="G86" s="440">
        <v>20</v>
      </c>
      <c r="H86" s="1">
        <v>2</v>
      </c>
      <c r="I86" s="401">
        <v>1.2181709763475237</v>
      </c>
      <c r="J86" s="453">
        <v>0.85416999999999987</v>
      </c>
      <c r="K86" s="454">
        <v>0.93527499999999997</v>
      </c>
      <c r="V86" s="397"/>
      <c r="W86" s="397"/>
      <c r="Z86" s="397"/>
      <c r="AA86" s="397"/>
      <c r="AD86" s="397"/>
      <c r="AE86" s="397"/>
      <c r="AF86" s="397"/>
      <c r="AG86" s="397"/>
      <c r="AH86" s="397"/>
      <c r="AI86" s="397"/>
      <c r="AJ86" s="397"/>
      <c r="AK86" s="397"/>
      <c r="AL86" s="397"/>
      <c r="AM86" s="397"/>
      <c r="AN86" s="397"/>
      <c r="AO86" s="397"/>
      <c r="AP86" s="397"/>
      <c r="AQ86" s="397"/>
      <c r="AR86" s="397"/>
      <c r="AS86" s="397"/>
      <c r="AT86" s="397"/>
      <c r="AU86" s="397"/>
    </row>
    <row r="87" spans="1:47" x14ac:dyDescent="0.25">
      <c r="A87" t="s">
        <v>312</v>
      </c>
      <c r="B87" t="s">
        <v>121</v>
      </c>
      <c r="C87" s="444">
        <v>2034</v>
      </c>
      <c r="D87" t="s">
        <v>531</v>
      </c>
      <c r="E87" t="s">
        <v>200</v>
      </c>
      <c r="F87" s="439" t="s">
        <v>199</v>
      </c>
      <c r="G87" s="440">
        <v>20</v>
      </c>
      <c r="H87" s="1">
        <v>2</v>
      </c>
      <c r="I87" s="401">
        <v>1.2561708749315261</v>
      </c>
      <c r="J87" s="453">
        <v>0.84215999999999991</v>
      </c>
      <c r="K87" s="454">
        <v>0.95009799999999989</v>
      </c>
      <c r="V87" s="397"/>
      <c r="W87" s="397"/>
      <c r="Z87" s="397"/>
      <c r="AA87" s="397"/>
      <c r="AD87" s="397"/>
      <c r="AE87" s="397"/>
      <c r="AF87" s="397"/>
      <c r="AG87" s="397"/>
      <c r="AH87" s="397"/>
      <c r="AI87" s="397"/>
      <c r="AJ87" s="397"/>
      <c r="AK87" s="397"/>
      <c r="AL87" s="397"/>
      <c r="AM87" s="397"/>
      <c r="AN87" s="397"/>
      <c r="AO87" s="397"/>
      <c r="AP87" s="397"/>
      <c r="AQ87" s="397"/>
      <c r="AR87" s="397"/>
      <c r="AS87" s="397"/>
      <c r="AT87" s="397"/>
      <c r="AU87" s="397"/>
    </row>
    <row r="88" spans="1:47" x14ac:dyDescent="0.25">
      <c r="A88" t="s">
        <v>312</v>
      </c>
      <c r="B88" t="s">
        <v>121</v>
      </c>
      <c r="C88" s="444">
        <v>2035</v>
      </c>
      <c r="D88" t="s">
        <v>532</v>
      </c>
      <c r="E88" t="s">
        <v>202</v>
      </c>
      <c r="F88" s="439" t="s">
        <v>201</v>
      </c>
      <c r="G88" s="440">
        <v>20</v>
      </c>
      <c r="H88" s="1">
        <v>2</v>
      </c>
      <c r="I88" s="401">
        <v>1.2475603628601843</v>
      </c>
      <c r="J88" s="453">
        <v>0.80960999999999994</v>
      </c>
      <c r="K88" s="454">
        <v>0.92577300000000007</v>
      </c>
      <c r="V88" s="397"/>
      <c r="W88" s="397"/>
      <c r="Z88" s="397"/>
      <c r="AA88" s="397"/>
      <c r="AD88" s="397"/>
      <c r="AE88" s="397"/>
      <c r="AF88" s="397"/>
      <c r="AG88" s="397"/>
      <c r="AH88" s="397"/>
      <c r="AI88" s="397"/>
      <c r="AJ88" s="397"/>
      <c r="AK88" s="397"/>
      <c r="AL88" s="397"/>
      <c r="AM88" s="397"/>
      <c r="AN88" s="397"/>
      <c r="AO88" s="397"/>
      <c r="AP88" s="397"/>
      <c r="AQ88" s="397"/>
      <c r="AR88" s="397"/>
      <c r="AS88" s="397"/>
      <c r="AT88" s="397"/>
      <c r="AU88" s="397"/>
    </row>
    <row r="89" spans="1:47" x14ac:dyDescent="0.25">
      <c r="A89" t="s">
        <v>330</v>
      </c>
      <c r="B89" t="s">
        <v>443</v>
      </c>
      <c r="C89" s="444" t="s">
        <v>445</v>
      </c>
      <c r="D89" t="s">
        <v>533</v>
      </c>
      <c r="E89" t="s">
        <v>366</v>
      </c>
      <c r="F89" s="439" t="s">
        <v>367</v>
      </c>
      <c r="G89" s="440">
        <v>20</v>
      </c>
      <c r="H89" s="1">
        <v>2</v>
      </c>
      <c r="I89" s="401">
        <v>7.0482265447392362E-2</v>
      </c>
      <c r="J89" s="453">
        <v>0</v>
      </c>
      <c r="K89" s="454">
        <v>0.24585800000000002</v>
      </c>
      <c r="V89" s="397"/>
      <c r="W89" s="397"/>
      <c r="Z89" s="397"/>
      <c r="AA89" s="397"/>
      <c r="AD89" s="397"/>
      <c r="AE89" s="397"/>
      <c r="AF89" s="397"/>
      <c r="AG89" s="397"/>
      <c r="AH89" s="397"/>
      <c r="AI89" s="397"/>
      <c r="AJ89" s="397"/>
      <c r="AK89" s="397"/>
      <c r="AL89" s="397"/>
      <c r="AM89" s="397"/>
      <c r="AN89" s="397"/>
      <c r="AO89" s="397"/>
      <c r="AP89" s="397"/>
      <c r="AQ89" s="397"/>
      <c r="AR89" s="397"/>
      <c r="AS89" s="397"/>
      <c r="AT89" s="397"/>
      <c r="AU89" s="397"/>
    </row>
    <row r="90" spans="1:47" x14ac:dyDescent="0.25">
      <c r="A90" t="s">
        <v>330</v>
      </c>
      <c r="B90" t="s">
        <v>443</v>
      </c>
      <c r="C90" s="444" t="s">
        <v>444</v>
      </c>
      <c r="D90" t="s">
        <v>534</v>
      </c>
      <c r="E90" t="s">
        <v>372</v>
      </c>
      <c r="F90" s="439" t="s">
        <v>373</v>
      </c>
      <c r="G90" s="440">
        <v>20</v>
      </c>
      <c r="H90" s="1">
        <v>2</v>
      </c>
      <c r="I90" s="401">
        <v>3.3748660680622393</v>
      </c>
      <c r="J90" s="453">
        <v>0.44635000000000002</v>
      </c>
      <c r="K90" s="454">
        <v>1.5512410000000001</v>
      </c>
      <c r="V90" s="397"/>
      <c r="W90" s="397"/>
      <c r="Z90" s="397"/>
      <c r="AA90" s="397"/>
      <c r="AD90" s="397"/>
      <c r="AE90" s="397"/>
      <c r="AF90" s="397"/>
      <c r="AG90" s="397"/>
      <c r="AH90" s="397"/>
      <c r="AI90" s="397"/>
      <c r="AJ90" s="397"/>
      <c r="AK90" s="397"/>
      <c r="AL90" s="397"/>
      <c r="AM90" s="397"/>
      <c r="AN90" s="397"/>
      <c r="AO90" s="397"/>
      <c r="AP90" s="397"/>
      <c r="AQ90" s="397"/>
      <c r="AR90" s="397"/>
      <c r="AS90" s="397"/>
      <c r="AT90" s="397"/>
      <c r="AU90" s="397"/>
    </row>
    <row r="91" spans="1:47" x14ac:dyDescent="0.25">
      <c r="A91" t="s">
        <v>118</v>
      </c>
      <c r="B91" t="s">
        <v>441</v>
      </c>
      <c r="C91" s="444" t="s">
        <v>442</v>
      </c>
      <c r="D91" t="s">
        <v>535</v>
      </c>
      <c r="E91" t="s">
        <v>328</v>
      </c>
      <c r="F91" s="439" t="s">
        <v>329</v>
      </c>
      <c r="G91" s="440">
        <v>20</v>
      </c>
      <c r="H91" s="1">
        <v>2</v>
      </c>
      <c r="I91" s="401">
        <v>1.6281103781070272</v>
      </c>
      <c r="J91" s="453">
        <v>1.2006000000000001</v>
      </c>
      <c r="K91" s="454">
        <v>0</v>
      </c>
      <c r="V91" s="397"/>
      <c r="W91" s="397"/>
      <c r="Z91" s="397"/>
      <c r="AA91" s="397"/>
      <c r="AD91" s="397"/>
      <c r="AE91" s="397"/>
      <c r="AF91" s="397"/>
      <c r="AG91" s="397"/>
      <c r="AH91" s="397"/>
      <c r="AI91" s="397"/>
      <c r="AJ91" s="397"/>
      <c r="AK91" s="397"/>
      <c r="AL91" s="397"/>
      <c r="AM91" s="397"/>
      <c r="AN91" s="397"/>
      <c r="AO91" s="397"/>
      <c r="AP91" s="397"/>
      <c r="AQ91" s="397"/>
      <c r="AR91" s="397"/>
      <c r="AS91" s="397"/>
      <c r="AT91" s="397"/>
      <c r="AU91" s="397"/>
    </row>
    <row r="92" spans="1:47" x14ac:dyDescent="0.25">
      <c r="A92" t="s">
        <v>118</v>
      </c>
      <c r="B92" t="s">
        <v>437</v>
      </c>
      <c r="C92" s="444" t="s">
        <v>438</v>
      </c>
      <c r="D92" t="s">
        <v>536</v>
      </c>
      <c r="E92" t="s">
        <v>35</v>
      </c>
      <c r="F92" s="439" t="s">
        <v>42</v>
      </c>
      <c r="G92" s="440">
        <v>20</v>
      </c>
      <c r="H92" s="1">
        <v>2</v>
      </c>
      <c r="I92" s="401">
        <v>1.8448816102993717</v>
      </c>
      <c r="J92" s="453">
        <v>0.39030199999999993</v>
      </c>
      <c r="K92" s="454">
        <v>0</v>
      </c>
      <c r="V92" s="397"/>
      <c r="W92" s="397"/>
      <c r="Z92" s="397"/>
      <c r="AA92" s="397"/>
      <c r="AD92" s="397"/>
      <c r="AE92" s="397"/>
      <c r="AF92" s="397"/>
      <c r="AG92" s="397"/>
      <c r="AH92" s="397"/>
      <c r="AI92" s="397"/>
      <c r="AJ92" s="397"/>
      <c r="AK92" s="397"/>
      <c r="AL92" s="397"/>
      <c r="AM92" s="397"/>
      <c r="AN92" s="397"/>
      <c r="AO92" s="397"/>
      <c r="AP92" s="397"/>
      <c r="AQ92" s="397"/>
      <c r="AR92" s="397"/>
      <c r="AS92" s="397"/>
      <c r="AT92" s="397"/>
      <c r="AU92" s="397"/>
    </row>
    <row r="93" spans="1:47" x14ac:dyDescent="0.25">
      <c r="A93" t="s">
        <v>118</v>
      </c>
      <c r="B93" t="s">
        <v>439</v>
      </c>
      <c r="C93" s="444" t="s">
        <v>440</v>
      </c>
      <c r="D93" t="s">
        <v>537</v>
      </c>
      <c r="E93" t="s">
        <v>48</v>
      </c>
      <c r="F93" s="439" t="s">
        <v>38</v>
      </c>
      <c r="G93" s="440">
        <v>20</v>
      </c>
      <c r="H93" s="1">
        <v>2</v>
      </c>
      <c r="I93" s="401">
        <v>1.4316361037438448</v>
      </c>
      <c r="J93" s="453">
        <v>2.9314</v>
      </c>
      <c r="K93" s="454">
        <v>3.7606030000000001</v>
      </c>
      <c r="V93" s="397"/>
      <c r="W93" s="397"/>
      <c r="Z93" s="397"/>
      <c r="AA93" s="397"/>
      <c r="AD93" s="397"/>
      <c r="AE93" s="397"/>
      <c r="AF93" s="397"/>
      <c r="AG93" s="397"/>
      <c r="AH93" s="397"/>
      <c r="AI93" s="397"/>
      <c r="AJ93" s="397"/>
      <c r="AK93" s="397"/>
      <c r="AL93" s="397"/>
      <c r="AM93" s="397"/>
      <c r="AN93" s="397"/>
      <c r="AO93" s="397"/>
      <c r="AP93" s="397"/>
      <c r="AQ93" s="397"/>
      <c r="AR93" s="397"/>
      <c r="AS93" s="397"/>
      <c r="AT93" s="397"/>
      <c r="AU93" s="397"/>
    </row>
    <row r="94" spans="1:47" x14ac:dyDescent="0.25">
      <c r="A94" t="s">
        <v>118</v>
      </c>
      <c r="B94" t="s">
        <v>434</v>
      </c>
      <c r="C94" s="444" t="s">
        <v>435</v>
      </c>
      <c r="D94" t="s">
        <v>538</v>
      </c>
      <c r="E94" t="s">
        <v>34</v>
      </c>
      <c r="F94" s="439" t="s">
        <v>40</v>
      </c>
      <c r="G94" s="440">
        <v>20</v>
      </c>
      <c r="H94" s="1">
        <v>2</v>
      </c>
      <c r="I94" s="401">
        <v>1.0456128966684359</v>
      </c>
      <c r="J94" s="453">
        <v>1.0149000000000001</v>
      </c>
      <c r="K94" s="454">
        <v>1.028168</v>
      </c>
      <c r="V94" s="397"/>
      <c r="W94" s="397"/>
      <c r="Z94" s="397"/>
      <c r="AA94" s="397"/>
      <c r="AD94" s="397"/>
      <c r="AE94" s="397"/>
      <c r="AF94" s="397"/>
      <c r="AG94" s="397"/>
      <c r="AH94" s="397"/>
      <c r="AI94" s="397"/>
      <c r="AJ94" s="397"/>
      <c r="AK94" s="397"/>
      <c r="AL94" s="397"/>
      <c r="AM94" s="397"/>
      <c r="AN94" s="397"/>
      <c r="AO94" s="397"/>
      <c r="AP94" s="397"/>
      <c r="AQ94" s="397"/>
      <c r="AR94" s="397"/>
      <c r="AS94" s="397"/>
      <c r="AT94" s="397"/>
      <c r="AU94" s="397"/>
    </row>
    <row r="95" spans="1:47" x14ac:dyDescent="0.25">
      <c r="A95" t="s">
        <v>105</v>
      </c>
      <c r="B95" t="s">
        <v>109</v>
      </c>
      <c r="C95" s="444" t="s">
        <v>552</v>
      </c>
      <c r="D95" t="s">
        <v>539</v>
      </c>
      <c r="E95" t="s">
        <v>83</v>
      </c>
      <c r="F95" s="439" t="s">
        <v>81</v>
      </c>
      <c r="G95" s="440">
        <v>20</v>
      </c>
      <c r="H95" s="1">
        <v>1</v>
      </c>
      <c r="I95" s="401">
        <v>1.0527408583544688</v>
      </c>
      <c r="J95" s="453">
        <v>0</v>
      </c>
      <c r="K95" s="454">
        <v>0</v>
      </c>
      <c r="V95" s="397"/>
      <c r="W95" s="397"/>
      <c r="Z95" s="397"/>
      <c r="AA95" s="397"/>
      <c r="AD95" s="397"/>
      <c r="AE95" s="397"/>
      <c r="AF95" s="397"/>
      <c r="AG95" s="397"/>
      <c r="AH95" s="397"/>
      <c r="AI95" s="397"/>
      <c r="AJ95" s="397"/>
      <c r="AK95" s="397"/>
      <c r="AL95" s="397"/>
      <c r="AM95" s="397"/>
      <c r="AN95" s="397"/>
      <c r="AO95" s="397"/>
      <c r="AP95" s="397"/>
      <c r="AQ95" s="397"/>
      <c r="AR95" s="397"/>
      <c r="AS95" s="397"/>
      <c r="AT95" s="397"/>
      <c r="AU95" s="397"/>
    </row>
    <row r="96" spans="1:47" x14ac:dyDescent="0.25">
      <c r="A96" t="s">
        <v>105</v>
      </c>
      <c r="B96" t="s">
        <v>111</v>
      </c>
      <c r="C96" s="444" t="s">
        <v>552</v>
      </c>
      <c r="D96" t="s">
        <v>540</v>
      </c>
      <c r="E96" t="s">
        <v>86</v>
      </c>
      <c r="F96" s="439" t="s">
        <v>84</v>
      </c>
      <c r="G96" s="440">
        <v>20</v>
      </c>
      <c r="H96" s="1">
        <v>1</v>
      </c>
      <c r="I96" s="401">
        <v>2.340591625355255</v>
      </c>
      <c r="J96" s="453">
        <v>0</v>
      </c>
      <c r="K96" s="454">
        <v>0</v>
      </c>
      <c r="V96" s="397"/>
      <c r="W96" s="397"/>
      <c r="Z96" s="397"/>
      <c r="AA96" s="397"/>
      <c r="AD96" s="397"/>
      <c r="AE96" s="397"/>
      <c r="AF96" s="397"/>
      <c r="AG96" s="397"/>
      <c r="AH96" s="397"/>
      <c r="AI96" s="397"/>
      <c r="AJ96" s="397"/>
      <c r="AK96" s="397"/>
      <c r="AL96" s="397"/>
      <c r="AM96" s="397"/>
      <c r="AN96" s="397"/>
      <c r="AO96" s="397"/>
      <c r="AP96" s="397"/>
      <c r="AQ96" s="397"/>
      <c r="AR96" s="397"/>
      <c r="AS96" s="397"/>
      <c r="AT96" s="397"/>
      <c r="AU96" s="397"/>
    </row>
    <row r="97" spans="1:47" x14ac:dyDescent="0.25">
      <c r="A97" t="s">
        <v>105</v>
      </c>
      <c r="B97" t="s">
        <v>128</v>
      </c>
      <c r="C97" s="444" t="s">
        <v>552</v>
      </c>
      <c r="D97" t="s">
        <v>541</v>
      </c>
      <c r="E97" t="s">
        <v>100</v>
      </c>
      <c r="F97" s="439" t="s">
        <v>98</v>
      </c>
      <c r="G97" s="440">
        <v>20</v>
      </c>
      <c r="H97" s="1">
        <v>1</v>
      </c>
      <c r="I97" s="401">
        <v>1.357744840563476</v>
      </c>
      <c r="J97" s="453">
        <v>0</v>
      </c>
      <c r="K97" s="454">
        <v>0</v>
      </c>
      <c r="V97" s="397"/>
      <c r="W97" s="397"/>
      <c r="Z97" s="397"/>
      <c r="AA97" s="397"/>
      <c r="AD97" s="397"/>
      <c r="AE97" s="397"/>
      <c r="AF97" s="397"/>
      <c r="AG97" s="397"/>
      <c r="AH97" s="397"/>
      <c r="AI97" s="397"/>
      <c r="AJ97" s="397"/>
      <c r="AK97" s="397"/>
      <c r="AL97" s="397"/>
      <c r="AM97" s="397"/>
      <c r="AN97" s="397"/>
      <c r="AO97" s="397"/>
      <c r="AP97" s="397"/>
      <c r="AQ97" s="397"/>
      <c r="AR97" s="397"/>
      <c r="AS97" s="397"/>
      <c r="AT97" s="397"/>
      <c r="AU97" s="397"/>
    </row>
    <row r="98" spans="1:47" x14ac:dyDescent="0.25">
      <c r="A98" t="s">
        <v>105</v>
      </c>
      <c r="B98" t="s">
        <v>108</v>
      </c>
      <c r="C98" s="444" t="s">
        <v>552</v>
      </c>
      <c r="D98" t="s">
        <v>542</v>
      </c>
      <c r="E98" t="s">
        <v>96</v>
      </c>
      <c r="F98" s="439" t="s">
        <v>94</v>
      </c>
      <c r="G98" s="440">
        <v>20</v>
      </c>
      <c r="H98" s="1">
        <v>1</v>
      </c>
      <c r="I98" s="401">
        <v>2.3159755371176471</v>
      </c>
      <c r="J98" s="453">
        <v>0</v>
      </c>
      <c r="K98" s="454">
        <v>0</v>
      </c>
      <c r="V98" s="397"/>
      <c r="W98" s="397"/>
      <c r="Z98" s="397"/>
      <c r="AA98" s="397"/>
      <c r="AD98" s="397"/>
      <c r="AE98" s="397"/>
      <c r="AF98" s="397"/>
      <c r="AG98" s="397"/>
      <c r="AH98" s="397"/>
      <c r="AI98" s="397"/>
      <c r="AJ98" s="397"/>
      <c r="AK98" s="397"/>
      <c r="AL98" s="397"/>
      <c r="AM98" s="397"/>
      <c r="AN98" s="397"/>
      <c r="AO98" s="397"/>
      <c r="AP98" s="397"/>
      <c r="AQ98" s="397"/>
      <c r="AR98" s="397"/>
      <c r="AS98" s="397"/>
      <c r="AT98" s="397"/>
      <c r="AU98" s="397"/>
    </row>
    <row r="99" spans="1:47" x14ac:dyDescent="0.25">
      <c r="A99" t="s">
        <v>105</v>
      </c>
      <c r="B99" t="s">
        <v>107</v>
      </c>
      <c r="C99" s="444" t="s">
        <v>552</v>
      </c>
      <c r="D99" t="s">
        <v>543</v>
      </c>
      <c r="E99" t="s">
        <v>104</v>
      </c>
      <c r="F99" s="439" t="s">
        <v>102</v>
      </c>
      <c r="G99" s="440">
        <v>20</v>
      </c>
      <c r="H99" s="1">
        <v>1</v>
      </c>
      <c r="I99" s="401">
        <v>2.5565272100610614</v>
      </c>
      <c r="J99" s="453">
        <v>0</v>
      </c>
      <c r="K99" s="454">
        <v>0</v>
      </c>
      <c r="V99" s="397"/>
      <c r="W99" s="397"/>
      <c r="Z99" s="397"/>
      <c r="AA99" s="397"/>
      <c r="AD99" s="397"/>
      <c r="AE99" s="397"/>
      <c r="AF99" s="397"/>
      <c r="AG99" s="397"/>
      <c r="AH99" s="397"/>
      <c r="AI99" s="397"/>
      <c r="AJ99" s="397"/>
      <c r="AK99" s="397"/>
      <c r="AL99" s="397"/>
      <c r="AM99" s="397"/>
      <c r="AN99" s="397"/>
      <c r="AO99" s="397"/>
      <c r="AP99" s="397"/>
      <c r="AQ99" s="397"/>
      <c r="AR99" s="397"/>
      <c r="AS99" s="397"/>
      <c r="AT99" s="397"/>
      <c r="AU99" s="397"/>
    </row>
    <row r="100" spans="1:47" x14ac:dyDescent="0.25">
      <c r="A100" t="s">
        <v>416</v>
      </c>
      <c r="B100" t="s">
        <v>220</v>
      </c>
      <c r="C100" s="444" t="s">
        <v>552</v>
      </c>
      <c r="D100" t="s">
        <v>544</v>
      </c>
      <c r="E100" t="s">
        <v>218</v>
      </c>
      <c r="F100" s="439" t="s">
        <v>219</v>
      </c>
      <c r="G100" s="440">
        <v>20</v>
      </c>
      <c r="H100" s="1">
        <v>0</v>
      </c>
      <c r="I100" s="401">
        <v>1.0288671058277989</v>
      </c>
      <c r="J100" s="453">
        <v>0</v>
      </c>
      <c r="K100" s="454">
        <v>0</v>
      </c>
      <c r="V100" s="397"/>
      <c r="W100" s="397"/>
      <c r="Z100" s="397"/>
      <c r="AA100" s="397"/>
      <c r="AD100" s="397"/>
      <c r="AE100" s="397"/>
      <c r="AF100" s="397"/>
      <c r="AG100" s="397"/>
      <c r="AH100" s="397"/>
      <c r="AI100" s="397"/>
      <c r="AJ100" s="397"/>
      <c r="AK100" s="397"/>
      <c r="AL100" s="397"/>
      <c r="AM100" s="397"/>
      <c r="AN100" s="397"/>
      <c r="AO100" s="397"/>
      <c r="AP100" s="397"/>
      <c r="AQ100" s="397"/>
      <c r="AR100" s="397"/>
      <c r="AS100" s="397"/>
      <c r="AT100" s="397"/>
      <c r="AU100" s="397"/>
    </row>
    <row r="101" spans="1:47" x14ac:dyDescent="0.25">
      <c r="V101" s="397"/>
      <c r="W101" s="397"/>
      <c r="Z101" s="397"/>
      <c r="AA101" s="397"/>
      <c r="AF101" s="397"/>
      <c r="AG101" s="397"/>
      <c r="AL101" s="397"/>
      <c r="AM101" s="397"/>
      <c r="AR101" s="397"/>
      <c r="AS101" s="397"/>
    </row>
    <row r="102" spans="1:47" x14ac:dyDescent="0.25">
      <c r="V102" s="397"/>
      <c r="W102" s="397"/>
      <c r="Z102" s="397"/>
      <c r="AA102" s="397"/>
      <c r="AF102" s="397"/>
      <c r="AG102" s="397"/>
      <c r="AL102" s="397"/>
      <c r="AM102" s="397"/>
      <c r="AR102" s="397"/>
      <c r="AS102" s="397"/>
    </row>
    <row r="103" spans="1:47" x14ac:dyDescent="0.25">
      <c r="V103" s="397"/>
      <c r="W103" s="397"/>
      <c r="Z103" s="397"/>
      <c r="AA103" s="397"/>
      <c r="AF103" s="397"/>
      <c r="AG103" s="397"/>
      <c r="AL103" s="397"/>
      <c r="AM103" s="397"/>
      <c r="AR103" s="397"/>
      <c r="AS103" s="397"/>
    </row>
    <row r="104" spans="1:47" x14ac:dyDescent="0.25">
      <c r="V104" s="397"/>
      <c r="W104" s="397"/>
      <c r="Z104" s="397"/>
      <c r="AA104" s="397"/>
      <c r="AD104" s="397"/>
      <c r="AE104" s="397"/>
      <c r="AF104" s="397"/>
      <c r="AG104" s="397"/>
      <c r="AH104" s="397"/>
      <c r="AI104" s="397"/>
      <c r="AL104" s="397"/>
      <c r="AM104" s="397"/>
      <c r="AN104" s="397"/>
      <c r="AO104" s="397"/>
      <c r="AP104" s="397"/>
      <c r="AQ104" s="397"/>
      <c r="AR104" s="397"/>
      <c r="AS104" s="397"/>
      <c r="AT104" s="397"/>
      <c r="AU104" s="397"/>
    </row>
    <row r="105" spans="1:47" x14ac:dyDescent="0.25">
      <c r="V105" s="397"/>
      <c r="W105" s="397"/>
      <c r="Z105" s="397"/>
      <c r="AA105" s="397"/>
      <c r="AF105" s="397"/>
      <c r="AG105" s="397"/>
      <c r="AL105" s="397"/>
      <c r="AM105" s="397"/>
      <c r="AR105" s="397"/>
      <c r="AS105" s="397"/>
    </row>
    <row r="106" spans="1:47" x14ac:dyDescent="0.25">
      <c r="V106" s="397"/>
      <c r="W106" s="397"/>
      <c r="Z106" s="397"/>
      <c r="AA106" s="397"/>
      <c r="AF106" s="397"/>
      <c r="AG106" s="397"/>
      <c r="AL106" s="397"/>
      <c r="AM106" s="397"/>
      <c r="AR106" s="397"/>
      <c r="AS106" s="397"/>
    </row>
    <row r="107" spans="1:47" x14ac:dyDescent="0.25">
      <c r="V107" s="397"/>
      <c r="W107" s="397"/>
      <c r="Z107" s="397"/>
      <c r="AA107" s="397"/>
      <c r="AF107" s="397"/>
      <c r="AG107" s="397"/>
      <c r="AL107" s="397"/>
      <c r="AM107" s="397"/>
      <c r="AR107" s="397"/>
      <c r="AS107" s="397"/>
    </row>
    <row r="108" spans="1:47" x14ac:dyDescent="0.25">
      <c r="V108" s="397"/>
      <c r="W108" s="397"/>
      <c r="Z108" s="397"/>
      <c r="AA108" s="397"/>
      <c r="AF108" s="397"/>
      <c r="AG108" s="397"/>
      <c r="AL108" s="397"/>
      <c r="AM108" s="397"/>
      <c r="AR108" s="397"/>
      <c r="AS108" s="397"/>
    </row>
    <row r="109" spans="1:47" x14ac:dyDescent="0.25">
      <c r="V109" s="397"/>
      <c r="W109" s="397"/>
      <c r="Z109" s="397"/>
      <c r="AA109" s="397"/>
      <c r="AF109" s="397"/>
      <c r="AG109" s="397"/>
      <c r="AL109" s="397"/>
      <c r="AM109" s="397"/>
      <c r="AR109" s="397"/>
      <c r="AS109" s="397"/>
    </row>
    <row r="110" spans="1:47" x14ac:dyDescent="0.25">
      <c r="V110" s="397"/>
      <c r="W110" s="397"/>
      <c r="Z110" s="397"/>
      <c r="AA110" s="397"/>
      <c r="AF110" s="397"/>
      <c r="AG110" s="397"/>
      <c r="AL110" s="397"/>
      <c r="AM110" s="397"/>
      <c r="AR110" s="397"/>
      <c r="AS110" s="397"/>
    </row>
    <row r="111" spans="1:47" x14ac:dyDescent="0.25">
      <c r="V111" s="397"/>
      <c r="W111" s="397"/>
      <c r="Z111" s="397"/>
      <c r="AA111" s="397"/>
      <c r="AF111" s="397"/>
      <c r="AG111" s="397"/>
      <c r="AL111" s="397"/>
      <c r="AM111" s="397"/>
      <c r="AR111" s="397"/>
      <c r="AS111" s="397"/>
    </row>
    <row r="112" spans="1:47" x14ac:dyDescent="0.25">
      <c r="V112" s="397"/>
      <c r="W112" s="397"/>
      <c r="Z112" s="397"/>
      <c r="AA112" s="397"/>
      <c r="AF112" s="397"/>
      <c r="AG112" s="397"/>
      <c r="AL112" s="397"/>
      <c r="AM112" s="397"/>
      <c r="AR112" s="397"/>
      <c r="AS112" s="397"/>
    </row>
    <row r="113" spans="22:47" x14ac:dyDescent="0.25">
      <c r="V113" s="397"/>
      <c r="W113" s="397"/>
      <c r="Z113" s="397"/>
      <c r="AA113" s="397"/>
      <c r="AF113" s="397"/>
      <c r="AG113" s="397"/>
      <c r="AL113" s="397"/>
      <c r="AM113" s="397"/>
      <c r="AR113" s="397"/>
      <c r="AS113" s="397"/>
    </row>
    <row r="114" spans="22:47" x14ac:dyDescent="0.25">
      <c r="V114" s="397"/>
      <c r="W114" s="397"/>
      <c r="Z114" s="397"/>
      <c r="AA114" s="397"/>
      <c r="AF114" s="397"/>
      <c r="AG114" s="397"/>
      <c r="AL114" s="397"/>
      <c r="AM114" s="397"/>
      <c r="AR114" s="397"/>
      <c r="AS114" s="397"/>
    </row>
    <row r="115" spans="22:47" x14ac:dyDescent="0.25">
      <c r="V115" s="397"/>
      <c r="W115" s="397"/>
      <c r="Z115" s="397"/>
      <c r="AA115" s="397"/>
      <c r="AF115" s="397"/>
      <c r="AG115" s="397"/>
      <c r="AL115" s="397"/>
      <c r="AM115" s="397"/>
      <c r="AR115" s="397"/>
      <c r="AS115" s="397"/>
    </row>
    <row r="116" spans="22:47" x14ac:dyDescent="0.25">
      <c r="V116" s="397"/>
      <c r="W116" s="397"/>
      <c r="Z116" s="397"/>
      <c r="AA116" s="397"/>
      <c r="AF116" s="397"/>
      <c r="AG116" s="397"/>
      <c r="AL116" s="397"/>
      <c r="AM116" s="397"/>
      <c r="AR116" s="397"/>
      <c r="AS116" s="397"/>
    </row>
    <row r="117" spans="22:47" x14ac:dyDescent="0.25">
      <c r="V117" s="397"/>
      <c r="W117" s="397"/>
      <c r="Z117" s="397"/>
      <c r="AA117" s="397"/>
      <c r="AD117" s="397"/>
      <c r="AE117" s="397"/>
      <c r="AF117" s="397"/>
      <c r="AG117" s="397"/>
      <c r="AH117" s="397"/>
      <c r="AI117" s="397"/>
      <c r="AJ117" s="397"/>
      <c r="AK117" s="397"/>
      <c r="AL117" s="397"/>
      <c r="AM117" s="397"/>
      <c r="AN117" s="397"/>
      <c r="AO117" s="397"/>
      <c r="AP117" s="397"/>
      <c r="AQ117" s="397"/>
      <c r="AR117" s="397"/>
      <c r="AS117" s="397"/>
      <c r="AT117" s="397"/>
      <c r="AU117" s="397"/>
    </row>
    <row r="118" spans="22:47" x14ac:dyDescent="0.25">
      <c r="V118" s="397"/>
      <c r="W118" s="397"/>
      <c r="Z118" s="397"/>
      <c r="AA118" s="397"/>
      <c r="AF118" s="397"/>
      <c r="AG118" s="397"/>
      <c r="AL118" s="397"/>
      <c r="AM118" s="397"/>
      <c r="AR118" s="397"/>
      <c r="AS118" s="397"/>
    </row>
    <row r="119" spans="22:47" x14ac:dyDescent="0.25">
      <c r="V119" s="397"/>
      <c r="W119" s="397"/>
    </row>
    <row r="120" spans="22:47" x14ac:dyDescent="0.25">
      <c r="V120" s="397"/>
      <c r="W120" s="397"/>
    </row>
    <row r="121" spans="22:47" x14ac:dyDescent="0.25">
      <c r="V121" s="397"/>
      <c r="W121" s="397"/>
      <c r="Z121" s="397"/>
      <c r="AA121" s="397"/>
    </row>
    <row r="122" spans="22:47" x14ac:dyDescent="0.25">
      <c r="V122" s="397"/>
      <c r="W122" s="397"/>
      <c r="AD122" s="397"/>
      <c r="AE122" s="397"/>
      <c r="AH122" s="397"/>
      <c r="AI122" s="397"/>
      <c r="AN122" s="397"/>
      <c r="AO122" s="397"/>
      <c r="AT122" s="397"/>
      <c r="AU122" s="397"/>
    </row>
    <row r="123" spans="22:47" x14ac:dyDescent="0.25">
      <c r="V123" s="397"/>
      <c r="W123" s="397"/>
      <c r="AD123" s="397"/>
      <c r="AE123" s="397"/>
      <c r="AH123" s="397"/>
      <c r="AI123" s="397"/>
      <c r="AN123" s="397"/>
      <c r="AO123" s="397"/>
      <c r="AT123" s="397"/>
      <c r="AU123" s="397"/>
    </row>
    <row r="124" spans="22:47" x14ac:dyDescent="0.25">
      <c r="V124" s="397"/>
      <c r="W124" s="397"/>
    </row>
    <row r="125" spans="22:47" x14ac:dyDescent="0.25">
      <c r="V125" s="397"/>
      <c r="W125" s="397"/>
    </row>
    <row r="126" spans="22:47" x14ac:dyDescent="0.25">
      <c r="V126" s="397"/>
      <c r="W126" s="397"/>
      <c r="Z126" s="397"/>
      <c r="AA126" s="397"/>
      <c r="AD126" s="397"/>
      <c r="AE126" s="397"/>
      <c r="AJ126" s="397"/>
      <c r="AK126" s="397"/>
      <c r="AP126" s="397"/>
      <c r="AQ126" s="397"/>
    </row>
    <row r="127" spans="22:47" x14ac:dyDescent="0.25">
      <c r="V127" s="397"/>
      <c r="W127" s="397"/>
      <c r="Z127" s="397"/>
      <c r="AA127" s="397"/>
      <c r="AD127" s="397"/>
      <c r="AE127" s="397"/>
      <c r="AJ127" s="397"/>
      <c r="AK127" s="397"/>
      <c r="AP127" s="397"/>
      <c r="AQ127" s="397"/>
    </row>
    <row r="128" spans="22:47" x14ac:dyDescent="0.25">
      <c r="V128" s="397"/>
      <c r="W128" s="397"/>
      <c r="Z128" s="397"/>
      <c r="AA128" s="397"/>
      <c r="AD128" s="397"/>
      <c r="AE128" s="397"/>
      <c r="AF128" s="397"/>
      <c r="AG128" s="397"/>
      <c r="AH128" s="397"/>
      <c r="AI128" s="397"/>
      <c r="AJ128" s="397"/>
      <c r="AK128" s="397"/>
      <c r="AL128" s="397"/>
      <c r="AM128" s="397"/>
      <c r="AN128" s="397"/>
      <c r="AO128" s="397"/>
      <c r="AP128" s="397"/>
      <c r="AQ128" s="397"/>
      <c r="AR128" s="397"/>
      <c r="AS128" s="397"/>
      <c r="AT128" s="397"/>
      <c r="AU128" s="397"/>
    </row>
    <row r="129" spans="22:47" x14ac:dyDescent="0.25">
      <c r="V129" s="397"/>
      <c r="W129" s="397"/>
      <c r="AF129" s="397"/>
      <c r="AG129" s="397"/>
      <c r="AR129" s="397"/>
      <c r="AS129" s="397"/>
    </row>
    <row r="130" spans="22:47" x14ac:dyDescent="0.25">
      <c r="V130" s="397"/>
      <c r="W130" s="397"/>
      <c r="AF130" s="397"/>
      <c r="AG130" s="397"/>
      <c r="AR130" s="397"/>
      <c r="AS130" s="397"/>
    </row>
    <row r="131" spans="22:47" x14ac:dyDescent="0.25">
      <c r="V131" s="397"/>
      <c r="W131" s="397"/>
      <c r="Z131" s="397"/>
      <c r="AA131" s="397"/>
      <c r="AD131" s="397"/>
      <c r="AE131" s="397"/>
      <c r="AF131" s="397"/>
      <c r="AG131" s="397"/>
      <c r="AH131" s="397"/>
      <c r="AI131" s="397"/>
      <c r="AJ131" s="397"/>
      <c r="AK131" s="397"/>
      <c r="AL131" s="397"/>
      <c r="AM131" s="397"/>
      <c r="AN131" s="397"/>
      <c r="AO131" s="397"/>
      <c r="AP131" s="397"/>
      <c r="AQ131" s="397"/>
      <c r="AR131" s="397"/>
      <c r="AS131" s="397"/>
      <c r="AT131" s="397"/>
      <c r="AU131" s="397"/>
    </row>
    <row r="132" spans="22:47" x14ac:dyDescent="0.25">
      <c r="V132" s="397"/>
      <c r="W132" s="397"/>
      <c r="Z132" s="397"/>
      <c r="AA132" s="397"/>
      <c r="AD132" s="397"/>
      <c r="AE132" s="397"/>
      <c r="AF132" s="397"/>
      <c r="AG132" s="397"/>
      <c r="AH132" s="397"/>
      <c r="AI132" s="397"/>
      <c r="AJ132" s="397"/>
      <c r="AK132" s="397"/>
      <c r="AL132" s="397"/>
      <c r="AM132" s="397"/>
      <c r="AN132" s="397"/>
      <c r="AO132" s="397"/>
      <c r="AP132" s="397"/>
      <c r="AQ132" s="397"/>
      <c r="AR132" s="397"/>
      <c r="AS132" s="397"/>
      <c r="AT132" s="397"/>
      <c r="AU132" s="397"/>
    </row>
    <row r="133" spans="22:47" x14ac:dyDescent="0.25">
      <c r="V133" s="397"/>
      <c r="W133" s="397"/>
      <c r="Z133" s="397"/>
      <c r="AA133" s="397"/>
      <c r="AF133" s="397"/>
      <c r="AG133" s="397"/>
      <c r="AL133" s="397"/>
      <c r="AM133" s="397"/>
      <c r="AR133" s="397"/>
      <c r="AS133" s="397"/>
    </row>
    <row r="134" spans="22:47" x14ac:dyDescent="0.25">
      <c r="V134" s="397"/>
      <c r="W134" s="397"/>
      <c r="Z134" s="397"/>
      <c r="AA134" s="397"/>
      <c r="AF134" s="397"/>
      <c r="AG134" s="397"/>
      <c r="AL134" s="397"/>
      <c r="AM134" s="397"/>
      <c r="AR134" s="397"/>
      <c r="AS134" s="397"/>
    </row>
    <row r="135" spans="22:47" x14ac:dyDescent="0.25">
      <c r="V135" s="397"/>
      <c r="W135" s="397"/>
      <c r="Z135" s="397"/>
      <c r="AA135" s="397"/>
      <c r="AF135" s="397"/>
      <c r="AG135" s="397"/>
      <c r="AL135" s="397"/>
      <c r="AM135" s="397"/>
      <c r="AR135" s="397"/>
      <c r="AS135" s="397"/>
    </row>
    <row r="136" spans="22:47" x14ac:dyDescent="0.25">
      <c r="V136" s="397"/>
      <c r="W136" s="397"/>
      <c r="Z136" s="397"/>
      <c r="AA136" s="397"/>
      <c r="AF136" s="397"/>
      <c r="AG136" s="397"/>
      <c r="AL136" s="397"/>
      <c r="AM136" s="397"/>
      <c r="AR136" s="397"/>
      <c r="AS136" s="397"/>
    </row>
    <row r="137" spans="22:47" x14ac:dyDescent="0.25">
      <c r="V137" s="397"/>
      <c r="W137" s="397"/>
      <c r="Z137" s="397"/>
      <c r="AA137" s="397"/>
      <c r="AF137" s="397"/>
      <c r="AG137" s="397"/>
      <c r="AL137" s="397"/>
      <c r="AM137" s="397"/>
      <c r="AR137" s="397"/>
      <c r="AS137" s="397"/>
    </row>
    <row r="138" spans="22:47" x14ac:dyDescent="0.25">
      <c r="V138" s="397"/>
      <c r="W138" s="397"/>
      <c r="Z138" s="397"/>
      <c r="AA138" s="397"/>
      <c r="AD138" s="397"/>
      <c r="AE138" s="397"/>
      <c r="AF138" s="397"/>
      <c r="AG138" s="397"/>
      <c r="AH138" s="397"/>
      <c r="AI138" s="397"/>
      <c r="AJ138" s="397"/>
      <c r="AK138" s="397"/>
      <c r="AL138" s="397"/>
      <c r="AM138" s="397"/>
      <c r="AN138" s="397"/>
      <c r="AO138" s="397"/>
      <c r="AP138" s="397"/>
      <c r="AQ138" s="397"/>
      <c r="AR138" s="397"/>
      <c r="AS138" s="397"/>
      <c r="AT138" s="397"/>
      <c r="AU138" s="397"/>
    </row>
    <row r="139" spans="22:47" x14ac:dyDescent="0.25">
      <c r="V139" s="397"/>
      <c r="W139" s="397"/>
      <c r="Z139" s="397"/>
      <c r="AA139" s="397"/>
      <c r="AD139" s="397"/>
      <c r="AE139" s="397"/>
      <c r="AF139" s="397"/>
      <c r="AG139" s="397"/>
      <c r="AH139" s="397"/>
      <c r="AI139" s="397"/>
      <c r="AJ139" s="397"/>
      <c r="AK139" s="397"/>
      <c r="AL139" s="397"/>
      <c r="AM139" s="397"/>
      <c r="AN139" s="397"/>
      <c r="AO139" s="397"/>
      <c r="AP139" s="397"/>
      <c r="AQ139" s="397"/>
      <c r="AR139" s="397"/>
      <c r="AS139" s="397"/>
      <c r="AT139" s="397"/>
      <c r="AU139" s="397"/>
    </row>
    <row r="140" spans="22:47" x14ac:dyDescent="0.25">
      <c r="V140" s="397"/>
      <c r="W140" s="397"/>
      <c r="Z140" s="397"/>
      <c r="AA140" s="397"/>
    </row>
    <row r="141" spans="22:47" x14ac:dyDescent="0.25">
      <c r="V141" s="397"/>
      <c r="W141" s="397"/>
      <c r="Z141" s="397"/>
      <c r="AA141" s="397"/>
      <c r="AF141" s="397"/>
      <c r="AG141" s="397"/>
      <c r="AL141" s="397"/>
      <c r="AM141" s="397"/>
      <c r="AR141" s="397"/>
      <c r="AS141" s="397"/>
    </row>
    <row r="142" spans="22:47" x14ac:dyDescent="0.25">
      <c r="V142" s="397"/>
      <c r="W142" s="397"/>
      <c r="Z142" s="397"/>
      <c r="AA142" s="397"/>
      <c r="AD142" s="397"/>
      <c r="AE142" s="397"/>
      <c r="AF142" s="397"/>
      <c r="AG142" s="397"/>
      <c r="AH142" s="397"/>
      <c r="AI142" s="397"/>
      <c r="AJ142" s="397"/>
      <c r="AK142" s="397"/>
      <c r="AL142" s="397"/>
      <c r="AM142" s="397"/>
      <c r="AN142" s="397"/>
      <c r="AO142" s="397"/>
      <c r="AP142" s="397"/>
      <c r="AQ142" s="397"/>
      <c r="AR142" s="397"/>
      <c r="AS142" s="397"/>
      <c r="AT142" s="397"/>
      <c r="AU142" s="397"/>
    </row>
    <row r="143" spans="22:47" x14ac:dyDescent="0.25">
      <c r="V143" s="397"/>
      <c r="W143" s="397"/>
      <c r="Z143" s="397"/>
      <c r="AA143" s="397"/>
      <c r="AD143" s="397"/>
      <c r="AE143" s="397"/>
      <c r="AF143" s="397"/>
      <c r="AG143" s="397"/>
      <c r="AH143" s="397"/>
      <c r="AI143" s="397"/>
      <c r="AJ143" s="397"/>
      <c r="AK143" s="397"/>
      <c r="AL143" s="397"/>
      <c r="AM143" s="397"/>
      <c r="AN143" s="397"/>
      <c r="AO143" s="397"/>
      <c r="AP143" s="397"/>
      <c r="AQ143" s="397"/>
      <c r="AR143" s="397"/>
      <c r="AS143" s="397"/>
      <c r="AT143" s="397"/>
      <c r="AU143" s="397"/>
    </row>
    <row r="144" spans="22:47" x14ac:dyDescent="0.25">
      <c r="V144" s="397"/>
      <c r="W144" s="397"/>
      <c r="Z144" s="397"/>
      <c r="AA144" s="397"/>
      <c r="AD144" s="397"/>
      <c r="AE144" s="397"/>
      <c r="AF144" s="397"/>
      <c r="AG144" s="397"/>
      <c r="AH144" s="397"/>
      <c r="AI144" s="397"/>
      <c r="AJ144" s="397"/>
      <c r="AK144" s="397"/>
      <c r="AL144" s="397"/>
      <c r="AM144" s="397"/>
      <c r="AN144" s="397"/>
      <c r="AO144" s="397"/>
      <c r="AP144" s="397"/>
      <c r="AQ144" s="397"/>
      <c r="AR144" s="397"/>
      <c r="AS144" s="397"/>
      <c r="AT144" s="397"/>
      <c r="AU144" s="397"/>
    </row>
    <row r="145" spans="22:47" x14ac:dyDescent="0.25">
      <c r="V145" s="397"/>
      <c r="W145" s="397"/>
      <c r="Z145" s="397"/>
      <c r="AA145" s="397"/>
      <c r="AD145" s="397"/>
      <c r="AE145" s="397"/>
      <c r="AF145" s="397"/>
      <c r="AG145" s="397"/>
      <c r="AH145" s="397"/>
      <c r="AI145" s="397"/>
      <c r="AJ145" s="397"/>
      <c r="AK145" s="397"/>
      <c r="AL145" s="397"/>
      <c r="AM145" s="397"/>
      <c r="AN145" s="397"/>
      <c r="AO145" s="397"/>
      <c r="AP145" s="397"/>
      <c r="AQ145" s="397"/>
      <c r="AR145" s="397"/>
      <c r="AS145" s="397"/>
      <c r="AT145" s="397"/>
      <c r="AU145" s="397"/>
    </row>
    <row r="146" spans="22:47" x14ac:dyDescent="0.25">
      <c r="V146" s="397"/>
      <c r="W146" s="397"/>
      <c r="Z146" s="397"/>
      <c r="AA146" s="397"/>
      <c r="AD146" s="397"/>
      <c r="AE146" s="397"/>
      <c r="AF146" s="397"/>
      <c r="AG146" s="397"/>
      <c r="AH146" s="397"/>
      <c r="AI146" s="397"/>
      <c r="AJ146" s="397"/>
      <c r="AK146" s="397"/>
      <c r="AL146" s="397"/>
      <c r="AM146" s="397"/>
      <c r="AN146" s="397"/>
      <c r="AO146" s="397"/>
      <c r="AP146" s="397"/>
      <c r="AQ146" s="397"/>
      <c r="AR146" s="397"/>
      <c r="AS146" s="397"/>
      <c r="AT146" s="397"/>
      <c r="AU146" s="397"/>
    </row>
    <row r="147" spans="22:47" x14ac:dyDescent="0.25">
      <c r="V147" s="397"/>
      <c r="W147" s="397"/>
    </row>
    <row r="148" spans="22:47" x14ac:dyDescent="0.25">
      <c r="V148" s="397"/>
      <c r="W148" s="397"/>
    </row>
    <row r="149" spans="22:47" x14ac:dyDescent="0.25">
      <c r="V149" s="397"/>
      <c r="W149" s="397"/>
      <c r="Z149" s="397"/>
      <c r="AA149" s="397"/>
      <c r="AD149" s="397"/>
      <c r="AE149" s="397"/>
      <c r="AF149" s="397"/>
      <c r="AG149" s="397"/>
      <c r="AH149" s="397"/>
      <c r="AI149" s="397"/>
      <c r="AJ149" s="397"/>
      <c r="AK149" s="397"/>
      <c r="AL149" s="397"/>
      <c r="AM149" s="397"/>
      <c r="AN149" s="397"/>
      <c r="AO149" s="397"/>
      <c r="AP149" s="397"/>
      <c r="AQ149" s="397"/>
      <c r="AR149" s="397"/>
      <c r="AS149" s="397"/>
      <c r="AT149" s="397"/>
      <c r="AU149" s="397"/>
    </row>
    <row r="150" spans="22:47" x14ac:dyDescent="0.25">
      <c r="V150" s="397"/>
      <c r="W150" s="397"/>
      <c r="Z150" s="397"/>
      <c r="AA150" s="397"/>
      <c r="AD150" s="397"/>
      <c r="AE150" s="397"/>
      <c r="AF150" s="397"/>
      <c r="AG150" s="397"/>
      <c r="AH150" s="397"/>
      <c r="AI150" s="397"/>
      <c r="AJ150" s="397"/>
      <c r="AK150" s="397"/>
      <c r="AL150" s="397"/>
      <c r="AM150" s="397"/>
      <c r="AN150" s="397"/>
      <c r="AO150" s="397"/>
      <c r="AP150" s="397"/>
      <c r="AQ150" s="397"/>
      <c r="AR150" s="397"/>
      <c r="AS150" s="397"/>
      <c r="AT150" s="397"/>
      <c r="AU150" s="397"/>
    </row>
    <row r="151" spans="22:47" x14ac:dyDescent="0.25">
      <c r="V151" s="397"/>
      <c r="W151" s="397"/>
      <c r="Z151" s="397"/>
      <c r="AA151" s="397"/>
      <c r="AF151" s="397"/>
      <c r="AG151" s="397"/>
      <c r="AL151" s="397"/>
      <c r="AM151" s="397"/>
      <c r="AR151" s="397"/>
      <c r="AS151" s="397"/>
    </row>
    <row r="152" spans="22:47" x14ac:dyDescent="0.25">
      <c r="V152" s="397"/>
      <c r="W152" s="397"/>
      <c r="Z152" s="397"/>
      <c r="AA152" s="397"/>
      <c r="AF152" s="397"/>
      <c r="AG152" s="397"/>
      <c r="AL152" s="397"/>
      <c r="AM152" s="397"/>
      <c r="AR152" s="397"/>
      <c r="AS152" s="397"/>
    </row>
    <row r="153" spans="22:47" x14ac:dyDescent="0.25">
      <c r="V153" s="397"/>
      <c r="W153" s="397"/>
      <c r="Z153" s="397"/>
      <c r="AA153" s="397"/>
      <c r="AF153" s="397"/>
      <c r="AG153" s="397"/>
      <c r="AL153" s="397"/>
      <c r="AM153" s="397"/>
      <c r="AR153" s="397"/>
      <c r="AS153" s="397"/>
    </row>
    <row r="154" spans="22:47" x14ac:dyDescent="0.25">
      <c r="V154" s="397"/>
      <c r="W154" s="397"/>
      <c r="Z154" s="397"/>
      <c r="AA154" s="397"/>
      <c r="AF154" s="397"/>
      <c r="AG154" s="397"/>
      <c r="AL154" s="397"/>
      <c r="AM154" s="397"/>
      <c r="AR154" s="397"/>
      <c r="AS154" s="397"/>
    </row>
    <row r="155" spans="22:47" x14ac:dyDescent="0.25">
      <c r="V155" s="397"/>
      <c r="W155" s="397"/>
      <c r="Z155" s="397"/>
      <c r="AA155" s="397"/>
      <c r="AF155" s="397"/>
      <c r="AG155" s="397"/>
      <c r="AL155" s="397"/>
      <c r="AM155" s="397"/>
      <c r="AR155" s="397"/>
      <c r="AS155" s="397"/>
    </row>
    <row r="156" spans="22:47" x14ac:dyDescent="0.25">
      <c r="V156" s="397"/>
      <c r="W156" s="397"/>
      <c r="Z156" s="397"/>
      <c r="AA156" s="397"/>
      <c r="AF156" s="397"/>
      <c r="AG156" s="397"/>
      <c r="AL156" s="397"/>
      <c r="AM156" s="397"/>
      <c r="AR156" s="397"/>
      <c r="AS156" s="397"/>
    </row>
    <row r="157" spans="22:47" x14ac:dyDescent="0.25">
      <c r="V157" s="397"/>
      <c r="W157" s="397"/>
      <c r="Z157" s="397"/>
      <c r="AA157" s="397"/>
      <c r="AF157" s="397"/>
      <c r="AG157" s="397"/>
      <c r="AL157" s="397"/>
      <c r="AM157" s="397"/>
      <c r="AR157" s="397"/>
      <c r="AS157" s="397"/>
    </row>
    <row r="158" spans="22:47" x14ac:dyDescent="0.25">
      <c r="V158" s="397"/>
      <c r="W158" s="397"/>
      <c r="Z158" s="397"/>
      <c r="AA158" s="397"/>
      <c r="AF158" s="397"/>
      <c r="AG158" s="397"/>
      <c r="AL158" s="397"/>
      <c r="AM158" s="397"/>
      <c r="AR158" s="397"/>
      <c r="AS158" s="397"/>
    </row>
    <row r="159" spans="22:47" x14ac:dyDescent="0.25">
      <c r="V159" s="397"/>
      <c r="W159" s="397"/>
      <c r="Z159" s="397"/>
      <c r="AA159" s="397"/>
      <c r="AD159" s="397"/>
      <c r="AE159" s="397"/>
      <c r="AF159" s="397"/>
      <c r="AG159" s="397"/>
      <c r="AH159" s="397"/>
      <c r="AI159" s="397"/>
      <c r="AJ159" s="397"/>
      <c r="AK159" s="397"/>
      <c r="AL159" s="397"/>
      <c r="AM159" s="397"/>
      <c r="AN159" s="397"/>
      <c r="AO159" s="397"/>
      <c r="AP159" s="397"/>
      <c r="AQ159" s="397"/>
      <c r="AR159" s="397"/>
      <c r="AS159" s="397"/>
      <c r="AT159" s="397"/>
      <c r="AU159" s="397"/>
    </row>
    <row r="160" spans="22:47" x14ac:dyDescent="0.25">
      <c r="V160" s="397"/>
      <c r="W160" s="397"/>
      <c r="Z160" s="397"/>
      <c r="AA160" s="397"/>
      <c r="AF160" s="397"/>
      <c r="AG160" s="397"/>
      <c r="AL160" s="397"/>
      <c r="AM160" s="397"/>
      <c r="AR160" s="397"/>
      <c r="AS160" s="397"/>
    </row>
    <row r="161" spans="22:47" x14ac:dyDescent="0.25">
      <c r="V161" s="397"/>
      <c r="W161" s="397"/>
      <c r="Z161" s="397"/>
      <c r="AA161" s="397"/>
      <c r="AF161" s="397"/>
      <c r="AG161" s="397"/>
      <c r="AL161" s="397"/>
      <c r="AM161" s="397"/>
      <c r="AR161" s="397"/>
      <c r="AS161" s="397"/>
    </row>
    <row r="162" spans="22:47" x14ac:dyDescent="0.25">
      <c r="V162" s="397"/>
      <c r="W162" s="397"/>
      <c r="Z162" s="397"/>
      <c r="AA162" s="397"/>
      <c r="AD162" s="397"/>
      <c r="AE162" s="397"/>
      <c r="AF162" s="397"/>
      <c r="AG162" s="397"/>
      <c r="AH162" s="397"/>
      <c r="AI162" s="397"/>
      <c r="AJ162" s="397"/>
      <c r="AK162" s="397"/>
      <c r="AL162" s="397"/>
      <c r="AM162" s="397"/>
      <c r="AN162" s="397"/>
      <c r="AO162" s="397"/>
      <c r="AP162" s="397"/>
      <c r="AQ162" s="397"/>
      <c r="AR162" s="397"/>
      <c r="AS162" s="397"/>
      <c r="AT162" s="397"/>
      <c r="AU162" s="397"/>
    </row>
    <row r="163" spans="22:47" x14ac:dyDescent="0.25">
      <c r="V163" s="397"/>
      <c r="W163" s="397"/>
      <c r="Z163" s="397"/>
      <c r="AA163" s="397"/>
      <c r="AD163" s="397"/>
      <c r="AE163" s="397"/>
      <c r="AF163" s="397"/>
      <c r="AG163" s="397"/>
      <c r="AH163" s="397"/>
      <c r="AI163" s="397"/>
      <c r="AJ163" s="397"/>
      <c r="AK163" s="397"/>
      <c r="AL163" s="397"/>
      <c r="AM163" s="397"/>
      <c r="AN163" s="397"/>
      <c r="AO163" s="397"/>
      <c r="AP163" s="397"/>
      <c r="AQ163" s="397"/>
      <c r="AR163" s="397"/>
      <c r="AS163" s="397"/>
      <c r="AT163" s="397"/>
      <c r="AU163" s="397"/>
    </row>
    <row r="164" spans="22:47" x14ac:dyDescent="0.25">
      <c r="V164" s="397"/>
      <c r="W164" s="397"/>
      <c r="Z164" s="397"/>
      <c r="AA164" s="397"/>
      <c r="AD164" s="397"/>
      <c r="AE164" s="397"/>
      <c r="AF164" s="397"/>
      <c r="AG164" s="397"/>
      <c r="AH164" s="397"/>
      <c r="AI164" s="397"/>
      <c r="AJ164" s="397"/>
      <c r="AK164" s="397"/>
      <c r="AL164" s="397"/>
      <c r="AM164" s="397"/>
      <c r="AN164" s="397"/>
      <c r="AO164" s="397"/>
      <c r="AP164" s="397"/>
      <c r="AQ164" s="397"/>
      <c r="AR164" s="397"/>
      <c r="AS164" s="397"/>
      <c r="AT164" s="397"/>
      <c r="AU164" s="397"/>
    </row>
    <row r="165" spans="22:47" x14ac:dyDescent="0.25">
      <c r="V165" s="397"/>
      <c r="W165" s="397"/>
      <c r="Z165" s="397"/>
      <c r="AA165" s="397"/>
      <c r="AF165" s="397"/>
      <c r="AG165" s="397"/>
      <c r="AL165" s="397"/>
      <c r="AM165" s="397"/>
      <c r="AR165" s="397"/>
      <c r="AS165" s="397"/>
    </row>
    <row r="166" spans="22:47" x14ac:dyDescent="0.25">
      <c r="V166" s="397"/>
      <c r="W166" s="397"/>
      <c r="Z166" s="397"/>
      <c r="AA166" s="397"/>
      <c r="AF166" s="397"/>
      <c r="AG166" s="397"/>
      <c r="AL166" s="397"/>
      <c r="AM166" s="397"/>
      <c r="AR166" s="397"/>
      <c r="AS166" s="397"/>
    </row>
    <row r="167" spans="22:47" x14ac:dyDescent="0.25">
      <c r="V167" s="397"/>
      <c r="W167" s="397"/>
      <c r="Z167" s="397"/>
      <c r="AA167" s="397"/>
      <c r="AF167" s="397"/>
      <c r="AG167" s="397"/>
      <c r="AL167" s="397"/>
      <c r="AM167" s="397"/>
      <c r="AR167" s="397"/>
      <c r="AS167" s="397"/>
    </row>
    <row r="168" spans="22:47" x14ac:dyDescent="0.25">
      <c r="V168" s="397"/>
      <c r="W168" s="397"/>
      <c r="Z168" s="397"/>
      <c r="AA168" s="397"/>
      <c r="AF168" s="397"/>
      <c r="AG168" s="397"/>
      <c r="AL168" s="397"/>
      <c r="AM168" s="397"/>
      <c r="AR168" s="397"/>
      <c r="AS168" s="397"/>
    </row>
    <row r="169" spans="22:47" x14ac:dyDescent="0.25">
      <c r="V169" s="397"/>
      <c r="W169" s="397"/>
      <c r="Z169" s="397"/>
      <c r="AA169" s="397"/>
      <c r="AF169" s="397"/>
      <c r="AG169" s="397"/>
      <c r="AL169" s="397"/>
      <c r="AM169" s="397"/>
      <c r="AR169" s="397"/>
      <c r="AS169" s="397"/>
    </row>
    <row r="170" spans="22:47" x14ac:dyDescent="0.25">
      <c r="V170" s="397"/>
      <c r="W170" s="397"/>
      <c r="Z170" s="397"/>
      <c r="AA170" s="397"/>
      <c r="AF170" s="397"/>
      <c r="AG170" s="397"/>
      <c r="AL170" s="397"/>
      <c r="AM170" s="397"/>
      <c r="AR170" s="397"/>
      <c r="AS170" s="397"/>
    </row>
    <row r="171" spans="22:47" x14ac:dyDescent="0.25">
      <c r="V171" s="397"/>
      <c r="W171" s="397"/>
      <c r="Z171" s="397"/>
      <c r="AA171" s="397"/>
      <c r="AF171" s="397"/>
      <c r="AG171" s="397"/>
      <c r="AL171" s="397"/>
      <c r="AM171" s="397"/>
      <c r="AR171" s="397"/>
      <c r="AS171" s="397"/>
    </row>
    <row r="172" spans="22:47" x14ac:dyDescent="0.25">
      <c r="V172" s="397"/>
      <c r="W172" s="397"/>
      <c r="Z172" s="397"/>
      <c r="AA172" s="397"/>
      <c r="AF172" s="397"/>
      <c r="AG172" s="397"/>
      <c r="AL172" s="397"/>
      <c r="AM172" s="397"/>
      <c r="AR172" s="397"/>
      <c r="AS172" s="397"/>
    </row>
    <row r="173" spans="22:47" x14ac:dyDescent="0.25">
      <c r="V173" s="397"/>
      <c r="W173" s="397"/>
      <c r="Z173" s="397"/>
      <c r="AA173" s="397"/>
      <c r="AF173" s="397"/>
      <c r="AG173" s="397"/>
      <c r="AL173" s="397"/>
      <c r="AM173" s="397"/>
      <c r="AR173" s="397"/>
      <c r="AS173" s="397"/>
    </row>
    <row r="174" spans="22:47" x14ac:dyDescent="0.25">
      <c r="V174" s="397"/>
      <c r="W174" s="397"/>
    </row>
    <row r="175" spans="22:47" x14ac:dyDescent="0.25">
      <c r="V175" s="397"/>
      <c r="W175" s="397"/>
    </row>
  </sheetData>
  <conditionalFormatting sqref="I1:I100">
    <cfRule type="cellIs" dxfId="456" priority="1" operator="lessThan">
      <formula>1</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68234-4D55-48DE-B913-DCDEA13DD5A6}">
  <dimension ref="A1:AH224"/>
  <sheetViews>
    <sheetView zoomScale="85" zoomScaleNormal="85" workbookViewId="0">
      <selection activeCell="E11" sqref="E11"/>
    </sheetView>
  </sheetViews>
  <sheetFormatPr defaultRowHeight="15" x14ac:dyDescent="0.25"/>
  <cols>
    <col min="1" max="1" width="12.140625" bestFit="1" customWidth="1"/>
    <col min="2" max="2" width="14.85546875" bestFit="1" customWidth="1"/>
    <col min="3" max="3" width="12.140625" bestFit="1" customWidth="1"/>
    <col min="4" max="4" width="15.7109375" style="8" bestFit="1" customWidth="1"/>
    <col min="5" max="6" width="12.5703125" style="8" bestFit="1" customWidth="1"/>
    <col min="7" max="7" width="18.85546875" style="8" bestFit="1" customWidth="1"/>
    <col min="8" max="8" width="13.85546875" style="299" bestFit="1" customWidth="1"/>
    <col min="9" max="9" width="18.5703125" style="299" bestFit="1" customWidth="1"/>
    <col min="10" max="10" width="17.140625" style="299" bestFit="1" customWidth="1"/>
    <col min="11" max="11" width="19.28515625" style="393" bestFit="1" customWidth="1"/>
    <col min="12" max="12" width="17.85546875" style="443" bestFit="1" customWidth="1"/>
    <col min="13" max="13" width="15.5703125" style="363" bestFit="1" customWidth="1"/>
    <col min="14" max="14" width="16.140625" style="363" bestFit="1" customWidth="1"/>
    <col min="15" max="15" width="18.42578125" style="363" bestFit="1" customWidth="1"/>
    <col min="16" max="16" width="18.7109375" style="363" bestFit="1" customWidth="1"/>
    <col min="17" max="17" width="20.42578125" style="392" bestFit="1" customWidth="1"/>
    <col min="18" max="18" width="21.5703125" style="363" bestFit="1" customWidth="1"/>
    <col min="19" max="19" width="21.85546875" style="362" bestFit="1" customWidth="1"/>
    <col min="20" max="20" width="21.28515625" style="364" bestFit="1" customWidth="1"/>
    <col min="21" max="21" width="23.140625" style="363" bestFit="1" customWidth="1"/>
    <col min="22" max="22" width="17.140625" style="362" bestFit="1" customWidth="1"/>
    <col min="23" max="23" width="15.7109375" style="364" bestFit="1" customWidth="1"/>
    <col min="24" max="24" width="20" style="363" bestFit="1" customWidth="1"/>
    <col min="25" max="25" width="17.85546875" style="362" bestFit="1" customWidth="1"/>
    <col min="26" max="26" width="16.42578125" style="364" bestFit="1" customWidth="1"/>
    <col min="27" max="27" width="20.7109375" style="362" bestFit="1" customWidth="1"/>
    <col min="28" max="28" width="21.42578125" style="363" bestFit="1" customWidth="1"/>
    <col min="29" max="29" width="16.28515625" style="362" bestFit="1" customWidth="1"/>
    <col min="30" max="30" width="22.140625" style="364" bestFit="1" customWidth="1"/>
    <col min="31" max="31" width="17" style="362" bestFit="1" customWidth="1"/>
    <col min="32" max="32" width="14.42578125" style="362" bestFit="1" customWidth="1"/>
    <col min="33" max="33" width="10.85546875" style="362" bestFit="1" customWidth="1"/>
    <col min="34" max="34" width="30.140625" bestFit="1" customWidth="1"/>
    <col min="36" max="36" width="7.28515625" bestFit="1" customWidth="1"/>
    <col min="37" max="37" width="6.7109375" bestFit="1" customWidth="1"/>
    <col min="38" max="38" width="12.85546875" bestFit="1" customWidth="1"/>
    <col min="39" max="39" width="13.5703125" bestFit="1" customWidth="1"/>
    <col min="40" max="40" width="15" bestFit="1" customWidth="1"/>
  </cols>
  <sheetData>
    <row r="1" spans="1:34" s="444" customFormat="1" x14ac:dyDescent="0.25">
      <c r="A1" t="s">
        <v>431</v>
      </c>
      <c r="B1" t="s">
        <v>432</v>
      </c>
      <c r="C1" t="s">
        <v>433</v>
      </c>
      <c r="D1" s="445" t="s">
        <v>545</v>
      </c>
      <c r="E1" s="445" t="s">
        <v>546</v>
      </c>
      <c r="F1" s="445" t="s">
        <v>547</v>
      </c>
      <c r="G1" s="445" t="s">
        <v>8</v>
      </c>
      <c r="H1" s="445" t="s">
        <v>341</v>
      </c>
      <c r="I1" s="447" t="s">
        <v>345</v>
      </c>
      <c r="J1" s="447" t="s">
        <v>346</v>
      </c>
      <c r="K1" s="447" t="s">
        <v>349</v>
      </c>
      <c r="L1" s="447" t="s">
        <v>350</v>
      </c>
      <c r="M1" s="446" t="s">
        <v>420</v>
      </c>
      <c r="N1" s="447" t="s">
        <v>421</v>
      </c>
      <c r="O1" s="448" t="s">
        <v>422</v>
      </c>
      <c r="P1" s="448" t="s">
        <v>423</v>
      </c>
      <c r="Q1" s="447" t="s">
        <v>424</v>
      </c>
      <c r="R1" s="447" t="s">
        <v>425</v>
      </c>
      <c r="S1" s="447" t="s">
        <v>426</v>
      </c>
      <c r="T1" s="447" t="s">
        <v>427</v>
      </c>
      <c r="U1" s="447" t="s">
        <v>428</v>
      </c>
      <c r="V1" s="447" t="s">
        <v>337</v>
      </c>
      <c r="W1" s="447" t="s">
        <v>338</v>
      </c>
      <c r="X1" s="449" t="s">
        <v>339</v>
      </c>
      <c r="Y1" s="447" t="s">
        <v>342</v>
      </c>
      <c r="Z1" s="447" t="s">
        <v>343</v>
      </c>
      <c r="AA1" s="449" t="s">
        <v>344</v>
      </c>
      <c r="AB1" s="449" t="s">
        <v>347</v>
      </c>
      <c r="AC1" s="447" t="s">
        <v>348</v>
      </c>
      <c r="AD1" s="449" t="s">
        <v>351</v>
      </c>
      <c r="AE1" s="447" t="s">
        <v>352</v>
      </c>
      <c r="AF1" s="447" t="s">
        <v>354</v>
      </c>
      <c r="AG1" s="447" t="s">
        <v>355</v>
      </c>
      <c r="AH1" s="444" t="s">
        <v>340</v>
      </c>
    </row>
    <row r="2" spans="1:34" x14ac:dyDescent="0.25">
      <c r="A2" t="s">
        <v>416</v>
      </c>
      <c r="B2" t="s">
        <v>215</v>
      </c>
      <c r="C2" s="444" t="s">
        <v>552</v>
      </c>
      <c r="D2" s="8" t="s">
        <v>446</v>
      </c>
      <c r="E2" s="8" t="s">
        <v>217</v>
      </c>
      <c r="F2" s="8" t="s">
        <v>216</v>
      </c>
      <c r="G2" s="299">
        <v>20</v>
      </c>
      <c r="H2" s="299">
        <v>0</v>
      </c>
      <c r="I2" s="362"/>
      <c r="J2" s="362"/>
      <c r="K2" s="362"/>
      <c r="L2" s="362"/>
      <c r="M2" s="361">
        <v>46318</v>
      </c>
      <c r="N2" s="363">
        <v>0.91704333731870724</v>
      </c>
      <c r="O2" s="393">
        <v>1.0717643967047199</v>
      </c>
      <c r="P2" s="443">
        <v>1.1090767474656418</v>
      </c>
      <c r="Q2" s="363">
        <v>3.4221650880534499E-2</v>
      </c>
      <c r="R2" s="363">
        <v>-2.9892175879220099E-2</v>
      </c>
      <c r="S2" s="363">
        <v>3.0902896424477699E-2</v>
      </c>
      <c r="T2" s="363">
        <v>6.0795072303697899E-2</v>
      </c>
      <c r="U2" s="392">
        <v>1.15078694062424E-2</v>
      </c>
      <c r="W2" s="362"/>
      <c r="X2" s="364"/>
      <c r="Z2" s="362"/>
      <c r="AA2" s="364"/>
      <c r="AB2" s="364"/>
      <c r="AF2" s="364"/>
    </row>
    <row r="3" spans="1:34" x14ac:dyDescent="0.25">
      <c r="A3" t="s">
        <v>416</v>
      </c>
      <c r="B3" t="s">
        <v>206</v>
      </c>
      <c r="C3" s="444" t="s">
        <v>552</v>
      </c>
      <c r="D3" s="8" t="s">
        <v>447</v>
      </c>
      <c r="E3" s="8" t="s">
        <v>208</v>
      </c>
      <c r="F3" s="8" t="s">
        <v>207</v>
      </c>
      <c r="G3" s="299">
        <v>20</v>
      </c>
      <c r="H3" s="299">
        <v>0</v>
      </c>
      <c r="I3" s="362"/>
      <c r="J3" s="362"/>
      <c r="K3" s="362"/>
      <c r="L3" s="362"/>
      <c r="M3" s="361">
        <v>46318</v>
      </c>
      <c r="N3" s="363">
        <v>0.98510780604994996</v>
      </c>
      <c r="O3" s="393">
        <v>1.0095335070188955</v>
      </c>
      <c r="P3" s="443">
        <v>1.0309552015275341</v>
      </c>
      <c r="Q3" s="363">
        <v>2.0997402696401799E-2</v>
      </c>
      <c r="R3" s="363">
        <v>-1.37162303914401E-2</v>
      </c>
      <c r="S3" s="363">
        <v>2.3921833122537602E-2</v>
      </c>
      <c r="T3" s="363">
        <v>3.7638063513977797E-2</v>
      </c>
      <c r="U3" s="392">
        <v>7.0045581311837003E-3</v>
      </c>
      <c r="W3" s="362"/>
      <c r="X3" s="364"/>
      <c r="Z3" s="362"/>
      <c r="AA3" s="364"/>
      <c r="AB3" s="364"/>
      <c r="AF3" s="364"/>
    </row>
    <row r="4" spans="1:34" x14ac:dyDescent="0.25">
      <c r="A4" t="s">
        <v>118</v>
      </c>
      <c r="B4" t="s">
        <v>119</v>
      </c>
      <c r="C4" s="444" t="s">
        <v>552</v>
      </c>
      <c r="D4" s="8" t="s">
        <v>448</v>
      </c>
      <c r="E4" s="8" t="s">
        <v>6</v>
      </c>
      <c r="F4" s="8" t="s">
        <v>7</v>
      </c>
      <c r="G4" s="299">
        <v>20</v>
      </c>
      <c r="H4" s="299">
        <v>0</v>
      </c>
      <c r="I4" s="362"/>
      <c r="J4" s="362"/>
      <c r="K4" s="362"/>
      <c r="L4" s="362"/>
      <c r="M4" s="361">
        <v>46318</v>
      </c>
      <c r="N4" s="363">
        <v>0.99580302138463317</v>
      </c>
      <c r="O4" s="393">
        <v>1.3471198792567962</v>
      </c>
      <c r="P4" s="443">
        <v>1.3488513031677345</v>
      </c>
      <c r="Q4" s="363">
        <v>1.284453009194E-3</v>
      </c>
      <c r="R4" s="363">
        <v>-5.3670955978639997E-4</v>
      </c>
      <c r="S4" s="363">
        <v>8.0512726518069998E-4</v>
      </c>
      <c r="T4" s="363">
        <v>1.3418368249671E-3</v>
      </c>
      <c r="U4" s="392">
        <v>2.6707573619149999E-4</v>
      </c>
      <c r="W4" s="362"/>
      <c r="X4" s="364"/>
      <c r="Z4" s="362"/>
      <c r="AA4" s="364"/>
      <c r="AB4" s="364"/>
      <c r="AF4" s="364"/>
    </row>
    <row r="5" spans="1:34" x14ac:dyDescent="0.25">
      <c r="A5" t="s">
        <v>416</v>
      </c>
      <c r="B5" t="s">
        <v>155</v>
      </c>
      <c r="C5" s="444" t="s">
        <v>552</v>
      </c>
      <c r="D5" s="8" t="s">
        <v>449</v>
      </c>
      <c r="E5" s="8" t="s">
        <v>157</v>
      </c>
      <c r="F5" s="8" t="s">
        <v>156</v>
      </c>
      <c r="G5" s="299">
        <v>20</v>
      </c>
      <c r="H5" s="299">
        <v>0</v>
      </c>
      <c r="I5" s="362"/>
      <c r="J5" s="362"/>
      <c r="K5" s="362"/>
      <c r="L5" s="362"/>
      <c r="M5" s="361">
        <v>46318</v>
      </c>
      <c r="N5" s="363">
        <v>0.96594241232973899</v>
      </c>
      <c r="O5" s="393">
        <v>1498.36611330137</v>
      </c>
      <c r="P5" s="443">
        <v>1502.1501521934911</v>
      </c>
      <c r="Q5" s="363">
        <v>2.5222598802364E-3</v>
      </c>
      <c r="R5" s="363">
        <v>-9.0677423966092005E-3</v>
      </c>
      <c r="S5" s="363">
        <v>5.2153424332019999E-3</v>
      </c>
      <c r="T5" s="363">
        <v>1.4283084829811299E-2</v>
      </c>
      <c r="U5" s="392">
        <v>1.8252551880693E-3</v>
      </c>
      <c r="W5" s="362"/>
      <c r="X5" s="364"/>
      <c r="Z5" s="362"/>
      <c r="AA5" s="364"/>
      <c r="AB5" s="364"/>
      <c r="AF5" s="364"/>
    </row>
    <row r="6" spans="1:34" x14ac:dyDescent="0.25">
      <c r="A6" t="s">
        <v>118</v>
      </c>
      <c r="B6" t="s">
        <v>127</v>
      </c>
      <c r="C6" s="444" t="s">
        <v>552</v>
      </c>
      <c r="D6" s="8" t="s">
        <v>450</v>
      </c>
      <c r="E6" s="8" t="s">
        <v>36</v>
      </c>
      <c r="F6" s="8" t="s">
        <v>47</v>
      </c>
      <c r="G6" s="299">
        <v>20</v>
      </c>
      <c r="H6" s="299">
        <v>2</v>
      </c>
      <c r="I6" s="362">
        <v>-1E-3</v>
      </c>
      <c r="J6" s="362">
        <v>0</v>
      </c>
      <c r="K6" s="362">
        <v>1.1999999999999999E-3</v>
      </c>
      <c r="L6" s="362">
        <v>2.0000000000000001E-4</v>
      </c>
      <c r="M6" s="361">
        <v>46318</v>
      </c>
      <c r="N6" s="363">
        <v>0.95950201227664322</v>
      </c>
      <c r="O6" s="393">
        <v>1.743183335924225</v>
      </c>
      <c r="P6" s="443">
        <v>1.7467904255389051</v>
      </c>
      <c r="Q6" s="363">
        <v>2.067116342779E-3</v>
      </c>
      <c r="R6" s="363">
        <v>-1.9742047565838999E-3</v>
      </c>
      <c r="S6" s="363">
        <v>2.1474749867461999E-3</v>
      </c>
      <c r="T6" s="363">
        <v>4.1216797433301002E-3</v>
      </c>
      <c r="U6" s="392">
        <v>6.8175037221870005E-4</v>
      </c>
      <c r="V6" s="362">
        <v>0</v>
      </c>
      <c r="W6" s="362">
        <v>0</v>
      </c>
      <c r="X6" s="364">
        <v>5.93</v>
      </c>
      <c r="Y6" s="362">
        <v>2.0000000000000001E-4</v>
      </c>
      <c r="Z6" s="362">
        <v>2.0000000000000001E-4</v>
      </c>
      <c r="AA6" s="364">
        <v>4.47</v>
      </c>
      <c r="AB6" s="364">
        <v>2.89</v>
      </c>
      <c r="AC6" s="362">
        <v>7.1000000000000004E-3</v>
      </c>
      <c r="AD6" s="364">
        <v>2.4</v>
      </c>
      <c r="AE6" s="362">
        <v>4.1999999999999997E-3</v>
      </c>
      <c r="AF6" s="364">
        <v>3.81</v>
      </c>
      <c r="AG6" s="362">
        <v>1.0999999999999999E-2</v>
      </c>
    </row>
    <row r="7" spans="1:34" x14ac:dyDescent="0.25">
      <c r="A7" t="s">
        <v>118</v>
      </c>
      <c r="B7" t="s">
        <v>122</v>
      </c>
      <c r="C7" s="444" t="s">
        <v>552</v>
      </c>
      <c r="D7" s="8" t="s">
        <v>451</v>
      </c>
      <c r="E7" s="8" t="s">
        <v>37</v>
      </c>
      <c r="F7" s="8" t="s">
        <v>41</v>
      </c>
      <c r="G7" s="299">
        <v>20</v>
      </c>
      <c r="H7" s="299">
        <v>2</v>
      </c>
      <c r="I7" s="362">
        <v>-5.0000000000000001E-3</v>
      </c>
      <c r="J7" s="362">
        <v>-3.0000000000000001E-3</v>
      </c>
      <c r="K7" s="362">
        <v>3.0000000000000001E-3</v>
      </c>
      <c r="L7" s="362">
        <v>1E-3</v>
      </c>
      <c r="M7" s="361">
        <v>46318</v>
      </c>
      <c r="N7" s="363">
        <v>0.98493009819573563</v>
      </c>
      <c r="O7" s="393">
        <v>1.1037864025161956</v>
      </c>
      <c r="P7" s="443">
        <v>1.1230720511247645</v>
      </c>
      <c r="Q7" s="363">
        <v>1.73213800494466E-2</v>
      </c>
      <c r="R7" s="363">
        <v>-9.2505420205541006E-3</v>
      </c>
      <c r="S7" s="363">
        <v>7.6463285686799E-3</v>
      </c>
      <c r="T7" s="363">
        <v>1.6896870589234E-2</v>
      </c>
      <c r="U7" s="392">
        <v>3.2024662601338001E-3</v>
      </c>
      <c r="V7" s="362">
        <v>-5.0000000000000001E-3</v>
      </c>
      <c r="W7" s="362">
        <v>-5.0000000000000001E-3</v>
      </c>
      <c r="X7" s="364">
        <v>3.04</v>
      </c>
      <c r="Y7" s="362">
        <v>1E-3</v>
      </c>
      <c r="Z7" s="362">
        <v>1E-3</v>
      </c>
      <c r="AA7" s="364">
        <v>2.8</v>
      </c>
      <c r="AB7" s="364">
        <v>2.92</v>
      </c>
      <c r="AC7" s="362">
        <v>3.1600000000000003E-2</v>
      </c>
      <c r="AD7" s="364">
        <v>1.98</v>
      </c>
      <c r="AE7" s="362">
        <v>0.02</v>
      </c>
      <c r="AF7" s="364">
        <v>3.53</v>
      </c>
      <c r="AG7" s="362">
        <v>5.16E-2</v>
      </c>
    </row>
    <row r="8" spans="1:34" x14ac:dyDescent="0.25">
      <c r="A8" t="s">
        <v>386</v>
      </c>
      <c r="B8" t="s">
        <v>396</v>
      </c>
      <c r="C8" s="444" t="s">
        <v>552</v>
      </c>
      <c r="D8" s="8" t="s">
        <v>452</v>
      </c>
      <c r="E8" s="8" t="s">
        <v>397</v>
      </c>
      <c r="F8" s="8" t="s">
        <v>398</v>
      </c>
      <c r="G8" s="299">
        <v>20</v>
      </c>
      <c r="H8" s="299">
        <v>2</v>
      </c>
      <c r="I8" s="362"/>
      <c r="J8" s="362"/>
      <c r="K8" s="362"/>
      <c r="L8" s="362"/>
      <c r="M8" s="361"/>
      <c r="O8" s="393"/>
      <c r="P8" s="443"/>
      <c r="Q8" s="363"/>
      <c r="S8" s="363"/>
      <c r="T8" s="363"/>
      <c r="U8" s="392"/>
      <c r="W8" s="362"/>
      <c r="X8" s="364"/>
      <c r="Z8" s="362"/>
      <c r="AA8" s="364"/>
      <c r="AB8" s="364"/>
      <c r="AF8" s="364"/>
    </row>
    <row r="9" spans="1:34" x14ac:dyDescent="0.25">
      <c r="A9" t="s">
        <v>386</v>
      </c>
      <c r="B9" t="s">
        <v>387</v>
      </c>
      <c r="C9" s="444" t="s">
        <v>552</v>
      </c>
      <c r="D9" s="8" t="s">
        <v>453</v>
      </c>
      <c r="E9" s="8" t="s">
        <v>388</v>
      </c>
      <c r="F9" s="8" t="s">
        <v>389</v>
      </c>
      <c r="G9" s="299">
        <v>20</v>
      </c>
      <c r="H9" s="299">
        <v>2</v>
      </c>
      <c r="I9" s="362"/>
      <c r="J9" s="362"/>
      <c r="K9" s="362"/>
      <c r="L9" s="362"/>
      <c r="M9" s="361"/>
      <c r="O9" s="393"/>
      <c r="P9" s="443"/>
      <c r="Q9" s="363"/>
      <c r="S9" s="363"/>
      <c r="T9" s="363"/>
      <c r="U9" s="392"/>
      <c r="W9" s="362"/>
      <c r="X9" s="364"/>
      <c r="Z9" s="362"/>
      <c r="AA9" s="364"/>
      <c r="AB9" s="364"/>
      <c r="AF9" s="364"/>
    </row>
    <row r="10" spans="1:34" x14ac:dyDescent="0.25">
      <c r="A10" t="s">
        <v>386</v>
      </c>
      <c r="B10" t="s">
        <v>408</v>
      </c>
      <c r="C10" s="444" t="s">
        <v>552</v>
      </c>
      <c r="D10" s="8" t="s">
        <v>454</v>
      </c>
      <c r="E10" s="8" t="s">
        <v>409</v>
      </c>
      <c r="F10" s="8" t="s">
        <v>410</v>
      </c>
      <c r="G10" s="299">
        <v>20</v>
      </c>
      <c r="H10" s="299">
        <v>2</v>
      </c>
      <c r="I10" s="362"/>
      <c r="J10" s="362"/>
      <c r="K10" s="362"/>
      <c r="L10" s="362"/>
      <c r="M10" s="361"/>
      <c r="O10" s="393"/>
      <c r="P10" s="443"/>
      <c r="Q10" s="363"/>
      <c r="S10" s="363"/>
      <c r="T10" s="363"/>
      <c r="U10" s="392"/>
      <c r="W10" s="362"/>
      <c r="X10" s="364"/>
      <c r="Z10" s="362"/>
      <c r="AA10" s="364"/>
      <c r="AB10" s="364"/>
      <c r="AF10" s="364"/>
    </row>
    <row r="11" spans="1:34" x14ac:dyDescent="0.25">
      <c r="A11" t="s">
        <v>118</v>
      </c>
      <c r="B11" t="s">
        <v>120</v>
      </c>
      <c r="C11" s="444" t="s">
        <v>552</v>
      </c>
      <c r="D11" s="8" t="s">
        <v>455</v>
      </c>
      <c r="E11" s="8" t="s">
        <v>39</v>
      </c>
      <c r="F11" s="8" t="s">
        <v>33</v>
      </c>
      <c r="G11" s="299">
        <v>20</v>
      </c>
      <c r="H11" s="299">
        <v>2</v>
      </c>
      <c r="I11" s="362">
        <v>-2E-3</v>
      </c>
      <c r="J11" s="362">
        <v>0</v>
      </c>
      <c r="K11" s="362">
        <v>2E-3</v>
      </c>
      <c r="L11" s="362">
        <v>0</v>
      </c>
      <c r="M11" s="361">
        <v>46318</v>
      </c>
      <c r="N11" s="363">
        <v>0.96954063701170357</v>
      </c>
      <c r="O11" s="393">
        <v>1.0700343422243339</v>
      </c>
      <c r="P11" s="443">
        <v>1.077041006631843</v>
      </c>
      <c r="Q11" s="363">
        <v>6.5267288209752E-3</v>
      </c>
      <c r="R11" s="363">
        <v>-2.4284469749142001E-3</v>
      </c>
      <c r="S11" s="363">
        <v>6.7436504661612003E-3</v>
      </c>
      <c r="T11" s="363">
        <v>9.1720974410754996E-3</v>
      </c>
      <c r="U11" s="392">
        <v>1.6892191176223E-3</v>
      </c>
      <c r="V11" s="362">
        <v>-2E-3</v>
      </c>
      <c r="W11" s="362">
        <v>0</v>
      </c>
      <c r="X11" s="364">
        <v>2.73</v>
      </c>
      <c r="Y11" s="362">
        <v>1E-3</v>
      </c>
      <c r="Z11" s="362">
        <v>1E-3</v>
      </c>
      <c r="AA11" s="364">
        <v>1.03</v>
      </c>
      <c r="AB11" s="364">
        <v>2.73</v>
      </c>
      <c r="AC11" s="362">
        <v>9.9000000000000008E-3</v>
      </c>
      <c r="AD11" s="364">
        <v>-1.36</v>
      </c>
      <c r="AE11" s="362">
        <v>-4.1999999999999997E-3</v>
      </c>
      <c r="AF11" s="364">
        <v>1.2</v>
      </c>
      <c r="AG11" s="362">
        <v>5.7999999999999996E-3</v>
      </c>
      <c r="AH11" t="s">
        <v>358</v>
      </c>
    </row>
    <row r="12" spans="1:34" x14ac:dyDescent="0.25">
      <c r="A12" t="s">
        <v>105</v>
      </c>
      <c r="B12" t="s">
        <v>112</v>
      </c>
      <c r="C12" s="444" t="s">
        <v>552</v>
      </c>
      <c r="D12" s="8" t="s">
        <v>456</v>
      </c>
      <c r="E12" s="8" t="s">
        <v>146</v>
      </c>
      <c r="F12" s="8" t="s">
        <v>149</v>
      </c>
      <c r="G12" s="299">
        <v>20</v>
      </c>
      <c r="H12" s="299">
        <v>1</v>
      </c>
      <c r="I12" s="362"/>
      <c r="J12" s="362"/>
      <c r="K12" s="362"/>
      <c r="L12" s="362"/>
      <c r="M12" s="361">
        <v>46318</v>
      </c>
      <c r="N12" s="363">
        <v>0.9992324270226316</v>
      </c>
      <c r="O12" s="393">
        <v>3.849531849917661</v>
      </c>
      <c r="P12" s="443">
        <v>3.8543398292787701</v>
      </c>
      <c r="Q12" s="363">
        <v>1.2481983567632E-3</v>
      </c>
      <c r="R12" s="363">
        <v>-1.5717494592979999E-3</v>
      </c>
      <c r="S12" s="363">
        <v>1.5861704827129001E-3</v>
      </c>
      <c r="T12" s="363">
        <v>3.1579199420109002E-3</v>
      </c>
      <c r="U12" s="392">
        <v>4.9836675208489998E-4</v>
      </c>
      <c r="W12" s="362"/>
      <c r="X12" s="364"/>
      <c r="Z12" s="362"/>
      <c r="AA12" s="364"/>
      <c r="AB12" s="364"/>
      <c r="AF12" s="364"/>
    </row>
    <row r="13" spans="1:34" x14ac:dyDescent="0.25">
      <c r="A13" t="s">
        <v>105</v>
      </c>
      <c r="B13" t="s">
        <v>109</v>
      </c>
      <c r="C13" s="444" t="s">
        <v>552</v>
      </c>
      <c r="D13" s="8" t="s">
        <v>457</v>
      </c>
      <c r="E13" s="374" t="s">
        <v>80</v>
      </c>
      <c r="F13" s="8" t="s">
        <v>82</v>
      </c>
      <c r="G13" s="299">
        <v>20</v>
      </c>
      <c r="H13" s="299">
        <v>1</v>
      </c>
      <c r="I13" s="362"/>
      <c r="J13" s="362"/>
      <c r="K13" s="362"/>
      <c r="L13" s="362"/>
      <c r="M13" s="361">
        <v>46318</v>
      </c>
      <c r="N13" s="363">
        <v>0.99959856613250964</v>
      </c>
      <c r="O13" s="393">
        <v>5.0803277670602167</v>
      </c>
      <c r="P13" s="443">
        <v>5.0867799666648326</v>
      </c>
      <c r="Q13" s="363">
        <v>1.269230274681E-3</v>
      </c>
      <c r="R13" s="363">
        <v>-8.7859493999650003E-4</v>
      </c>
      <c r="S13" s="363">
        <v>9.2259186083249996E-4</v>
      </c>
      <c r="T13" s="363">
        <v>1.8011868008290001E-3</v>
      </c>
      <c r="U13" s="392">
        <v>3.5745440246019998E-4</v>
      </c>
      <c r="W13" s="362"/>
      <c r="X13" s="364"/>
      <c r="Z13" s="362"/>
      <c r="AA13" s="364"/>
      <c r="AB13" s="364"/>
      <c r="AF13" s="364"/>
    </row>
    <row r="14" spans="1:34" x14ac:dyDescent="0.25">
      <c r="A14" t="s">
        <v>105</v>
      </c>
      <c r="B14" t="s">
        <v>110</v>
      </c>
      <c r="C14" s="444" t="s">
        <v>552</v>
      </c>
      <c r="D14" s="8" t="s">
        <v>458</v>
      </c>
      <c r="E14" s="374" t="s">
        <v>87</v>
      </c>
      <c r="F14" s="8" t="s">
        <v>89</v>
      </c>
      <c r="G14" s="299">
        <v>20</v>
      </c>
      <c r="H14" s="299">
        <v>1</v>
      </c>
      <c r="I14" s="362"/>
      <c r="J14" s="362"/>
      <c r="K14" s="362"/>
      <c r="L14" s="362"/>
      <c r="M14" s="361">
        <v>46318</v>
      </c>
      <c r="N14" s="363">
        <v>0.99912083983258282</v>
      </c>
      <c r="O14" s="393">
        <v>3.868233346702592</v>
      </c>
      <c r="P14" s="443">
        <v>3.8754271043290034</v>
      </c>
      <c r="Q14" s="363">
        <v>1.8579739494899001E-3</v>
      </c>
      <c r="R14" s="363">
        <v>-8.2171736320660002E-4</v>
      </c>
      <c r="S14" s="363">
        <v>1.1963236693541999E-3</v>
      </c>
      <c r="T14" s="363">
        <v>2.0180410325607999E-3</v>
      </c>
      <c r="U14" s="392">
        <v>3.9109428858849997E-4</v>
      </c>
      <c r="W14" s="362"/>
      <c r="X14" s="364"/>
      <c r="Z14" s="362"/>
      <c r="AA14" s="364"/>
      <c r="AB14" s="364"/>
      <c r="AF14" s="364"/>
    </row>
    <row r="15" spans="1:34" x14ac:dyDescent="0.25">
      <c r="A15" t="s">
        <v>105</v>
      </c>
      <c r="B15" t="s">
        <v>131</v>
      </c>
      <c r="C15" s="444" t="s">
        <v>552</v>
      </c>
      <c r="D15" s="396" t="s">
        <v>459</v>
      </c>
      <c r="E15" s="374" t="s">
        <v>91</v>
      </c>
      <c r="F15" s="8" t="s">
        <v>114</v>
      </c>
      <c r="G15" s="299">
        <v>20</v>
      </c>
      <c r="H15" s="299">
        <v>1</v>
      </c>
      <c r="I15" s="362"/>
      <c r="J15" s="362"/>
      <c r="K15" s="362"/>
      <c r="L15" s="362"/>
      <c r="M15" s="361">
        <v>46318</v>
      </c>
      <c r="N15" s="363">
        <v>0.9974091032725344</v>
      </c>
      <c r="O15" s="393">
        <v>3.6059594515635247</v>
      </c>
      <c r="P15" s="443">
        <v>3.6193209737936498</v>
      </c>
      <c r="Q15" s="363">
        <v>3.6985519384327E-3</v>
      </c>
      <c r="R15" s="363">
        <v>-3.1948608849296E-3</v>
      </c>
      <c r="S15" s="363">
        <v>2.2879885498654998E-3</v>
      </c>
      <c r="T15" s="363">
        <v>5.4828494347950998E-3</v>
      </c>
      <c r="U15" s="392">
        <v>8.5535973682059996E-4</v>
      </c>
      <c r="W15" s="362"/>
      <c r="X15" s="364"/>
      <c r="Z15" s="362"/>
      <c r="AA15" s="364"/>
      <c r="AB15" s="364"/>
      <c r="AF15" s="364"/>
    </row>
    <row r="16" spans="1:34" x14ac:dyDescent="0.25">
      <c r="A16" t="s">
        <v>386</v>
      </c>
      <c r="B16" t="s">
        <v>405</v>
      </c>
      <c r="C16" s="444" t="s">
        <v>552</v>
      </c>
      <c r="D16" s="8" t="s">
        <v>460</v>
      </c>
      <c r="E16" s="8" t="s">
        <v>406</v>
      </c>
      <c r="F16" s="8" t="s">
        <v>407</v>
      </c>
      <c r="G16" s="299">
        <v>20</v>
      </c>
      <c r="H16" s="299">
        <v>2</v>
      </c>
      <c r="I16" s="362"/>
      <c r="J16" s="362"/>
      <c r="K16" s="362"/>
      <c r="L16" s="362"/>
      <c r="M16" s="361"/>
      <c r="O16" s="393"/>
      <c r="P16" s="443"/>
      <c r="Q16" s="363"/>
      <c r="S16" s="363"/>
      <c r="T16" s="363"/>
      <c r="U16" s="392"/>
      <c r="W16" s="362"/>
      <c r="X16" s="364"/>
      <c r="Z16" s="362"/>
      <c r="AA16" s="364"/>
      <c r="AB16" s="364"/>
      <c r="AF16" s="364"/>
    </row>
    <row r="17" spans="1:32" x14ac:dyDescent="0.25">
      <c r="A17" t="s">
        <v>386</v>
      </c>
      <c r="B17" t="s">
        <v>393</v>
      </c>
      <c r="C17" s="444" t="s">
        <v>552</v>
      </c>
      <c r="D17" s="8" t="s">
        <v>461</v>
      </c>
      <c r="E17" s="8" t="s">
        <v>394</v>
      </c>
      <c r="F17" s="8" t="s">
        <v>395</v>
      </c>
      <c r="G17" s="299">
        <v>20</v>
      </c>
      <c r="H17" s="299">
        <v>2</v>
      </c>
      <c r="I17" s="362"/>
      <c r="J17" s="362"/>
      <c r="K17" s="362"/>
      <c r="L17" s="362"/>
      <c r="M17" s="361"/>
      <c r="O17" s="393"/>
      <c r="P17" s="443"/>
      <c r="Q17" s="363"/>
      <c r="S17" s="363"/>
      <c r="T17" s="363"/>
      <c r="U17" s="392"/>
      <c r="W17" s="362"/>
      <c r="X17" s="364"/>
      <c r="Z17" s="362"/>
      <c r="AA17" s="364"/>
      <c r="AB17" s="364"/>
      <c r="AF17" s="364"/>
    </row>
    <row r="18" spans="1:32" x14ac:dyDescent="0.25">
      <c r="A18" t="s">
        <v>386</v>
      </c>
      <c r="B18" t="s">
        <v>402</v>
      </c>
      <c r="C18" s="444" t="s">
        <v>552</v>
      </c>
      <c r="D18" s="8" t="s">
        <v>462</v>
      </c>
      <c r="E18" s="8" t="s">
        <v>403</v>
      </c>
      <c r="F18" s="8" t="s">
        <v>404</v>
      </c>
      <c r="G18" s="299">
        <v>20</v>
      </c>
      <c r="H18" s="299">
        <v>2</v>
      </c>
      <c r="I18" s="362"/>
      <c r="J18" s="362"/>
      <c r="K18" s="362"/>
      <c r="L18" s="362"/>
      <c r="M18" s="361"/>
      <c r="O18" s="393"/>
      <c r="P18" s="443"/>
      <c r="Q18" s="363"/>
      <c r="S18" s="363"/>
      <c r="T18" s="363"/>
      <c r="U18" s="392"/>
      <c r="W18" s="362"/>
      <c r="X18" s="364"/>
      <c r="Z18" s="362"/>
      <c r="AA18" s="364"/>
      <c r="AB18" s="364"/>
      <c r="AF18" s="364"/>
    </row>
    <row r="19" spans="1:32" x14ac:dyDescent="0.25">
      <c r="A19" t="s">
        <v>386</v>
      </c>
      <c r="B19" t="s">
        <v>390</v>
      </c>
      <c r="C19" s="444" t="s">
        <v>552</v>
      </c>
      <c r="D19" s="8" t="s">
        <v>463</v>
      </c>
      <c r="E19" s="8" t="s">
        <v>391</v>
      </c>
      <c r="F19" s="8" t="s">
        <v>392</v>
      </c>
      <c r="G19" s="299">
        <v>20</v>
      </c>
      <c r="H19" s="299">
        <v>2</v>
      </c>
      <c r="I19" s="362"/>
      <c r="J19" s="362"/>
      <c r="K19" s="362"/>
      <c r="L19" s="362"/>
      <c r="M19" s="361"/>
      <c r="O19" s="393"/>
      <c r="P19" s="443"/>
      <c r="Q19" s="363"/>
      <c r="S19" s="363"/>
      <c r="T19" s="363"/>
      <c r="U19" s="392"/>
      <c r="W19" s="362"/>
      <c r="X19" s="364"/>
      <c r="Z19" s="362"/>
      <c r="AA19" s="364"/>
      <c r="AB19" s="364"/>
      <c r="AF19" s="364"/>
    </row>
    <row r="20" spans="1:32" x14ac:dyDescent="0.25">
      <c r="A20" t="s">
        <v>386</v>
      </c>
      <c r="B20" t="s">
        <v>399</v>
      </c>
      <c r="C20" s="444" t="s">
        <v>552</v>
      </c>
      <c r="D20" s="8" t="s">
        <v>464</v>
      </c>
      <c r="E20" s="8" t="s">
        <v>400</v>
      </c>
      <c r="F20" s="8" t="s">
        <v>401</v>
      </c>
      <c r="G20" s="299">
        <v>20</v>
      </c>
      <c r="H20" s="299">
        <v>2</v>
      </c>
      <c r="I20" s="362"/>
      <c r="J20" s="362"/>
      <c r="K20" s="362"/>
      <c r="L20" s="362"/>
      <c r="M20" s="361"/>
      <c r="O20" s="393"/>
      <c r="P20" s="443"/>
      <c r="Q20" s="363"/>
      <c r="S20" s="363"/>
      <c r="T20" s="363"/>
      <c r="U20" s="392"/>
      <c r="W20" s="362"/>
      <c r="X20" s="364"/>
      <c r="Z20" s="362"/>
      <c r="AA20" s="364"/>
      <c r="AB20" s="364"/>
      <c r="AF20" s="364"/>
    </row>
    <row r="21" spans="1:32" x14ac:dyDescent="0.25">
      <c r="A21" t="s">
        <v>105</v>
      </c>
      <c r="B21" t="s">
        <v>111</v>
      </c>
      <c r="C21" s="444" t="s">
        <v>552</v>
      </c>
      <c r="D21" s="396" t="s">
        <v>465</v>
      </c>
      <c r="E21" s="374" t="s">
        <v>113</v>
      </c>
      <c r="F21" s="8" t="s">
        <v>85</v>
      </c>
      <c r="G21" s="299">
        <v>20</v>
      </c>
      <c r="H21" s="299">
        <v>1</v>
      </c>
      <c r="I21" s="362"/>
      <c r="J21" s="362"/>
      <c r="K21" s="362"/>
      <c r="L21" s="362"/>
      <c r="M21" s="361">
        <v>46318</v>
      </c>
      <c r="N21" s="363">
        <v>0.99844295022032881</v>
      </c>
      <c r="O21" s="393">
        <v>1.7166628469571106</v>
      </c>
      <c r="P21" s="443">
        <v>1.722139071052212</v>
      </c>
      <c r="Q21" s="363">
        <v>3.1849631673469998E-3</v>
      </c>
      <c r="R21" s="363">
        <v>-2.5080944147884E-3</v>
      </c>
      <c r="S21" s="363">
        <v>2.9723070491996001E-3</v>
      </c>
      <c r="T21" s="363">
        <v>5.4804014639880001E-3</v>
      </c>
      <c r="U21" s="392">
        <v>8.1814007997700004E-4</v>
      </c>
      <c r="W21" s="362"/>
      <c r="X21" s="364"/>
      <c r="Z21" s="362"/>
      <c r="AA21" s="364"/>
      <c r="AB21" s="364"/>
      <c r="AF21" s="364"/>
    </row>
    <row r="22" spans="1:32" x14ac:dyDescent="0.25">
      <c r="A22" t="s">
        <v>416</v>
      </c>
      <c r="B22" t="s">
        <v>151</v>
      </c>
      <c r="C22" s="444" t="s">
        <v>552</v>
      </c>
      <c r="D22" s="8" t="s">
        <v>466</v>
      </c>
      <c r="E22" s="8" t="s">
        <v>141</v>
      </c>
      <c r="F22" s="8" t="s">
        <v>142</v>
      </c>
      <c r="G22" s="299">
        <v>20</v>
      </c>
      <c r="H22" s="299">
        <v>0</v>
      </c>
      <c r="I22" s="362"/>
      <c r="J22" s="362"/>
      <c r="K22" s="362"/>
      <c r="L22" s="362"/>
      <c r="M22" s="361">
        <v>46318</v>
      </c>
      <c r="N22" s="363">
        <v>0.98632367993403003</v>
      </c>
      <c r="O22" s="393">
        <v>1.0938756443159661</v>
      </c>
      <c r="P22" s="443">
        <v>1.1228347552443962</v>
      </c>
      <c r="Q22" s="363">
        <v>2.6129492214274901E-2</v>
      </c>
      <c r="R22" s="363">
        <v>-1.82252347353478E-2</v>
      </c>
      <c r="S22" s="363">
        <v>2.1624654002596701E-2</v>
      </c>
      <c r="T22" s="363">
        <v>3.9849888737944601E-2</v>
      </c>
      <c r="U22" s="392">
        <v>6.5670086602406001E-3</v>
      </c>
      <c r="W22" s="362"/>
      <c r="X22" s="364"/>
      <c r="Z22" s="362"/>
      <c r="AA22" s="364"/>
      <c r="AB22" s="364"/>
      <c r="AF22" s="364"/>
    </row>
    <row r="23" spans="1:32" x14ac:dyDescent="0.25">
      <c r="A23" t="s">
        <v>105</v>
      </c>
      <c r="B23" t="s">
        <v>108</v>
      </c>
      <c r="C23" s="444" t="s">
        <v>552</v>
      </c>
      <c r="D23" s="8" t="s">
        <v>467</v>
      </c>
      <c r="E23" s="374" t="s">
        <v>93</v>
      </c>
      <c r="F23" s="8" t="s">
        <v>95</v>
      </c>
      <c r="G23" s="299">
        <v>20</v>
      </c>
      <c r="H23" s="299">
        <v>1</v>
      </c>
      <c r="I23" s="362"/>
      <c r="J23" s="362"/>
      <c r="K23" s="362"/>
      <c r="L23" s="362"/>
      <c r="M23" s="361">
        <v>46318</v>
      </c>
      <c r="N23" s="363">
        <v>0.99797535496475798</v>
      </c>
      <c r="O23" s="393">
        <v>3.2897547360447232</v>
      </c>
      <c r="P23" s="443">
        <v>3.2980128614678108</v>
      </c>
      <c r="Q23" s="363">
        <v>2.5071102240499001E-3</v>
      </c>
      <c r="R23" s="363">
        <v>-2.0271247738758999E-3</v>
      </c>
      <c r="S23" s="363">
        <v>1.5186056335261999E-3</v>
      </c>
      <c r="T23" s="363">
        <v>3.5457304074022001E-3</v>
      </c>
      <c r="U23" s="392">
        <v>6.8319905692430002E-4</v>
      </c>
      <c r="W23" s="362"/>
      <c r="X23" s="364"/>
      <c r="Z23" s="362"/>
      <c r="AA23" s="364"/>
      <c r="AB23" s="364"/>
      <c r="AF23" s="364"/>
    </row>
    <row r="24" spans="1:32" x14ac:dyDescent="0.25">
      <c r="A24" t="s">
        <v>105</v>
      </c>
      <c r="B24" t="s">
        <v>106</v>
      </c>
      <c r="C24" s="444" t="s">
        <v>552</v>
      </c>
      <c r="D24" s="8" t="s">
        <v>468</v>
      </c>
      <c r="E24" s="374" t="s">
        <v>77</v>
      </c>
      <c r="F24" s="8" t="s">
        <v>78</v>
      </c>
      <c r="G24" s="299">
        <v>20</v>
      </c>
      <c r="H24" s="299">
        <v>1</v>
      </c>
      <c r="I24" s="362"/>
      <c r="J24" s="362"/>
      <c r="K24" s="362"/>
      <c r="L24" s="362"/>
      <c r="M24" s="361">
        <v>46318</v>
      </c>
      <c r="N24" s="363">
        <v>0.99856158049115085</v>
      </c>
      <c r="O24" s="393">
        <v>4.2905734453050952</v>
      </c>
      <c r="P24" s="443">
        <v>4.2940171483629994</v>
      </c>
      <c r="Q24" s="363">
        <v>8.0229877128079998E-4</v>
      </c>
      <c r="R24" s="363">
        <v>-1.2097334528691E-3</v>
      </c>
      <c r="S24" s="363">
        <v>1.0016217065903E-3</v>
      </c>
      <c r="T24" s="363">
        <v>2.2113551594594E-3</v>
      </c>
      <c r="U24" s="392">
        <v>4.0586346824359999E-4</v>
      </c>
      <c r="W24" s="362"/>
      <c r="X24" s="364"/>
      <c r="Z24" s="362"/>
      <c r="AA24" s="364"/>
      <c r="AB24" s="364"/>
      <c r="AF24" s="364"/>
    </row>
    <row r="25" spans="1:32" x14ac:dyDescent="0.25">
      <c r="A25" t="s">
        <v>330</v>
      </c>
      <c r="B25" t="s">
        <v>377</v>
      </c>
      <c r="C25" s="444" t="s">
        <v>552</v>
      </c>
      <c r="D25" s="8" t="s">
        <v>469</v>
      </c>
      <c r="E25" s="8" t="s">
        <v>364</v>
      </c>
      <c r="F25" s="8" t="s">
        <v>365</v>
      </c>
      <c r="G25" s="299">
        <v>20</v>
      </c>
      <c r="H25" s="299">
        <v>2</v>
      </c>
      <c r="I25" s="362"/>
      <c r="J25" s="362"/>
      <c r="K25" s="362"/>
      <c r="L25" s="362"/>
      <c r="M25" s="361">
        <v>46318</v>
      </c>
      <c r="N25" s="363">
        <v>0.86129299117006164</v>
      </c>
      <c r="O25" s="393">
        <v>1.9038741940018933</v>
      </c>
      <c r="P25" s="443">
        <v>1.9754682051721484</v>
      </c>
      <c r="Q25" s="363">
        <v>3.69145765600363E-2</v>
      </c>
      <c r="R25" s="363">
        <v>-3.9716282589928098E-2</v>
      </c>
      <c r="S25" s="363">
        <v>3.4240891197946897E-2</v>
      </c>
      <c r="T25" s="363">
        <v>7.39571737878751E-2</v>
      </c>
      <c r="U25" s="392">
        <v>1.35319792998938E-2</v>
      </c>
      <c r="W25" s="362"/>
      <c r="X25" s="364"/>
      <c r="Z25" s="362"/>
      <c r="AA25" s="364"/>
      <c r="AB25" s="364"/>
      <c r="AF25" s="364"/>
    </row>
    <row r="26" spans="1:32" x14ac:dyDescent="0.25">
      <c r="A26" t="s">
        <v>105</v>
      </c>
      <c r="B26" t="s">
        <v>107</v>
      </c>
      <c r="C26" s="444" t="s">
        <v>552</v>
      </c>
      <c r="D26" s="8" t="s">
        <v>470</v>
      </c>
      <c r="E26" s="374" t="s">
        <v>101</v>
      </c>
      <c r="F26" s="8" t="s">
        <v>103</v>
      </c>
      <c r="G26" s="299">
        <v>20</v>
      </c>
      <c r="H26" s="299">
        <v>1</v>
      </c>
      <c r="I26" s="362"/>
      <c r="J26" s="362"/>
      <c r="K26" s="362"/>
      <c r="L26" s="362"/>
      <c r="M26" s="361">
        <v>46318</v>
      </c>
      <c r="N26" s="363">
        <v>0.99907909025644959</v>
      </c>
      <c r="O26" s="393">
        <v>3.3498078853837563</v>
      </c>
      <c r="P26" s="443">
        <v>3.3515954442359628</v>
      </c>
      <c r="Q26" s="363">
        <v>5.3348792981969999E-4</v>
      </c>
      <c r="R26" s="363">
        <v>-1.2078571574875999E-3</v>
      </c>
      <c r="S26" s="363">
        <v>1.1990623121796E-3</v>
      </c>
      <c r="T26" s="363">
        <v>2.4069194696672998E-3</v>
      </c>
      <c r="U26" s="392">
        <v>3.4809075047490001E-4</v>
      </c>
      <c r="W26" s="362"/>
      <c r="X26" s="364"/>
      <c r="Z26" s="362"/>
      <c r="AA26" s="364"/>
      <c r="AB26" s="364"/>
      <c r="AF26" s="364"/>
    </row>
    <row r="27" spans="1:32" x14ac:dyDescent="0.25">
      <c r="A27" t="s">
        <v>416</v>
      </c>
      <c r="B27" t="s">
        <v>299</v>
      </c>
      <c r="C27" s="444" t="s">
        <v>552</v>
      </c>
      <c r="D27" s="8" t="s">
        <v>471</v>
      </c>
      <c r="E27" s="8" t="s">
        <v>295</v>
      </c>
      <c r="F27" s="8" t="s">
        <v>296</v>
      </c>
      <c r="G27" s="299">
        <v>20</v>
      </c>
      <c r="H27" s="299">
        <v>0</v>
      </c>
      <c r="I27" s="362"/>
      <c r="J27" s="362"/>
      <c r="K27" s="362"/>
      <c r="L27" s="362"/>
      <c r="M27" s="361">
        <v>46318</v>
      </c>
      <c r="N27" s="363">
        <v>0.97173127820091876</v>
      </c>
      <c r="O27" s="393">
        <v>1.0839116304182403</v>
      </c>
      <c r="P27" s="443">
        <v>1.0945815289577894</v>
      </c>
      <c r="Q27" s="363">
        <v>9.7957469493449006E-3</v>
      </c>
      <c r="R27" s="363">
        <v>-1.38994089615846E-2</v>
      </c>
      <c r="S27" s="363">
        <v>1.12550251527766E-2</v>
      </c>
      <c r="T27" s="363">
        <v>2.5154434114361301E-2</v>
      </c>
      <c r="U27" s="392">
        <v>5.1277108796617E-3</v>
      </c>
      <c r="W27" s="362"/>
      <c r="X27" s="364"/>
      <c r="Z27" s="362"/>
      <c r="AA27" s="364"/>
      <c r="AB27" s="364"/>
      <c r="AF27" s="364"/>
    </row>
    <row r="28" spans="1:32" x14ac:dyDescent="0.25">
      <c r="A28" t="s">
        <v>416</v>
      </c>
      <c r="B28" t="s">
        <v>299</v>
      </c>
      <c r="C28" s="444" t="s">
        <v>552</v>
      </c>
      <c r="D28" s="8" t="s">
        <v>472</v>
      </c>
      <c r="E28" s="8" t="s">
        <v>297</v>
      </c>
      <c r="F28" s="8" t="s">
        <v>298</v>
      </c>
      <c r="G28" s="299">
        <v>20</v>
      </c>
      <c r="H28" s="299">
        <v>0</v>
      </c>
      <c r="I28" s="362"/>
      <c r="J28" s="362"/>
      <c r="K28" s="362"/>
      <c r="L28" s="362"/>
      <c r="M28" s="361">
        <v>46318</v>
      </c>
      <c r="N28" s="363">
        <v>0.9595793471986398</v>
      </c>
      <c r="O28" s="393">
        <v>0.99514531329251577</v>
      </c>
      <c r="P28" s="443">
        <v>1.0188260815249095</v>
      </c>
      <c r="Q28" s="363">
        <v>2.35175730126682E-2</v>
      </c>
      <c r="R28" s="363">
        <v>-7.6822805879311104E-2</v>
      </c>
      <c r="S28" s="363">
        <v>2.54570063222587E-2</v>
      </c>
      <c r="T28" s="363">
        <v>0.1022798122015699</v>
      </c>
      <c r="U28" s="392">
        <v>1.1129101978358501E-2</v>
      </c>
      <c r="W28" s="362"/>
      <c r="X28" s="364"/>
      <c r="Z28" s="362"/>
      <c r="AA28" s="364"/>
      <c r="AB28" s="364"/>
      <c r="AF28" s="364"/>
    </row>
    <row r="29" spans="1:32" x14ac:dyDescent="0.25">
      <c r="A29" t="s">
        <v>416</v>
      </c>
      <c r="B29" t="s">
        <v>150</v>
      </c>
      <c r="C29" s="444" t="s">
        <v>552</v>
      </c>
      <c r="D29" s="396" t="s">
        <v>473</v>
      </c>
      <c r="E29" s="374" t="s">
        <v>139</v>
      </c>
      <c r="F29" s="8" t="s">
        <v>140</v>
      </c>
      <c r="G29" s="299">
        <v>20</v>
      </c>
      <c r="H29" s="299">
        <v>0</v>
      </c>
      <c r="I29" s="362"/>
      <c r="J29" s="362"/>
      <c r="K29" s="362"/>
      <c r="L29" s="362"/>
      <c r="M29" s="361">
        <v>46318</v>
      </c>
      <c r="N29" s="363">
        <v>0.9953373305347808</v>
      </c>
      <c r="O29" s="393">
        <v>0.99857116203873997</v>
      </c>
      <c r="P29" s="443">
        <v>1.010433219181464</v>
      </c>
      <c r="Q29" s="363">
        <v>1.1809028495304401E-2</v>
      </c>
      <c r="R29" s="363">
        <v>-8.5040694198255003E-3</v>
      </c>
      <c r="S29" s="363">
        <v>7.494281077212E-3</v>
      </c>
      <c r="T29" s="363">
        <v>1.59983504970376E-2</v>
      </c>
      <c r="U29" s="392">
        <v>2.7476982523753999E-3</v>
      </c>
      <c r="W29" s="362"/>
      <c r="X29" s="364"/>
      <c r="Z29" s="362"/>
      <c r="AA29" s="364"/>
      <c r="AB29" s="364"/>
      <c r="AF29" s="364"/>
    </row>
    <row r="30" spans="1:32" x14ac:dyDescent="0.25">
      <c r="A30" t="s">
        <v>416</v>
      </c>
      <c r="B30" t="s">
        <v>153</v>
      </c>
      <c r="C30" s="444" t="s">
        <v>552</v>
      </c>
      <c r="D30" s="8" t="s">
        <v>474</v>
      </c>
      <c r="E30" s="8" t="s">
        <v>154</v>
      </c>
      <c r="F30" s="8" t="s">
        <v>145</v>
      </c>
      <c r="G30" s="299">
        <v>20</v>
      </c>
      <c r="H30" s="299">
        <v>0</v>
      </c>
      <c r="I30" s="362"/>
      <c r="J30" s="362"/>
      <c r="K30" s="362"/>
      <c r="L30" s="362"/>
      <c r="M30" s="361">
        <v>46318</v>
      </c>
      <c r="N30" s="363">
        <v>0.95062705416423643</v>
      </c>
      <c r="O30" s="393">
        <v>1.294572731179386</v>
      </c>
      <c r="P30" s="443">
        <v>1.3804095280232729</v>
      </c>
      <c r="Q30" s="363">
        <v>6.4199511184900193E-2</v>
      </c>
      <c r="R30" s="363">
        <v>-3.7851248110683897E-2</v>
      </c>
      <c r="S30" s="363">
        <v>2.1288104971757201E-2</v>
      </c>
      <c r="T30" s="363">
        <v>5.9139353082441101E-2</v>
      </c>
      <c r="U30" s="392">
        <v>1.24046257066238E-2</v>
      </c>
      <c r="W30" s="362"/>
      <c r="X30" s="364"/>
      <c r="Z30" s="362"/>
      <c r="AA30" s="364"/>
      <c r="AB30" s="364"/>
      <c r="AF30" s="364"/>
    </row>
    <row r="31" spans="1:32" x14ac:dyDescent="0.25">
      <c r="A31" t="s">
        <v>118</v>
      </c>
      <c r="B31" t="s">
        <v>123</v>
      </c>
      <c r="C31" s="444" t="s">
        <v>552</v>
      </c>
      <c r="D31" s="8" t="s">
        <v>475</v>
      </c>
      <c r="E31" s="8" t="s">
        <v>15</v>
      </c>
      <c r="F31" s="8" t="s">
        <v>16</v>
      </c>
      <c r="G31" s="299">
        <v>20</v>
      </c>
      <c r="H31" s="299">
        <v>0</v>
      </c>
      <c r="I31" s="362"/>
      <c r="J31" s="362"/>
      <c r="K31" s="362"/>
      <c r="L31" s="362"/>
      <c r="M31" s="361">
        <v>46318</v>
      </c>
      <c r="N31" s="363">
        <v>0.99170756904557478</v>
      </c>
      <c r="O31" s="393">
        <v>1.2013017442193192</v>
      </c>
      <c r="P31" s="443">
        <v>1.2060004745830859</v>
      </c>
      <c r="Q31" s="363">
        <v>3.9037361359303998E-3</v>
      </c>
      <c r="R31" s="363">
        <v>-9.4431262866860003E-4</v>
      </c>
      <c r="S31" s="363">
        <v>2.3372040327585999E-3</v>
      </c>
      <c r="T31" s="363">
        <v>3.2815166614273E-3</v>
      </c>
      <c r="U31" s="392">
        <v>5.9076985340490002E-4</v>
      </c>
      <c r="W31" s="362"/>
      <c r="X31" s="364"/>
      <c r="Z31" s="362"/>
      <c r="AA31" s="364"/>
      <c r="AB31" s="364"/>
      <c r="AF31" s="364"/>
    </row>
    <row r="32" spans="1:32" x14ac:dyDescent="0.25">
      <c r="A32" t="s">
        <v>118</v>
      </c>
      <c r="B32" t="s">
        <v>123</v>
      </c>
      <c r="C32" s="444" t="s">
        <v>552</v>
      </c>
      <c r="D32" s="8" t="s">
        <v>476</v>
      </c>
      <c r="E32" s="8" t="s">
        <v>13</v>
      </c>
      <c r="F32" s="8" t="s">
        <v>16</v>
      </c>
      <c r="G32" s="299">
        <v>20</v>
      </c>
      <c r="H32" s="299">
        <v>0</v>
      </c>
      <c r="I32" s="362"/>
      <c r="J32" s="362"/>
      <c r="K32" s="362"/>
      <c r="L32" s="362"/>
      <c r="M32" s="361">
        <v>46318</v>
      </c>
      <c r="N32" s="363">
        <v>0.96551698379478479</v>
      </c>
      <c r="O32" s="393">
        <v>2.6323438088059072</v>
      </c>
      <c r="P32" s="443">
        <v>2.6399125487545736</v>
      </c>
      <c r="Q32" s="363">
        <v>2.8711597596189002E-3</v>
      </c>
      <c r="R32" s="363">
        <v>-5.5990961380040002E-3</v>
      </c>
      <c r="S32" s="363">
        <v>2.1389003651517001E-3</v>
      </c>
      <c r="T32" s="363">
        <v>7.7379965031556999E-3</v>
      </c>
      <c r="U32" s="392">
        <v>8.172699724076E-4</v>
      </c>
      <c r="W32" s="362"/>
      <c r="X32" s="364"/>
      <c r="Z32" s="362"/>
      <c r="AA32" s="364"/>
      <c r="AB32" s="364"/>
      <c r="AF32" s="364"/>
    </row>
    <row r="33" spans="1:33" x14ac:dyDescent="0.25">
      <c r="A33" t="s">
        <v>330</v>
      </c>
      <c r="B33" t="s">
        <v>374</v>
      </c>
      <c r="C33" s="444" t="s">
        <v>552</v>
      </c>
      <c r="D33" s="8" t="s">
        <v>477</v>
      </c>
      <c r="E33" s="8" t="s">
        <v>160</v>
      </c>
      <c r="F33" s="8" t="s">
        <v>363</v>
      </c>
      <c r="G33" s="299">
        <v>20</v>
      </c>
      <c r="H33" s="299">
        <v>2</v>
      </c>
      <c r="I33" s="362"/>
      <c r="J33" s="362"/>
      <c r="K33" s="362"/>
      <c r="L33" s="362"/>
      <c r="M33" s="361">
        <v>46318</v>
      </c>
      <c r="N33" s="363">
        <v>0.93767545197980395</v>
      </c>
      <c r="O33" s="393">
        <v>1.0732370231171076</v>
      </c>
      <c r="P33" s="443">
        <v>1.1716320743056321</v>
      </c>
      <c r="Q33" s="363">
        <v>8.7718375248091396E-2</v>
      </c>
      <c r="R33" s="363">
        <v>-2.6872633623329499E-2</v>
      </c>
      <c r="S33" s="363">
        <v>2.6014299945210099E-2</v>
      </c>
      <c r="T33" s="363">
        <v>5.2886933568539699E-2</v>
      </c>
      <c r="U33" s="392">
        <v>1.23372166658517E-2</v>
      </c>
      <c r="W33" s="362"/>
      <c r="X33" s="364"/>
      <c r="Z33" s="362"/>
      <c r="AA33" s="364"/>
      <c r="AB33" s="364"/>
      <c r="AF33" s="364"/>
    </row>
    <row r="34" spans="1:33" x14ac:dyDescent="0.25">
      <c r="A34" t="s">
        <v>105</v>
      </c>
      <c r="B34" t="s">
        <v>112</v>
      </c>
      <c r="C34" s="444" t="s">
        <v>552</v>
      </c>
      <c r="D34" s="8" t="s">
        <v>478</v>
      </c>
      <c r="E34" s="374" t="s">
        <v>147</v>
      </c>
      <c r="F34" s="8" t="s">
        <v>148</v>
      </c>
      <c r="G34" s="299">
        <v>20</v>
      </c>
      <c r="H34" s="299">
        <v>1</v>
      </c>
      <c r="I34" s="362">
        <v>-6.0000000000000001E-3</v>
      </c>
      <c r="J34" s="362">
        <v>0</v>
      </c>
      <c r="K34" s="362">
        <v>1.2E-2</v>
      </c>
      <c r="L34" s="362">
        <v>8.0000000000000002E-3</v>
      </c>
      <c r="M34" s="361">
        <v>46318</v>
      </c>
      <c r="N34" s="363">
        <v>0.93248955621847085</v>
      </c>
      <c r="O34" s="393">
        <v>1.1263638476165907</v>
      </c>
      <c r="P34" s="443">
        <v>1.1664790551007542</v>
      </c>
      <c r="Q34" s="363">
        <v>3.4995246586588799E-2</v>
      </c>
      <c r="R34" s="363">
        <v>-2.35870516010451E-2</v>
      </c>
      <c r="S34" s="363">
        <v>2.7267785520943898E-2</v>
      </c>
      <c r="T34" s="363">
        <v>5.0854837121989099E-2</v>
      </c>
      <c r="U34" s="392">
        <v>9.1813284191069999E-3</v>
      </c>
      <c r="V34" s="362">
        <v>-3.0000000000000001E-3</v>
      </c>
      <c r="W34" s="362">
        <v>0</v>
      </c>
      <c r="X34" s="364">
        <v>2.0699999999999998</v>
      </c>
      <c r="Y34" s="362">
        <v>1.2E-2</v>
      </c>
      <c r="Z34" s="362">
        <v>8.0000000000000002E-3</v>
      </c>
      <c r="AA34" s="364">
        <v>1.81</v>
      </c>
      <c r="AB34" s="364">
        <v>1.52</v>
      </c>
      <c r="AC34" s="362">
        <v>3.9E-2</v>
      </c>
      <c r="AD34" s="364">
        <v>1.81</v>
      </c>
      <c r="AE34" s="362">
        <v>4.2000000000000003E-2</v>
      </c>
      <c r="AF34" s="364">
        <v>2.35</v>
      </c>
      <c r="AG34" s="362">
        <v>8.1000000000000003E-2</v>
      </c>
    </row>
    <row r="35" spans="1:33" x14ac:dyDescent="0.25">
      <c r="A35" t="s">
        <v>105</v>
      </c>
      <c r="B35" t="s">
        <v>110</v>
      </c>
      <c r="C35" s="444" t="s">
        <v>552</v>
      </c>
      <c r="D35" s="8" t="s">
        <v>479</v>
      </c>
      <c r="E35" s="374" t="s">
        <v>88</v>
      </c>
      <c r="F35" s="8" t="s">
        <v>90</v>
      </c>
      <c r="G35" s="299">
        <v>20</v>
      </c>
      <c r="H35" s="299">
        <v>1</v>
      </c>
      <c r="I35" s="386">
        <v>-3.0000000000000001E-3</v>
      </c>
      <c r="J35" s="386">
        <v>-2E-3</v>
      </c>
      <c r="K35" s="362">
        <v>4.0000000000000001E-3</v>
      </c>
      <c r="L35" s="362">
        <v>1E-3</v>
      </c>
      <c r="M35" s="361">
        <v>46318</v>
      </c>
      <c r="N35" s="363">
        <v>0.9929242251246696</v>
      </c>
      <c r="O35" s="393">
        <v>2.3608765538805092</v>
      </c>
      <c r="P35" s="443">
        <v>2.3949611000247555</v>
      </c>
      <c r="Q35" s="363">
        <v>1.4334017356547E-2</v>
      </c>
      <c r="R35" s="363">
        <v>-7.4606167700305998E-3</v>
      </c>
      <c r="S35" s="363">
        <v>6.2025211317458997E-3</v>
      </c>
      <c r="T35" s="363">
        <v>1.36631379017766E-2</v>
      </c>
      <c r="U35" s="392">
        <v>2.9903341613007001E-3</v>
      </c>
      <c r="V35" s="362">
        <v>-3.0000000000000001E-3</v>
      </c>
      <c r="W35" s="362">
        <v>-2E-3</v>
      </c>
      <c r="X35" s="364">
        <v>1.72</v>
      </c>
      <c r="Y35" s="362">
        <v>4.0000000000000001E-3</v>
      </c>
      <c r="Z35" s="362">
        <v>4.0000000000000001E-3</v>
      </c>
      <c r="AA35" s="364">
        <v>2.5099999999999998</v>
      </c>
      <c r="AB35" s="387">
        <v>1.72</v>
      </c>
      <c r="AC35" s="386">
        <v>5.1999999999999998E-3</v>
      </c>
      <c r="AD35" s="387">
        <v>2.23</v>
      </c>
      <c r="AE35" s="362">
        <v>1.4E-2</v>
      </c>
      <c r="AF35" s="364">
        <v>2.78</v>
      </c>
      <c r="AG35" s="362">
        <v>1.9199999999999998E-2</v>
      </c>
    </row>
    <row r="36" spans="1:33" x14ac:dyDescent="0.25">
      <c r="A36" t="s">
        <v>105</v>
      </c>
      <c r="B36" t="s">
        <v>131</v>
      </c>
      <c r="C36" s="444" t="s">
        <v>552</v>
      </c>
      <c r="D36" s="8" t="s">
        <v>480</v>
      </c>
      <c r="E36" s="374" t="s">
        <v>115</v>
      </c>
      <c r="F36" s="8" t="s">
        <v>92</v>
      </c>
      <c r="G36" s="299">
        <v>20</v>
      </c>
      <c r="H36" s="299">
        <v>1</v>
      </c>
      <c r="I36" s="362">
        <v>-4.0000000000000001E-3</v>
      </c>
      <c r="J36" s="362">
        <v>-1E-3</v>
      </c>
      <c r="K36" s="362">
        <v>7.0000000000000001E-3</v>
      </c>
      <c r="L36" s="362">
        <v>4.0000000000000001E-3</v>
      </c>
      <c r="M36" s="361">
        <v>46318</v>
      </c>
      <c r="N36" s="363">
        <v>0.96040364086738583</v>
      </c>
      <c r="O36" s="393">
        <v>1.0611379723363712</v>
      </c>
      <c r="P36" s="443">
        <v>1.1106791248726458</v>
      </c>
      <c r="Q36" s="363">
        <v>4.5629761365987898E-2</v>
      </c>
      <c r="R36" s="363">
        <v>-2.0924593520248801E-2</v>
      </c>
      <c r="S36" s="363">
        <v>1.7313317810108499E-2</v>
      </c>
      <c r="T36" s="363">
        <v>3.8237911330357303E-2</v>
      </c>
      <c r="U36" s="392">
        <v>7.4465397871147001E-3</v>
      </c>
      <c r="V36" s="362">
        <v>-2E-3</v>
      </c>
      <c r="W36" s="362">
        <v>-1E-3</v>
      </c>
      <c r="X36" s="364">
        <v>1.05</v>
      </c>
      <c r="Y36" s="362">
        <v>7.0000000000000001E-3</v>
      </c>
      <c r="Z36" s="362">
        <v>7.0000000000000001E-3</v>
      </c>
      <c r="AA36" s="364">
        <v>2.88</v>
      </c>
      <c r="AB36" s="364">
        <v>2.5499999999999998</v>
      </c>
      <c r="AC36" s="362">
        <v>3.5099999999999999E-2</v>
      </c>
      <c r="AD36" s="364">
        <v>2.87</v>
      </c>
      <c r="AE36" s="362">
        <v>3.9399999999999998E-2</v>
      </c>
      <c r="AF36" s="364">
        <v>3.89</v>
      </c>
      <c r="AG36" s="362">
        <v>7.4499999999999997E-2</v>
      </c>
    </row>
    <row r="37" spans="1:33" x14ac:dyDescent="0.25">
      <c r="A37" t="s">
        <v>105</v>
      </c>
      <c r="B37" t="s">
        <v>106</v>
      </c>
      <c r="C37" s="444" t="s">
        <v>552</v>
      </c>
      <c r="D37" s="8" t="s">
        <v>481</v>
      </c>
      <c r="E37" s="374" t="s">
        <v>116</v>
      </c>
      <c r="F37" s="8" t="s">
        <v>79</v>
      </c>
      <c r="G37" s="299">
        <v>20</v>
      </c>
      <c r="H37" s="299">
        <v>1</v>
      </c>
      <c r="I37" s="362">
        <v>-6.0000000000000001E-3</v>
      </c>
      <c r="J37" s="362">
        <v>-4.0000000000000001E-3</v>
      </c>
      <c r="K37" s="362">
        <v>8.0000000000000002E-3</v>
      </c>
      <c r="L37" s="362">
        <v>6.0000000000000001E-3</v>
      </c>
      <c r="M37" s="361">
        <v>46318</v>
      </c>
      <c r="N37" s="363">
        <v>0.9404252850431426</v>
      </c>
      <c r="O37" s="393">
        <v>1.135506158949811</v>
      </c>
      <c r="P37" s="443">
        <v>1.1784555724487684</v>
      </c>
      <c r="Q37" s="363">
        <v>3.7126237747782002E-2</v>
      </c>
      <c r="R37" s="363">
        <v>-1.47121837473082E-2</v>
      </c>
      <c r="S37" s="363">
        <v>2.0182730600587701E-2</v>
      </c>
      <c r="T37" s="363">
        <v>3.4894914347896003E-2</v>
      </c>
      <c r="U37" s="392">
        <v>6.2295715378685003E-3</v>
      </c>
      <c r="V37" s="362">
        <v>-3.0000000000000001E-3</v>
      </c>
      <c r="W37" s="362">
        <v>-3.0000000000000001E-3</v>
      </c>
      <c r="X37" s="364">
        <v>2.75</v>
      </c>
      <c r="Y37" s="362">
        <v>8.0000000000000002E-3</v>
      </c>
      <c r="Z37" s="362">
        <v>6.0000000000000001E-3</v>
      </c>
      <c r="AA37" s="364">
        <v>1.94</v>
      </c>
      <c r="AB37" s="364">
        <v>2.5499999999999998</v>
      </c>
      <c r="AC37" s="362">
        <v>5.1400000000000001E-2</v>
      </c>
      <c r="AD37" s="364">
        <v>1.94</v>
      </c>
      <c r="AE37" s="362">
        <v>2.7900000000000001E-2</v>
      </c>
      <c r="AF37" s="364">
        <v>3.23</v>
      </c>
      <c r="AG37" s="362">
        <v>7.9299999999999995E-2</v>
      </c>
    </row>
    <row r="38" spans="1:33" x14ac:dyDescent="0.25">
      <c r="A38" t="s">
        <v>416</v>
      </c>
      <c r="B38" t="s">
        <v>299</v>
      </c>
      <c r="C38" s="444" t="s">
        <v>552</v>
      </c>
      <c r="D38" s="8" t="s">
        <v>482</v>
      </c>
      <c r="E38" s="8" t="s">
        <v>293</v>
      </c>
      <c r="F38" s="8" t="s">
        <v>292</v>
      </c>
      <c r="G38" s="299">
        <v>20</v>
      </c>
      <c r="H38" s="299">
        <v>0</v>
      </c>
      <c r="I38" s="362"/>
      <c r="J38" s="362"/>
      <c r="K38" s="362"/>
      <c r="L38" s="362"/>
      <c r="M38" s="361">
        <v>46318</v>
      </c>
      <c r="N38" s="363">
        <v>0.96517725638439544</v>
      </c>
      <c r="O38" s="393">
        <v>1.0009344196769636</v>
      </c>
      <c r="P38" s="443">
        <v>1.038460608911298</v>
      </c>
      <c r="Q38" s="363">
        <v>3.6805449481326101E-2</v>
      </c>
      <c r="R38" s="363">
        <v>-3.0935448518880599E-2</v>
      </c>
      <c r="S38" s="363">
        <v>2.41422108930462E-2</v>
      </c>
      <c r="T38" s="363">
        <v>5.5077659411926903E-2</v>
      </c>
      <c r="U38" s="392">
        <v>8.5313437507830991E-3</v>
      </c>
      <c r="W38" s="362"/>
      <c r="X38" s="364"/>
      <c r="Z38" s="362"/>
      <c r="AA38" s="364"/>
      <c r="AB38" s="364"/>
      <c r="AF38" s="364"/>
    </row>
    <row r="39" spans="1:33" x14ac:dyDescent="0.25">
      <c r="A39" t="s">
        <v>416</v>
      </c>
      <c r="B39" t="s">
        <v>212</v>
      </c>
      <c r="C39" s="444" t="s">
        <v>552</v>
      </c>
      <c r="D39" s="8" t="s">
        <v>483</v>
      </c>
      <c r="E39" s="8" t="s">
        <v>214</v>
      </c>
      <c r="F39" s="8" t="s">
        <v>213</v>
      </c>
      <c r="G39" s="299">
        <v>20</v>
      </c>
      <c r="H39" s="299">
        <v>0</v>
      </c>
      <c r="I39" s="362"/>
      <c r="J39" s="362"/>
      <c r="K39" s="362"/>
      <c r="L39" s="362"/>
      <c r="M39" s="361">
        <v>46318</v>
      </c>
      <c r="N39" s="363">
        <v>0.98082887815524278</v>
      </c>
      <c r="O39" s="393">
        <v>1.01029581645139</v>
      </c>
      <c r="P39" s="443">
        <v>1.0878224219619586</v>
      </c>
      <c r="Q39" s="363">
        <v>7.3934744458612603E-2</v>
      </c>
      <c r="R39" s="363">
        <v>-9.6356461453557998E-3</v>
      </c>
      <c r="S39" s="363">
        <v>2.8265673316211899E-2</v>
      </c>
      <c r="T39" s="363">
        <v>3.7901319461567697E-2</v>
      </c>
      <c r="U39" s="392">
        <v>6.5685867405359004E-3</v>
      </c>
      <c r="W39" s="362"/>
      <c r="X39" s="364"/>
      <c r="Z39" s="362"/>
      <c r="AA39" s="364"/>
      <c r="AB39" s="364"/>
      <c r="AF39" s="364"/>
    </row>
    <row r="40" spans="1:33" x14ac:dyDescent="0.25">
      <c r="A40" t="s">
        <v>416</v>
      </c>
      <c r="B40" t="s">
        <v>299</v>
      </c>
      <c r="C40" s="444" t="s">
        <v>552</v>
      </c>
      <c r="D40" s="8" t="s">
        <v>484</v>
      </c>
      <c r="E40" s="8" t="s">
        <v>294</v>
      </c>
      <c r="F40" s="8" t="s">
        <v>300</v>
      </c>
      <c r="G40" s="299">
        <v>20</v>
      </c>
      <c r="H40" s="299">
        <v>0</v>
      </c>
      <c r="I40" s="362"/>
      <c r="J40" s="362"/>
      <c r="K40" s="362"/>
      <c r="L40" s="362"/>
      <c r="M40" s="361">
        <v>46318</v>
      </c>
      <c r="N40" s="363">
        <v>0.98704639223508162</v>
      </c>
      <c r="O40" s="393">
        <v>0.97749212912275563</v>
      </c>
      <c r="P40" s="443">
        <v>1.0130386023838214</v>
      </c>
      <c r="Q40" s="363">
        <v>3.5719370736772699E-2</v>
      </c>
      <c r="R40" s="363">
        <v>-1.97636847008908E-2</v>
      </c>
      <c r="S40" s="363">
        <v>1.7384559612316101E-2</v>
      </c>
      <c r="T40" s="363">
        <v>3.7148244313206999E-2</v>
      </c>
      <c r="U40" s="392">
        <v>6.1741990064488996E-3</v>
      </c>
      <c r="W40" s="362"/>
      <c r="X40" s="364"/>
      <c r="Z40" s="362"/>
      <c r="AA40" s="364"/>
      <c r="AB40" s="364"/>
      <c r="AF40" s="364"/>
    </row>
    <row r="41" spans="1:33" x14ac:dyDescent="0.25">
      <c r="A41" t="s">
        <v>416</v>
      </c>
      <c r="B41" t="s">
        <v>209</v>
      </c>
      <c r="C41" s="444" t="s">
        <v>552</v>
      </c>
      <c r="D41" s="8" t="s">
        <v>485</v>
      </c>
      <c r="E41" s="8" t="s">
        <v>210</v>
      </c>
      <c r="F41" s="8" t="s">
        <v>211</v>
      </c>
      <c r="G41" s="299">
        <v>20</v>
      </c>
      <c r="H41" s="299">
        <v>0</v>
      </c>
      <c r="I41" s="362"/>
      <c r="J41" s="362"/>
      <c r="K41" s="362"/>
      <c r="L41" s="362"/>
      <c r="M41" s="361">
        <v>46318</v>
      </c>
      <c r="N41" s="363">
        <v>0.43281133802308169</v>
      </c>
      <c r="O41" s="393">
        <v>0.98705186957794</v>
      </c>
      <c r="P41" s="443">
        <v>1.034206459106894</v>
      </c>
      <c r="Q41" s="363">
        <v>4.6667114636551398E-2</v>
      </c>
      <c r="R41" s="363">
        <v>-7.4986595344205695E-2</v>
      </c>
      <c r="S41" s="363">
        <v>0.150095743709864</v>
      </c>
      <c r="T41" s="363">
        <v>0.2250823390540698</v>
      </c>
      <c r="U41" s="392">
        <v>2.9088560799834198E-2</v>
      </c>
      <c r="W41" s="362"/>
      <c r="X41" s="364"/>
      <c r="Z41" s="362"/>
      <c r="AA41" s="364"/>
      <c r="AB41" s="364"/>
      <c r="AF41" s="364"/>
    </row>
    <row r="42" spans="1:33" x14ac:dyDescent="0.25">
      <c r="A42" t="s">
        <v>416</v>
      </c>
      <c r="B42" t="s">
        <v>152</v>
      </c>
      <c r="C42" s="444" t="s">
        <v>552</v>
      </c>
      <c r="D42" s="8" t="s">
        <v>486</v>
      </c>
      <c r="E42" s="8" t="s">
        <v>144</v>
      </c>
      <c r="F42" s="8" t="s">
        <v>143</v>
      </c>
      <c r="G42" s="299">
        <v>20</v>
      </c>
      <c r="H42" s="299">
        <v>0</v>
      </c>
      <c r="I42" s="362"/>
      <c r="J42" s="362"/>
      <c r="K42" s="362"/>
      <c r="L42" s="362"/>
      <c r="M42" s="361">
        <v>46318</v>
      </c>
      <c r="N42" s="363">
        <v>0.97012212293857036</v>
      </c>
      <c r="O42" s="393">
        <v>1.100281073565831</v>
      </c>
      <c r="P42" s="443">
        <v>1.1540809643871055</v>
      </c>
      <c r="Q42" s="363">
        <v>4.7738656817910903E-2</v>
      </c>
      <c r="R42" s="363">
        <v>-1.85783454056145E-2</v>
      </c>
      <c r="S42" s="363">
        <v>3.0508965780878899E-2</v>
      </c>
      <c r="T42" s="363">
        <v>4.9087311186493399E-2</v>
      </c>
      <c r="U42" s="392">
        <v>9.4972695004568002E-3</v>
      </c>
      <c r="W42" s="362"/>
      <c r="X42" s="364"/>
      <c r="Z42" s="362"/>
      <c r="AA42" s="364"/>
      <c r="AB42" s="364"/>
      <c r="AF42" s="364"/>
    </row>
    <row r="43" spans="1:33" x14ac:dyDescent="0.25">
      <c r="A43" t="s">
        <v>118</v>
      </c>
      <c r="B43" t="s">
        <v>126</v>
      </c>
      <c r="C43" s="444" t="s">
        <v>552</v>
      </c>
      <c r="D43" s="8" t="s">
        <v>487</v>
      </c>
      <c r="E43" s="8" t="s">
        <v>44</v>
      </c>
      <c r="F43" s="8" t="s">
        <v>43</v>
      </c>
      <c r="G43" s="299">
        <v>20</v>
      </c>
      <c r="H43" s="299">
        <v>2</v>
      </c>
      <c r="I43" s="362">
        <v>-5.0000000000000001E-3</v>
      </c>
      <c r="J43" s="362">
        <v>-3.0000000000000001E-3</v>
      </c>
      <c r="K43" s="362">
        <v>5.0000000000000001E-3</v>
      </c>
      <c r="L43" s="362">
        <v>3.0000000000000001E-3</v>
      </c>
      <c r="M43" s="361">
        <v>46318</v>
      </c>
      <c r="N43" s="363">
        <v>0.92192751449644084</v>
      </c>
      <c r="O43" s="393">
        <v>1.6262149027982791</v>
      </c>
      <c r="P43" s="443">
        <v>1.6622533949761078</v>
      </c>
      <c r="Q43" s="363">
        <v>2.1918979761363099E-2</v>
      </c>
      <c r="R43" s="363">
        <v>-6.3229835391683002E-3</v>
      </c>
      <c r="S43" s="363">
        <v>1.3717657732985E-2</v>
      </c>
      <c r="T43" s="363">
        <v>2.0040641272153301E-2</v>
      </c>
      <c r="U43" s="392">
        <v>3.5631312803982001E-3</v>
      </c>
      <c r="V43" s="362">
        <v>-5.0000000000000001E-3</v>
      </c>
      <c r="W43" s="362">
        <v>-5.0000000000000001E-3</v>
      </c>
      <c r="X43" s="364">
        <v>2.27</v>
      </c>
      <c r="Y43" s="362">
        <v>3.0000000000000001E-3</v>
      </c>
      <c r="Z43" s="362">
        <v>3.0000000000000001E-3</v>
      </c>
      <c r="AA43" s="364">
        <v>1.04</v>
      </c>
      <c r="AB43" s="364">
        <v>1.51</v>
      </c>
      <c r="AC43" s="362">
        <v>1.3100000000000001E-2</v>
      </c>
      <c r="AD43" s="364">
        <v>0.78</v>
      </c>
      <c r="AE43" s="362">
        <v>8.3999999999999995E-3</v>
      </c>
      <c r="AF43" s="364">
        <v>1.69</v>
      </c>
      <c r="AG43" s="362">
        <v>2.1499999999999998E-2</v>
      </c>
    </row>
    <row r="44" spans="1:33" x14ac:dyDescent="0.25">
      <c r="A44" t="s">
        <v>330</v>
      </c>
      <c r="B44" t="s">
        <v>376</v>
      </c>
      <c r="C44" s="444" t="s">
        <v>552</v>
      </c>
      <c r="D44" s="8" t="s">
        <v>488</v>
      </c>
      <c r="E44" s="8" t="s">
        <v>368</v>
      </c>
      <c r="F44" s="8" t="s">
        <v>369</v>
      </c>
      <c r="G44" s="299">
        <v>20</v>
      </c>
      <c r="H44" s="299">
        <v>2</v>
      </c>
      <c r="I44" s="362"/>
      <c r="J44" s="362"/>
      <c r="K44" s="362"/>
      <c r="L44" s="362"/>
      <c r="M44" s="361">
        <v>46318</v>
      </c>
      <c r="N44" s="363">
        <v>0.91435557800198874</v>
      </c>
      <c r="O44" s="393">
        <v>0.81232148276571259</v>
      </c>
      <c r="P44" s="443">
        <v>0.84558140241093815</v>
      </c>
      <c r="Q44" s="363">
        <v>4.0128264405403902E-2</v>
      </c>
      <c r="R44" s="363">
        <v>-2.5417098383120201E-2</v>
      </c>
      <c r="S44" s="363">
        <v>2.6830877837396301E-2</v>
      </c>
      <c r="T44" s="363">
        <v>5.2247976220516502E-2</v>
      </c>
      <c r="U44" s="392">
        <v>9.4508350503804007E-3</v>
      </c>
      <c r="W44" s="362"/>
      <c r="X44" s="364"/>
      <c r="Z44" s="362"/>
      <c r="AA44" s="364"/>
      <c r="AB44" s="364"/>
      <c r="AF44" s="364"/>
    </row>
    <row r="45" spans="1:33" x14ac:dyDescent="0.25">
      <c r="A45" t="s">
        <v>330</v>
      </c>
      <c r="B45" t="s">
        <v>378</v>
      </c>
      <c r="C45" s="444" t="s">
        <v>552</v>
      </c>
      <c r="D45" s="8" t="s">
        <v>489</v>
      </c>
      <c r="E45" s="8" t="s">
        <v>370</v>
      </c>
      <c r="F45" s="8" t="s">
        <v>371</v>
      </c>
      <c r="G45" s="299">
        <v>20</v>
      </c>
      <c r="H45" s="299">
        <v>2</v>
      </c>
      <c r="I45" s="362"/>
      <c r="J45" s="362"/>
      <c r="K45" s="362"/>
      <c r="L45" s="362"/>
      <c r="M45" s="361">
        <v>46318</v>
      </c>
      <c r="N45" s="363">
        <v>0.70441014209826502</v>
      </c>
      <c r="O45" s="393">
        <v>0.87419579323717778</v>
      </c>
      <c r="P45" s="443">
        <v>1.055209536576958</v>
      </c>
      <c r="Q45" s="363">
        <v>0.1881902687693609</v>
      </c>
      <c r="R45" s="363">
        <v>-9.59530097740387E-2</v>
      </c>
      <c r="S45" s="363">
        <v>6.6987666038254096E-2</v>
      </c>
      <c r="T45" s="363">
        <v>0.1629406758122928</v>
      </c>
      <c r="U45" s="392">
        <v>2.77229994246019E-2</v>
      </c>
      <c r="W45" s="362"/>
      <c r="X45" s="364"/>
      <c r="Z45" s="362"/>
      <c r="AA45" s="364"/>
      <c r="AB45" s="364"/>
      <c r="AF45" s="364"/>
    </row>
    <row r="46" spans="1:33" x14ac:dyDescent="0.25">
      <c r="A46" t="s">
        <v>330</v>
      </c>
      <c r="B46" t="s">
        <v>375</v>
      </c>
      <c r="C46" s="444" t="s">
        <v>552</v>
      </c>
      <c r="D46" s="8" t="s">
        <v>490</v>
      </c>
      <c r="E46" s="8" t="s">
        <v>162</v>
      </c>
      <c r="F46" s="8" t="s">
        <v>161</v>
      </c>
      <c r="G46" s="299">
        <v>20</v>
      </c>
      <c r="H46" s="299">
        <v>2</v>
      </c>
      <c r="I46" s="362"/>
      <c r="J46" s="362"/>
      <c r="K46" s="362"/>
      <c r="L46" s="362"/>
      <c r="M46" s="361">
        <v>46318</v>
      </c>
      <c r="N46" s="363">
        <v>0.9673726744850154</v>
      </c>
      <c r="O46" s="393">
        <v>1.3099693870225937</v>
      </c>
      <c r="P46" s="443">
        <v>1.3730560918691244</v>
      </c>
      <c r="Q46" s="363">
        <v>4.70352112063099E-2</v>
      </c>
      <c r="R46" s="363">
        <v>-2.9230474648589501E-2</v>
      </c>
      <c r="S46" s="363">
        <v>1.81345436804051E-2</v>
      </c>
      <c r="T46" s="363">
        <v>4.7365018328994701E-2</v>
      </c>
      <c r="U46" s="392">
        <v>9.9077806763555008E-3</v>
      </c>
      <c r="W46" s="362"/>
      <c r="X46" s="364"/>
      <c r="Z46" s="362"/>
      <c r="AA46" s="364"/>
      <c r="AB46" s="364"/>
      <c r="AF46" s="364"/>
    </row>
    <row r="47" spans="1:33" x14ac:dyDescent="0.25">
      <c r="A47" t="s">
        <v>330</v>
      </c>
      <c r="B47" t="s">
        <v>108</v>
      </c>
      <c r="C47" s="444" t="s">
        <v>552</v>
      </c>
      <c r="D47" s="8" t="s">
        <v>491</v>
      </c>
      <c r="E47" s="374" t="s">
        <v>45</v>
      </c>
      <c r="F47" s="8" t="s">
        <v>46</v>
      </c>
      <c r="G47" s="299">
        <v>20</v>
      </c>
      <c r="H47" s="299">
        <v>1</v>
      </c>
      <c r="I47" s="362"/>
      <c r="J47" s="362"/>
      <c r="K47" s="362"/>
      <c r="L47" s="362"/>
      <c r="M47" s="361">
        <v>46318</v>
      </c>
      <c r="N47" s="363">
        <v>0.98558420604341879</v>
      </c>
      <c r="O47" s="393">
        <v>2.7341746865089296</v>
      </c>
      <c r="P47" s="443">
        <v>2.8011284884854888</v>
      </c>
      <c r="Q47" s="363">
        <v>2.4192737212623602E-2</v>
      </c>
      <c r="R47" s="363">
        <v>-1.1508257675115501E-2</v>
      </c>
      <c r="S47" s="363">
        <v>8.1797302248460997E-3</v>
      </c>
      <c r="T47" s="363">
        <v>1.9687987899961699E-2</v>
      </c>
      <c r="U47" s="392">
        <v>3.3465975596187999E-3</v>
      </c>
      <c r="W47" s="362"/>
      <c r="X47" s="364"/>
      <c r="Z47" s="362"/>
      <c r="AA47" s="364"/>
      <c r="AB47" s="364"/>
      <c r="AF47" s="364"/>
    </row>
    <row r="48" spans="1:33" x14ac:dyDescent="0.25">
      <c r="A48" t="s">
        <v>118</v>
      </c>
      <c r="B48" t="s">
        <v>119</v>
      </c>
      <c r="C48" s="444" t="s">
        <v>552</v>
      </c>
      <c r="D48" s="8" t="s">
        <v>492</v>
      </c>
      <c r="E48" s="8" t="s">
        <v>4</v>
      </c>
      <c r="F48" s="8" t="s">
        <v>7</v>
      </c>
      <c r="G48" s="299">
        <v>20</v>
      </c>
      <c r="H48" s="299">
        <v>0</v>
      </c>
      <c r="I48" s="362"/>
      <c r="J48" s="362"/>
      <c r="K48" s="362"/>
      <c r="L48" s="362"/>
      <c r="M48" s="361">
        <v>46318</v>
      </c>
      <c r="N48" s="363">
        <v>0.98572448223145925</v>
      </c>
      <c r="O48" s="393">
        <v>4.2734787434014878</v>
      </c>
      <c r="P48" s="443">
        <v>4.2789234342610367</v>
      </c>
      <c r="Q48" s="363">
        <v>1.2732543400114E-3</v>
      </c>
      <c r="R48" s="363">
        <v>-1.1838209004185001E-3</v>
      </c>
      <c r="S48" s="363">
        <v>8.85271889301E-4</v>
      </c>
      <c r="T48" s="363">
        <v>2.0690927897195001E-3</v>
      </c>
      <c r="U48" s="392">
        <v>3.617972382851E-4</v>
      </c>
      <c r="W48" s="362"/>
      <c r="X48" s="364"/>
      <c r="Z48" s="362"/>
      <c r="AA48" s="364"/>
      <c r="AB48" s="364"/>
      <c r="AF48" s="364"/>
    </row>
    <row r="49" spans="1:33" x14ac:dyDescent="0.25">
      <c r="A49" t="s">
        <v>118</v>
      </c>
      <c r="B49" t="s">
        <v>123</v>
      </c>
      <c r="C49" s="444" t="s">
        <v>552</v>
      </c>
      <c r="D49" s="8" t="s">
        <v>493</v>
      </c>
      <c r="E49" s="8" t="s">
        <v>12</v>
      </c>
      <c r="F49" s="8" t="s">
        <v>16</v>
      </c>
      <c r="G49" s="299">
        <v>20</v>
      </c>
      <c r="H49" s="299">
        <v>0</v>
      </c>
      <c r="I49" s="362"/>
      <c r="J49" s="362"/>
      <c r="K49" s="362"/>
      <c r="L49" s="362"/>
      <c r="M49" s="361">
        <v>46318</v>
      </c>
      <c r="N49" s="363">
        <v>0.97730255368215158</v>
      </c>
      <c r="O49" s="393">
        <v>3.6760547135861139</v>
      </c>
      <c r="P49" s="443">
        <v>3.6827827249692802</v>
      </c>
      <c r="Q49" s="363">
        <v>1.8285533045118E-3</v>
      </c>
      <c r="R49" s="363">
        <v>-1.6943726560538E-3</v>
      </c>
      <c r="S49" s="363">
        <v>1.8202853372437E-3</v>
      </c>
      <c r="T49" s="363">
        <v>3.5146579932976E-3</v>
      </c>
      <c r="U49" s="392">
        <v>5.6892384471989997E-4</v>
      </c>
      <c r="W49" s="362"/>
      <c r="X49" s="364"/>
      <c r="Z49" s="362"/>
      <c r="AA49" s="364"/>
      <c r="AB49" s="364"/>
      <c r="AF49" s="364"/>
    </row>
    <row r="50" spans="1:33" x14ac:dyDescent="0.25">
      <c r="A50" t="s">
        <v>330</v>
      </c>
      <c r="B50" t="s">
        <v>181</v>
      </c>
      <c r="C50" s="444" t="s">
        <v>552</v>
      </c>
      <c r="D50" s="8" t="s">
        <v>494</v>
      </c>
      <c r="E50" s="374" t="s">
        <v>159</v>
      </c>
      <c r="F50" s="8" t="s">
        <v>158</v>
      </c>
      <c r="G50" s="299">
        <v>20</v>
      </c>
      <c r="H50" s="299">
        <v>1</v>
      </c>
      <c r="I50" s="362">
        <v>-2.5000000000000001E-2</v>
      </c>
      <c r="J50" s="362">
        <v>-1.4999999999999999E-2</v>
      </c>
      <c r="K50" s="362">
        <v>3.5000000000000003E-2</v>
      </c>
      <c r="L50" s="362">
        <v>0.01</v>
      </c>
      <c r="M50" s="361">
        <v>46318</v>
      </c>
      <c r="N50" s="363">
        <v>0.98860808646966825</v>
      </c>
      <c r="O50" s="393">
        <v>1.0365290060758192</v>
      </c>
      <c r="P50" s="443">
        <v>1.1705853443573946</v>
      </c>
      <c r="Q50" s="363">
        <v>0.1216262808880258</v>
      </c>
      <c r="R50" s="363">
        <v>-3.03917095115302E-2</v>
      </c>
      <c r="S50" s="363">
        <v>4.1010730336317899E-2</v>
      </c>
      <c r="T50" s="363">
        <v>7.1402439847848095E-2</v>
      </c>
      <c r="U50" s="392">
        <v>1.56074562619729E-2</v>
      </c>
      <c r="V50" s="362">
        <v>-2.5000000000000001E-2</v>
      </c>
      <c r="W50" s="362">
        <v>-1.4999999999999999E-2</v>
      </c>
      <c r="X50" s="364">
        <v>1.94</v>
      </c>
      <c r="Y50" s="362">
        <v>0.02</v>
      </c>
      <c r="Z50" s="362">
        <v>0.02</v>
      </c>
      <c r="AA50" s="364">
        <v>1.97</v>
      </c>
      <c r="AB50" s="364">
        <v>1.94</v>
      </c>
      <c r="AC50" s="362">
        <v>2.9399999999999999E-2</v>
      </c>
      <c r="AD50" s="364">
        <v>1.67</v>
      </c>
      <c r="AE50" s="362">
        <v>8.8999999999999999E-3</v>
      </c>
      <c r="AF50" s="364">
        <v>2.39</v>
      </c>
      <c r="AG50" s="362">
        <v>3.8300000000000001E-2</v>
      </c>
    </row>
    <row r="51" spans="1:33" x14ac:dyDescent="0.25">
      <c r="A51" t="s">
        <v>118</v>
      </c>
      <c r="B51" t="s">
        <v>119</v>
      </c>
      <c r="C51" s="444" t="s">
        <v>552</v>
      </c>
      <c r="D51" s="8" t="s">
        <v>495</v>
      </c>
      <c r="E51" s="8" t="s">
        <v>5</v>
      </c>
      <c r="F51" s="8" t="s">
        <v>7</v>
      </c>
      <c r="G51" s="299">
        <v>20</v>
      </c>
      <c r="H51" s="299">
        <v>0</v>
      </c>
      <c r="I51" s="362"/>
      <c r="J51" s="362"/>
      <c r="K51" s="362"/>
      <c r="L51" s="362"/>
      <c r="M51" s="361">
        <v>46318</v>
      </c>
      <c r="N51" s="363">
        <v>0.98813557742755365</v>
      </c>
      <c r="O51" s="393">
        <v>3.8768475160434028</v>
      </c>
      <c r="P51" s="443">
        <v>3.8803029655534496</v>
      </c>
      <c r="Q51" s="363">
        <v>8.9090697590500005E-4</v>
      </c>
      <c r="R51" s="363">
        <v>-8.7961701273889996E-4</v>
      </c>
      <c r="S51" s="363">
        <v>9.2115401377580004E-4</v>
      </c>
      <c r="T51" s="363">
        <v>1.8007710265147E-3</v>
      </c>
      <c r="U51" s="392">
        <v>3.7336620225020002E-4</v>
      </c>
      <c r="W51" s="362"/>
      <c r="X51" s="364"/>
      <c r="Z51" s="362"/>
      <c r="AA51" s="364"/>
      <c r="AB51" s="364"/>
      <c r="AF51" s="364"/>
    </row>
    <row r="52" spans="1:33" x14ac:dyDescent="0.25">
      <c r="A52" t="s">
        <v>118</v>
      </c>
      <c r="B52" t="s">
        <v>121</v>
      </c>
      <c r="C52" s="444" t="s">
        <v>552</v>
      </c>
      <c r="D52" s="8" t="s">
        <v>496</v>
      </c>
      <c r="E52" s="8" t="s">
        <v>20</v>
      </c>
      <c r="F52" s="8" t="s">
        <v>23</v>
      </c>
      <c r="G52" s="299">
        <v>20</v>
      </c>
      <c r="H52" s="299">
        <v>0</v>
      </c>
      <c r="I52" s="362"/>
      <c r="J52" s="362"/>
      <c r="K52" s="362"/>
      <c r="L52" s="362"/>
      <c r="M52" s="361">
        <v>46318</v>
      </c>
      <c r="N52" s="363">
        <v>0.98803719501738696</v>
      </c>
      <c r="O52" s="393">
        <v>3.3337591030900482</v>
      </c>
      <c r="P52" s="443">
        <v>3.3419939175743822</v>
      </c>
      <c r="Q52" s="363">
        <v>2.4670830797991002E-3</v>
      </c>
      <c r="R52" s="363">
        <v>-2.1412049332324001E-3</v>
      </c>
      <c r="S52" s="363">
        <v>1.712538331468E-3</v>
      </c>
      <c r="T52" s="363">
        <v>3.8537432647003998E-3</v>
      </c>
      <c r="U52" s="392">
        <v>6.9568938410879998E-4</v>
      </c>
      <c r="W52" s="362"/>
      <c r="X52" s="364"/>
      <c r="Z52" s="362"/>
      <c r="AA52" s="364"/>
      <c r="AB52" s="364"/>
      <c r="AF52" s="364"/>
    </row>
    <row r="53" spans="1:33" x14ac:dyDescent="0.25">
      <c r="A53" t="s">
        <v>118</v>
      </c>
      <c r="B53" t="s">
        <v>123</v>
      </c>
      <c r="C53" s="444" t="s">
        <v>552</v>
      </c>
      <c r="D53" s="8" t="s">
        <v>497</v>
      </c>
      <c r="E53" s="8" t="s">
        <v>11</v>
      </c>
      <c r="F53" s="8" t="s">
        <v>16</v>
      </c>
      <c r="G53" s="299">
        <v>20</v>
      </c>
      <c r="H53" s="299">
        <v>0</v>
      </c>
      <c r="I53" s="362"/>
      <c r="J53" s="362"/>
      <c r="K53" s="362"/>
      <c r="L53" s="362"/>
      <c r="M53" s="361">
        <v>46318</v>
      </c>
      <c r="N53" s="363">
        <v>0.98740230670802043</v>
      </c>
      <c r="O53" s="393">
        <v>4.1061391161385847</v>
      </c>
      <c r="P53" s="443">
        <v>4.1153401871469573</v>
      </c>
      <c r="Q53" s="363">
        <v>2.2383015295402999E-3</v>
      </c>
      <c r="R53" s="363">
        <v>-1.1517465599173999E-3</v>
      </c>
      <c r="S53" s="363">
        <v>2.1369634281499001E-3</v>
      </c>
      <c r="T53" s="363">
        <v>3.2887099880673002E-3</v>
      </c>
      <c r="U53" s="392">
        <v>5.1479701536769995E-4</v>
      </c>
      <c r="W53" s="362"/>
      <c r="X53" s="364"/>
      <c r="Z53" s="362"/>
      <c r="AA53" s="364"/>
      <c r="AB53" s="364"/>
      <c r="AF53" s="364"/>
    </row>
    <row r="54" spans="1:33" x14ac:dyDescent="0.25">
      <c r="A54" t="s">
        <v>118</v>
      </c>
      <c r="B54" t="s">
        <v>124</v>
      </c>
      <c r="C54" s="444" t="s">
        <v>552</v>
      </c>
      <c r="D54" s="8" t="s">
        <v>498</v>
      </c>
      <c r="E54" s="8" t="s">
        <v>17</v>
      </c>
      <c r="F54" s="8" t="s">
        <v>18</v>
      </c>
      <c r="G54" s="299">
        <v>20</v>
      </c>
      <c r="H54" s="299">
        <v>2</v>
      </c>
      <c r="I54" s="362">
        <v>-1.5E-3</v>
      </c>
      <c r="J54" s="362">
        <v>-5.0000000000000001E-4</v>
      </c>
      <c r="K54" s="362">
        <v>1E-3</v>
      </c>
      <c r="L54" s="362">
        <v>0</v>
      </c>
      <c r="M54" s="361">
        <v>46318</v>
      </c>
      <c r="N54" s="363">
        <v>0.97083288154157077</v>
      </c>
      <c r="O54" s="393">
        <v>2.0961022332990811</v>
      </c>
      <c r="P54" s="443">
        <v>2.1077216288967802</v>
      </c>
      <c r="Q54" s="363">
        <v>5.5280266578289997E-3</v>
      </c>
      <c r="R54" s="363">
        <v>-2.5389455308654999E-3</v>
      </c>
      <c r="S54" s="363">
        <v>1.7002796624812E-3</v>
      </c>
      <c r="T54" s="363">
        <v>4.2392251933467996E-3</v>
      </c>
      <c r="U54" s="392">
        <v>7.9940022043509999E-4</v>
      </c>
      <c r="V54" s="362">
        <v>-5.0000000000000001E-4</v>
      </c>
      <c r="W54" s="362">
        <v>-5.0000000000000001E-4</v>
      </c>
      <c r="X54" s="364">
        <v>3.02</v>
      </c>
      <c r="Y54" s="362">
        <v>4.0000000000000002E-4</v>
      </c>
      <c r="Z54" s="362">
        <v>4.0000000000000002E-4</v>
      </c>
      <c r="AA54" s="364">
        <v>4.6900000000000004</v>
      </c>
      <c r="AB54" s="364">
        <v>3.02</v>
      </c>
      <c r="AC54" s="362">
        <v>7.1000000000000004E-3</v>
      </c>
      <c r="AD54" s="364">
        <v>1.97</v>
      </c>
      <c r="AE54" s="362">
        <v>5.0000000000000001E-3</v>
      </c>
      <c r="AF54" s="364">
        <v>3.55</v>
      </c>
      <c r="AG54" s="362">
        <v>1.21E-2</v>
      </c>
    </row>
    <row r="55" spans="1:33" x14ac:dyDescent="0.25">
      <c r="A55" t="s">
        <v>118</v>
      </c>
      <c r="B55" t="s">
        <v>125</v>
      </c>
      <c r="C55" s="444" t="s">
        <v>552</v>
      </c>
      <c r="D55" s="8" t="s">
        <v>499</v>
      </c>
      <c r="E55" s="8" t="s">
        <v>19</v>
      </c>
      <c r="F55" s="8" t="s">
        <v>3</v>
      </c>
      <c r="G55" s="299">
        <v>20</v>
      </c>
      <c r="H55" s="299">
        <v>2</v>
      </c>
      <c r="I55" s="362">
        <v>-1E-3</v>
      </c>
      <c r="J55" s="362">
        <v>0</v>
      </c>
      <c r="K55" s="362">
        <v>1E-3</v>
      </c>
      <c r="L55" s="362">
        <v>0</v>
      </c>
      <c r="M55" s="361">
        <v>46318</v>
      </c>
      <c r="N55" s="363">
        <v>0.95410577921795681</v>
      </c>
      <c r="O55" s="393">
        <v>2.3410474294751902</v>
      </c>
      <c r="P55" s="443">
        <v>2.3570600142169802</v>
      </c>
      <c r="Q55" s="363">
        <v>6.8166370981403998E-3</v>
      </c>
      <c r="R55" s="363">
        <v>-3.3276480481590001E-3</v>
      </c>
      <c r="S55" s="363">
        <v>2.6948337141930998E-3</v>
      </c>
      <c r="T55" s="363">
        <v>6.0224817623522001E-3</v>
      </c>
      <c r="U55" s="392">
        <v>1.1012694335200001E-3</v>
      </c>
      <c r="V55" s="362">
        <v>-4.0000000000000002E-4</v>
      </c>
      <c r="W55" s="362">
        <v>-2.0000000000000001E-4</v>
      </c>
      <c r="X55" s="364">
        <v>2.69</v>
      </c>
      <c r="Y55" s="362">
        <v>-1E-3</v>
      </c>
      <c r="Z55" s="362">
        <v>0</v>
      </c>
      <c r="AA55" s="364">
        <v>3.73</v>
      </c>
      <c r="AB55" s="364">
        <v>2.13</v>
      </c>
      <c r="AC55" s="362">
        <v>1.0999999999999999E-2</v>
      </c>
      <c r="AD55" s="364">
        <v>3.73</v>
      </c>
      <c r="AE55" s="362">
        <v>1.47E-2</v>
      </c>
      <c r="AF55" s="364">
        <v>4.0199999999999996</v>
      </c>
      <c r="AG55" s="362">
        <v>2.5700000000000001E-2</v>
      </c>
    </row>
    <row r="56" spans="1:33" x14ac:dyDescent="0.25">
      <c r="A56" t="s">
        <v>416</v>
      </c>
      <c r="B56" t="s">
        <v>205</v>
      </c>
      <c r="C56" s="444" t="s">
        <v>552</v>
      </c>
      <c r="D56" s="8" t="s">
        <v>500</v>
      </c>
      <c r="E56" s="8" t="s">
        <v>203</v>
      </c>
      <c r="F56" s="8" t="s">
        <v>204</v>
      </c>
      <c r="G56" s="299">
        <v>20</v>
      </c>
      <c r="H56" s="299">
        <v>0</v>
      </c>
      <c r="I56" s="362"/>
      <c r="J56" s="362"/>
      <c r="K56" s="362"/>
      <c r="L56" s="362"/>
      <c r="M56" s="361">
        <v>46318</v>
      </c>
      <c r="N56" s="363">
        <v>0.99175083529250396</v>
      </c>
      <c r="O56" s="393">
        <v>1.0211741447965144</v>
      </c>
      <c r="P56" s="443">
        <v>1.0314996891839177</v>
      </c>
      <c r="Q56" s="363">
        <v>1.00606645923818E-2</v>
      </c>
      <c r="R56" s="363">
        <v>-1.3472766918266099E-2</v>
      </c>
      <c r="S56" s="363">
        <v>1.3000372136583701E-2</v>
      </c>
      <c r="T56" s="363">
        <v>2.6473139054849899E-2</v>
      </c>
      <c r="U56" s="392">
        <v>5.5378374496358003E-3</v>
      </c>
      <c r="W56" s="362"/>
      <c r="X56" s="364"/>
      <c r="Z56" s="362"/>
      <c r="AA56" s="364"/>
      <c r="AB56" s="364"/>
      <c r="AF56" s="364"/>
    </row>
    <row r="57" spans="1:33" x14ac:dyDescent="0.25">
      <c r="A57" t="s">
        <v>118</v>
      </c>
      <c r="B57" t="s">
        <v>123</v>
      </c>
      <c r="C57" s="444" t="s">
        <v>552</v>
      </c>
      <c r="D57" s="8" t="s">
        <v>501</v>
      </c>
      <c r="E57" s="8" t="s">
        <v>14</v>
      </c>
      <c r="F57" s="8" t="s">
        <v>16</v>
      </c>
      <c r="G57" s="299">
        <v>20</v>
      </c>
      <c r="H57" s="299">
        <v>0</v>
      </c>
      <c r="I57" s="362"/>
      <c r="J57" s="362"/>
      <c r="K57" s="362"/>
      <c r="L57" s="362"/>
      <c r="M57" s="361">
        <v>46318</v>
      </c>
      <c r="N57" s="363">
        <v>0.98883633913374558</v>
      </c>
      <c r="O57" s="393">
        <v>2.5983411258621207</v>
      </c>
      <c r="P57" s="443">
        <v>2.6033689620102818</v>
      </c>
      <c r="Q57" s="363">
        <v>1.9331479951798E-3</v>
      </c>
      <c r="R57" s="363">
        <v>-1.4742313347459999E-3</v>
      </c>
      <c r="S57" s="363">
        <v>1.8759836298429999E-3</v>
      </c>
      <c r="T57" s="363">
        <v>3.3502149645890998E-3</v>
      </c>
      <c r="U57" s="392">
        <v>5.204095585713E-4</v>
      </c>
      <c r="W57" s="362"/>
      <c r="X57" s="364"/>
      <c r="Z57" s="362"/>
      <c r="AA57" s="364"/>
      <c r="AB57" s="364"/>
      <c r="AF57" s="364"/>
    </row>
    <row r="58" spans="1:33" x14ac:dyDescent="0.25">
      <c r="A58" t="s">
        <v>118</v>
      </c>
      <c r="B58" t="s">
        <v>121</v>
      </c>
      <c r="C58" s="444" t="s">
        <v>552</v>
      </c>
      <c r="D58" s="8" t="s">
        <v>502</v>
      </c>
      <c r="E58" s="8" t="s">
        <v>21</v>
      </c>
      <c r="F58" s="8" t="s">
        <v>23</v>
      </c>
      <c r="G58" s="299">
        <v>20</v>
      </c>
      <c r="H58" s="299">
        <v>0</v>
      </c>
      <c r="I58" s="362"/>
      <c r="J58" s="362"/>
      <c r="K58" s="362"/>
      <c r="L58" s="362"/>
      <c r="M58" s="361">
        <v>46318</v>
      </c>
      <c r="N58" s="363">
        <v>0.99017380802065125</v>
      </c>
      <c r="O58" s="393">
        <v>1.8844401569890343</v>
      </c>
      <c r="P58" s="443">
        <v>1.891714215186048</v>
      </c>
      <c r="Q58" s="363">
        <v>3.8526323223852998E-3</v>
      </c>
      <c r="R58" s="363">
        <v>-1.0644588129719999E-3</v>
      </c>
      <c r="S58" s="363">
        <v>1.6529060810626999E-3</v>
      </c>
      <c r="T58" s="363">
        <v>2.7173648940348001E-3</v>
      </c>
      <c r="U58" s="392">
        <v>5.8960977087169997E-4</v>
      </c>
      <c r="W58" s="362"/>
      <c r="X58" s="364"/>
      <c r="Z58" s="362"/>
      <c r="AA58" s="364"/>
      <c r="AB58" s="364"/>
      <c r="AF58" s="364"/>
    </row>
    <row r="59" spans="1:33" x14ac:dyDescent="0.25">
      <c r="A59" t="s">
        <v>105</v>
      </c>
      <c r="B59" t="s">
        <v>128</v>
      </c>
      <c r="C59" s="444" t="s">
        <v>552</v>
      </c>
      <c r="D59" s="8" t="s">
        <v>503</v>
      </c>
      <c r="E59" s="374" t="s">
        <v>99</v>
      </c>
      <c r="F59" s="8" t="s">
        <v>97</v>
      </c>
      <c r="G59" s="299">
        <v>20</v>
      </c>
      <c r="H59" s="299">
        <v>1</v>
      </c>
      <c r="I59" s="362"/>
      <c r="J59" s="362"/>
      <c r="K59" s="362"/>
      <c r="L59" s="362"/>
      <c r="M59" s="361">
        <v>46318</v>
      </c>
      <c r="N59" s="363">
        <v>0.99970341537620322</v>
      </c>
      <c r="O59" s="393">
        <v>2.3851683172487084</v>
      </c>
      <c r="P59" s="443">
        <v>2.3891207283496732</v>
      </c>
      <c r="Q59" s="363">
        <v>1.6557070450209E-3</v>
      </c>
      <c r="R59" s="363">
        <v>-1.7901708799027E-3</v>
      </c>
      <c r="S59" s="363">
        <v>1.0869763033664001E-3</v>
      </c>
      <c r="T59" s="363">
        <v>2.8771471832691E-3</v>
      </c>
      <c r="U59" s="392">
        <v>4.1488042991099999E-4</v>
      </c>
      <c r="W59" s="362"/>
      <c r="X59" s="364"/>
      <c r="Z59" s="362"/>
      <c r="AA59" s="364"/>
      <c r="AB59" s="364"/>
      <c r="AF59" s="364"/>
    </row>
    <row r="60" spans="1:33" x14ac:dyDescent="0.25">
      <c r="A60" t="s">
        <v>118</v>
      </c>
      <c r="B60" t="s">
        <v>121</v>
      </c>
      <c r="C60" s="444" t="s">
        <v>552</v>
      </c>
      <c r="D60" s="8" t="s">
        <v>504</v>
      </c>
      <c r="E60" s="8" t="s">
        <v>22</v>
      </c>
      <c r="F60" s="8" t="s">
        <v>23</v>
      </c>
      <c r="G60" s="299">
        <v>20</v>
      </c>
      <c r="H60" s="299">
        <v>0</v>
      </c>
      <c r="I60" s="362"/>
      <c r="J60" s="362"/>
      <c r="K60" s="362"/>
      <c r="L60" s="362"/>
      <c r="M60" s="361">
        <v>46318</v>
      </c>
      <c r="N60" s="363">
        <v>0.98922004331734703</v>
      </c>
      <c r="O60" s="393">
        <v>1.2597010571314156</v>
      </c>
      <c r="P60" s="443">
        <v>1.2635112077952511</v>
      </c>
      <c r="Q60" s="363">
        <v>3.0200816735043001E-3</v>
      </c>
      <c r="R60" s="363">
        <v>-1.7751637098627E-3</v>
      </c>
      <c r="S60" s="363">
        <v>1.4572009571133999E-3</v>
      </c>
      <c r="T60" s="363">
        <v>3.2323646669762001E-3</v>
      </c>
      <c r="U60" s="392">
        <v>6.9663563672400005E-4</v>
      </c>
      <c r="W60" s="362"/>
      <c r="X60" s="364"/>
      <c r="Z60" s="362"/>
      <c r="AA60" s="364"/>
      <c r="AB60" s="364"/>
      <c r="AF60" s="364"/>
    </row>
    <row r="61" spans="1:33" x14ac:dyDescent="0.25">
      <c r="A61" t="s">
        <v>312</v>
      </c>
      <c r="B61" t="s">
        <v>121</v>
      </c>
      <c r="C61" s="444">
        <v>2026</v>
      </c>
      <c r="D61" s="8" t="s">
        <v>505</v>
      </c>
      <c r="E61" s="8" t="s">
        <v>184</v>
      </c>
      <c r="F61" s="8" t="s">
        <v>183</v>
      </c>
      <c r="G61" s="299">
        <v>20</v>
      </c>
      <c r="H61" s="299">
        <v>2</v>
      </c>
      <c r="I61" s="362"/>
      <c r="J61" s="362"/>
      <c r="K61" s="362"/>
      <c r="L61" s="362"/>
      <c r="M61" s="361">
        <v>46318</v>
      </c>
      <c r="N61" s="363">
        <v>0.14300213341474161</v>
      </c>
      <c r="O61" s="393">
        <v>1.2371399780536141</v>
      </c>
      <c r="P61" s="443">
        <v>1.2375447876727554</v>
      </c>
      <c r="Q61" s="363">
        <v>3.2716055665640002E-4</v>
      </c>
      <c r="R61" s="363">
        <v>-8.6618291725029997E-4</v>
      </c>
      <c r="S61" s="363">
        <v>9.6217135391550004E-4</v>
      </c>
      <c r="T61" s="363">
        <v>1.8283542711658E-3</v>
      </c>
      <c r="U61" s="392">
        <v>4.021821134442E-4</v>
      </c>
      <c r="W61" s="362"/>
      <c r="X61" s="364"/>
      <c r="Z61" s="362"/>
      <c r="AA61" s="364"/>
      <c r="AB61" s="364"/>
      <c r="AF61" s="364"/>
    </row>
    <row r="62" spans="1:33" x14ac:dyDescent="0.25">
      <c r="A62" t="s">
        <v>312</v>
      </c>
      <c r="B62" t="s">
        <v>123</v>
      </c>
      <c r="C62" s="444">
        <v>2026</v>
      </c>
      <c r="D62" s="8" t="s">
        <v>506</v>
      </c>
      <c r="E62" s="8" t="s">
        <v>237</v>
      </c>
      <c r="F62" s="8" t="s">
        <v>238</v>
      </c>
      <c r="G62" s="299">
        <v>20</v>
      </c>
      <c r="H62" s="299">
        <v>2</v>
      </c>
      <c r="I62" s="362"/>
      <c r="J62" s="362"/>
      <c r="K62" s="362"/>
      <c r="L62" s="362"/>
      <c r="M62" s="361">
        <v>46318</v>
      </c>
      <c r="N62" s="363">
        <v>0.3340378589335653</v>
      </c>
      <c r="O62" s="393">
        <v>0.98135370100994201</v>
      </c>
      <c r="P62" s="443">
        <v>0.98988757168036001</v>
      </c>
      <c r="Q62" s="363">
        <v>8.6584266500158002E-3</v>
      </c>
      <c r="R62" s="363">
        <v>-4.5734421019747997E-3</v>
      </c>
      <c r="S62" s="363">
        <v>3.830980747383E-3</v>
      </c>
      <c r="T62" s="363">
        <v>8.4044228493577993E-3</v>
      </c>
      <c r="U62" s="392">
        <v>1.4668074765450999E-3</v>
      </c>
      <c r="W62" s="362"/>
      <c r="X62" s="364"/>
      <c r="Z62" s="362"/>
      <c r="AA62" s="364"/>
      <c r="AB62" s="364"/>
      <c r="AF62" s="364"/>
    </row>
    <row r="63" spans="1:33" x14ac:dyDescent="0.25">
      <c r="A63" t="s">
        <v>312</v>
      </c>
      <c r="B63" t="s">
        <v>125</v>
      </c>
      <c r="C63" s="444">
        <v>2026</v>
      </c>
      <c r="D63" s="8" t="s">
        <v>507</v>
      </c>
      <c r="E63" s="8" t="s">
        <v>251</v>
      </c>
      <c r="F63" s="8" t="s">
        <v>252</v>
      </c>
      <c r="G63" s="299">
        <v>20</v>
      </c>
      <c r="H63" s="299">
        <v>2</v>
      </c>
      <c r="I63" s="362"/>
      <c r="J63" s="362"/>
      <c r="K63" s="362"/>
      <c r="L63" s="362"/>
      <c r="M63" s="361">
        <v>46318</v>
      </c>
      <c r="N63" s="363">
        <v>5.3432283272793799E-2</v>
      </c>
      <c r="O63" s="393">
        <v>1.0835226373188729</v>
      </c>
      <c r="P63" s="443">
        <v>1.0896988400580789</v>
      </c>
      <c r="Q63" s="363">
        <v>5.6839299918611001E-3</v>
      </c>
      <c r="R63" s="363">
        <v>-4.2833786266356999E-3</v>
      </c>
      <c r="S63" s="363">
        <v>2.7011412388465001E-3</v>
      </c>
      <c r="T63" s="363">
        <v>6.9845198654821996E-3</v>
      </c>
      <c r="U63" s="392">
        <v>1.1516718037699E-3</v>
      </c>
      <c r="W63" s="362"/>
      <c r="X63" s="364"/>
      <c r="Z63" s="362"/>
      <c r="AA63" s="364"/>
      <c r="AB63" s="364"/>
      <c r="AF63" s="364"/>
    </row>
    <row r="64" spans="1:33" x14ac:dyDescent="0.25">
      <c r="A64" t="s">
        <v>312</v>
      </c>
      <c r="B64" t="s">
        <v>121</v>
      </c>
      <c r="C64" s="444">
        <v>2027</v>
      </c>
      <c r="D64" s="8" t="s">
        <v>508</v>
      </c>
      <c r="E64" s="8" t="s">
        <v>186</v>
      </c>
      <c r="F64" s="8" t="s">
        <v>185</v>
      </c>
      <c r="G64" s="299">
        <v>20</v>
      </c>
      <c r="H64" s="299">
        <v>2</v>
      </c>
      <c r="I64" s="362"/>
      <c r="J64" s="362"/>
      <c r="K64" s="362"/>
      <c r="L64" s="362"/>
      <c r="M64" s="361">
        <v>46318</v>
      </c>
      <c r="N64" s="363">
        <v>0.41302655698500101</v>
      </c>
      <c r="O64" s="393">
        <v>1.2296967834926225</v>
      </c>
      <c r="P64" s="443">
        <v>1.2305815592101776</v>
      </c>
      <c r="Q64" s="363">
        <v>7.192485015542E-4</v>
      </c>
      <c r="R64" s="363">
        <v>-1.1777760543268999E-3</v>
      </c>
      <c r="S64" s="363">
        <v>1.2365456945050001E-3</v>
      </c>
      <c r="T64" s="363">
        <v>2.4143217488318998E-3</v>
      </c>
      <c r="U64" s="392">
        <v>4.3317504802110001E-4</v>
      </c>
      <c r="W64" s="362"/>
      <c r="X64" s="364"/>
      <c r="Z64" s="362"/>
      <c r="AA64" s="364"/>
      <c r="AB64" s="364"/>
      <c r="AF64" s="364"/>
    </row>
    <row r="65" spans="1:32" x14ac:dyDescent="0.25">
      <c r="A65" t="s">
        <v>312</v>
      </c>
      <c r="B65" t="s">
        <v>436</v>
      </c>
      <c r="C65" s="444">
        <v>2027</v>
      </c>
      <c r="D65" s="8" t="s">
        <v>509</v>
      </c>
      <c r="E65" s="8" t="s">
        <v>263</v>
      </c>
      <c r="F65" s="8" t="s">
        <v>264</v>
      </c>
      <c r="G65" s="299">
        <v>20</v>
      </c>
      <c r="H65" s="299">
        <v>2</v>
      </c>
      <c r="I65" s="362"/>
      <c r="J65" s="362"/>
      <c r="K65" s="362"/>
      <c r="L65" s="362"/>
      <c r="M65" s="361">
        <v>46318</v>
      </c>
      <c r="N65" s="363">
        <v>0.54295172170145545</v>
      </c>
      <c r="O65" s="393">
        <v>0.90645708938712921</v>
      </c>
      <c r="P65" s="443">
        <v>0.90692262803877322</v>
      </c>
      <c r="Q65" s="363">
        <v>5.1344862567689995E-4</v>
      </c>
      <c r="R65" s="363">
        <v>-6.4016275784919995E-4</v>
      </c>
      <c r="S65" s="363">
        <v>1.1085980517899999E-3</v>
      </c>
      <c r="T65" s="363">
        <v>1.7487608096391999E-3</v>
      </c>
      <c r="U65" s="392">
        <v>3.715366151251E-4</v>
      </c>
      <c r="W65" s="362"/>
      <c r="X65" s="364"/>
      <c r="Z65" s="362"/>
      <c r="AA65" s="364"/>
      <c r="AB65" s="364"/>
      <c r="AF65" s="364"/>
    </row>
    <row r="66" spans="1:32" x14ac:dyDescent="0.25">
      <c r="A66" t="s">
        <v>312</v>
      </c>
      <c r="B66" t="s">
        <v>123</v>
      </c>
      <c r="C66" s="444">
        <v>2027</v>
      </c>
      <c r="D66" s="8" t="s">
        <v>510</v>
      </c>
      <c r="E66" s="8" t="s">
        <v>239</v>
      </c>
      <c r="F66" s="8" t="s">
        <v>240</v>
      </c>
      <c r="G66" s="299">
        <v>20</v>
      </c>
      <c r="H66" s="299">
        <v>2</v>
      </c>
      <c r="I66" s="362"/>
      <c r="J66" s="362"/>
      <c r="K66" s="362"/>
      <c r="L66" s="362"/>
      <c r="M66" s="361">
        <v>46318</v>
      </c>
      <c r="N66" s="363">
        <v>0.61703783051684213</v>
      </c>
      <c r="O66" s="393">
        <v>0.98215661397100995</v>
      </c>
      <c r="P66" s="443">
        <v>0.9860785368777174</v>
      </c>
      <c r="Q66" s="363">
        <v>3.9852231027180003E-3</v>
      </c>
      <c r="R66" s="363">
        <v>-4.2011506438791001E-3</v>
      </c>
      <c r="S66" s="363">
        <v>3.4802707889194E-3</v>
      </c>
      <c r="T66" s="363">
        <v>7.6814214327985001E-3</v>
      </c>
      <c r="U66" s="392">
        <v>1.2807369275913999E-3</v>
      </c>
      <c r="W66" s="362"/>
      <c r="X66" s="364"/>
      <c r="Z66" s="362"/>
      <c r="AA66" s="364"/>
      <c r="AB66" s="364"/>
      <c r="AF66" s="364"/>
    </row>
    <row r="67" spans="1:32" x14ac:dyDescent="0.25">
      <c r="A67" t="s">
        <v>312</v>
      </c>
      <c r="B67" t="s">
        <v>125</v>
      </c>
      <c r="C67" s="444">
        <v>2027</v>
      </c>
      <c r="D67" s="8" t="s">
        <v>511</v>
      </c>
      <c r="E67" s="8" t="s">
        <v>253</v>
      </c>
      <c r="F67" s="8" t="s">
        <v>254</v>
      </c>
      <c r="G67" s="299">
        <v>20</v>
      </c>
      <c r="H67" s="299">
        <v>2</v>
      </c>
      <c r="I67" s="362"/>
      <c r="J67" s="362"/>
      <c r="K67" s="362"/>
      <c r="L67" s="362"/>
      <c r="M67" s="361">
        <v>46318</v>
      </c>
      <c r="N67" s="363">
        <v>0.21395547022438791</v>
      </c>
      <c r="O67" s="393">
        <v>1.0707435350678596</v>
      </c>
      <c r="P67" s="443">
        <v>1.080127656380204</v>
      </c>
      <c r="Q67" s="363">
        <v>8.7259347685212998E-3</v>
      </c>
      <c r="R67" s="363">
        <v>-8.6035309515102992E-3</v>
      </c>
      <c r="S67" s="363">
        <v>6.1170256067356998E-3</v>
      </c>
      <c r="T67" s="363">
        <v>1.4720556558246001E-2</v>
      </c>
      <c r="U67" s="392">
        <v>1.9100261491815001E-3</v>
      </c>
      <c r="W67" s="362"/>
      <c r="X67" s="364"/>
      <c r="Z67" s="362"/>
      <c r="AA67" s="364"/>
      <c r="AB67" s="364"/>
      <c r="AF67" s="364"/>
    </row>
    <row r="68" spans="1:32" x14ac:dyDescent="0.25">
      <c r="A68" t="s">
        <v>312</v>
      </c>
      <c r="B68" t="s">
        <v>121</v>
      </c>
      <c r="C68" s="444">
        <v>2028</v>
      </c>
      <c r="D68" s="8" t="s">
        <v>512</v>
      </c>
      <c r="E68" s="8" t="s">
        <v>188</v>
      </c>
      <c r="F68" s="8" t="s">
        <v>187</v>
      </c>
      <c r="G68" s="299">
        <v>20</v>
      </c>
      <c r="H68" s="299">
        <v>2</v>
      </c>
      <c r="I68" s="362"/>
      <c r="J68" s="362"/>
      <c r="K68" s="362"/>
      <c r="L68" s="362"/>
      <c r="M68" s="361">
        <v>46318</v>
      </c>
      <c r="N68" s="363">
        <v>0.85178762910054262</v>
      </c>
      <c r="O68" s="393">
        <v>1.235548614647527</v>
      </c>
      <c r="P68" s="443">
        <v>1.2361452092430183</v>
      </c>
      <c r="Q68" s="363">
        <v>4.8274151216540001E-4</v>
      </c>
      <c r="R68" s="363">
        <v>-1.1983085238364E-3</v>
      </c>
      <c r="S68" s="363">
        <v>1.1569676804628001E-3</v>
      </c>
      <c r="T68" s="363">
        <v>2.3552762042993E-3</v>
      </c>
      <c r="U68" s="392">
        <v>4.0595493420750002E-4</v>
      </c>
      <c r="W68" s="362"/>
      <c r="X68" s="364"/>
      <c r="Z68" s="362"/>
      <c r="AA68" s="364"/>
      <c r="AB68" s="364"/>
      <c r="AF68" s="364"/>
    </row>
    <row r="69" spans="1:32" x14ac:dyDescent="0.25">
      <c r="A69" t="s">
        <v>312</v>
      </c>
      <c r="B69" t="s">
        <v>123</v>
      </c>
      <c r="C69" s="444">
        <v>2028</v>
      </c>
      <c r="D69" s="8" t="s">
        <v>513</v>
      </c>
      <c r="E69" s="8" t="s">
        <v>241</v>
      </c>
      <c r="F69" s="8" t="s">
        <v>242</v>
      </c>
      <c r="G69" s="299">
        <v>20</v>
      </c>
      <c r="H69" s="299">
        <v>2</v>
      </c>
      <c r="I69" s="362"/>
      <c r="J69" s="362"/>
      <c r="K69" s="362"/>
      <c r="L69" s="362"/>
      <c r="M69" s="361">
        <v>46318</v>
      </c>
      <c r="N69" s="363">
        <v>0.80592515530267717</v>
      </c>
      <c r="O69" s="393">
        <v>1.0740067589359272</v>
      </c>
      <c r="P69" s="443">
        <v>1.0777782968171323</v>
      </c>
      <c r="Q69" s="363">
        <v>3.5055004526061001E-3</v>
      </c>
      <c r="R69" s="363">
        <v>-3.4428610996121E-3</v>
      </c>
      <c r="S69" s="363">
        <v>3.0850591232208999E-3</v>
      </c>
      <c r="T69" s="363">
        <v>6.5279202228330996E-3</v>
      </c>
      <c r="U69" s="392">
        <v>1.1744222956945E-3</v>
      </c>
      <c r="W69" s="362"/>
      <c r="X69" s="364"/>
      <c r="Z69" s="362"/>
      <c r="AA69" s="364"/>
      <c r="AB69" s="364"/>
      <c r="AF69" s="364"/>
    </row>
    <row r="70" spans="1:32" x14ac:dyDescent="0.25">
      <c r="A70" t="s">
        <v>312</v>
      </c>
      <c r="B70" t="s">
        <v>125</v>
      </c>
      <c r="C70" s="444">
        <v>2028</v>
      </c>
      <c r="D70" s="8" t="s">
        <v>514</v>
      </c>
      <c r="E70" s="8" t="s">
        <v>255</v>
      </c>
      <c r="F70" s="8" t="s">
        <v>256</v>
      </c>
      <c r="G70" s="299">
        <v>20</v>
      </c>
      <c r="H70" s="299">
        <v>2</v>
      </c>
      <c r="I70" s="362"/>
      <c r="J70" s="362"/>
      <c r="K70" s="362"/>
      <c r="L70" s="362"/>
      <c r="M70" s="361">
        <v>46318</v>
      </c>
      <c r="N70" s="363">
        <v>0.59059821936426193</v>
      </c>
      <c r="O70" s="393">
        <v>1.0859449755084509</v>
      </c>
      <c r="P70" s="443">
        <v>1.095990807436082</v>
      </c>
      <c r="Q70" s="363">
        <v>9.2082480059801006E-3</v>
      </c>
      <c r="R70" s="363">
        <v>-7.4881897488760004E-3</v>
      </c>
      <c r="S70" s="363">
        <v>3.2019683464187001E-3</v>
      </c>
      <c r="T70" s="363">
        <v>1.06901580952948E-2</v>
      </c>
      <c r="U70" s="392">
        <v>1.6453006141919E-3</v>
      </c>
      <c r="W70" s="362"/>
      <c r="X70" s="364"/>
      <c r="Z70" s="362"/>
      <c r="AA70" s="364"/>
      <c r="AB70" s="364"/>
      <c r="AF70" s="364"/>
    </row>
    <row r="71" spans="1:32" x14ac:dyDescent="0.25">
      <c r="A71" t="s">
        <v>312</v>
      </c>
      <c r="B71" t="s">
        <v>436</v>
      </c>
      <c r="C71" s="444">
        <v>2028</v>
      </c>
      <c r="D71" s="8" t="s">
        <v>515</v>
      </c>
      <c r="E71" s="8" t="s">
        <v>265</v>
      </c>
      <c r="F71" s="8" t="s">
        <v>266</v>
      </c>
      <c r="G71" s="299">
        <v>20</v>
      </c>
      <c r="H71" s="299">
        <v>2</v>
      </c>
      <c r="I71" s="362"/>
      <c r="J71" s="362"/>
      <c r="K71" s="362"/>
      <c r="L71" s="362"/>
      <c r="M71" s="361">
        <v>46318</v>
      </c>
      <c r="N71" s="363">
        <v>0.82567397505946205</v>
      </c>
      <c r="O71" s="393">
        <v>0.89581752174653884</v>
      </c>
      <c r="P71" s="443">
        <v>0.89629272540863736</v>
      </c>
      <c r="Q71" s="363">
        <v>5.3032861565339995E-4</v>
      </c>
      <c r="R71" s="363">
        <v>-1.2435363192622E-3</v>
      </c>
      <c r="S71" s="363">
        <v>1.4017575791385999E-3</v>
      </c>
      <c r="T71" s="363">
        <v>2.6452938984009001E-3</v>
      </c>
      <c r="U71" s="392">
        <v>5.0574572850169998E-4</v>
      </c>
      <c r="W71" s="362"/>
      <c r="X71" s="364"/>
      <c r="Z71" s="362"/>
      <c r="AA71" s="364"/>
      <c r="AB71" s="364"/>
      <c r="AF71" s="364"/>
    </row>
    <row r="72" spans="1:32" x14ac:dyDescent="0.25">
      <c r="A72" t="s">
        <v>312</v>
      </c>
      <c r="B72" t="s">
        <v>121</v>
      </c>
      <c r="C72" s="444">
        <v>2029</v>
      </c>
      <c r="D72" s="8" t="s">
        <v>516</v>
      </c>
      <c r="E72" s="8" t="s">
        <v>190</v>
      </c>
      <c r="F72" s="8" t="s">
        <v>189</v>
      </c>
      <c r="G72" s="299">
        <v>20</v>
      </c>
      <c r="H72" s="299">
        <v>2</v>
      </c>
      <c r="I72" s="362"/>
      <c r="J72" s="362"/>
      <c r="K72" s="362"/>
      <c r="L72" s="362"/>
      <c r="M72" s="361">
        <v>46318</v>
      </c>
      <c r="N72" s="363">
        <v>0.92190694282984365</v>
      </c>
      <c r="O72" s="393">
        <v>1.2423213149928376</v>
      </c>
      <c r="P72" s="443">
        <v>1.2431631744742422</v>
      </c>
      <c r="Q72" s="363">
        <v>6.7742085469949995E-4</v>
      </c>
      <c r="R72" s="363">
        <v>-1.4498264130323999E-3</v>
      </c>
      <c r="S72" s="363">
        <v>9.4454387028939995E-4</v>
      </c>
      <c r="T72" s="363">
        <v>2.3943702833219001E-3</v>
      </c>
      <c r="U72" s="392">
        <v>4.0939697360689998E-4</v>
      </c>
      <c r="W72" s="362"/>
      <c r="X72" s="364"/>
      <c r="Z72" s="362"/>
      <c r="AA72" s="364"/>
      <c r="AB72" s="364"/>
      <c r="AF72" s="364"/>
    </row>
    <row r="73" spans="1:32" x14ac:dyDescent="0.25">
      <c r="A73" t="s">
        <v>312</v>
      </c>
      <c r="B73" t="s">
        <v>436</v>
      </c>
      <c r="C73" s="444">
        <v>2029</v>
      </c>
      <c r="D73" s="8" t="s">
        <v>517</v>
      </c>
      <c r="E73" s="8" t="s">
        <v>267</v>
      </c>
      <c r="F73" s="8" t="s">
        <v>268</v>
      </c>
      <c r="G73" s="299">
        <v>20</v>
      </c>
      <c r="H73" s="299">
        <v>2</v>
      </c>
      <c r="I73" s="362"/>
      <c r="J73" s="362"/>
      <c r="K73" s="362"/>
      <c r="L73" s="362"/>
      <c r="M73" s="361">
        <v>46318</v>
      </c>
      <c r="N73" s="363">
        <v>0.93079489331317744</v>
      </c>
      <c r="O73" s="393">
        <v>0.87509351861730045</v>
      </c>
      <c r="P73" s="443">
        <v>0.87552146821039367</v>
      </c>
      <c r="Q73" s="363">
        <v>4.8891344451839995E-4</v>
      </c>
      <c r="R73" s="363">
        <v>-9.4503998907790004E-4</v>
      </c>
      <c r="S73" s="363">
        <v>2.1710907827109001E-3</v>
      </c>
      <c r="T73" s="363">
        <v>3.1161307717889001E-3</v>
      </c>
      <c r="U73" s="392">
        <v>4.5955339548460001E-4</v>
      </c>
      <c r="W73" s="362"/>
      <c r="X73" s="364"/>
      <c r="Z73" s="362"/>
      <c r="AA73" s="364"/>
      <c r="AB73" s="364"/>
      <c r="AF73" s="364"/>
    </row>
    <row r="74" spans="1:32" x14ac:dyDescent="0.25">
      <c r="A74" t="s">
        <v>312</v>
      </c>
      <c r="B74" t="s">
        <v>123</v>
      </c>
      <c r="C74" s="444">
        <v>2029</v>
      </c>
      <c r="D74" s="8" t="s">
        <v>518</v>
      </c>
      <c r="E74" s="8" t="s">
        <v>243</v>
      </c>
      <c r="F74" s="8" t="s">
        <v>244</v>
      </c>
      <c r="G74" s="299">
        <v>20</v>
      </c>
      <c r="H74" s="299">
        <v>2</v>
      </c>
      <c r="I74" s="362"/>
      <c r="J74" s="362"/>
      <c r="K74" s="362"/>
      <c r="L74" s="362"/>
      <c r="M74" s="361">
        <v>46318</v>
      </c>
      <c r="N74" s="363">
        <v>0.81803085618662064</v>
      </c>
      <c r="O74" s="393">
        <v>1.0970856953920345</v>
      </c>
      <c r="P74" s="443">
        <v>1.1023391534552691</v>
      </c>
      <c r="Q74" s="363">
        <v>4.7771289450795999E-3</v>
      </c>
      <c r="R74" s="363">
        <v>-3.3991373135858001E-3</v>
      </c>
      <c r="S74" s="363">
        <v>4.3265197540271003E-3</v>
      </c>
      <c r="T74" s="363">
        <v>7.7256570676129E-3</v>
      </c>
      <c r="U74" s="392">
        <v>1.1895837690712001E-3</v>
      </c>
      <c r="W74" s="362"/>
      <c r="X74" s="364"/>
      <c r="Z74" s="362"/>
      <c r="AA74" s="364"/>
      <c r="AB74" s="364"/>
      <c r="AF74" s="364"/>
    </row>
    <row r="75" spans="1:32" x14ac:dyDescent="0.25">
      <c r="A75" t="s">
        <v>312</v>
      </c>
      <c r="B75" t="s">
        <v>125</v>
      </c>
      <c r="C75" s="444">
        <v>2029</v>
      </c>
      <c r="D75" s="8" t="s">
        <v>519</v>
      </c>
      <c r="E75" s="8" t="s">
        <v>257</v>
      </c>
      <c r="F75" s="8" t="s">
        <v>258</v>
      </c>
      <c r="G75" s="299">
        <v>20</v>
      </c>
      <c r="H75" s="299">
        <v>2</v>
      </c>
      <c r="I75" s="362"/>
      <c r="J75" s="362"/>
      <c r="K75" s="362"/>
      <c r="L75" s="362"/>
      <c r="M75" s="361">
        <v>46318</v>
      </c>
      <c r="N75" s="363">
        <v>0.70807438310328874</v>
      </c>
      <c r="O75" s="393">
        <v>1.0959858057732434</v>
      </c>
      <c r="P75" s="443">
        <v>1.1076034492086362</v>
      </c>
      <c r="Q75" s="363">
        <v>1.05443889331012E-2</v>
      </c>
      <c r="R75" s="363">
        <v>-6.4583087782928003E-3</v>
      </c>
      <c r="S75" s="363">
        <v>2.9931642384651001E-3</v>
      </c>
      <c r="T75" s="363">
        <v>9.4514730167579008E-3</v>
      </c>
      <c r="U75" s="392">
        <v>1.7512882986471E-3</v>
      </c>
      <c r="W75" s="362"/>
      <c r="X75" s="364"/>
      <c r="Z75" s="362"/>
      <c r="AA75" s="364"/>
      <c r="AB75" s="364"/>
      <c r="AF75" s="364"/>
    </row>
    <row r="76" spans="1:32" x14ac:dyDescent="0.25">
      <c r="A76" t="s">
        <v>312</v>
      </c>
      <c r="B76" t="s">
        <v>121</v>
      </c>
      <c r="C76" s="444">
        <v>2030</v>
      </c>
      <c r="D76" s="8" t="s">
        <v>520</v>
      </c>
      <c r="E76" s="8" t="s">
        <v>192</v>
      </c>
      <c r="F76" s="8" t="s">
        <v>191</v>
      </c>
      <c r="G76" s="299">
        <v>20</v>
      </c>
      <c r="H76" s="299">
        <v>2</v>
      </c>
      <c r="I76" s="362"/>
      <c r="J76" s="362"/>
      <c r="K76" s="362"/>
      <c r="L76" s="362"/>
      <c r="M76" s="361">
        <v>46318</v>
      </c>
      <c r="N76" s="363">
        <v>0.94402217043807901</v>
      </c>
      <c r="O76" s="393">
        <v>1.3041875313502849</v>
      </c>
      <c r="P76" s="443">
        <v>1.3047356803772423</v>
      </c>
      <c r="Q76" s="363">
        <v>4.2021093802950001E-4</v>
      </c>
      <c r="R76" s="363">
        <v>-1.2917116213090999E-3</v>
      </c>
      <c r="S76" s="363">
        <v>1.1731259772246999E-3</v>
      </c>
      <c r="T76" s="363">
        <v>2.4648375985337999E-3</v>
      </c>
      <c r="U76" s="392">
        <v>4.5771801364259999E-4</v>
      </c>
      <c r="W76" s="362"/>
      <c r="X76" s="364"/>
      <c r="Z76" s="362"/>
      <c r="AA76" s="364"/>
      <c r="AB76" s="364"/>
      <c r="AF76" s="364"/>
    </row>
    <row r="77" spans="1:32" x14ac:dyDescent="0.25">
      <c r="A77" t="s">
        <v>312</v>
      </c>
      <c r="B77" t="s">
        <v>123</v>
      </c>
      <c r="C77" s="444">
        <v>2030</v>
      </c>
      <c r="D77" s="8" t="s">
        <v>521</v>
      </c>
      <c r="E77" s="8" t="s">
        <v>245</v>
      </c>
      <c r="F77" s="8" t="s">
        <v>246</v>
      </c>
      <c r="G77" s="299">
        <v>20</v>
      </c>
      <c r="H77" s="299">
        <v>2</v>
      </c>
      <c r="I77" s="362"/>
      <c r="J77" s="362"/>
      <c r="K77" s="362"/>
      <c r="L77" s="362"/>
      <c r="M77" s="361">
        <v>46318</v>
      </c>
      <c r="N77" s="363">
        <v>0.86813872592707764</v>
      </c>
      <c r="O77" s="393">
        <v>1.0180212122809504</v>
      </c>
      <c r="P77" s="443">
        <v>1.0222607173897758</v>
      </c>
      <c r="Q77" s="363">
        <v>4.1558092034146002E-3</v>
      </c>
      <c r="R77" s="363">
        <v>-3.5860134809011998E-3</v>
      </c>
      <c r="S77" s="363">
        <v>2.7611307699728E-3</v>
      </c>
      <c r="T77" s="363">
        <v>6.3471442508741E-3</v>
      </c>
      <c r="U77" s="392">
        <v>1.1058229537892999E-3</v>
      </c>
      <c r="W77" s="362"/>
      <c r="X77" s="364"/>
      <c r="Z77" s="362"/>
      <c r="AA77" s="364"/>
      <c r="AB77" s="364"/>
      <c r="AF77" s="364"/>
    </row>
    <row r="78" spans="1:32" x14ac:dyDescent="0.25">
      <c r="A78" t="s">
        <v>312</v>
      </c>
      <c r="B78" t="s">
        <v>125</v>
      </c>
      <c r="C78" s="444">
        <v>2030</v>
      </c>
      <c r="D78" s="8" t="s">
        <v>522</v>
      </c>
      <c r="E78" s="8" t="s">
        <v>259</v>
      </c>
      <c r="F78" s="8" t="s">
        <v>260</v>
      </c>
      <c r="G78" s="299">
        <v>20</v>
      </c>
      <c r="H78" s="299">
        <v>2</v>
      </c>
      <c r="I78" s="362"/>
      <c r="J78" s="362"/>
      <c r="K78" s="362"/>
      <c r="L78" s="362"/>
      <c r="M78" s="361">
        <v>46318</v>
      </c>
      <c r="N78" s="363">
        <v>0.78401185879345392</v>
      </c>
      <c r="O78" s="393">
        <v>1.1783819022818469</v>
      </c>
      <c r="P78" s="443">
        <v>1.1933299036818601</v>
      </c>
      <c r="Q78" s="363">
        <v>1.26054095559219E-2</v>
      </c>
      <c r="R78" s="363">
        <v>-7.9835452975221995E-3</v>
      </c>
      <c r="S78" s="363">
        <v>2.9806605155573E-3</v>
      </c>
      <c r="T78" s="363">
        <v>1.09642058130796E-2</v>
      </c>
      <c r="U78" s="392">
        <v>1.9999769497159002E-3</v>
      </c>
      <c r="W78" s="362"/>
      <c r="X78" s="364"/>
      <c r="Z78" s="362"/>
      <c r="AA78" s="364"/>
      <c r="AB78" s="364"/>
      <c r="AF78" s="364"/>
    </row>
    <row r="79" spans="1:32" x14ac:dyDescent="0.25">
      <c r="A79" t="s">
        <v>312</v>
      </c>
      <c r="B79" t="s">
        <v>436</v>
      </c>
      <c r="C79" s="444">
        <v>2030</v>
      </c>
      <c r="D79" s="8" t="s">
        <v>523</v>
      </c>
      <c r="E79" s="8" t="s">
        <v>269</v>
      </c>
      <c r="F79" s="8" t="s">
        <v>270</v>
      </c>
      <c r="G79" s="299">
        <v>20</v>
      </c>
      <c r="H79" s="299">
        <v>2</v>
      </c>
      <c r="I79" s="362"/>
      <c r="J79" s="362"/>
      <c r="K79" s="362"/>
      <c r="L79" s="362"/>
      <c r="M79" s="361">
        <v>46318</v>
      </c>
      <c r="N79" s="363">
        <v>0.95706668296397679</v>
      </c>
      <c r="O79" s="393">
        <v>0.78868884475637646</v>
      </c>
      <c r="P79" s="443">
        <v>0.78894258020601127</v>
      </c>
      <c r="Q79" s="363">
        <v>3.2166632561670002E-4</v>
      </c>
      <c r="R79" s="363">
        <v>-1.1048641383547999E-3</v>
      </c>
      <c r="S79" s="363">
        <v>7.6759020531949997E-4</v>
      </c>
      <c r="T79" s="363">
        <v>1.8724543436742999E-3</v>
      </c>
      <c r="U79" s="392">
        <v>3.9571914401600002E-4</v>
      </c>
      <c r="W79" s="362"/>
      <c r="X79" s="364"/>
      <c r="Z79" s="362"/>
      <c r="AA79" s="364"/>
      <c r="AB79" s="364"/>
      <c r="AF79" s="364"/>
    </row>
    <row r="80" spans="1:32" x14ac:dyDescent="0.25">
      <c r="A80" t="s">
        <v>312</v>
      </c>
      <c r="B80" t="s">
        <v>121</v>
      </c>
      <c r="C80" s="444">
        <v>2031</v>
      </c>
      <c r="D80" s="8" t="s">
        <v>524</v>
      </c>
      <c r="E80" s="8" t="s">
        <v>194</v>
      </c>
      <c r="F80" s="8" t="s">
        <v>193</v>
      </c>
      <c r="G80" s="299">
        <v>20</v>
      </c>
      <c r="H80" s="299">
        <v>2</v>
      </c>
      <c r="I80" s="362"/>
      <c r="J80" s="362"/>
      <c r="K80" s="362"/>
      <c r="L80" s="362"/>
      <c r="M80" s="361">
        <v>46318</v>
      </c>
      <c r="N80" s="363">
        <v>0.957725907621506</v>
      </c>
      <c r="O80" s="393">
        <v>1.2665422008064162</v>
      </c>
      <c r="P80" s="443">
        <v>1.2676265217126226</v>
      </c>
      <c r="Q80" s="363">
        <v>8.5576067824059997E-4</v>
      </c>
      <c r="R80" s="363">
        <v>-1.3367917374812E-3</v>
      </c>
      <c r="S80" s="363">
        <v>1.1105864095122999E-3</v>
      </c>
      <c r="T80" s="363">
        <v>2.4473781469936001E-3</v>
      </c>
      <c r="U80" s="392">
        <v>5.2419165278329999E-4</v>
      </c>
      <c r="W80" s="362"/>
      <c r="X80" s="364"/>
      <c r="Z80" s="362"/>
      <c r="AA80" s="364"/>
      <c r="AB80" s="364"/>
      <c r="AF80" s="364"/>
    </row>
    <row r="81" spans="1:34" x14ac:dyDescent="0.25">
      <c r="A81" t="s">
        <v>312</v>
      </c>
      <c r="B81" t="s">
        <v>123</v>
      </c>
      <c r="C81" s="444">
        <v>2031</v>
      </c>
      <c r="D81" s="8" t="s">
        <v>525</v>
      </c>
      <c r="E81" s="8" t="s">
        <v>247</v>
      </c>
      <c r="F81" s="8" t="s">
        <v>248</v>
      </c>
      <c r="G81" s="299">
        <v>20</v>
      </c>
      <c r="H81" s="299">
        <v>2</v>
      </c>
      <c r="I81" s="362"/>
      <c r="J81" s="362"/>
      <c r="K81" s="362"/>
      <c r="L81" s="362"/>
      <c r="M81" s="361">
        <v>46318</v>
      </c>
      <c r="N81" s="363">
        <v>0.8721169362473864</v>
      </c>
      <c r="O81" s="393">
        <v>0.97009048619914917</v>
      </c>
      <c r="P81" s="443">
        <v>0.9791229228526096</v>
      </c>
      <c r="Q81" s="363">
        <v>9.2678423647943008E-3</v>
      </c>
      <c r="R81" s="363">
        <v>-3.9168368965601004E-3</v>
      </c>
      <c r="S81" s="363">
        <v>4.1423949783266001E-3</v>
      </c>
      <c r="T81" s="363">
        <v>8.0592318748866996E-3</v>
      </c>
      <c r="U81" s="392">
        <v>1.2861241044973999E-3</v>
      </c>
      <c r="W81" s="362"/>
      <c r="X81" s="364"/>
      <c r="Z81" s="362"/>
      <c r="AA81" s="364"/>
      <c r="AB81" s="364"/>
      <c r="AF81" s="364"/>
    </row>
    <row r="82" spans="1:34" x14ac:dyDescent="0.25">
      <c r="A82" t="s">
        <v>312</v>
      </c>
      <c r="B82" t="s">
        <v>125</v>
      </c>
      <c r="C82" s="444">
        <v>2031</v>
      </c>
      <c r="D82" s="8" t="s">
        <v>526</v>
      </c>
      <c r="E82" s="8" t="s">
        <v>261</v>
      </c>
      <c r="F82" s="8" t="s">
        <v>262</v>
      </c>
      <c r="G82" s="299">
        <v>20</v>
      </c>
      <c r="H82" s="299">
        <v>2</v>
      </c>
      <c r="I82" s="362"/>
      <c r="J82" s="362"/>
      <c r="K82" s="362"/>
      <c r="L82" s="362"/>
      <c r="M82" s="361">
        <v>46318</v>
      </c>
      <c r="N82" s="363">
        <v>0.7696377730867443</v>
      </c>
      <c r="O82" s="393">
        <v>1.2221196842179214</v>
      </c>
      <c r="P82" s="443">
        <v>1.2353285654161681</v>
      </c>
      <c r="Q82" s="363">
        <v>1.0750182355670599E-2</v>
      </c>
      <c r="R82" s="363">
        <v>-7.3164378301843001E-3</v>
      </c>
      <c r="S82" s="363">
        <v>5.8888149732970003E-3</v>
      </c>
      <c r="T82" s="363">
        <v>1.32052528034814E-2</v>
      </c>
      <c r="U82" s="392">
        <v>1.9160254509898E-3</v>
      </c>
      <c r="W82" s="362"/>
      <c r="X82" s="364"/>
      <c r="Z82" s="362"/>
      <c r="AA82" s="364"/>
      <c r="AB82" s="364"/>
      <c r="AF82" s="364"/>
    </row>
    <row r="83" spans="1:34" x14ac:dyDescent="0.25">
      <c r="A83" t="s">
        <v>312</v>
      </c>
      <c r="B83" t="s">
        <v>436</v>
      </c>
      <c r="C83" s="444">
        <v>2031</v>
      </c>
      <c r="D83" s="8" t="s">
        <v>527</v>
      </c>
      <c r="E83" s="8" t="s">
        <v>271</v>
      </c>
      <c r="F83" s="8" t="s">
        <v>272</v>
      </c>
      <c r="G83" s="299">
        <v>20</v>
      </c>
      <c r="H83" s="299">
        <v>2</v>
      </c>
      <c r="I83" s="362"/>
      <c r="J83" s="362"/>
      <c r="K83" s="362"/>
      <c r="L83" s="362"/>
      <c r="M83" s="361">
        <v>46318</v>
      </c>
      <c r="N83" s="363">
        <v>0.97474420819843322</v>
      </c>
      <c r="O83" s="393">
        <v>0.81373143649983537</v>
      </c>
      <c r="P83" s="443">
        <v>0.81438239420555136</v>
      </c>
      <c r="Q83" s="363">
        <v>7.9964647204179996E-4</v>
      </c>
      <c r="R83" s="363">
        <v>-1.3559380983330001E-3</v>
      </c>
      <c r="S83" s="363">
        <v>1.3937445245982001E-3</v>
      </c>
      <c r="T83" s="363">
        <v>2.7496826229313001E-3</v>
      </c>
      <c r="U83" s="392">
        <v>5.4393028486150003E-4</v>
      </c>
      <c r="W83" s="362"/>
      <c r="X83" s="364"/>
      <c r="Z83" s="362"/>
      <c r="AA83" s="364"/>
      <c r="AB83" s="364"/>
      <c r="AF83" s="364"/>
    </row>
    <row r="84" spans="1:34" x14ac:dyDescent="0.25">
      <c r="A84" t="s">
        <v>312</v>
      </c>
      <c r="B84" t="s">
        <v>121</v>
      </c>
      <c r="C84" s="444">
        <v>2032</v>
      </c>
      <c r="D84" s="8" t="s">
        <v>528</v>
      </c>
      <c r="E84" s="8" t="s">
        <v>196</v>
      </c>
      <c r="F84" s="8" t="s">
        <v>195</v>
      </c>
      <c r="G84" s="299">
        <v>20</v>
      </c>
      <c r="H84" s="299">
        <v>2</v>
      </c>
      <c r="I84" s="362"/>
      <c r="J84" s="362"/>
      <c r="K84" s="362"/>
      <c r="L84" s="362"/>
      <c r="M84" s="361">
        <v>46318</v>
      </c>
      <c r="N84" s="363">
        <v>0.97755235587227862</v>
      </c>
      <c r="O84" s="393">
        <v>1.222763261839207</v>
      </c>
      <c r="P84" s="443">
        <v>1.2237796031938195</v>
      </c>
      <c r="Q84" s="363">
        <v>8.3083883597790005E-4</v>
      </c>
      <c r="R84" s="363">
        <v>-1.35612115697E-3</v>
      </c>
      <c r="S84" s="363">
        <v>1.3016040698838999E-3</v>
      </c>
      <c r="T84" s="363">
        <v>2.6577252268538999E-3</v>
      </c>
      <c r="U84" s="392">
        <v>4.6803342932089998E-4</v>
      </c>
      <c r="W84" s="362"/>
      <c r="X84" s="364"/>
      <c r="Z84" s="362"/>
      <c r="AA84" s="364"/>
      <c r="AB84" s="364"/>
      <c r="AF84" s="364"/>
    </row>
    <row r="85" spans="1:34" x14ac:dyDescent="0.25">
      <c r="A85" t="s">
        <v>312</v>
      </c>
      <c r="B85" t="s">
        <v>123</v>
      </c>
      <c r="C85" s="444">
        <v>2032</v>
      </c>
      <c r="D85" s="8" t="s">
        <v>529</v>
      </c>
      <c r="E85" s="8" t="s">
        <v>249</v>
      </c>
      <c r="F85" s="8" t="s">
        <v>250</v>
      </c>
      <c r="G85" s="299">
        <v>20</v>
      </c>
      <c r="H85" s="299">
        <v>2</v>
      </c>
      <c r="I85" s="362"/>
      <c r="J85" s="362"/>
      <c r="K85" s="362"/>
      <c r="L85" s="362"/>
      <c r="M85" s="361">
        <v>46318</v>
      </c>
      <c r="N85" s="363">
        <v>0.89263550742070896</v>
      </c>
      <c r="O85" s="393">
        <v>0.99696785624159523</v>
      </c>
      <c r="P85" s="443">
        <v>1.0019463260870902</v>
      </c>
      <c r="Q85" s="363">
        <v>4.9811844684492E-3</v>
      </c>
      <c r="R85" s="363">
        <v>-3.0841112267718002E-3</v>
      </c>
      <c r="S85" s="363">
        <v>4.9294545706340996E-3</v>
      </c>
      <c r="T85" s="363">
        <v>8.0135657974059003E-3</v>
      </c>
      <c r="U85" s="392">
        <v>1.0911710840251E-3</v>
      </c>
      <c r="W85" s="362"/>
      <c r="X85" s="364"/>
      <c r="Z85" s="362"/>
      <c r="AA85" s="364"/>
      <c r="AB85" s="364"/>
      <c r="AF85" s="364"/>
    </row>
    <row r="86" spans="1:34" x14ac:dyDescent="0.25">
      <c r="A86" t="s">
        <v>312</v>
      </c>
      <c r="B86" t="s">
        <v>121</v>
      </c>
      <c r="C86" s="444">
        <v>2033</v>
      </c>
      <c r="D86" s="8" t="s">
        <v>530</v>
      </c>
      <c r="E86" s="8" t="s">
        <v>198</v>
      </c>
      <c r="F86" s="8" t="s">
        <v>197</v>
      </c>
      <c r="G86" s="299">
        <v>20</v>
      </c>
      <c r="H86" s="299">
        <v>2</v>
      </c>
      <c r="I86" s="362"/>
      <c r="J86" s="362"/>
      <c r="K86" s="362"/>
      <c r="L86" s="362"/>
      <c r="M86" s="361">
        <v>46318</v>
      </c>
      <c r="N86" s="363">
        <v>0.98302679775697244</v>
      </c>
      <c r="O86" s="393">
        <v>1.2173871554267075</v>
      </c>
      <c r="P86" s="443">
        <v>1.2184447067070026</v>
      </c>
      <c r="Q86" s="363">
        <v>8.6832869147009995E-4</v>
      </c>
      <c r="R86" s="363">
        <v>-1.0779276056701E-3</v>
      </c>
      <c r="S86" s="363">
        <v>1.0229183760458E-3</v>
      </c>
      <c r="T86" s="363">
        <v>2.1008459817159E-3</v>
      </c>
      <c r="U86" s="392">
        <v>3.896288071602E-4</v>
      </c>
      <c r="W86" s="362"/>
      <c r="X86" s="364"/>
      <c r="Z86" s="362"/>
      <c r="AA86" s="364"/>
      <c r="AB86" s="364"/>
      <c r="AF86" s="364"/>
    </row>
    <row r="87" spans="1:34" x14ac:dyDescent="0.25">
      <c r="A87" t="s">
        <v>312</v>
      </c>
      <c r="B87" t="s">
        <v>121</v>
      </c>
      <c r="C87" s="444">
        <v>2034</v>
      </c>
      <c r="D87" s="8" t="s">
        <v>531</v>
      </c>
      <c r="E87" s="8" t="s">
        <v>200</v>
      </c>
      <c r="F87" s="8" t="s">
        <v>199</v>
      </c>
      <c r="G87" s="299">
        <v>20</v>
      </c>
      <c r="H87" s="299">
        <v>2</v>
      </c>
      <c r="I87" s="362"/>
      <c r="J87" s="362"/>
      <c r="K87" s="362"/>
      <c r="L87" s="362"/>
      <c r="M87" s="361">
        <v>46318</v>
      </c>
      <c r="N87" s="363">
        <v>0.97594727555025462</v>
      </c>
      <c r="O87" s="393">
        <v>1.2542859925210337</v>
      </c>
      <c r="P87" s="443">
        <v>1.2561708749315259</v>
      </c>
      <c r="Q87" s="363">
        <v>1.5016252930779999E-3</v>
      </c>
      <c r="R87" s="363">
        <v>-1.9076945948119E-3</v>
      </c>
      <c r="S87" s="363">
        <v>1.1017384040390001E-3</v>
      </c>
      <c r="T87" s="363">
        <v>3.0094329988508998E-3</v>
      </c>
      <c r="U87" s="392">
        <v>4.9453693332440003E-4</v>
      </c>
      <c r="W87" s="362"/>
      <c r="X87" s="364"/>
      <c r="Z87" s="362"/>
      <c r="AA87" s="364"/>
      <c r="AB87" s="364"/>
      <c r="AF87" s="364"/>
    </row>
    <row r="88" spans="1:34" x14ac:dyDescent="0.25">
      <c r="A88" t="s">
        <v>312</v>
      </c>
      <c r="B88" t="s">
        <v>121</v>
      </c>
      <c r="C88" s="444">
        <v>2035</v>
      </c>
      <c r="D88" s="8" t="s">
        <v>532</v>
      </c>
      <c r="E88" s="8" t="s">
        <v>202</v>
      </c>
      <c r="F88" s="8" t="s">
        <v>201</v>
      </c>
      <c r="G88" s="299">
        <v>20</v>
      </c>
      <c r="H88" s="299">
        <v>2</v>
      </c>
      <c r="I88" s="362"/>
      <c r="J88" s="362"/>
      <c r="K88" s="362"/>
      <c r="L88" s="362"/>
      <c r="M88" s="361">
        <v>46318</v>
      </c>
      <c r="N88" s="363">
        <v>0.98304220693411082</v>
      </c>
      <c r="O88" s="393">
        <v>1.2463514723918032</v>
      </c>
      <c r="P88" s="443">
        <v>1.2480364607376804</v>
      </c>
      <c r="Q88" s="363">
        <v>1.3510236958684E-3</v>
      </c>
      <c r="R88" s="363">
        <v>-1.4527223480812999E-3</v>
      </c>
      <c r="S88" s="363">
        <v>1.8578145915208999E-3</v>
      </c>
      <c r="T88" s="363">
        <v>3.3105369396022998E-3</v>
      </c>
      <c r="U88" s="392">
        <v>4.8496306978920001E-4</v>
      </c>
      <c r="W88" s="362"/>
      <c r="X88" s="364"/>
      <c r="Z88" s="362"/>
      <c r="AA88" s="364"/>
      <c r="AB88" s="364"/>
      <c r="AF88" s="364"/>
    </row>
    <row r="89" spans="1:34" x14ac:dyDescent="0.25">
      <c r="A89" t="s">
        <v>330</v>
      </c>
      <c r="B89" t="s">
        <v>443</v>
      </c>
      <c r="C89" s="444" t="s">
        <v>445</v>
      </c>
      <c r="D89" s="8" t="s">
        <v>533</v>
      </c>
      <c r="E89" s="8" t="s">
        <v>366</v>
      </c>
      <c r="F89" s="8" t="s">
        <v>367</v>
      </c>
      <c r="G89" s="299">
        <v>20</v>
      </c>
      <c r="H89" s="299">
        <v>2</v>
      </c>
      <c r="I89" s="362"/>
      <c r="J89" s="362"/>
      <c r="K89" s="362"/>
      <c r="L89" s="362"/>
      <c r="M89" s="361">
        <v>46318</v>
      </c>
      <c r="N89" s="363">
        <v>0.99010980832183559</v>
      </c>
      <c r="O89" s="393">
        <v>7.0482265447392306E-2</v>
      </c>
      <c r="P89" s="443">
        <v>7.3317328224910105E-2</v>
      </c>
      <c r="Q89" s="363">
        <v>3.9435858149907098E-2</v>
      </c>
      <c r="R89" s="363">
        <v>-1.1723066464133999E-2</v>
      </c>
      <c r="S89" s="363">
        <v>1.8376006824332599E-2</v>
      </c>
      <c r="T89" s="363">
        <v>3.0099073288466598E-2</v>
      </c>
      <c r="U89" s="392">
        <v>5.3862367434915999E-3</v>
      </c>
      <c r="W89" s="362"/>
      <c r="X89" s="364"/>
      <c r="Z89" s="362"/>
      <c r="AA89" s="364"/>
      <c r="AB89" s="364"/>
      <c r="AF89" s="364"/>
    </row>
    <row r="90" spans="1:34" x14ac:dyDescent="0.25">
      <c r="A90" t="s">
        <v>330</v>
      </c>
      <c r="B90" t="s">
        <v>443</v>
      </c>
      <c r="C90" s="444" t="s">
        <v>444</v>
      </c>
      <c r="D90" s="8" t="s">
        <v>534</v>
      </c>
      <c r="E90" s="8" t="s">
        <v>372</v>
      </c>
      <c r="F90" s="8" t="s">
        <v>373</v>
      </c>
      <c r="G90" s="299">
        <v>20</v>
      </c>
      <c r="H90" s="299">
        <v>2</v>
      </c>
      <c r="I90" s="362"/>
      <c r="J90" s="362"/>
      <c r="K90" s="362"/>
      <c r="L90" s="362"/>
      <c r="M90" s="361">
        <v>46318</v>
      </c>
      <c r="N90" s="363">
        <v>0.98455873400583238</v>
      </c>
      <c r="O90" s="393">
        <v>3.1823804680255945</v>
      </c>
      <c r="P90" s="443">
        <v>3.3748660680622398</v>
      </c>
      <c r="Q90" s="363">
        <v>5.8726148399472197E-2</v>
      </c>
      <c r="R90" s="363">
        <v>-1.4313900153969199E-2</v>
      </c>
      <c r="S90" s="363">
        <v>1.51988909476155E-2</v>
      </c>
      <c r="T90" s="363">
        <v>2.9512791101584699E-2</v>
      </c>
      <c r="U90" s="392">
        <v>6.4031582705239998E-3</v>
      </c>
      <c r="W90" s="362"/>
      <c r="X90" s="364"/>
      <c r="Z90" s="362"/>
      <c r="AA90" s="364"/>
      <c r="AB90" s="364"/>
      <c r="AF90" s="364"/>
    </row>
    <row r="91" spans="1:34" x14ac:dyDescent="0.25">
      <c r="A91" t="s">
        <v>118</v>
      </c>
      <c r="B91" t="s">
        <v>441</v>
      </c>
      <c r="C91" s="444" t="s">
        <v>442</v>
      </c>
      <c r="D91" s="8" t="s">
        <v>535</v>
      </c>
      <c r="E91" s="8" t="s">
        <v>328</v>
      </c>
      <c r="F91" s="8" t="s">
        <v>329</v>
      </c>
      <c r="G91" s="299">
        <v>20</v>
      </c>
      <c r="H91" s="299">
        <v>2</v>
      </c>
      <c r="I91" s="362">
        <v>-3.0000000000000001E-3</v>
      </c>
      <c r="J91" s="362">
        <v>-1E-3</v>
      </c>
      <c r="K91" s="362">
        <v>1.5E-3</v>
      </c>
      <c r="L91" s="362">
        <v>0</v>
      </c>
      <c r="M91" s="361">
        <v>46318</v>
      </c>
      <c r="N91" s="363">
        <v>0.96947809003371321</v>
      </c>
      <c r="O91" s="393">
        <v>1.6079526176959209</v>
      </c>
      <c r="P91" s="443">
        <v>1.6287767714388834</v>
      </c>
      <c r="Q91" s="363">
        <v>1.2867582406766101E-2</v>
      </c>
      <c r="R91" s="363">
        <v>-5.0969593096132004E-3</v>
      </c>
      <c r="S91" s="363">
        <v>4.1028459241259996E-3</v>
      </c>
      <c r="T91" s="363">
        <v>9.1998052337392E-3</v>
      </c>
      <c r="U91" s="392">
        <v>1.6421595949812999E-3</v>
      </c>
      <c r="V91" s="362">
        <v>-2E-3</v>
      </c>
      <c r="W91" s="362">
        <v>-2E-3</v>
      </c>
      <c r="X91" s="364">
        <v>2.19</v>
      </c>
      <c r="Y91" s="362">
        <v>0</v>
      </c>
      <c r="Z91" s="362">
        <v>0</v>
      </c>
      <c r="AA91" s="364">
        <v>4.09</v>
      </c>
      <c r="AB91" s="364">
        <v>0.97</v>
      </c>
      <c r="AC91" s="362">
        <v>8.6E-3</v>
      </c>
      <c r="AD91" s="364">
        <v>2.78</v>
      </c>
      <c r="AE91" s="362">
        <v>1.8800000000000001E-2</v>
      </c>
      <c r="AF91" s="364">
        <v>2.48</v>
      </c>
      <c r="AG91" s="362">
        <v>2.7300000000000001E-2</v>
      </c>
    </row>
    <row r="92" spans="1:34" x14ac:dyDescent="0.25">
      <c r="A92" t="s">
        <v>118</v>
      </c>
      <c r="B92" t="s">
        <v>437</v>
      </c>
      <c r="C92" s="444" t="s">
        <v>438</v>
      </c>
      <c r="D92" s="8" t="s">
        <v>536</v>
      </c>
      <c r="E92" s="8" t="s">
        <v>35</v>
      </c>
      <c r="F92" s="8" t="s">
        <v>42</v>
      </c>
      <c r="G92" s="299">
        <v>20</v>
      </c>
      <c r="H92" s="299">
        <v>2</v>
      </c>
      <c r="I92" s="362">
        <v>-3.0000000000000001E-3</v>
      </c>
      <c r="J92" s="362">
        <v>-2E-3</v>
      </c>
      <c r="K92" s="362">
        <v>2E-3</v>
      </c>
      <c r="L92" s="362">
        <v>1E-3</v>
      </c>
      <c r="M92" s="361">
        <v>46318</v>
      </c>
      <c r="N92" s="363">
        <v>0.95687471042314665</v>
      </c>
      <c r="O92" s="393">
        <v>1.8448816102993719</v>
      </c>
      <c r="P92" s="443">
        <v>1.8751691048315948</v>
      </c>
      <c r="Q92" s="363">
        <v>1.6283737024859898E-2</v>
      </c>
      <c r="R92" s="363">
        <v>-5.5230663650958998E-3</v>
      </c>
      <c r="S92" s="363">
        <v>7.7853826266327999E-3</v>
      </c>
      <c r="T92" s="363">
        <v>1.33084489917288E-2</v>
      </c>
      <c r="U92" s="392">
        <v>2.2980582478455002E-3</v>
      </c>
      <c r="V92" s="362">
        <v>-3.0000000000000001E-3</v>
      </c>
      <c r="W92" s="362">
        <v>-3.0000000000000001E-3</v>
      </c>
      <c r="X92" s="364">
        <v>2.66</v>
      </c>
      <c r="Y92" s="362">
        <v>2E-3</v>
      </c>
      <c r="Z92" s="362">
        <v>1E-3</v>
      </c>
      <c r="AA92" s="364">
        <v>2.73</v>
      </c>
      <c r="AB92" s="364">
        <v>2.31</v>
      </c>
      <c r="AC92" s="362">
        <v>8.5000000000000006E-3</v>
      </c>
      <c r="AD92" s="364">
        <v>2.73</v>
      </c>
      <c r="AE92" s="362">
        <v>2.6499999999999999E-2</v>
      </c>
      <c r="AF92" s="364">
        <v>3.39</v>
      </c>
      <c r="AG92" s="362">
        <v>3.5000000000000003E-2</v>
      </c>
    </row>
    <row r="93" spans="1:34" x14ac:dyDescent="0.25">
      <c r="A93" t="s">
        <v>118</v>
      </c>
      <c r="B93" t="s">
        <v>439</v>
      </c>
      <c r="C93" s="444" t="s">
        <v>440</v>
      </c>
      <c r="D93" s="8" t="s">
        <v>537</v>
      </c>
      <c r="E93" s="8" t="s">
        <v>48</v>
      </c>
      <c r="F93" s="8" t="s">
        <v>38</v>
      </c>
      <c r="G93" s="299">
        <v>20</v>
      </c>
      <c r="H93" s="299">
        <v>2</v>
      </c>
      <c r="I93" s="362">
        <v>-1.1999999999999999E-3</v>
      </c>
      <c r="J93" s="362">
        <v>-2.0000000000000001E-4</v>
      </c>
      <c r="K93" s="362">
        <v>1.1999999999999999E-3</v>
      </c>
      <c r="L93" s="362">
        <v>2.0000000000000001E-4</v>
      </c>
      <c r="M93" s="361">
        <v>46318</v>
      </c>
      <c r="N93" s="363">
        <v>0.98608329013927676</v>
      </c>
      <c r="O93" s="393">
        <v>1.4278306037700603</v>
      </c>
      <c r="P93" s="443">
        <v>1.4335024598673909</v>
      </c>
      <c r="Q93" s="363">
        <v>3.9644902568022004E-3</v>
      </c>
      <c r="R93" s="363">
        <v>-2.1673459386571999E-3</v>
      </c>
      <c r="S93" s="363">
        <v>1.6856122524959E-3</v>
      </c>
      <c r="T93" s="363">
        <v>3.8529581911530999E-3</v>
      </c>
      <c r="U93" s="392">
        <v>7.4621021807630005E-4</v>
      </c>
      <c r="V93" s="362">
        <v>-2.0000000000000001E-4</v>
      </c>
      <c r="W93" s="362">
        <v>-2.0000000000000001E-4</v>
      </c>
      <c r="X93" s="364">
        <v>4.1100000000000003</v>
      </c>
      <c r="Y93" s="362">
        <v>2.0000000000000001E-4</v>
      </c>
      <c r="Z93" s="362">
        <v>2.0000000000000001E-4</v>
      </c>
      <c r="AA93" s="364">
        <v>3.86</v>
      </c>
      <c r="AB93" s="364">
        <v>3.4</v>
      </c>
      <c r="AC93" s="362">
        <v>1.1599999999999999E-2</v>
      </c>
      <c r="AD93" s="364">
        <v>2.74</v>
      </c>
      <c r="AE93" s="362">
        <v>1.04E-2</v>
      </c>
      <c r="AF93" s="364">
        <v>4.3899999999999997</v>
      </c>
      <c r="AG93" s="362">
        <v>2.2100000000000002E-2</v>
      </c>
    </row>
    <row r="94" spans="1:34" x14ac:dyDescent="0.25">
      <c r="A94" t="s">
        <v>118</v>
      </c>
      <c r="B94" t="s">
        <v>434</v>
      </c>
      <c r="C94" s="444" t="s">
        <v>435</v>
      </c>
      <c r="D94" s="8" t="s">
        <v>538</v>
      </c>
      <c r="E94" s="8" t="s">
        <v>34</v>
      </c>
      <c r="F94" s="8" t="s">
        <v>40</v>
      </c>
      <c r="G94" s="299">
        <v>20</v>
      </c>
      <c r="H94" s="299">
        <v>2</v>
      </c>
      <c r="I94" s="362">
        <v>-3.0000000000000001E-3</v>
      </c>
      <c r="J94" s="362">
        <v>-2E-3</v>
      </c>
      <c r="K94" s="362">
        <v>1.5E-3</v>
      </c>
      <c r="L94" s="362">
        <v>5.0000000000000001E-4</v>
      </c>
      <c r="M94" s="361">
        <v>46318</v>
      </c>
      <c r="N94" s="363">
        <v>0.94698453277467576</v>
      </c>
      <c r="O94" s="393">
        <v>1.0339425143655769</v>
      </c>
      <c r="P94" s="443">
        <v>1.0459855767459889</v>
      </c>
      <c r="Q94" s="363">
        <v>1.1580397436261399E-2</v>
      </c>
      <c r="R94" s="363">
        <v>-3.8656138125326002E-3</v>
      </c>
      <c r="S94" s="363">
        <v>1.6692684426821E-3</v>
      </c>
      <c r="T94" s="363">
        <v>5.5348822552148003E-3</v>
      </c>
      <c r="U94" s="392">
        <v>1.2515885786259001E-3</v>
      </c>
      <c r="V94" s="362">
        <v>-2E-3</v>
      </c>
      <c r="W94" s="362">
        <v>-2E-3</v>
      </c>
      <c r="X94" s="364">
        <v>3.32</v>
      </c>
      <c r="Y94" s="362">
        <v>5.0000000000000001E-4</v>
      </c>
      <c r="Z94" s="362">
        <v>5.0000000000000001E-4</v>
      </c>
      <c r="AA94" s="364">
        <v>2.0099999999999998</v>
      </c>
      <c r="AB94" s="364">
        <v>2.4</v>
      </c>
      <c r="AC94" s="362">
        <v>7.1000000000000004E-3</v>
      </c>
      <c r="AD94" s="364">
        <v>0.02</v>
      </c>
      <c r="AE94" s="362">
        <v>1E-4</v>
      </c>
      <c r="AF94" s="364">
        <v>1.58</v>
      </c>
      <c r="AG94" s="362">
        <v>7.1000000000000004E-3</v>
      </c>
      <c r="AH94" t="s">
        <v>358</v>
      </c>
    </row>
    <row r="95" spans="1:34" x14ac:dyDescent="0.25">
      <c r="A95" t="s">
        <v>105</v>
      </c>
      <c r="B95" t="s">
        <v>109</v>
      </c>
      <c r="C95" s="444" t="s">
        <v>552</v>
      </c>
      <c r="D95" s="8" t="s">
        <v>539</v>
      </c>
      <c r="E95" s="374" t="s">
        <v>83</v>
      </c>
      <c r="F95" s="8" t="s">
        <v>81</v>
      </c>
      <c r="G95" s="299">
        <v>20</v>
      </c>
      <c r="H95" s="299">
        <v>1</v>
      </c>
      <c r="I95" s="362">
        <v>-2.5000000000000001E-3</v>
      </c>
      <c r="J95" s="362">
        <v>-5.0000000000000001E-4</v>
      </c>
      <c r="K95" s="362">
        <v>3.0000000000000001E-3</v>
      </c>
      <c r="L95" s="362">
        <v>2E-3</v>
      </c>
      <c r="M95" s="361">
        <v>46318</v>
      </c>
      <c r="N95" s="363">
        <v>0.99788198243546045</v>
      </c>
      <c r="O95" s="393">
        <v>1.0527408583544688</v>
      </c>
      <c r="P95" s="443">
        <v>1.0636523928805075</v>
      </c>
      <c r="Q95" s="363">
        <v>1.0311534685475901E-2</v>
      </c>
      <c r="R95" s="363">
        <v>-4.4874546304296999E-3</v>
      </c>
      <c r="S95" s="363">
        <v>4.9749463107642E-3</v>
      </c>
      <c r="T95" s="363">
        <v>9.4624009411938999E-3</v>
      </c>
      <c r="U95" s="392">
        <v>1.7802500517986001E-3</v>
      </c>
      <c r="V95" s="362">
        <v>-2E-3</v>
      </c>
      <c r="W95" s="362">
        <v>-2E-3</v>
      </c>
      <c r="X95" s="364">
        <v>2.91</v>
      </c>
      <c r="Y95" s="362">
        <v>3.0000000000000001E-3</v>
      </c>
      <c r="Z95" s="362">
        <v>2E-3</v>
      </c>
      <c r="AA95" s="364">
        <v>2.08</v>
      </c>
      <c r="AB95" s="364">
        <v>1.91</v>
      </c>
      <c r="AC95" s="362">
        <v>8.6E-3</v>
      </c>
      <c r="AD95" s="364">
        <v>2.08</v>
      </c>
      <c r="AE95" s="362">
        <v>6.6E-3</v>
      </c>
      <c r="AF95" s="364">
        <v>2.79</v>
      </c>
      <c r="AG95" s="362">
        <v>1.52E-2</v>
      </c>
    </row>
    <row r="96" spans="1:34" x14ac:dyDescent="0.25">
      <c r="A96" t="s">
        <v>105</v>
      </c>
      <c r="B96" t="s">
        <v>111</v>
      </c>
      <c r="C96" s="444" t="s">
        <v>552</v>
      </c>
      <c r="D96" s="8" t="s">
        <v>540</v>
      </c>
      <c r="E96" s="374" t="s">
        <v>86</v>
      </c>
      <c r="F96" s="8" t="s">
        <v>84</v>
      </c>
      <c r="G96" s="299">
        <v>20</v>
      </c>
      <c r="H96" s="299">
        <v>1</v>
      </c>
      <c r="I96" s="386">
        <v>-4.0000000000000001E-3</v>
      </c>
      <c r="J96" s="386">
        <v>-1E-3</v>
      </c>
      <c r="K96" s="362">
        <v>5.0000000000000001E-3</v>
      </c>
      <c r="L96" s="362">
        <v>1E-3</v>
      </c>
      <c r="M96" s="361">
        <v>46318</v>
      </c>
      <c r="N96" s="363">
        <v>0.97704068779297604</v>
      </c>
      <c r="O96" s="393">
        <v>2.340591625355255</v>
      </c>
      <c r="P96" s="443">
        <v>2.3918929128833391</v>
      </c>
      <c r="Q96" s="363">
        <v>2.1681337463199099E-2</v>
      </c>
      <c r="R96" s="363">
        <v>-5.9933007743885004E-3</v>
      </c>
      <c r="S96" s="363">
        <v>1.20056583428731E-2</v>
      </c>
      <c r="T96" s="363">
        <v>1.7998959117261699E-2</v>
      </c>
      <c r="U96" s="392">
        <v>3.6369938695049002E-3</v>
      </c>
      <c r="V96" s="362">
        <v>-4.0000000000000001E-3</v>
      </c>
      <c r="W96" s="362">
        <v>-1E-3</v>
      </c>
      <c r="X96" s="364">
        <v>2.75</v>
      </c>
      <c r="Y96" s="362">
        <v>5.0000000000000001E-3</v>
      </c>
      <c r="Z96" s="362">
        <v>1E-3</v>
      </c>
      <c r="AA96" s="364">
        <v>2</v>
      </c>
      <c r="AB96" s="387">
        <v>2.75</v>
      </c>
      <c r="AC96" s="386">
        <v>1.7500000000000002E-2</v>
      </c>
      <c r="AD96" s="387">
        <v>2</v>
      </c>
      <c r="AE96" s="362">
        <v>1.9400000000000001E-2</v>
      </c>
      <c r="AF96" s="364">
        <v>3.21</v>
      </c>
      <c r="AG96" s="362">
        <v>3.6999999999999998E-2</v>
      </c>
    </row>
    <row r="97" spans="1:33" x14ac:dyDescent="0.25">
      <c r="A97" t="s">
        <v>105</v>
      </c>
      <c r="B97" t="s">
        <v>128</v>
      </c>
      <c r="C97" s="444" t="s">
        <v>552</v>
      </c>
      <c r="D97" s="8" t="s">
        <v>541</v>
      </c>
      <c r="E97" s="374" t="s">
        <v>100</v>
      </c>
      <c r="F97" s="8" t="s">
        <v>98</v>
      </c>
      <c r="G97" s="299">
        <v>20</v>
      </c>
      <c r="H97" s="299">
        <v>1</v>
      </c>
      <c r="I97" s="362">
        <v>-2E-3</v>
      </c>
      <c r="J97" s="362">
        <v>0</v>
      </c>
      <c r="K97" s="362">
        <v>3.0000000000000001E-3</v>
      </c>
      <c r="L97" s="362">
        <v>0</v>
      </c>
      <c r="M97" s="361">
        <v>46318</v>
      </c>
      <c r="N97" s="363">
        <v>0.979552316708306</v>
      </c>
      <c r="O97" s="393">
        <v>1.3248174175053735</v>
      </c>
      <c r="P97" s="443">
        <v>1.3776231972783539</v>
      </c>
      <c r="Q97" s="363">
        <v>3.9085041622606002E-2</v>
      </c>
      <c r="R97" s="363">
        <v>-2.4452441042047499E-2</v>
      </c>
      <c r="S97" s="363">
        <v>2.8385810752736301E-2</v>
      </c>
      <c r="T97" s="363">
        <v>5.2838251794783901E-2</v>
      </c>
      <c r="U97" s="392">
        <v>7.5027165703357998E-3</v>
      </c>
      <c r="V97" s="362">
        <v>-1E-3</v>
      </c>
      <c r="W97" s="362">
        <v>-1E-3</v>
      </c>
      <c r="X97" s="364">
        <v>2.4500000000000002</v>
      </c>
      <c r="Y97" s="362">
        <v>3.0000000000000001E-3</v>
      </c>
      <c r="Z97" s="362">
        <v>0</v>
      </c>
      <c r="AA97" s="364">
        <v>2.52</v>
      </c>
      <c r="AB97" s="364">
        <v>2.06</v>
      </c>
      <c r="AC97" s="362">
        <v>5.5599999999999997E-2</v>
      </c>
      <c r="AD97" s="364">
        <v>2.52</v>
      </c>
      <c r="AE97" s="362">
        <v>7.1099999999999997E-2</v>
      </c>
      <c r="AF97" s="364">
        <v>3.28</v>
      </c>
      <c r="AG97" s="362">
        <v>0.12670000000000001</v>
      </c>
    </row>
    <row r="98" spans="1:33" x14ac:dyDescent="0.25">
      <c r="A98" t="s">
        <v>105</v>
      </c>
      <c r="B98" t="s">
        <v>108</v>
      </c>
      <c r="C98" s="444" t="s">
        <v>552</v>
      </c>
      <c r="D98" s="8" t="s">
        <v>542</v>
      </c>
      <c r="E98" s="374" t="s">
        <v>96</v>
      </c>
      <c r="F98" s="8" t="s">
        <v>94</v>
      </c>
      <c r="G98" s="299">
        <v>20</v>
      </c>
      <c r="H98" s="299">
        <v>1</v>
      </c>
      <c r="I98" s="363"/>
      <c r="J98" s="362"/>
      <c r="K98" s="363"/>
      <c r="L98" s="362"/>
      <c r="M98" s="361">
        <v>46318</v>
      </c>
      <c r="N98" s="363">
        <v>0.99080695038585176</v>
      </c>
      <c r="O98" s="393">
        <v>2.3011872318921021</v>
      </c>
      <c r="P98" s="443">
        <v>2.3304582761405381</v>
      </c>
      <c r="Q98" s="363">
        <v>1.26397557413049E-2</v>
      </c>
      <c r="R98" s="363">
        <v>-1.02759822607736E-2</v>
      </c>
      <c r="S98" s="363">
        <v>8.9121391235282999E-3</v>
      </c>
      <c r="T98" s="363">
        <v>1.9188121384301999E-2</v>
      </c>
      <c r="U98" s="392">
        <v>3.2237296071836001E-3</v>
      </c>
      <c r="V98" s="363"/>
      <c r="W98" s="362"/>
      <c r="X98" s="364"/>
      <c r="Y98" s="363"/>
      <c r="Z98" s="362"/>
      <c r="AA98" s="364"/>
      <c r="AB98" s="364"/>
      <c r="AF98" s="388"/>
    </row>
    <row r="99" spans="1:33" x14ac:dyDescent="0.25">
      <c r="A99" t="s">
        <v>105</v>
      </c>
      <c r="B99" t="s">
        <v>107</v>
      </c>
      <c r="C99" s="444" t="s">
        <v>552</v>
      </c>
      <c r="D99" s="8" t="s">
        <v>543</v>
      </c>
      <c r="E99" s="374" t="s">
        <v>104</v>
      </c>
      <c r="F99" s="8" t="s">
        <v>102</v>
      </c>
      <c r="G99" s="299">
        <v>20</v>
      </c>
      <c r="H99" s="299">
        <v>1</v>
      </c>
      <c r="I99" s="362">
        <v>-3.0000000000000001E-3</v>
      </c>
      <c r="J99" s="362">
        <v>0</v>
      </c>
      <c r="K99" s="362">
        <v>6.0000000000000001E-3</v>
      </c>
      <c r="L99" s="362">
        <v>0</v>
      </c>
      <c r="M99" s="361">
        <v>46318</v>
      </c>
      <c r="N99" s="363">
        <v>0.99486821100502598</v>
      </c>
      <c r="O99" s="393">
        <v>2.525150775465161</v>
      </c>
      <c r="P99" s="443">
        <v>2.556594788872784</v>
      </c>
      <c r="Q99" s="363">
        <v>1.23754384459367E-2</v>
      </c>
      <c r="R99" s="363">
        <v>-6.3506774616164004E-3</v>
      </c>
      <c r="S99" s="363">
        <v>6.7524062777996E-3</v>
      </c>
      <c r="T99" s="363">
        <v>1.3103083739416099E-2</v>
      </c>
      <c r="U99" s="392">
        <v>2.0885290921590998E-3</v>
      </c>
      <c r="V99" s="362">
        <v>-1.5E-3</v>
      </c>
      <c r="W99" s="362">
        <v>0</v>
      </c>
      <c r="X99" s="364">
        <v>2.78</v>
      </c>
      <c r="Y99" s="362">
        <v>0</v>
      </c>
      <c r="Z99" s="362">
        <v>0</v>
      </c>
      <c r="AA99" s="364">
        <v>2.89</v>
      </c>
      <c r="AB99" s="364">
        <v>2.2599999999999998</v>
      </c>
      <c r="AC99" s="362">
        <v>9.9000000000000008E-3</v>
      </c>
      <c r="AD99" s="364">
        <v>1.47</v>
      </c>
      <c r="AE99" s="362">
        <v>3.8999999999999998E-3</v>
      </c>
      <c r="AF99" s="364">
        <v>2.71</v>
      </c>
      <c r="AG99" s="362">
        <v>1.38E-2</v>
      </c>
    </row>
    <row r="100" spans="1:33" x14ac:dyDescent="0.25">
      <c r="A100" t="s">
        <v>416</v>
      </c>
      <c r="B100" t="s">
        <v>220</v>
      </c>
      <c r="C100" s="444" t="s">
        <v>552</v>
      </c>
      <c r="D100" s="8" t="s">
        <v>544</v>
      </c>
      <c r="E100" s="8" t="s">
        <v>218</v>
      </c>
      <c r="F100" s="8" t="s">
        <v>219</v>
      </c>
      <c r="G100" s="299">
        <v>20</v>
      </c>
      <c r="H100" s="299">
        <v>0</v>
      </c>
      <c r="I100" s="362"/>
      <c r="J100" s="362"/>
      <c r="K100" s="362"/>
      <c r="L100" s="362"/>
      <c r="M100" s="361">
        <v>46318</v>
      </c>
      <c r="N100" s="363">
        <v>0.99262991286172175</v>
      </c>
      <c r="O100" s="393">
        <v>0.98722463826862761</v>
      </c>
      <c r="P100" s="443">
        <v>1.0288671058277989</v>
      </c>
      <c r="Q100" s="363">
        <v>4.1315968070998799E-2</v>
      </c>
      <c r="R100" s="363">
        <v>-2.0014258635798601E-2</v>
      </c>
      <c r="S100" s="363">
        <v>1.7100127450568402E-2</v>
      </c>
      <c r="T100" s="363">
        <v>3.71143860863671E-2</v>
      </c>
      <c r="U100" s="392">
        <v>6.6054501297381002E-3</v>
      </c>
      <c r="W100" s="362"/>
      <c r="X100" s="364"/>
      <c r="Z100" s="362"/>
      <c r="AA100" s="364"/>
      <c r="AB100" s="364"/>
      <c r="AF100" s="364"/>
    </row>
    <row r="101" spans="1:33" x14ac:dyDescent="0.25">
      <c r="B101" s="450"/>
      <c r="L101" s="393"/>
    </row>
    <row r="102" spans="1:33" x14ac:dyDescent="0.25">
      <c r="A102" t="s">
        <v>105</v>
      </c>
      <c r="B102" t="s">
        <v>112</v>
      </c>
      <c r="C102" t="s">
        <v>0</v>
      </c>
      <c r="E102" s="8" t="s">
        <v>147</v>
      </c>
      <c r="F102" s="8" t="s">
        <v>149</v>
      </c>
      <c r="H102" s="299">
        <v>2</v>
      </c>
      <c r="K102" s="4">
        <v>3.89949708038103</v>
      </c>
      <c r="L102" s="443" t="e">
        <f>LN(K102/#REF!)</f>
        <v>#REF!</v>
      </c>
      <c r="M102" s="362">
        <v>-2.1402257471572799E-2</v>
      </c>
      <c r="N102" s="362">
        <v>2.18750120822035E-2</v>
      </c>
      <c r="O102" s="362">
        <f t="shared" ref="O102:O110" si="0">N102-M102</f>
        <v>4.3277269553776296E-2</v>
      </c>
      <c r="P102" s="362"/>
      <c r="Q102" s="394"/>
      <c r="T102" s="392"/>
    </row>
    <row r="103" spans="1:33" x14ac:dyDescent="0.25">
      <c r="A103" t="s">
        <v>105</v>
      </c>
      <c r="B103" t="s">
        <v>109</v>
      </c>
      <c r="C103" t="s">
        <v>0</v>
      </c>
      <c r="E103" s="8" t="s">
        <v>81</v>
      </c>
      <c r="F103" s="8" t="s">
        <v>82</v>
      </c>
      <c r="H103" s="299">
        <v>2</v>
      </c>
      <c r="K103" s="4">
        <v>2.6841943526268701</v>
      </c>
      <c r="L103" s="443" t="e">
        <f>LN(K103/#REF!)</f>
        <v>#REF!</v>
      </c>
      <c r="M103" s="362">
        <v>-4.2201734384014903E-3</v>
      </c>
      <c r="N103" s="362">
        <v>7.0581426128611098E-3</v>
      </c>
      <c r="O103" s="362">
        <f t="shared" si="0"/>
        <v>1.12783160512626E-2</v>
      </c>
      <c r="P103" s="362"/>
      <c r="Q103" s="394"/>
      <c r="T103" s="392"/>
    </row>
    <row r="104" spans="1:33" x14ac:dyDescent="0.25">
      <c r="A104" t="s">
        <v>105</v>
      </c>
      <c r="B104" t="s">
        <v>111</v>
      </c>
      <c r="C104" t="s">
        <v>0</v>
      </c>
      <c r="E104" s="8" t="s">
        <v>84</v>
      </c>
      <c r="F104" s="8" t="s">
        <v>85</v>
      </c>
      <c r="H104" s="299">
        <v>2</v>
      </c>
      <c r="K104" s="4">
        <v>1.0361922810840101</v>
      </c>
      <c r="L104" s="443" t="e">
        <f>LN(K104/#REF!)</f>
        <v>#REF!</v>
      </c>
      <c r="M104" s="362">
        <v>-8.8032123825678293E-3</v>
      </c>
      <c r="N104" s="362">
        <v>6.13822179881599E-3</v>
      </c>
      <c r="O104" s="362">
        <f t="shared" si="0"/>
        <v>1.4941434181383819E-2</v>
      </c>
      <c r="P104" s="362"/>
      <c r="Q104" s="394"/>
      <c r="T104" s="392"/>
    </row>
    <row r="105" spans="1:33" x14ac:dyDescent="0.25">
      <c r="A105" t="s">
        <v>105</v>
      </c>
      <c r="B105" t="s">
        <v>110</v>
      </c>
      <c r="C105" t="s">
        <v>0</v>
      </c>
      <c r="E105" s="8" t="s">
        <v>88</v>
      </c>
      <c r="F105" s="8" t="s">
        <v>89</v>
      </c>
      <c r="H105" s="299">
        <v>2</v>
      </c>
      <c r="K105" s="4">
        <v>4.4662171697211903</v>
      </c>
      <c r="L105" s="443" t="e">
        <f>LN(K105/#REF!)</f>
        <v>#REF!</v>
      </c>
      <c r="M105" s="362">
        <v>-6.88760418600258E-3</v>
      </c>
      <c r="N105" s="362">
        <v>5.8924065703960596E-3</v>
      </c>
      <c r="O105" s="362">
        <f t="shared" si="0"/>
        <v>1.278001075639864E-2</v>
      </c>
      <c r="P105" s="362"/>
      <c r="Q105" s="394"/>
    </row>
    <row r="106" spans="1:33" x14ac:dyDescent="0.25">
      <c r="A106" t="s">
        <v>105</v>
      </c>
      <c r="B106" t="s">
        <v>131</v>
      </c>
      <c r="C106" t="s">
        <v>0</v>
      </c>
      <c r="E106" s="8" t="s">
        <v>115</v>
      </c>
      <c r="F106" s="8" t="s">
        <v>114</v>
      </c>
      <c r="H106" s="299">
        <v>2</v>
      </c>
      <c r="K106" s="4">
        <v>2.16843042718738</v>
      </c>
      <c r="L106" s="443" t="e">
        <f>LN(K106/#REF!)</f>
        <v>#REF!</v>
      </c>
      <c r="M106" s="362">
        <v>-1.7964852693427999E-2</v>
      </c>
      <c r="N106" s="362">
        <v>1.96440418603504E-2</v>
      </c>
      <c r="O106" s="362">
        <f t="shared" si="0"/>
        <v>3.7608894553778402E-2</v>
      </c>
      <c r="P106" s="362"/>
      <c r="Q106" s="394"/>
    </row>
    <row r="107" spans="1:33" x14ac:dyDescent="0.25">
      <c r="A107" t="s">
        <v>105</v>
      </c>
      <c r="B107" t="s">
        <v>106</v>
      </c>
      <c r="C107" t="s">
        <v>0</v>
      </c>
      <c r="E107" s="8" t="s">
        <v>116</v>
      </c>
      <c r="F107" s="8" t="s">
        <v>78</v>
      </c>
      <c r="H107" s="299">
        <v>2</v>
      </c>
      <c r="K107" s="4">
        <v>3.2341039385043402</v>
      </c>
      <c r="L107" s="443" t="e">
        <f>LN(K107/#REF!)</f>
        <v>#REF!</v>
      </c>
      <c r="M107" s="362">
        <v>-1.7457970168889201E-2</v>
      </c>
      <c r="N107" s="362">
        <v>2.0389290240873201E-2</v>
      </c>
      <c r="O107" s="362">
        <f t="shared" si="0"/>
        <v>3.7847260409762398E-2</v>
      </c>
      <c r="P107" s="362"/>
      <c r="Q107" s="394"/>
    </row>
    <row r="108" spans="1:33" x14ac:dyDescent="0.25">
      <c r="A108" t="s">
        <v>105</v>
      </c>
      <c r="B108" t="s">
        <v>128</v>
      </c>
      <c r="C108" t="s">
        <v>0</v>
      </c>
      <c r="E108" s="8" t="s">
        <v>99</v>
      </c>
      <c r="F108" s="8" t="s">
        <v>98</v>
      </c>
      <c r="H108" s="299">
        <v>2</v>
      </c>
      <c r="K108" s="4">
        <v>2.11441165022952</v>
      </c>
      <c r="L108" s="443" t="e">
        <f>LN(K108/#REF!)</f>
        <v>#REF!</v>
      </c>
      <c r="M108" s="362">
        <v>-1.3007758065552299E-2</v>
      </c>
      <c r="N108" s="362">
        <v>1.81562358604801E-2</v>
      </c>
      <c r="O108" s="362">
        <f t="shared" si="0"/>
        <v>3.1163993926032398E-2</v>
      </c>
      <c r="P108" s="362"/>
      <c r="Q108" s="394"/>
    </row>
    <row r="109" spans="1:33" x14ac:dyDescent="0.25">
      <c r="A109" t="s">
        <v>105</v>
      </c>
      <c r="B109" t="s">
        <v>107</v>
      </c>
      <c r="C109" t="s">
        <v>0</v>
      </c>
      <c r="E109" s="8" t="s">
        <v>102</v>
      </c>
      <c r="F109" s="8" t="s">
        <v>103</v>
      </c>
      <c r="H109" s="299">
        <v>2</v>
      </c>
      <c r="K109" s="4">
        <v>1.7180361552574901</v>
      </c>
      <c r="L109" s="443" t="e">
        <f>LN(K109/#REF!)</f>
        <v>#REF!</v>
      </c>
      <c r="M109" s="362">
        <v>-4.0131350276482397E-3</v>
      </c>
      <c r="N109" s="362">
        <v>5.1690556672329404E-3</v>
      </c>
      <c r="O109" s="362">
        <f t="shared" si="0"/>
        <v>9.1821906948811802E-3</v>
      </c>
      <c r="P109" s="362"/>
      <c r="Q109" s="394"/>
    </row>
    <row r="110" spans="1:33" x14ac:dyDescent="0.25">
      <c r="A110" t="s">
        <v>105</v>
      </c>
      <c r="B110" t="s">
        <v>108</v>
      </c>
      <c r="C110" t="s">
        <v>0</v>
      </c>
      <c r="E110" s="8" t="s">
        <v>95</v>
      </c>
      <c r="F110" s="8" t="s">
        <v>94</v>
      </c>
      <c r="H110" s="299">
        <v>2</v>
      </c>
      <c r="K110" s="4">
        <v>1.06045822514183</v>
      </c>
      <c r="L110" s="443" t="e">
        <f>LN(K110/#REF!)</f>
        <v>#REF!</v>
      </c>
      <c r="M110" s="362">
        <v>-2.0947909813543498E-3</v>
      </c>
      <c r="N110" s="362">
        <v>4.5700691544455297E-3</v>
      </c>
      <c r="O110" s="362">
        <f t="shared" si="0"/>
        <v>6.6648601357998799E-3</v>
      </c>
      <c r="P110" s="362"/>
      <c r="Q110" s="394"/>
    </row>
    <row r="112" spans="1:33" x14ac:dyDescent="0.25">
      <c r="E112" t="s">
        <v>360</v>
      </c>
      <c r="F112" t="s">
        <v>361</v>
      </c>
      <c r="G112"/>
    </row>
    <row r="113" spans="5:17" x14ac:dyDescent="0.25">
      <c r="E113" t="s">
        <v>359</v>
      </c>
    </row>
    <row r="117" spans="5:17" x14ac:dyDescent="0.25">
      <c r="L117" s="393"/>
      <c r="M117" s="442"/>
      <c r="N117" s="442"/>
      <c r="O117" s="442"/>
      <c r="P117" s="442"/>
      <c r="Q117" s="361"/>
    </row>
    <row r="126" spans="5:17" x14ac:dyDescent="0.25">
      <c r="E126" s="441"/>
    </row>
    <row r="127" spans="5:17" x14ac:dyDescent="0.25">
      <c r="E127" s="441"/>
    </row>
    <row r="128" spans="5:17" x14ac:dyDescent="0.25">
      <c r="E128" s="441"/>
    </row>
    <row r="129" spans="5:5" x14ac:dyDescent="0.25">
      <c r="E129" s="441"/>
    </row>
    <row r="131" spans="5:5" x14ac:dyDescent="0.25">
      <c r="E131" s="441"/>
    </row>
    <row r="134" spans="5:5" x14ac:dyDescent="0.25">
      <c r="E134" s="441"/>
    </row>
    <row r="135" spans="5:5" x14ac:dyDescent="0.25">
      <c r="E135" s="441"/>
    </row>
    <row r="136" spans="5:5" x14ac:dyDescent="0.25">
      <c r="E136" s="441"/>
    </row>
    <row r="137" spans="5:5" x14ac:dyDescent="0.25">
      <c r="E137" s="441"/>
    </row>
    <row r="138" spans="5:5" x14ac:dyDescent="0.25">
      <c r="E138" s="441"/>
    </row>
    <row r="140" spans="5:5" x14ac:dyDescent="0.25">
      <c r="E140" s="441"/>
    </row>
    <row r="141" spans="5:5" x14ac:dyDescent="0.25">
      <c r="E141" s="441"/>
    </row>
    <row r="142" spans="5:5" x14ac:dyDescent="0.25">
      <c r="E142" s="441"/>
    </row>
    <row r="143" spans="5:5" x14ac:dyDescent="0.25">
      <c r="E143" s="441"/>
    </row>
    <row r="146" spans="5:5" x14ac:dyDescent="0.25">
      <c r="E146" s="441"/>
    </row>
    <row r="147" spans="5:5" x14ac:dyDescent="0.25">
      <c r="E147" s="441"/>
    </row>
    <row r="148" spans="5:5" x14ac:dyDescent="0.25">
      <c r="E148" s="441"/>
    </row>
    <row r="149" spans="5:5" x14ac:dyDescent="0.25">
      <c r="E149" s="441"/>
    </row>
    <row r="150" spans="5:5" x14ac:dyDescent="0.25">
      <c r="E150" s="441"/>
    </row>
    <row r="151" spans="5:5" x14ac:dyDescent="0.25">
      <c r="E151" s="441"/>
    </row>
    <row r="153" spans="5:5" x14ac:dyDescent="0.25">
      <c r="E153" s="441"/>
    </row>
    <row r="154" spans="5:5" x14ac:dyDescent="0.25">
      <c r="E154" s="441"/>
    </row>
    <row r="155" spans="5:5" x14ac:dyDescent="0.25">
      <c r="E155" s="441"/>
    </row>
    <row r="156" spans="5:5" x14ac:dyDescent="0.25">
      <c r="E156" s="441"/>
    </row>
    <row r="158" spans="5:5" x14ac:dyDescent="0.25">
      <c r="E158" s="441"/>
    </row>
    <row r="159" spans="5:5" x14ac:dyDescent="0.25">
      <c r="E159" s="441"/>
    </row>
    <row r="160" spans="5:5" x14ac:dyDescent="0.25">
      <c r="E160" s="441"/>
    </row>
    <row r="161" spans="5:5" x14ac:dyDescent="0.25">
      <c r="E161" s="441"/>
    </row>
    <row r="162" spans="5:5" x14ac:dyDescent="0.25">
      <c r="E162" s="441"/>
    </row>
    <row r="163" spans="5:5" x14ac:dyDescent="0.25">
      <c r="E163" s="441"/>
    </row>
    <row r="164" spans="5:5" x14ac:dyDescent="0.25">
      <c r="E164" s="441"/>
    </row>
    <row r="165" spans="5:5" x14ac:dyDescent="0.25">
      <c r="E165" s="441"/>
    </row>
    <row r="166" spans="5:5" x14ac:dyDescent="0.25">
      <c r="E166" s="441"/>
    </row>
    <row r="167" spans="5:5" x14ac:dyDescent="0.25">
      <c r="E167" s="441"/>
    </row>
    <row r="168" spans="5:5" x14ac:dyDescent="0.25">
      <c r="E168" s="441"/>
    </row>
    <row r="169" spans="5:5" x14ac:dyDescent="0.25">
      <c r="E169" s="441"/>
    </row>
    <row r="170" spans="5:5" x14ac:dyDescent="0.25">
      <c r="E170" s="441"/>
    </row>
    <row r="171" spans="5:5" x14ac:dyDescent="0.25">
      <c r="E171" s="441"/>
    </row>
    <row r="172" spans="5:5" x14ac:dyDescent="0.25">
      <c r="E172" s="441"/>
    </row>
    <row r="173" spans="5:5" x14ac:dyDescent="0.25">
      <c r="E173" s="441"/>
    </row>
    <row r="174" spans="5:5" x14ac:dyDescent="0.25">
      <c r="E174" s="441"/>
    </row>
    <row r="175" spans="5:5" x14ac:dyDescent="0.25">
      <c r="E175" s="441"/>
    </row>
    <row r="176" spans="5:5" x14ac:dyDescent="0.25">
      <c r="E176" s="441"/>
    </row>
    <row r="177" spans="5:5" x14ac:dyDescent="0.25">
      <c r="E177" s="441"/>
    </row>
    <row r="178" spans="5:5" x14ac:dyDescent="0.25">
      <c r="E178" s="441"/>
    </row>
    <row r="179" spans="5:5" x14ac:dyDescent="0.25">
      <c r="E179" s="441"/>
    </row>
    <row r="180" spans="5:5" x14ac:dyDescent="0.25">
      <c r="E180" s="441"/>
    </row>
    <row r="181" spans="5:5" x14ac:dyDescent="0.25">
      <c r="E181" s="441"/>
    </row>
    <row r="182" spans="5:5" x14ac:dyDescent="0.25">
      <c r="E182" s="441"/>
    </row>
    <row r="183" spans="5:5" x14ac:dyDescent="0.25">
      <c r="E183" s="441"/>
    </row>
    <row r="184" spans="5:5" x14ac:dyDescent="0.25">
      <c r="E184" s="441"/>
    </row>
    <row r="185" spans="5:5" x14ac:dyDescent="0.25">
      <c r="E185" s="441"/>
    </row>
    <row r="186" spans="5:5" x14ac:dyDescent="0.25">
      <c r="E186" s="441"/>
    </row>
    <row r="187" spans="5:5" x14ac:dyDescent="0.25">
      <c r="E187" s="441"/>
    </row>
    <row r="188" spans="5:5" x14ac:dyDescent="0.25">
      <c r="E188" s="441"/>
    </row>
    <row r="189" spans="5:5" x14ac:dyDescent="0.25">
      <c r="E189" s="441"/>
    </row>
    <row r="190" spans="5:5" x14ac:dyDescent="0.25">
      <c r="E190" s="441"/>
    </row>
    <row r="191" spans="5:5" x14ac:dyDescent="0.25">
      <c r="E191" s="441"/>
    </row>
    <row r="192" spans="5:5" x14ac:dyDescent="0.25">
      <c r="E192" s="441"/>
    </row>
    <row r="193" spans="5:5" x14ac:dyDescent="0.25">
      <c r="E193" s="441"/>
    </row>
    <row r="194" spans="5:5" x14ac:dyDescent="0.25">
      <c r="E194" s="441"/>
    </row>
    <row r="195" spans="5:5" x14ac:dyDescent="0.25">
      <c r="E195" s="441"/>
    </row>
    <row r="196" spans="5:5" x14ac:dyDescent="0.25">
      <c r="E196" s="441"/>
    </row>
    <row r="197" spans="5:5" x14ac:dyDescent="0.25">
      <c r="E197" s="441"/>
    </row>
    <row r="198" spans="5:5" x14ac:dyDescent="0.25">
      <c r="E198" s="441"/>
    </row>
    <row r="199" spans="5:5" x14ac:dyDescent="0.25">
      <c r="E199" s="441"/>
    </row>
    <row r="200" spans="5:5" x14ac:dyDescent="0.25">
      <c r="E200" s="441"/>
    </row>
    <row r="201" spans="5:5" x14ac:dyDescent="0.25">
      <c r="E201" s="441"/>
    </row>
    <row r="202" spans="5:5" x14ac:dyDescent="0.25">
      <c r="E202" s="441"/>
    </row>
    <row r="203" spans="5:5" x14ac:dyDescent="0.25">
      <c r="E203" s="441"/>
    </row>
    <row r="204" spans="5:5" x14ac:dyDescent="0.25">
      <c r="E204" s="441"/>
    </row>
    <row r="205" spans="5:5" x14ac:dyDescent="0.25">
      <c r="E205" s="441"/>
    </row>
    <row r="206" spans="5:5" x14ac:dyDescent="0.25">
      <c r="E206" s="441"/>
    </row>
    <row r="207" spans="5:5" x14ac:dyDescent="0.25">
      <c r="E207" s="441"/>
    </row>
    <row r="208" spans="5:5" x14ac:dyDescent="0.25">
      <c r="E208" s="441"/>
    </row>
    <row r="209" spans="5:5" x14ac:dyDescent="0.25">
      <c r="E209" s="441"/>
    </row>
    <row r="210" spans="5:5" x14ac:dyDescent="0.25">
      <c r="E210" s="441"/>
    </row>
    <row r="211" spans="5:5" x14ac:dyDescent="0.25">
      <c r="E211" s="441"/>
    </row>
    <row r="212" spans="5:5" x14ac:dyDescent="0.25">
      <c r="E212" s="441"/>
    </row>
    <row r="213" spans="5:5" x14ac:dyDescent="0.25">
      <c r="E213" s="441"/>
    </row>
    <row r="214" spans="5:5" x14ac:dyDescent="0.25">
      <c r="E214" s="441"/>
    </row>
    <row r="215" spans="5:5" x14ac:dyDescent="0.25">
      <c r="E215" s="441"/>
    </row>
    <row r="216" spans="5:5" x14ac:dyDescent="0.25">
      <c r="E216" s="441"/>
    </row>
    <row r="217" spans="5:5" x14ac:dyDescent="0.25">
      <c r="E217" s="441"/>
    </row>
    <row r="218" spans="5:5" x14ac:dyDescent="0.25">
      <c r="E218" s="441"/>
    </row>
    <row r="219" spans="5:5" x14ac:dyDescent="0.25">
      <c r="E219" s="441"/>
    </row>
    <row r="220" spans="5:5" x14ac:dyDescent="0.25">
      <c r="E220" s="441"/>
    </row>
    <row r="221" spans="5:5" x14ac:dyDescent="0.25">
      <c r="E221" s="441"/>
    </row>
    <row r="222" spans="5:5" x14ac:dyDescent="0.25">
      <c r="E222" s="441"/>
    </row>
    <row r="223" spans="5:5" x14ac:dyDescent="0.25">
      <c r="E223" s="441"/>
    </row>
    <row r="224" spans="5:5" x14ac:dyDescent="0.25">
      <c r="E224" s="441"/>
    </row>
  </sheetData>
  <conditionalFormatting sqref="H2:L100">
    <cfRule type="cellIs" dxfId="455" priority="4" operator="equal">
      <formula>2</formula>
    </cfRule>
  </conditionalFormatting>
  <conditionalFormatting sqref="H2:L100">
    <cfRule type="cellIs" dxfId="454" priority="3" operator="equal">
      <formula>1</formula>
    </cfRule>
  </conditionalFormatting>
  <conditionalFormatting sqref="AD111:AD1048576 Z111:Z1048576 AB1:AB100 AD1:AD100">
    <cfRule type="cellIs" dxfId="453" priority="2" operator="between">
      <formula>0.000001</formula>
      <formula>1.5</formula>
    </cfRule>
  </conditionalFormatting>
  <conditionalFormatting sqref="Z102:Z110 AD102:AD110">
    <cfRule type="cellIs" dxfId="452" priority="1" operator="between">
      <formula>0.000001</formula>
      <formula>1.5</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F9CCE-5A34-4B96-9873-AB1C3D76DF48}">
  <dimension ref="A1:AG224"/>
  <sheetViews>
    <sheetView zoomScale="85" zoomScaleNormal="85" workbookViewId="0">
      <selection activeCell="O22" sqref="O22"/>
    </sheetView>
  </sheetViews>
  <sheetFormatPr defaultRowHeight="15" x14ac:dyDescent="0.25"/>
  <cols>
    <col min="1" max="1" width="12.140625" bestFit="1" customWidth="1"/>
    <col min="2" max="2" width="14.85546875" bestFit="1" customWidth="1"/>
    <col min="3" max="3" width="12.140625" bestFit="1" customWidth="1"/>
    <col min="4" max="4" width="15.7109375" style="8" bestFit="1" customWidth="1"/>
    <col min="5" max="6" width="12.5703125" style="8" bestFit="1" customWidth="1"/>
    <col min="7" max="7" width="18.85546875" style="8" bestFit="1" customWidth="1"/>
    <col min="8" max="8" width="13.85546875" style="299" bestFit="1" customWidth="1"/>
    <col min="9" max="9" width="18.5703125" style="299" bestFit="1" customWidth="1"/>
    <col min="10" max="10" width="17.140625" style="299" bestFit="1" customWidth="1"/>
    <col min="11" max="11" width="19.28515625" style="393" bestFit="1" customWidth="1"/>
    <col min="12" max="12" width="17.85546875" style="443" bestFit="1" customWidth="1"/>
    <col min="13" max="13" width="15.5703125" style="363" bestFit="1" customWidth="1"/>
    <col min="14" max="14" width="16.140625" style="363" bestFit="1" customWidth="1"/>
    <col min="15" max="15" width="18.42578125" style="363" bestFit="1" customWidth="1"/>
    <col min="16" max="16" width="18.7109375" style="363" bestFit="1" customWidth="1"/>
    <col min="17" max="17" width="20.42578125" style="392" bestFit="1" customWidth="1"/>
    <col min="18" max="18" width="21.5703125" style="363" bestFit="1" customWidth="1"/>
    <col min="19" max="19" width="21.85546875" style="362" bestFit="1" customWidth="1"/>
    <col min="20" max="20" width="21.28515625" style="364" bestFit="1" customWidth="1"/>
    <col min="21" max="21" width="23.140625" style="363" bestFit="1" customWidth="1"/>
    <col min="22" max="22" width="17.140625" style="362" bestFit="1" customWidth="1"/>
    <col min="23" max="23" width="15.7109375" style="364" bestFit="1" customWidth="1"/>
    <col min="24" max="24" width="20" style="363" bestFit="1" customWidth="1"/>
    <col min="25" max="25" width="17.85546875" style="362" bestFit="1" customWidth="1"/>
    <col min="26" max="26" width="16.42578125" style="364" bestFit="1" customWidth="1"/>
    <col min="27" max="27" width="20.7109375" style="362" bestFit="1" customWidth="1"/>
    <col min="28" max="28" width="21.42578125" style="363" bestFit="1" customWidth="1"/>
    <col min="29" max="29" width="16.28515625" style="362" bestFit="1" customWidth="1"/>
    <col min="30" max="30" width="22.140625" style="364" bestFit="1" customWidth="1"/>
    <col min="31" max="31" width="17" style="362" bestFit="1" customWidth="1"/>
    <col min="32" max="32" width="14.42578125" style="362" bestFit="1" customWidth="1"/>
    <col min="33" max="33" width="10.85546875" style="362" bestFit="1" customWidth="1"/>
    <col min="34" max="34" width="30.140625" bestFit="1" customWidth="1"/>
    <col min="36" max="36" width="7.28515625" bestFit="1" customWidth="1"/>
    <col min="37" max="37" width="6.7109375" bestFit="1" customWidth="1"/>
    <col min="38" max="38" width="12.85546875" bestFit="1" customWidth="1"/>
    <col min="39" max="39" width="13.5703125" bestFit="1" customWidth="1"/>
    <col min="40" max="40" width="15" bestFit="1" customWidth="1"/>
  </cols>
  <sheetData>
    <row r="1" spans="1:33" s="444" customFormat="1" x14ac:dyDescent="0.25">
      <c r="A1" t="s">
        <v>431</v>
      </c>
      <c r="B1" t="s">
        <v>432</v>
      </c>
      <c r="C1" t="s">
        <v>433</v>
      </c>
      <c r="D1" s="445" t="s">
        <v>545</v>
      </c>
      <c r="E1" s="445" t="s">
        <v>546</v>
      </c>
      <c r="F1" s="445" t="s">
        <v>547</v>
      </c>
      <c r="G1" s="445" t="s">
        <v>8</v>
      </c>
      <c r="H1" s="445" t="s">
        <v>341</v>
      </c>
      <c r="I1" s="447" t="s">
        <v>345</v>
      </c>
      <c r="J1" s="447" t="s">
        <v>346</v>
      </c>
      <c r="K1" s="447" t="s">
        <v>349</v>
      </c>
      <c r="L1" s="447" t="s">
        <v>350</v>
      </c>
      <c r="M1" s="446" t="s">
        <v>556</v>
      </c>
      <c r="N1" s="447"/>
      <c r="O1" s="448"/>
      <c r="P1" s="448"/>
      <c r="Q1" s="447"/>
      <c r="R1" s="447"/>
      <c r="S1" s="447"/>
      <c r="T1" s="447"/>
      <c r="U1" s="447"/>
      <c r="V1" s="447"/>
      <c r="W1" s="447"/>
      <c r="X1" s="449"/>
      <c r="Y1" s="447"/>
      <c r="Z1" s="447"/>
      <c r="AA1" s="449"/>
      <c r="AB1" s="449"/>
      <c r="AC1" s="447"/>
      <c r="AD1" s="449"/>
      <c r="AE1" s="447"/>
      <c r="AF1" s="447"/>
      <c r="AG1" s="447"/>
    </row>
    <row r="2" spans="1:33" x14ac:dyDescent="0.25">
      <c r="A2" t="s">
        <v>416</v>
      </c>
      <c r="B2" t="s">
        <v>215</v>
      </c>
      <c r="C2" s="444" t="s">
        <v>552</v>
      </c>
      <c r="D2" s="8" t="s">
        <v>446</v>
      </c>
      <c r="E2" s="8" t="s">
        <v>217</v>
      </c>
      <c r="F2" s="8" t="s">
        <v>216</v>
      </c>
      <c r="G2" s="299">
        <v>20</v>
      </c>
      <c r="H2" s="299">
        <v>0</v>
      </c>
      <c r="I2" s="362"/>
      <c r="J2" s="362"/>
      <c r="K2" s="362"/>
      <c r="L2" s="362"/>
      <c r="M2" s="361">
        <v>46318</v>
      </c>
      <c r="O2" s="393"/>
      <c r="P2" s="443"/>
      <c r="Q2" s="363"/>
      <c r="S2" s="363"/>
      <c r="T2" s="363"/>
      <c r="U2" s="392"/>
      <c r="W2" s="362"/>
      <c r="X2" s="364"/>
      <c r="Z2" s="362"/>
      <c r="AA2" s="364"/>
      <c r="AB2" s="364"/>
      <c r="AF2" s="364"/>
    </row>
    <row r="3" spans="1:33" x14ac:dyDescent="0.25">
      <c r="A3" t="s">
        <v>416</v>
      </c>
      <c r="B3" t="s">
        <v>206</v>
      </c>
      <c r="C3" s="444" t="s">
        <v>552</v>
      </c>
      <c r="D3" s="8" t="s">
        <v>447</v>
      </c>
      <c r="E3" s="8" t="s">
        <v>208</v>
      </c>
      <c r="F3" s="8" t="s">
        <v>207</v>
      </c>
      <c r="G3" s="299">
        <v>20</v>
      </c>
      <c r="H3" s="299">
        <v>0</v>
      </c>
      <c r="I3" s="362"/>
      <c r="J3" s="362"/>
      <c r="K3" s="362"/>
      <c r="L3" s="362"/>
      <c r="M3" s="361">
        <v>46318</v>
      </c>
      <c r="O3" s="393"/>
      <c r="P3" s="443"/>
      <c r="Q3" s="363"/>
      <c r="S3" s="363"/>
      <c r="T3" s="363"/>
      <c r="U3" s="392"/>
      <c r="W3" s="362"/>
      <c r="X3" s="364"/>
      <c r="Z3" s="362"/>
      <c r="AA3" s="364"/>
      <c r="AB3" s="364"/>
      <c r="AF3" s="364"/>
    </row>
    <row r="4" spans="1:33" x14ac:dyDescent="0.25">
      <c r="A4" t="s">
        <v>118</v>
      </c>
      <c r="B4" t="s">
        <v>119</v>
      </c>
      <c r="C4" s="444" t="s">
        <v>552</v>
      </c>
      <c r="D4" s="8" t="s">
        <v>448</v>
      </c>
      <c r="E4" s="8" t="s">
        <v>6</v>
      </c>
      <c r="F4" s="8" t="s">
        <v>7</v>
      </c>
      <c r="G4" s="299">
        <v>20</v>
      </c>
      <c r="H4" s="299">
        <v>0</v>
      </c>
      <c r="I4" s="362"/>
      <c r="J4" s="362"/>
      <c r="K4" s="362"/>
      <c r="L4" s="362"/>
      <c r="M4" s="361">
        <v>46318</v>
      </c>
      <c r="O4" s="393"/>
      <c r="P4" s="443"/>
      <c r="Q4" s="363"/>
      <c r="S4" s="363"/>
      <c r="T4" s="363"/>
      <c r="U4" s="392"/>
      <c r="W4" s="362"/>
      <c r="X4" s="364"/>
      <c r="Z4" s="362"/>
      <c r="AA4" s="364"/>
      <c r="AB4" s="364"/>
      <c r="AF4" s="364"/>
    </row>
    <row r="5" spans="1:33" x14ac:dyDescent="0.25">
      <c r="A5" t="s">
        <v>416</v>
      </c>
      <c r="B5" t="s">
        <v>155</v>
      </c>
      <c r="C5" s="444" t="s">
        <v>552</v>
      </c>
      <c r="D5" s="8" t="s">
        <v>449</v>
      </c>
      <c r="E5" s="8" t="s">
        <v>157</v>
      </c>
      <c r="F5" s="8" t="s">
        <v>156</v>
      </c>
      <c r="G5" s="299">
        <v>20</v>
      </c>
      <c r="H5" s="299">
        <v>0</v>
      </c>
      <c r="I5" s="362"/>
      <c r="J5" s="362"/>
      <c r="K5" s="362"/>
      <c r="L5" s="362"/>
      <c r="M5" s="361">
        <v>46318</v>
      </c>
      <c r="O5" s="393"/>
      <c r="P5" s="443"/>
      <c r="Q5" s="363"/>
      <c r="S5" s="363"/>
      <c r="T5" s="363"/>
      <c r="U5" s="392"/>
      <c r="W5" s="362"/>
      <c r="X5" s="364"/>
      <c r="Z5" s="362"/>
      <c r="AA5" s="364"/>
      <c r="AB5" s="364"/>
      <c r="AF5" s="364"/>
    </row>
    <row r="6" spans="1:33" x14ac:dyDescent="0.25">
      <c r="A6" t="s">
        <v>118</v>
      </c>
      <c r="B6" t="s">
        <v>127</v>
      </c>
      <c r="C6" s="444" t="s">
        <v>552</v>
      </c>
      <c r="D6" s="8" t="s">
        <v>450</v>
      </c>
      <c r="E6" s="8" t="s">
        <v>36</v>
      </c>
      <c r="F6" s="8" t="s">
        <v>47</v>
      </c>
      <c r="G6" s="299">
        <v>20</v>
      </c>
      <c r="H6" s="299">
        <v>2</v>
      </c>
      <c r="I6" s="362">
        <v>-1E-3</v>
      </c>
      <c r="J6" s="362">
        <v>0</v>
      </c>
      <c r="K6" s="362">
        <v>1.1999999999999999E-3</v>
      </c>
      <c r="L6" s="362">
        <v>2.0000000000000001E-4</v>
      </c>
      <c r="M6" s="361">
        <v>46318</v>
      </c>
      <c r="O6" s="393"/>
      <c r="P6" s="443"/>
      <c r="Q6" s="363"/>
      <c r="S6" s="363"/>
      <c r="T6" s="363"/>
      <c r="U6" s="392"/>
      <c r="W6" s="362"/>
      <c r="X6" s="364"/>
      <c r="Z6" s="362"/>
      <c r="AA6" s="364"/>
      <c r="AB6" s="364"/>
      <c r="AF6" s="364"/>
    </row>
    <row r="7" spans="1:33" x14ac:dyDescent="0.25">
      <c r="A7" t="s">
        <v>118</v>
      </c>
      <c r="B7" t="s">
        <v>122</v>
      </c>
      <c r="C7" s="444" t="s">
        <v>552</v>
      </c>
      <c r="D7" s="8" t="s">
        <v>451</v>
      </c>
      <c r="E7" s="8" t="s">
        <v>37</v>
      </c>
      <c r="F7" s="8" t="s">
        <v>41</v>
      </c>
      <c r="G7" s="299">
        <v>20</v>
      </c>
      <c r="H7" s="299">
        <v>2</v>
      </c>
      <c r="I7" s="362">
        <v>-5.0000000000000001E-3</v>
      </c>
      <c r="J7" s="362">
        <v>-3.0000000000000001E-3</v>
      </c>
      <c r="K7" s="362">
        <v>3.0000000000000001E-3</v>
      </c>
      <c r="L7" s="362">
        <v>1E-3</v>
      </c>
      <c r="M7" s="361">
        <v>46318</v>
      </c>
      <c r="O7" s="393"/>
      <c r="P7" s="443"/>
      <c r="Q7" s="363"/>
      <c r="S7" s="363"/>
      <c r="T7" s="363"/>
      <c r="U7" s="392"/>
      <c r="W7" s="362"/>
      <c r="X7" s="364"/>
      <c r="Z7" s="362"/>
      <c r="AA7" s="364"/>
      <c r="AB7" s="364"/>
      <c r="AF7" s="364"/>
    </row>
    <row r="8" spans="1:33" x14ac:dyDescent="0.25">
      <c r="A8" t="s">
        <v>386</v>
      </c>
      <c r="B8" t="s">
        <v>396</v>
      </c>
      <c r="C8" s="444" t="s">
        <v>552</v>
      </c>
      <c r="D8" s="8" t="s">
        <v>452</v>
      </c>
      <c r="E8" s="8" t="s">
        <v>397</v>
      </c>
      <c r="F8" s="8" t="s">
        <v>398</v>
      </c>
      <c r="G8" s="299">
        <v>20</v>
      </c>
      <c r="H8" s="299">
        <v>2</v>
      </c>
      <c r="I8" s="362"/>
      <c r="J8" s="362"/>
      <c r="K8" s="362"/>
      <c r="L8" s="362"/>
      <c r="M8" s="361"/>
      <c r="O8" s="393"/>
      <c r="P8" s="443"/>
      <c r="Q8" s="363"/>
      <c r="S8" s="363"/>
      <c r="T8" s="363"/>
      <c r="U8" s="392"/>
      <c r="W8" s="362"/>
      <c r="X8" s="364"/>
      <c r="Z8" s="362"/>
      <c r="AA8" s="364"/>
      <c r="AB8" s="364"/>
      <c r="AF8" s="364"/>
    </row>
    <row r="9" spans="1:33" x14ac:dyDescent="0.25">
      <c r="A9" t="s">
        <v>386</v>
      </c>
      <c r="B9" t="s">
        <v>387</v>
      </c>
      <c r="C9" s="444" t="s">
        <v>552</v>
      </c>
      <c r="D9" s="8" t="s">
        <v>453</v>
      </c>
      <c r="E9" s="8" t="s">
        <v>388</v>
      </c>
      <c r="F9" s="8" t="s">
        <v>389</v>
      </c>
      <c r="G9" s="299">
        <v>20</v>
      </c>
      <c r="H9" s="299">
        <v>2</v>
      </c>
      <c r="I9" s="362"/>
      <c r="J9" s="362"/>
      <c r="K9" s="362"/>
      <c r="L9" s="362"/>
      <c r="M9" s="361"/>
      <c r="O9" s="393"/>
      <c r="P9" s="443"/>
      <c r="Q9" s="363"/>
      <c r="S9" s="363"/>
      <c r="T9" s="363"/>
      <c r="U9" s="392"/>
      <c r="W9" s="362"/>
      <c r="X9" s="364"/>
      <c r="Z9" s="362"/>
      <c r="AA9" s="364"/>
      <c r="AB9" s="364"/>
      <c r="AF9" s="364"/>
    </row>
    <row r="10" spans="1:33" x14ac:dyDescent="0.25">
      <c r="A10" t="s">
        <v>386</v>
      </c>
      <c r="B10" t="s">
        <v>408</v>
      </c>
      <c r="C10" s="444" t="s">
        <v>552</v>
      </c>
      <c r="D10" s="8" t="s">
        <v>454</v>
      </c>
      <c r="E10" s="8" t="s">
        <v>409</v>
      </c>
      <c r="F10" s="8" t="s">
        <v>410</v>
      </c>
      <c r="G10" s="299">
        <v>20</v>
      </c>
      <c r="H10" s="299">
        <v>2</v>
      </c>
      <c r="I10" s="362"/>
      <c r="J10" s="362"/>
      <c r="K10" s="362"/>
      <c r="L10" s="362"/>
      <c r="M10" s="361"/>
      <c r="O10" s="393"/>
      <c r="P10" s="443"/>
      <c r="Q10" s="363"/>
      <c r="S10" s="363"/>
      <c r="T10" s="363"/>
      <c r="U10" s="392"/>
      <c r="W10" s="362"/>
      <c r="X10" s="364"/>
      <c r="Z10" s="362"/>
      <c r="AA10" s="364"/>
      <c r="AB10" s="364"/>
      <c r="AF10" s="364"/>
    </row>
    <row r="11" spans="1:33" x14ac:dyDescent="0.25">
      <c r="A11" t="s">
        <v>118</v>
      </c>
      <c r="B11" t="s">
        <v>120</v>
      </c>
      <c r="C11" s="444" t="s">
        <v>552</v>
      </c>
      <c r="D11" s="8" t="s">
        <v>455</v>
      </c>
      <c r="E11" s="8" t="s">
        <v>39</v>
      </c>
      <c r="F11" s="8" t="s">
        <v>33</v>
      </c>
      <c r="G11" s="299">
        <v>20</v>
      </c>
      <c r="H11" s="299">
        <v>2</v>
      </c>
      <c r="I11" s="362">
        <v>-2E-3</v>
      </c>
      <c r="J11" s="362">
        <v>0</v>
      </c>
      <c r="K11" s="362">
        <v>2E-3</v>
      </c>
      <c r="L11" s="362">
        <v>0</v>
      </c>
      <c r="M11" s="361">
        <v>46318</v>
      </c>
      <c r="O11" s="393"/>
      <c r="P11" s="443"/>
      <c r="Q11" s="363"/>
      <c r="S11" s="363"/>
      <c r="T11" s="363"/>
      <c r="U11" s="392"/>
      <c r="W11" s="362"/>
      <c r="X11" s="364"/>
      <c r="Z11" s="362"/>
      <c r="AA11" s="364"/>
      <c r="AB11" s="364"/>
      <c r="AF11" s="364"/>
    </row>
    <row r="12" spans="1:33" x14ac:dyDescent="0.25">
      <c r="A12" t="s">
        <v>105</v>
      </c>
      <c r="B12" t="s">
        <v>112</v>
      </c>
      <c r="C12" s="444" t="s">
        <v>552</v>
      </c>
      <c r="D12" s="8" t="s">
        <v>456</v>
      </c>
      <c r="E12" s="8" t="s">
        <v>146</v>
      </c>
      <c r="F12" s="8" t="s">
        <v>149</v>
      </c>
      <c r="G12" s="299">
        <v>20</v>
      </c>
      <c r="H12" s="299">
        <v>1</v>
      </c>
      <c r="I12" s="362"/>
      <c r="J12" s="362"/>
      <c r="K12" s="362"/>
      <c r="L12" s="362"/>
      <c r="M12" s="361">
        <v>46318</v>
      </c>
      <c r="O12" s="393"/>
      <c r="P12" s="443"/>
      <c r="Q12" s="363"/>
      <c r="S12" s="363"/>
      <c r="T12" s="363"/>
      <c r="U12" s="392"/>
      <c r="W12" s="362"/>
      <c r="X12" s="364"/>
      <c r="Z12" s="362"/>
      <c r="AA12" s="364"/>
      <c r="AB12" s="364"/>
      <c r="AF12" s="364"/>
    </row>
    <row r="13" spans="1:33" x14ac:dyDescent="0.25">
      <c r="A13" t="s">
        <v>105</v>
      </c>
      <c r="B13" t="s">
        <v>109</v>
      </c>
      <c r="C13" s="444" t="s">
        <v>552</v>
      </c>
      <c r="D13" s="8" t="s">
        <v>457</v>
      </c>
      <c r="E13" s="374" t="s">
        <v>80</v>
      </c>
      <c r="F13" s="8" t="s">
        <v>82</v>
      </c>
      <c r="G13" s="299">
        <v>20</v>
      </c>
      <c r="H13" s="299">
        <v>1</v>
      </c>
      <c r="I13" s="362"/>
      <c r="J13" s="362"/>
      <c r="K13" s="362"/>
      <c r="L13" s="362"/>
      <c r="M13" s="361">
        <v>46318</v>
      </c>
      <c r="O13" s="393"/>
      <c r="P13" s="443"/>
      <c r="Q13" s="363"/>
      <c r="S13" s="363"/>
      <c r="T13" s="363"/>
      <c r="U13" s="392"/>
      <c r="W13" s="362"/>
      <c r="X13" s="364"/>
      <c r="Z13" s="362"/>
      <c r="AA13" s="364"/>
      <c r="AB13" s="364"/>
      <c r="AF13" s="364"/>
    </row>
    <row r="14" spans="1:33" x14ac:dyDescent="0.25">
      <c r="A14" t="s">
        <v>105</v>
      </c>
      <c r="B14" t="s">
        <v>110</v>
      </c>
      <c r="C14" s="444" t="s">
        <v>552</v>
      </c>
      <c r="D14" s="8" t="s">
        <v>458</v>
      </c>
      <c r="E14" s="374" t="s">
        <v>87</v>
      </c>
      <c r="F14" s="8" t="s">
        <v>89</v>
      </c>
      <c r="G14" s="299">
        <v>20</v>
      </c>
      <c r="H14" s="299">
        <v>1</v>
      </c>
      <c r="I14" s="362"/>
      <c r="J14" s="362"/>
      <c r="K14" s="362"/>
      <c r="L14" s="362"/>
      <c r="M14" s="361">
        <v>46318</v>
      </c>
      <c r="O14" s="393"/>
      <c r="P14" s="443"/>
      <c r="Q14" s="363"/>
      <c r="S14" s="363"/>
      <c r="T14" s="363"/>
      <c r="U14" s="392"/>
      <c r="W14" s="362"/>
      <c r="X14" s="364"/>
      <c r="Z14" s="362"/>
      <c r="AA14" s="364"/>
      <c r="AB14" s="364"/>
      <c r="AF14" s="364"/>
    </row>
    <row r="15" spans="1:33" x14ac:dyDescent="0.25">
      <c r="A15" t="s">
        <v>105</v>
      </c>
      <c r="B15" t="s">
        <v>131</v>
      </c>
      <c r="C15" s="444" t="s">
        <v>552</v>
      </c>
      <c r="D15" s="396" t="s">
        <v>459</v>
      </c>
      <c r="E15" s="374" t="s">
        <v>91</v>
      </c>
      <c r="F15" s="8" t="s">
        <v>114</v>
      </c>
      <c r="G15" s="299">
        <v>20</v>
      </c>
      <c r="H15" s="299">
        <v>1</v>
      </c>
      <c r="I15" s="362"/>
      <c r="J15" s="362"/>
      <c r="K15" s="362"/>
      <c r="L15" s="362"/>
      <c r="M15" s="361">
        <v>46318</v>
      </c>
      <c r="O15" s="393"/>
      <c r="P15" s="443"/>
      <c r="Q15" s="363"/>
      <c r="S15" s="363"/>
      <c r="T15" s="363"/>
      <c r="U15" s="392"/>
      <c r="W15" s="362"/>
      <c r="X15" s="364"/>
      <c r="Z15" s="362"/>
      <c r="AA15" s="364"/>
      <c r="AB15" s="364"/>
      <c r="AF15" s="364"/>
    </row>
    <row r="16" spans="1:33" x14ac:dyDescent="0.25">
      <c r="A16" t="s">
        <v>386</v>
      </c>
      <c r="B16" t="s">
        <v>405</v>
      </c>
      <c r="C16" s="444" t="s">
        <v>552</v>
      </c>
      <c r="D16" s="8" t="s">
        <v>460</v>
      </c>
      <c r="E16" s="8" t="s">
        <v>406</v>
      </c>
      <c r="F16" s="8" t="s">
        <v>407</v>
      </c>
      <c r="G16" s="299">
        <v>20</v>
      </c>
      <c r="H16" s="299">
        <v>2</v>
      </c>
      <c r="I16" s="362"/>
      <c r="J16" s="362"/>
      <c r="K16" s="362"/>
      <c r="L16" s="362"/>
      <c r="M16" s="361"/>
      <c r="O16" s="393"/>
      <c r="P16" s="443"/>
      <c r="Q16" s="363"/>
      <c r="S16" s="363"/>
      <c r="T16" s="363"/>
      <c r="U16" s="392"/>
      <c r="W16" s="362"/>
      <c r="X16" s="364"/>
      <c r="Z16" s="362"/>
      <c r="AA16" s="364"/>
      <c r="AB16" s="364"/>
      <c r="AF16" s="364"/>
    </row>
    <row r="17" spans="1:32" x14ac:dyDescent="0.25">
      <c r="A17" t="s">
        <v>386</v>
      </c>
      <c r="B17" t="s">
        <v>393</v>
      </c>
      <c r="C17" s="444" t="s">
        <v>552</v>
      </c>
      <c r="D17" s="8" t="s">
        <v>461</v>
      </c>
      <c r="E17" s="8" t="s">
        <v>394</v>
      </c>
      <c r="F17" s="8" t="s">
        <v>395</v>
      </c>
      <c r="G17" s="299">
        <v>20</v>
      </c>
      <c r="H17" s="299">
        <v>2</v>
      </c>
      <c r="I17" s="362"/>
      <c r="J17" s="362"/>
      <c r="K17" s="362"/>
      <c r="L17" s="362"/>
      <c r="M17" s="361"/>
      <c r="O17" s="393"/>
      <c r="P17" s="443"/>
      <c r="Q17" s="363"/>
      <c r="S17" s="363"/>
      <c r="T17" s="363"/>
      <c r="U17" s="392"/>
      <c r="W17" s="362"/>
      <c r="X17" s="364"/>
      <c r="Z17" s="362"/>
      <c r="AA17" s="364"/>
      <c r="AB17" s="364"/>
      <c r="AF17" s="364"/>
    </row>
    <row r="18" spans="1:32" x14ac:dyDescent="0.25">
      <c r="A18" t="s">
        <v>386</v>
      </c>
      <c r="B18" t="s">
        <v>402</v>
      </c>
      <c r="C18" s="444" t="s">
        <v>552</v>
      </c>
      <c r="D18" s="8" t="s">
        <v>462</v>
      </c>
      <c r="E18" s="8" t="s">
        <v>403</v>
      </c>
      <c r="F18" s="8" t="s">
        <v>404</v>
      </c>
      <c r="G18" s="299">
        <v>20</v>
      </c>
      <c r="H18" s="299">
        <v>2</v>
      </c>
      <c r="I18" s="362"/>
      <c r="J18" s="362"/>
      <c r="K18" s="362"/>
      <c r="L18" s="362"/>
      <c r="M18" s="361"/>
      <c r="O18" s="393"/>
      <c r="P18" s="443"/>
      <c r="Q18" s="363"/>
      <c r="S18" s="363"/>
      <c r="T18" s="363"/>
      <c r="U18" s="392"/>
      <c r="W18" s="362"/>
      <c r="X18" s="364"/>
      <c r="Z18" s="362"/>
      <c r="AA18" s="364"/>
      <c r="AB18" s="364"/>
      <c r="AF18" s="364"/>
    </row>
    <row r="19" spans="1:32" x14ac:dyDescent="0.25">
      <c r="A19" t="s">
        <v>386</v>
      </c>
      <c r="B19" t="s">
        <v>390</v>
      </c>
      <c r="C19" s="444" t="s">
        <v>552</v>
      </c>
      <c r="D19" s="8" t="s">
        <v>463</v>
      </c>
      <c r="E19" s="8" t="s">
        <v>391</v>
      </c>
      <c r="F19" s="8" t="s">
        <v>392</v>
      </c>
      <c r="G19" s="299">
        <v>20</v>
      </c>
      <c r="H19" s="299">
        <v>2</v>
      </c>
      <c r="I19" s="362"/>
      <c r="J19" s="362"/>
      <c r="K19" s="362"/>
      <c r="L19" s="362"/>
      <c r="M19" s="361"/>
      <c r="O19" s="393"/>
      <c r="P19" s="443"/>
      <c r="Q19" s="363"/>
      <c r="S19" s="363"/>
      <c r="T19" s="363"/>
      <c r="U19" s="392"/>
      <c r="W19" s="362"/>
      <c r="X19" s="364"/>
      <c r="Z19" s="362"/>
      <c r="AA19" s="364"/>
      <c r="AB19" s="364"/>
      <c r="AF19" s="364"/>
    </row>
    <row r="20" spans="1:32" x14ac:dyDescent="0.25">
      <c r="A20" t="s">
        <v>386</v>
      </c>
      <c r="B20" t="s">
        <v>399</v>
      </c>
      <c r="C20" s="444" t="s">
        <v>552</v>
      </c>
      <c r="D20" s="8" t="s">
        <v>464</v>
      </c>
      <c r="E20" s="8" t="s">
        <v>400</v>
      </c>
      <c r="F20" s="8" t="s">
        <v>401</v>
      </c>
      <c r="G20" s="299">
        <v>20</v>
      </c>
      <c r="H20" s="299">
        <v>2</v>
      </c>
      <c r="I20" s="362"/>
      <c r="J20" s="362"/>
      <c r="K20" s="362"/>
      <c r="L20" s="362"/>
      <c r="M20" s="361"/>
      <c r="O20" s="393"/>
      <c r="P20" s="443"/>
      <c r="Q20" s="363"/>
      <c r="S20" s="363"/>
      <c r="T20" s="363"/>
      <c r="U20" s="392"/>
      <c r="W20" s="362"/>
      <c r="X20" s="364"/>
      <c r="Z20" s="362"/>
      <c r="AA20" s="364"/>
      <c r="AB20" s="364"/>
      <c r="AF20" s="364"/>
    </row>
    <row r="21" spans="1:32" x14ac:dyDescent="0.25">
      <c r="A21" t="s">
        <v>105</v>
      </c>
      <c r="B21" t="s">
        <v>111</v>
      </c>
      <c r="C21" s="444" t="s">
        <v>552</v>
      </c>
      <c r="D21" s="396" t="s">
        <v>465</v>
      </c>
      <c r="E21" s="374" t="s">
        <v>113</v>
      </c>
      <c r="F21" s="8" t="s">
        <v>85</v>
      </c>
      <c r="G21" s="299">
        <v>20</v>
      </c>
      <c r="H21" s="299">
        <v>1</v>
      </c>
      <c r="I21" s="362"/>
      <c r="J21" s="362"/>
      <c r="K21" s="362"/>
      <c r="L21" s="362"/>
      <c r="M21" s="361">
        <v>46318</v>
      </c>
      <c r="O21" s="393"/>
      <c r="P21" s="443"/>
      <c r="Q21" s="363"/>
      <c r="S21" s="363"/>
      <c r="T21" s="363"/>
      <c r="U21" s="392"/>
      <c r="W21" s="362"/>
      <c r="X21" s="364"/>
      <c r="Z21" s="362"/>
      <c r="AA21" s="364"/>
      <c r="AB21" s="364"/>
      <c r="AF21" s="364"/>
    </row>
    <row r="22" spans="1:32" x14ac:dyDescent="0.25">
      <c r="A22" t="s">
        <v>416</v>
      </c>
      <c r="B22" t="s">
        <v>151</v>
      </c>
      <c r="C22" s="444" t="s">
        <v>552</v>
      </c>
      <c r="D22" s="8" t="s">
        <v>466</v>
      </c>
      <c r="E22" s="8" t="s">
        <v>141</v>
      </c>
      <c r="F22" s="8" t="s">
        <v>142</v>
      </c>
      <c r="G22" s="299">
        <v>20</v>
      </c>
      <c r="H22" s="299">
        <v>0</v>
      </c>
      <c r="I22" s="362"/>
      <c r="J22" s="362"/>
      <c r="K22" s="362"/>
      <c r="L22" s="362"/>
      <c r="M22" s="361">
        <v>46318</v>
      </c>
      <c r="O22" s="393"/>
      <c r="P22" s="443"/>
      <c r="Q22" s="363"/>
      <c r="S22" s="363"/>
      <c r="T22" s="363"/>
      <c r="U22" s="392"/>
      <c r="W22" s="362"/>
      <c r="X22" s="364"/>
      <c r="Z22" s="362"/>
      <c r="AA22" s="364"/>
      <c r="AB22" s="364"/>
      <c r="AF22" s="364"/>
    </row>
    <row r="23" spans="1:32" x14ac:dyDescent="0.25">
      <c r="A23" t="s">
        <v>105</v>
      </c>
      <c r="B23" t="s">
        <v>108</v>
      </c>
      <c r="C23" s="444" t="s">
        <v>552</v>
      </c>
      <c r="D23" s="8" t="s">
        <v>467</v>
      </c>
      <c r="E23" s="374" t="s">
        <v>93</v>
      </c>
      <c r="F23" s="8" t="s">
        <v>95</v>
      </c>
      <c r="G23" s="299">
        <v>20</v>
      </c>
      <c r="H23" s="299">
        <v>1</v>
      </c>
      <c r="I23" s="362"/>
      <c r="J23" s="362"/>
      <c r="K23" s="362"/>
      <c r="L23" s="362"/>
      <c r="M23" s="361">
        <v>46318</v>
      </c>
      <c r="O23" s="393"/>
      <c r="P23" s="443"/>
      <c r="Q23" s="363"/>
      <c r="S23" s="363"/>
      <c r="T23" s="363"/>
      <c r="U23" s="392"/>
      <c r="W23" s="362"/>
      <c r="X23" s="364"/>
      <c r="Z23" s="362"/>
      <c r="AA23" s="364"/>
      <c r="AB23" s="364"/>
      <c r="AF23" s="364"/>
    </row>
    <row r="24" spans="1:32" x14ac:dyDescent="0.25">
      <c r="A24" t="s">
        <v>105</v>
      </c>
      <c r="B24" t="s">
        <v>106</v>
      </c>
      <c r="C24" s="444" t="s">
        <v>552</v>
      </c>
      <c r="D24" s="8" t="s">
        <v>468</v>
      </c>
      <c r="E24" s="374" t="s">
        <v>77</v>
      </c>
      <c r="F24" s="8" t="s">
        <v>78</v>
      </c>
      <c r="G24" s="299">
        <v>20</v>
      </c>
      <c r="H24" s="299">
        <v>1</v>
      </c>
      <c r="I24" s="362"/>
      <c r="J24" s="362"/>
      <c r="K24" s="362"/>
      <c r="L24" s="362"/>
      <c r="M24" s="361">
        <v>46318</v>
      </c>
      <c r="O24" s="393"/>
      <c r="P24" s="443"/>
      <c r="Q24" s="363"/>
      <c r="S24" s="363"/>
      <c r="T24" s="363"/>
      <c r="U24" s="392"/>
      <c r="W24" s="362"/>
      <c r="X24" s="364"/>
      <c r="Z24" s="362"/>
      <c r="AA24" s="364"/>
      <c r="AB24" s="364"/>
      <c r="AF24" s="364"/>
    </row>
    <row r="25" spans="1:32" x14ac:dyDescent="0.25">
      <c r="A25" t="s">
        <v>330</v>
      </c>
      <c r="B25" t="s">
        <v>377</v>
      </c>
      <c r="C25" s="444" t="s">
        <v>552</v>
      </c>
      <c r="D25" s="8" t="s">
        <v>469</v>
      </c>
      <c r="E25" s="8" t="s">
        <v>364</v>
      </c>
      <c r="F25" s="8" t="s">
        <v>365</v>
      </c>
      <c r="G25" s="299">
        <v>20</v>
      </c>
      <c r="H25" s="299">
        <v>2</v>
      </c>
      <c r="I25" s="362"/>
      <c r="J25" s="362"/>
      <c r="K25" s="362"/>
      <c r="L25" s="362"/>
      <c r="M25" s="361">
        <v>46318</v>
      </c>
      <c r="O25" s="393"/>
      <c r="P25" s="443"/>
      <c r="Q25" s="363"/>
      <c r="S25" s="363"/>
      <c r="T25" s="363"/>
      <c r="U25" s="392"/>
      <c r="W25" s="362"/>
      <c r="X25" s="364"/>
      <c r="Z25" s="362"/>
      <c r="AA25" s="364"/>
      <c r="AB25" s="364"/>
      <c r="AF25" s="364"/>
    </row>
    <row r="26" spans="1:32" x14ac:dyDescent="0.25">
      <c r="A26" t="s">
        <v>105</v>
      </c>
      <c r="B26" t="s">
        <v>107</v>
      </c>
      <c r="C26" s="444" t="s">
        <v>552</v>
      </c>
      <c r="D26" s="8" t="s">
        <v>470</v>
      </c>
      <c r="E26" s="374" t="s">
        <v>101</v>
      </c>
      <c r="F26" s="8" t="s">
        <v>103</v>
      </c>
      <c r="G26" s="299">
        <v>20</v>
      </c>
      <c r="H26" s="299">
        <v>1</v>
      </c>
      <c r="I26" s="362"/>
      <c r="J26" s="362"/>
      <c r="K26" s="362"/>
      <c r="L26" s="362"/>
      <c r="M26" s="361">
        <v>46318</v>
      </c>
      <c r="O26" s="393"/>
      <c r="P26" s="443"/>
      <c r="Q26" s="363"/>
      <c r="S26" s="363"/>
      <c r="T26" s="363"/>
      <c r="U26" s="392"/>
      <c r="W26" s="362"/>
      <c r="X26" s="364"/>
      <c r="Z26" s="362"/>
      <c r="AA26" s="364"/>
      <c r="AB26" s="364"/>
      <c r="AF26" s="364"/>
    </row>
    <row r="27" spans="1:32" x14ac:dyDescent="0.25">
      <c r="A27" t="s">
        <v>416</v>
      </c>
      <c r="B27" t="s">
        <v>299</v>
      </c>
      <c r="C27" s="444" t="s">
        <v>552</v>
      </c>
      <c r="D27" s="8" t="s">
        <v>471</v>
      </c>
      <c r="E27" s="8" t="s">
        <v>295</v>
      </c>
      <c r="F27" s="8" t="s">
        <v>296</v>
      </c>
      <c r="G27" s="299">
        <v>20</v>
      </c>
      <c r="H27" s="299">
        <v>0</v>
      </c>
      <c r="I27" s="362"/>
      <c r="J27" s="362"/>
      <c r="K27" s="362"/>
      <c r="L27" s="362"/>
      <c r="M27" s="361">
        <v>46318</v>
      </c>
      <c r="O27" s="393"/>
      <c r="P27" s="443"/>
      <c r="Q27" s="363"/>
      <c r="S27" s="363"/>
      <c r="T27" s="363"/>
      <c r="U27" s="392"/>
      <c r="W27" s="362"/>
      <c r="X27" s="364"/>
      <c r="Z27" s="362"/>
      <c r="AA27" s="364"/>
      <c r="AB27" s="364"/>
      <c r="AF27" s="364"/>
    </row>
    <row r="28" spans="1:32" x14ac:dyDescent="0.25">
      <c r="A28" t="s">
        <v>416</v>
      </c>
      <c r="B28" t="s">
        <v>299</v>
      </c>
      <c r="C28" s="444" t="s">
        <v>552</v>
      </c>
      <c r="D28" s="8" t="s">
        <v>472</v>
      </c>
      <c r="E28" s="8" t="s">
        <v>297</v>
      </c>
      <c r="F28" s="8" t="s">
        <v>298</v>
      </c>
      <c r="G28" s="299">
        <v>20</v>
      </c>
      <c r="H28" s="299">
        <v>0</v>
      </c>
      <c r="I28" s="362"/>
      <c r="J28" s="362"/>
      <c r="K28" s="362"/>
      <c r="L28" s="362"/>
      <c r="M28" s="361">
        <v>46318</v>
      </c>
      <c r="O28" s="393"/>
      <c r="P28" s="443"/>
      <c r="Q28" s="363"/>
      <c r="S28" s="363"/>
      <c r="T28" s="363"/>
      <c r="U28" s="392"/>
      <c r="W28" s="362"/>
      <c r="X28" s="364"/>
      <c r="Z28" s="362"/>
      <c r="AA28" s="364"/>
      <c r="AB28" s="364"/>
      <c r="AF28" s="364"/>
    </row>
    <row r="29" spans="1:32" x14ac:dyDescent="0.25">
      <c r="A29" t="s">
        <v>416</v>
      </c>
      <c r="B29" t="s">
        <v>150</v>
      </c>
      <c r="C29" s="444" t="s">
        <v>552</v>
      </c>
      <c r="D29" s="396" t="s">
        <v>473</v>
      </c>
      <c r="E29" s="374" t="s">
        <v>139</v>
      </c>
      <c r="F29" s="8" t="s">
        <v>140</v>
      </c>
      <c r="G29" s="299">
        <v>20</v>
      </c>
      <c r="H29" s="299">
        <v>0</v>
      </c>
      <c r="I29" s="362"/>
      <c r="J29" s="362"/>
      <c r="K29" s="362"/>
      <c r="L29" s="362"/>
      <c r="M29" s="361">
        <v>46318</v>
      </c>
      <c r="O29" s="393"/>
      <c r="P29" s="443"/>
      <c r="Q29" s="363"/>
      <c r="S29" s="363"/>
      <c r="T29" s="363"/>
      <c r="U29" s="392"/>
      <c r="W29" s="362"/>
      <c r="X29" s="364"/>
      <c r="Z29" s="362"/>
      <c r="AA29" s="364"/>
      <c r="AB29" s="364"/>
      <c r="AF29" s="364"/>
    </row>
    <row r="30" spans="1:32" x14ac:dyDescent="0.25">
      <c r="A30" t="s">
        <v>416</v>
      </c>
      <c r="B30" t="s">
        <v>153</v>
      </c>
      <c r="C30" s="444" t="s">
        <v>552</v>
      </c>
      <c r="D30" s="8" t="s">
        <v>474</v>
      </c>
      <c r="E30" s="8" t="s">
        <v>154</v>
      </c>
      <c r="F30" s="8" t="s">
        <v>145</v>
      </c>
      <c r="G30" s="299">
        <v>20</v>
      </c>
      <c r="H30" s="299">
        <v>0</v>
      </c>
      <c r="I30" s="362"/>
      <c r="J30" s="362"/>
      <c r="K30" s="362"/>
      <c r="L30" s="362"/>
      <c r="M30" s="361">
        <v>46318</v>
      </c>
      <c r="O30" s="393"/>
      <c r="P30" s="443"/>
      <c r="Q30" s="363"/>
      <c r="S30" s="363"/>
      <c r="T30" s="363"/>
      <c r="U30" s="392"/>
      <c r="W30" s="362"/>
      <c r="X30" s="364"/>
      <c r="Z30" s="362"/>
      <c r="AA30" s="364"/>
      <c r="AB30" s="364"/>
      <c r="AF30" s="364"/>
    </row>
    <row r="31" spans="1:32" x14ac:dyDescent="0.25">
      <c r="A31" t="s">
        <v>118</v>
      </c>
      <c r="B31" t="s">
        <v>123</v>
      </c>
      <c r="C31" s="444" t="s">
        <v>552</v>
      </c>
      <c r="D31" s="8" t="s">
        <v>475</v>
      </c>
      <c r="E31" s="8" t="s">
        <v>15</v>
      </c>
      <c r="F31" s="8" t="s">
        <v>16</v>
      </c>
      <c r="G31" s="299">
        <v>20</v>
      </c>
      <c r="H31" s="299">
        <v>0</v>
      </c>
      <c r="I31" s="362"/>
      <c r="J31" s="362"/>
      <c r="K31" s="362"/>
      <c r="L31" s="362"/>
      <c r="M31" s="361">
        <v>46318</v>
      </c>
      <c r="O31" s="393"/>
      <c r="P31" s="443"/>
      <c r="Q31" s="363"/>
      <c r="S31" s="363"/>
      <c r="T31" s="363"/>
      <c r="U31" s="392"/>
      <c r="W31" s="362"/>
      <c r="X31" s="364"/>
      <c r="Z31" s="362"/>
      <c r="AA31" s="364"/>
      <c r="AB31" s="364"/>
      <c r="AF31" s="364"/>
    </row>
    <row r="32" spans="1:32" x14ac:dyDescent="0.25">
      <c r="A32" t="s">
        <v>118</v>
      </c>
      <c r="B32" t="s">
        <v>123</v>
      </c>
      <c r="C32" s="444" t="s">
        <v>552</v>
      </c>
      <c r="D32" s="8" t="s">
        <v>476</v>
      </c>
      <c r="E32" s="8" t="s">
        <v>13</v>
      </c>
      <c r="F32" s="8" t="s">
        <v>16</v>
      </c>
      <c r="G32" s="299">
        <v>20</v>
      </c>
      <c r="H32" s="299">
        <v>0</v>
      </c>
      <c r="I32" s="362"/>
      <c r="J32" s="362"/>
      <c r="K32" s="362"/>
      <c r="L32" s="362"/>
      <c r="M32" s="361">
        <v>46318</v>
      </c>
      <c r="O32" s="393"/>
      <c r="P32" s="443"/>
      <c r="Q32" s="363"/>
      <c r="S32" s="363"/>
      <c r="T32" s="363"/>
      <c r="U32" s="392"/>
      <c r="W32" s="362"/>
      <c r="X32" s="364"/>
      <c r="Z32" s="362"/>
      <c r="AA32" s="364"/>
      <c r="AB32" s="364"/>
      <c r="AF32" s="364"/>
    </row>
    <row r="33" spans="1:32" x14ac:dyDescent="0.25">
      <c r="A33" t="s">
        <v>330</v>
      </c>
      <c r="B33" t="s">
        <v>374</v>
      </c>
      <c r="C33" s="444" t="s">
        <v>552</v>
      </c>
      <c r="D33" s="8" t="s">
        <v>477</v>
      </c>
      <c r="E33" s="8" t="s">
        <v>160</v>
      </c>
      <c r="F33" s="8" t="s">
        <v>363</v>
      </c>
      <c r="G33" s="299">
        <v>20</v>
      </c>
      <c r="H33" s="299">
        <v>2</v>
      </c>
      <c r="I33" s="362"/>
      <c r="J33" s="362"/>
      <c r="K33" s="362"/>
      <c r="L33" s="362"/>
      <c r="M33" s="361">
        <v>46318</v>
      </c>
      <c r="O33" s="393"/>
      <c r="P33" s="443"/>
      <c r="Q33" s="363"/>
      <c r="S33" s="363"/>
      <c r="T33" s="363"/>
      <c r="U33" s="392"/>
      <c r="W33" s="362"/>
      <c r="X33" s="364"/>
      <c r="Z33" s="362"/>
      <c r="AA33" s="364"/>
      <c r="AB33" s="364"/>
      <c r="AF33" s="364"/>
    </row>
    <row r="34" spans="1:32" x14ac:dyDescent="0.25">
      <c r="A34" t="s">
        <v>105</v>
      </c>
      <c r="B34" t="s">
        <v>112</v>
      </c>
      <c r="C34" s="444" t="s">
        <v>552</v>
      </c>
      <c r="D34" s="8" t="s">
        <v>478</v>
      </c>
      <c r="E34" s="374" t="s">
        <v>147</v>
      </c>
      <c r="F34" s="8" t="s">
        <v>148</v>
      </c>
      <c r="G34" s="299">
        <v>20</v>
      </c>
      <c r="H34" s="299">
        <v>1</v>
      </c>
      <c r="I34" s="362">
        <v>-6.0000000000000001E-3</v>
      </c>
      <c r="J34" s="362">
        <v>0</v>
      </c>
      <c r="K34" s="362">
        <v>1.2E-2</v>
      </c>
      <c r="L34" s="362">
        <v>8.0000000000000002E-3</v>
      </c>
      <c r="M34" s="361">
        <v>46318</v>
      </c>
      <c r="O34" s="393"/>
      <c r="P34" s="443"/>
      <c r="Q34" s="363"/>
      <c r="S34" s="363"/>
      <c r="T34" s="363"/>
      <c r="U34" s="392"/>
      <c r="W34" s="362"/>
      <c r="X34" s="364"/>
      <c r="Z34" s="362"/>
      <c r="AA34" s="364"/>
      <c r="AB34" s="364"/>
      <c r="AF34" s="364"/>
    </row>
    <row r="35" spans="1:32" x14ac:dyDescent="0.25">
      <c r="A35" t="s">
        <v>105</v>
      </c>
      <c r="B35" t="s">
        <v>110</v>
      </c>
      <c r="C35" s="444" t="s">
        <v>552</v>
      </c>
      <c r="D35" s="8" t="s">
        <v>479</v>
      </c>
      <c r="E35" s="374" t="s">
        <v>88</v>
      </c>
      <c r="F35" s="8" t="s">
        <v>90</v>
      </c>
      <c r="G35" s="299">
        <v>20</v>
      </c>
      <c r="H35" s="299">
        <v>1</v>
      </c>
      <c r="I35" s="386">
        <v>-3.0000000000000001E-3</v>
      </c>
      <c r="J35" s="386">
        <v>-2E-3</v>
      </c>
      <c r="K35" s="362">
        <v>4.0000000000000001E-3</v>
      </c>
      <c r="L35" s="362">
        <v>1E-3</v>
      </c>
      <c r="M35" s="361">
        <v>46318</v>
      </c>
      <c r="O35" s="393"/>
      <c r="P35" s="443"/>
      <c r="Q35" s="363"/>
      <c r="S35" s="363"/>
      <c r="T35" s="363"/>
      <c r="U35" s="392"/>
      <c r="W35" s="362"/>
      <c r="X35" s="364"/>
      <c r="Z35" s="362"/>
      <c r="AA35" s="364"/>
      <c r="AB35" s="387"/>
      <c r="AC35" s="386"/>
      <c r="AD35" s="387"/>
      <c r="AF35" s="364"/>
    </row>
    <row r="36" spans="1:32" x14ac:dyDescent="0.25">
      <c r="A36" t="s">
        <v>105</v>
      </c>
      <c r="B36" t="s">
        <v>131</v>
      </c>
      <c r="C36" s="444" t="s">
        <v>552</v>
      </c>
      <c r="D36" s="8" t="s">
        <v>480</v>
      </c>
      <c r="E36" s="374" t="s">
        <v>115</v>
      </c>
      <c r="F36" s="8" t="s">
        <v>92</v>
      </c>
      <c r="G36" s="299">
        <v>20</v>
      </c>
      <c r="H36" s="299">
        <v>1</v>
      </c>
      <c r="I36" s="362">
        <v>-4.0000000000000001E-3</v>
      </c>
      <c r="J36" s="362">
        <v>-1E-3</v>
      </c>
      <c r="K36" s="362">
        <v>7.0000000000000001E-3</v>
      </c>
      <c r="L36" s="362">
        <v>4.0000000000000001E-3</v>
      </c>
      <c r="M36" s="361">
        <v>46318</v>
      </c>
      <c r="O36" s="393"/>
      <c r="P36" s="443"/>
      <c r="Q36" s="363"/>
      <c r="S36" s="363"/>
      <c r="T36" s="363"/>
      <c r="U36" s="392"/>
      <c r="W36" s="362"/>
      <c r="X36" s="364"/>
      <c r="Z36" s="362"/>
      <c r="AA36" s="364"/>
      <c r="AB36" s="364"/>
      <c r="AF36" s="364"/>
    </row>
    <row r="37" spans="1:32" x14ac:dyDescent="0.25">
      <c r="A37" t="s">
        <v>105</v>
      </c>
      <c r="B37" t="s">
        <v>106</v>
      </c>
      <c r="C37" s="444" t="s">
        <v>552</v>
      </c>
      <c r="D37" s="8" t="s">
        <v>481</v>
      </c>
      <c r="E37" s="374" t="s">
        <v>116</v>
      </c>
      <c r="F37" s="8" t="s">
        <v>79</v>
      </c>
      <c r="G37" s="299">
        <v>20</v>
      </c>
      <c r="H37" s="299">
        <v>1</v>
      </c>
      <c r="I37" s="362">
        <v>-6.0000000000000001E-3</v>
      </c>
      <c r="J37" s="362">
        <v>-4.0000000000000001E-3</v>
      </c>
      <c r="K37" s="362">
        <v>8.0000000000000002E-3</v>
      </c>
      <c r="L37" s="362">
        <v>6.0000000000000001E-3</v>
      </c>
      <c r="M37" s="361">
        <v>46318</v>
      </c>
      <c r="O37" s="393"/>
      <c r="P37" s="443"/>
      <c r="Q37" s="363"/>
      <c r="S37" s="363"/>
      <c r="T37" s="363"/>
      <c r="U37" s="392"/>
      <c r="W37" s="362"/>
      <c r="X37" s="364"/>
      <c r="Z37" s="362"/>
      <c r="AA37" s="364"/>
      <c r="AB37" s="364"/>
      <c r="AF37" s="364"/>
    </row>
    <row r="38" spans="1:32" x14ac:dyDescent="0.25">
      <c r="A38" t="s">
        <v>416</v>
      </c>
      <c r="B38" t="s">
        <v>299</v>
      </c>
      <c r="C38" s="444" t="s">
        <v>552</v>
      </c>
      <c r="D38" s="8" t="s">
        <v>482</v>
      </c>
      <c r="E38" s="8" t="s">
        <v>293</v>
      </c>
      <c r="F38" s="8" t="s">
        <v>292</v>
      </c>
      <c r="G38" s="299">
        <v>20</v>
      </c>
      <c r="H38" s="299">
        <v>0</v>
      </c>
      <c r="I38" s="362"/>
      <c r="J38" s="362"/>
      <c r="K38" s="362"/>
      <c r="L38" s="362"/>
      <c r="M38" s="361">
        <v>46318</v>
      </c>
      <c r="O38" s="393"/>
      <c r="P38" s="443"/>
      <c r="Q38" s="363"/>
      <c r="S38" s="363"/>
      <c r="T38" s="363"/>
      <c r="U38" s="392"/>
      <c r="W38" s="362"/>
      <c r="X38" s="364"/>
      <c r="Z38" s="362"/>
      <c r="AA38" s="364"/>
      <c r="AB38" s="364"/>
      <c r="AF38" s="364"/>
    </row>
    <row r="39" spans="1:32" x14ac:dyDescent="0.25">
      <c r="A39" t="s">
        <v>416</v>
      </c>
      <c r="B39" t="s">
        <v>212</v>
      </c>
      <c r="C39" s="444" t="s">
        <v>552</v>
      </c>
      <c r="D39" s="8" t="s">
        <v>483</v>
      </c>
      <c r="E39" s="8" t="s">
        <v>214</v>
      </c>
      <c r="F39" s="8" t="s">
        <v>213</v>
      </c>
      <c r="G39" s="299">
        <v>20</v>
      </c>
      <c r="H39" s="299">
        <v>0</v>
      </c>
      <c r="I39" s="362"/>
      <c r="J39" s="362"/>
      <c r="K39" s="362"/>
      <c r="L39" s="362"/>
      <c r="M39" s="361">
        <v>46318</v>
      </c>
      <c r="O39" s="393"/>
      <c r="P39" s="443"/>
      <c r="Q39" s="363"/>
      <c r="S39" s="363"/>
      <c r="T39" s="363"/>
      <c r="U39" s="392"/>
      <c r="W39" s="362"/>
      <c r="X39" s="364"/>
      <c r="Z39" s="362"/>
      <c r="AA39" s="364"/>
      <c r="AB39" s="364"/>
      <c r="AF39" s="364"/>
    </row>
    <row r="40" spans="1:32" x14ac:dyDescent="0.25">
      <c r="A40" t="s">
        <v>416</v>
      </c>
      <c r="B40" t="s">
        <v>299</v>
      </c>
      <c r="C40" s="444" t="s">
        <v>552</v>
      </c>
      <c r="D40" s="8" t="s">
        <v>484</v>
      </c>
      <c r="E40" s="8" t="s">
        <v>294</v>
      </c>
      <c r="F40" s="8" t="s">
        <v>300</v>
      </c>
      <c r="G40" s="299">
        <v>20</v>
      </c>
      <c r="H40" s="299">
        <v>0</v>
      </c>
      <c r="I40" s="362"/>
      <c r="J40" s="362"/>
      <c r="K40" s="362"/>
      <c r="L40" s="362"/>
      <c r="M40" s="361">
        <v>46318</v>
      </c>
      <c r="O40" s="393"/>
      <c r="P40" s="443"/>
      <c r="Q40" s="363"/>
      <c r="S40" s="363"/>
      <c r="T40" s="363"/>
      <c r="U40" s="392"/>
      <c r="W40" s="362"/>
      <c r="X40" s="364"/>
      <c r="Z40" s="362"/>
      <c r="AA40" s="364"/>
      <c r="AB40" s="364"/>
      <c r="AF40" s="364"/>
    </row>
    <row r="41" spans="1:32" x14ac:dyDescent="0.25">
      <c r="A41" t="s">
        <v>416</v>
      </c>
      <c r="B41" t="s">
        <v>209</v>
      </c>
      <c r="C41" s="444" t="s">
        <v>552</v>
      </c>
      <c r="D41" s="8" t="s">
        <v>485</v>
      </c>
      <c r="E41" s="8" t="s">
        <v>210</v>
      </c>
      <c r="F41" s="8" t="s">
        <v>211</v>
      </c>
      <c r="G41" s="299">
        <v>20</v>
      </c>
      <c r="H41" s="299">
        <v>0</v>
      </c>
      <c r="I41" s="362"/>
      <c r="J41" s="362"/>
      <c r="K41" s="362"/>
      <c r="L41" s="362"/>
      <c r="M41" s="361">
        <v>46318</v>
      </c>
      <c r="O41" s="393"/>
      <c r="P41" s="443"/>
      <c r="Q41" s="363"/>
      <c r="S41" s="363"/>
      <c r="T41" s="363"/>
      <c r="U41" s="392"/>
      <c r="W41" s="362"/>
      <c r="X41" s="364"/>
      <c r="Z41" s="362"/>
      <c r="AA41" s="364"/>
      <c r="AB41" s="364"/>
      <c r="AF41" s="364"/>
    </row>
    <row r="42" spans="1:32" x14ac:dyDescent="0.25">
      <c r="A42" t="s">
        <v>416</v>
      </c>
      <c r="B42" t="s">
        <v>152</v>
      </c>
      <c r="C42" s="444" t="s">
        <v>552</v>
      </c>
      <c r="D42" s="8" t="s">
        <v>486</v>
      </c>
      <c r="E42" s="8" t="s">
        <v>144</v>
      </c>
      <c r="F42" s="8" t="s">
        <v>143</v>
      </c>
      <c r="G42" s="299">
        <v>20</v>
      </c>
      <c r="H42" s="299">
        <v>0</v>
      </c>
      <c r="I42" s="362"/>
      <c r="J42" s="362"/>
      <c r="K42" s="362"/>
      <c r="L42" s="362"/>
      <c r="M42" s="361">
        <v>46318</v>
      </c>
      <c r="O42" s="393"/>
      <c r="P42" s="443"/>
      <c r="Q42" s="363"/>
      <c r="S42" s="363"/>
      <c r="T42" s="363"/>
      <c r="U42" s="392"/>
      <c r="W42" s="362"/>
      <c r="X42" s="364"/>
      <c r="Z42" s="362"/>
      <c r="AA42" s="364"/>
      <c r="AB42" s="364"/>
      <c r="AF42" s="364"/>
    </row>
    <row r="43" spans="1:32" x14ac:dyDescent="0.25">
      <c r="A43" t="s">
        <v>118</v>
      </c>
      <c r="B43" t="s">
        <v>126</v>
      </c>
      <c r="C43" s="444" t="s">
        <v>552</v>
      </c>
      <c r="D43" s="8" t="s">
        <v>487</v>
      </c>
      <c r="E43" s="8" t="s">
        <v>44</v>
      </c>
      <c r="F43" s="8" t="s">
        <v>43</v>
      </c>
      <c r="G43" s="299">
        <v>20</v>
      </c>
      <c r="H43" s="299">
        <v>2</v>
      </c>
      <c r="I43" s="362">
        <v>-5.0000000000000001E-3</v>
      </c>
      <c r="J43" s="362">
        <v>-3.0000000000000001E-3</v>
      </c>
      <c r="K43" s="362">
        <v>5.0000000000000001E-3</v>
      </c>
      <c r="L43" s="362">
        <v>3.0000000000000001E-3</v>
      </c>
      <c r="M43" s="361">
        <v>46318</v>
      </c>
      <c r="O43" s="393"/>
      <c r="P43" s="443"/>
      <c r="Q43" s="363"/>
      <c r="S43" s="363"/>
      <c r="T43" s="363"/>
      <c r="U43" s="392"/>
      <c r="W43" s="362"/>
      <c r="X43" s="364"/>
      <c r="Z43" s="362"/>
      <c r="AA43" s="364"/>
      <c r="AB43" s="364"/>
      <c r="AF43" s="364"/>
    </row>
    <row r="44" spans="1:32" x14ac:dyDescent="0.25">
      <c r="A44" t="s">
        <v>330</v>
      </c>
      <c r="B44" t="s">
        <v>376</v>
      </c>
      <c r="C44" s="444" t="s">
        <v>552</v>
      </c>
      <c r="D44" s="8" t="s">
        <v>488</v>
      </c>
      <c r="E44" s="8" t="s">
        <v>368</v>
      </c>
      <c r="F44" s="8" t="s">
        <v>369</v>
      </c>
      <c r="G44" s="299">
        <v>20</v>
      </c>
      <c r="H44" s="299">
        <v>2</v>
      </c>
      <c r="I44" s="362"/>
      <c r="J44" s="362"/>
      <c r="K44" s="362"/>
      <c r="L44" s="362"/>
      <c r="M44" s="361">
        <v>46318</v>
      </c>
      <c r="O44" s="393"/>
      <c r="P44" s="443"/>
      <c r="Q44" s="363"/>
      <c r="S44" s="363"/>
      <c r="T44" s="363"/>
      <c r="U44" s="392"/>
      <c r="W44" s="362"/>
      <c r="X44" s="364"/>
      <c r="Z44" s="362"/>
      <c r="AA44" s="364"/>
      <c r="AB44" s="364"/>
      <c r="AF44" s="364"/>
    </row>
    <row r="45" spans="1:32" x14ac:dyDescent="0.25">
      <c r="A45" t="s">
        <v>330</v>
      </c>
      <c r="B45" t="s">
        <v>378</v>
      </c>
      <c r="C45" s="444" t="s">
        <v>552</v>
      </c>
      <c r="D45" s="8" t="s">
        <v>489</v>
      </c>
      <c r="E45" s="8" t="s">
        <v>370</v>
      </c>
      <c r="F45" s="8" t="s">
        <v>371</v>
      </c>
      <c r="G45" s="299">
        <v>20</v>
      </c>
      <c r="H45" s="299">
        <v>2</v>
      </c>
      <c r="I45" s="362"/>
      <c r="J45" s="362"/>
      <c r="K45" s="362"/>
      <c r="L45" s="362"/>
      <c r="M45" s="361">
        <v>46318</v>
      </c>
      <c r="O45" s="393"/>
      <c r="P45" s="443"/>
      <c r="Q45" s="363"/>
      <c r="S45" s="363"/>
      <c r="T45" s="363"/>
      <c r="U45" s="392"/>
      <c r="W45" s="362"/>
      <c r="X45" s="364"/>
      <c r="Z45" s="362"/>
      <c r="AA45" s="364"/>
      <c r="AB45" s="364"/>
      <c r="AF45" s="364"/>
    </row>
    <row r="46" spans="1:32" x14ac:dyDescent="0.25">
      <c r="A46" t="s">
        <v>330</v>
      </c>
      <c r="B46" t="s">
        <v>375</v>
      </c>
      <c r="C46" s="444" t="s">
        <v>552</v>
      </c>
      <c r="D46" s="8" t="s">
        <v>490</v>
      </c>
      <c r="E46" s="8" t="s">
        <v>162</v>
      </c>
      <c r="F46" s="8" t="s">
        <v>161</v>
      </c>
      <c r="G46" s="299">
        <v>20</v>
      </c>
      <c r="H46" s="299">
        <v>2</v>
      </c>
      <c r="I46" s="362"/>
      <c r="J46" s="362"/>
      <c r="K46" s="362"/>
      <c r="L46" s="362"/>
      <c r="M46" s="361">
        <v>46318</v>
      </c>
      <c r="O46" s="393"/>
      <c r="P46" s="443"/>
      <c r="Q46" s="363"/>
      <c r="S46" s="363"/>
      <c r="T46" s="363"/>
      <c r="U46" s="392"/>
      <c r="W46" s="362"/>
      <c r="X46" s="364"/>
      <c r="Z46" s="362"/>
      <c r="AA46" s="364"/>
      <c r="AB46" s="364"/>
      <c r="AF46" s="364"/>
    </row>
    <row r="47" spans="1:32" x14ac:dyDescent="0.25">
      <c r="A47" t="s">
        <v>330</v>
      </c>
      <c r="B47" t="s">
        <v>108</v>
      </c>
      <c r="C47" s="444" t="s">
        <v>552</v>
      </c>
      <c r="D47" s="8" t="s">
        <v>491</v>
      </c>
      <c r="E47" s="374" t="s">
        <v>45</v>
      </c>
      <c r="F47" s="8" t="s">
        <v>46</v>
      </c>
      <c r="G47" s="299">
        <v>20</v>
      </c>
      <c r="H47" s="299">
        <v>1</v>
      </c>
      <c r="I47" s="362"/>
      <c r="J47" s="362"/>
      <c r="K47" s="362"/>
      <c r="L47" s="362"/>
      <c r="M47" s="361">
        <v>46318</v>
      </c>
      <c r="O47" s="393"/>
      <c r="P47" s="443"/>
      <c r="Q47" s="363"/>
      <c r="S47" s="363"/>
      <c r="T47" s="363"/>
      <c r="U47" s="392"/>
      <c r="W47" s="362"/>
      <c r="X47" s="364"/>
      <c r="Z47" s="362"/>
      <c r="AA47" s="364"/>
      <c r="AB47" s="364"/>
      <c r="AF47" s="364"/>
    </row>
    <row r="48" spans="1:32" x14ac:dyDescent="0.25">
      <c r="A48" t="s">
        <v>118</v>
      </c>
      <c r="B48" t="s">
        <v>119</v>
      </c>
      <c r="C48" s="444" t="s">
        <v>552</v>
      </c>
      <c r="D48" s="8" t="s">
        <v>492</v>
      </c>
      <c r="E48" s="8" t="s">
        <v>4</v>
      </c>
      <c r="F48" s="8" t="s">
        <v>7</v>
      </c>
      <c r="G48" s="299">
        <v>20</v>
      </c>
      <c r="H48" s="299">
        <v>0</v>
      </c>
      <c r="I48" s="362"/>
      <c r="J48" s="362"/>
      <c r="K48" s="362"/>
      <c r="L48" s="362"/>
      <c r="M48" s="361">
        <v>46318</v>
      </c>
      <c r="O48" s="393"/>
      <c r="P48" s="443"/>
      <c r="Q48" s="363"/>
      <c r="S48" s="363"/>
      <c r="T48" s="363"/>
      <c r="U48" s="392"/>
      <c r="W48" s="362"/>
      <c r="X48" s="364"/>
      <c r="Z48" s="362"/>
      <c r="AA48" s="364"/>
      <c r="AB48" s="364"/>
      <c r="AF48" s="364"/>
    </row>
    <row r="49" spans="1:32" x14ac:dyDescent="0.25">
      <c r="A49" t="s">
        <v>118</v>
      </c>
      <c r="B49" t="s">
        <v>123</v>
      </c>
      <c r="C49" s="444" t="s">
        <v>552</v>
      </c>
      <c r="D49" s="8" t="s">
        <v>493</v>
      </c>
      <c r="E49" s="8" t="s">
        <v>12</v>
      </c>
      <c r="F49" s="8" t="s">
        <v>16</v>
      </c>
      <c r="G49" s="299">
        <v>20</v>
      </c>
      <c r="H49" s="299">
        <v>0</v>
      </c>
      <c r="I49" s="362"/>
      <c r="J49" s="362"/>
      <c r="K49" s="362"/>
      <c r="L49" s="362"/>
      <c r="M49" s="361">
        <v>46318</v>
      </c>
      <c r="O49" s="393"/>
      <c r="P49" s="443"/>
      <c r="Q49" s="363"/>
      <c r="S49" s="363"/>
      <c r="T49" s="363"/>
      <c r="U49" s="392"/>
      <c r="W49" s="362"/>
      <c r="X49" s="364"/>
      <c r="Z49" s="362"/>
      <c r="AA49" s="364"/>
      <c r="AB49" s="364"/>
      <c r="AF49" s="364"/>
    </row>
    <row r="50" spans="1:32" x14ac:dyDescent="0.25">
      <c r="A50" t="s">
        <v>330</v>
      </c>
      <c r="B50" t="s">
        <v>181</v>
      </c>
      <c r="C50" s="444" t="s">
        <v>552</v>
      </c>
      <c r="D50" s="8" t="s">
        <v>494</v>
      </c>
      <c r="E50" s="374" t="s">
        <v>159</v>
      </c>
      <c r="F50" s="8" t="s">
        <v>158</v>
      </c>
      <c r="G50" s="299">
        <v>20</v>
      </c>
      <c r="H50" s="299">
        <v>1</v>
      </c>
      <c r="I50" s="362">
        <v>-2.5000000000000001E-2</v>
      </c>
      <c r="J50" s="362">
        <v>-1.4999999999999999E-2</v>
      </c>
      <c r="K50" s="362">
        <v>3.5000000000000003E-2</v>
      </c>
      <c r="L50" s="362">
        <v>0.01</v>
      </c>
      <c r="M50" s="361">
        <v>46318</v>
      </c>
      <c r="O50" s="393"/>
      <c r="P50" s="443"/>
      <c r="Q50" s="363"/>
      <c r="S50" s="363"/>
      <c r="T50" s="363"/>
      <c r="U50" s="392"/>
      <c r="W50" s="362"/>
      <c r="X50" s="364"/>
      <c r="Z50" s="362"/>
      <c r="AA50" s="364"/>
      <c r="AB50" s="364"/>
      <c r="AF50" s="364"/>
    </row>
    <row r="51" spans="1:32" x14ac:dyDescent="0.25">
      <c r="A51" t="s">
        <v>118</v>
      </c>
      <c r="B51" t="s">
        <v>119</v>
      </c>
      <c r="C51" s="444" t="s">
        <v>552</v>
      </c>
      <c r="D51" s="8" t="s">
        <v>495</v>
      </c>
      <c r="E51" s="8" t="s">
        <v>5</v>
      </c>
      <c r="F51" s="8" t="s">
        <v>7</v>
      </c>
      <c r="G51" s="299">
        <v>20</v>
      </c>
      <c r="H51" s="299">
        <v>0</v>
      </c>
      <c r="I51" s="362"/>
      <c r="J51" s="362"/>
      <c r="K51" s="362"/>
      <c r="L51" s="362"/>
      <c r="M51" s="361">
        <v>46318</v>
      </c>
      <c r="O51" s="393"/>
      <c r="P51" s="443"/>
      <c r="Q51" s="363"/>
      <c r="S51" s="363"/>
      <c r="T51" s="363"/>
      <c r="U51" s="392"/>
      <c r="W51" s="362"/>
      <c r="X51" s="364"/>
      <c r="Z51" s="362"/>
      <c r="AA51" s="364"/>
      <c r="AB51" s="364"/>
      <c r="AF51" s="364"/>
    </row>
    <row r="52" spans="1:32" x14ac:dyDescent="0.25">
      <c r="A52" t="s">
        <v>118</v>
      </c>
      <c r="B52" t="s">
        <v>121</v>
      </c>
      <c r="C52" s="444" t="s">
        <v>552</v>
      </c>
      <c r="D52" s="8" t="s">
        <v>496</v>
      </c>
      <c r="E52" s="8" t="s">
        <v>20</v>
      </c>
      <c r="F52" s="8" t="s">
        <v>23</v>
      </c>
      <c r="G52" s="299">
        <v>20</v>
      </c>
      <c r="H52" s="299">
        <v>0</v>
      </c>
      <c r="I52" s="362"/>
      <c r="J52" s="362"/>
      <c r="K52" s="362"/>
      <c r="L52" s="362"/>
      <c r="M52" s="361">
        <v>46318</v>
      </c>
      <c r="O52" s="393"/>
      <c r="P52" s="443"/>
      <c r="Q52" s="363"/>
      <c r="S52" s="363"/>
      <c r="T52" s="363"/>
      <c r="U52" s="392"/>
      <c r="W52" s="362"/>
      <c r="X52" s="364"/>
      <c r="Z52" s="362"/>
      <c r="AA52" s="364"/>
      <c r="AB52" s="364"/>
      <c r="AF52" s="364"/>
    </row>
    <row r="53" spans="1:32" x14ac:dyDescent="0.25">
      <c r="A53" t="s">
        <v>118</v>
      </c>
      <c r="B53" t="s">
        <v>123</v>
      </c>
      <c r="C53" s="444" t="s">
        <v>552</v>
      </c>
      <c r="D53" s="8" t="s">
        <v>497</v>
      </c>
      <c r="E53" s="8" t="s">
        <v>11</v>
      </c>
      <c r="F53" s="8" t="s">
        <v>16</v>
      </c>
      <c r="G53" s="299">
        <v>20</v>
      </c>
      <c r="H53" s="299">
        <v>0</v>
      </c>
      <c r="I53" s="362"/>
      <c r="J53" s="362"/>
      <c r="K53" s="362"/>
      <c r="L53" s="362"/>
      <c r="M53" s="361">
        <v>46318</v>
      </c>
      <c r="O53" s="393"/>
      <c r="P53" s="443"/>
      <c r="Q53" s="363"/>
      <c r="S53" s="363"/>
      <c r="T53" s="363"/>
      <c r="U53" s="392"/>
      <c r="W53" s="362"/>
      <c r="X53" s="364"/>
      <c r="Z53" s="362"/>
      <c r="AA53" s="364"/>
      <c r="AB53" s="364"/>
      <c r="AF53" s="364"/>
    </row>
    <row r="54" spans="1:32" x14ac:dyDescent="0.25">
      <c r="A54" t="s">
        <v>118</v>
      </c>
      <c r="B54" t="s">
        <v>124</v>
      </c>
      <c r="C54" s="444" t="s">
        <v>552</v>
      </c>
      <c r="D54" s="8" t="s">
        <v>498</v>
      </c>
      <c r="E54" s="8" t="s">
        <v>17</v>
      </c>
      <c r="F54" s="8" t="s">
        <v>18</v>
      </c>
      <c r="G54" s="299">
        <v>20</v>
      </c>
      <c r="H54" s="299">
        <v>2</v>
      </c>
      <c r="I54" s="362">
        <v>-1.5E-3</v>
      </c>
      <c r="J54" s="362">
        <v>-5.0000000000000001E-4</v>
      </c>
      <c r="K54" s="362">
        <v>1E-3</v>
      </c>
      <c r="L54" s="362">
        <v>0</v>
      </c>
      <c r="M54" s="361">
        <v>46318</v>
      </c>
      <c r="O54" s="393"/>
      <c r="P54" s="443"/>
      <c r="Q54" s="363"/>
      <c r="S54" s="363"/>
      <c r="T54" s="363"/>
      <c r="U54" s="392"/>
      <c r="W54" s="362"/>
      <c r="X54" s="364"/>
      <c r="Z54" s="362"/>
      <c r="AA54" s="364"/>
      <c r="AB54" s="364"/>
      <c r="AF54" s="364"/>
    </row>
    <row r="55" spans="1:32" x14ac:dyDescent="0.25">
      <c r="A55" t="s">
        <v>118</v>
      </c>
      <c r="B55" t="s">
        <v>125</v>
      </c>
      <c r="C55" s="444" t="s">
        <v>552</v>
      </c>
      <c r="D55" s="8" t="s">
        <v>499</v>
      </c>
      <c r="E55" s="8" t="s">
        <v>19</v>
      </c>
      <c r="F55" s="8" t="s">
        <v>3</v>
      </c>
      <c r="G55" s="299">
        <v>20</v>
      </c>
      <c r="H55" s="299">
        <v>2</v>
      </c>
      <c r="I55" s="362">
        <v>-1E-3</v>
      </c>
      <c r="J55" s="362">
        <v>0</v>
      </c>
      <c r="K55" s="362">
        <v>1E-3</v>
      </c>
      <c r="L55" s="362">
        <v>0</v>
      </c>
      <c r="M55" s="361">
        <v>46318</v>
      </c>
      <c r="O55" s="393"/>
      <c r="P55" s="443"/>
      <c r="Q55" s="363"/>
      <c r="S55" s="363"/>
      <c r="T55" s="363"/>
      <c r="U55" s="392"/>
      <c r="W55" s="362"/>
      <c r="X55" s="364"/>
      <c r="Z55" s="362"/>
      <c r="AA55" s="364"/>
      <c r="AB55" s="364"/>
      <c r="AF55" s="364"/>
    </row>
    <row r="56" spans="1:32" x14ac:dyDescent="0.25">
      <c r="A56" t="s">
        <v>416</v>
      </c>
      <c r="B56" t="s">
        <v>205</v>
      </c>
      <c r="C56" s="444" t="s">
        <v>552</v>
      </c>
      <c r="D56" s="8" t="s">
        <v>500</v>
      </c>
      <c r="E56" s="8" t="s">
        <v>203</v>
      </c>
      <c r="F56" s="8" t="s">
        <v>204</v>
      </c>
      <c r="G56" s="299">
        <v>20</v>
      </c>
      <c r="H56" s="299">
        <v>0</v>
      </c>
      <c r="I56" s="362"/>
      <c r="J56" s="362"/>
      <c r="K56" s="362"/>
      <c r="L56" s="362"/>
      <c r="M56" s="361">
        <v>46318</v>
      </c>
      <c r="O56" s="393"/>
      <c r="P56" s="443"/>
      <c r="Q56" s="363"/>
      <c r="S56" s="363"/>
      <c r="T56" s="363"/>
      <c r="U56" s="392"/>
      <c r="W56" s="362"/>
      <c r="X56" s="364"/>
      <c r="Z56" s="362"/>
      <c r="AA56" s="364"/>
      <c r="AB56" s="364"/>
      <c r="AF56" s="364"/>
    </row>
    <row r="57" spans="1:32" x14ac:dyDescent="0.25">
      <c r="A57" t="s">
        <v>118</v>
      </c>
      <c r="B57" t="s">
        <v>123</v>
      </c>
      <c r="C57" s="444" t="s">
        <v>552</v>
      </c>
      <c r="D57" s="8" t="s">
        <v>501</v>
      </c>
      <c r="E57" s="8" t="s">
        <v>14</v>
      </c>
      <c r="F57" s="8" t="s">
        <v>16</v>
      </c>
      <c r="G57" s="299">
        <v>20</v>
      </c>
      <c r="H57" s="299">
        <v>0</v>
      </c>
      <c r="I57" s="362"/>
      <c r="J57" s="362"/>
      <c r="K57" s="362"/>
      <c r="L57" s="362"/>
      <c r="M57" s="361">
        <v>46318</v>
      </c>
      <c r="O57" s="393"/>
      <c r="P57" s="443"/>
      <c r="Q57" s="363"/>
      <c r="S57" s="363"/>
      <c r="T57" s="363"/>
      <c r="U57" s="392"/>
      <c r="W57" s="362"/>
      <c r="X57" s="364"/>
      <c r="Z57" s="362"/>
      <c r="AA57" s="364"/>
      <c r="AB57" s="364"/>
      <c r="AF57" s="364"/>
    </row>
    <row r="58" spans="1:32" x14ac:dyDescent="0.25">
      <c r="A58" t="s">
        <v>118</v>
      </c>
      <c r="B58" t="s">
        <v>121</v>
      </c>
      <c r="C58" s="444" t="s">
        <v>552</v>
      </c>
      <c r="D58" s="8" t="s">
        <v>502</v>
      </c>
      <c r="E58" s="8" t="s">
        <v>21</v>
      </c>
      <c r="F58" s="8" t="s">
        <v>23</v>
      </c>
      <c r="G58" s="299">
        <v>20</v>
      </c>
      <c r="H58" s="299">
        <v>0</v>
      </c>
      <c r="I58" s="362"/>
      <c r="J58" s="362"/>
      <c r="K58" s="362"/>
      <c r="L58" s="362"/>
      <c r="M58" s="361">
        <v>46318</v>
      </c>
      <c r="O58" s="393"/>
      <c r="P58" s="443"/>
      <c r="Q58" s="363"/>
      <c r="S58" s="363"/>
      <c r="T58" s="363"/>
      <c r="U58" s="392"/>
      <c r="W58" s="362"/>
      <c r="X58" s="364"/>
      <c r="Z58" s="362"/>
      <c r="AA58" s="364"/>
      <c r="AB58" s="364"/>
      <c r="AF58" s="364"/>
    </row>
    <row r="59" spans="1:32" x14ac:dyDescent="0.25">
      <c r="A59" t="s">
        <v>105</v>
      </c>
      <c r="B59" t="s">
        <v>128</v>
      </c>
      <c r="C59" s="444" t="s">
        <v>552</v>
      </c>
      <c r="D59" s="8" t="s">
        <v>503</v>
      </c>
      <c r="E59" s="374" t="s">
        <v>99</v>
      </c>
      <c r="F59" s="8" t="s">
        <v>97</v>
      </c>
      <c r="G59" s="299">
        <v>20</v>
      </c>
      <c r="H59" s="299">
        <v>1</v>
      </c>
      <c r="I59" s="362"/>
      <c r="J59" s="362"/>
      <c r="K59" s="362"/>
      <c r="L59" s="362"/>
      <c r="M59" s="361">
        <v>46318</v>
      </c>
      <c r="O59" s="393"/>
      <c r="P59" s="443"/>
      <c r="Q59" s="363"/>
      <c r="S59" s="363"/>
      <c r="T59" s="363"/>
      <c r="U59" s="392"/>
      <c r="W59" s="362"/>
      <c r="X59" s="364"/>
      <c r="Z59" s="362"/>
      <c r="AA59" s="364"/>
      <c r="AB59" s="364"/>
      <c r="AF59" s="364"/>
    </row>
    <row r="60" spans="1:32" x14ac:dyDescent="0.25">
      <c r="A60" t="s">
        <v>118</v>
      </c>
      <c r="B60" t="s">
        <v>121</v>
      </c>
      <c r="C60" s="444" t="s">
        <v>552</v>
      </c>
      <c r="D60" s="8" t="s">
        <v>504</v>
      </c>
      <c r="E60" s="8" t="s">
        <v>22</v>
      </c>
      <c r="F60" s="8" t="s">
        <v>23</v>
      </c>
      <c r="G60" s="299">
        <v>20</v>
      </c>
      <c r="H60" s="299">
        <v>0</v>
      </c>
      <c r="I60" s="362"/>
      <c r="J60" s="362"/>
      <c r="K60" s="362"/>
      <c r="L60" s="362"/>
      <c r="M60" s="361">
        <v>46318</v>
      </c>
      <c r="O60" s="393"/>
      <c r="P60" s="443"/>
      <c r="Q60" s="363"/>
      <c r="S60" s="363"/>
      <c r="T60" s="363"/>
      <c r="U60" s="392"/>
      <c r="W60" s="362"/>
      <c r="X60" s="364"/>
      <c r="Z60" s="362"/>
      <c r="AA60" s="364"/>
      <c r="AB60" s="364"/>
      <c r="AF60" s="364"/>
    </row>
    <row r="61" spans="1:32" x14ac:dyDescent="0.25">
      <c r="A61" t="s">
        <v>312</v>
      </c>
      <c r="B61" t="s">
        <v>121</v>
      </c>
      <c r="C61" s="444">
        <v>2026</v>
      </c>
      <c r="D61" s="8" t="s">
        <v>505</v>
      </c>
      <c r="E61" s="8" t="s">
        <v>184</v>
      </c>
      <c r="F61" s="8" t="s">
        <v>183</v>
      </c>
      <c r="G61" s="299">
        <v>20</v>
      </c>
      <c r="H61" s="299">
        <v>2</v>
      </c>
      <c r="I61" s="362"/>
      <c r="J61" s="362"/>
      <c r="K61" s="362"/>
      <c r="L61" s="362"/>
      <c r="M61" s="361">
        <v>46318</v>
      </c>
      <c r="O61" s="393"/>
      <c r="P61" s="443"/>
      <c r="Q61" s="363"/>
      <c r="S61" s="363"/>
      <c r="T61" s="363"/>
      <c r="U61" s="392"/>
      <c r="W61" s="362"/>
      <c r="X61" s="364"/>
      <c r="Z61" s="362"/>
      <c r="AA61" s="364"/>
      <c r="AB61" s="364"/>
      <c r="AF61" s="364"/>
    </row>
    <row r="62" spans="1:32" x14ac:dyDescent="0.25">
      <c r="A62" t="s">
        <v>312</v>
      </c>
      <c r="B62" t="s">
        <v>123</v>
      </c>
      <c r="C62" s="444">
        <v>2026</v>
      </c>
      <c r="D62" s="8" t="s">
        <v>506</v>
      </c>
      <c r="E62" s="8" t="s">
        <v>237</v>
      </c>
      <c r="F62" s="8" t="s">
        <v>238</v>
      </c>
      <c r="G62" s="299">
        <v>20</v>
      </c>
      <c r="H62" s="299">
        <v>2</v>
      </c>
      <c r="I62" s="362"/>
      <c r="J62" s="362"/>
      <c r="K62" s="362"/>
      <c r="L62" s="362"/>
      <c r="M62" s="361">
        <v>46318</v>
      </c>
      <c r="O62" s="393"/>
      <c r="P62" s="443"/>
      <c r="Q62" s="363"/>
      <c r="S62" s="363"/>
      <c r="T62" s="363"/>
      <c r="U62" s="392"/>
      <c r="W62" s="362"/>
      <c r="X62" s="364"/>
      <c r="Z62" s="362"/>
      <c r="AA62" s="364"/>
      <c r="AB62" s="364"/>
      <c r="AF62" s="364"/>
    </row>
    <row r="63" spans="1:32" x14ac:dyDescent="0.25">
      <c r="A63" t="s">
        <v>312</v>
      </c>
      <c r="B63" t="s">
        <v>125</v>
      </c>
      <c r="C63" s="444">
        <v>2026</v>
      </c>
      <c r="D63" s="8" t="s">
        <v>507</v>
      </c>
      <c r="E63" s="8" t="s">
        <v>251</v>
      </c>
      <c r="F63" s="8" t="s">
        <v>252</v>
      </c>
      <c r="G63" s="299">
        <v>20</v>
      </c>
      <c r="H63" s="299">
        <v>2</v>
      </c>
      <c r="I63" s="362"/>
      <c r="J63" s="362"/>
      <c r="K63" s="362"/>
      <c r="L63" s="362"/>
      <c r="M63" s="361">
        <v>46318</v>
      </c>
      <c r="O63" s="393"/>
      <c r="P63" s="443"/>
      <c r="Q63" s="363"/>
      <c r="S63" s="363"/>
      <c r="T63" s="363"/>
      <c r="U63" s="392"/>
      <c r="W63" s="362"/>
      <c r="X63" s="364"/>
      <c r="Z63" s="362"/>
      <c r="AA63" s="364"/>
      <c r="AB63" s="364"/>
      <c r="AF63" s="364"/>
    </row>
    <row r="64" spans="1:32" x14ac:dyDescent="0.25">
      <c r="A64" t="s">
        <v>312</v>
      </c>
      <c r="B64" t="s">
        <v>121</v>
      </c>
      <c r="C64" s="444">
        <v>2027</v>
      </c>
      <c r="D64" s="8" t="s">
        <v>508</v>
      </c>
      <c r="E64" s="8" t="s">
        <v>186</v>
      </c>
      <c r="F64" s="8" t="s">
        <v>185</v>
      </c>
      <c r="G64" s="299">
        <v>20</v>
      </c>
      <c r="H64" s="299">
        <v>2</v>
      </c>
      <c r="I64" s="362"/>
      <c r="J64" s="362"/>
      <c r="K64" s="362"/>
      <c r="L64" s="362"/>
      <c r="M64" s="361">
        <v>46318</v>
      </c>
      <c r="O64" s="393"/>
      <c r="P64" s="443"/>
      <c r="Q64" s="363"/>
      <c r="S64" s="363"/>
      <c r="T64" s="363"/>
      <c r="U64" s="392"/>
      <c r="W64" s="362"/>
      <c r="X64" s="364"/>
      <c r="Z64" s="362"/>
      <c r="AA64" s="364"/>
      <c r="AB64" s="364"/>
      <c r="AF64" s="364"/>
    </row>
    <row r="65" spans="1:32" x14ac:dyDescent="0.25">
      <c r="A65" t="s">
        <v>312</v>
      </c>
      <c r="B65" t="s">
        <v>436</v>
      </c>
      <c r="C65" s="444">
        <v>2027</v>
      </c>
      <c r="D65" s="8" t="s">
        <v>509</v>
      </c>
      <c r="E65" s="8" t="s">
        <v>263</v>
      </c>
      <c r="F65" s="8" t="s">
        <v>264</v>
      </c>
      <c r="G65" s="299">
        <v>20</v>
      </c>
      <c r="H65" s="299">
        <v>2</v>
      </c>
      <c r="I65" s="362"/>
      <c r="J65" s="362"/>
      <c r="K65" s="362"/>
      <c r="L65" s="362"/>
      <c r="M65" s="361">
        <v>46318</v>
      </c>
      <c r="O65" s="393"/>
      <c r="P65" s="443"/>
      <c r="Q65" s="363"/>
      <c r="S65" s="363"/>
      <c r="T65" s="363"/>
      <c r="U65" s="392"/>
      <c r="W65" s="362"/>
      <c r="X65" s="364"/>
      <c r="Z65" s="362"/>
      <c r="AA65" s="364"/>
      <c r="AB65" s="364"/>
      <c r="AF65" s="364"/>
    </row>
    <row r="66" spans="1:32" x14ac:dyDescent="0.25">
      <c r="A66" t="s">
        <v>312</v>
      </c>
      <c r="B66" t="s">
        <v>123</v>
      </c>
      <c r="C66" s="444">
        <v>2027</v>
      </c>
      <c r="D66" s="8" t="s">
        <v>510</v>
      </c>
      <c r="E66" s="8" t="s">
        <v>239</v>
      </c>
      <c r="F66" s="8" t="s">
        <v>240</v>
      </c>
      <c r="G66" s="299">
        <v>20</v>
      </c>
      <c r="H66" s="299">
        <v>2</v>
      </c>
      <c r="I66" s="362"/>
      <c r="J66" s="362"/>
      <c r="K66" s="362"/>
      <c r="L66" s="362"/>
      <c r="M66" s="361">
        <v>46318</v>
      </c>
      <c r="O66" s="393"/>
      <c r="P66" s="443"/>
      <c r="Q66" s="363"/>
      <c r="S66" s="363"/>
      <c r="T66" s="363"/>
      <c r="U66" s="392"/>
      <c r="W66" s="362"/>
      <c r="X66" s="364"/>
      <c r="Z66" s="362"/>
      <c r="AA66" s="364"/>
      <c r="AB66" s="364"/>
      <c r="AF66" s="364"/>
    </row>
    <row r="67" spans="1:32" x14ac:dyDescent="0.25">
      <c r="A67" t="s">
        <v>312</v>
      </c>
      <c r="B67" t="s">
        <v>125</v>
      </c>
      <c r="C67" s="444">
        <v>2027</v>
      </c>
      <c r="D67" s="8" t="s">
        <v>511</v>
      </c>
      <c r="E67" s="8" t="s">
        <v>253</v>
      </c>
      <c r="F67" s="8" t="s">
        <v>254</v>
      </c>
      <c r="G67" s="299">
        <v>20</v>
      </c>
      <c r="H67" s="299">
        <v>2</v>
      </c>
      <c r="I67" s="362"/>
      <c r="J67" s="362"/>
      <c r="K67" s="362"/>
      <c r="L67" s="362"/>
      <c r="M67" s="361">
        <v>46318</v>
      </c>
      <c r="O67" s="393"/>
      <c r="P67" s="443"/>
      <c r="Q67" s="363"/>
      <c r="S67" s="363"/>
      <c r="T67" s="363"/>
      <c r="U67" s="392"/>
      <c r="W67" s="362"/>
      <c r="X67" s="364"/>
      <c r="Z67" s="362"/>
      <c r="AA67" s="364"/>
      <c r="AB67" s="364"/>
      <c r="AF67" s="364"/>
    </row>
    <row r="68" spans="1:32" x14ac:dyDescent="0.25">
      <c r="A68" t="s">
        <v>312</v>
      </c>
      <c r="B68" t="s">
        <v>121</v>
      </c>
      <c r="C68" s="444">
        <v>2028</v>
      </c>
      <c r="D68" s="8" t="s">
        <v>512</v>
      </c>
      <c r="E68" s="8" t="s">
        <v>188</v>
      </c>
      <c r="F68" s="8" t="s">
        <v>187</v>
      </c>
      <c r="G68" s="299">
        <v>20</v>
      </c>
      <c r="H68" s="299">
        <v>2</v>
      </c>
      <c r="I68" s="362"/>
      <c r="J68" s="362"/>
      <c r="K68" s="362"/>
      <c r="L68" s="362"/>
      <c r="M68" s="361">
        <v>46318</v>
      </c>
      <c r="O68" s="393"/>
      <c r="P68" s="443"/>
      <c r="Q68" s="363"/>
      <c r="S68" s="363"/>
      <c r="T68" s="363"/>
      <c r="U68" s="392"/>
      <c r="W68" s="362"/>
      <c r="X68" s="364"/>
      <c r="Z68" s="362"/>
      <c r="AA68" s="364"/>
      <c r="AB68" s="364"/>
      <c r="AF68" s="364"/>
    </row>
    <row r="69" spans="1:32" x14ac:dyDescent="0.25">
      <c r="A69" t="s">
        <v>312</v>
      </c>
      <c r="B69" t="s">
        <v>123</v>
      </c>
      <c r="C69" s="444">
        <v>2028</v>
      </c>
      <c r="D69" s="8" t="s">
        <v>513</v>
      </c>
      <c r="E69" s="8" t="s">
        <v>241</v>
      </c>
      <c r="F69" s="8" t="s">
        <v>242</v>
      </c>
      <c r="G69" s="299">
        <v>20</v>
      </c>
      <c r="H69" s="299">
        <v>2</v>
      </c>
      <c r="I69" s="362"/>
      <c r="J69" s="362"/>
      <c r="K69" s="362"/>
      <c r="L69" s="362"/>
      <c r="M69" s="361">
        <v>46318</v>
      </c>
      <c r="O69" s="393"/>
      <c r="P69" s="443"/>
      <c r="Q69" s="363"/>
      <c r="S69" s="363"/>
      <c r="T69" s="363"/>
      <c r="U69" s="392"/>
      <c r="W69" s="362"/>
      <c r="X69" s="364"/>
      <c r="Z69" s="362"/>
      <c r="AA69" s="364"/>
      <c r="AB69" s="364"/>
      <c r="AF69" s="364"/>
    </row>
    <row r="70" spans="1:32" x14ac:dyDescent="0.25">
      <c r="A70" t="s">
        <v>312</v>
      </c>
      <c r="B70" t="s">
        <v>125</v>
      </c>
      <c r="C70" s="444">
        <v>2028</v>
      </c>
      <c r="D70" s="8" t="s">
        <v>514</v>
      </c>
      <c r="E70" s="8" t="s">
        <v>255</v>
      </c>
      <c r="F70" s="8" t="s">
        <v>256</v>
      </c>
      <c r="G70" s="299">
        <v>20</v>
      </c>
      <c r="H70" s="299">
        <v>2</v>
      </c>
      <c r="I70" s="362"/>
      <c r="J70" s="362"/>
      <c r="K70" s="362"/>
      <c r="L70" s="362"/>
      <c r="M70" s="361">
        <v>46318</v>
      </c>
      <c r="O70" s="393"/>
      <c r="P70" s="443"/>
      <c r="Q70" s="363"/>
      <c r="S70" s="363"/>
      <c r="T70" s="363"/>
      <c r="U70" s="392"/>
      <c r="W70" s="362"/>
      <c r="X70" s="364"/>
      <c r="Z70" s="362"/>
      <c r="AA70" s="364"/>
      <c r="AB70" s="364"/>
      <c r="AF70" s="364"/>
    </row>
    <row r="71" spans="1:32" x14ac:dyDescent="0.25">
      <c r="A71" t="s">
        <v>312</v>
      </c>
      <c r="B71" t="s">
        <v>436</v>
      </c>
      <c r="C71" s="444">
        <v>2028</v>
      </c>
      <c r="D71" s="8" t="s">
        <v>515</v>
      </c>
      <c r="E71" s="8" t="s">
        <v>265</v>
      </c>
      <c r="F71" s="8" t="s">
        <v>266</v>
      </c>
      <c r="G71" s="299">
        <v>20</v>
      </c>
      <c r="H71" s="299">
        <v>2</v>
      </c>
      <c r="I71" s="362"/>
      <c r="J71" s="362"/>
      <c r="K71" s="362"/>
      <c r="L71" s="362"/>
      <c r="M71" s="361">
        <v>46318</v>
      </c>
      <c r="O71" s="393"/>
      <c r="P71" s="443"/>
      <c r="Q71" s="363"/>
      <c r="S71" s="363"/>
      <c r="T71" s="363"/>
      <c r="U71" s="392"/>
      <c r="W71" s="362"/>
      <c r="X71" s="364"/>
      <c r="Z71" s="362"/>
      <c r="AA71" s="364"/>
      <c r="AB71" s="364"/>
      <c r="AF71" s="364"/>
    </row>
    <row r="72" spans="1:32" x14ac:dyDescent="0.25">
      <c r="A72" t="s">
        <v>312</v>
      </c>
      <c r="B72" t="s">
        <v>121</v>
      </c>
      <c r="C72" s="444">
        <v>2029</v>
      </c>
      <c r="D72" s="8" t="s">
        <v>516</v>
      </c>
      <c r="E72" s="8" t="s">
        <v>190</v>
      </c>
      <c r="F72" s="8" t="s">
        <v>189</v>
      </c>
      <c r="G72" s="299">
        <v>20</v>
      </c>
      <c r="H72" s="299">
        <v>2</v>
      </c>
      <c r="I72" s="362"/>
      <c r="J72" s="362"/>
      <c r="K72" s="362"/>
      <c r="L72" s="362"/>
      <c r="M72" s="361">
        <v>46318</v>
      </c>
      <c r="O72" s="393"/>
      <c r="P72" s="443"/>
      <c r="Q72" s="363"/>
      <c r="S72" s="363"/>
      <c r="T72" s="363"/>
      <c r="U72" s="392"/>
      <c r="W72" s="362"/>
      <c r="X72" s="364"/>
      <c r="Z72" s="362"/>
      <c r="AA72" s="364"/>
      <c r="AB72" s="364"/>
      <c r="AF72" s="364"/>
    </row>
    <row r="73" spans="1:32" x14ac:dyDescent="0.25">
      <c r="A73" t="s">
        <v>312</v>
      </c>
      <c r="B73" t="s">
        <v>436</v>
      </c>
      <c r="C73" s="444">
        <v>2029</v>
      </c>
      <c r="D73" s="8" t="s">
        <v>517</v>
      </c>
      <c r="E73" s="8" t="s">
        <v>267</v>
      </c>
      <c r="F73" s="8" t="s">
        <v>268</v>
      </c>
      <c r="G73" s="299">
        <v>20</v>
      </c>
      <c r="H73" s="299">
        <v>2</v>
      </c>
      <c r="I73" s="362"/>
      <c r="J73" s="362"/>
      <c r="K73" s="362"/>
      <c r="L73" s="362"/>
      <c r="M73" s="361">
        <v>46318</v>
      </c>
      <c r="O73" s="393"/>
      <c r="P73" s="443"/>
      <c r="Q73" s="363"/>
      <c r="S73" s="363"/>
      <c r="T73" s="363"/>
      <c r="U73" s="392"/>
      <c r="W73" s="362"/>
      <c r="X73" s="364"/>
      <c r="Z73" s="362"/>
      <c r="AA73" s="364"/>
      <c r="AB73" s="364"/>
      <c r="AF73" s="364"/>
    </row>
    <row r="74" spans="1:32" x14ac:dyDescent="0.25">
      <c r="A74" t="s">
        <v>312</v>
      </c>
      <c r="B74" t="s">
        <v>123</v>
      </c>
      <c r="C74" s="444">
        <v>2029</v>
      </c>
      <c r="D74" s="8" t="s">
        <v>518</v>
      </c>
      <c r="E74" s="8" t="s">
        <v>243</v>
      </c>
      <c r="F74" s="8" t="s">
        <v>244</v>
      </c>
      <c r="G74" s="299">
        <v>20</v>
      </c>
      <c r="H74" s="299">
        <v>2</v>
      </c>
      <c r="I74" s="362"/>
      <c r="J74" s="362"/>
      <c r="K74" s="362"/>
      <c r="L74" s="362"/>
      <c r="M74" s="361">
        <v>46318</v>
      </c>
      <c r="O74" s="393"/>
      <c r="P74" s="443"/>
      <c r="Q74" s="363"/>
      <c r="S74" s="363"/>
      <c r="T74" s="363"/>
      <c r="U74" s="392"/>
      <c r="W74" s="362"/>
      <c r="X74" s="364"/>
      <c r="Z74" s="362"/>
      <c r="AA74" s="364"/>
      <c r="AB74" s="364"/>
      <c r="AF74" s="364"/>
    </row>
    <row r="75" spans="1:32" x14ac:dyDescent="0.25">
      <c r="A75" t="s">
        <v>312</v>
      </c>
      <c r="B75" t="s">
        <v>125</v>
      </c>
      <c r="C75" s="444">
        <v>2029</v>
      </c>
      <c r="D75" s="8" t="s">
        <v>519</v>
      </c>
      <c r="E75" s="8" t="s">
        <v>257</v>
      </c>
      <c r="F75" s="8" t="s">
        <v>258</v>
      </c>
      <c r="G75" s="299">
        <v>20</v>
      </c>
      <c r="H75" s="299">
        <v>2</v>
      </c>
      <c r="I75" s="362"/>
      <c r="J75" s="362"/>
      <c r="K75" s="362"/>
      <c r="L75" s="362"/>
      <c r="M75" s="361">
        <v>46318</v>
      </c>
      <c r="O75" s="393"/>
      <c r="P75" s="443"/>
      <c r="Q75" s="363"/>
      <c r="S75" s="363"/>
      <c r="T75" s="363"/>
      <c r="U75" s="392"/>
      <c r="W75" s="362"/>
      <c r="X75" s="364"/>
      <c r="Z75" s="362"/>
      <c r="AA75" s="364"/>
      <c r="AB75" s="364"/>
      <c r="AF75" s="364"/>
    </row>
    <row r="76" spans="1:32" x14ac:dyDescent="0.25">
      <c r="A76" t="s">
        <v>312</v>
      </c>
      <c r="B76" t="s">
        <v>121</v>
      </c>
      <c r="C76" s="444">
        <v>2030</v>
      </c>
      <c r="D76" s="8" t="s">
        <v>520</v>
      </c>
      <c r="E76" s="8" t="s">
        <v>192</v>
      </c>
      <c r="F76" s="8" t="s">
        <v>191</v>
      </c>
      <c r="G76" s="299">
        <v>20</v>
      </c>
      <c r="H76" s="299">
        <v>2</v>
      </c>
      <c r="I76" s="362"/>
      <c r="J76" s="362"/>
      <c r="K76" s="362"/>
      <c r="L76" s="362"/>
      <c r="M76" s="361">
        <v>46318</v>
      </c>
      <c r="O76" s="393"/>
      <c r="P76" s="443"/>
      <c r="Q76" s="363"/>
      <c r="S76" s="363"/>
      <c r="T76" s="363"/>
      <c r="U76" s="392"/>
      <c r="W76" s="362"/>
      <c r="X76" s="364"/>
      <c r="Z76" s="362"/>
      <c r="AA76" s="364"/>
      <c r="AB76" s="364"/>
      <c r="AF76" s="364"/>
    </row>
    <row r="77" spans="1:32" x14ac:dyDescent="0.25">
      <c r="A77" t="s">
        <v>312</v>
      </c>
      <c r="B77" t="s">
        <v>123</v>
      </c>
      <c r="C77" s="444">
        <v>2030</v>
      </c>
      <c r="D77" s="8" t="s">
        <v>521</v>
      </c>
      <c r="E77" s="8" t="s">
        <v>245</v>
      </c>
      <c r="F77" s="8" t="s">
        <v>246</v>
      </c>
      <c r="G77" s="299">
        <v>20</v>
      </c>
      <c r="H77" s="299">
        <v>2</v>
      </c>
      <c r="I77" s="362"/>
      <c r="J77" s="362"/>
      <c r="K77" s="362"/>
      <c r="L77" s="362"/>
      <c r="M77" s="361">
        <v>46318</v>
      </c>
      <c r="O77" s="393"/>
      <c r="P77" s="443"/>
      <c r="Q77" s="363"/>
      <c r="S77" s="363"/>
      <c r="T77" s="363"/>
      <c r="U77" s="392"/>
      <c r="W77" s="362"/>
      <c r="X77" s="364"/>
      <c r="Z77" s="362"/>
      <c r="AA77" s="364"/>
      <c r="AB77" s="364"/>
      <c r="AF77" s="364"/>
    </row>
    <row r="78" spans="1:32" x14ac:dyDescent="0.25">
      <c r="A78" t="s">
        <v>312</v>
      </c>
      <c r="B78" t="s">
        <v>125</v>
      </c>
      <c r="C78" s="444">
        <v>2030</v>
      </c>
      <c r="D78" s="8" t="s">
        <v>522</v>
      </c>
      <c r="E78" s="8" t="s">
        <v>259</v>
      </c>
      <c r="F78" s="8" t="s">
        <v>260</v>
      </c>
      <c r="G78" s="299">
        <v>20</v>
      </c>
      <c r="H78" s="299">
        <v>2</v>
      </c>
      <c r="I78" s="362"/>
      <c r="J78" s="362"/>
      <c r="K78" s="362"/>
      <c r="L78" s="362"/>
      <c r="M78" s="361">
        <v>46318</v>
      </c>
      <c r="O78" s="393"/>
      <c r="P78" s="443"/>
      <c r="Q78" s="363"/>
      <c r="S78" s="363"/>
      <c r="T78" s="363"/>
      <c r="U78" s="392"/>
      <c r="W78" s="362"/>
      <c r="X78" s="364"/>
      <c r="Z78" s="362"/>
      <c r="AA78" s="364"/>
      <c r="AB78" s="364"/>
      <c r="AF78" s="364"/>
    </row>
    <row r="79" spans="1:32" x14ac:dyDescent="0.25">
      <c r="A79" t="s">
        <v>312</v>
      </c>
      <c r="B79" t="s">
        <v>436</v>
      </c>
      <c r="C79" s="444">
        <v>2030</v>
      </c>
      <c r="D79" s="8" t="s">
        <v>523</v>
      </c>
      <c r="E79" s="8" t="s">
        <v>269</v>
      </c>
      <c r="F79" s="8" t="s">
        <v>270</v>
      </c>
      <c r="G79" s="299">
        <v>20</v>
      </c>
      <c r="H79" s="299">
        <v>2</v>
      </c>
      <c r="I79" s="362"/>
      <c r="J79" s="362"/>
      <c r="K79" s="362"/>
      <c r="L79" s="362"/>
      <c r="M79" s="361">
        <v>46318</v>
      </c>
      <c r="O79" s="393"/>
      <c r="P79" s="443"/>
      <c r="Q79" s="363"/>
      <c r="S79" s="363"/>
      <c r="T79" s="363"/>
      <c r="U79" s="392"/>
      <c r="W79" s="362"/>
      <c r="X79" s="364"/>
      <c r="Z79" s="362"/>
      <c r="AA79" s="364"/>
      <c r="AB79" s="364"/>
      <c r="AF79" s="364"/>
    </row>
    <row r="80" spans="1:32" x14ac:dyDescent="0.25">
      <c r="A80" t="s">
        <v>312</v>
      </c>
      <c r="B80" t="s">
        <v>121</v>
      </c>
      <c r="C80" s="444">
        <v>2031</v>
      </c>
      <c r="D80" s="8" t="s">
        <v>524</v>
      </c>
      <c r="E80" s="8" t="s">
        <v>194</v>
      </c>
      <c r="F80" s="8" t="s">
        <v>193</v>
      </c>
      <c r="G80" s="299">
        <v>20</v>
      </c>
      <c r="H80" s="299">
        <v>2</v>
      </c>
      <c r="I80" s="362"/>
      <c r="J80" s="362"/>
      <c r="K80" s="362"/>
      <c r="L80" s="362"/>
      <c r="M80" s="361">
        <v>46318</v>
      </c>
      <c r="O80" s="393"/>
      <c r="P80" s="443"/>
      <c r="Q80" s="363"/>
      <c r="S80" s="363"/>
      <c r="T80" s="363"/>
      <c r="U80" s="392"/>
      <c r="W80" s="362"/>
      <c r="X80" s="364"/>
      <c r="Z80" s="362"/>
      <c r="AA80" s="364"/>
      <c r="AB80" s="364"/>
      <c r="AF80" s="364"/>
    </row>
    <row r="81" spans="1:32" x14ac:dyDescent="0.25">
      <c r="A81" t="s">
        <v>312</v>
      </c>
      <c r="B81" t="s">
        <v>123</v>
      </c>
      <c r="C81" s="444">
        <v>2031</v>
      </c>
      <c r="D81" s="8" t="s">
        <v>525</v>
      </c>
      <c r="E81" s="8" t="s">
        <v>247</v>
      </c>
      <c r="F81" s="8" t="s">
        <v>248</v>
      </c>
      <c r="G81" s="299">
        <v>20</v>
      </c>
      <c r="H81" s="299">
        <v>2</v>
      </c>
      <c r="I81" s="362"/>
      <c r="J81" s="362"/>
      <c r="K81" s="362"/>
      <c r="L81" s="362"/>
      <c r="M81" s="361">
        <v>46318</v>
      </c>
      <c r="O81" s="393"/>
      <c r="P81" s="443"/>
      <c r="Q81" s="363"/>
      <c r="S81" s="363"/>
      <c r="T81" s="363"/>
      <c r="U81" s="392"/>
      <c r="W81" s="362"/>
      <c r="X81" s="364"/>
      <c r="Z81" s="362"/>
      <c r="AA81" s="364"/>
      <c r="AB81" s="364"/>
      <c r="AF81" s="364"/>
    </row>
    <row r="82" spans="1:32" x14ac:dyDescent="0.25">
      <c r="A82" t="s">
        <v>312</v>
      </c>
      <c r="B82" t="s">
        <v>125</v>
      </c>
      <c r="C82" s="444">
        <v>2031</v>
      </c>
      <c r="D82" s="8" t="s">
        <v>526</v>
      </c>
      <c r="E82" s="8" t="s">
        <v>261</v>
      </c>
      <c r="F82" s="8" t="s">
        <v>262</v>
      </c>
      <c r="G82" s="299">
        <v>20</v>
      </c>
      <c r="H82" s="299">
        <v>2</v>
      </c>
      <c r="I82" s="362"/>
      <c r="J82" s="362"/>
      <c r="K82" s="362"/>
      <c r="L82" s="362"/>
      <c r="M82" s="361">
        <v>46318</v>
      </c>
      <c r="O82" s="393"/>
      <c r="P82" s="443"/>
      <c r="Q82" s="363"/>
      <c r="S82" s="363"/>
      <c r="T82" s="363"/>
      <c r="U82" s="392"/>
      <c r="W82" s="362"/>
      <c r="X82" s="364"/>
      <c r="Z82" s="362"/>
      <c r="AA82" s="364"/>
      <c r="AB82" s="364"/>
      <c r="AF82" s="364"/>
    </row>
    <row r="83" spans="1:32" x14ac:dyDescent="0.25">
      <c r="A83" t="s">
        <v>312</v>
      </c>
      <c r="B83" t="s">
        <v>436</v>
      </c>
      <c r="C83" s="444">
        <v>2031</v>
      </c>
      <c r="D83" s="8" t="s">
        <v>527</v>
      </c>
      <c r="E83" s="8" t="s">
        <v>271</v>
      </c>
      <c r="F83" s="8" t="s">
        <v>272</v>
      </c>
      <c r="G83" s="299">
        <v>20</v>
      </c>
      <c r="H83" s="299">
        <v>2</v>
      </c>
      <c r="I83" s="362"/>
      <c r="J83" s="362"/>
      <c r="K83" s="362"/>
      <c r="L83" s="362"/>
      <c r="M83" s="361">
        <v>46318</v>
      </c>
      <c r="O83" s="393"/>
      <c r="P83" s="443"/>
      <c r="Q83" s="363"/>
      <c r="S83" s="363"/>
      <c r="T83" s="363"/>
      <c r="U83" s="392"/>
      <c r="W83" s="362"/>
      <c r="X83" s="364"/>
      <c r="Z83" s="362"/>
      <c r="AA83" s="364"/>
      <c r="AB83" s="364"/>
      <c r="AF83" s="364"/>
    </row>
    <row r="84" spans="1:32" x14ac:dyDescent="0.25">
      <c r="A84" t="s">
        <v>312</v>
      </c>
      <c r="B84" t="s">
        <v>121</v>
      </c>
      <c r="C84" s="444">
        <v>2032</v>
      </c>
      <c r="D84" s="8" t="s">
        <v>528</v>
      </c>
      <c r="E84" s="8" t="s">
        <v>196</v>
      </c>
      <c r="F84" s="8" t="s">
        <v>195</v>
      </c>
      <c r="G84" s="299">
        <v>20</v>
      </c>
      <c r="H84" s="299">
        <v>2</v>
      </c>
      <c r="I84" s="362"/>
      <c r="J84" s="362"/>
      <c r="K84" s="362"/>
      <c r="L84" s="362"/>
      <c r="M84" s="361">
        <v>46318</v>
      </c>
      <c r="O84" s="393"/>
      <c r="P84" s="443"/>
      <c r="Q84" s="363"/>
      <c r="S84" s="363"/>
      <c r="T84" s="363"/>
      <c r="U84" s="392"/>
      <c r="W84" s="362"/>
      <c r="X84" s="364"/>
      <c r="Z84" s="362"/>
      <c r="AA84" s="364"/>
      <c r="AB84" s="364"/>
      <c r="AF84" s="364"/>
    </row>
    <row r="85" spans="1:32" x14ac:dyDescent="0.25">
      <c r="A85" t="s">
        <v>312</v>
      </c>
      <c r="B85" t="s">
        <v>123</v>
      </c>
      <c r="C85" s="444">
        <v>2032</v>
      </c>
      <c r="D85" s="8" t="s">
        <v>529</v>
      </c>
      <c r="E85" s="8" t="s">
        <v>249</v>
      </c>
      <c r="F85" s="8" t="s">
        <v>250</v>
      </c>
      <c r="G85" s="299">
        <v>20</v>
      </c>
      <c r="H85" s="299">
        <v>2</v>
      </c>
      <c r="I85" s="362"/>
      <c r="J85" s="362"/>
      <c r="K85" s="362"/>
      <c r="L85" s="362"/>
      <c r="M85" s="361">
        <v>46318</v>
      </c>
      <c r="O85" s="393"/>
      <c r="P85" s="443"/>
      <c r="Q85" s="363"/>
      <c r="S85" s="363"/>
      <c r="T85" s="363"/>
      <c r="U85" s="392"/>
      <c r="W85" s="362"/>
      <c r="X85" s="364"/>
      <c r="Z85" s="362"/>
      <c r="AA85" s="364"/>
      <c r="AB85" s="364"/>
      <c r="AF85" s="364"/>
    </row>
    <row r="86" spans="1:32" x14ac:dyDescent="0.25">
      <c r="A86" t="s">
        <v>312</v>
      </c>
      <c r="B86" t="s">
        <v>121</v>
      </c>
      <c r="C86" s="444">
        <v>2033</v>
      </c>
      <c r="D86" s="8" t="s">
        <v>530</v>
      </c>
      <c r="E86" s="8" t="s">
        <v>198</v>
      </c>
      <c r="F86" s="8" t="s">
        <v>197</v>
      </c>
      <c r="G86" s="299">
        <v>20</v>
      </c>
      <c r="H86" s="299">
        <v>2</v>
      </c>
      <c r="I86" s="362"/>
      <c r="J86" s="362"/>
      <c r="K86" s="362"/>
      <c r="L86" s="362"/>
      <c r="M86" s="361">
        <v>46318</v>
      </c>
      <c r="O86" s="393"/>
      <c r="P86" s="443"/>
      <c r="Q86" s="363"/>
      <c r="S86" s="363"/>
      <c r="T86" s="363"/>
      <c r="U86" s="392"/>
      <c r="W86" s="362"/>
      <c r="X86" s="364"/>
      <c r="Z86" s="362"/>
      <c r="AA86" s="364"/>
      <c r="AB86" s="364"/>
      <c r="AF86" s="364"/>
    </row>
    <row r="87" spans="1:32" x14ac:dyDescent="0.25">
      <c r="A87" t="s">
        <v>312</v>
      </c>
      <c r="B87" t="s">
        <v>121</v>
      </c>
      <c r="C87" s="444">
        <v>2034</v>
      </c>
      <c r="D87" s="8" t="s">
        <v>531</v>
      </c>
      <c r="E87" s="8" t="s">
        <v>200</v>
      </c>
      <c r="F87" s="8" t="s">
        <v>199</v>
      </c>
      <c r="G87" s="299">
        <v>20</v>
      </c>
      <c r="H87" s="299">
        <v>2</v>
      </c>
      <c r="I87" s="362"/>
      <c r="J87" s="362"/>
      <c r="K87" s="362"/>
      <c r="L87" s="362"/>
      <c r="M87" s="361">
        <v>46318</v>
      </c>
      <c r="O87" s="393"/>
      <c r="P87" s="443"/>
      <c r="Q87" s="363"/>
      <c r="S87" s="363"/>
      <c r="T87" s="363"/>
      <c r="U87" s="392"/>
      <c r="W87" s="362"/>
      <c r="X87" s="364"/>
      <c r="Z87" s="362"/>
      <c r="AA87" s="364"/>
      <c r="AB87" s="364"/>
      <c r="AF87" s="364"/>
    </row>
    <row r="88" spans="1:32" x14ac:dyDescent="0.25">
      <c r="A88" t="s">
        <v>312</v>
      </c>
      <c r="B88" t="s">
        <v>121</v>
      </c>
      <c r="C88" s="444">
        <v>2035</v>
      </c>
      <c r="D88" s="8" t="s">
        <v>532</v>
      </c>
      <c r="E88" s="8" t="s">
        <v>202</v>
      </c>
      <c r="F88" s="8" t="s">
        <v>201</v>
      </c>
      <c r="G88" s="299">
        <v>20</v>
      </c>
      <c r="H88" s="299">
        <v>2</v>
      </c>
      <c r="I88" s="362"/>
      <c r="J88" s="362"/>
      <c r="K88" s="362"/>
      <c r="L88" s="362"/>
      <c r="M88" s="361">
        <v>46318</v>
      </c>
      <c r="O88" s="393"/>
      <c r="P88" s="443"/>
      <c r="Q88" s="363"/>
      <c r="S88" s="363"/>
      <c r="T88" s="363"/>
      <c r="U88" s="392"/>
      <c r="W88" s="362"/>
      <c r="X88" s="364"/>
      <c r="Z88" s="362"/>
      <c r="AA88" s="364"/>
      <c r="AB88" s="364"/>
      <c r="AF88" s="364"/>
    </row>
    <row r="89" spans="1:32" x14ac:dyDescent="0.25">
      <c r="A89" t="s">
        <v>330</v>
      </c>
      <c r="B89" t="s">
        <v>443</v>
      </c>
      <c r="C89" s="444" t="s">
        <v>445</v>
      </c>
      <c r="D89" s="8" t="s">
        <v>533</v>
      </c>
      <c r="E89" s="8" t="s">
        <v>366</v>
      </c>
      <c r="F89" s="8" t="s">
        <v>367</v>
      </c>
      <c r="G89" s="299">
        <v>20</v>
      </c>
      <c r="H89" s="299">
        <v>2</v>
      </c>
      <c r="I89" s="362"/>
      <c r="J89" s="362"/>
      <c r="K89" s="362"/>
      <c r="L89" s="362"/>
      <c r="M89" s="361">
        <v>46318</v>
      </c>
      <c r="O89" s="393"/>
      <c r="P89" s="443"/>
      <c r="Q89" s="363"/>
      <c r="S89" s="363"/>
      <c r="T89" s="363"/>
      <c r="U89" s="392"/>
      <c r="W89" s="362"/>
      <c r="X89" s="364"/>
      <c r="Z89" s="362"/>
      <c r="AA89" s="364"/>
      <c r="AB89" s="364"/>
      <c r="AF89" s="364"/>
    </row>
    <row r="90" spans="1:32" x14ac:dyDescent="0.25">
      <c r="A90" t="s">
        <v>330</v>
      </c>
      <c r="B90" t="s">
        <v>443</v>
      </c>
      <c r="C90" s="444" t="s">
        <v>444</v>
      </c>
      <c r="D90" s="8" t="s">
        <v>534</v>
      </c>
      <c r="E90" s="8" t="s">
        <v>372</v>
      </c>
      <c r="F90" s="8" t="s">
        <v>373</v>
      </c>
      <c r="G90" s="299">
        <v>20</v>
      </c>
      <c r="H90" s="299">
        <v>2</v>
      </c>
      <c r="I90" s="362"/>
      <c r="J90" s="362"/>
      <c r="K90" s="362"/>
      <c r="L90" s="362"/>
      <c r="M90" s="361">
        <v>46318</v>
      </c>
      <c r="O90" s="393"/>
      <c r="P90" s="443"/>
      <c r="Q90" s="363"/>
      <c r="S90" s="363"/>
      <c r="T90" s="363"/>
      <c r="U90" s="392"/>
      <c r="W90" s="362"/>
      <c r="X90" s="364"/>
      <c r="Z90" s="362"/>
      <c r="AA90" s="364"/>
      <c r="AB90" s="364"/>
      <c r="AF90" s="364"/>
    </row>
    <row r="91" spans="1:32" x14ac:dyDescent="0.25">
      <c r="A91" t="s">
        <v>118</v>
      </c>
      <c r="B91" t="s">
        <v>441</v>
      </c>
      <c r="C91" s="444" t="s">
        <v>442</v>
      </c>
      <c r="D91" s="8" t="s">
        <v>535</v>
      </c>
      <c r="E91" s="8" t="s">
        <v>328</v>
      </c>
      <c r="F91" s="8" t="s">
        <v>329</v>
      </c>
      <c r="G91" s="299">
        <v>20</v>
      </c>
      <c r="H91" s="299">
        <v>2</v>
      </c>
      <c r="I91" s="362">
        <v>-3.0000000000000001E-3</v>
      </c>
      <c r="J91" s="362">
        <v>-1E-3</v>
      </c>
      <c r="K91" s="362">
        <v>1.5E-3</v>
      </c>
      <c r="L91" s="362">
        <v>0</v>
      </c>
      <c r="M91" s="361">
        <v>46318</v>
      </c>
      <c r="O91" s="393"/>
      <c r="P91" s="443"/>
      <c r="Q91" s="363"/>
      <c r="S91" s="363"/>
      <c r="T91" s="363"/>
      <c r="U91" s="392"/>
      <c r="W91" s="362"/>
      <c r="X91" s="364"/>
      <c r="Z91" s="362"/>
      <c r="AA91" s="364"/>
      <c r="AB91" s="364"/>
      <c r="AF91" s="364"/>
    </row>
    <row r="92" spans="1:32" x14ac:dyDescent="0.25">
      <c r="A92" t="s">
        <v>118</v>
      </c>
      <c r="B92" t="s">
        <v>437</v>
      </c>
      <c r="C92" s="444" t="s">
        <v>438</v>
      </c>
      <c r="D92" s="8" t="s">
        <v>536</v>
      </c>
      <c r="E92" s="8" t="s">
        <v>35</v>
      </c>
      <c r="F92" s="8" t="s">
        <v>42</v>
      </c>
      <c r="G92" s="299">
        <v>20</v>
      </c>
      <c r="H92" s="299">
        <v>2</v>
      </c>
      <c r="I92" s="362">
        <v>-3.0000000000000001E-3</v>
      </c>
      <c r="J92" s="362">
        <v>-2E-3</v>
      </c>
      <c r="K92" s="362">
        <v>2E-3</v>
      </c>
      <c r="L92" s="362">
        <v>1E-3</v>
      </c>
      <c r="M92" s="361">
        <v>46318</v>
      </c>
      <c r="O92" s="393"/>
      <c r="P92" s="443"/>
      <c r="Q92" s="363"/>
      <c r="S92" s="363"/>
      <c r="T92" s="363"/>
      <c r="U92" s="392"/>
      <c r="W92" s="362"/>
      <c r="X92" s="364"/>
      <c r="Z92" s="362"/>
      <c r="AA92" s="364"/>
      <c r="AB92" s="364"/>
      <c r="AF92" s="364"/>
    </row>
    <row r="93" spans="1:32" x14ac:dyDescent="0.25">
      <c r="A93" t="s">
        <v>118</v>
      </c>
      <c r="B93" t="s">
        <v>439</v>
      </c>
      <c r="C93" s="444" t="s">
        <v>440</v>
      </c>
      <c r="D93" s="8" t="s">
        <v>537</v>
      </c>
      <c r="E93" s="8" t="s">
        <v>48</v>
      </c>
      <c r="F93" s="8" t="s">
        <v>38</v>
      </c>
      <c r="G93" s="299">
        <v>20</v>
      </c>
      <c r="H93" s="299">
        <v>2</v>
      </c>
      <c r="I93" s="362">
        <v>-1.1999999999999999E-3</v>
      </c>
      <c r="J93" s="362">
        <v>-2.0000000000000001E-4</v>
      </c>
      <c r="K93" s="362">
        <v>1.1999999999999999E-3</v>
      </c>
      <c r="L93" s="362">
        <v>2.0000000000000001E-4</v>
      </c>
      <c r="M93" s="361">
        <v>46318</v>
      </c>
      <c r="O93" s="393"/>
      <c r="P93" s="443"/>
      <c r="Q93" s="363"/>
      <c r="S93" s="363"/>
      <c r="T93" s="363"/>
      <c r="U93" s="392"/>
      <c r="W93" s="362"/>
      <c r="X93" s="364"/>
      <c r="Z93" s="362"/>
      <c r="AA93" s="364"/>
      <c r="AB93" s="364"/>
      <c r="AF93" s="364"/>
    </row>
    <row r="94" spans="1:32" x14ac:dyDescent="0.25">
      <c r="A94" t="s">
        <v>118</v>
      </c>
      <c r="B94" t="s">
        <v>434</v>
      </c>
      <c r="C94" s="444" t="s">
        <v>435</v>
      </c>
      <c r="D94" s="8" t="s">
        <v>538</v>
      </c>
      <c r="E94" s="8" t="s">
        <v>34</v>
      </c>
      <c r="F94" s="8" t="s">
        <v>40</v>
      </c>
      <c r="G94" s="299">
        <v>20</v>
      </c>
      <c r="H94" s="299">
        <v>2</v>
      </c>
      <c r="I94" s="362">
        <v>-3.0000000000000001E-3</v>
      </c>
      <c r="J94" s="362">
        <v>-2E-3</v>
      </c>
      <c r="K94" s="362">
        <v>1.5E-3</v>
      </c>
      <c r="L94" s="362">
        <v>5.0000000000000001E-4</v>
      </c>
      <c r="M94" s="361">
        <v>46318</v>
      </c>
      <c r="O94" s="393"/>
      <c r="P94" s="443"/>
      <c r="Q94" s="363"/>
      <c r="S94" s="363"/>
      <c r="T94" s="363"/>
      <c r="U94" s="392"/>
      <c r="W94" s="362"/>
      <c r="X94" s="364"/>
      <c r="Z94" s="362"/>
      <c r="AA94" s="364"/>
      <c r="AB94" s="364"/>
      <c r="AF94" s="364"/>
    </row>
    <row r="95" spans="1:32" x14ac:dyDescent="0.25">
      <c r="A95" t="s">
        <v>105</v>
      </c>
      <c r="B95" t="s">
        <v>109</v>
      </c>
      <c r="C95" s="444" t="s">
        <v>552</v>
      </c>
      <c r="D95" s="8" t="s">
        <v>539</v>
      </c>
      <c r="E95" s="374" t="s">
        <v>83</v>
      </c>
      <c r="F95" s="8" t="s">
        <v>81</v>
      </c>
      <c r="G95" s="299">
        <v>20</v>
      </c>
      <c r="H95" s="299">
        <v>1</v>
      </c>
      <c r="I95" s="362">
        <v>-2.5000000000000001E-3</v>
      </c>
      <c r="J95" s="362">
        <v>-5.0000000000000001E-4</v>
      </c>
      <c r="K95" s="362">
        <v>3.0000000000000001E-3</v>
      </c>
      <c r="L95" s="362">
        <v>2E-3</v>
      </c>
      <c r="M95" s="361">
        <v>46318</v>
      </c>
      <c r="O95" s="393"/>
      <c r="P95" s="443"/>
      <c r="Q95" s="363"/>
      <c r="S95" s="363"/>
      <c r="T95" s="363"/>
      <c r="U95" s="392"/>
      <c r="W95" s="362"/>
      <c r="X95" s="364"/>
      <c r="Z95" s="362"/>
      <c r="AA95" s="364"/>
      <c r="AB95" s="364"/>
      <c r="AF95" s="364"/>
    </row>
    <row r="96" spans="1:32" x14ac:dyDescent="0.25">
      <c r="A96" t="s">
        <v>105</v>
      </c>
      <c r="B96" t="s">
        <v>111</v>
      </c>
      <c r="C96" s="444" t="s">
        <v>552</v>
      </c>
      <c r="D96" s="8" t="s">
        <v>540</v>
      </c>
      <c r="E96" s="374" t="s">
        <v>86</v>
      </c>
      <c r="F96" s="8" t="s">
        <v>84</v>
      </c>
      <c r="G96" s="299">
        <v>20</v>
      </c>
      <c r="H96" s="299">
        <v>1</v>
      </c>
      <c r="I96" s="386">
        <v>-4.0000000000000001E-3</v>
      </c>
      <c r="J96" s="386">
        <v>-1E-3</v>
      </c>
      <c r="K96" s="362">
        <v>5.0000000000000001E-3</v>
      </c>
      <c r="L96" s="362">
        <v>1E-3</v>
      </c>
      <c r="M96" s="361">
        <v>46318</v>
      </c>
      <c r="O96" s="393"/>
      <c r="P96" s="443"/>
      <c r="Q96" s="363"/>
      <c r="S96" s="363"/>
      <c r="T96" s="363"/>
      <c r="U96" s="392"/>
      <c r="W96" s="362"/>
      <c r="X96" s="364"/>
      <c r="Z96" s="362"/>
      <c r="AA96" s="364"/>
      <c r="AB96" s="387"/>
      <c r="AC96" s="386"/>
      <c r="AD96" s="387"/>
      <c r="AF96" s="364"/>
    </row>
    <row r="97" spans="1:32" x14ac:dyDescent="0.25">
      <c r="A97" t="s">
        <v>105</v>
      </c>
      <c r="B97" t="s">
        <v>128</v>
      </c>
      <c r="C97" s="444" t="s">
        <v>552</v>
      </c>
      <c r="D97" s="8" t="s">
        <v>541</v>
      </c>
      <c r="E97" s="374" t="s">
        <v>100</v>
      </c>
      <c r="F97" s="8" t="s">
        <v>98</v>
      </c>
      <c r="G97" s="299">
        <v>20</v>
      </c>
      <c r="H97" s="299">
        <v>1</v>
      </c>
      <c r="I97" s="362">
        <v>-2E-3</v>
      </c>
      <c r="J97" s="362">
        <v>0</v>
      </c>
      <c r="K97" s="362">
        <v>3.0000000000000001E-3</v>
      </c>
      <c r="L97" s="362">
        <v>0</v>
      </c>
      <c r="M97" s="361">
        <v>46318</v>
      </c>
      <c r="O97" s="393"/>
      <c r="P97" s="443"/>
      <c r="Q97" s="363"/>
      <c r="S97" s="363"/>
      <c r="T97" s="363"/>
      <c r="U97" s="392"/>
      <c r="W97" s="362"/>
      <c r="X97" s="364"/>
      <c r="Z97" s="362"/>
      <c r="AA97" s="364"/>
      <c r="AB97" s="364"/>
      <c r="AF97" s="364"/>
    </row>
    <row r="98" spans="1:32" x14ac:dyDescent="0.25">
      <c r="A98" t="s">
        <v>105</v>
      </c>
      <c r="B98" t="s">
        <v>108</v>
      </c>
      <c r="C98" s="444" t="s">
        <v>552</v>
      </c>
      <c r="D98" s="8" t="s">
        <v>542</v>
      </c>
      <c r="E98" s="374" t="s">
        <v>96</v>
      </c>
      <c r="F98" s="8" t="s">
        <v>94</v>
      </c>
      <c r="G98" s="299">
        <v>20</v>
      </c>
      <c r="H98" s="299">
        <v>1</v>
      </c>
      <c r="I98" s="363"/>
      <c r="J98" s="362"/>
      <c r="K98" s="363"/>
      <c r="L98" s="362"/>
      <c r="M98" s="361">
        <v>46318</v>
      </c>
      <c r="O98" s="393"/>
      <c r="P98" s="443"/>
      <c r="Q98" s="363"/>
      <c r="S98" s="363"/>
      <c r="T98" s="363"/>
      <c r="U98" s="392"/>
      <c r="V98" s="363"/>
      <c r="W98" s="362"/>
      <c r="X98" s="364"/>
      <c r="Y98" s="363"/>
      <c r="Z98" s="362"/>
      <c r="AA98" s="364"/>
      <c r="AB98" s="364"/>
      <c r="AF98" s="388"/>
    </row>
    <row r="99" spans="1:32" x14ac:dyDescent="0.25">
      <c r="A99" t="s">
        <v>105</v>
      </c>
      <c r="B99" t="s">
        <v>107</v>
      </c>
      <c r="C99" s="444" t="s">
        <v>552</v>
      </c>
      <c r="D99" s="8" t="s">
        <v>543</v>
      </c>
      <c r="E99" s="374" t="s">
        <v>104</v>
      </c>
      <c r="F99" s="8" t="s">
        <v>102</v>
      </c>
      <c r="G99" s="299">
        <v>20</v>
      </c>
      <c r="H99" s="299">
        <v>1</v>
      </c>
      <c r="I99" s="362">
        <v>-3.0000000000000001E-3</v>
      </c>
      <c r="J99" s="362">
        <v>0</v>
      </c>
      <c r="K99" s="362">
        <v>6.0000000000000001E-3</v>
      </c>
      <c r="L99" s="362">
        <v>0</v>
      </c>
      <c r="M99" s="361">
        <v>46318</v>
      </c>
      <c r="O99" s="393"/>
      <c r="P99" s="443"/>
      <c r="Q99" s="363"/>
      <c r="S99" s="363"/>
      <c r="T99" s="363"/>
      <c r="U99" s="392"/>
      <c r="W99" s="362"/>
      <c r="X99" s="364"/>
      <c r="Z99" s="362"/>
      <c r="AA99" s="364"/>
      <c r="AB99" s="364"/>
      <c r="AF99" s="364"/>
    </row>
    <row r="100" spans="1:32" x14ac:dyDescent="0.25">
      <c r="A100" t="s">
        <v>416</v>
      </c>
      <c r="B100" t="s">
        <v>220</v>
      </c>
      <c r="C100" s="444" t="s">
        <v>552</v>
      </c>
      <c r="D100" s="8" t="s">
        <v>544</v>
      </c>
      <c r="E100" s="8" t="s">
        <v>218</v>
      </c>
      <c r="F100" s="8" t="s">
        <v>219</v>
      </c>
      <c r="G100" s="299">
        <v>20</v>
      </c>
      <c r="H100" s="299">
        <v>0</v>
      </c>
      <c r="I100" s="362"/>
      <c r="J100" s="362"/>
      <c r="K100" s="362"/>
      <c r="L100" s="362"/>
      <c r="M100" s="361">
        <v>46318</v>
      </c>
      <c r="O100" s="393"/>
      <c r="P100" s="443"/>
      <c r="Q100" s="363"/>
      <c r="S100" s="363"/>
      <c r="T100" s="363"/>
      <c r="U100" s="392"/>
      <c r="W100" s="362"/>
      <c r="X100" s="364"/>
      <c r="Z100" s="362"/>
      <c r="AA100" s="364"/>
      <c r="AB100" s="364"/>
      <c r="AF100" s="364"/>
    </row>
    <row r="101" spans="1:32" x14ac:dyDescent="0.25">
      <c r="B101" s="450"/>
      <c r="L101" s="393"/>
    </row>
    <row r="102" spans="1:32" x14ac:dyDescent="0.25">
      <c r="A102" t="s">
        <v>105</v>
      </c>
      <c r="B102" t="s">
        <v>112</v>
      </c>
      <c r="C102" t="s">
        <v>0</v>
      </c>
      <c r="D102" s="8" t="s">
        <v>557</v>
      </c>
      <c r="E102" s="8" t="s">
        <v>147</v>
      </c>
      <c r="F102" s="8" t="s">
        <v>149</v>
      </c>
      <c r="H102" s="299">
        <v>2</v>
      </c>
      <c r="K102" s="4">
        <v>3.89949708038103</v>
      </c>
      <c r="L102" s="443" t="e">
        <f>LN(K102/#REF!)</f>
        <v>#REF!</v>
      </c>
      <c r="M102" s="362">
        <v>-2.1402257471572799E-2</v>
      </c>
      <c r="N102" s="362"/>
      <c r="O102" s="362"/>
      <c r="P102" s="362"/>
      <c r="Q102" s="394"/>
      <c r="T102" s="392"/>
    </row>
    <row r="103" spans="1:32" x14ac:dyDescent="0.25">
      <c r="A103" t="s">
        <v>105</v>
      </c>
      <c r="B103" t="s">
        <v>109</v>
      </c>
      <c r="C103" t="s">
        <v>0</v>
      </c>
      <c r="D103" s="8" t="s">
        <v>558</v>
      </c>
      <c r="E103" s="8" t="s">
        <v>81</v>
      </c>
      <c r="F103" s="8" t="s">
        <v>82</v>
      </c>
      <c r="H103" s="299">
        <v>2</v>
      </c>
      <c r="K103" s="4">
        <v>2.6841943526268701</v>
      </c>
      <c r="L103" s="443" t="e">
        <f>LN(K103/#REF!)</f>
        <v>#REF!</v>
      </c>
      <c r="M103" s="362">
        <v>-4.2201734384014903E-3</v>
      </c>
      <c r="N103" s="362"/>
      <c r="O103" s="362"/>
      <c r="P103" s="362"/>
      <c r="Q103" s="394"/>
      <c r="T103" s="392"/>
    </row>
    <row r="104" spans="1:32" x14ac:dyDescent="0.25">
      <c r="A104" t="s">
        <v>105</v>
      </c>
      <c r="B104" t="s">
        <v>111</v>
      </c>
      <c r="C104" t="s">
        <v>0</v>
      </c>
      <c r="D104" s="8" t="s">
        <v>559</v>
      </c>
      <c r="E104" s="8" t="s">
        <v>84</v>
      </c>
      <c r="F104" s="8" t="s">
        <v>85</v>
      </c>
      <c r="H104" s="299">
        <v>2</v>
      </c>
      <c r="K104" s="4">
        <v>1.0361922810840101</v>
      </c>
      <c r="L104" s="443" t="e">
        <f>LN(K104/#REF!)</f>
        <v>#REF!</v>
      </c>
      <c r="M104" s="362">
        <v>-8.8032123825678293E-3</v>
      </c>
      <c r="N104" s="362"/>
      <c r="O104" s="362"/>
      <c r="P104" s="362"/>
      <c r="Q104" s="394"/>
      <c r="T104" s="392"/>
    </row>
    <row r="105" spans="1:32" x14ac:dyDescent="0.25">
      <c r="A105" t="s">
        <v>105</v>
      </c>
      <c r="B105" t="s">
        <v>110</v>
      </c>
      <c r="C105" t="s">
        <v>0</v>
      </c>
      <c r="D105" s="8" t="s">
        <v>560</v>
      </c>
      <c r="E105" s="8" t="s">
        <v>88</v>
      </c>
      <c r="F105" s="8" t="s">
        <v>89</v>
      </c>
      <c r="H105" s="299">
        <v>2</v>
      </c>
      <c r="K105" s="4">
        <v>4.4662171697211903</v>
      </c>
      <c r="L105" s="443" t="e">
        <f>LN(K105/#REF!)</f>
        <v>#REF!</v>
      </c>
      <c r="M105" s="362">
        <v>-6.88760418600258E-3</v>
      </c>
      <c r="N105" s="362"/>
      <c r="O105" s="362"/>
      <c r="P105" s="362"/>
      <c r="Q105" s="394"/>
    </row>
    <row r="106" spans="1:32" x14ac:dyDescent="0.25">
      <c r="A106" t="s">
        <v>105</v>
      </c>
      <c r="B106" t="s">
        <v>131</v>
      </c>
      <c r="C106" t="s">
        <v>0</v>
      </c>
      <c r="D106" s="8" t="s">
        <v>561</v>
      </c>
      <c r="E106" s="8" t="s">
        <v>115</v>
      </c>
      <c r="F106" s="8" t="s">
        <v>114</v>
      </c>
      <c r="H106" s="299">
        <v>2</v>
      </c>
      <c r="K106" s="4">
        <v>2.16843042718738</v>
      </c>
      <c r="L106" s="443" t="e">
        <f>LN(K106/#REF!)</f>
        <v>#REF!</v>
      </c>
      <c r="M106" s="362">
        <v>-1.7964852693427999E-2</v>
      </c>
      <c r="N106" s="362"/>
      <c r="O106" s="362"/>
      <c r="P106" s="362"/>
      <c r="Q106" s="394"/>
    </row>
    <row r="107" spans="1:32" x14ac:dyDescent="0.25">
      <c r="A107" t="s">
        <v>105</v>
      </c>
      <c r="B107" t="s">
        <v>106</v>
      </c>
      <c r="C107" t="s">
        <v>0</v>
      </c>
      <c r="D107" s="8" t="s">
        <v>562</v>
      </c>
      <c r="E107" s="8" t="s">
        <v>116</v>
      </c>
      <c r="F107" s="8" t="s">
        <v>78</v>
      </c>
      <c r="H107" s="299">
        <v>2</v>
      </c>
      <c r="K107" s="4">
        <v>3.2341039385043402</v>
      </c>
      <c r="L107" s="443" t="e">
        <f>LN(K107/#REF!)</f>
        <v>#REF!</v>
      </c>
      <c r="M107" s="362">
        <v>-1.7457970168889201E-2</v>
      </c>
      <c r="N107" s="362"/>
      <c r="O107" s="362"/>
      <c r="P107" s="362"/>
      <c r="Q107" s="394"/>
    </row>
    <row r="108" spans="1:32" x14ac:dyDescent="0.25">
      <c r="A108" t="s">
        <v>105</v>
      </c>
      <c r="B108" t="s">
        <v>128</v>
      </c>
      <c r="C108" t="s">
        <v>0</v>
      </c>
      <c r="D108" s="8" t="s">
        <v>563</v>
      </c>
      <c r="E108" s="8" t="s">
        <v>99</v>
      </c>
      <c r="F108" s="8" t="s">
        <v>98</v>
      </c>
      <c r="H108" s="299">
        <v>2</v>
      </c>
      <c r="K108" s="4">
        <v>2.11441165022952</v>
      </c>
      <c r="L108" s="443" t="e">
        <f>LN(K108/#REF!)</f>
        <v>#REF!</v>
      </c>
      <c r="M108" s="362">
        <v>-1.3007758065552299E-2</v>
      </c>
      <c r="N108" s="362"/>
      <c r="O108" s="362"/>
      <c r="P108" s="362"/>
      <c r="Q108" s="394"/>
    </row>
    <row r="109" spans="1:32" x14ac:dyDescent="0.25">
      <c r="A109" t="s">
        <v>105</v>
      </c>
      <c r="B109" t="s">
        <v>107</v>
      </c>
      <c r="C109" t="s">
        <v>0</v>
      </c>
      <c r="D109" s="8" t="s">
        <v>564</v>
      </c>
      <c r="E109" s="8" t="s">
        <v>102</v>
      </c>
      <c r="F109" s="8" t="s">
        <v>103</v>
      </c>
      <c r="H109" s="299">
        <v>2</v>
      </c>
      <c r="K109" s="4">
        <v>1.7180361552574901</v>
      </c>
      <c r="L109" s="443" t="e">
        <f>LN(K109/#REF!)</f>
        <v>#REF!</v>
      </c>
      <c r="M109" s="362">
        <v>-4.0131350276482397E-3</v>
      </c>
      <c r="N109" s="362"/>
      <c r="O109" s="362"/>
      <c r="P109" s="362"/>
      <c r="Q109" s="394"/>
    </row>
    <row r="110" spans="1:32" x14ac:dyDescent="0.25">
      <c r="A110" t="s">
        <v>105</v>
      </c>
      <c r="B110" t="s">
        <v>108</v>
      </c>
      <c r="C110" t="s">
        <v>0</v>
      </c>
      <c r="D110" s="8" t="s">
        <v>565</v>
      </c>
      <c r="E110" s="8" t="s">
        <v>95</v>
      </c>
      <c r="F110" s="8" t="s">
        <v>94</v>
      </c>
      <c r="H110" s="299">
        <v>2</v>
      </c>
      <c r="K110" s="4">
        <v>1.06045822514183</v>
      </c>
      <c r="L110" s="443" t="e">
        <f>LN(K110/#REF!)</f>
        <v>#REF!</v>
      </c>
      <c r="M110" s="362">
        <v>-2.0947909813543498E-3</v>
      </c>
      <c r="N110" s="362"/>
      <c r="O110" s="362"/>
      <c r="P110" s="362"/>
      <c r="Q110" s="394"/>
    </row>
    <row r="112" spans="1:32" x14ac:dyDescent="0.25">
      <c r="E112" t="s">
        <v>360</v>
      </c>
      <c r="F112" t="s">
        <v>361</v>
      </c>
      <c r="G112"/>
    </row>
    <row r="113" spans="5:17" x14ac:dyDescent="0.25">
      <c r="E113" t="s">
        <v>359</v>
      </c>
    </row>
    <row r="117" spans="5:17" x14ac:dyDescent="0.25">
      <c r="L117" s="393"/>
      <c r="M117" s="442"/>
      <c r="N117" s="442"/>
      <c r="O117" s="442"/>
      <c r="P117" s="442"/>
      <c r="Q117" s="361"/>
    </row>
    <row r="126" spans="5:17" x14ac:dyDescent="0.25">
      <c r="E126" s="441"/>
    </row>
    <row r="127" spans="5:17" x14ac:dyDescent="0.25">
      <c r="E127" s="441"/>
    </row>
    <row r="128" spans="5:17" x14ac:dyDescent="0.25">
      <c r="E128" s="441"/>
    </row>
    <row r="129" spans="5:5" x14ac:dyDescent="0.25">
      <c r="E129" s="441"/>
    </row>
    <row r="131" spans="5:5" x14ac:dyDescent="0.25">
      <c r="E131" s="441"/>
    </row>
    <row r="134" spans="5:5" x14ac:dyDescent="0.25">
      <c r="E134" s="441"/>
    </row>
    <row r="135" spans="5:5" x14ac:dyDescent="0.25">
      <c r="E135" s="441"/>
    </row>
    <row r="136" spans="5:5" x14ac:dyDescent="0.25">
      <c r="E136" s="441"/>
    </row>
    <row r="137" spans="5:5" x14ac:dyDescent="0.25">
      <c r="E137" s="441"/>
    </row>
    <row r="138" spans="5:5" x14ac:dyDescent="0.25">
      <c r="E138" s="441"/>
    </row>
    <row r="140" spans="5:5" x14ac:dyDescent="0.25">
      <c r="E140" s="441"/>
    </row>
    <row r="141" spans="5:5" x14ac:dyDescent="0.25">
      <c r="E141" s="441"/>
    </row>
    <row r="142" spans="5:5" x14ac:dyDescent="0.25">
      <c r="E142" s="441"/>
    </row>
    <row r="143" spans="5:5" x14ac:dyDescent="0.25">
      <c r="E143" s="441"/>
    </row>
    <row r="146" spans="5:5" x14ac:dyDescent="0.25">
      <c r="E146" s="441"/>
    </row>
    <row r="147" spans="5:5" x14ac:dyDescent="0.25">
      <c r="E147" s="441"/>
    </row>
    <row r="148" spans="5:5" x14ac:dyDescent="0.25">
      <c r="E148" s="441"/>
    </row>
    <row r="149" spans="5:5" x14ac:dyDescent="0.25">
      <c r="E149" s="441"/>
    </row>
    <row r="150" spans="5:5" x14ac:dyDescent="0.25">
      <c r="E150" s="441"/>
    </row>
    <row r="151" spans="5:5" x14ac:dyDescent="0.25">
      <c r="E151" s="441"/>
    </row>
    <row r="153" spans="5:5" x14ac:dyDescent="0.25">
      <c r="E153" s="441"/>
    </row>
    <row r="154" spans="5:5" x14ac:dyDescent="0.25">
      <c r="E154" s="441"/>
    </row>
    <row r="155" spans="5:5" x14ac:dyDescent="0.25">
      <c r="E155" s="441"/>
    </row>
    <row r="156" spans="5:5" x14ac:dyDescent="0.25">
      <c r="E156" s="441"/>
    </row>
    <row r="158" spans="5:5" x14ac:dyDescent="0.25">
      <c r="E158" s="441"/>
    </row>
    <row r="159" spans="5:5" x14ac:dyDescent="0.25">
      <c r="E159" s="441"/>
    </row>
    <row r="160" spans="5:5" x14ac:dyDescent="0.25">
      <c r="E160" s="441"/>
    </row>
    <row r="161" spans="5:5" x14ac:dyDescent="0.25">
      <c r="E161" s="441"/>
    </row>
    <row r="162" spans="5:5" x14ac:dyDescent="0.25">
      <c r="E162" s="441"/>
    </row>
    <row r="163" spans="5:5" x14ac:dyDescent="0.25">
      <c r="E163" s="441"/>
    </row>
    <row r="164" spans="5:5" x14ac:dyDescent="0.25">
      <c r="E164" s="441"/>
    </row>
    <row r="165" spans="5:5" x14ac:dyDescent="0.25">
      <c r="E165" s="441"/>
    </row>
    <row r="166" spans="5:5" x14ac:dyDescent="0.25">
      <c r="E166" s="441"/>
    </row>
    <row r="167" spans="5:5" x14ac:dyDescent="0.25">
      <c r="E167" s="441"/>
    </row>
    <row r="168" spans="5:5" x14ac:dyDescent="0.25">
      <c r="E168" s="441"/>
    </row>
    <row r="169" spans="5:5" x14ac:dyDescent="0.25">
      <c r="E169" s="441"/>
    </row>
    <row r="170" spans="5:5" x14ac:dyDescent="0.25">
      <c r="E170" s="441"/>
    </row>
    <row r="171" spans="5:5" x14ac:dyDescent="0.25">
      <c r="E171" s="441"/>
    </row>
    <row r="172" spans="5:5" x14ac:dyDescent="0.25">
      <c r="E172" s="441"/>
    </row>
    <row r="173" spans="5:5" x14ac:dyDescent="0.25">
      <c r="E173" s="441"/>
    </row>
    <row r="174" spans="5:5" x14ac:dyDescent="0.25">
      <c r="E174" s="441"/>
    </row>
    <row r="175" spans="5:5" x14ac:dyDescent="0.25">
      <c r="E175" s="441"/>
    </row>
    <row r="176" spans="5:5" x14ac:dyDescent="0.25">
      <c r="E176" s="441"/>
    </row>
    <row r="177" spans="5:5" x14ac:dyDescent="0.25">
      <c r="E177" s="441"/>
    </row>
    <row r="178" spans="5:5" x14ac:dyDescent="0.25">
      <c r="E178" s="441"/>
    </row>
    <row r="179" spans="5:5" x14ac:dyDescent="0.25">
      <c r="E179" s="441"/>
    </row>
    <row r="180" spans="5:5" x14ac:dyDescent="0.25">
      <c r="E180" s="441"/>
    </row>
    <row r="181" spans="5:5" x14ac:dyDescent="0.25">
      <c r="E181" s="441"/>
    </row>
    <row r="182" spans="5:5" x14ac:dyDescent="0.25">
      <c r="E182" s="441"/>
    </row>
    <row r="183" spans="5:5" x14ac:dyDescent="0.25">
      <c r="E183" s="441"/>
    </row>
    <row r="184" spans="5:5" x14ac:dyDescent="0.25">
      <c r="E184" s="441"/>
    </row>
    <row r="185" spans="5:5" x14ac:dyDescent="0.25">
      <c r="E185" s="441"/>
    </row>
    <row r="186" spans="5:5" x14ac:dyDescent="0.25">
      <c r="E186" s="441"/>
    </row>
    <row r="187" spans="5:5" x14ac:dyDescent="0.25">
      <c r="E187" s="441"/>
    </row>
    <row r="188" spans="5:5" x14ac:dyDescent="0.25">
      <c r="E188" s="441"/>
    </row>
    <row r="189" spans="5:5" x14ac:dyDescent="0.25">
      <c r="E189" s="441"/>
    </row>
    <row r="190" spans="5:5" x14ac:dyDescent="0.25">
      <c r="E190" s="441"/>
    </row>
    <row r="191" spans="5:5" x14ac:dyDescent="0.25">
      <c r="E191" s="441"/>
    </row>
    <row r="192" spans="5:5" x14ac:dyDescent="0.25">
      <c r="E192" s="441"/>
    </row>
    <row r="193" spans="5:5" x14ac:dyDescent="0.25">
      <c r="E193" s="441"/>
    </row>
    <row r="194" spans="5:5" x14ac:dyDescent="0.25">
      <c r="E194" s="441"/>
    </row>
    <row r="195" spans="5:5" x14ac:dyDescent="0.25">
      <c r="E195" s="441"/>
    </row>
    <row r="196" spans="5:5" x14ac:dyDescent="0.25">
      <c r="E196" s="441"/>
    </row>
    <row r="197" spans="5:5" x14ac:dyDescent="0.25">
      <c r="E197" s="441"/>
    </row>
    <row r="198" spans="5:5" x14ac:dyDescent="0.25">
      <c r="E198" s="441"/>
    </row>
    <row r="199" spans="5:5" x14ac:dyDescent="0.25">
      <c r="E199" s="441"/>
    </row>
    <row r="200" spans="5:5" x14ac:dyDescent="0.25">
      <c r="E200" s="441"/>
    </row>
    <row r="201" spans="5:5" x14ac:dyDescent="0.25">
      <c r="E201" s="441"/>
    </row>
    <row r="202" spans="5:5" x14ac:dyDescent="0.25">
      <c r="E202" s="441"/>
    </row>
    <row r="203" spans="5:5" x14ac:dyDescent="0.25">
      <c r="E203" s="441"/>
    </row>
    <row r="204" spans="5:5" x14ac:dyDescent="0.25">
      <c r="E204" s="441"/>
    </row>
    <row r="205" spans="5:5" x14ac:dyDescent="0.25">
      <c r="E205" s="441"/>
    </row>
    <row r="206" spans="5:5" x14ac:dyDescent="0.25">
      <c r="E206" s="441"/>
    </row>
    <row r="207" spans="5:5" x14ac:dyDescent="0.25">
      <c r="E207" s="441"/>
    </row>
    <row r="208" spans="5:5" x14ac:dyDescent="0.25">
      <c r="E208" s="441"/>
    </row>
    <row r="209" spans="5:5" x14ac:dyDescent="0.25">
      <c r="E209" s="441"/>
    </row>
    <row r="210" spans="5:5" x14ac:dyDescent="0.25">
      <c r="E210" s="441"/>
    </row>
    <row r="211" spans="5:5" x14ac:dyDescent="0.25">
      <c r="E211" s="441"/>
    </row>
    <row r="212" spans="5:5" x14ac:dyDescent="0.25">
      <c r="E212" s="441"/>
    </row>
    <row r="213" spans="5:5" x14ac:dyDescent="0.25">
      <c r="E213" s="441"/>
    </row>
    <row r="214" spans="5:5" x14ac:dyDescent="0.25">
      <c r="E214" s="441"/>
    </row>
    <row r="215" spans="5:5" x14ac:dyDescent="0.25">
      <c r="E215" s="441"/>
    </row>
    <row r="216" spans="5:5" x14ac:dyDescent="0.25">
      <c r="E216" s="441"/>
    </row>
    <row r="217" spans="5:5" x14ac:dyDescent="0.25">
      <c r="E217" s="441"/>
    </row>
    <row r="218" spans="5:5" x14ac:dyDescent="0.25">
      <c r="E218" s="441"/>
    </row>
    <row r="219" spans="5:5" x14ac:dyDescent="0.25">
      <c r="E219" s="441"/>
    </row>
    <row r="220" spans="5:5" x14ac:dyDescent="0.25">
      <c r="E220" s="441"/>
    </row>
    <row r="221" spans="5:5" x14ac:dyDescent="0.25">
      <c r="E221" s="441"/>
    </row>
    <row r="222" spans="5:5" x14ac:dyDescent="0.25">
      <c r="E222" s="441"/>
    </row>
    <row r="223" spans="5:5" x14ac:dyDescent="0.25">
      <c r="E223" s="441"/>
    </row>
    <row r="224" spans="5:5" x14ac:dyDescent="0.25">
      <c r="E224" s="441"/>
    </row>
  </sheetData>
  <phoneticPr fontId="2" type="noConversion"/>
  <conditionalFormatting sqref="H2:L100">
    <cfRule type="cellIs" dxfId="451" priority="4" operator="equal">
      <formula>2</formula>
    </cfRule>
  </conditionalFormatting>
  <conditionalFormatting sqref="H2:L100">
    <cfRule type="cellIs" dxfId="450" priority="3" operator="equal">
      <formula>1</formula>
    </cfRule>
  </conditionalFormatting>
  <conditionalFormatting sqref="AD111:AD1048576 Z111:Z1048576 AB1:AB100 AD1:AD100">
    <cfRule type="cellIs" dxfId="449" priority="2" operator="between">
      <formula>0.000001</formula>
      <formula>1.5</formula>
    </cfRule>
  </conditionalFormatting>
  <conditionalFormatting sqref="Z102:Z110 AD102:AD110">
    <cfRule type="cellIs" dxfId="448" priority="1" operator="between">
      <formula>0.000001</formula>
      <formula>1.5</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F6C1-E4F3-4B42-9841-0C92920A773A}">
  <sheetPr codeName="Sheet3"/>
  <dimension ref="A1:O176"/>
  <sheetViews>
    <sheetView zoomScale="85" zoomScaleNormal="85" workbookViewId="0">
      <pane ySplit="1" topLeftCell="A2" activePane="bottomLeft" state="frozen"/>
      <selection pane="bottomLeft" activeCell="M16" sqref="M16"/>
    </sheetView>
  </sheetViews>
  <sheetFormatPr defaultRowHeight="15" x14ac:dyDescent="0.25"/>
  <cols>
    <col min="1" max="1" width="13.140625" bestFit="1" customWidth="1"/>
    <col min="2" max="2" width="11.42578125" bestFit="1" customWidth="1"/>
    <col min="3" max="3" width="12" bestFit="1" customWidth="1"/>
    <col min="4" max="4" width="15" style="6" bestFit="1" customWidth="1"/>
    <col min="5" max="6" width="19" style="2" bestFit="1" customWidth="1"/>
    <col min="7" max="7" width="15.28515625" style="6" bestFit="1" customWidth="1"/>
    <col min="8" max="8" width="19" style="2" bestFit="1" customWidth="1"/>
    <col min="9" max="9" width="10.28515625" style="6" bestFit="1" customWidth="1"/>
    <col min="10" max="10" width="19.7109375" style="6" bestFit="1" customWidth="1"/>
    <col min="11" max="11" width="11.42578125" bestFit="1" customWidth="1"/>
  </cols>
  <sheetData>
    <row r="1" spans="1:15" s="3" customFormat="1" x14ac:dyDescent="0.25">
      <c r="A1" s="5" t="s">
        <v>27</v>
      </c>
      <c r="B1" s="5" t="s">
        <v>2</v>
      </c>
      <c r="C1" s="5" t="s">
        <v>1</v>
      </c>
      <c r="D1" s="128" t="s">
        <v>28</v>
      </c>
      <c r="E1" s="128" t="s">
        <v>356</v>
      </c>
      <c r="F1" s="128" t="s">
        <v>357</v>
      </c>
      <c r="G1" s="159" t="s">
        <v>29</v>
      </c>
      <c r="H1" s="128" t="s">
        <v>30</v>
      </c>
      <c r="I1" s="128" t="s">
        <v>49</v>
      </c>
      <c r="J1" s="3" t="s">
        <v>31</v>
      </c>
      <c r="L1" s="5"/>
      <c r="N1" s="68"/>
      <c r="O1" s="146"/>
    </row>
    <row r="2" spans="1:15" x14ac:dyDescent="0.25">
      <c r="A2" t="s">
        <v>32</v>
      </c>
      <c r="B2" t="s">
        <v>161</v>
      </c>
      <c r="C2" t="s">
        <v>0</v>
      </c>
      <c r="D2" s="6">
        <v>300</v>
      </c>
      <c r="E2" s="2">
        <v>201.6</v>
      </c>
      <c r="F2" s="2">
        <v>203.32</v>
      </c>
      <c r="G2" s="6">
        <v>3000</v>
      </c>
      <c r="H2" s="2">
        <v>204.479996</v>
      </c>
      <c r="I2" s="6">
        <v>0</v>
      </c>
      <c r="J2" s="6" t="s">
        <v>430</v>
      </c>
    </row>
    <row r="3" spans="1:15" x14ac:dyDescent="0.25">
      <c r="A3" t="s">
        <v>32</v>
      </c>
      <c r="B3" t="s">
        <v>162</v>
      </c>
      <c r="C3" t="s">
        <v>0</v>
      </c>
      <c r="D3" s="6">
        <v>2000</v>
      </c>
      <c r="E3" s="2">
        <v>152.33000000000001</v>
      </c>
      <c r="F3" s="2">
        <v>155.55000000000001</v>
      </c>
      <c r="G3" s="6">
        <v>1900</v>
      </c>
      <c r="H3" s="2">
        <v>154.529999</v>
      </c>
      <c r="I3" s="6">
        <v>0</v>
      </c>
      <c r="J3" s="6" t="s">
        <v>430</v>
      </c>
    </row>
    <row r="4" spans="1:15" x14ac:dyDescent="0.25">
      <c r="A4" t="s">
        <v>32</v>
      </c>
      <c r="B4" t="s">
        <v>7</v>
      </c>
      <c r="C4" t="s">
        <v>0</v>
      </c>
      <c r="D4" s="6">
        <v>900</v>
      </c>
      <c r="E4" s="2">
        <v>95.91</v>
      </c>
      <c r="F4" s="2">
        <v>95.95</v>
      </c>
      <c r="G4" s="6">
        <v>2400</v>
      </c>
      <c r="H4" s="2">
        <v>96.120002999999997</v>
      </c>
      <c r="I4" s="6">
        <v>0</v>
      </c>
      <c r="J4" s="6" t="s">
        <v>430</v>
      </c>
    </row>
    <row r="5" spans="1:15" x14ac:dyDescent="0.25">
      <c r="A5" t="s">
        <v>32</v>
      </c>
      <c r="B5" t="s">
        <v>6</v>
      </c>
      <c r="C5" t="s">
        <v>0</v>
      </c>
      <c r="D5" s="6">
        <v>100</v>
      </c>
      <c r="E5" s="2">
        <v>71.099999999999994</v>
      </c>
      <c r="F5" s="2">
        <v>71.58</v>
      </c>
      <c r="G5" s="6">
        <v>200</v>
      </c>
      <c r="H5" s="2">
        <v>71.360000999999997</v>
      </c>
      <c r="I5" s="6">
        <v>0</v>
      </c>
      <c r="J5" s="6" t="s">
        <v>430</v>
      </c>
    </row>
    <row r="6" spans="1:15" x14ac:dyDescent="0.25">
      <c r="A6" t="s">
        <v>32</v>
      </c>
      <c r="B6" t="s">
        <v>4</v>
      </c>
      <c r="C6" t="s">
        <v>0</v>
      </c>
      <c r="D6" s="6">
        <v>100</v>
      </c>
      <c r="E6" s="2">
        <v>22.25</v>
      </c>
      <c r="F6" s="2">
        <v>22.55</v>
      </c>
      <c r="G6" s="6">
        <v>500</v>
      </c>
      <c r="H6" s="2">
        <v>22.459999</v>
      </c>
      <c r="I6" s="6">
        <v>0</v>
      </c>
      <c r="J6" s="6" t="s">
        <v>430</v>
      </c>
    </row>
    <row r="7" spans="1:15" x14ac:dyDescent="0.25">
      <c r="A7" t="s">
        <v>32</v>
      </c>
      <c r="B7" t="s">
        <v>5</v>
      </c>
      <c r="C7" t="s">
        <v>0</v>
      </c>
      <c r="D7" s="6">
        <v>300</v>
      </c>
      <c r="E7" s="2">
        <v>24.24</v>
      </c>
      <c r="F7" s="2">
        <v>25.74</v>
      </c>
      <c r="G7" s="6">
        <v>100</v>
      </c>
      <c r="H7" s="2">
        <v>24.77</v>
      </c>
      <c r="I7" s="6">
        <v>0</v>
      </c>
      <c r="J7" s="6" t="s">
        <v>430</v>
      </c>
    </row>
    <row r="8" spans="1:15" x14ac:dyDescent="0.25">
      <c r="A8" t="s">
        <v>32</v>
      </c>
      <c r="B8" t="s">
        <v>216</v>
      </c>
      <c r="C8" t="s">
        <v>0</v>
      </c>
      <c r="D8" s="6">
        <v>2400</v>
      </c>
      <c r="E8" s="2">
        <v>53.09</v>
      </c>
      <c r="F8" s="2">
        <v>55.65</v>
      </c>
      <c r="G8" s="6">
        <v>100</v>
      </c>
      <c r="H8" s="2">
        <v>54.689999</v>
      </c>
      <c r="I8" s="6">
        <v>0</v>
      </c>
      <c r="J8" s="6" t="s">
        <v>430</v>
      </c>
    </row>
    <row r="9" spans="1:15" x14ac:dyDescent="0.25">
      <c r="A9" t="s">
        <v>32</v>
      </c>
      <c r="B9" t="s">
        <v>217</v>
      </c>
      <c r="C9" t="s">
        <v>0</v>
      </c>
      <c r="D9" s="6">
        <v>100</v>
      </c>
      <c r="E9" s="2">
        <v>45.19</v>
      </c>
      <c r="F9" s="2">
        <v>49.77</v>
      </c>
      <c r="G9" s="6">
        <v>500</v>
      </c>
      <c r="H9" s="2">
        <v>49.709999000000003</v>
      </c>
      <c r="I9" s="6">
        <v>0</v>
      </c>
      <c r="J9" s="6" t="s">
        <v>430</v>
      </c>
    </row>
    <row r="10" spans="1:15" x14ac:dyDescent="0.25">
      <c r="A10" t="s">
        <v>32</v>
      </c>
      <c r="B10" t="s">
        <v>164</v>
      </c>
      <c r="C10" t="s">
        <v>0</v>
      </c>
      <c r="D10" s="6">
        <v>900</v>
      </c>
      <c r="E10" s="2">
        <v>87.16</v>
      </c>
      <c r="F10" s="2">
        <v>88.15</v>
      </c>
      <c r="G10" s="6">
        <v>6600</v>
      </c>
      <c r="H10" s="2">
        <v>88.220000999999996</v>
      </c>
      <c r="I10" s="6">
        <v>0</v>
      </c>
      <c r="J10" s="6" t="s">
        <v>430</v>
      </c>
    </row>
    <row r="11" spans="1:15" x14ac:dyDescent="0.25">
      <c r="A11" t="s">
        <v>32</v>
      </c>
      <c r="B11" t="s">
        <v>156</v>
      </c>
      <c r="C11" t="s">
        <v>0</v>
      </c>
      <c r="D11" s="6">
        <v>300</v>
      </c>
      <c r="E11" s="2">
        <v>809689.55</v>
      </c>
      <c r="F11" s="2">
        <v>821382.33</v>
      </c>
      <c r="G11" s="6">
        <v>300</v>
      </c>
      <c r="H11" s="2">
        <v>820500</v>
      </c>
      <c r="I11" s="6">
        <v>0</v>
      </c>
      <c r="J11" s="6" t="s">
        <v>430</v>
      </c>
    </row>
    <row r="12" spans="1:15" x14ac:dyDescent="0.25">
      <c r="A12" t="s">
        <v>32</v>
      </c>
      <c r="B12" t="s">
        <v>157</v>
      </c>
      <c r="C12" t="s">
        <v>0</v>
      </c>
      <c r="D12" s="6">
        <v>100</v>
      </c>
      <c r="E12" s="2">
        <v>541.61</v>
      </c>
      <c r="F12" s="2">
        <v>546</v>
      </c>
      <c r="G12" s="6">
        <v>200</v>
      </c>
      <c r="H12" s="2">
        <v>546.96997099999999</v>
      </c>
      <c r="I12" s="6">
        <v>0</v>
      </c>
      <c r="J12" s="6" t="s">
        <v>430</v>
      </c>
    </row>
    <row r="13" spans="1:15" x14ac:dyDescent="0.25">
      <c r="A13" t="s">
        <v>32</v>
      </c>
      <c r="B13" t="s">
        <v>160</v>
      </c>
      <c r="C13" t="s">
        <v>0</v>
      </c>
      <c r="D13" s="6">
        <v>1500</v>
      </c>
      <c r="E13" s="2">
        <v>206.81</v>
      </c>
      <c r="F13" s="2">
        <v>208.79</v>
      </c>
      <c r="G13" s="6">
        <v>1400</v>
      </c>
      <c r="H13" s="2">
        <v>209.53999300000001</v>
      </c>
      <c r="I13" s="6">
        <v>0</v>
      </c>
      <c r="J13" s="6" t="s">
        <v>430</v>
      </c>
    </row>
    <row r="14" spans="1:15" x14ac:dyDescent="0.25">
      <c r="A14" t="s">
        <v>32</v>
      </c>
      <c r="B14" t="s">
        <v>207</v>
      </c>
      <c r="C14" t="s">
        <v>0</v>
      </c>
      <c r="D14" s="6">
        <v>100</v>
      </c>
      <c r="E14" s="2">
        <v>29</v>
      </c>
      <c r="F14" s="2">
        <v>30.72</v>
      </c>
      <c r="G14" s="6">
        <v>200</v>
      </c>
      <c r="H14" s="2">
        <v>30.91</v>
      </c>
      <c r="I14" s="6">
        <v>0</v>
      </c>
      <c r="J14" s="6" t="s">
        <v>430</v>
      </c>
      <c r="M14" t="s">
        <v>554</v>
      </c>
    </row>
    <row r="15" spans="1:15" x14ac:dyDescent="0.25">
      <c r="A15" t="s">
        <v>32</v>
      </c>
      <c r="B15" t="s">
        <v>208</v>
      </c>
      <c r="C15" t="s">
        <v>0</v>
      </c>
      <c r="D15" s="6">
        <v>100</v>
      </c>
      <c r="E15" s="2">
        <v>27.04</v>
      </c>
      <c r="F15" s="2">
        <v>29.69</v>
      </c>
      <c r="G15" s="6">
        <v>20000</v>
      </c>
      <c r="H15" s="2">
        <v>30.18</v>
      </c>
      <c r="I15" s="6">
        <v>0</v>
      </c>
      <c r="J15" s="6" t="s">
        <v>430</v>
      </c>
      <c r="M15" t="s">
        <v>555</v>
      </c>
    </row>
    <row r="16" spans="1:15" x14ac:dyDescent="0.25">
      <c r="A16" t="s">
        <v>32</v>
      </c>
      <c r="B16" t="s">
        <v>36</v>
      </c>
      <c r="C16" t="s">
        <v>0</v>
      </c>
      <c r="D16" s="6">
        <v>3000</v>
      </c>
      <c r="E16" s="2">
        <v>55</v>
      </c>
      <c r="F16" s="2">
        <v>56.53</v>
      </c>
      <c r="G16" s="6">
        <v>500</v>
      </c>
      <c r="H16" s="2">
        <v>55.299999</v>
      </c>
      <c r="I16" s="6">
        <v>0</v>
      </c>
      <c r="J16" s="6" t="s">
        <v>430</v>
      </c>
    </row>
    <row r="17" spans="1:10" x14ac:dyDescent="0.25">
      <c r="A17" t="s">
        <v>32</v>
      </c>
      <c r="B17" t="s">
        <v>47</v>
      </c>
      <c r="C17" t="s">
        <v>0</v>
      </c>
      <c r="D17" s="6">
        <v>300</v>
      </c>
      <c r="E17" s="2">
        <v>96.4</v>
      </c>
      <c r="F17" s="2">
        <v>96.7</v>
      </c>
      <c r="G17" s="6">
        <v>700</v>
      </c>
      <c r="H17" s="2">
        <v>96.279999000000004</v>
      </c>
      <c r="I17" s="6">
        <v>0</v>
      </c>
      <c r="J17" s="6" t="s">
        <v>430</v>
      </c>
    </row>
    <row r="18" spans="1:10" x14ac:dyDescent="0.25">
      <c r="A18" t="s">
        <v>32</v>
      </c>
      <c r="B18" t="s">
        <v>37</v>
      </c>
      <c r="C18" t="s">
        <v>0</v>
      </c>
      <c r="D18" s="6">
        <v>100</v>
      </c>
      <c r="E18" s="2">
        <v>89.7</v>
      </c>
      <c r="F18" s="2">
        <v>98</v>
      </c>
      <c r="G18" s="6">
        <v>900</v>
      </c>
      <c r="H18" s="2">
        <v>95.150002000000001</v>
      </c>
      <c r="I18" s="6">
        <v>-446</v>
      </c>
      <c r="J18" s="6" t="s">
        <v>430</v>
      </c>
    </row>
    <row r="19" spans="1:10" x14ac:dyDescent="0.25">
      <c r="A19" t="s">
        <v>32</v>
      </c>
      <c r="B19" t="s">
        <v>41</v>
      </c>
      <c r="C19" t="s">
        <v>0</v>
      </c>
      <c r="D19" s="6">
        <v>100</v>
      </c>
      <c r="E19" s="2">
        <v>99.13</v>
      </c>
      <c r="F19" s="2">
        <v>111.14</v>
      </c>
      <c r="G19" s="6">
        <v>100</v>
      </c>
      <c r="H19" s="2">
        <v>105.029999</v>
      </c>
      <c r="I19" s="6">
        <v>400</v>
      </c>
      <c r="J19" s="6" t="s">
        <v>430</v>
      </c>
    </row>
    <row r="20" spans="1:10" x14ac:dyDescent="0.25">
      <c r="A20" t="s">
        <v>32</v>
      </c>
      <c r="B20" t="s">
        <v>184</v>
      </c>
      <c r="C20" t="s">
        <v>0</v>
      </c>
      <c r="D20" s="6">
        <v>400</v>
      </c>
      <c r="E20" s="2">
        <v>18.55</v>
      </c>
      <c r="F20" s="2">
        <v>19.52</v>
      </c>
      <c r="G20" s="6">
        <v>6800</v>
      </c>
      <c r="H20" s="2">
        <v>19.5</v>
      </c>
      <c r="I20" s="6">
        <v>0</v>
      </c>
      <c r="J20" s="6" t="s">
        <v>430</v>
      </c>
    </row>
    <row r="21" spans="1:10" x14ac:dyDescent="0.25">
      <c r="A21" t="s">
        <v>32</v>
      </c>
      <c r="B21" t="s">
        <v>186</v>
      </c>
      <c r="C21" t="s">
        <v>0</v>
      </c>
      <c r="D21" s="6">
        <v>300</v>
      </c>
      <c r="E21" s="2">
        <v>19.54</v>
      </c>
      <c r="F21" s="2">
        <v>19.55</v>
      </c>
      <c r="G21" s="6">
        <v>400</v>
      </c>
      <c r="H21" s="2">
        <v>19.530000999999999</v>
      </c>
      <c r="I21" s="6">
        <v>0</v>
      </c>
      <c r="J21" s="6" t="s">
        <v>430</v>
      </c>
    </row>
    <row r="22" spans="1:10" x14ac:dyDescent="0.25">
      <c r="A22" t="s">
        <v>32</v>
      </c>
      <c r="B22" t="s">
        <v>188</v>
      </c>
      <c r="C22" t="s">
        <v>0</v>
      </c>
      <c r="D22" s="6">
        <v>500</v>
      </c>
      <c r="E22" s="2">
        <v>20.09</v>
      </c>
      <c r="F22" s="2">
        <v>20.45</v>
      </c>
      <c r="G22" s="6">
        <v>100</v>
      </c>
      <c r="H22" s="2">
        <v>20.16</v>
      </c>
      <c r="I22" s="6">
        <v>0</v>
      </c>
      <c r="J22" s="6" t="s">
        <v>430</v>
      </c>
    </row>
    <row r="23" spans="1:10" x14ac:dyDescent="0.25">
      <c r="A23" t="s">
        <v>32</v>
      </c>
      <c r="B23" t="s">
        <v>190</v>
      </c>
      <c r="C23" t="s">
        <v>0</v>
      </c>
      <c r="D23" s="6">
        <v>500</v>
      </c>
      <c r="E23" s="2">
        <v>18.16</v>
      </c>
      <c r="F23" s="2">
        <v>18.41</v>
      </c>
      <c r="G23" s="6">
        <v>600</v>
      </c>
      <c r="H23" s="2">
        <v>18.290001</v>
      </c>
      <c r="I23" s="6">
        <v>0</v>
      </c>
      <c r="J23" s="6" t="s">
        <v>430</v>
      </c>
    </row>
    <row r="24" spans="1:10" x14ac:dyDescent="0.25">
      <c r="A24" t="s">
        <v>32</v>
      </c>
      <c r="B24" t="s">
        <v>192</v>
      </c>
      <c r="C24" t="s">
        <v>0</v>
      </c>
      <c r="D24" s="6">
        <v>100</v>
      </c>
      <c r="E24" s="2">
        <v>16.09</v>
      </c>
      <c r="F24" s="2">
        <v>16.47</v>
      </c>
      <c r="G24" s="6">
        <v>100</v>
      </c>
      <c r="H24" s="2">
        <v>16.274999999999999</v>
      </c>
      <c r="I24" s="6">
        <v>0</v>
      </c>
      <c r="J24" s="6" t="s">
        <v>430</v>
      </c>
    </row>
    <row r="25" spans="1:10" x14ac:dyDescent="0.25">
      <c r="A25" t="s">
        <v>32</v>
      </c>
      <c r="B25" t="s">
        <v>194</v>
      </c>
      <c r="C25" t="s">
        <v>0</v>
      </c>
      <c r="D25" s="6">
        <v>100</v>
      </c>
      <c r="E25" s="2">
        <v>15.73</v>
      </c>
      <c r="F25" s="2">
        <v>15.98</v>
      </c>
      <c r="G25" s="6">
        <v>200</v>
      </c>
      <c r="H25" s="2">
        <v>15.92</v>
      </c>
      <c r="I25" s="6">
        <v>0</v>
      </c>
      <c r="J25" s="6" t="s">
        <v>430</v>
      </c>
    </row>
    <row r="26" spans="1:10" x14ac:dyDescent="0.25">
      <c r="A26" t="s">
        <v>32</v>
      </c>
      <c r="B26" t="s">
        <v>196</v>
      </c>
      <c r="C26" t="s">
        <v>0</v>
      </c>
      <c r="D26" s="6">
        <v>100</v>
      </c>
      <c r="E26" s="2">
        <v>19.28</v>
      </c>
      <c r="F26" s="2">
        <v>20.29</v>
      </c>
      <c r="G26" s="6">
        <v>100</v>
      </c>
      <c r="H26" s="2">
        <v>19.809999000000001</v>
      </c>
      <c r="I26" s="6">
        <v>0</v>
      </c>
      <c r="J26" s="6" t="s">
        <v>430</v>
      </c>
    </row>
    <row r="27" spans="1:10" x14ac:dyDescent="0.25">
      <c r="A27" t="s">
        <v>32</v>
      </c>
      <c r="B27" t="s">
        <v>198</v>
      </c>
      <c r="C27" t="s">
        <v>0</v>
      </c>
      <c r="D27" s="6">
        <v>100</v>
      </c>
      <c r="E27" s="2">
        <v>19.739999999999998</v>
      </c>
      <c r="F27" s="2">
        <v>20.77</v>
      </c>
      <c r="G27" s="6">
        <v>100</v>
      </c>
      <c r="H27" s="2">
        <v>20.309999000000001</v>
      </c>
      <c r="I27" s="6">
        <v>0</v>
      </c>
      <c r="J27" s="6" t="s">
        <v>430</v>
      </c>
    </row>
    <row r="28" spans="1:10" x14ac:dyDescent="0.25">
      <c r="A28" t="s">
        <v>32</v>
      </c>
      <c r="B28" t="s">
        <v>200</v>
      </c>
      <c r="C28" t="s">
        <v>0</v>
      </c>
      <c r="D28" s="6">
        <v>100</v>
      </c>
      <c r="E28" s="2">
        <v>19.329999999999998</v>
      </c>
      <c r="F28" s="2">
        <v>20.32</v>
      </c>
      <c r="G28" s="6">
        <v>100</v>
      </c>
      <c r="H28" s="2">
        <v>19.834999</v>
      </c>
      <c r="I28" s="6">
        <v>0</v>
      </c>
      <c r="J28" s="6" t="s">
        <v>430</v>
      </c>
    </row>
    <row r="29" spans="1:10" x14ac:dyDescent="0.25">
      <c r="A29" t="s">
        <v>32</v>
      </c>
      <c r="B29" t="s">
        <v>202</v>
      </c>
      <c r="C29" t="s">
        <v>0</v>
      </c>
      <c r="D29" s="6">
        <v>400</v>
      </c>
      <c r="E29" s="2">
        <v>18.64</v>
      </c>
      <c r="F29" s="2">
        <v>20.54</v>
      </c>
      <c r="G29" s="6">
        <v>300</v>
      </c>
      <c r="H29" s="2">
        <v>19.584999</v>
      </c>
      <c r="I29" s="6">
        <v>0</v>
      </c>
      <c r="J29" s="6" t="s">
        <v>430</v>
      </c>
    </row>
    <row r="30" spans="1:10" x14ac:dyDescent="0.25">
      <c r="A30" t="s">
        <v>32</v>
      </c>
      <c r="B30" t="s">
        <v>201</v>
      </c>
      <c r="C30" t="s">
        <v>0</v>
      </c>
      <c r="D30" s="6">
        <v>600</v>
      </c>
      <c r="E30" s="2">
        <v>23.9</v>
      </c>
      <c r="F30" s="2">
        <v>25.71</v>
      </c>
      <c r="G30" s="6">
        <v>200</v>
      </c>
      <c r="H30" s="2">
        <v>24.52</v>
      </c>
      <c r="I30" s="6">
        <v>0</v>
      </c>
      <c r="J30" s="6" t="s">
        <v>430</v>
      </c>
    </row>
    <row r="31" spans="1:10" x14ac:dyDescent="0.25">
      <c r="A31" t="s">
        <v>32</v>
      </c>
      <c r="B31" t="s">
        <v>183</v>
      </c>
      <c r="C31" t="s">
        <v>0</v>
      </c>
      <c r="D31" s="6">
        <v>200</v>
      </c>
      <c r="E31" s="2">
        <v>12.11</v>
      </c>
      <c r="F31" s="2">
        <v>24.23</v>
      </c>
      <c r="G31" s="6">
        <v>1600</v>
      </c>
      <c r="H31" s="2">
        <v>24.219999000000001</v>
      </c>
      <c r="I31" s="6">
        <v>0</v>
      </c>
      <c r="J31" s="6" t="s">
        <v>430</v>
      </c>
    </row>
    <row r="32" spans="1:10" x14ac:dyDescent="0.25">
      <c r="A32" t="s">
        <v>32</v>
      </c>
      <c r="B32" t="s">
        <v>185</v>
      </c>
      <c r="C32" t="s">
        <v>0</v>
      </c>
      <c r="D32" s="6">
        <v>1600</v>
      </c>
      <c r="E32" s="2">
        <v>24.13</v>
      </c>
      <c r="F32" s="2">
        <v>27.05</v>
      </c>
      <c r="G32" s="6">
        <v>300</v>
      </c>
      <c r="H32" s="2">
        <v>24.129999000000002</v>
      </c>
      <c r="I32" s="6">
        <v>0</v>
      </c>
      <c r="J32" s="6" t="s">
        <v>430</v>
      </c>
    </row>
    <row r="33" spans="1:10" x14ac:dyDescent="0.25">
      <c r="A33" t="s">
        <v>32</v>
      </c>
      <c r="B33" t="s">
        <v>187</v>
      </c>
      <c r="C33" t="s">
        <v>0</v>
      </c>
      <c r="D33" s="6">
        <v>600</v>
      </c>
      <c r="E33" s="2">
        <v>25.01</v>
      </c>
      <c r="F33" s="2">
        <v>25.02</v>
      </c>
      <c r="G33" s="6">
        <v>100</v>
      </c>
      <c r="H33" s="2">
        <v>25.02</v>
      </c>
      <c r="I33" s="6">
        <v>0</v>
      </c>
      <c r="J33" s="6" t="s">
        <v>430</v>
      </c>
    </row>
    <row r="34" spans="1:10" x14ac:dyDescent="0.25">
      <c r="A34" t="s">
        <v>32</v>
      </c>
      <c r="B34" t="s">
        <v>189</v>
      </c>
      <c r="C34" t="s">
        <v>0</v>
      </c>
      <c r="D34" s="6">
        <v>100</v>
      </c>
      <c r="E34" s="2">
        <v>22.78</v>
      </c>
      <c r="F34" s="2">
        <v>22.79</v>
      </c>
      <c r="G34" s="6">
        <v>400</v>
      </c>
      <c r="H34" s="2">
        <v>22.790001</v>
      </c>
      <c r="I34" s="6">
        <v>0</v>
      </c>
      <c r="J34" s="6" t="s">
        <v>430</v>
      </c>
    </row>
    <row r="35" spans="1:10" x14ac:dyDescent="0.25">
      <c r="A35" t="s">
        <v>32</v>
      </c>
      <c r="B35" t="s">
        <v>191</v>
      </c>
      <c r="C35" t="s">
        <v>0</v>
      </c>
      <c r="D35" s="6">
        <v>100</v>
      </c>
      <c r="E35" s="2">
        <v>21</v>
      </c>
      <c r="F35" s="2">
        <v>21.35</v>
      </c>
      <c r="G35" s="6">
        <v>400</v>
      </c>
      <c r="H35" s="2">
        <v>21.32</v>
      </c>
      <c r="I35" s="6">
        <v>0</v>
      </c>
      <c r="J35" s="6" t="s">
        <v>430</v>
      </c>
    </row>
    <row r="36" spans="1:10" x14ac:dyDescent="0.25">
      <c r="A36" t="s">
        <v>32</v>
      </c>
      <c r="B36" t="s">
        <v>193</v>
      </c>
      <c r="C36" t="s">
        <v>0</v>
      </c>
      <c r="D36" s="6">
        <v>200</v>
      </c>
      <c r="E36" s="2">
        <v>19.95</v>
      </c>
      <c r="F36" s="2">
        <v>20.39</v>
      </c>
      <c r="G36" s="6">
        <v>100</v>
      </c>
      <c r="H36" s="2">
        <v>20.260000000000002</v>
      </c>
      <c r="I36" s="6">
        <v>0</v>
      </c>
      <c r="J36" s="6" t="s">
        <v>430</v>
      </c>
    </row>
    <row r="37" spans="1:10" x14ac:dyDescent="0.25">
      <c r="A37" t="s">
        <v>32</v>
      </c>
      <c r="B37" t="s">
        <v>195</v>
      </c>
      <c r="C37" t="s">
        <v>0</v>
      </c>
      <c r="D37" s="6">
        <v>300</v>
      </c>
      <c r="E37" s="2">
        <v>23.17</v>
      </c>
      <c r="F37" s="2">
        <v>24.97</v>
      </c>
      <c r="G37" s="6">
        <v>100</v>
      </c>
      <c r="H37" s="2">
        <v>24.35</v>
      </c>
      <c r="I37" s="6">
        <v>0</v>
      </c>
      <c r="J37" s="6" t="s">
        <v>430</v>
      </c>
    </row>
    <row r="38" spans="1:10" x14ac:dyDescent="0.25">
      <c r="A38" t="s">
        <v>32</v>
      </c>
      <c r="B38" t="s">
        <v>197</v>
      </c>
      <c r="C38" t="s">
        <v>0</v>
      </c>
      <c r="D38" s="6">
        <v>200</v>
      </c>
      <c r="E38" s="2">
        <v>24.49</v>
      </c>
      <c r="F38" s="2">
        <v>24.9</v>
      </c>
      <c r="G38" s="6">
        <v>200</v>
      </c>
      <c r="H38" s="2">
        <v>24.85</v>
      </c>
      <c r="I38" s="6">
        <v>0</v>
      </c>
      <c r="J38" s="6" t="s">
        <v>430</v>
      </c>
    </row>
    <row r="39" spans="1:10" x14ac:dyDescent="0.25">
      <c r="A39" t="s">
        <v>32</v>
      </c>
      <c r="B39" t="s">
        <v>199</v>
      </c>
      <c r="C39" t="s">
        <v>0</v>
      </c>
      <c r="D39" s="6">
        <v>100</v>
      </c>
      <c r="E39" s="2">
        <v>24.33</v>
      </c>
      <c r="F39" s="2">
        <v>26.5</v>
      </c>
      <c r="G39" s="6">
        <v>100</v>
      </c>
      <c r="H39" s="2">
        <v>25.040001</v>
      </c>
      <c r="I39" s="6">
        <v>0</v>
      </c>
      <c r="J39" s="6" t="s">
        <v>430</v>
      </c>
    </row>
    <row r="40" spans="1:10" x14ac:dyDescent="0.25">
      <c r="A40" t="s">
        <v>32</v>
      </c>
      <c r="B40" t="s">
        <v>23</v>
      </c>
      <c r="C40" t="s">
        <v>0</v>
      </c>
      <c r="D40" s="6">
        <v>1000</v>
      </c>
      <c r="E40" s="2">
        <v>89.54</v>
      </c>
      <c r="F40" s="2">
        <v>98.35</v>
      </c>
      <c r="G40" s="6">
        <v>100</v>
      </c>
      <c r="H40" s="2">
        <v>93.279999000000004</v>
      </c>
      <c r="I40" s="6">
        <v>0</v>
      </c>
      <c r="J40" s="6" t="s">
        <v>430</v>
      </c>
    </row>
    <row r="41" spans="1:10" x14ac:dyDescent="0.25">
      <c r="A41" t="s">
        <v>32</v>
      </c>
      <c r="B41" t="s">
        <v>20</v>
      </c>
      <c r="C41" t="s">
        <v>0</v>
      </c>
      <c r="D41" s="6">
        <v>300</v>
      </c>
      <c r="E41" s="2">
        <v>26.61</v>
      </c>
      <c r="F41" s="2">
        <v>29.33</v>
      </c>
      <c r="G41" s="6">
        <v>200</v>
      </c>
      <c r="H41" s="2">
        <v>27.969999000000001</v>
      </c>
      <c r="I41" s="6">
        <v>0</v>
      </c>
      <c r="J41" s="6" t="s">
        <v>430</v>
      </c>
    </row>
    <row r="42" spans="1:10" x14ac:dyDescent="0.25">
      <c r="A42" t="s">
        <v>32</v>
      </c>
      <c r="B42" t="s">
        <v>21</v>
      </c>
      <c r="C42" t="s">
        <v>0</v>
      </c>
      <c r="D42" s="6">
        <v>400</v>
      </c>
      <c r="E42" s="2">
        <v>49.31</v>
      </c>
      <c r="F42" s="2">
        <v>49.38</v>
      </c>
      <c r="G42" s="6">
        <v>400</v>
      </c>
      <c r="H42" s="2">
        <v>49.5</v>
      </c>
      <c r="I42" s="6">
        <v>0</v>
      </c>
      <c r="J42" s="6" t="s">
        <v>430</v>
      </c>
    </row>
    <row r="43" spans="1:10" x14ac:dyDescent="0.25">
      <c r="A43" t="s">
        <v>32</v>
      </c>
      <c r="B43" t="s">
        <v>22</v>
      </c>
      <c r="C43" t="s">
        <v>0</v>
      </c>
      <c r="D43" s="6">
        <v>1000</v>
      </c>
      <c r="E43" s="2">
        <v>72</v>
      </c>
      <c r="F43" s="2">
        <v>74.88</v>
      </c>
      <c r="G43" s="6">
        <v>100</v>
      </c>
      <c r="H43" s="2">
        <v>74.035399999999996</v>
      </c>
      <c r="I43" s="6">
        <v>0</v>
      </c>
      <c r="J43" s="6" t="s">
        <v>430</v>
      </c>
    </row>
    <row r="44" spans="1:10" x14ac:dyDescent="0.25">
      <c r="A44" t="s">
        <v>32</v>
      </c>
      <c r="B44" t="s">
        <v>146</v>
      </c>
      <c r="C44" t="s">
        <v>0</v>
      </c>
      <c r="D44" s="6">
        <v>3100</v>
      </c>
      <c r="E44" s="2">
        <v>97.46</v>
      </c>
      <c r="F44" s="2">
        <v>99.12</v>
      </c>
      <c r="G44" s="6">
        <v>3000</v>
      </c>
      <c r="H44" s="2">
        <v>99.830001999999993</v>
      </c>
      <c r="I44" s="6">
        <v>0</v>
      </c>
      <c r="J44" s="6" t="s">
        <v>430</v>
      </c>
    </row>
    <row r="45" spans="1:10" x14ac:dyDescent="0.25">
      <c r="A45" t="s">
        <v>32</v>
      </c>
      <c r="B45" t="s">
        <v>147</v>
      </c>
      <c r="C45" t="s">
        <v>0</v>
      </c>
      <c r="D45" s="6">
        <v>3100</v>
      </c>
      <c r="E45" s="2">
        <v>98.23</v>
      </c>
      <c r="F45" s="2">
        <v>99.9</v>
      </c>
      <c r="G45" s="6">
        <v>3000</v>
      </c>
      <c r="H45" s="2">
        <v>100.779999</v>
      </c>
      <c r="I45" s="6">
        <v>0</v>
      </c>
      <c r="J45" s="6" t="s">
        <v>430</v>
      </c>
    </row>
    <row r="46" spans="1:10" x14ac:dyDescent="0.25">
      <c r="A46" t="s">
        <v>32</v>
      </c>
      <c r="B46" t="s">
        <v>149</v>
      </c>
      <c r="C46" t="s">
        <v>0</v>
      </c>
      <c r="D46" s="6">
        <v>2000</v>
      </c>
      <c r="E46" s="2">
        <v>375.38</v>
      </c>
      <c r="F46" s="2">
        <v>381.18</v>
      </c>
      <c r="G46" s="6">
        <v>2300</v>
      </c>
      <c r="H46" s="2">
        <v>384.23001099999999</v>
      </c>
      <c r="I46" s="6">
        <v>0</v>
      </c>
      <c r="J46" s="6" t="s">
        <v>430</v>
      </c>
    </row>
    <row r="47" spans="1:10" x14ac:dyDescent="0.25">
      <c r="A47" t="s">
        <v>32</v>
      </c>
      <c r="B47" t="s">
        <v>148</v>
      </c>
      <c r="C47" t="s">
        <v>0</v>
      </c>
      <c r="D47" s="6">
        <v>2000</v>
      </c>
      <c r="E47" s="2">
        <v>112.76</v>
      </c>
      <c r="F47" s="2">
        <v>113.12</v>
      </c>
      <c r="G47" s="6">
        <v>200</v>
      </c>
      <c r="H47" s="2">
        <v>115.010002</v>
      </c>
      <c r="I47" s="6">
        <v>0</v>
      </c>
      <c r="J47" s="6" t="s">
        <v>430</v>
      </c>
    </row>
    <row r="48" spans="1:10" x14ac:dyDescent="0.25">
      <c r="A48" t="s">
        <v>32</v>
      </c>
      <c r="B48" t="s">
        <v>38</v>
      </c>
      <c r="C48" t="s">
        <v>0</v>
      </c>
      <c r="D48" s="6">
        <v>400</v>
      </c>
      <c r="E48" s="2">
        <v>90</v>
      </c>
      <c r="F48" s="2">
        <v>92.8</v>
      </c>
      <c r="G48" s="6">
        <v>300</v>
      </c>
      <c r="H48" s="2">
        <v>91.849997999999999</v>
      </c>
      <c r="I48" s="6">
        <v>0</v>
      </c>
      <c r="J48" s="6" t="s">
        <v>430</v>
      </c>
    </row>
    <row r="49" spans="1:10" x14ac:dyDescent="0.25">
      <c r="A49" t="s">
        <v>32</v>
      </c>
      <c r="B49" t="s">
        <v>48</v>
      </c>
      <c r="C49" t="s">
        <v>0</v>
      </c>
      <c r="D49" s="6">
        <v>100</v>
      </c>
      <c r="E49" s="2">
        <v>62.77</v>
      </c>
      <c r="F49" s="2">
        <v>64.58</v>
      </c>
      <c r="G49" s="6">
        <v>300</v>
      </c>
      <c r="H49" s="2">
        <v>63.82</v>
      </c>
      <c r="I49" s="6">
        <v>0</v>
      </c>
      <c r="J49" s="6" t="s">
        <v>430</v>
      </c>
    </row>
    <row r="50" spans="1:10" x14ac:dyDescent="0.25">
      <c r="A50" t="s">
        <v>32</v>
      </c>
      <c r="B50" t="s">
        <v>80</v>
      </c>
      <c r="C50" t="s">
        <v>0</v>
      </c>
      <c r="D50" s="6">
        <v>8000</v>
      </c>
      <c r="E50" s="2">
        <v>37.49</v>
      </c>
      <c r="F50" s="2">
        <v>38.619999999999997</v>
      </c>
      <c r="G50" s="6">
        <v>7800</v>
      </c>
      <c r="H50" s="2">
        <v>36.990001999999997</v>
      </c>
      <c r="I50" s="6">
        <v>0</v>
      </c>
      <c r="J50" s="6" t="s">
        <v>430</v>
      </c>
    </row>
    <row r="51" spans="1:10" x14ac:dyDescent="0.25">
      <c r="A51" t="s">
        <v>32</v>
      </c>
      <c r="B51" t="s">
        <v>81</v>
      </c>
      <c r="C51" t="s">
        <v>0</v>
      </c>
      <c r="D51" s="6">
        <v>4200</v>
      </c>
      <c r="E51" s="2">
        <v>72.069999999999993</v>
      </c>
      <c r="F51" s="2">
        <v>74.19</v>
      </c>
      <c r="G51" s="6">
        <v>4000</v>
      </c>
      <c r="H51" s="2">
        <v>71.050003000000004</v>
      </c>
      <c r="I51" s="6">
        <v>0</v>
      </c>
      <c r="J51" s="6" t="s">
        <v>430</v>
      </c>
    </row>
    <row r="52" spans="1:10" x14ac:dyDescent="0.25">
      <c r="A52" t="s">
        <v>32</v>
      </c>
      <c r="B52" t="s">
        <v>82</v>
      </c>
      <c r="C52" t="s">
        <v>0</v>
      </c>
      <c r="D52" s="6">
        <v>2300</v>
      </c>
      <c r="E52" s="2">
        <v>190.77</v>
      </c>
      <c r="F52" s="2">
        <v>193.68</v>
      </c>
      <c r="G52" s="6">
        <v>500</v>
      </c>
      <c r="H52" s="2">
        <v>187.96000699999999</v>
      </c>
      <c r="I52" s="6">
        <v>0</v>
      </c>
      <c r="J52" s="6" t="s">
        <v>430</v>
      </c>
    </row>
    <row r="53" spans="1:10" x14ac:dyDescent="0.25">
      <c r="A53" t="s">
        <v>32</v>
      </c>
      <c r="B53" t="s">
        <v>83</v>
      </c>
      <c r="C53" t="s">
        <v>0</v>
      </c>
      <c r="D53" s="6">
        <v>6600</v>
      </c>
      <c r="E53" s="2">
        <v>69.33</v>
      </c>
      <c r="F53" s="2">
        <v>69.39</v>
      </c>
      <c r="G53" s="6">
        <v>300</v>
      </c>
      <c r="H53" s="2">
        <v>67.569999999999993</v>
      </c>
      <c r="I53" s="6">
        <v>0</v>
      </c>
      <c r="J53" s="6" t="s">
        <v>430</v>
      </c>
    </row>
    <row r="54" spans="1:10" x14ac:dyDescent="0.25">
      <c r="A54" t="s">
        <v>32</v>
      </c>
      <c r="B54" t="s">
        <v>33</v>
      </c>
      <c r="C54" t="s">
        <v>0</v>
      </c>
      <c r="D54" s="6">
        <v>1700</v>
      </c>
      <c r="E54" s="2">
        <v>27.38</v>
      </c>
      <c r="F54" s="2">
        <v>28.7</v>
      </c>
      <c r="G54" s="6">
        <v>100</v>
      </c>
      <c r="H54" s="2">
        <v>27.530000999999999</v>
      </c>
      <c r="I54" s="6">
        <v>0</v>
      </c>
      <c r="J54" s="6" t="s">
        <v>430</v>
      </c>
    </row>
    <row r="55" spans="1:10" x14ac:dyDescent="0.25">
      <c r="A55" t="s">
        <v>32</v>
      </c>
      <c r="B55" t="s">
        <v>39</v>
      </c>
      <c r="C55" t="s">
        <v>0</v>
      </c>
      <c r="D55" s="6">
        <v>500</v>
      </c>
      <c r="E55" s="2">
        <v>25.5</v>
      </c>
      <c r="F55" s="2">
        <v>26</v>
      </c>
      <c r="G55" s="6">
        <v>1900</v>
      </c>
      <c r="H55" s="2">
        <v>25.780000999999999</v>
      </c>
      <c r="I55" s="6">
        <v>0</v>
      </c>
      <c r="J55" s="6" t="s">
        <v>430</v>
      </c>
    </row>
    <row r="56" spans="1:10" x14ac:dyDescent="0.25">
      <c r="A56" t="s">
        <v>32</v>
      </c>
      <c r="B56" t="s">
        <v>113</v>
      </c>
      <c r="C56" t="s">
        <v>0</v>
      </c>
      <c r="D56" s="6">
        <v>3800</v>
      </c>
      <c r="E56" s="2">
        <v>78.41</v>
      </c>
      <c r="F56" s="2">
        <v>80.010000000000005</v>
      </c>
      <c r="G56" s="6">
        <v>3700</v>
      </c>
      <c r="H56" s="2">
        <v>80.180000000000007</v>
      </c>
      <c r="I56" s="6">
        <v>0</v>
      </c>
      <c r="J56" s="6" t="s">
        <v>430</v>
      </c>
    </row>
    <row r="57" spans="1:10" x14ac:dyDescent="0.25">
      <c r="A57" t="s">
        <v>32</v>
      </c>
      <c r="B57" t="s">
        <v>84</v>
      </c>
      <c r="C57" t="s">
        <v>0</v>
      </c>
      <c r="D57" s="6">
        <v>2300</v>
      </c>
      <c r="E57" s="2">
        <v>129.16</v>
      </c>
      <c r="F57" s="2">
        <v>131.71</v>
      </c>
      <c r="G57" s="6">
        <v>2300</v>
      </c>
      <c r="H57" s="2">
        <v>131.71000699999999</v>
      </c>
      <c r="I57" s="6">
        <v>3400</v>
      </c>
      <c r="J57" s="6" t="s">
        <v>430</v>
      </c>
    </row>
    <row r="58" spans="1:10" x14ac:dyDescent="0.25">
      <c r="A58" t="s">
        <v>32</v>
      </c>
      <c r="B58" t="s">
        <v>85</v>
      </c>
      <c r="C58" t="s">
        <v>0</v>
      </c>
      <c r="D58" s="6">
        <v>2200</v>
      </c>
      <c r="E58" s="2">
        <v>134.78</v>
      </c>
      <c r="F58" s="2">
        <v>137.44999999999999</v>
      </c>
      <c r="G58" s="6">
        <v>2200</v>
      </c>
      <c r="H58" s="2">
        <v>137.66000399999999</v>
      </c>
      <c r="I58" s="6">
        <v>0</v>
      </c>
      <c r="J58" s="6" t="s">
        <v>430</v>
      </c>
    </row>
    <row r="59" spans="1:10" x14ac:dyDescent="0.25">
      <c r="A59" t="s">
        <v>32</v>
      </c>
      <c r="B59" t="s">
        <v>86</v>
      </c>
      <c r="C59" t="s">
        <v>0</v>
      </c>
      <c r="D59" s="6">
        <v>1500</v>
      </c>
      <c r="E59" s="2">
        <v>55.88</v>
      </c>
      <c r="F59" s="2">
        <v>55.94</v>
      </c>
      <c r="G59" s="6">
        <v>3500</v>
      </c>
      <c r="H59" s="2">
        <v>56.650002000000001</v>
      </c>
      <c r="I59" s="6">
        <v>-8041</v>
      </c>
      <c r="J59" s="6" t="s">
        <v>430</v>
      </c>
    </row>
    <row r="60" spans="1:10" x14ac:dyDescent="0.25">
      <c r="A60" t="s">
        <v>32</v>
      </c>
      <c r="B60" t="s">
        <v>141</v>
      </c>
      <c r="C60" t="s">
        <v>0</v>
      </c>
      <c r="D60" s="6">
        <v>100</v>
      </c>
      <c r="E60" s="2">
        <v>59</v>
      </c>
      <c r="F60" s="2">
        <v>62</v>
      </c>
      <c r="G60" s="6">
        <v>200</v>
      </c>
      <c r="H60" s="2">
        <v>60.82</v>
      </c>
      <c r="I60" s="6">
        <v>0</v>
      </c>
      <c r="J60" s="6" t="s">
        <v>430</v>
      </c>
    </row>
    <row r="61" spans="1:10" x14ac:dyDescent="0.25">
      <c r="A61" t="s">
        <v>32</v>
      </c>
      <c r="B61" t="s">
        <v>142</v>
      </c>
      <c r="C61" t="s">
        <v>0</v>
      </c>
      <c r="D61" s="6">
        <v>500</v>
      </c>
      <c r="E61" s="2">
        <v>66.27</v>
      </c>
      <c r="F61" s="2">
        <v>70</v>
      </c>
      <c r="G61" s="6">
        <v>200</v>
      </c>
      <c r="H61" s="2">
        <v>68.269997000000004</v>
      </c>
      <c r="I61" s="6">
        <v>0</v>
      </c>
      <c r="J61" s="6" t="s">
        <v>430</v>
      </c>
    </row>
    <row r="62" spans="1:10" x14ac:dyDescent="0.25">
      <c r="A62" t="s">
        <v>32</v>
      </c>
      <c r="B62" t="s">
        <v>139</v>
      </c>
      <c r="C62" t="s">
        <v>0</v>
      </c>
      <c r="D62" s="6">
        <v>200</v>
      </c>
      <c r="E62" s="2">
        <v>317.2</v>
      </c>
      <c r="F62" s="2">
        <v>317.42</v>
      </c>
      <c r="G62" s="6">
        <v>600</v>
      </c>
      <c r="H62" s="2">
        <v>320.76001000000002</v>
      </c>
      <c r="I62" s="6">
        <v>0</v>
      </c>
      <c r="J62" s="6" t="s">
        <v>430</v>
      </c>
    </row>
    <row r="63" spans="1:10" x14ac:dyDescent="0.25">
      <c r="A63" t="s">
        <v>32</v>
      </c>
      <c r="B63" t="s">
        <v>140</v>
      </c>
      <c r="C63" t="s">
        <v>0</v>
      </c>
      <c r="D63" s="6">
        <v>100</v>
      </c>
      <c r="E63" s="2">
        <v>320.3</v>
      </c>
      <c r="F63" s="2">
        <v>320.45999999999998</v>
      </c>
      <c r="G63" s="6">
        <v>3700</v>
      </c>
      <c r="H63" s="2">
        <v>324.22000100000002</v>
      </c>
      <c r="I63" s="6">
        <v>0</v>
      </c>
      <c r="J63" s="6" t="s">
        <v>430</v>
      </c>
    </row>
    <row r="64" spans="1:10" x14ac:dyDescent="0.25">
      <c r="A64" t="s">
        <v>32</v>
      </c>
      <c r="B64" t="s">
        <v>87</v>
      </c>
      <c r="C64" t="s">
        <v>0</v>
      </c>
      <c r="D64" s="6">
        <v>3500</v>
      </c>
      <c r="E64" s="2">
        <v>85.23</v>
      </c>
      <c r="F64" s="2">
        <v>86.69</v>
      </c>
      <c r="G64" s="6">
        <v>3500</v>
      </c>
      <c r="H64" s="2">
        <v>86.949996999999996</v>
      </c>
      <c r="I64" s="6">
        <v>0</v>
      </c>
      <c r="J64" s="6" t="s">
        <v>430</v>
      </c>
    </row>
    <row r="65" spans="1:10" x14ac:dyDescent="0.25">
      <c r="A65" t="s">
        <v>32</v>
      </c>
      <c r="B65" t="s">
        <v>88</v>
      </c>
      <c r="C65" t="s">
        <v>0</v>
      </c>
      <c r="D65" s="6">
        <v>4000</v>
      </c>
      <c r="E65" s="2">
        <v>74.72</v>
      </c>
      <c r="F65" s="2">
        <v>75.38</v>
      </c>
      <c r="G65" s="6">
        <v>100</v>
      </c>
      <c r="H65" s="2">
        <v>76.220000999999996</v>
      </c>
      <c r="I65" s="6">
        <v>3304</v>
      </c>
      <c r="J65" s="6" t="s">
        <v>430</v>
      </c>
    </row>
    <row r="66" spans="1:10" x14ac:dyDescent="0.25">
      <c r="A66" t="s">
        <v>32</v>
      </c>
      <c r="B66" t="s">
        <v>89</v>
      </c>
      <c r="C66" t="s">
        <v>0</v>
      </c>
      <c r="D66" s="6">
        <v>2200</v>
      </c>
      <c r="E66" s="2">
        <v>331.34</v>
      </c>
      <c r="F66" s="2">
        <v>335.18</v>
      </c>
      <c r="G66" s="6">
        <v>2200</v>
      </c>
      <c r="H66" s="2">
        <v>336.26001000000002</v>
      </c>
      <c r="I66" s="6">
        <v>0</v>
      </c>
      <c r="J66" s="6" t="s">
        <v>430</v>
      </c>
    </row>
    <row r="67" spans="1:10" x14ac:dyDescent="0.25">
      <c r="A67" t="s">
        <v>32</v>
      </c>
      <c r="B67" t="s">
        <v>90</v>
      </c>
      <c r="C67" t="s">
        <v>0</v>
      </c>
      <c r="D67" s="6">
        <v>2400</v>
      </c>
      <c r="E67" s="2">
        <v>178.68</v>
      </c>
      <c r="F67" s="2">
        <v>179.88</v>
      </c>
      <c r="G67" s="6">
        <v>2300</v>
      </c>
      <c r="H67" s="2">
        <v>181.300003</v>
      </c>
      <c r="I67" s="6">
        <v>-1400</v>
      </c>
      <c r="J67" s="6" t="s">
        <v>430</v>
      </c>
    </row>
    <row r="68" spans="1:10" x14ac:dyDescent="0.25">
      <c r="A68" t="s">
        <v>32</v>
      </c>
      <c r="B68" t="s">
        <v>145</v>
      </c>
      <c r="C68" t="s">
        <v>0</v>
      </c>
      <c r="D68" s="6">
        <v>100</v>
      </c>
      <c r="E68" s="2">
        <v>285</v>
      </c>
      <c r="F68" s="2">
        <v>299.25</v>
      </c>
      <c r="G68" s="6">
        <v>22900</v>
      </c>
      <c r="H68" s="2">
        <v>300.01998900000001</v>
      </c>
      <c r="I68" s="6">
        <v>0</v>
      </c>
      <c r="J68" s="6" t="s">
        <v>430</v>
      </c>
    </row>
    <row r="69" spans="1:10" x14ac:dyDescent="0.25">
      <c r="A69" t="s">
        <v>32</v>
      </c>
      <c r="B69" t="s">
        <v>154</v>
      </c>
      <c r="C69" t="s">
        <v>0</v>
      </c>
      <c r="D69" s="6">
        <v>100</v>
      </c>
      <c r="E69" s="2">
        <v>213.86</v>
      </c>
      <c r="F69" s="2">
        <v>238.93</v>
      </c>
      <c r="G69" s="6">
        <v>100</v>
      </c>
      <c r="H69" s="2">
        <v>228.60000600000001</v>
      </c>
      <c r="I69" s="6">
        <v>0</v>
      </c>
      <c r="J69" s="6" t="s">
        <v>430</v>
      </c>
    </row>
    <row r="70" spans="1:10" x14ac:dyDescent="0.25">
      <c r="A70" t="s">
        <v>32</v>
      </c>
      <c r="B70" t="s">
        <v>15</v>
      </c>
      <c r="C70" t="s">
        <v>0</v>
      </c>
      <c r="D70" s="6">
        <v>700</v>
      </c>
      <c r="E70" s="2">
        <v>77.040000000000006</v>
      </c>
      <c r="F70" s="2">
        <v>77.099999999999994</v>
      </c>
      <c r="G70" s="6">
        <v>5000</v>
      </c>
      <c r="H70" s="2">
        <v>77.099997999999999</v>
      </c>
      <c r="I70" s="6">
        <v>0</v>
      </c>
      <c r="J70" s="6" t="s">
        <v>430</v>
      </c>
    </row>
    <row r="71" spans="1:10" x14ac:dyDescent="0.25">
      <c r="A71" t="s">
        <v>32</v>
      </c>
      <c r="B71" t="s">
        <v>13</v>
      </c>
      <c r="C71" t="s">
        <v>0</v>
      </c>
      <c r="D71" s="6">
        <v>300</v>
      </c>
      <c r="E71" s="2">
        <v>34.799999999999997</v>
      </c>
      <c r="F71" s="2">
        <v>35.71</v>
      </c>
      <c r="G71" s="6">
        <v>1300</v>
      </c>
      <c r="H71" s="2">
        <v>35.150002000000001</v>
      </c>
      <c r="I71" s="6">
        <v>0</v>
      </c>
      <c r="J71" s="6" t="s">
        <v>430</v>
      </c>
    </row>
    <row r="72" spans="1:10" x14ac:dyDescent="0.25">
      <c r="A72" t="s">
        <v>32</v>
      </c>
      <c r="B72" t="s">
        <v>16</v>
      </c>
      <c r="C72" t="s">
        <v>0</v>
      </c>
      <c r="D72" s="6">
        <v>300</v>
      </c>
      <c r="E72" s="2">
        <v>92.31</v>
      </c>
      <c r="F72" s="2">
        <v>93.5</v>
      </c>
      <c r="G72" s="6">
        <v>200</v>
      </c>
      <c r="H72" s="2">
        <v>92.510002</v>
      </c>
      <c r="I72" s="6">
        <v>0</v>
      </c>
      <c r="J72" s="6" t="s">
        <v>430</v>
      </c>
    </row>
    <row r="73" spans="1:10" x14ac:dyDescent="0.25">
      <c r="A73" t="s">
        <v>32</v>
      </c>
      <c r="B73" t="s">
        <v>12</v>
      </c>
      <c r="C73" t="s">
        <v>0</v>
      </c>
      <c r="D73" s="6">
        <v>100</v>
      </c>
      <c r="E73" s="2">
        <v>25.06</v>
      </c>
      <c r="F73" s="2">
        <v>25.23</v>
      </c>
      <c r="G73" s="6">
        <v>100</v>
      </c>
      <c r="H73" s="2">
        <v>25.15</v>
      </c>
      <c r="I73" s="6">
        <v>0</v>
      </c>
      <c r="J73" s="6" t="s">
        <v>430</v>
      </c>
    </row>
    <row r="74" spans="1:10" x14ac:dyDescent="0.25">
      <c r="A74" t="s">
        <v>32</v>
      </c>
      <c r="B74" t="s">
        <v>11</v>
      </c>
      <c r="C74" t="s">
        <v>0</v>
      </c>
      <c r="D74" s="6">
        <v>400</v>
      </c>
      <c r="E74" s="2">
        <v>22.45</v>
      </c>
      <c r="F74" s="2">
        <v>22.5</v>
      </c>
      <c r="G74" s="6">
        <v>300</v>
      </c>
      <c r="H74" s="2">
        <v>22.5</v>
      </c>
      <c r="I74" s="6">
        <v>0</v>
      </c>
      <c r="J74" s="6" t="s">
        <v>430</v>
      </c>
    </row>
    <row r="75" spans="1:10" x14ac:dyDescent="0.25">
      <c r="A75" t="s">
        <v>32</v>
      </c>
      <c r="B75" t="s">
        <v>14</v>
      </c>
      <c r="C75" t="s">
        <v>0</v>
      </c>
      <c r="D75" s="6">
        <v>1000</v>
      </c>
      <c r="E75" s="2">
        <v>35.4</v>
      </c>
      <c r="F75" s="2">
        <v>35.78</v>
      </c>
      <c r="G75" s="6">
        <v>2000</v>
      </c>
      <c r="H75" s="2">
        <v>35.580002</v>
      </c>
      <c r="I75" s="6">
        <v>0</v>
      </c>
      <c r="J75" s="6" t="s">
        <v>430</v>
      </c>
    </row>
    <row r="76" spans="1:10" x14ac:dyDescent="0.25">
      <c r="A76" t="s">
        <v>32</v>
      </c>
      <c r="B76" t="s">
        <v>237</v>
      </c>
      <c r="C76" t="s">
        <v>0</v>
      </c>
      <c r="D76" s="6">
        <v>4000</v>
      </c>
      <c r="E76" s="2">
        <v>22.75</v>
      </c>
      <c r="F76" s="2">
        <v>22.77</v>
      </c>
      <c r="G76" s="6">
        <v>600</v>
      </c>
      <c r="H76" s="2">
        <v>22.754999000000002</v>
      </c>
      <c r="I76" s="6">
        <v>0</v>
      </c>
      <c r="J76" s="6" t="s">
        <v>430</v>
      </c>
    </row>
    <row r="77" spans="1:10" x14ac:dyDescent="0.25">
      <c r="A77" t="s">
        <v>32</v>
      </c>
      <c r="B77" t="s">
        <v>239</v>
      </c>
      <c r="C77" t="s">
        <v>0</v>
      </c>
      <c r="D77" s="6">
        <v>3200</v>
      </c>
      <c r="E77" s="2">
        <v>22.14</v>
      </c>
      <c r="F77" s="2">
        <v>22.16</v>
      </c>
      <c r="G77" s="6">
        <v>3600</v>
      </c>
      <c r="H77" s="2">
        <v>22.145099999999999</v>
      </c>
      <c r="I77" s="6">
        <v>0</v>
      </c>
      <c r="J77" s="6" t="s">
        <v>430</v>
      </c>
    </row>
    <row r="78" spans="1:10" x14ac:dyDescent="0.25">
      <c r="A78" t="s">
        <v>32</v>
      </c>
      <c r="B78" t="s">
        <v>241</v>
      </c>
      <c r="C78" t="s">
        <v>0</v>
      </c>
      <c r="D78" s="6">
        <v>7000</v>
      </c>
      <c r="E78" s="2">
        <v>21.38</v>
      </c>
      <c r="F78" s="2">
        <v>21.75</v>
      </c>
      <c r="G78" s="6">
        <v>100</v>
      </c>
      <c r="H78" s="2">
        <v>21.469999000000001</v>
      </c>
      <c r="I78" s="6">
        <v>0</v>
      </c>
      <c r="J78" s="6" t="s">
        <v>430</v>
      </c>
    </row>
    <row r="79" spans="1:10" x14ac:dyDescent="0.25">
      <c r="A79" t="s">
        <v>32</v>
      </c>
      <c r="B79" t="s">
        <v>243</v>
      </c>
      <c r="C79" t="s">
        <v>0</v>
      </c>
      <c r="D79" s="6">
        <v>100</v>
      </c>
      <c r="E79" s="2">
        <v>20.12</v>
      </c>
      <c r="F79" s="2">
        <v>20.65</v>
      </c>
      <c r="G79" s="6">
        <v>5200</v>
      </c>
      <c r="H79" s="2">
        <v>20.65</v>
      </c>
      <c r="I79" s="6">
        <v>0</v>
      </c>
      <c r="J79" s="6" t="s">
        <v>430</v>
      </c>
    </row>
    <row r="80" spans="1:10" x14ac:dyDescent="0.25">
      <c r="A80" t="s">
        <v>32</v>
      </c>
      <c r="B80" t="s">
        <v>245</v>
      </c>
      <c r="C80" t="s">
        <v>0</v>
      </c>
      <c r="D80" s="6">
        <v>300</v>
      </c>
      <c r="E80" s="2">
        <v>23.64</v>
      </c>
      <c r="F80" s="2">
        <v>25.2</v>
      </c>
      <c r="G80" s="6">
        <v>100</v>
      </c>
      <c r="H80" s="2">
        <v>24.84</v>
      </c>
      <c r="I80" s="6">
        <v>0</v>
      </c>
      <c r="J80" s="6" t="s">
        <v>430</v>
      </c>
    </row>
    <row r="81" spans="1:10" x14ac:dyDescent="0.25">
      <c r="A81" t="s">
        <v>32</v>
      </c>
      <c r="B81" t="s">
        <v>247</v>
      </c>
      <c r="C81" t="s">
        <v>0</v>
      </c>
      <c r="D81" s="6">
        <v>100</v>
      </c>
      <c r="E81" s="2">
        <v>24.6</v>
      </c>
      <c r="F81" s="2">
        <v>25.2</v>
      </c>
      <c r="G81" s="6">
        <v>100</v>
      </c>
      <c r="H81" s="2">
        <v>24.790001</v>
      </c>
      <c r="I81" s="6">
        <v>0</v>
      </c>
      <c r="J81" s="6" t="s">
        <v>430</v>
      </c>
    </row>
    <row r="82" spans="1:10" x14ac:dyDescent="0.25">
      <c r="A82" t="s">
        <v>32</v>
      </c>
      <c r="B82" t="s">
        <v>249</v>
      </c>
      <c r="C82" t="s">
        <v>0</v>
      </c>
      <c r="D82" s="6">
        <v>300</v>
      </c>
      <c r="E82" s="2">
        <v>23.03</v>
      </c>
      <c r="F82" s="2">
        <v>25.37</v>
      </c>
      <c r="G82" s="6">
        <v>200</v>
      </c>
      <c r="H82" s="2">
        <v>24.195</v>
      </c>
      <c r="I82" s="6">
        <v>0</v>
      </c>
      <c r="J82" s="6" t="s">
        <v>430</v>
      </c>
    </row>
    <row r="83" spans="1:10" x14ac:dyDescent="0.25">
      <c r="A83" t="s">
        <v>32</v>
      </c>
      <c r="B83" t="s">
        <v>238</v>
      </c>
      <c r="C83" t="s">
        <v>0</v>
      </c>
      <c r="D83" s="6">
        <v>100</v>
      </c>
      <c r="E83" s="2">
        <v>22.25</v>
      </c>
      <c r="F83" s="2">
        <v>22.55</v>
      </c>
      <c r="G83" s="6">
        <v>100</v>
      </c>
      <c r="H83" s="2">
        <v>22.52</v>
      </c>
      <c r="I83" s="6">
        <v>0</v>
      </c>
      <c r="J83" s="6" t="s">
        <v>430</v>
      </c>
    </row>
    <row r="84" spans="1:10" x14ac:dyDescent="0.25">
      <c r="A84" t="s">
        <v>32</v>
      </c>
      <c r="B84" t="s">
        <v>240</v>
      </c>
      <c r="C84" t="s">
        <v>0</v>
      </c>
      <c r="D84" s="6">
        <v>100</v>
      </c>
      <c r="E84" s="2">
        <v>21.56</v>
      </c>
      <c r="F84" s="2">
        <v>21.8</v>
      </c>
      <c r="G84" s="6">
        <v>200</v>
      </c>
      <c r="H84" s="2">
        <v>21.764999</v>
      </c>
      <c r="I84" s="6">
        <v>0</v>
      </c>
      <c r="J84" s="6" t="s">
        <v>430</v>
      </c>
    </row>
    <row r="85" spans="1:10" x14ac:dyDescent="0.25">
      <c r="A85" t="s">
        <v>32</v>
      </c>
      <c r="B85" t="s">
        <v>242</v>
      </c>
      <c r="C85" t="s">
        <v>0</v>
      </c>
      <c r="D85" s="6">
        <v>1000</v>
      </c>
      <c r="E85" s="2">
        <v>23.12</v>
      </c>
      <c r="F85" s="2">
        <v>23.37</v>
      </c>
      <c r="G85" s="6">
        <v>100</v>
      </c>
      <c r="H85" s="2">
        <v>23.16</v>
      </c>
      <c r="I85" s="6">
        <v>0</v>
      </c>
      <c r="J85" s="6" t="s">
        <v>430</v>
      </c>
    </row>
    <row r="86" spans="1:10" x14ac:dyDescent="0.25">
      <c r="A86" t="s">
        <v>32</v>
      </c>
      <c r="B86" t="s">
        <v>244</v>
      </c>
      <c r="C86" t="s">
        <v>0</v>
      </c>
      <c r="D86" s="6">
        <v>100</v>
      </c>
      <c r="E86" s="2">
        <v>22.61</v>
      </c>
      <c r="F86" s="2">
        <v>23</v>
      </c>
      <c r="G86" s="6">
        <v>1000</v>
      </c>
      <c r="H86" s="2">
        <v>22.82</v>
      </c>
      <c r="I86" s="6">
        <v>0</v>
      </c>
      <c r="J86" s="6" t="s">
        <v>430</v>
      </c>
    </row>
    <row r="87" spans="1:10" x14ac:dyDescent="0.25">
      <c r="A87" t="s">
        <v>32</v>
      </c>
      <c r="B87" t="s">
        <v>246</v>
      </c>
      <c r="C87" t="s">
        <v>0</v>
      </c>
      <c r="D87" s="6">
        <v>100</v>
      </c>
      <c r="E87" s="2">
        <v>25.4</v>
      </c>
      <c r="F87" s="2">
        <v>25.82</v>
      </c>
      <c r="G87" s="6">
        <v>100</v>
      </c>
      <c r="H87" s="2">
        <v>25.559999000000001</v>
      </c>
      <c r="I87" s="6">
        <v>0</v>
      </c>
      <c r="J87" s="6" t="s">
        <v>430</v>
      </c>
    </row>
    <row r="88" spans="1:10" x14ac:dyDescent="0.25">
      <c r="A88" t="s">
        <v>32</v>
      </c>
      <c r="B88" t="s">
        <v>248</v>
      </c>
      <c r="C88" t="s">
        <v>0</v>
      </c>
      <c r="D88" s="6">
        <v>100</v>
      </c>
      <c r="E88" s="2">
        <v>24.25</v>
      </c>
      <c r="F88" s="2">
        <v>24.75</v>
      </c>
      <c r="G88" s="6">
        <v>100</v>
      </c>
      <c r="H88" s="2">
        <v>24.409599</v>
      </c>
      <c r="I88" s="6">
        <v>0</v>
      </c>
      <c r="J88" s="6" t="s">
        <v>430</v>
      </c>
    </row>
    <row r="89" spans="1:10" x14ac:dyDescent="0.25">
      <c r="A89" t="s">
        <v>32</v>
      </c>
      <c r="B89" t="s">
        <v>250</v>
      </c>
      <c r="C89" t="s">
        <v>0</v>
      </c>
      <c r="D89" s="6">
        <v>300</v>
      </c>
      <c r="E89" s="2">
        <v>21.31</v>
      </c>
      <c r="F89" s="2">
        <v>26.7</v>
      </c>
      <c r="G89" s="6">
        <v>100</v>
      </c>
      <c r="H89" s="2">
        <v>24.309999000000001</v>
      </c>
      <c r="I89" s="6">
        <v>0</v>
      </c>
      <c r="J89" s="6" t="s">
        <v>430</v>
      </c>
    </row>
    <row r="90" spans="1:10" x14ac:dyDescent="0.25">
      <c r="A90" t="s">
        <v>32</v>
      </c>
      <c r="B90" t="s">
        <v>91</v>
      </c>
      <c r="C90" t="s">
        <v>0</v>
      </c>
      <c r="D90" s="6">
        <v>3500</v>
      </c>
      <c r="E90" s="2">
        <v>86.38</v>
      </c>
      <c r="F90" s="2">
        <v>87.85</v>
      </c>
      <c r="G90" s="6">
        <v>3400</v>
      </c>
      <c r="H90" s="2">
        <v>88.139999000000003</v>
      </c>
      <c r="I90" s="6">
        <v>0</v>
      </c>
      <c r="J90" s="6" t="s">
        <v>430</v>
      </c>
    </row>
    <row r="91" spans="1:10" x14ac:dyDescent="0.25">
      <c r="A91" t="s">
        <v>32</v>
      </c>
      <c r="B91" t="s">
        <v>115</v>
      </c>
      <c r="C91" t="s">
        <v>0</v>
      </c>
      <c r="D91" s="6">
        <v>4100</v>
      </c>
      <c r="E91" s="2">
        <v>153.9</v>
      </c>
      <c r="F91" s="2">
        <v>156.46</v>
      </c>
      <c r="G91" s="6">
        <v>4100</v>
      </c>
      <c r="H91" s="2">
        <v>157.14999399999999</v>
      </c>
      <c r="I91" s="6">
        <v>-1519</v>
      </c>
      <c r="J91" s="6" t="s">
        <v>430</v>
      </c>
    </row>
    <row r="92" spans="1:10" x14ac:dyDescent="0.25">
      <c r="A92" t="s">
        <v>32</v>
      </c>
      <c r="B92" t="s">
        <v>114</v>
      </c>
      <c r="C92" t="s">
        <v>0</v>
      </c>
      <c r="D92" s="6">
        <v>2800</v>
      </c>
      <c r="E92" s="2">
        <v>312.36</v>
      </c>
      <c r="F92" s="2">
        <v>317.49</v>
      </c>
      <c r="G92" s="6">
        <v>2600</v>
      </c>
      <c r="H92" s="2">
        <v>318.48001099999999</v>
      </c>
      <c r="I92" s="6">
        <v>0</v>
      </c>
      <c r="J92" s="6" t="s">
        <v>430</v>
      </c>
    </row>
    <row r="93" spans="1:10" x14ac:dyDescent="0.25">
      <c r="A93" t="s">
        <v>32</v>
      </c>
      <c r="B93" t="s">
        <v>92</v>
      </c>
      <c r="C93" t="s">
        <v>0</v>
      </c>
      <c r="D93" s="6">
        <v>2600</v>
      </c>
      <c r="E93" s="2">
        <v>164</v>
      </c>
      <c r="F93" s="2">
        <v>165.23</v>
      </c>
      <c r="G93" s="6">
        <v>11500</v>
      </c>
      <c r="H93" s="2">
        <v>166.729996</v>
      </c>
      <c r="I93" s="6">
        <v>1400</v>
      </c>
      <c r="J93" s="6" t="s">
        <v>430</v>
      </c>
    </row>
    <row r="94" spans="1:10" x14ac:dyDescent="0.25">
      <c r="A94" t="s">
        <v>32</v>
      </c>
      <c r="B94" t="s">
        <v>328</v>
      </c>
      <c r="C94" t="s">
        <v>0</v>
      </c>
      <c r="D94" s="6">
        <v>100</v>
      </c>
      <c r="E94" s="2">
        <v>24.5</v>
      </c>
      <c r="F94" s="2">
        <v>25.19</v>
      </c>
      <c r="G94" s="6">
        <v>2500</v>
      </c>
      <c r="H94" s="2">
        <v>24.84</v>
      </c>
      <c r="I94" s="6">
        <v>0</v>
      </c>
      <c r="J94" s="6" t="s">
        <v>430</v>
      </c>
    </row>
    <row r="95" spans="1:10" x14ac:dyDescent="0.25">
      <c r="A95" t="s">
        <v>32</v>
      </c>
      <c r="B95" t="s">
        <v>329</v>
      </c>
      <c r="C95" t="s">
        <v>0</v>
      </c>
      <c r="D95" s="6">
        <v>100</v>
      </c>
      <c r="E95" s="2">
        <v>38.28</v>
      </c>
      <c r="F95" s="2">
        <v>43.4</v>
      </c>
      <c r="G95" s="6">
        <v>100</v>
      </c>
      <c r="H95" s="2">
        <v>42.419998</v>
      </c>
      <c r="I95" s="6">
        <v>0</v>
      </c>
      <c r="J95" s="6" t="s">
        <v>430</v>
      </c>
    </row>
    <row r="96" spans="1:10" x14ac:dyDescent="0.25">
      <c r="A96" t="s">
        <v>32</v>
      </c>
      <c r="B96" t="s">
        <v>34</v>
      </c>
      <c r="C96" t="s">
        <v>0</v>
      </c>
      <c r="D96" s="6">
        <v>1000</v>
      </c>
      <c r="E96" s="2">
        <v>47.2</v>
      </c>
      <c r="F96" s="2">
        <v>47.23</v>
      </c>
      <c r="G96" s="6">
        <v>2600</v>
      </c>
      <c r="H96" s="2">
        <v>47.220001000000003</v>
      </c>
      <c r="I96" s="6">
        <v>0</v>
      </c>
      <c r="J96" s="6" t="s">
        <v>430</v>
      </c>
    </row>
    <row r="97" spans="1:10" x14ac:dyDescent="0.25">
      <c r="A97" t="s">
        <v>32</v>
      </c>
      <c r="B97" t="s">
        <v>40</v>
      </c>
      <c r="C97" t="s">
        <v>0</v>
      </c>
      <c r="D97" s="6">
        <v>700</v>
      </c>
      <c r="E97" s="2">
        <v>46.4</v>
      </c>
      <c r="F97" s="2">
        <v>51.5</v>
      </c>
      <c r="G97" s="6">
        <v>1300</v>
      </c>
      <c r="H97" s="2">
        <v>49.400002000000001</v>
      </c>
      <c r="I97" s="6">
        <v>0</v>
      </c>
      <c r="J97" s="6" t="s">
        <v>430</v>
      </c>
    </row>
    <row r="98" spans="1:10" x14ac:dyDescent="0.25">
      <c r="A98" t="s">
        <v>32</v>
      </c>
      <c r="B98" t="s">
        <v>35</v>
      </c>
      <c r="C98" t="s">
        <v>0</v>
      </c>
      <c r="D98" s="6">
        <v>100</v>
      </c>
      <c r="E98" s="2">
        <v>21</v>
      </c>
      <c r="F98" s="2">
        <v>21.4</v>
      </c>
      <c r="G98" s="6">
        <v>200</v>
      </c>
      <c r="H98" s="2">
        <v>21.42</v>
      </c>
      <c r="I98" s="6">
        <v>0</v>
      </c>
      <c r="J98" s="6" t="s">
        <v>430</v>
      </c>
    </row>
    <row r="99" spans="1:10" x14ac:dyDescent="0.25">
      <c r="A99" t="s">
        <v>32</v>
      </c>
      <c r="B99" t="s">
        <v>42</v>
      </c>
      <c r="C99" t="s">
        <v>0</v>
      </c>
      <c r="D99" s="6">
        <v>100</v>
      </c>
      <c r="E99" s="2">
        <v>38.869999999999997</v>
      </c>
      <c r="F99" s="2">
        <v>40.229999999999997</v>
      </c>
      <c r="G99" s="6">
        <v>100</v>
      </c>
      <c r="H99" s="2">
        <v>40.209999000000003</v>
      </c>
      <c r="I99" s="6">
        <v>0</v>
      </c>
      <c r="J99" s="6" t="s">
        <v>430</v>
      </c>
    </row>
    <row r="100" spans="1:10" x14ac:dyDescent="0.25">
      <c r="A100" t="s">
        <v>32</v>
      </c>
      <c r="B100" t="s">
        <v>213</v>
      </c>
      <c r="C100" t="s">
        <v>0</v>
      </c>
      <c r="D100" s="6">
        <v>100</v>
      </c>
      <c r="E100" s="2">
        <v>84.5</v>
      </c>
      <c r="F100" s="2">
        <v>85.22</v>
      </c>
      <c r="G100" s="6">
        <v>700</v>
      </c>
      <c r="H100" s="2">
        <v>84.449996999999996</v>
      </c>
      <c r="I100" s="6">
        <v>0</v>
      </c>
      <c r="J100" s="6" t="s">
        <v>430</v>
      </c>
    </row>
    <row r="101" spans="1:10" x14ac:dyDescent="0.25">
      <c r="A101" t="s">
        <v>32</v>
      </c>
      <c r="B101" t="s">
        <v>214</v>
      </c>
      <c r="C101" t="s">
        <v>0</v>
      </c>
      <c r="D101" s="6">
        <v>200</v>
      </c>
      <c r="E101" s="2">
        <v>81.98</v>
      </c>
      <c r="F101" s="2">
        <v>85</v>
      </c>
      <c r="G101" s="6">
        <v>200</v>
      </c>
      <c r="H101" s="2">
        <v>84.129997000000003</v>
      </c>
      <c r="I101" s="6">
        <v>0</v>
      </c>
      <c r="J101" s="6" t="s">
        <v>430</v>
      </c>
    </row>
    <row r="102" spans="1:10" x14ac:dyDescent="0.25">
      <c r="A102" t="s">
        <v>32</v>
      </c>
      <c r="B102" t="s">
        <v>295</v>
      </c>
      <c r="C102" t="s">
        <v>0</v>
      </c>
      <c r="D102" s="6">
        <v>100</v>
      </c>
      <c r="E102" s="2">
        <v>81.23</v>
      </c>
      <c r="F102" s="2">
        <v>83.66</v>
      </c>
      <c r="G102" s="6">
        <v>200</v>
      </c>
      <c r="H102" s="2">
        <v>83.75</v>
      </c>
      <c r="I102" s="6">
        <v>0</v>
      </c>
      <c r="J102" s="6" t="s">
        <v>430</v>
      </c>
    </row>
    <row r="103" spans="1:10" x14ac:dyDescent="0.25">
      <c r="A103" t="s">
        <v>32</v>
      </c>
      <c r="B103" t="s">
        <v>296</v>
      </c>
      <c r="C103" t="s">
        <v>0</v>
      </c>
      <c r="D103" s="6">
        <v>100</v>
      </c>
      <c r="E103" s="2">
        <v>88.88</v>
      </c>
      <c r="F103" s="2">
        <v>90.6</v>
      </c>
      <c r="G103" s="6">
        <v>1000</v>
      </c>
      <c r="H103" s="2">
        <v>91.150002000000001</v>
      </c>
      <c r="I103" s="6">
        <v>0</v>
      </c>
      <c r="J103" s="6" t="s">
        <v>430</v>
      </c>
    </row>
    <row r="104" spans="1:10" x14ac:dyDescent="0.25">
      <c r="A104" t="s">
        <v>32</v>
      </c>
      <c r="B104" t="s">
        <v>298</v>
      </c>
      <c r="C104" t="s">
        <v>0</v>
      </c>
      <c r="D104" s="6">
        <v>100</v>
      </c>
      <c r="E104" s="2">
        <v>21.26</v>
      </c>
      <c r="F104" s="2">
        <v>22.62</v>
      </c>
      <c r="G104" s="6">
        <v>100</v>
      </c>
      <c r="H104" s="2">
        <v>21.139999</v>
      </c>
      <c r="I104" s="6">
        <v>0</v>
      </c>
      <c r="J104" s="6" t="s">
        <v>430</v>
      </c>
    </row>
    <row r="105" spans="1:10" x14ac:dyDescent="0.25">
      <c r="A105" t="s">
        <v>32</v>
      </c>
      <c r="B105" t="s">
        <v>297</v>
      </c>
      <c r="C105" t="s">
        <v>0</v>
      </c>
      <c r="D105" s="6">
        <v>300</v>
      </c>
      <c r="E105" s="2">
        <v>20.55</v>
      </c>
      <c r="F105" s="2">
        <v>22.26</v>
      </c>
      <c r="G105" s="6">
        <v>100</v>
      </c>
      <c r="H105" s="2">
        <v>21.48</v>
      </c>
      <c r="I105" s="6">
        <v>0</v>
      </c>
      <c r="J105" s="6" t="s">
        <v>430</v>
      </c>
    </row>
    <row r="106" spans="1:10" x14ac:dyDescent="0.25">
      <c r="A106" t="s">
        <v>32</v>
      </c>
      <c r="B106" t="s">
        <v>292</v>
      </c>
      <c r="C106" t="s">
        <v>0</v>
      </c>
      <c r="D106" s="6">
        <v>600</v>
      </c>
      <c r="E106" s="2">
        <v>7.55</v>
      </c>
      <c r="F106" s="2">
        <v>9</v>
      </c>
      <c r="G106" s="6">
        <v>100</v>
      </c>
      <c r="H106" s="2">
        <v>8.14</v>
      </c>
      <c r="I106" s="6">
        <v>0</v>
      </c>
      <c r="J106" s="6" t="s">
        <v>430</v>
      </c>
    </row>
    <row r="107" spans="1:10" x14ac:dyDescent="0.25">
      <c r="A107" t="s">
        <v>32</v>
      </c>
      <c r="B107" t="s">
        <v>293</v>
      </c>
      <c r="C107" t="s">
        <v>0</v>
      </c>
      <c r="D107" s="6">
        <v>1200</v>
      </c>
      <c r="E107" s="2">
        <v>7.5</v>
      </c>
      <c r="F107" s="2">
        <v>8.8800000000000008</v>
      </c>
      <c r="G107" s="6">
        <v>1000</v>
      </c>
      <c r="H107" s="2">
        <v>8.02</v>
      </c>
      <c r="I107" s="6">
        <v>0</v>
      </c>
      <c r="J107" s="6" t="s">
        <v>430</v>
      </c>
    </row>
    <row r="108" spans="1:10" x14ac:dyDescent="0.25">
      <c r="A108" t="s">
        <v>32</v>
      </c>
      <c r="B108" t="s">
        <v>300</v>
      </c>
      <c r="C108" t="s">
        <v>0</v>
      </c>
      <c r="D108" s="6">
        <v>100</v>
      </c>
      <c r="E108" s="2">
        <v>8.0299999999999994</v>
      </c>
      <c r="F108" s="2">
        <v>8.11</v>
      </c>
      <c r="G108" s="6">
        <v>500</v>
      </c>
      <c r="H108" s="2">
        <v>8.14</v>
      </c>
      <c r="I108" s="6">
        <v>0</v>
      </c>
      <c r="J108" s="6" t="s">
        <v>430</v>
      </c>
    </row>
    <row r="109" spans="1:10" x14ac:dyDescent="0.25">
      <c r="A109" t="s">
        <v>32</v>
      </c>
      <c r="B109" t="s">
        <v>294</v>
      </c>
      <c r="C109" t="s">
        <v>0</v>
      </c>
      <c r="D109" s="6">
        <v>500</v>
      </c>
      <c r="E109" s="2">
        <v>7.99</v>
      </c>
      <c r="F109" s="2">
        <v>8</v>
      </c>
      <c r="G109" s="6">
        <v>500</v>
      </c>
      <c r="H109" s="2">
        <v>8.11</v>
      </c>
      <c r="I109" s="6">
        <v>0</v>
      </c>
      <c r="J109" s="6" t="s">
        <v>430</v>
      </c>
    </row>
    <row r="110" spans="1:10" x14ac:dyDescent="0.25">
      <c r="A110" t="s">
        <v>32</v>
      </c>
      <c r="B110" t="s">
        <v>210</v>
      </c>
      <c r="C110" t="s">
        <v>0</v>
      </c>
      <c r="D110" s="6">
        <v>100</v>
      </c>
      <c r="E110" s="2">
        <v>320</v>
      </c>
      <c r="F110" s="2">
        <v>356</v>
      </c>
      <c r="G110" s="6">
        <v>300</v>
      </c>
      <c r="H110" s="2">
        <v>341.709991</v>
      </c>
      <c r="I110" s="6">
        <v>0</v>
      </c>
      <c r="J110" s="6" t="s">
        <v>430</v>
      </c>
    </row>
    <row r="111" spans="1:10" x14ac:dyDescent="0.25">
      <c r="A111" t="s">
        <v>32</v>
      </c>
      <c r="B111" t="s">
        <v>211</v>
      </c>
      <c r="C111" t="s">
        <v>0</v>
      </c>
      <c r="D111" s="6">
        <v>200</v>
      </c>
      <c r="E111" s="2">
        <v>134.88</v>
      </c>
      <c r="F111" s="2">
        <v>539.48</v>
      </c>
      <c r="G111" s="6">
        <v>200</v>
      </c>
      <c r="H111" s="2">
        <v>335.16000400000001</v>
      </c>
      <c r="I111" s="6">
        <v>0</v>
      </c>
      <c r="J111" s="6" t="s">
        <v>430</v>
      </c>
    </row>
    <row r="112" spans="1:10" x14ac:dyDescent="0.25">
      <c r="A112" t="s">
        <v>32</v>
      </c>
      <c r="B112" t="s">
        <v>17</v>
      </c>
      <c r="C112" t="s">
        <v>0</v>
      </c>
      <c r="D112" s="6">
        <v>1900</v>
      </c>
      <c r="E112" s="2">
        <v>21.48</v>
      </c>
      <c r="F112" s="2">
        <v>21.6</v>
      </c>
      <c r="G112" s="6">
        <v>1900</v>
      </c>
      <c r="H112" s="2">
        <v>21.559999000000001</v>
      </c>
      <c r="I112" s="6">
        <v>0</v>
      </c>
      <c r="J112" s="6" t="s">
        <v>430</v>
      </c>
    </row>
    <row r="113" spans="1:10" x14ac:dyDescent="0.25">
      <c r="A113" t="s">
        <v>32</v>
      </c>
      <c r="B113" t="s">
        <v>18</v>
      </c>
      <c r="C113" t="s">
        <v>0</v>
      </c>
      <c r="D113" s="6">
        <v>200</v>
      </c>
      <c r="E113" s="2">
        <v>43.1</v>
      </c>
      <c r="F113" s="2">
        <v>46.38</v>
      </c>
      <c r="G113" s="6">
        <v>500</v>
      </c>
      <c r="H113" s="2">
        <v>45.299999</v>
      </c>
      <c r="I113" s="6">
        <v>0</v>
      </c>
      <c r="J113" s="6" t="s">
        <v>430</v>
      </c>
    </row>
    <row r="114" spans="1:10" x14ac:dyDescent="0.25">
      <c r="A114" t="s">
        <v>32</v>
      </c>
      <c r="B114" t="s">
        <v>251</v>
      </c>
      <c r="C114" t="s">
        <v>0</v>
      </c>
      <c r="D114" s="6">
        <v>100</v>
      </c>
      <c r="E114" s="2">
        <v>22.25</v>
      </c>
      <c r="F114" s="2">
        <v>23.7</v>
      </c>
      <c r="G114" s="6">
        <v>100</v>
      </c>
      <c r="H114" s="2">
        <v>23.434999000000001</v>
      </c>
      <c r="I114" s="6">
        <v>0</v>
      </c>
      <c r="J114" s="6" t="s">
        <v>430</v>
      </c>
    </row>
    <row r="115" spans="1:10" x14ac:dyDescent="0.25">
      <c r="A115" t="s">
        <v>32</v>
      </c>
      <c r="B115" t="s">
        <v>253</v>
      </c>
      <c r="C115" t="s">
        <v>0</v>
      </c>
      <c r="D115" s="6">
        <v>100</v>
      </c>
      <c r="E115" s="2">
        <v>23.1</v>
      </c>
      <c r="F115" s="2">
        <v>23.55</v>
      </c>
      <c r="G115" s="6">
        <v>100</v>
      </c>
      <c r="H115" s="2">
        <v>23.48</v>
      </c>
      <c r="I115" s="6">
        <v>0</v>
      </c>
      <c r="J115" s="6" t="s">
        <v>430</v>
      </c>
    </row>
    <row r="116" spans="1:10" x14ac:dyDescent="0.25">
      <c r="A116" t="s">
        <v>32</v>
      </c>
      <c r="B116" t="s">
        <v>255</v>
      </c>
      <c r="C116" t="s">
        <v>0</v>
      </c>
      <c r="D116" s="6">
        <v>100</v>
      </c>
      <c r="E116" s="2">
        <v>22.85</v>
      </c>
      <c r="F116" s="2">
        <v>23.27</v>
      </c>
      <c r="G116" s="6">
        <v>500</v>
      </c>
      <c r="H116" s="2">
        <v>23.120000999999998</v>
      </c>
      <c r="I116" s="6">
        <v>0</v>
      </c>
      <c r="J116" s="6" t="s">
        <v>430</v>
      </c>
    </row>
    <row r="117" spans="1:10" x14ac:dyDescent="0.25">
      <c r="A117" t="s">
        <v>32</v>
      </c>
      <c r="B117" t="s">
        <v>257</v>
      </c>
      <c r="C117" t="s">
        <v>0</v>
      </c>
      <c r="D117" s="6">
        <v>100</v>
      </c>
      <c r="E117" s="2">
        <v>22.3</v>
      </c>
      <c r="F117" s="2">
        <v>22.8</v>
      </c>
      <c r="G117" s="6">
        <v>100</v>
      </c>
      <c r="H117" s="2">
        <v>22.6</v>
      </c>
      <c r="I117" s="6">
        <v>0</v>
      </c>
      <c r="J117" s="6" t="s">
        <v>430</v>
      </c>
    </row>
    <row r="118" spans="1:10" x14ac:dyDescent="0.25">
      <c r="A118" t="s">
        <v>32</v>
      </c>
      <c r="B118" t="s">
        <v>259</v>
      </c>
      <c r="C118" t="s">
        <v>0</v>
      </c>
      <c r="D118" s="6">
        <v>100</v>
      </c>
      <c r="E118" s="2">
        <v>20.99</v>
      </c>
      <c r="F118" s="2">
        <v>21.35</v>
      </c>
      <c r="G118" s="6">
        <v>100</v>
      </c>
      <c r="H118" s="2">
        <v>21.258699</v>
      </c>
      <c r="I118" s="6">
        <v>0</v>
      </c>
      <c r="J118" s="6" t="s">
        <v>430</v>
      </c>
    </row>
    <row r="119" spans="1:10" x14ac:dyDescent="0.25">
      <c r="A119" t="s">
        <v>32</v>
      </c>
      <c r="B119" t="s">
        <v>261</v>
      </c>
      <c r="C119" t="s">
        <v>0</v>
      </c>
      <c r="D119" s="6">
        <v>100</v>
      </c>
      <c r="E119" s="2">
        <v>20</v>
      </c>
      <c r="F119" s="2">
        <v>21.21</v>
      </c>
      <c r="G119" s="6">
        <v>300</v>
      </c>
      <c r="H119" s="2">
        <v>20.224501</v>
      </c>
      <c r="I119" s="6">
        <v>0</v>
      </c>
      <c r="J119" s="6" t="s">
        <v>430</v>
      </c>
    </row>
    <row r="120" spans="1:10" x14ac:dyDescent="0.25">
      <c r="A120" t="s">
        <v>32</v>
      </c>
      <c r="B120" t="s">
        <v>252</v>
      </c>
      <c r="C120" t="s">
        <v>0</v>
      </c>
      <c r="D120" s="6">
        <v>100</v>
      </c>
      <c r="E120" s="2">
        <v>25.4</v>
      </c>
      <c r="F120" s="2">
        <v>25.84</v>
      </c>
      <c r="G120" s="6">
        <v>100</v>
      </c>
      <c r="H120" s="2">
        <v>25.639999</v>
      </c>
      <c r="I120" s="6">
        <v>0</v>
      </c>
      <c r="J120" s="6" t="s">
        <v>430</v>
      </c>
    </row>
    <row r="121" spans="1:10" x14ac:dyDescent="0.25">
      <c r="A121" t="s">
        <v>32</v>
      </c>
      <c r="B121" t="s">
        <v>254</v>
      </c>
      <c r="C121" t="s">
        <v>0</v>
      </c>
      <c r="D121" s="6">
        <v>100</v>
      </c>
      <c r="E121" s="2">
        <v>25</v>
      </c>
      <c r="F121" s="2">
        <v>25.47</v>
      </c>
      <c r="G121" s="6">
        <v>100</v>
      </c>
      <c r="H121" s="2">
        <v>25.299999</v>
      </c>
      <c r="I121" s="6">
        <v>0</v>
      </c>
      <c r="J121" s="6" t="s">
        <v>430</v>
      </c>
    </row>
    <row r="122" spans="1:10" x14ac:dyDescent="0.25">
      <c r="A122" t="s">
        <v>32</v>
      </c>
      <c r="B122" t="s">
        <v>256</v>
      </c>
      <c r="C122" t="s">
        <v>0</v>
      </c>
      <c r="D122" s="6">
        <v>100</v>
      </c>
      <c r="E122" s="2">
        <v>25.04</v>
      </c>
      <c r="F122" s="2">
        <v>25.5</v>
      </c>
      <c r="G122" s="6">
        <v>100</v>
      </c>
      <c r="H122" s="2">
        <v>25.379999000000002</v>
      </c>
      <c r="I122" s="6">
        <v>0</v>
      </c>
      <c r="J122" s="6" t="s">
        <v>430</v>
      </c>
    </row>
    <row r="123" spans="1:10" x14ac:dyDescent="0.25">
      <c r="A123" t="s">
        <v>32</v>
      </c>
      <c r="B123" t="s">
        <v>258</v>
      </c>
      <c r="C123" t="s">
        <v>0</v>
      </c>
      <c r="D123" s="6">
        <v>100</v>
      </c>
      <c r="E123" s="2">
        <v>24.7</v>
      </c>
      <c r="F123" s="2">
        <v>26.32</v>
      </c>
      <c r="G123" s="6">
        <v>200</v>
      </c>
      <c r="H123" s="2">
        <v>25.094999000000001</v>
      </c>
      <c r="I123" s="6">
        <v>0</v>
      </c>
      <c r="J123" s="6" t="s">
        <v>430</v>
      </c>
    </row>
    <row r="124" spans="1:10" x14ac:dyDescent="0.25">
      <c r="A124" t="s">
        <v>32</v>
      </c>
      <c r="B124" t="s">
        <v>260</v>
      </c>
      <c r="C124" t="s">
        <v>0</v>
      </c>
      <c r="D124" s="6">
        <v>100</v>
      </c>
      <c r="E124" s="2">
        <v>25.1</v>
      </c>
      <c r="F124" s="2">
        <v>26.75</v>
      </c>
      <c r="G124" s="6">
        <v>200</v>
      </c>
      <c r="H124" s="2">
        <v>25.51</v>
      </c>
      <c r="I124" s="6">
        <v>0</v>
      </c>
      <c r="J124" s="6" t="s">
        <v>430</v>
      </c>
    </row>
    <row r="125" spans="1:10" x14ac:dyDescent="0.25">
      <c r="A125" t="s">
        <v>32</v>
      </c>
      <c r="B125" t="s">
        <v>262</v>
      </c>
      <c r="C125" t="s">
        <v>0</v>
      </c>
      <c r="D125" s="6">
        <v>100</v>
      </c>
      <c r="E125" s="2">
        <v>24.8</v>
      </c>
      <c r="F125" s="2">
        <v>26.54</v>
      </c>
      <c r="G125" s="6">
        <v>200</v>
      </c>
      <c r="H125" s="2">
        <v>25.32</v>
      </c>
      <c r="I125" s="6">
        <v>0</v>
      </c>
      <c r="J125" s="6" t="s">
        <v>430</v>
      </c>
    </row>
    <row r="126" spans="1:10" x14ac:dyDescent="0.25">
      <c r="A126" t="s">
        <v>32</v>
      </c>
      <c r="B126" t="s">
        <v>3</v>
      </c>
      <c r="C126" t="s">
        <v>0</v>
      </c>
      <c r="D126" s="6">
        <v>400</v>
      </c>
      <c r="E126" s="2">
        <v>102.77</v>
      </c>
      <c r="F126" s="2">
        <v>104.5</v>
      </c>
      <c r="G126" s="6">
        <v>100</v>
      </c>
      <c r="H126" s="2">
        <v>103.239998</v>
      </c>
      <c r="I126" s="6">
        <v>0</v>
      </c>
      <c r="J126" s="6" t="s">
        <v>430</v>
      </c>
    </row>
    <row r="127" spans="1:10" x14ac:dyDescent="0.25">
      <c r="A127" t="s">
        <v>32</v>
      </c>
      <c r="B127" t="s">
        <v>19</v>
      </c>
      <c r="C127" t="s">
        <v>0</v>
      </c>
      <c r="D127" s="6">
        <v>800</v>
      </c>
      <c r="E127" s="2">
        <v>42.9</v>
      </c>
      <c r="F127" s="2">
        <v>43.82</v>
      </c>
      <c r="G127" s="6">
        <v>600</v>
      </c>
      <c r="H127" s="2">
        <v>43.715000000000003</v>
      </c>
      <c r="I127" s="6">
        <v>0</v>
      </c>
      <c r="J127" s="6" t="s">
        <v>430</v>
      </c>
    </row>
    <row r="128" spans="1:10" x14ac:dyDescent="0.25">
      <c r="A128" t="s">
        <v>32</v>
      </c>
      <c r="B128" t="s">
        <v>143</v>
      </c>
      <c r="C128" t="s">
        <v>0</v>
      </c>
      <c r="D128" s="6">
        <v>200</v>
      </c>
      <c r="E128" s="2">
        <v>31.84</v>
      </c>
      <c r="F128" s="2">
        <v>34.590000000000003</v>
      </c>
      <c r="G128" s="6">
        <v>600</v>
      </c>
      <c r="H128" s="2">
        <v>33.950001</v>
      </c>
      <c r="I128" s="6">
        <v>0</v>
      </c>
      <c r="J128" s="6" t="s">
        <v>430</v>
      </c>
    </row>
    <row r="129" spans="1:10" x14ac:dyDescent="0.25">
      <c r="A129" t="s">
        <v>32</v>
      </c>
      <c r="B129" t="s">
        <v>144</v>
      </c>
      <c r="C129" t="s">
        <v>0</v>
      </c>
      <c r="D129" s="6">
        <v>600</v>
      </c>
      <c r="E129" s="2">
        <v>29.15</v>
      </c>
      <c r="F129" s="2">
        <v>31.11</v>
      </c>
      <c r="G129" s="6">
        <v>500</v>
      </c>
      <c r="H129" s="2">
        <v>31.08</v>
      </c>
      <c r="I129" s="6">
        <v>0</v>
      </c>
      <c r="J129" s="6" t="s">
        <v>430</v>
      </c>
    </row>
    <row r="130" spans="1:10" x14ac:dyDescent="0.25">
      <c r="A130" t="s">
        <v>32</v>
      </c>
      <c r="B130" t="s">
        <v>43</v>
      </c>
      <c r="C130" t="s">
        <v>0</v>
      </c>
      <c r="D130" s="6">
        <v>300</v>
      </c>
      <c r="E130" s="2">
        <v>28.72</v>
      </c>
      <c r="F130" s="2">
        <v>28.9</v>
      </c>
      <c r="G130" s="6">
        <v>100</v>
      </c>
      <c r="H130" s="2">
        <v>28.809999000000001</v>
      </c>
      <c r="I130" s="6">
        <v>0</v>
      </c>
      <c r="J130" s="6" t="s">
        <v>430</v>
      </c>
    </row>
    <row r="131" spans="1:10" x14ac:dyDescent="0.25">
      <c r="A131" t="s">
        <v>32</v>
      </c>
      <c r="B131" t="s">
        <v>44</v>
      </c>
      <c r="C131" t="s">
        <v>0</v>
      </c>
      <c r="D131" s="6">
        <v>100</v>
      </c>
      <c r="E131" s="2">
        <v>17.11</v>
      </c>
      <c r="F131" s="2">
        <v>17.2</v>
      </c>
      <c r="G131" s="6">
        <v>100</v>
      </c>
      <c r="H131" s="2">
        <v>17.200001</v>
      </c>
      <c r="I131" s="6">
        <v>0</v>
      </c>
      <c r="J131" s="6" t="s">
        <v>430</v>
      </c>
    </row>
    <row r="132" spans="1:10" x14ac:dyDescent="0.25">
      <c r="A132" t="s">
        <v>32</v>
      </c>
      <c r="B132" t="s">
        <v>93</v>
      </c>
      <c r="C132" t="s">
        <v>0</v>
      </c>
      <c r="D132" s="6">
        <v>2500</v>
      </c>
      <c r="E132" s="2">
        <v>26.5</v>
      </c>
      <c r="F132" s="2">
        <v>28.5</v>
      </c>
      <c r="G132" s="6">
        <v>1900</v>
      </c>
      <c r="H132" s="2">
        <v>28.139999</v>
      </c>
      <c r="I132" s="6">
        <v>0</v>
      </c>
      <c r="J132" s="6" t="s">
        <v>430</v>
      </c>
    </row>
    <row r="133" spans="1:10" x14ac:dyDescent="0.25">
      <c r="A133" t="s">
        <v>32</v>
      </c>
      <c r="B133" t="s">
        <v>94</v>
      </c>
      <c r="C133" t="s">
        <v>0</v>
      </c>
      <c r="D133" s="6">
        <v>3400</v>
      </c>
      <c r="E133" s="2">
        <v>98.08</v>
      </c>
      <c r="F133" s="2">
        <v>98.42</v>
      </c>
      <c r="G133" s="6">
        <v>200</v>
      </c>
      <c r="H133" s="2">
        <v>98.370002999999997</v>
      </c>
      <c r="I133" s="6">
        <v>0</v>
      </c>
      <c r="J133" s="6" t="s">
        <v>430</v>
      </c>
    </row>
    <row r="134" spans="1:10" x14ac:dyDescent="0.25">
      <c r="A134" t="s">
        <v>32</v>
      </c>
      <c r="B134" t="s">
        <v>45</v>
      </c>
      <c r="C134" t="s">
        <v>0</v>
      </c>
      <c r="D134" s="6">
        <v>8900</v>
      </c>
      <c r="E134" s="2">
        <v>22.74</v>
      </c>
      <c r="F134" s="2">
        <v>22.9</v>
      </c>
      <c r="G134" s="6">
        <v>9700</v>
      </c>
      <c r="H134" s="2">
        <v>22.73</v>
      </c>
      <c r="I134" s="6">
        <v>0</v>
      </c>
      <c r="J134" s="6" t="s">
        <v>430</v>
      </c>
    </row>
    <row r="135" spans="1:10" x14ac:dyDescent="0.25">
      <c r="A135" t="s">
        <v>32</v>
      </c>
      <c r="B135" t="s">
        <v>46</v>
      </c>
      <c r="C135" t="s">
        <v>0</v>
      </c>
      <c r="D135" s="6">
        <v>4800</v>
      </c>
      <c r="E135" s="2">
        <v>62.45</v>
      </c>
      <c r="F135" s="2">
        <v>63.65</v>
      </c>
      <c r="G135" s="6">
        <v>4700</v>
      </c>
      <c r="H135" s="2">
        <v>63.16</v>
      </c>
      <c r="I135" s="6">
        <v>0</v>
      </c>
      <c r="J135" s="6" t="s">
        <v>430</v>
      </c>
    </row>
    <row r="136" spans="1:10" x14ac:dyDescent="0.25">
      <c r="A136" t="s">
        <v>32</v>
      </c>
      <c r="B136" t="s">
        <v>95</v>
      </c>
      <c r="C136" t="s">
        <v>0</v>
      </c>
      <c r="D136" s="6">
        <v>2800</v>
      </c>
      <c r="E136" s="2">
        <v>92.67</v>
      </c>
      <c r="F136" s="2">
        <v>92.77</v>
      </c>
      <c r="G136" s="6">
        <v>2400</v>
      </c>
      <c r="H136" s="2">
        <v>92.650002000000001</v>
      </c>
      <c r="I136" s="6">
        <v>0</v>
      </c>
      <c r="J136" s="6" t="s">
        <v>430</v>
      </c>
    </row>
    <row r="137" spans="1:10" x14ac:dyDescent="0.25">
      <c r="A137" t="s">
        <v>32</v>
      </c>
      <c r="B137" t="s">
        <v>96</v>
      </c>
      <c r="C137" t="s">
        <v>0</v>
      </c>
      <c r="D137" s="6">
        <v>4200</v>
      </c>
      <c r="E137" s="2">
        <v>42.51</v>
      </c>
      <c r="F137" s="2">
        <v>42.67</v>
      </c>
      <c r="G137" s="6">
        <v>6600</v>
      </c>
      <c r="H137" s="2">
        <v>42.52</v>
      </c>
      <c r="I137" s="6">
        <v>0</v>
      </c>
      <c r="J137" s="6" t="s">
        <v>430</v>
      </c>
    </row>
    <row r="138" spans="1:10" x14ac:dyDescent="0.25">
      <c r="A138" t="s">
        <v>32</v>
      </c>
      <c r="B138" t="s">
        <v>158</v>
      </c>
      <c r="C138" t="s">
        <v>0</v>
      </c>
      <c r="D138" s="6">
        <v>1200</v>
      </c>
      <c r="E138" s="2">
        <v>526.32000000000005</v>
      </c>
      <c r="F138" s="2">
        <v>527.85</v>
      </c>
      <c r="G138" s="6">
        <v>2700</v>
      </c>
      <c r="H138" s="2">
        <v>523.34997599999997</v>
      </c>
      <c r="I138" s="6">
        <v>0</v>
      </c>
      <c r="J138" s="6" t="s">
        <v>430</v>
      </c>
    </row>
    <row r="139" spans="1:10" x14ac:dyDescent="0.25">
      <c r="A139" t="s">
        <v>32</v>
      </c>
      <c r="B139" t="s">
        <v>159</v>
      </c>
      <c r="C139" t="s">
        <v>0</v>
      </c>
      <c r="D139" s="6">
        <v>700</v>
      </c>
      <c r="E139" s="2">
        <v>477.52</v>
      </c>
      <c r="F139" s="2">
        <v>478.8</v>
      </c>
      <c r="G139" s="6">
        <v>10000</v>
      </c>
      <c r="H139" s="2">
        <v>475.69000199999999</v>
      </c>
      <c r="I139" s="6">
        <v>0</v>
      </c>
      <c r="J139" s="6" t="s">
        <v>430</v>
      </c>
    </row>
    <row r="140" spans="1:10" x14ac:dyDescent="0.25">
      <c r="A140" t="s">
        <v>32</v>
      </c>
      <c r="B140" t="s">
        <v>77</v>
      </c>
      <c r="C140" t="s">
        <v>0</v>
      </c>
      <c r="D140" s="6">
        <v>5400</v>
      </c>
      <c r="E140" s="2">
        <v>55.32</v>
      </c>
      <c r="F140" s="2">
        <v>55.9</v>
      </c>
      <c r="G140" s="6">
        <v>200</v>
      </c>
      <c r="H140" s="2">
        <v>56.790000999999997</v>
      </c>
      <c r="I140" s="6">
        <v>0</v>
      </c>
      <c r="J140" s="6" t="s">
        <v>430</v>
      </c>
    </row>
    <row r="141" spans="1:10" x14ac:dyDescent="0.25">
      <c r="A141" t="s">
        <v>32</v>
      </c>
      <c r="B141" t="s">
        <v>116</v>
      </c>
      <c r="C141" t="s">
        <v>0</v>
      </c>
      <c r="D141" s="6">
        <v>3900</v>
      </c>
      <c r="E141" s="2">
        <v>76.709999999999994</v>
      </c>
      <c r="F141" s="2">
        <v>78.03</v>
      </c>
      <c r="G141" s="6">
        <v>3800</v>
      </c>
      <c r="H141" s="2">
        <v>78.800003000000004</v>
      </c>
      <c r="I141" s="6">
        <v>0</v>
      </c>
      <c r="J141" s="6" t="s">
        <v>430</v>
      </c>
    </row>
    <row r="142" spans="1:10" x14ac:dyDescent="0.25">
      <c r="A142" t="s">
        <v>32</v>
      </c>
      <c r="B142" t="s">
        <v>78</v>
      </c>
      <c r="C142" t="s">
        <v>0</v>
      </c>
      <c r="D142" s="6">
        <v>1300</v>
      </c>
      <c r="E142" s="2">
        <v>237.38</v>
      </c>
      <c r="F142" s="2">
        <v>241.29</v>
      </c>
      <c r="G142" s="6">
        <v>1200</v>
      </c>
      <c r="H142" s="2">
        <v>243.570007</v>
      </c>
      <c r="I142" s="6">
        <v>0</v>
      </c>
      <c r="J142" s="6" t="s">
        <v>430</v>
      </c>
    </row>
    <row r="143" spans="1:10" x14ac:dyDescent="0.25">
      <c r="A143" t="s">
        <v>32</v>
      </c>
      <c r="B143" t="s">
        <v>79</v>
      </c>
      <c r="C143" t="s">
        <v>0</v>
      </c>
      <c r="D143" s="6">
        <v>200</v>
      </c>
      <c r="E143" s="2">
        <v>88.05</v>
      </c>
      <c r="F143" s="2">
        <v>88.6</v>
      </c>
      <c r="G143" s="6">
        <v>12200</v>
      </c>
      <c r="H143" s="2">
        <v>89.989998</v>
      </c>
      <c r="I143" s="6">
        <v>0</v>
      </c>
      <c r="J143" s="6" t="s">
        <v>430</v>
      </c>
    </row>
    <row r="144" spans="1:10" x14ac:dyDescent="0.25">
      <c r="A144" t="s">
        <v>32</v>
      </c>
      <c r="B144" t="s">
        <v>97</v>
      </c>
      <c r="C144" t="s">
        <v>0</v>
      </c>
      <c r="D144" s="6">
        <v>100</v>
      </c>
      <c r="E144" s="2">
        <v>283.92</v>
      </c>
      <c r="F144" s="2">
        <v>285.95999999999998</v>
      </c>
      <c r="G144" s="6">
        <v>2500</v>
      </c>
      <c r="H144" s="2">
        <v>283.01998900000001</v>
      </c>
      <c r="I144" s="6">
        <v>0</v>
      </c>
      <c r="J144" s="6" t="s">
        <v>430</v>
      </c>
    </row>
    <row r="145" spans="1:10" x14ac:dyDescent="0.25">
      <c r="A145" t="s">
        <v>32</v>
      </c>
      <c r="B145" t="s">
        <v>98</v>
      </c>
      <c r="C145" t="s">
        <v>0</v>
      </c>
      <c r="D145" s="6">
        <v>2800</v>
      </c>
      <c r="E145" s="2">
        <v>249.35</v>
      </c>
      <c r="F145" s="2">
        <v>250.65</v>
      </c>
      <c r="G145" s="6">
        <v>2800</v>
      </c>
      <c r="H145" s="2">
        <v>248.96000699999999</v>
      </c>
      <c r="I145" s="6">
        <v>-1000</v>
      </c>
      <c r="J145" s="6" t="s">
        <v>430</v>
      </c>
    </row>
    <row r="146" spans="1:10" x14ac:dyDescent="0.25">
      <c r="A146" t="s">
        <v>32</v>
      </c>
      <c r="B146" t="s">
        <v>99</v>
      </c>
      <c r="C146" t="s">
        <v>0</v>
      </c>
      <c r="D146" s="6">
        <v>4000</v>
      </c>
      <c r="E146" s="2">
        <v>119</v>
      </c>
      <c r="F146" s="2">
        <v>119.21</v>
      </c>
      <c r="G146" s="6">
        <v>300</v>
      </c>
      <c r="H146" s="2">
        <v>118.599998</v>
      </c>
      <c r="I146" s="6">
        <v>0</v>
      </c>
      <c r="J146" s="6" t="s">
        <v>430</v>
      </c>
    </row>
    <row r="147" spans="1:10" x14ac:dyDescent="0.25">
      <c r="A147" t="s">
        <v>32</v>
      </c>
      <c r="B147" t="s">
        <v>100</v>
      </c>
      <c r="C147" t="s">
        <v>0</v>
      </c>
      <c r="D147" s="6">
        <v>700</v>
      </c>
      <c r="E147" s="2">
        <v>183.11</v>
      </c>
      <c r="F147" s="2">
        <v>183.44</v>
      </c>
      <c r="G147" s="6">
        <v>3700</v>
      </c>
      <c r="H147" s="2">
        <v>182.33999600000001</v>
      </c>
      <c r="I147" s="6">
        <v>1355</v>
      </c>
      <c r="J147" s="6" t="s">
        <v>430</v>
      </c>
    </row>
    <row r="148" spans="1:10" x14ac:dyDescent="0.25">
      <c r="A148" t="s">
        <v>32</v>
      </c>
      <c r="B148" t="s">
        <v>263</v>
      </c>
      <c r="C148" t="s">
        <v>0</v>
      </c>
      <c r="D148" s="6">
        <v>300</v>
      </c>
      <c r="E148" s="2">
        <v>22.01</v>
      </c>
      <c r="F148" s="2">
        <v>31.22</v>
      </c>
      <c r="G148" s="6">
        <v>200</v>
      </c>
      <c r="H148" s="2">
        <v>24.975000000000001</v>
      </c>
      <c r="I148" s="6">
        <v>0</v>
      </c>
      <c r="J148" s="6" t="s">
        <v>430</v>
      </c>
    </row>
    <row r="149" spans="1:10" x14ac:dyDescent="0.25">
      <c r="A149" t="s">
        <v>32</v>
      </c>
      <c r="B149" t="s">
        <v>267</v>
      </c>
      <c r="C149" t="s">
        <v>0</v>
      </c>
      <c r="D149" s="6">
        <v>300</v>
      </c>
      <c r="E149" s="2">
        <v>21.76</v>
      </c>
      <c r="F149" s="2">
        <v>27.07</v>
      </c>
      <c r="G149" s="6">
        <v>100</v>
      </c>
      <c r="H149" s="2">
        <v>24.725000000000001</v>
      </c>
      <c r="I149" s="6">
        <v>0</v>
      </c>
      <c r="J149" s="6" t="s">
        <v>430</v>
      </c>
    </row>
    <row r="150" spans="1:10" x14ac:dyDescent="0.25">
      <c r="A150" t="s">
        <v>32</v>
      </c>
      <c r="B150" t="s">
        <v>265</v>
      </c>
      <c r="C150" t="s">
        <v>0</v>
      </c>
      <c r="D150" s="6">
        <v>300</v>
      </c>
      <c r="E150" s="2">
        <v>21.77</v>
      </c>
      <c r="F150" s="2">
        <v>27.21</v>
      </c>
      <c r="G150" s="6">
        <v>100</v>
      </c>
      <c r="H150" s="2">
        <v>24.866599999999998</v>
      </c>
      <c r="I150" s="6">
        <v>0</v>
      </c>
      <c r="J150" s="6" t="s">
        <v>430</v>
      </c>
    </row>
    <row r="151" spans="1:10" x14ac:dyDescent="0.25">
      <c r="A151" t="s">
        <v>32</v>
      </c>
      <c r="B151" t="s">
        <v>269</v>
      </c>
      <c r="C151" t="s">
        <v>0</v>
      </c>
      <c r="D151" s="6">
        <v>300</v>
      </c>
      <c r="E151" s="2">
        <v>21.59</v>
      </c>
      <c r="F151" s="2">
        <v>27.59</v>
      </c>
      <c r="G151" s="6">
        <v>300</v>
      </c>
      <c r="H151" s="2">
        <v>24.605</v>
      </c>
      <c r="I151" s="6">
        <v>0</v>
      </c>
      <c r="J151" s="6" t="s">
        <v>430</v>
      </c>
    </row>
    <row r="152" spans="1:10" x14ac:dyDescent="0.25">
      <c r="A152" t="s">
        <v>32</v>
      </c>
      <c r="B152" t="s">
        <v>271</v>
      </c>
      <c r="C152" t="s">
        <v>0</v>
      </c>
      <c r="D152" s="6">
        <v>300</v>
      </c>
      <c r="E152" s="2">
        <v>21.46</v>
      </c>
      <c r="F152" s="2">
        <v>26.79</v>
      </c>
      <c r="G152" s="6">
        <v>100</v>
      </c>
      <c r="H152" s="2">
        <v>24.514999</v>
      </c>
      <c r="I152" s="6">
        <v>0</v>
      </c>
      <c r="J152" s="6" t="s">
        <v>430</v>
      </c>
    </row>
    <row r="153" spans="1:10" x14ac:dyDescent="0.25">
      <c r="A153" t="s">
        <v>32</v>
      </c>
      <c r="B153" t="s">
        <v>264</v>
      </c>
      <c r="C153" t="s">
        <v>0</v>
      </c>
      <c r="D153" s="6">
        <v>67400</v>
      </c>
      <c r="E153" s="2">
        <v>22.32</v>
      </c>
      <c r="F153" s="2">
        <v>22.33</v>
      </c>
      <c r="G153" s="6">
        <v>137300</v>
      </c>
      <c r="H153" s="2">
        <v>22.33</v>
      </c>
      <c r="I153" s="6">
        <v>0</v>
      </c>
      <c r="J153" s="6" t="s">
        <v>430</v>
      </c>
    </row>
    <row r="154" spans="1:10" x14ac:dyDescent="0.25">
      <c r="A154" t="s">
        <v>32</v>
      </c>
      <c r="B154" t="s">
        <v>266</v>
      </c>
      <c r="C154" t="s">
        <v>0</v>
      </c>
      <c r="D154" s="6">
        <v>45500</v>
      </c>
      <c r="E154" s="2">
        <v>21.97</v>
      </c>
      <c r="F154" s="2">
        <v>21.98</v>
      </c>
      <c r="G154" s="6">
        <v>115600</v>
      </c>
      <c r="H154" s="2">
        <v>21.98</v>
      </c>
      <c r="I154" s="6">
        <v>0</v>
      </c>
      <c r="J154" s="6" t="s">
        <v>430</v>
      </c>
    </row>
    <row r="155" spans="1:10" x14ac:dyDescent="0.25">
      <c r="A155" t="s">
        <v>32</v>
      </c>
      <c r="B155" t="s">
        <v>268</v>
      </c>
      <c r="C155" t="s">
        <v>0</v>
      </c>
      <c r="D155" s="6">
        <v>98900</v>
      </c>
      <c r="E155" s="2">
        <v>21.34</v>
      </c>
      <c r="F155" s="2">
        <v>21.35</v>
      </c>
      <c r="G155" s="6">
        <v>45200</v>
      </c>
      <c r="H155" s="2">
        <v>21.360001</v>
      </c>
      <c r="I155" s="6">
        <v>0</v>
      </c>
      <c r="J155" s="6" t="s">
        <v>430</v>
      </c>
    </row>
    <row r="156" spans="1:10" x14ac:dyDescent="0.25">
      <c r="A156" t="s">
        <v>32</v>
      </c>
      <c r="B156" t="s">
        <v>270</v>
      </c>
      <c r="C156" t="s">
        <v>0</v>
      </c>
      <c r="D156" s="6">
        <v>84900</v>
      </c>
      <c r="E156" s="2">
        <v>19.14</v>
      </c>
      <c r="F156" s="2">
        <v>19.149999999999999</v>
      </c>
      <c r="G156" s="6">
        <v>75600</v>
      </c>
      <c r="H156" s="2">
        <v>19.165001</v>
      </c>
      <c r="I156" s="6">
        <v>0</v>
      </c>
      <c r="J156" s="6" t="s">
        <v>430</v>
      </c>
    </row>
    <row r="157" spans="1:10" x14ac:dyDescent="0.25">
      <c r="A157" t="s">
        <v>32</v>
      </c>
      <c r="B157" t="s">
        <v>272</v>
      </c>
      <c r="C157" t="s">
        <v>0</v>
      </c>
      <c r="D157" s="6">
        <v>149200</v>
      </c>
      <c r="E157" s="2">
        <v>19.670000000000002</v>
      </c>
      <c r="F157" s="2">
        <v>19.68</v>
      </c>
      <c r="G157" s="6">
        <v>128100</v>
      </c>
      <c r="H157" s="2">
        <v>19.695</v>
      </c>
      <c r="I157" s="6">
        <v>0</v>
      </c>
      <c r="J157" s="6" t="s">
        <v>430</v>
      </c>
    </row>
    <row r="158" spans="1:10" x14ac:dyDescent="0.25">
      <c r="A158" t="s">
        <v>32</v>
      </c>
      <c r="B158" t="s">
        <v>203</v>
      </c>
      <c r="C158" t="s">
        <v>0</v>
      </c>
      <c r="D158" s="6">
        <v>300</v>
      </c>
      <c r="E158" s="2">
        <v>4.5599999999999996</v>
      </c>
      <c r="F158" s="2">
        <v>4.59</v>
      </c>
      <c r="G158" s="6">
        <v>500</v>
      </c>
      <c r="H158" s="2">
        <v>4.7300000000000004</v>
      </c>
      <c r="I158" s="6">
        <v>0</v>
      </c>
      <c r="J158" s="6" t="s">
        <v>430</v>
      </c>
    </row>
    <row r="159" spans="1:10" x14ac:dyDescent="0.25">
      <c r="A159" t="s">
        <v>32</v>
      </c>
      <c r="B159" t="s">
        <v>204</v>
      </c>
      <c r="C159" t="s">
        <v>0</v>
      </c>
      <c r="D159" s="6">
        <v>1400</v>
      </c>
      <c r="E159" s="2">
        <v>4.63</v>
      </c>
      <c r="F159" s="2">
        <v>4.7</v>
      </c>
      <c r="G159" s="6">
        <v>800</v>
      </c>
      <c r="H159" s="2">
        <v>4.88</v>
      </c>
      <c r="I159" s="6">
        <v>0</v>
      </c>
      <c r="J159" s="6" t="s">
        <v>430</v>
      </c>
    </row>
    <row r="160" spans="1:10" x14ac:dyDescent="0.25">
      <c r="A160" t="s">
        <v>32</v>
      </c>
      <c r="B160" t="s">
        <v>101</v>
      </c>
      <c r="C160" t="s">
        <v>0</v>
      </c>
      <c r="D160" s="6">
        <v>5500</v>
      </c>
      <c r="E160" s="2">
        <v>54.41</v>
      </c>
      <c r="F160" s="2">
        <v>55.36</v>
      </c>
      <c r="G160" s="6">
        <v>5400</v>
      </c>
      <c r="H160" s="2">
        <v>55.27</v>
      </c>
      <c r="I160" s="6">
        <v>0</v>
      </c>
      <c r="J160" s="6" t="s">
        <v>430</v>
      </c>
    </row>
    <row r="161" spans="1:10" x14ac:dyDescent="0.25">
      <c r="A161" t="s">
        <v>32</v>
      </c>
      <c r="B161" t="s">
        <v>102</v>
      </c>
      <c r="C161" t="s">
        <v>0</v>
      </c>
      <c r="D161" s="6">
        <v>2800</v>
      </c>
      <c r="E161" s="2">
        <v>108.27</v>
      </c>
      <c r="F161" s="2">
        <v>110.13</v>
      </c>
      <c r="G161" s="6">
        <v>2700</v>
      </c>
      <c r="H161" s="2">
        <v>109.839996</v>
      </c>
      <c r="I161" s="6">
        <v>-1000</v>
      </c>
      <c r="J161" s="6" t="s">
        <v>430</v>
      </c>
    </row>
    <row r="162" spans="1:10" x14ac:dyDescent="0.25">
      <c r="A162" t="s">
        <v>32</v>
      </c>
      <c r="B162" t="s">
        <v>103</v>
      </c>
      <c r="C162" t="s">
        <v>0</v>
      </c>
      <c r="D162" s="6">
        <v>1600</v>
      </c>
      <c r="E162" s="2">
        <v>182.34</v>
      </c>
      <c r="F162" s="2">
        <v>185.38</v>
      </c>
      <c r="G162" s="6">
        <v>1600</v>
      </c>
      <c r="H162" s="2">
        <v>185.11999499999999</v>
      </c>
      <c r="I162" s="6">
        <v>0</v>
      </c>
      <c r="J162" s="6" t="s">
        <v>430</v>
      </c>
    </row>
    <row r="163" spans="1:10" x14ac:dyDescent="0.25">
      <c r="A163" t="s">
        <v>32</v>
      </c>
      <c r="B163" t="s">
        <v>104</v>
      </c>
      <c r="C163" t="s">
        <v>0</v>
      </c>
      <c r="D163" s="6">
        <v>200</v>
      </c>
      <c r="E163" s="2">
        <v>42.42</v>
      </c>
      <c r="F163" s="2">
        <v>42.58</v>
      </c>
      <c r="G163" s="6">
        <v>100</v>
      </c>
      <c r="H163" s="2">
        <v>42.869999</v>
      </c>
      <c r="I163" s="6">
        <v>2555</v>
      </c>
      <c r="J163" s="6" t="s">
        <v>430</v>
      </c>
    </row>
    <row r="164" spans="1:10" x14ac:dyDescent="0.25">
      <c r="A164" t="s">
        <v>32</v>
      </c>
      <c r="B164" t="s">
        <v>363</v>
      </c>
      <c r="C164" t="s">
        <v>0</v>
      </c>
      <c r="D164" s="6">
        <v>100</v>
      </c>
      <c r="E164" s="2">
        <v>232.87</v>
      </c>
      <c r="F164" s="2">
        <v>261</v>
      </c>
      <c r="G164" s="6">
        <v>100</v>
      </c>
      <c r="H164" s="2">
        <v>248.406296</v>
      </c>
      <c r="I164" s="6">
        <v>0</v>
      </c>
      <c r="J164" s="6" t="s">
        <v>430</v>
      </c>
    </row>
    <row r="165" spans="1:10" x14ac:dyDescent="0.25">
      <c r="A165" t="s">
        <v>32</v>
      </c>
      <c r="B165" t="s">
        <v>364</v>
      </c>
      <c r="C165" t="s">
        <v>0</v>
      </c>
      <c r="D165" s="6">
        <v>14600</v>
      </c>
      <c r="E165" s="2">
        <v>40.630000000000003</v>
      </c>
      <c r="F165" s="2">
        <v>41.42</v>
      </c>
      <c r="G165" s="6">
        <v>14400</v>
      </c>
      <c r="H165" s="2">
        <v>41.869999</v>
      </c>
      <c r="I165" s="6">
        <v>0</v>
      </c>
      <c r="J165" s="6" t="s">
        <v>430</v>
      </c>
    </row>
    <row r="166" spans="1:10" x14ac:dyDescent="0.25">
      <c r="A166" t="s">
        <v>32</v>
      </c>
      <c r="B166" t="s">
        <v>373</v>
      </c>
      <c r="C166" t="s">
        <v>0</v>
      </c>
      <c r="D166" s="6">
        <v>2000</v>
      </c>
      <c r="E166" s="2">
        <v>149.25</v>
      </c>
      <c r="F166" s="2">
        <v>153.59</v>
      </c>
      <c r="G166" s="6">
        <v>2000</v>
      </c>
      <c r="H166" s="2">
        <v>148.279999</v>
      </c>
      <c r="I166" s="6">
        <v>0</v>
      </c>
      <c r="J166" s="6" t="s">
        <v>430</v>
      </c>
    </row>
    <row r="167" spans="1:10" x14ac:dyDescent="0.25">
      <c r="A167" t="s">
        <v>32</v>
      </c>
      <c r="B167" t="s">
        <v>367</v>
      </c>
      <c r="C167" t="s">
        <v>0</v>
      </c>
      <c r="D167" s="6">
        <v>11000</v>
      </c>
      <c r="E167" s="2">
        <v>27.24</v>
      </c>
      <c r="F167" s="2">
        <v>28.08</v>
      </c>
      <c r="G167" s="6">
        <v>10700</v>
      </c>
      <c r="H167" s="2">
        <v>26.18</v>
      </c>
      <c r="I167" s="6">
        <v>0</v>
      </c>
      <c r="J167" s="6" t="s">
        <v>430</v>
      </c>
    </row>
    <row r="168" spans="1:10" x14ac:dyDescent="0.25">
      <c r="A168" t="s">
        <v>32</v>
      </c>
      <c r="B168" t="s">
        <v>369</v>
      </c>
      <c r="C168" t="s">
        <v>0</v>
      </c>
      <c r="D168" s="6">
        <v>3000</v>
      </c>
      <c r="E168" s="2">
        <v>101.63</v>
      </c>
      <c r="F168" s="2">
        <v>103.33</v>
      </c>
      <c r="G168" s="6">
        <v>2900</v>
      </c>
      <c r="H168" s="2">
        <v>104.779999</v>
      </c>
      <c r="I168" s="6">
        <v>0</v>
      </c>
      <c r="J168" s="6" t="s">
        <v>430</v>
      </c>
    </row>
    <row r="169" spans="1:10" x14ac:dyDescent="0.25">
      <c r="A169" t="s">
        <v>32</v>
      </c>
      <c r="B169" t="s">
        <v>371</v>
      </c>
      <c r="C169" t="s">
        <v>0</v>
      </c>
      <c r="D169" s="6">
        <v>300</v>
      </c>
      <c r="E169" s="2">
        <v>90.35</v>
      </c>
      <c r="F169" s="2">
        <v>91.39</v>
      </c>
      <c r="G169" s="6">
        <v>3300</v>
      </c>
      <c r="H169" s="2">
        <v>91.239998</v>
      </c>
      <c r="I169" s="6">
        <v>0</v>
      </c>
      <c r="J169" s="6" t="s">
        <v>430</v>
      </c>
    </row>
    <row r="170" spans="1:10" x14ac:dyDescent="0.25">
      <c r="A170" t="s">
        <v>32</v>
      </c>
      <c r="B170" t="s">
        <v>365</v>
      </c>
      <c r="C170" t="s">
        <v>0</v>
      </c>
      <c r="D170" s="6">
        <v>8100</v>
      </c>
      <c r="E170" s="2">
        <v>79.48</v>
      </c>
      <c r="F170" s="2">
        <v>80.599999999999994</v>
      </c>
      <c r="G170" s="6">
        <v>3700</v>
      </c>
      <c r="H170" s="2">
        <v>81.919998000000007</v>
      </c>
      <c r="I170" s="6">
        <v>0</v>
      </c>
      <c r="J170" s="6" t="s">
        <v>430</v>
      </c>
    </row>
    <row r="171" spans="1:10" x14ac:dyDescent="0.25">
      <c r="A171" t="s">
        <v>32</v>
      </c>
      <c r="B171" t="s">
        <v>366</v>
      </c>
      <c r="C171" t="s">
        <v>0</v>
      </c>
      <c r="D171" s="6">
        <v>100</v>
      </c>
      <c r="E171" s="2">
        <v>397.01</v>
      </c>
      <c r="F171" s="2">
        <v>399.76</v>
      </c>
      <c r="G171" s="6">
        <v>1200</v>
      </c>
      <c r="H171" s="2">
        <v>377</v>
      </c>
      <c r="I171" s="6">
        <v>0</v>
      </c>
      <c r="J171" s="6" t="s">
        <v>430</v>
      </c>
    </row>
    <row r="172" spans="1:10" x14ac:dyDescent="0.25">
      <c r="A172" t="s">
        <v>32</v>
      </c>
      <c r="B172" t="s">
        <v>368</v>
      </c>
      <c r="C172" t="s">
        <v>0</v>
      </c>
      <c r="D172" s="6">
        <v>2400</v>
      </c>
      <c r="E172" s="2">
        <v>123.97</v>
      </c>
      <c r="F172" s="2">
        <v>126.06</v>
      </c>
      <c r="G172" s="6">
        <v>2400</v>
      </c>
      <c r="H172" s="2">
        <v>127.30999799999999</v>
      </c>
      <c r="I172" s="6">
        <v>0</v>
      </c>
      <c r="J172" s="6" t="s">
        <v>430</v>
      </c>
    </row>
    <row r="173" spans="1:10" x14ac:dyDescent="0.25">
      <c r="A173" t="s">
        <v>32</v>
      </c>
      <c r="B173" t="s">
        <v>370</v>
      </c>
      <c r="C173" t="s">
        <v>0</v>
      </c>
      <c r="D173" s="6">
        <v>100</v>
      </c>
      <c r="E173" s="2">
        <v>80.98</v>
      </c>
      <c r="F173" s="2">
        <v>90.77</v>
      </c>
      <c r="G173" s="6">
        <v>100</v>
      </c>
      <c r="H173" s="2">
        <v>86.589995999999999</v>
      </c>
      <c r="I173" s="6">
        <v>0</v>
      </c>
      <c r="J173" s="6" t="s">
        <v>430</v>
      </c>
    </row>
    <row r="174" spans="1:10" x14ac:dyDescent="0.25">
      <c r="A174" t="s">
        <v>32</v>
      </c>
      <c r="B174" t="s">
        <v>372</v>
      </c>
      <c r="C174" t="s">
        <v>0</v>
      </c>
      <c r="D174" s="6">
        <v>12800</v>
      </c>
      <c r="E174" s="2">
        <v>44.17</v>
      </c>
      <c r="F174" s="2">
        <v>45.48</v>
      </c>
      <c r="G174" s="6">
        <v>14200</v>
      </c>
      <c r="H174" s="2">
        <v>43.889999000000003</v>
      </c>
      <c r="I174" s="6">
        <v>0</v>
      </c>
      <c r="J174" s="6" t="s">
        <v>430</v>
      </c>
    </row>
    <row r="175" spans="1:10" x14ac:dyDescent="0.25">
      <c r="A175" t="s">
        <v>32</v>
      </c>
      <c r="B175" t="s">
        <v>218</v>
      </c>
      <c r="C175" t="s">
        <v>0</v>
      </c>
      <c r="D175" s="6">
        <v>100</v>
      </c>
      <c r="E175" s="2">
        <v>32.799999999999997</v>
      </c>
      <c r="F175" s="2">
        <v>34.25</v>
      </c>
      <c r="G175" s="6">
        <v>100</v>
      </c>
      <c r="H175" s="2">
        <v>33.979999999999997</v>
      </c>
      <c r="I175" s="6">
        <v>0</v>
      </c>
      <c r="J175" s="6" t="s">
        <v>430</v>
      </c>
    </row>
    <row r="176" spans="1:10" x14ac:dyDescent="0.25">
      <c r="A176" t="s">
        <v>32</v>
      </c>
      <c r="B176" t="s">
        <v>219</v>
      </c>
      <c r="C176" t="s">
        <v>0</v>
      </c>
      <c r="D176" s="6">
        <v>100</v>
      </c>
      <c r="E176" s="2">
        <v>34.049999999999997</v>
      </c>
      <c r="F176" s="2">
        <v>35.5</v>
      </c>
      <c r="G176" s="6">
        <v>100</v>
      </c>
      <c r="H176" s="2">
        <v>35.139999000000003</v>
      </c>
      <c r="I176" s="6">
        <v>0</v>
      </c>
      <c r="J176" s="6" t="s">
        <v>430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AFA12-AB4F-40C7-A18B-E9F901671E9A}">
  <sheetPr codeName="Sheet6">
    <tabColor theme="7" tint="0.79998168889431442"/>
  </sheetPr>
  <dimension ref="A1:AQ72"/>
  <sheetViews>
    <sheetView topLeftCell="J1" zoomScale="85" zoomScaleNormal="85" workbookViewId="0">
      <selection activeCell="AI10" sqref="AI10:AI11"/>
    </sheetView>
  </sheetViews>
  <sheetFormatPr defaultRowHeight="15" x14ac:dyDescent="0.25"/>
  <cols>
    <col min="1" max="1" width="8.140625" bestFit="1" customWidth="1"/>
    <col min="2" max="2" width="8.140625" customWidth="1"/>
    <col min="3" max="3" width="9.42578125" bestFit="1" customWidth="1"/>
    <col min="4" max="4" width="7.7109375" bestFit="1" customWidth="1"/>
    <col min="5" max="5" width="12.5703125" style="1" bestFit="1" customWidth="1"/>
    <col min="6" max="6" width="8" bestFit="1" customWidth="1"/>
    <col min="7" max="7" width="7.85546875" bestFit="1" customWidth="1"/>
    <col min="8" max="10" width="9" bestFit="1" customWidth="1"/>
    <col min="11" max="12" width="10" bestFit="1" customWidth="1"/>
    <col min="13" max="13" width="8.5703125" bestFit="1" customWidth="1"/>
    <col min="14" max="15" width="10" bestFit="1" customWidth="1"/>
    <col min="16" max="16" width="9.7109375" bestFit="1" customWidth="1"/>
    <col min="17" max="17" width="7.85546875" bestFit="1" customWidth="1"/>
    <col min="18" max="18" width="9.7109375" bestFit="1" customWidth="1"/>
    <col min="19" max="19" width="7.85546875" bestFit="1" customWidth="1"/>
    <col min="20" max="21" width="9.7109375" bestFit="1" customWidth="1"/>
    <col min="22" max="23" width="9.5703125" bestFit="1" customWidth="1"/>
    <col min="24" max="24" width="7.7109375" bestFit="1" customWidth="1"/>
    <col min="25" max="25" width="12.28515625" bestFit="1" customWidth="1"/>
    <col min="26" max="26" width="7.7109375" bestFit="1" customWidth="1"/>
    <col min="27" max="27" width="9.5703125" bestFit="1" customWidth="1"/>
    <col min="28" max="28" width="7.42578125" style="373" bestFit="1" customWidth="1"/>
    <col min="29" max="29" width="7.85546875" style="1" bestFit="1" customWidth="1"/>
    <col min="30" max="30" width="9" bestFit="1" customWidth="1"/>
    <col min="31" max="31" width="12.28515625" bestFit="1" customWidth="1"/>
    <col min="32" max="32" width="11.28515625" bestFit="1" customWidth="1"/>
    <col min="33" max="33" width="12" customWidth="1"/>
    <col min="34" max="34" width="11.28515625" bestFit="1" customWidth="1"/>
    <col min="35" max="35" width="6.85546875" style="10" bestFit="1" customWidth="1"/>
    <col min="36" max="36" width="11.5703125" style="10" bestFit="1" customWidth="1"/>
    <col min="37" max="37" width="12.28515625" bestFit="1" customWidth="1"/>
    <col min="38" max="39" width="11.5703125" bestFit="1" customWidth="1"/>
    <col min="40" max="40" width="10.5703125" style="2" bestFit="1" customWidth="1"/>
  </cols>
  <sheetData>
    <row r="1" spans="1:43" x14ac:dyDescent="0.25">
      <c r="A1" s="136"/>
      <c r="B1" s="136"/>
      <c r="C1" s="136"/>
      <c r="D1" s="136"/>
      <c r="E1" s="136"/>
      <c r="F1" s="136"/>
      <c r="G1" s="136"/>
      <c r="H1" s="136"/>
      <c r="I1" s="136"/>
      <c r="J1" s="157"/>
      <c r="K1" s="510">
        <v>5.4999999999999997E-3</v>
      </c>
      <c r="L1" s="510"/>
      <c r="M1" s="136"/>
      <c r="N1" s="136"/>
      <c r="O1" s="136"/>
      <c r="T1" s="158"/>
      <c r="U1" s="158"/>
      <c r="V1" s="158"/>
      <c r="W1" s="158"/>
      <c r="X1" s="495" t="str">
        <f>'MKT DATA'!J2</f>
        <v>2026-10-23_16-00-28</v>
      </c>
      <c r="Y1" s="495"/>
      <c r="Z1" s="495"/>
      <c r="AA1" s="495"/>
      <c r="AB1" s="375"/>
      <c r="AC1" s="184"/>
      <c r="AE1" s="518">
        <f ca="1">'INITIAL INPUTS'!H11</f>
        <v>1152.46693100006</v>
      </c>
      <c r="AF1" s="479" t="s">
        <v>175</v>
      </c>
      <c r="AG1" s="481">
        <f ca="1">SUM(AG6:AG42)</f>
        <v>530.66563900006224</v>
      </c>
      <c r="AH1" s="483">
        <f ca="1">SUM(AH6:AH42)</f>
        <v>530.66563900006224</v>
      </c>
      <c r="AI1" s="466" t="e">
        <f ca="1">SUM(AJ6:AJ42)</f>
        <v>#N/A</v>
      </c>
      <c r="AJ1" s="467"/>
      <c r="AK1" s="464">
        <f ca="1">'INITIAL INPUTS'!I11</f>
        <v>3847.1845091987584</v>
      </c>
    </row>
    <row r="2" spans="1:43" ht="18" thickBot="1" x14ac:dyDescent="0.45">
      <c r="A2" s="139"/>
      <c r="B2" s="139"/>
      <c r="C2" s="139"/>
      <c r="D2" s="139"/>
      <c r="E2" s="139"/>
      <c r="F2" s="139"/>
      <c r="G2" s="139"/>
      <c r="H2" s="139"/>
      <c r="I2" s="139"/>
      <c r="J2" s="174"/>
      <c r="K2" s="511"/>
      <c r="L2" s="511"/>
      <c r="M2" s="139"/>
      <c r="N2" s="139"/>
      <c r="O2" s="139"/>
      <c r="T2" s="175"/>
      <c r="U2" s="175"/>
      <c r="V2" s="175"/>
      <c r="W2" s="175"/>
      <c r="X2" s="496"/>
      <c r="Y2" s="496"/>
      <c r="Z2" s="496"/>
      <c r="AA2" s="496"/>
      <c r="AB2" s="376"/>
      <c r="AC2" s="185"/>
      <c r="AE2" s="519"/>
      <c r="AF2" s="480"/>
      <c r="AG2" s="482"/>
      <c r="AH2" s="484"/>
      <c r="AI2" s="468"/>
      <c r="AJ2" s="469"/>
      <c r="AK2" s="465"/>
      <c r="AN2" s="325"/>
    </row>
    <row r="3" spans="1:43" s="74" customFormat="1" ht="15.75" thickBot="1" x14ac:dyDescent="0.3">
      <c r="A3" s="423" t="s">
        <v>415</v>
      </c>
      <c r="B3" s="399"/>
      <c r="C3" s="398"/>
      <c r="D3" s="70"/>
      <c r="E3" s="399">
        <v>2</v>
      </c>
      <c r="F3" s="399">
        <v>5</v>
      </c>
      <c r="G3" s="399"/>
      <c r="H3" s="411">
        <v>5</v>
      </c>
      <c r="I3" s="412">
        <v>6</v>
      </c>
      <c r="J3" s="413">
        <v>10</v>
      </c>
      <c r="K3" s="414"/>
      <c r="L3" s="415"/>
      <c r="M3" s="416">
        <v>9</v>
      </c>
      <c r="N3" s="417"/>
      <c r="O3" s="412"/>
      <c r="P3" s="411"/>
      <c r="Q3" s="417"/>
      <c r="R3" s="417">
        <v>22</v>
      </c>
      <c r="S3" s="418">
        <v>23</v>
      </c>
      <c r="T3" s="411"/>
      <c r="U3" s="417"/>
      <c r="V3" s="417">
        <v>26</v>
      </c>
      <c r="W3" s="412">
        <v>27</v>
      </c>
      <c r="X3" s="419">
        <v>9</v>
      </c>
      <c r="Y3" s="419"/>
      <c r="Z3" s="419"/>
      <c r="AA3" s="420"/>
      <c r="AB3" s="70"/>
      <c r="AC3" s="399"/>
      <c r="AD3" s="411">
        <v>8</v>
      </c>
      <c r="AE3" s="417"/>
      <c r="AF3" s="417"/>
      <c r="AG3" s="417"/>
      <c r="AH3" s="412"/>
      <c r="AI3" s="411"/>
      <c r="AJ3" s="412"/>
      <c r="AM3" s="421"/>
      <c r="AN3" s="422"/>
      <c r="AO3" s="422"/>
      <c r="AP3" s="422"/>
      <c r="AQ3" s="422"/>
    </row>
    <row r="4" spans="1:43" x14ac:dyDescent="0.25">
      <c r="A4" s="497" t="s">
        <v>55</v>
      </c>
      <c r="B4" s="498"/>
      <c r="C4" s="499"/>
      <c r="D4" s="247"/>
      <c r="E4" s="70"/>
      <c r="F4" s="52"/>
      <c r="G4" s="52"/>
      <c r="H4" s="502" t="s">
        <v>57</v>
      </c>
      <c r="I4" s="503"/>
      <c r="J4" s="90"/>
      <c r="K4" s="506" t="s">
        <v>179</v>
      </c>
      <c r="L4" s="507"/>
      <c r="M4" s="39"/>
      <c r="N4" s="490" t="s">
        <v>60</v>
      </c>
      <c r="O4" s="492"/>
      <c r="P4" s="489" t="s">
        <v>69</v>
      </c>
      <c r="Q4" s="490"/>
      <c r="R4" s="490" t="s">
        <v>67</v>
      </c>
      <c r="S4" s="491" t="s">
        <v>68</v>
      </c>
      <c r="T4" s="489" t="s">
        <v>70</v>
      </c>
      <c r="U4" s="490"/>
      <c r="V4" s="490" t="s">
        <v>67</v>
      </c>
      <c r="W4" s="492" t="s">
        <v>68</v>
      </c>
      <c r="X4" s="500" t="s">
        <v>61</v>
      </c>
      <c r="Y4" s="500"/>
      <c r="Z4" s="500"/>
      <c r="AA4" s="501"/>
      <c r="AB4" s="377" t="s">
        <v>331</v>
      </c>
      <c r="AC4" s="245"/>
      <c r="AD4" s="41"/>
      <c r="AE4" s="43" t="s">
        <v>174</v>
      </c>
      <c r="AF4" s="43" t="s">
        <v>177</v>
      </c>
      <c r="AG4" s="43"/>
      <c r="AH4" s="42" t="s">
        <v>231</v>
      </c>
      <c r="AI4" s="472" t="s">
        <v>333</v>
      </c>
      <c r="AJ4" s="473"/>
      <c r="AL4" s="2"/>
      <c r="AN4"/>
    </row>
    <row r="5" spans="1:43" ht="15.75" thickBot="1" x14ac:dyDescent="0.3">
      <c r="A5" s="31" t="s">
        <v>169</v>
      </c>
      <c r="B5" s="349" t="s">
        <v>353</v>
      </c>
      <c r="C5" s="32" t="s">
        <v>56</v>
      </c>
      <c r="D5" s="355" t="s">
        <v>65</v>
      </c>
      <c r="E5" s="71" t="s">
        <v>105</v>
      </c>
      <c r="F5" s="69" t="s">
        <v>76</v>
      </c>
      <c r="G5" s="53" t="s">
        <v>50</v>
      </c>
      <c r="H5" s="54" t="s">
        <v>58</v>
      </c>
      <c r="I5" s="55" t="s">
        <v>59</v>
      </c>
      <c r="J5" s="91" t="s">
        <v>129</v>
      </c>
      <c r="K5" s="188" t="s">
        <v>58</v>
      </c>
      <c r="L5" s="189" t="s">
        <v>59</v>
      </c>
      <c r="M5" s="56" t="s">
        <v>51</v>
      </c>
      <c r="N5" s="57" t="s">
        <v>53</v>
      </c>
      <c r="O5" s="58" t="s">
        <v>54</v>
      </c>
      <c r="P5" s="40" t="s">
        <v>66</v>
      </c>
      <c r="Q5" s="12" t="s">
        <v>24</v>
      </c>
      <c r="R5" s="251" t="s">
        <v>71</v>
      </c>
      <c r="S5" s="222" t="s">
        <v>72</v>
      </c>
      <c r="T5" s="40" t="s">
        <v>66</v>
      </c>
      <c r="U5" s="12" t="s">
        <v>24</v>
      </c>
      <c r="V5" s="251" t="s">
        <v>72</v>
      </c>
      <c r="W5" s="59" t="s">
        <v>71</v>
      </c>
      <c r="X5" s="131" t="s">
        <v>62</v>
      </c>
      <c r="Y5" s="132" t="s">
        <v>74</v>
      </c>
      <c r="Z5" s="133" t="s">
        <v>73</v>
      </c>
      <c r="AA5" s="134" t="s">
        <v>63</v>
      </c>
      <c r="AB5" s="378" t="s">
        <v>332</v>
      </c>
      <c r="AC5" s="53" t="str">
        <f t="shared" ref="AC5:AC23" si="0">G5</f>
        <v>symbol</v>
      </c>
      <c r="AD5" s="163" t="s">
        <v>170</v>
      </c>
      <c r="AE5" s="164" t="s">
        <v>176</v>
      </c>
      <c r="AF5" s="164" t="s">
        <v>172</v>
      </c>
      <c r="AG5" s="168" t="s">
        <v>173</v>
      </c>
      <c r="AH5" s="55" t="s">
        <v>173</v>
      </c>
      <c r="AI5" s="365" t="s">
        <v>24</v>
      </c>
      <c r="AJ5" s="366" t="s">
        <v>334</v>
      </c>
    </row>
    <row r="6" spans="1:43" x14ac:dyDescent="0.25">
      <c r="A6" s="79" t="e">
        <f>MATCH(G6,SCALARS!D:D,0)</f>
        <v>#N/A</v>
      </c>
      <c r="B6" s="524">
        <f>MATCH(G6,'SCALAR INPUTS'!E:E,0)</f>
        <v>36</v>
      </c>
      <c r="C6" s="80">
        <f>MATCH(G6,'MKT DATA'!B:B,0)</f>
        <v>45</v>
      </c>
      <c r="D6" s="353"/>
      <c r="E6" s="264" t="e" cm="1">
        <f t="array" aca="1" ref="E6" ca="1">INDIRECT(ADDRESS($A6,2,,,"scalars"))</f>
        <v>#N/A</v>
      </c>
      <c r="F6" s="14" t="e" cm="1">
        <f t="array" aca="1" ref="F6" ca="1">INDIRECT(ADDRESS($A6,5,,,"scalars"))</f>
        <v>#N/A</v>
      </c>
      <c r="G6" s="88" t="s">
        <v>147</v>
      </c>
      <c r="H6" s="33" cm="1">
        <f t="array" aca="1" ref="H6" ca="1">INDIRECT(ADDRESS($C6,H$3,,,"mkt data"))</f>
        <v>98.23</v>
      </c>
      <c r="I6" s="34" cm="1">
        <f t="array" aca="1" ref="I6" ca="1">INDIRECT(ADDRESS($C6,I$3,,,"mkt data"))</f>
        <v>99.9</v>
      </c>
      <c r="J6" s="150" t="e" cm="1">
        <f t="array" aca="1" ref="J6" ca="1">INDIRECT(ADDRESS($A6,J$3,,,"SCALARS"))</f>
        <v>#N/A</v>
      </c>
      <c r="K6" s="16" t="e">
        <f t="shared" ref="K6:K23" ca="1" si="1">H6+J6-K$1</f>
        <v>#N/A</v>
      </c>
      <c r="L6" s="16" t="e">
        <f t="shared" ref="L6:L23" ca="1" si="2">I6+J6+K$1</f>
        <v>#N/A</v>
      </c>
      <c r="M6" s="86" t="e" cm="1">
        <f t="array" aca="1" ref="M6" ca="1">INDIRECT(ADDRESS($A6,M$3,,,"scalars"))</f>
        <v>#N/A</v>
      </c>
      <c r="N6" s="17" t="e">
        <f t="shared" ref="N6:N23" ca="1" si="3">K6*M6</f>
        <v>#N/A</v>
      </c>
      <c r="O6" s="17" t="e">
        <f t="shared" ref="O6:O23" ca="1" si="4">M6*L6</f>
        <v>#N/A</v>
      </c>
      <c r="P6" s="477" t="e">
        <f ca="1">N7-O6</f>
        <v>#N/A</v>
      </c>
      <c r="Q6" s="475" t="e">
        <f ca="1">LN(N7/O6)</f>
        <v>#N/A</v>
      </c>
      <c r="R6" s="252" t="e" cm="1">
        <f t="array" aca="1" ref="R6" ca="1">-INDIRECT(ADDRESS($B6,R$3,,,"threshold info"))</f>
        <v>#REF!</v>
      </c>
      <c r="S6" s="223" t="e" cm="1">
        <f t="array" aca="1" ref="S6" ca="1">-INDIRECT(ADDRESS($B6,S$3,,,"threshold info"))</f>
        <v>#REF!</v>
      </c>
      <c r="T6" s="477" t="e">
        <f ca="1">N6-O7</f>
        <v>#N/A</v>
      </c>
      <c r="U6" s="475" t="e">
        <f ca="1">LN(N6/O7)</f>
        <v>#N/A</v>
      </c>
      <c r="V6" s="252" t="e" cm="1">
        <f t="array" aca="1" ref="V6" ca="1">INDIRECT(ADDRESS($B6,V$3,,,"threshold info"))</f>
        <v>#REF!</v>
      </c>
      <c r="W6" s="60" t="e" cm="1">
        <f t="array" aca="1" ref="W6" ca="1">INDIRECT(ADDRESS($B6,W$3,,,"threshold info"))</f>
        <v>#REF!</v>
      </c>
      <c r="X6" s="27" cm="1">
        <f t="array" aca="1" ref="X6" ca="1">INDIRECT(ADDRESS($C6,X$3,,,"mkt data"))</f>
        <v>0</v>
      </c>
      <c r="Y6" s="48">
        <f t="shared" ref="Y6:Y23" ca="1" si="5">X6*AVERAGE(H6:I6)</f>
        <v>0</v>
      </c>
      <c r="Z6" s="27" t="e">
        <f t="shared" ref="Z6:Z23" ca="1" si="6">X6/M6</f>
        <v>#N/A</v>
      </c>
      <c r="AA6" s="485" t="e">
        <f ca="1">SUM(Z6:Z7)</f>
        <v>#N/A</v>
      </c>
      <c r="AB6" s="462"/>
      <c r="AC6" s="182" t="str">
        <f t="shared" si="0"/>
        <v>IYC</v>
      </c>
      <c r="AD6" s="33" cm="1">
        <f t="array" aca="1" ref="AD6" ca="1">INDIRECT(ADDRESS($C6,AD$3,,,"mkt data"))</f>
        <v>100.779999</v>
      </c>
      <c r="AE6" s="165">
        <f t="shared" ref="AE6:AE23" ca="1" si="7">AVERAGE(H6,I6)</f>
        <v>99.064999999999998</v>
      </c>
      <c r="AF6" s="165">
        <f t="shared" ref="AF6:AF23" ca="1" si="8">AE6-AD6</f>
        <v>-1.7149990000000059</v>
      </c>
      <c r="AG6" s="165">
        <f t="shared" ref="AG6:AG23" ca="1" si="9">AF6*X6</f>
        <v>0</v>
      </c>
      <c r="AH6" s="522">
        <f ca="1">AG6+AG7</f>
        <v>0</v>
      </c>
      <c r="AI6" s="460"/>
      <c r="AJ6" s="458"/>
      <c r="AK6" t="s">
        <v>362</v>
      </c>
      <c r="AN6"/>
    </row>
    <row r="7" spans="1:43" ht="15.75" thickBot="1" x14ac:dyDescent="0.3">
      <c r="A7" s="81" t="e">
        <f>MATCH(G7,SCALARS!D:D,0)</f>
        <v>#N/A</v>
      </c>
      <c r="B7" s="525"/>
      <c r="C7" s="82">
        <f>MATCH(G7,'MKT DATA'!B:B,0)</f>
        <v>47</v>
      </c>
      <c r="D7" s="354"/>
      <c r="E7" s="265" t="e" cm="1">
        <f t="array" aca="1" ref="E7" ca="1">INDIRECT(ADDRESS($A7,2,,,"scalars"))</f>
        <v>#N/A</v>
      </c>
      <c r="F7" s="20" t="e" cm="1">
        <f t="array" aca="1" ref="F7" ca="1">INDIRECT(ADDRESS($A7,5,,,"scalars"))</f>
        <v>#N/A</v>
      </c>
      <c r="G7" s="89" t="s">
        <v>148</v>
      </c>
      <c r="H7" s="37" cm="1">
        <f t="array" aca="1" ref="H7" ca="1">INDIRECT(ADDRESS($C7,H$3,,,"mkt data"))</f>
        <v>112.76</v>
      </c>
      <c r="I7" s="38" cm="1">
        <f t="array" aca="1" ref="I7" ca="1">INDIRECT(ADDRESS($C7,I$3,,,"mkt data"))</f>
        <v>113.12</v>
      </c>
      <c r="J7" s="151" t="e" cm="1">
        <f t="array" aca="1" ref="J7" ca="1">INDIRECT(ADDRESS($A7,J$3,,,"SCALARS"))</f>
        <v>#N/A</v>
      </c>
      <c r="K7" s="22" t="e">
        <f t="shared" ca="1" si="1"/>
        <v>#N/A</v>
      </c>
      <c r="L7" s="22" t="e">
        <f t="shared" ca="1" si="2"/>
        <v>#N/A</v>
      </c>
      <c r="M7" s="87" t="e" cm="1">
        <f t="array" aca="1" ref="M7" ca="1">INDIRECT(ADDRESS($A7,M$3,,,"scalars"))</f>
        <v>#N/A</v>
      </c>
      <c r="N7" s="23" t="e">
        <f t="shared" ca="1" si="3"/>
        <v>#N/A</v>
      </c>
      <c r="O7" s="23" t="e">
        <f t="shared" ca="1" si="4"/>
        <v>#N/A</v>
      </c>
      <c r="P7" s="478"/>
      <c r="Q7" s="476"/>
      <c r="R7" s="253" t="e">
        <f ca="1">IF(Q6&gt;R6,TRUE,FALSE)</f>
        <v>#N/A</v>
      </c>
      <c r="S7" s="224" t="e">
        <f ca="1">AND(IF(U6&gt;-S6,TRUE,FALSE),IF(X6&gt;0,TRUE,FALSE))</f>
        <v>#N/A</v>
      </c>
      <c r="T7" s="478"/>
      <c r="U7" s="476"/>
      <c r="V7" s="253" t="e">
        <f ca="1">IF(U6&gt;V6,TRUE,FALSE)</f>
        <v>#N/A</v>
      </c>
      <c r="W7" s="61" t="e">
        <f ca="1">AND(IF(Q6&gt;-W6,TRUE,FALSE),IF(X6&lt;0,TRUE,FALSE))</f>
        <v>#N/A</v>
      </c>
      <c r="X7" s="29" cm="1">
        <f t="array" aca="1" ref="X7" ca="1">INDIRECT(ADDRESS($C7,X$3,,,"mkt data"))</f>
        <v>0</v>
      </c>
      <c r="Y7" s="50">
        <f t="shared" ca="1" si="5"/>
        <v>0</v>
      </c>
      <c r="Z7" s="29" t="e">
        <f t="shared" ca="1" si="6"/>
        <v>#N/A</v>
      </c>
      <c r="AA7" s="486"/>
      <c r="AB7" s="463"/>
      <c r="AC7" s="183" t="str">
        <f t="shared" si="0"/>
        <v>XLY</v>
      </c>
      <c r="AD7" s="37" cm="1">
        <f t="array" aca="1" ref="AD7" ca="1">INDIRECT(ADDRESS($C7,AD$3,,,"mkt data"))</f>
        <v>115.010002</v>
      </c>
      <c r="AE7" s="167">
        <f t="shared" ca="1" si="7"/>
        <v>112.94</v>
      </c>
      <c r="AF7" s="167">
        <f t="shared" ca="1" si="8"/>
        <v>-2.0700020000000023</v>
      </c>
      <c r="AG7" s="167">
        <f t="shared" ca="1" si="9"/>
        <v>0</v>
      </c>
      <c r="AH7" s="523"/>
      <c r="AI7" s="461"/>
      <c r="AJ7" s="459"/>
      <c r="AK7" t="s">
        <v>383</v>
      </c>
      <c r="AN7"/>
    </row>
    <row r="8" spans="1:43" x14ac:dyDescent="0.25">
      <c r="A8" s="79" t="e">
        <f>MATCH(G8,SCALARS!D:D,0)</f>
        <v>#N/A</v>
      </c>
      <c r="B8" s="524">
        <f>MATCH(G8,'SCALAR INPUTS'!E:E,0)</f>
        <v>43</v>
      </c>
      <c r="C8" s="80">
        <f>MATCH(G8,'MKT DATA'!B:B,0)</f>
        <v>53</v>
      </c>
      <c r="D8" s="353"/>
      <c r="E8" s="264" t="e" cm="1">
        <f t="array" aca="1" ref="E8" ca="1">INDIRECT(ADDRESS($A8,2,,,"scalars"))</f>
        <v>#N/A</v>
      </c>
      <c r="F8" s="14" t="e" cm="1">
        <f t="array" aca="1" ref="F8" ca="1">INDIRECT(ADDRESS($A8,5,,,"scalars"))</f>
        <v>#N/A</v>
      </c>
      <c r="G8" s="15" t="s">
        <v>83</v>
      </c>
      <c r="H8" s="33" cm="1">
        <f t="array" aca="1" ref="H8" ca="1">INDIRECT(ADDRESS($C8,H$3,,,"mkt data"))</f>
        <v>69.33</v>
      </c>
      <c r="I8" s="34" cm="1">
        <f t="array" aca="1" ref="I8" ca="1">INDIRECT(ADDRESS($C8,I$3,,,"mkt data"))</f>
        <v>69.39</v>
      </c>
      <c r="J8" s="150" t="e" cm="1">
        <f t="array" aca="1" ref="J8" ca="1">INDIRECT(ADDRESS($A8,J$3,,,"SCALARS"))</f>
        <v>#N/A</v>
      </c>
      <c r="K8" s="16" t="e">
        <f t="shared" ca="1" si="1"/>
        <v>#N/A</v>
      </c>
      <c r="L8" s="16" t="e">
        <f t="shared" ca="1" si="2"/>
        <v>#N/A</v>
      </c>
      <c r="M8" s="73" t="e" cm="1">
        <f t="array" aca="1" ref="M8" ca="1">INDIRECT(ADDRESS($A8,M$3,,,"scalars"))</f>
        <v>#N/A</v>
      </c>
      <c r="N8" s="17" t="e">
        <f t="shared" ca="1" si="3"/>
        <v>#N/A</v>
      </c>
      <c r="O8" s="17" t="e">
        <f t="shared" ca="1" si="4"/>
        <v>#N/A</v>
      </c>
      <c r="P8" s="504" t="e">
        <f ca="1">N9-O8</f>
        <v>#N/A</v>
      </c>
      <c r="Q8" s="508" t="e">
        <f ca="1">LN(N9/O8)</f>
        <v>#N/A</v>
      </c>
      <c r="R8" s="252" t="e" cm="1">
        <f t="array" aca="1" ref="R8" ca="1">-INDIRECT(ADDRESS($B8,R$3,,,"threshold info"))</f>
        <v>#REF!</v>
      </c>
      <c r="S8" s="223" t="e" cm="1">
        <f t="array" aca="1" ref="S8" ca="1">-INDIRECT(ADDRESS($B8,S$3,,,"threshold info"))</f>
        <v>#REF!</v>
      </c>
      <c r="T8" s="477" t="e">
        <f ca="1">N8-O9</f>
        <v>#N/A</v>
      </c>
      <c r="U8" s="475" t="e">
        <f ca="1">LN(N8/O9)</f>
        <v>#N/A</v>
      </c>
      <c r="V8" s="252" t="e" cm="1">
        <f t="array" aca="1" ref="V8" ca="1">INDIRECT(ADDRESS($B8,V$3,,,"threshold info"))</f>
        <v>#REF!</v>
      </c>
      <c r="W8" s="60" t="e" cm="1">
        <f t="array" aca="1" ref="W8" ca="1">INDIRECT(ADDRESS($B8,W$3,,,"threshold info"))</f>
        <v>#REF!</v>
      </c>
      <c r="X8" s="27" cm="1">
        <f t="array" aca="1" ref="X8" ca="1">INDIRECT(ADDRESS($C8,X$3,,,"mkt data"))</f>
        <v>0</v>
      </c>
      <c r="Y8" s="48">
        <f t="shared" ca="1" si="5"/>
        <v>0</v>
      </c>
      <c r="Z8" s="27" t="e">
        <f t="shared" ca="1" si="6"/>
        <v>#N/A</v>
      </c>
      <c r="AA8" s="485" t="e">
        <f ca="1">SUM(Z8:Z9)</f>
        <v>#N/A</v>
      </c>
      <c r="AB8" s="462"/>
      <c r="AC8" s="173" t="str">
        <f t="shared" si="0"/>
        <v>XLE</v>
      </c>
      <c r="AD8" s="33" cm="1">
        <f t="array" aca="1" ref="AD8" ca="1">INDIRECT(ADDRESS($C8,AD$3,,,"mkt data"))</f>
        <v>67.569999999999993</v>
      </c>
      <c r="AE8" s="165">
        <f t="shared" ca="1" si="7"/>
        <v>69.36</v>
      </c>
      <c r="AF8" s="165">
        <f t="shared" ca="1" si="8"/>
        <v>1.7900000000000063</v>
      </c>
      <c r="AG8" s="165">
        <f t="shared" ca="1" si="9"/>
        <v>0</v>
      </c>
      <c r="AH8" s="522">
        <f ca="1">AG8+AG9</f>
        <v>0</v>
      </c>
      <c r="AI8" s="460"/>
      <c r="AJ8" s="458"/>
      <c r="AK8" s="362" t="s">
        <v>385</v>
      </c>
      <c r="AN8"/>
    </row>
    <row r="9" spans="1:43" ht="15.75" thickBot="1" x14ac:dyDescent="0.3">
      <c r="A9" s="81" t="e">
        <f>MATCH(G9,SCALARS!D:D,0)</f>
        <v>#N/A</v>
      </c>
      <c r="B9" s="525"/>
      <c r="C9" s="82">
        <f>MATCH(G9,'MKT DATA'!B:B,0)</f>
        <v>51</v>
      </c>
      <c r="D9" s="354"/>
      <c r="E9" s="265" t="e" cm="1">
        <f t="array" aca="1" ref="E9" ca="1">INDIRECT(ADDRESS($A9,2,,,"scalars"))</f>
        <v>#N/A</v>
      </c>
      <c r="F9" s="20" t="e" cm="1">
        <f t="array" aca="1" ref="F9" ca="1">INDIRECT(ADDRESS($A9,5,,,"scalars"))</f>
        <v>#N/A</v>
      </c>
      <c r="G9" s="21" t="s">
        <v>81</v>
      </c>
      <c r="H9" s="37" cm="1">
        <f t="array" aca="1" ref="H9" ca="1">INDIRECT(ADDRESS($C9,H$3,,,"mkt data"))</f>
        <v>72.069999999999993</v>
      </c>
      <c r="I9" s="38" cm="1">
        <f t="array" aca="1" ref="I9" ca="1">INDIRECT(ADDRESS($C9,I$3,,,"mkt data"))</f>
        <v>74.19</v>
      </c>
      <c r="J9" s="151" t="e" cm="1">
        <f t="array" aca="1" ref="J9" ca="1">INDIRECT(ADDRESS($A9,J$3,,,"SCALARS"))</f>
        <v>#N/A</v>
      </c>
      <c r="K9" s="22" t="e">
        <f t="shared" ca="1" si="1"/>
        <v>#N/A</v>
      </c>
      <c r="L9" s="22" t="e">
        <f t="shared" ca="1" si="2"/>
        <v>#N/A</v>
      </c>
      <c r="M9" s="45" t="e" cm="1">
        <f t="array" aca="1" ref="M9" ca="1">INDIRECT(ADDRESS($A9,M$3,,,"scalars"))</f>
        <v>#N/A</v>
      </c>
      <c r="N9" s="23" t="e">
        <f t="shared" ca="1" si="3"/>
        <v>#N/A</v>
      </c>
      <c r="O9" s="23" t="e">
        <f t="shared" ca="1" si="4"/>
        <v>#N/A</v>
      </c>
      <c r="P9" s="505"/>
      <c r="Q9" s="509"/>
      <c r="R9" s="253" t="e">
        <f ca="1">IF(Q8&gt;R8,TRUE,FALSE)</f>
        <v>#N/A</v>
      </c>
      <c r="S9" s="224" t="e">
        <f ca="1">AND(IF(U8&gt;-S8,TRUE,FALSE),IF(X8&gt;0,TRUE,FALSE))</f>
        <v>#N/A</v>
      </c>
      <c r="T9" s="478"/>
      <c r="U9" s="476"/>
      <c r="V9" s="253" t="e">
        <f ca="1">IF(U8&gt;V8,TRUE,FALSE)</f>
        <v>#N/A</v>
      </c>
      <c r="W9" s="61" t="e">
        <f ca="1">AND(IF(Q8&gt;-W8,TRUE,FALSE),IF(X8&lt;0,TRUE,FALSE))</f>
        <v>#N/A</v>
      </c>
      <c r="X9" s="29" cm="1">
        <f t="array" aca="1" ref="X9" ca="1">INDIRECT(ADDRESS($C9,X$3,,,"mkt data"))</f>
        <v>0</v>
      </c>
      <c r="Y9" s="50">
        <f t="shared" ca="1" si="5"/>
        <v>0</v>
      </c>
      <c r="Z9" s="29" t="e">
        <f t="shared" ca="1" si="6"/>
        <v>#N/A</v>
      </c>
      <c r="AA9" s="486"/>
      <c r="AB9" s="463"/>
      <c r="AC9" s="181" t="str">
        <f t="shared" si="0"/>
        <v>IYE</v>
      </c>
      <c r="AD9" s="37" cm="1">
        <f t="array" aca="1" ref="AD9" ca="1">INDIRECT(ADDRESS($C9,AD$3,,,"mkt data"))</f>
        <v>71.050003000000004</v>
      </c>
      <c r="AE9" s="167">
        <f t="shared" ca="1" si="7"/>
        <v>73.13</v>
      </c>
      <c r="AF9" s="167">
        <f t="shared" ca="1" si="8"/>
        <v>2.0799969999999917</v>
      </c>
      <c r="AG9" s="167">
        <f t="shared" ca="1" si="9"/>
        <v>0</v>
      </c>
      <c r="AH9" s="523"/>
      <c r="AI9" s="461"/>
      <c r="AJ9" s="459"/>
      <c r="AN9"/>
    </row>
    <row r="10" spans="1:43" x14ac:dyDescent="0.25">
      <c r="A10" s="79" t="e">
        <f>MATCH(G10,SCALARS!D:D,0)</f>
        <v>#N/A</v>
      </c>
      <c r="B10" s="524">
        <f>MATCH(G10,'SCALAR INPUTS'!E:E,0)</f>
        <v>44</v>
      </c>
      <c r="C10" s="80">
        <f>MATCH(G10,'MKT DATA'!B:B,0)</f>
        <v>59</v>
      </c>
      <c r="D10" s="353"/>
      <c r="E10" s="264" t="e" cm="1">
        <f t="array" aca="1" ref="E10" ca="1">INDIRECT(ADDRESS($A10,2,,,"scalars"))</f>
        <v>#N/A</v>
      </c>
      <c r="F10" s="14" t="e" cm="1">
        <f t="array" aca="1" ref="F10" ca="1">INDIRECT(ADDRESS($A10,5,,,"scalars"))</f>
        <v>#N/A</v>
      </c>
      <c r="G10" s="15" t="s">
        <v>86</v>
      </c>
      <c r="H10" s="33" cm="1">
        <f t="array" aca="1" ref="H10" ca="1">INDIRECT(ADDRESS($C10,H$3,,,"mkt data"))</f>
        <v>55.88</v>
      </c>
      <c r="I10" s="34" cm="1">
        <f t="array" aca="1" ref="I10" ca="1">INDIRECT(ADDRESS($C10,I$3,,,"mkt data"))</f>
        <v>55.94</v>
      </c>
      <c r="J10" s="150" t="e" cm="1">
        <f t="array" aca="1" ref="J10" ca="1">INDIRECT(ADDRESS($A10,J$3,,,"SCALARS"))</f>
        <v>#N/A</v>
      </c>
      <c r="K10" s="16" t="e">
        <f t="shared" ca="1" si="1"/>
        <v>#N/A</v>
      </c>
      <c r="L10" s="16" t="e">
        <f t="shared" ca="1" si="2"/>
        <v>#N/A</v>
      </c>
      <c r="M10" s="44" t="e" cm="1">
        <f t="array" aca="1" ref="M10" ca="1">INDIRECT(ADDRESS($A10,M$3,,,"scalars"))</f>
        <v>#N/A</v>
      </c>
      <c r="N10" s="17" t="e">
        <f t="shared" ca="1" si="3"/>
        <v>#N/A</v>
      </c>
      <c r="O10" s="17" t="e">
        <f t="shared" ca="1" si="4"/>
        <v>#N/A</v>
      </c>
      <c r="P10" s="477" t="e">
        <f ca="1">N11-O10</f>
        <v>#N/A</v>
      </c>
      <c r="Q10" s="493" t="e">
        <f ca="1">LN(N11/O10)</f>
        <v>#N/A</v>
      </c>
      <c r="R10" s="252" t="e" cm="1">
        <f t="array" aca="1" ref="R10" ca="1">-INDIRECT(ADDRESS($B10,R$3,,,"threshold info"))</f>
        <v>#REF!</v>
      </c>
      <c r="S10" s="223" t="e" cm="1">
        <f t="array" aca="1" ref="S10" ca="1">-INDIRECT(ADDRESS($B10,S$3,,,"threshold info"))</f>
        <v>#REF!</v>
      </c>
      <c r="T10" s="477" t="e">
        <f ca="1">N10-O11</f>
        <v>#N/A</v>
      </c>
      <c r="U10" s="475" t="e">
        <f ca="1">LN(N10/O11)</f>
        <v>#N/A</v>
      </c>
      <c r="V10" s="252" t="e" cm="1">
        <f t="array" aca="1" ref="V10" ca="1">INDIRECT(ADDRESS($B10,V$3,,,"threshold info"))</f>
        <v>#REF!</v>
      </c>
      <c r="W10" s="60" t="e" cm="1">
        <f t="array" aca="1" ref="W10" ca="1">INDIRECT(ADDRESS($B10,W$3,,,"threshold info"))</f>
        <v>#REF!</v>
      </c>
      <c r="X10" s="27" cm="1">
        <f t="array" aca="1" ref="X10" ca="1">INDIRECT(ADDRESS($C10,X$3,,,"mkt data"))</f>
        <v>-8041</v>
      </c>
      <c r="Y10" s="48">
        <f t="shared" ca="1" si="5"/>
        <v>-449572.31</v>
      </c>
      <c r="Z10" s="27" t="e">
        <f t="shared" ca="1" si="6"/>
        <v>#N/A</v>
      </c>
      <c r="AA10" s="485" t="e">
        <f ca="1">SUM(Z10:Z11)</f>
        <v>#N/A</v>
      </c>
      <c r="AB10" s="474">
        <v>46293</v>
      </c>
      <c r="AC10" s="173" t="str">
        <f t="shared" si="0"/>
        <v>XLF</v>
      </c>
      <c r="AD10" s="33" cm="1">
        <f t="array" aca="1" ref="AD10" ca="1">INDIRECT(ADDRESS($C10,AD$3,,,"mkt data"))</f>
        <v>56.650002000000001</v>
      </c>
      <c r="AE10" s="165">
        <f t="shared" ca="1" si="7"/>
        <v>55.91</v>
      </c>
      <c r="AF10" s="165">
        <f t="shared" ca="1" si="8"/>
        <v>-0.74000200000000405</v>
      </c>
      <c r="AG10" s="165">
        <f t="shared" ca="1" si="9"/>
        <v>5950.356082000033</v>
      </c>
      <c r="AH10" s="522">
        <f ca="1">AG10+AG11</f>
        <v>1615.332282000074</v>
      </c>
      <c r="AI10" s="460" t="e">
        <f ca="1">Q10+W10</f>
        <v>#N/A</v>
      </c>
      <c r="AJ10" s="458" t="e">
        <f ca="1">AI10*Y10</f>
        <v>#N/A</v>
      </c>
      <c r="AK10" s="266"/>
      <c r="AN10"/>
    </row>
    <row r="11" spans="1:43" ht="15.75" thickBot="1" x14ac:dyDescent="0.3">
      <c r="A11" s="81" t="e">
        <f>MATCH(G11,SCALARS!D:D,0)</f>
        <v>#N/A</v>
      </c>
      <c r="B11" s="525"/>
      <c r="C11" s="82">
        <f>MATCH(G11,'MKT DATA'!B:B,0)</f>
        <v>57</v>
      </c>
      <c r="D11" s="354"/>
      <c r="E11" s="265" t="e" cm="1">
        <f t="array" aca="1" ref="E11" ca="1">INDIRECT(ADDRESS($A11,2,,,"scalars"))</f>
        <v>#N/A</v>
      </c>
      <c r="F11" s="20" t="e" cm="1">
        <f t="array" aca="1" ref="F11" ca="1">INDIRECT(ADDRESS($A11,5,,,"scalars"))</f>
        <v>#N/A</v>
      </c>
      <c r="G11" s="21" t="s">
        <v>84</v>
      </c>
      <c r="H11" s="37" cm="1">
        <f t="array" aca="1" ref="H11" ca="1">INDIRECT(ADDRESS($C11,H$3,,,"mkt data"))</f>
        <v>129.16</v>
      </c>
      <c r="I11" s="38" cm="1">
        <f t="array" aca="1" ref="I11" ca="1">INDIRECT(ADDRESS($C11,I$3,,,"mkt data"))</f>
        <v>131.71</v>
      </c>
      <c r="J11" s="151" t="e" cm="1">
        <f t="array" aca="1" ref="J11" ca="1">INDIRECT(ADDRESS($A11,J$3,,,"SCALARS"))</f>
        <v>#N/A</v>
      </c>
      <c r="K11" s="22" t="e">
        <f t="shared" ca="1" si="1"/>
        <v>#N/A</v>
      </c>
      <c r="L11" s="22" t="e">
        <f t="shared" ca="1" si="2"/>
        <v>#N/A</v>
      </c>
      <c r="M11" s="45" t="e" cm="1">
        <f t="array" aca="1" ref="M11" ca="1">INDIRECT(ADDRESS($A11,M$3,,,"scalars"))</f>
        <v>#N/A</v>
      </c>
      <c r="N11" s="23" t="e">
        <f t="shared" ca="1" si="3"/>
        <v>#N/A</v>
      </c>
      <c r="O11" s="23" t="e">
        <f t="shared" ca="1" si="4"/>
        <v>#N/A</v>
      </c>
      <c r="P11" s="478"/>
      <c r="Q11" s="494"/>
      <c r="R11" s="253" t="e">
        <f ca="1">IF(Q10&gt;R10,TRUE,FALSE)</f>
        <v>#N/A</v>
      </c>
      <c r="S11" s="224" t="e">
        <f ca="1">AND(IF(U10&gt;-S10,TRUE,FALSE),IF(X10&gt;0,TRUE,FALSE))</f>
        <v>#N/A</v>
      </c>
      <c r="T11" s="478"/>
      <c r="U11" s="476"/>
      <c r="V11" s="253" t="e">
        <f ca="1">IF(U10&gt;V10,TRUE,FALSE)</f>
        <v>#N/A</v>
      </c>
      <c r="W11" s="61" t="e">
        <f ca="1">AND(IF(Q10&gt;-W10,TRUE,FALSE),IF(X10&lt;0,TRUE,FALSE))</f>
        <v>#N/A</v>
      </c>
      <c r="X11" s="29" cm="1">
        <f t="array" aca="1" ref="X11" ca="1">INDIRECT(ADDRESS($C11,X$3,,,"mkt data"))</f>
        <v>3400</v>
      </c>
      <c r="Y11" s="50">
        <f t="shared" ca="1" si="5"/>
        <v>443479</v>
      </c>
      <c r="Z11" s="29" t="e">
        <f t="shared" ca="1" si="6"/>
        <v>#N/A</v>
      </c>
      <c r="AA11" s="486"/>
      <c r="AB11" s="463"/>
      <c r="AC11" s="181" t="str">
        <f t="shared" si="0"/>
        <v>IYF</v>
      </c>
      <c r="AD11" s="37" cm="1">
        <f t="array" aca="1" ref="AD11" ca="1">INDIRECT(ADDRESS($C11,AD$3,,,"mkt data"))</f>
        <v>131.71000699999999</v>
      </c>
      <c r="AE11" s="167">
        <f t="shared" ca="1" si="7"/>
        <v>130.435</v>
      </c>
      <c r="AF11" s="167">
        <f t="shared" ca="1" si="8"/>
        <v>-1.275006999999988</v>
      </c>
      <c r="AG11" s="167">
        <f t="shared" ca="1" si="9"/>
        <v>-4335.023799999959</v>
      </c>
      <c r="AH11" s="523"/>
      <c r="AI11" s="461"/>
      <c r="AJ11" s="459"/>
      <c r="AL11" s="362"/>
      <c r="AN11"/>
    </row>
    <row r="12" spans="1:43" x14ac:dyDescent="0.25">
      <c r="A12" s="79" t="e">
        <f>MATCH(G12,SCALARS!D:D,0)</f>
        <v>#N/A</v>
      </c>
      <c r="B12" s="524">
        <f>MATCH(G12,'SCALAR INPUTS'!E:E,0)</f>
        <v>37</v>
      </c>
      <c r="C12" s="80">
        <f>MATCH(G12,'MKT DATA'!B:B,0)</f>
        <v>65</v>
      </c>
      <c r="D12" s="353"/>
      <c r="E12" s="264" t="e" cm="1">
        <f t="array" aca="1" ref="E12" ca="1">INDIRECT(ADDRESS($A12,2,,,"scalars"))</f>
        <v>#N/A</v>
      </c>
      <c r="F12" s="14" t="e" cm="1">
        <f t="array" aca="1" ref="F12" ca="1">INDIRECT(ADDRESS($A12,5,,,"scalars"))</f>
        <v>#N/A</v>
      </c>
      <c r="G12" s="88" t="s">
        <v>88</v>
      </c>
      <c r="H12" s="33" cm="1">
        <f t="array" aca="1" ref="H12" ca="1">INDIRECT(ADDRESS($C12,H$3,,,"mkt data"))</f>
        <v>74.72</v>
      </c>
      <c r="I12" s="34" cm="1">
        <f t="array" aca="1" ref="I12" ca="1">INDIRECT(ADDRESS($C12,I$3,,,"mkt data"))</f>
        <v>75.38</v>
      </c>
      <c r="J12" s="150" t="e" cm="1">
        <f t="array" aca="1" ref="J12" ca="1">INDIRECT(ADDRESS($A12,J$3,,,"SCALARS"))</f>
        <v>#N/A</v>
      </c>
      <c r="K12" s="16" t="e">
        <f t="shared" ca="1" si="1"/>
        <v>#N/A</v>
      </c>
      <c r="L12" s="16" t="e">
        <f t="shared" ca="1" si="2"/>
        <v>#N/A</v>
      </c>
      <c r="M12" s="86" t="e" cm="1">
        <f t="array" aca="1" ref="M12" ca="1">INDIRECT(ADDRESS($A12,M$3,,,"scalars"))</f>
        <v>#N/A</v>
      </c>
      <c r="N12" s="17" t="e">
        <f t="shared" ca="1" si="3"/>
        <v>#N/A</v>
      </c>
      <c r="O12" s="17" t="e">
        <f t="shared" ca="1" si="4"/>
        <v>#N/A</v>
      </c>
      <c r="P12" s="477" t="e">
        <f ca="1">N13-O12</f>
        <v>#N/A</v>
      </c>
      <c r="Q12" s="475" t="e">
        <f ca="1">LN(N13/O12)</f>
        <v>#N/A</v>
      </c>
      <c r="R12" s="252" t="e" cm="1">
        <f t="array" aca="1" ref="R12" ca="1">-INDIRECT(ADDRESS($B12,R$3,,,"threshold info"))</f>
        <v>#REF!</v>
      </c>
      <c r="S12" s="223" t="e" cm="1">
        <f t="array" aca="1" ref="S12" ca="1">-INDIRECT(ADDRESS($B12,S$3,,,"threshold info"))</f>
        <v>#REF!</v>
      </c>
      <c r="T12" s="477" t="e">
        <f ca="1">N12-O13</f>
        <v>#N/A</v>
      </c>
      <c r="U12" s="493" t="e">
        <f ca="1">LN(N12/O13)</f>
        <v>#N/A</v>
      </c>
      <c r="V12" s="252" t="e" cm="1">
        <f t="array" aca="1" ref="V12" ca="1">INDIRECT(ADDRESS($B12,V$3,,,"threshold info"))</f>
        <v>#REF!</v>
      </c>
      <c r="W12" s="60" t="e" cm="1">
        <f t="array" aca="1" ref="W12" ca="1">INDIRECT(ADDRESS($B12,W$3,,,"threshold info"))</f>
        <v>#REF!</v>
      </c>
      <c r="X12" s="27" cm="1">
        <f t="array" aca="1" ref="X12" ca="1">INDIRECT(ADDRESS($C12,X$3,,,"mkt data"))</f>
        <v>3304</v>
      </c>
      <c r="Y12" s="48">
        <f t="shared" ca="1" si="5"/>
        <v>247965.19999999998</v>
      </c>
      <c r="Z12" s="27" t="e">
        <f t="shared" ca="1" si="6"/>
        <v>#N/A</v>
      </c>
      <c r="AA12" s="485" t="e">
        <f ca="1">SUM(Z12:Z13)</f>
        <v>#N/A</v>
      </c>
      <c r="AB12" s="474">
        <v>46303</v>
      </c>
      <c r="AC12" s="182" t="str">
        <f t="shared" si="0"/>
        <v>IYH</v>
      </c>
      <c r="AD12" s="33" cm="1">
        <f t="array" aca="1" ref="AD12" ca="1">INDIRECT(ADDRESS($C12,AD$3,,,"mkt data"))</f>
        <v>76.220000999999996</v>
      </c>
      <c r="AE12" s="165">
        <f t="shared" ca="1" si="7"/>
        <v>75.05</v>
      </c>
      <c r="AF12" s="165">
        <f t="shared" ca="1" si="8"/>
        <v>-1.1700009999999992</v>
      </c>
      <c r="AG12" s="165">
        <f t="shared" ca="1" si="9"/>
        <v>-3865.6833039999974</v>
      </c>
      <c r="AH12" s="522">
        <f ca="1">AG12+AG13</f>
        <v>-1037.6791039999935</v>
      </c>
      <c r="AI12" s="460" t="e">
        <f ca="1">+U12+S12</f>
        <v>#N/A</v>
      </c>
      <c r="AJ12" s="458" t="e">
        <f ca="1">-AI12*Y12</f>
        <v>#N/A</v>
      </c>
      <c r="AK12" s="266"/>
      <c r="AL12" s="362"/>
      <c r="AN12"/>
    </row>
    <row r="13" spans="1:43" ht="15.75" thickBot="1" x14ac:dyDescent="0.3">
      <c r="A13" s="81" t="e">
        <f>MATCH(G13,SCALARS!D:D,0)</f>
        <v>#N/A</v>
      </c>
      <c r="B13" s="525"/>
      <c r="C13" s="82">
        <f>MATCH(G13,'MKT DATA'!B:B,0)</f>
        <v>67</v>
      </c>
      <c r="D13" s="354"/>
      <c r="E13" s="265" t="e" cm="1">
        <f t="array" aca="1" ref="E13" ca="1">INDIRECT(ADDRESS($A13,2,,,"scalars"))</f>
        <v>#N/A</v>
      </c>
      <c r="F13" s="20" t="e" cm="1">
        <f t="array" aca="1" ref="F13" ca="1">INDIRECT(ADDRESS($A13,5,,,"scalars"))</f>
        <v>#N/A</v>
      </c>
      <c r="G13" s="89" t="s">
        <v>90</v>
      </c>
      <c r="H13" s="37" cm="1">
        <f t="array" aca="1" ref="H13" ca="1">INDIRECT(ADDRESS($C13,H$3,,,"mkt data"))</f>
        <v>178.68</v>
      </c>
      <c r="I13" s="38" cm="1">
        <f t="array" aca="1" ref="I13" ca="1">INDIRECT(ADDRESS($C13,I$3,,,"mkt data"))</f>
        <v>179.88</v>
      </c>
      <c r="J13" s="151" t="e" cm="1">
        <f t="array" aca="1" ref="J13" ca="1">INDIRECT(ADDRESS($A13,J$3,,,"SCALARS"))</f>
        <v>#N/A</v>
      </c>
      <c r="K13" s="22" t="e">
        <f t="shared" ca="1" si="1"/>
        <v>#N/A</v>
      </c>
      <c r="L13" s="22" t="e">
        <f t="shared" ca="1" si="2"/>
        <v>#N/A</v>
      </c>
      <c r="M13" s="87" t="e" cm="1">
        <f t="array" aca="1" ref="M13" ca="1">INDIRECT(ADDRESS($A13,M$3,,,"scalars"))</f>
        <v>#N/A</v>
      </c>
      <c r="N13" s="23" t="e">
        <f t="shared" ca="1" si="3"/>
        <v>#N/A</v>
      </c>
      <c r="O13" s="23" t="e">
        <f t="shared" ca="1" si="4"/>
        <v>#N/A</v>
      </c>
      <c r="P13" s="478"/>
      <c r="Q13" s="476"/>
      <c r="R13" s="253" t="e">
        <f ca="1">IF(Q12&gt;R12,TRUE,FALSE)</f>
        <v>#N/A</v>
      </c>
      <c r="S13" s="224" t="e">
        <f ca="1">AND(IF(U12&gt;-S12,TRUE,FALSE),IF(X12&gt;0,TRUE,FALSE))</f>
        <v>#N/A</v>
      </c>
      <c r="T13" s="478"/>
      <c r="U13" s="494"/>
      <c r="V13" s="253" t="e">
        <f ca="1">IF(U12&gt;V12,TRUE,FALSE)</f>
        <v>#N/A</v>
      </c>
      <c r="W13" s="61" t="e">
        <f ca="1">AND(IF(Q12&gt;-W12,TRUE,FALSE),IF(X12&lt;0,TRUE,FALSE))</f>
        <v>#N/A</v>
      </c>
      <c r="X13" s="29" cm="1">
        <f t="array" aca="1" ref="X13" ca="1">INDIRECT(ADDRESS($C13,X$3,,,"mkt data"))</f>
        <v>-1400</v>
      </c>
      <c r="Y13" s="50">
        <f t="shared" ca="1" si="5"/>
        <v>-250992</v>
      </c>
      <c r="Z13" s="29" t="e">
        <f t="shared" ca="1" si="6"/>
        <v>#N/A</v>
      </c>
      <c r="AA13" s="486"/>
      <c r="AB13" s="463"/>
      <c r="AC13" s="183" t="str">
        <f t="shared" si="0"/>
        <v>XLV</v>
      </c>
      <c r="AD13" s="37" cm="1">
        <f t="array" aca="1" ref="AD13" ca="1">INDIRECT(ADDRESS($C13,AD$3,,,"mkt data"))</f>
        <v>181.300003</v>
      </c>
      <c r="AE13" s="167">
        <f t="shared" ca="1" si="7"/>
        <v>179.28</v>
      </c>
      <c r="AF13" s="167">
        <f t="shared" ca="1" si="8"/>
        <v>-2.0200030000000027</v>
      </c>
      <c r="AG13" s="167">
        <f t="shared" ca="1" si="9"/>
        <v>2828.0042000000039</v>
      </c>
      <c r="AH13" s="523"/>
      <c r="AI13" s="461"/>
      <c r="AJ13" s="459"/>
      <c r="AL13" s="362"/>
      <c r="AN13"/>
    </row>
    <row r="14" spans="1:43" x14ac:dyDescent="0.25">
      <c r="A14" s="79" t="e">
        <f>MATCH(G14,SCALARS!D:D,0)</f>
        <v>#N/A</v>
      </c>
      <c r="B14" s="524">
        <f>MATCH(G14,'SCALAR INPUTS'!E:E,0)</f>
        <v>38</v>
      </c>
      <c r="C14" s="80">
        <f>MATCH(G14,'MKT DATA'!B:B,0)</f>
        <v>91</v>
      </c>
      <c r="D14" s="353"/>
      <c r="E14" s="264" t="e" cm="1">
        <f t="array" aca="1" ref="E14" ca="1">INDIRECT(ADDRESS($A14,2,,,"scalars"))</f>
        <v>#N/A</v>
      </c>
      <c r="F14" s="14" t="e" cm="1">
        <f t="array" aca="1" ref="F14" ca="1">INDIRECT(ADDRESS($A14,5,,,"scalars"))</f>
        <v>#N/A</v>
      </c>
      <c r="G14" s="88" t="s">
        <v>115</v>
      </c>
      <c r="H14" s="33" cm="1">
        <f t="array" aca="1" ref="H14" ca="1">INDIRECT(ADDRESS($C14,H$3,,,"mkt data"))</f>
        <v>153.9</v>
      </c>
      <c r="I14" s="34" cm="1">
        <f t="array" aca="1" ref="I14" ca="1">INDIRECT(ADDRESS($C14,I$3,,,"mkt data"))</f>
        <v>156.46</v>
      </c>
      <c r="J14" s="150" t="e" cm="1">
        <f t="array" aca="1" ref="J14" ca="1">INDIRECT(ADDRESS($A14,J$3,,,"SCALARS"))</f>
        <v>#N/A</v>
      </c>
      <c r="K14" s="16" t="e">
        <f t="shared" ca="1" si="1"/>
        <v>#N/A</v>
      </c>
      <c r="L14" s="16" t="e">
        <f t="shared" ca="1" si="2"/>
        <v>#N/A</v>
      </c>
      <c r="M14" s="86" t="e" cm="1">
        <f t="array" aca="1" ref="M14" ca="1">INDIRECT(ADDRESS($A14,M$3,,,"scalars"))</f>
        <v>#N/A</v>
      </c>
      <c r="N14" s="17" t="e">
        <f t="shared" ca="1" si="3"/>
        <v>#N/A</v>
      </c>
      <c r="O14" s="17" t="e">
        <f t="shared" ca="1" si="4"/>
        <v>#N/A</v>
      </c>
      <c r="P14" s="477" t="e">
        <f ca="1">N15-O14</f>
        <v>#N/A</v>
      </c>
      <c r="Q14" s="493" t="e">
        <f ca="1">LN(N15/O14)</f>
        <v>#N/A</v>
      </c>
      <c r="R14" s="252" t="e" cm="1">
        <f t="array" aca="1" ref="R14" ca="1">-INDIRECT(ADDRESS($B14,R$3,,,"threshold info"))</f>
        <v>#REF!</v>
      </c>
      <c r="S14" s="223" t="e" cm="1">
        <f t="array" aca="1" ref="S14" ca="1">-INDIRECT(ADDRESS($B14,S$3,,,"threshold info"))</f>
        <v>#REF!</v>
      </c>
      <c r="T14" s="477" t="e">
        <f ca="1">N14-O15</f>
        <v>#N/A</v>
      </c>
      <c r="U14" s="475" t="e">
        <f ca="1">LN(N14/O15)</f>
        <v>#N/A</v>
      </c>
      <c r="V14" s="252" t="e" cm="1">
        <f t="array" aca="1" ref="V14" ca="1">INDIRECT(ADDRESS($B14,V$3,,,"threshold info"))</f>
        <v>#REF!</v>
      </c>
      <c r="W14" s="60" t="e" cm="1">
        <f t="array" aca="1" ref="W14" ca="1">INDIRECT(ADDRESS($B14,W$3,,,"threshold info"))</f>
        <v>#REF!</v>
      </c>
      <c r="X14" s="27" cm="1">
        <f t="array" aca="1" ref="X14" ca="1">INDIRECT(ADDRESS($C14,X$3,,,"mkt data"))</f>
        <v>-1519</v>
      </c>
      <c r="Y14" s="48">
        <f t="shared" ca="1" si="5"/>
        <v>-235718.42</v>
      </c>
      <c r="Z14" s="27" t="e">
        <f t="shared" ca="1" si="6"/>
        <v>#N/A</v>
      </c>
      <c r="AA14" s="485" t="e">
        <f ca="1">SUM(Z14:Z15)</f>
        <v>#N/A</v>
      </c>
      <c r="AB14" s="474">
        <v>46304</v>
      </c>
      <c r="AC14" s="182" t="str">
        <f t="shared" si="0"/>
        <v>IYJ</v>
      </c>
      <c r="AD14" s="33" cm="1">
        <f t="array" aca="1" ref="AD14" ca="1">INDIRECT(ADDRESS($C14,AD$3,,,"mkt data"))</f>
        <v>157.14999399999999</v>
      </c>
      <c r="AE14" s="165">
        <f t="shared" ca="1" si="7"/>
        <v>155.18</v>
      </c>
      <c r="AF14" s="165">
        <f t="shared" ca="1" si="8"/>
        <v>-1.9699939999999856</v>
      </c>
      <c r="AG14" s="165">
        <f t="shared" ca="1" si="9"/>
        <v>2992.4208859999781</v>
      </c>
      <c r="AH14" s="522">
        <f ca="1">AG14+AG15</f>
        <v>31.426485999991201</v>
      </c>
      <c r="AI14" s="460" t="e">
        <f ca="1">Q14+W14</f>
        <v>#N/A</v>
      </c>
      <c r="AJ14" s="458" t="e">
        <f ca="1">AI14*Y14</f>
        <v>#N/A</v>
      </c>
      <c r="AK14" s="266"/>
      <c r="AL14" s="362"/>
      <c r="AN14"/>
    </row>
    <row r="15" spans="1:43" ht="15.75" thickBot="1" x14ac:dyDescent="0.3">
      <c r="A15" s="81" t="e">
        <f>MATCH(G15,SCALARS!D:D,0)</f>
        <v>#N/A</v>
      </c>
      <c r="B15" s="525"/>
      <c r="C15" s="82">
        <f>MATCH(G15,'MKT DATA'!B:B,0)</f>
        <v>93</v>
      </c>
      <c r="D15" s="354"/>
      <c r="E15" s="265" t="e" cm="1">
        <f t="array" aca="1" ref="E15" ca="1">INDIRECT(ADDRESS($A15,2,,,"scalars"))</f>
        <v>#N/A</v>
      </c>
      <c r="F15" s="20" t="e" cm="1">
        <f t="array" aca="1" ref="F15" ca="1">INDIRECT(ADDRESS($A15,5,,,"scalars"))</f>
        <v>#N/A</v>
      </c>
      <c r="G15" s="89" t="s">
        <v>92</v>
      </c>
      <c r="H15" s="37" cm="1">
        <f t="array" aca="1" ref="H15" ca="1">INDIRECT(ADDRESS($C15,H$3,,,"mkt data"))</f>
        <v>164</v>
      </c>
      <c r="I15" s="38" cm="1">
        <f t="array" aca="1" ref="I15" ca="1">INDIRECT(ADDRESS($C15,I$3,,,"mkt data"))</f>
        <v>165.23</v>
      </c>
      <c r="J15" s="151" t="e" cm="1">
        <f t="array" aca="1" ref="J15" ca="1">INDIRECT(ADDRESS($A15,J$3,,,"SCALARS"))</f>
        <v>#N/A</v>
      </c>
      <c r="K15" s="22" t="e">
        <f t="shared" ca="1" si="1"/>
        <v>#N/A</v>
      </c>
      <c r="L15" s="22" t="e">
        <f t="shared" ca="1" si="2"/>
        <v>#N/A</v>
      </c>
      <c r="M15" s="87" t="e" cm="1">
        <f t="array" aca="1" ref="M15" ca="1">INDIRECT(ADDRESS($A15,M$3,,,"scalars"))</f>
        <v>#N/A</v>
      </c>
      <c r="N15" s="23" t="e">
        <f t="shared" ca="1" si="3"/>
        <v>#N/A</v>
      </c>
      <c r="O15" s="23" t="e">
        <f t="shared" ca="1" si="4"/>
        <v>#N/A</v>
      </c>
      <c r="P15" s="478"/>
      <c r="Q15" s="494"/>
      <c r="R15" s="253" t="e">
        <f ca="1">IF(Q14&gt;R14,TRUE,FALSE)</f>
        <v>#N/A</v>
      </c>
      <c r="S15" s="224" t="e">
        <f ca="1">AND(IF(U14&gt;-S14,TRUE,FALSE),IF(X14&gt;0,TRUE,FALSE))</f>
        <v>#N/A</v>
      </c>
      <c r="T15" s="478"/>
      <c r="U15" s="476"/>
      <c r="V15" s="253" t="e">
        <f ca="1">IF(U14&gt;V14,TRUE,FALSE)</f>
        <v>#N/A</v>
      </c>
      <c r="W15" s="61" t="e">
        <f ca="1">AND(IF(Q14&gt;-W14,TRUE,FALSE),IF(X14&lt;0,TRUE,FALSE))</f>
        <v>#N/A</v>
      </c>
      <c r="X15" s="29" cm="1">
        <f t="array" aca="1" ref="X15" ca="1">INDIRECT(ADDRESS($C15,X$3,,,"mkt data"))</f>
        <v>1400</v>
      </c>
      <c r="Y15" s="50">
        <f t="shared" ca="1" si="5"/>
        <v>230461</v>
      </c>
      <c r="Z15" s="29" t="e">
        <f t="shared" ca="1" si="6"/>
        <v>#N/A</v>
      </c>
      <c r="AA15" s="486"/>
      <c r="AB15" s="463"/>
      <c r="AC15" s="183" t="str">
        <f t="shared" si="0"/>
        <v>XLI</v>
      </c>
      <c r="AD15" s="37" cm="1">
        <f t="array" aca="1" ref="AD15" ca="1">INDIRECT(ADDRESS($C15,AD$3,,,"mkt data"))</f>
        <v>166.729996</v>
      </c>
      <c r="AE15" s="167">
        <f t="shared" ca="1" si="7"/>
        <v>164.61500000000001</v>
      </c>
      <c r="AF15" s="167">
        <f t="shared" ca="1" si="8"/>
        <v>-2.1149959999999908</v>
      </c>
      <c r="AG15" s="167">
        <f t="shared" ca="1" si="9"/>
        <v>-2960.9943999999869</v>
      </c>
      <c r="AH15" s="523"/>
      <c r="AI15" s="461"/>
      <c r="AJ15" s="459"/>
      <c r="AL15" s="362"/>
      <c r="AN15"/>
    </row>
    <row r="16" spans="1:43" x14ac:dyDescent="0.25">
      <c r="A16" s="92" t="e">
        <f>MATCH(G16,SCALARS!D:D,0)</f>
        <v>#N/A</v>
      </c>
      <c r="B16" s="526">
        <f>MATCH(G16,'SCALAR INPUTS'!E:E,0)</f>
        <v>46</v>
      </c>
      <c r="C16" s="93">
        <f>MATCH(G16,'MKT DATA'!B:B,0)</f>
        <v>137</v>
      </c>
      <c r="D16" s="353"/>
      <c r="E16" s="350" t="e" cm="1">
        <f t="array" aca="1" ref="E16" ca="1">INDIRECT(ADDRESS($A16,2,,,"scalars"))</f>
        <v>#N/A</v>
      </c>
      <c r="F16" s="94" t="e" cm="1">
        <f t="array" aca="1" ref="F16" ca="1">INDIRECT(ADDRESS($A16,5,,,"scalars"))</f>
        <v>#N/A</v>
      </c>
      <c r="G16" s="108" t="s">
        <v>96</v>
      </c>
      <c r="H16" s="95" cm="1">
        <f t="array" aca="1" ref="H16" ca="1">INDIRECT(ADDRESS($C16,H$3,,,"mkt data"))</f>
        <v>42.51</v>
      </c>
      <c r="I16" s="96" cm="1">
        <f t="array" aca="1" ref="I16" ca="1">INDIRECT(ADDRESS($C16,I$3,,,"mkt data"))</f>
        <v>42.67</v>
      </c>
      <c r="J16" s="155" t="e" cm="1">
        <f t="array" aca="1" ref="J16" ca="1">INDIRECT(ADDRESS($A16,J$3,,,"SCALARS"))</f>
        <v>#N/A</v>
      </c>
      <c r="K16" s="97" t="e">
        <f t="shared" ca="1" si="1"/>
        <v>#N/A</v>
      </c>
      <c r="L16" s="97" t="e">
        <f t="shared" ca="1" si="2"/>
        <v>#N/A</v>
      </c>
      <c r="M16" s="109" t="e" cm="1">
        <f t="array" aca="1" ref="M16" ca="1">INDIRECT(ADDRESS($A16,M$3,,,"scalars"))</f>
        <v>#N/A</v>
      </c>
      <c r="N16" s="98" t="e">
        <f t="shared" ca="1" si="3"/>
        <v>#N/A</v>
      </c>
      <c r="O16" s="116" t="e">
        <f t="shared" ca="1" si="4"/>
        <v>#N/A</v>
      </c>
      <c r="P16" s="514" t="e">
        <f ca="1">N17-O16</f>
        <v>#N/A</v>
      </c>
      <c r="Q16" s="512" t="e">
        <f ca="1">LN(N17/O16)</f>
        <v>#N/A</v>
      </c>
      <c r="R16" s="261"/>
      <c r="S16" s="227"/>
      <c r="T16" s="514" t="e">
        <f ca="1">N16-O17</f>
        <v>#N/A</v>
      </c>
      <c r="U16" s="512" t="e">
        <f ca="1">LN(N16/O17)</f>
        <v>#N/A</v>
      </c>
      <c r="V16" s="261"/>
      <c r="W16" s="99"/>
      <c r="X16" s="112" cm="1">
        <f t="array" aca="1" ref="X16" ca="1">INDIRECT(ADDRESS($C16,X$3,,,"mkt data"))</f>
        <v>0</v>
      </c>
      <c r="Y16" s="113">
        <f t="shared" ca="1" si="5"/>
        <v>0</v>
      </c>
      <c r="Z16" s="112" t="e">
        <f t="shared" ca="1" si="6"/>
        <v>#N/A</v>
      </c>
      <c r="AA16" s="516" t="e">
        <f ca="1">SUM(Z16:Z17)</f>
        <v>#N/A</v>
      </c>
      <c r="AB16" s="462"/>
      <c r="AC16" s="186" t="str">
        <f t="shared" si="0"/>
        <v>XLRE</v>
      </c>
      <c r="AD16" s="162" cm="1">
        <f t="array" aca="1" ref="AD16" ca="1">INDIRECT(ADDRESS($C16,AD$3,,,"mkt data"))</f>
        <v>42.52</v>
      </c>
      <c r="AE16" s="172">
        <f t="shared" ca="1" si="7"/>
        <v>42.59</v>
      </c>
      <c r="AF16" s="172">
        <f t="shared" ca="1" si="8"/>
        <v>7.0000000000000284E-2</v>
      </c>
      <c r="AG16" s="170">
        <f t="shared" ca="1" si="9"/>
        <v>0</v>
      </c>
      <c r="AH16" s="520">
        <f ca="1">AG16+AG17</f>
        <v>0</v>
      </c>
      <c r="AI16" s="367"/>
      <c r="AJ16" s="470"/>
      <c r="AL16" s="362"/>
      <c r="AN16"/>
    </row>
    <row r="17" spans="1:40" ht="15.75" thickBot="1" x14ac:dyDescent="0.3">
      <c r="A17" s="100" t="e">
        <f>MATCH(G17,SCALARS!D:D,0)</f>
        <v>#N/A</v>
      </c>
      <c r="B17" s="527"/>
      <c r="C17" s="101">
        <f>MATCH(G17,'MKT DATA'!B:B,0)</f>
        <v>133</v>
      </c>
      <c r="D17" s="354"/>
      <c r="E17" s="351" t="e" cm="1">
        <f t="array" aca="1" ref="E17" ca="1">INDIRECT(ADDRESS($A17,2,,,"scalars"))</f>
        <v>#N/A</v>
      </c>
      <c r="F17" s="102" t="e" cm="1">
        <f t="array" aca="1" ref="F17" ca="1">INDIRECT(ADDRESS($A17,5,,,"scalars"))</f>
        <v>#N/A</v>
      </c>
      <c r="G17" s="110" t="s">
        <v>94</v>
      </c>
      <c r="H17" s="103" cm="1">
        <f t="array" aca="1" ref="H17" ca="1">INDIRECT(ADDRESS($C17,H$3,,,"mkt data"))</f>
        <v>98.08</v>
      </c>
      <c r="I17" s="104" cm="1">
        <f t="array" aca="1" ref="I17" ca="1">INDIRECT(ADDRESS($C17,I$3,,,"mkt data"))</f>
        <v>98.42</v>
      </c>
      <c r="J17" s="156" t="e" cm="1">
        <f t="array" aca="1" ref="J17" ca="1">INDIRECT(ADDRESS($A17,J$3,,,"SCALARS"))</f>
        <v>#N/A</v>
      </c>
      <c r="K17" s="105" t="e">
        <f t="shared" ca="1" si="1"/>
        <v>#N/A</v>
      </c>
      <c r="L17" s="105" t="e">
        <f t="shared" ca="1" si="2"/>
        <v>#N/A</v>
      </c>
      <c r="M17" s="111" t="e" cm="1">
        <f t="array" aca="1" ref="M17" ca="1">INDIRECT(ADDRESS($A17,M$3,,,"scalars"))</f>
        <v>#N/A</v>
      </c>
      <c r="N17" s="106" t="e">
        <f t="shared" ca="1" si="3"/>
        <v>#N/A</v>
      </c>
      <c r="O17" s="121" t="e">
        <f t="shared" ca="1" si="4"/>
        <v>#N/A</v>
      </c>
      <c r="P17" s="515"/>
      <c r="Q17" s="513"/>
      <c r="R17" s="262"/>
      <c r="S17" s="228"/>
      <c r="T17" s="515"/>
      <c r="U17" s="513"/>
      <c r="V17" s="262"/>
      <c r="W17" s="107"/>
      <c r="X17" s="117" cm="1">
        <f t="array" aca="1" ref="X17" ca="1">INDIRECT(ADDRESS($C17,X$3,,,"mkt data"))</f>
        <v>0</v>
      </c>
      <c r="Y17" s="118">
        <f t="shared" ca="1" si="5"/>
        <v>0</v>
      </c>
      <c r="Z17" s="117" t="e">
        <f t="shared" ca="1" si="6"/>
        <v>#N/A</v>
      </c>
      <c r="AA17" s="517"/>
      <c r="AB17" s="463"/>
      <c r="AC17" s="187" t="str">
        <f t="shared" si="0"/>
        <v>IYR</v>
      </c>
      <c r="AD17" s="162" cm="1">
        <f t="array" aca="1" ref="AD17" ca="1">INDIRECT(ADDRESS($C17,AD$3,,,"mkt data"))</f>
        <v>98.370002999999997</v>
      </c>
      <c r="AE17" s="172">
        <f t="shared" ca="1" si="7"/>
        <v>98.25</v>
      </c>
      <c r="AF17" s="172">
        <f t="shared" ca="1" si="8"/>
        <v>-0.12000299999999697</v>
      </c>
      <c r="AG17" s="170">
        <f t="shared" ca="1" si="9"/>
        <v>0</v>
      </c>
      <c r="AH17" s="521"/>
      <c r="AI17" s="367"/>
      <c r="AJ17" s="471"/>
      <c r="AL17" s="362"/>
      <c r="AN17"/>
    </row>
    <row r="18" spans="1:40" x14ac:dyDescent="0.25">
      <c r="A18" s="79" t="e">
        <f>MATCH(G18,SCALARS!D:D,0)</f>
        <v>#N/A</v>
      </c>
      <c r="B18" s="524">
        <f>MATCH(G18,'SCALAR INPUTS'!E:E,0)</f>
        <v>39</v>
      </c>
      <c r="C18" s="80">
        <f>MATCH(G18,'MKT DATA'!B:B,0)</f>
        <v>141</v>
      </c>
      <c r="D18" s="353"/>
      <c r="E18" s="264" t="e" cm="1">
        <f t="array" aca="1" ref="E18" ca="1">INDIRECT(ADDRESS($A18,2,,,"scalars"))</f>
        <v>#N/A</v>
      </c>
      <c r="F18" s="14" t="e" cm="1">
        <f t="array" aca="1" ref="F18" ca="1">INDIRECT(ADDRESS($A18,5,,,"scalars"))</f>
        <v>#N/A</v>
      </c>
      <c r="G18" s="88" t="s">
        <v>116</v>
      </c>
      <c r="H18" s="33" cm="1">
        <f t="array" aca="1" ref="H18" ca="1">INDIRECT(ADDRESS($C18,H$3,,,"mkt data"))</f>
        <v>76.709999999999994</v>
      </c>
      <c r="I18" s="34" cm="1">
        <f t="array" aca="1" ref="I18" ca="1">INDIRECT(ADDRESS($C18,I$3,,,"mkt data"))</f>
        <v>78.03</v>
      </c>
      <c r="J18" s="150" t="e" cm="1">
        <f t="array" aca="1" ref="J18" ca="1">INDIRECT(ADDRESS($A18,J$3,,,"SCALARS"))</f>
        <v>#N/A</v>
      </c>
      <c r="K18" s="16" t="e">
        <f t="shared" ca="1" si="1"/>
        <v>#N/A</v>
      </c>
      <c r="L18" s="16" t="e">
        <f t="shared" ca="1" si="2"/>
        <v>#N/A</v>
      </c>
      <c r="M18" s="86" t="e" cm="1">
        <f t="array" aca="1" ref="M18" ca="1">INDIRECT(ADDRESS($A18,M$3,,,"scalars"))</f>
        <v>#N/A</v>
      </c>
      <c r="N18" s="17" t="e">
        <f t="shared" ca="1" si="3"/>
        <v>#N/A</v>
      </c>
      <c r="O18" s="17" t="e">
        <f t="shared" ca="1" si="4"/>
        <v>#N/A</v>
      </c>
      <c r="P18" s="477" t="e">
        <f ca="1">N19-O18</f>
        <v>#N/A</v>
      </c>
      <c r="Q18" s="475" t="e">
        <f ca="1">LN(N19/O18)</f>
        <v>#N/A</v>
      </c>
      <c r="R18" s="252" t="e" cm="1">
        <f t="array" aca="1" ref="R18" ca="1">-INDIRECT(ADDRESS($B18,R$3,,,"threshold info"))</f>
        <v>#REF!</v>
      </c>
      <c r="S18" s="223" t="e" cm="1">
        <f t="array" aca="1" ref="S18" ca="1">-INDIRECT(ADDRESS($B18,S$3,,,"threshold info"))</f>
        <v>#REF!</v>
      </c>
      <c r="T18" s="504" t="e">
        <f ca="1">N18-O19</f>
        <v>#N/A</v>
      </c>
      <c r="U18" s="508" t="e">
        <f ca="1">LN(N18/O19)</f>
        <v>#N/A</v>
      </c>
      <c r="V18" s="252" t="e" cm="1">
        <f t="array" aca="1" ref="V18" ca="1">INDIRECT(ADDRESS($B18,V$3,,,"threshold info"))</f>
        <v>#REF!</v>
      </c>
      <c r="W18" s="60" t="e" cm="1">
        <f t="array" aca="1" ref="W18" ca="1">INDIRECT(ADDRESS($B18,W$3,,,"threshold info"))</f>
        <v>#REF!</v>
      </c>
      <c r="X18" s="27" cm="1">
        <f t="array" aca="1" ref="X18" ca="1">INDIRECT(ADDRESS($C18,X$3,,,"mkt data"))</f>
        <v>0</v>
      </c>
      <c r="Y18" s="48">
        <f t="shared" ca="1" si="5"/>
        <v>0</v>
      </c>
      <c r="Z18" s="27" t="e">
        <f t="shared" ca="1" si="6"/>
        <v>#N/A</v>
      </c>
      <c r="AA18" s="487" t="e">
        <f ca="1">SUM(Z18:Z19)</f>
        <v>#N/A</v>
      </c>
      <c r="AB18" s="462"/>
      <c r="AC18" s="182" t="str">
        <f t="shared" si="0"/>
        <v>IYK</v>
      </c>
      <c r="AD18" s="33" cm="1">
        <f t="array" aca="1" ref="AD18" ca="1">INDIRECT(ADDRESS($C18,AD$3,,,"mkt data"))</f>
        <v>78.800003000000004</v>
      </c>
      <c r="AE18" s="165">
        <f t="shared" ca="1" si="7"/>
        <v>77.37</v>
      </c>
      <c r="AF18" s="165">
        <f t="shared" ca="1" si="8"/>
        <v>-1.4300029999999992</v>
      </c>
      <c r="AG18" s="165">
        <f t="shared" ca="1" si="9"/>
        <v>0</v>
      </c>
      <c r="AH18" s="522">
        <f ca="1">AG18+AG19</f>
        <v>0</v>
      </c>
      <c r="AI18" s="460"/>
      <c r="AJ18" s="458"/>
      <c r="AL18" s="362"/>
      <c r="AN18"/>
    </row>
    <row r="19" spans="1:40" ht="15.75" thickBot="1" x14ac:dyDescent="0.3">
      <c r="A19" s="81" t="e">
        <f>MATCH(G19,SCALARS!D:D,0)</f>
        <v>#N/A</v>
      </c>
      <c r="B19" s="525"/>
      <c r="C19" s="82">
        <f>MATCH(G19,'MKT DATA'!B:B,0)</f>
        <v>143</v>
      </c>
      <c r="D19" s="354"/>
      <c r="E19" s="265" t="e" cm="1">
        <f t="array" aca="1" ref="E19" ca="1">INDIRECT(ADDRESS($A19,2,,,"scalars"))</f>
        <v>#N/A</v>
      </c>
      <c r="F19" s="20" t="e" cm="1">
        <f t="array" aca="1" ref="F19" ca="1">INDIRECT(ADDRESS($A19,5,,,"scalars"))</f>
        <v>#N/A</v>
      </c>
      <c r="G19" s="89" t="s">
        <v>79</v>
      </c>
      <c r="H19" s="37" cm="1">
        <f t="array" aca="1" ref="H19" ca="1">INDIRECT(ADDRESS($C19,H$3,,,"mkt data"))</f>
        <v>88.05</v>
      </c>
      <c r="I19" s="38" cm="1">
        <f t="array" aca="1" ref="I19" ca="1">INDIRECT(ADDRESS($C19,I$3,,,"mkt data"))</f>
        <v>88.6</v>
      </c>
      <c r="J19" s="151" t="e" cm="1">
        <f t="array" aca="1" ref="J19" ca="1">INDIRECT(ADDRESS($A19,J$3,,,"SCALARS"))</f>
        <v>#N/A</v>
      </c>
      <c r="K19" s="22" t="e">
        <f t="shared" ca="1" si="1"/>
        <v>#N/A</v>
      </c>
      <c r="L19" s="22" t="e">
        <f t="shared" ca="1" si="2"/>
        <v>#N/A</v>
      </c>
      <c r="M19" s="87" t="e" cm="1">
        <f t="array" aca="1" ref="M19" ca="1">INDIRECT(ADDRESS($A19,M$3,,,"scalars"))</f>
        <v>#N/A</v>
      </c>
      <c r="N19" s="23" t="e">
        <f t="shared" ca="1" si="3"/>
        <v>#N/A</v>
      </c>
      <c r="O19" s="23" t="e">
        <f t="shared" ca="1" si="4"/>
        <v>#N/A</v>
      </c>
      <c r="P19" s="478"/>
      <c r="Q19" s="476"/>
      <c r="R19" s="253" t="e">
        <f ca="1">IF(Q18&gt;R18,TRUE,FALSE)</f>
        <v>#N/A</v>
      </c>
      <c r="S19" s="224" t="e">
        <f ca="1">AND(IF(U18&gt;-S18,TRUE,FALSE),IF(X18&gt;0,TRUE,FALSE))</f>
        <v>#N/A</v>
      </c>
      <c r="T19" s="505"/>
      <c r="U19" s="509"/>
      <c r="V19" s="253" t="e">
        <f ca="1">IF(U18&gt;V18,TRUE,FALSE)</f>
        <v>#N/A</v>
      </c>
      <c r="W19" s="61" t="e">
        <f ca="1">AND(IF(Q18&gt;-W18,TRUE,FALSE),IF(X18&lt;0,TRUE,FALSE))</f>
        <v>#N/A</v>
      </c>
      <c r="X19" s="29" cm="1">
        <f t="array" aca="1" ref="X19" ca="1">INDIRECT(ADDRESS($C19,X$3,,,"mkt data"))</f>
        <v>0</v>
      </c>
      <c r="Y19" s="50">
        <f t="shared" ca="1" si="5"/>
        <v>0</v>
      </c>
      <c r="Z19" s="29" t="e">
        <f t="shared" ca="1" si="6"/>
        <v>#N/A</v>
      </c>
      <c r="AA19" s="488"/>
      <c r="AB19" s="463"/>
      <c r="AC19" s="183" t="str">
        <f t="shared" si="0"/>
        <v>XLP</v>
      </c>
      <c r="AD19" s="37" cm="1">
        <f t="array" aca="1" ref="AD19" ca="1">INDIRECT(ADDRESS($C19,AD$3,,,"mkt data"))</f>
        <v>89.989998</v>
      </c>
      <c r="AE19" s="167">
        <f t="shared" ca="1" si="7"/>
        <v>88.324999999999989</v>
      </c>
      <c r="AF19" s="167">
        <f t="shared" ca="1" si="8"/>
        <v>-1.6649980000000113</v>
      </c>
      <c r="AG19" s="167">
        <f t="shared" ca="1" si="9"/>
        <v>0</v>
      </c>
      <c r="AH19" s="523"/>
      <c r="AI19" s="461"/>
      <c r="AJ19" s="459"/>
      <c r="AK19" t="s">
        <v>384</v>
      </c>
      <c r="AL19" s="362"/>
      <c r="AN19"/>
    </row>
    <row r="20" spans="1:40" x14ac:dyDescent="0.25">
      <c r="A20" s="79" t="e">
        <f>MATCH(G20,SCALARS!D:D,0)</f>
        <v>#N/A</v>
      </c>
      <c r="B20" s="524">
        <f>MATCH(G20,'SCALAR INPUTS'!E:E,0)</f>
        <v>45</v>
      </c>
      <c r="C20" s="80">
        <f>MATCH(G20,'MKT DATA'!B:B,0)</f>
        <v>147</v>
      </c>
      <c r="D20" s="353"/>
      <c r="E20" s="264" t="e" cm="1">
        <f t="array" aca="1" ref="E20" ca="1">INDIRECT(ADDRESS($A20,2,,,"scalars"))</f>
        <v>#N/A</v>
      </c>
      <c r="F20" s="14" t="e" cm="1">
        <f t="array" aca="1" ref="F20" ca="1">INDIRECT(ADDRESS($A20,5,,,"scalars"))</f>
        <v>#N/A</v>
      </c>
      <c r="G20" s="15" t="s">
        <v>100</v>
      </c>
      <c r="H20" s="33" cm="1">
        <f t="array" aca="1" ref="H20" ca="1">INDIRECT(ADDRESS($C20,H$3,,,"mkt data"))</f>
        <v>183.11</v>
      </c>
      <c r="I20" s="34" cm="1">
        <f t="array" aca="1" ref="I20" ca="1">INDIRECT(ADDRESS($C20,I$3,,,"mkt data"))</f>
        <v>183.44</v>
      </c>
      <c r="J20" s="150" t="e" cm="1">
        <f t="array" aca="1" ref="J20" ca="1">INDIRECT(ADDRESS($A20,J$3,,,"SCALARS"))</f>
        <v>#N/A</v>
      </c>
      <c r="K20" s="16" t="e">
        <f t="shared" ca="1" si="1"/>
        <v>#N/A</v>
      </c>
      <c r="L20" s="16" t="e">
        <f t="shared" ca="1" si="2"/>
        <v>#N/A</v>
      </c>
      <c r="M20" s="73" t="e" cm="1">
        <f t="array" aca="1" ref="M20" ca="1">INDIRECT(ADDRESS($A20,M$3,,,"scalars"))</f>
        <v>#N/A</v>
      </c>
      <c r="N20" s="17" t="e">
        <f t="shared" ca="1" si="3"/>
        <v>#N/A</v>
      </c>
      <c r="O20" s="17" t="e">
        <f t="shared" ca="1" si="4"/>
        <v>#N/A</v>
      </c>
      <c r="P20" s="477" t="e">
        <f ca="1">N21-O20</f>
        <v>#N/A</v>
      </c>
      <c r="Q20" s="475" t="e">
        <f ca="1">LN(N21/O20)</f>
        <v>#N/A</v>
      </c>
      <c r="R20" s="252" t="e" cm="1">
        <f t="array" aca="1" ref="R20" ca="1">-INDIRECT(ADDRESS($B20,R$3,,,"threshold info"))</f>
        <v>#REF!</v>
      </c>
      <c r="S20" s="223" t="e" cm="1">
        <f t="array" aca="1" ref="S20" ca="1">-INDIRECT(ADDRESS($B20,S$3,,,"threshold info"))</f>
        <v>#REF!</v>
      </c>
      <c r="T20" s="477" t="e">
        <f ca="1">N20-O21</f>
        <v>#N/A</v>
      </c>
      <c r="U20" s="493" t="e">
        <f ca="1">LN(N20/O21)</f>
        <v>#N/A</v>
      </c>
      <c r="V20" s="252" t="e" cm="1">
        <f t="array" aca="1" ref="V20" ca="1">INDIRECT(ADDRESS($B20,V$3,,,"threshold info"))</f>
        <v>#REF!</v>
      </c>
      <c r="W20" s="60" t="e" cm="1">
        <f t="array" aca="1" ref="W20" ca="1">INDIRECT(ADDRESS($B20,W$3,,,"threshold info"))</f>
        <v>#REF!</v>
      </c>
      <c r="X20" s="27" cm="1">
        <f t="array" aca="1" ref="X20" ca="1">INDIRECT(ADDRESS($C20,X$3,,,"mkt data"))</f>
        <v>1355</v>
      </c>
      <c r="Y20" s="48">
        <f t="shared" ca="1" si="5"/>
        <v>248337.625</v>
      </c>
      <c r="Z20" s="27" t="e">
        <f t="shared" ca="1" si="6"/>
        <v>#N/A</v>
      </c>
      <c r="AA20" s="485" t="e">
        <f ca="1">SUM(Z20:Z21)</f>
        <v>#N/A</v>
      </c>
      <c r="AB20" s="474">
        <v>46308</v>
      </c>
      <c r="AC20" s="173" t="str">
        <f t="shared" si="0"/>
        <v>XLK</v>
      </c>
      <c r="AD20" s="35" cm="1">
        <f t="array" aca="1" ref="AD20" ca="1">INDIRECT(ADDRESS($C20,AD$3,,,"mkt data"))</f>
        <v>182.33999600000001</v>
      </c>
      <c r="AE20" s="166">
        <f t="shared" ca="1" si="7"/>
        <v>183.27500000000001</v>
      </c>
      <c r="AF20" s="166">
        <f t="shared" ca="1" si="8"/>
        <v>0.93500399999999217</v>
      </c>
      <c r="AG20" s="166">
        <f t="shared" ca="1" si="9"/>
        <v>1266.9304199999895</v>
      </c>
      <c r="AH20" s="522">
        <f ca="1">AG20+AG21</f>
        <v>226.93741999997974</v>
      </c>
      <c r="AI20" s="460" t="e">
        <f ca="1">+U20+S20</f>
        <v>#N/A</v>
      </c>
      <c r="AJ20" s="458" t="e">
        <f ca="1">-AI20*Y20</f>
        <v>#N/A</v>
      </c>
      <c r="AK20" t="s">
        <v>382</v>
      </c>
      <c r="AL20" s="362"/>
      <c r="AN20"/>
    </row>
    <row r="21" spans="1:40" ht="15.75" thickBot="1" x14ac:dyDescent="0.3">
      <c r="A21" s="81" t="e">
        <f>MATCH(G21,SCALARS!D:D,0)</f>
        <v>#N/A</v>
      </c>
      <c r="B21" s="525"/>
      <c r="C21" s="82">
        <f>MATCH(G21,'MKT DATA'!B:B,0)</f>
        <v>145</v>
      </c>
      <c r="D21" s="354"/>
      <c r="E21" s="265" t="e" cm="1">
        <f t="array" aca="1" ref="E21" ca="1">INDIRECT(ADDRESS($A21,2,,,"scalars"))</f>
        <v>#N/A</v>
      </c>
      <c r="F21" s="20" t="e" cm="1">
        <f t="array" aca="1" ref="F21" ca="1">INDIRECT(ADDRESS($A21,5,,,"scalars"))</f>
        <v>#N/A</v>
      </c>
      <c r="G21" s="21" t="s">
        <v>98</v>
      </c>
      <c r="H21" s="37" cm="1">
        <f t="array" aca="1" ref="H21" ca="1">INDIRECT(ADDRESS($C21,H$3,,,"mkt data"))</f>
        <v>249.35</v>
      </c>
      <c r="I21" s="38" cm="1">
        <f t="array" aca="1" ref="I21" ca="1">INDIRECT(ADDRESS($C21,I$3,,,"mkt data"))</f>
        <v>250.65</v>
      </c>
      <c r="J21" s="151" t="e" cm="1">
        <f t="array" aca="1" ref="J21" ca="1">INDIRECT(ADDRESS($A21,J$3,,,"SCALARS"))</f>
        <v>#N/A</v>
      </c>
      <c r="K21" s="22" t="e">
        <f t="shared" ca="1" si="1"/>
        <v>#N/A</v>
      </c>
      <c r="L21" s="22" t="e">
        <f t="shared" ca="1" si="2"/>
        <v>#N/A</v>
      </c>
      <c r="M21" s="72" t="e" cm="1">
        <f t="array" aca="1" ref="M21" ca="1">INDIRECT(ADDRESS($A21,M$3,,,"scalars"))</f>
        <v>#N/A</v>
      </c>
      <c r="N21" s="23" t="e">
        <f t="shared" ca="1" si="3"/>
        <v>#N/A</v>
      </c>
      <c r="O21" s="23" t="e">
        <f t="shared" ca="1" si="4"/>
        <v>#N/A</v>
      </c>
      <c r="P21" s="478"/>
      <c r="Q21" s="476"/>
      <c r="R21" s="253" t="e">
        <f ca="1">IF(Q20&gt;R20,TRUE,FALSE)</f>
        <v>#N/A</v>
      </c>
      <c r="S21" s="224" t="e">
        <f ca="1">AND(IF(U20&gt;-S20,TRUE,FALSE),IF(X20&gt;0,TRUE,FALSE))</f>
        <v>#N/A</v>
      </c>
      <c r="T21" s="478"/>
      <c r="U21" s="494"/>
      <c r="V21" s="253" t="e">
        <f ca="1">IF(U20&gt;V20,TRUE,FALSE)</f>
        <v>#N/A</v>
      </c>
      <c r="W21" s="61" t="e">
        <f ca="1">AND(IF(Q20&gt;-W20,TRUE,FALSE),IF(X20&lt;0,TRUE,FALSE))</f>
        <v>#N/A</v>
      </c>
      <c r="X21" s="29" cm="1">
        <f t="array" aca="1" ref="X21" ca="1">INDIRECT(ADDRESS($C21,X$3,,,"mkt data"))</f>
        <v>-1000</v>
      </c>
      <c r="Y21" s="50">
        <f t="shared" ca="1" si="5"/>
        <v>-250000</v>
      </c>
      <c r="Z21" s="29" t="e">
        <f t="shared" ca="1" si="6"/>
        <v>#N/A</v>
      </c>
      <c r="AA21" s="486"/>
      <c r="AB21" s="463"/>
      <c r="AC21" s="181" t="str">
        <f t="shared" si="0"/>
        <v>IYW</v>
      </c>
      <c r="AD21" s="35" cm="1">
        <f t="array" aca="1" ref="AD21" ca="1">INDIRECT(ADDRESS($C21,AD$3,,,"mkt data"))</f>
        <v>248.96000699999999</v>
      </c>
      <c r="AE21" s="166">
        <f t="shared" ca="1" si="7"/>
        <v>250</v>
      </c>
      <c r="AF21" s="166">
        <f t="shared" ca="1" si="8"/>
        <v>1.0399930000000097</v>
      </c>
      <c r="AG21" s="166">
        <f t="shared" ca="1" si="9"/>
        <v>-1039.9930000000097</v>
      </c>
      <c r="AH21" s="523"/>
      <c r="AI21" s="461"/>
      <c r="AJ21" s="459"/>
      <c r="AK21" t="s">
        <v>362</v>
      </c>
      <c r="AL21" s="362"/>
      <c r="AN21"/>
    </row>
    <row r="22" spans="1:40" x14ac:dyDescent="0.25">
      <c r="A22" s="79" t="e">
        <f>MATCH(G22,SCALARS!D:D,0)</f>
        <v>#N/A</v>
      </c>
      <c r="B22" s="524">
        <f>MATCH(G22,'SCALAR INPUTS'!E:E,0)</f>
        <v>47</v>
      </c>
      <c r="C22" s="80">
        <f>MATCH(G22,'MKT DATA'!B:B,0)</f>
        <v>163</v>
      </c>
      <c r="D22" s="353"/>
      <c r="E22" s="264" t="e" cm="1">
        <f t="array" aca="1" ref="E22" ca="1">INDIRECT(ADDRESS($A22,2,,,"scalars"))</f>
        <v>#N/A</v>
      </c>
      <c r="F22" s="14" t="e" cm="1">
        <f t="array" aca="1" ref="F22" ca="1">INDIRECT(ADDRESS($A22,5,,,"scalars"))</f>
        <v>#N/A</v>
      </c>
      <c r="G22" s="15" t="s">
        <v>104</v>
      </c>
      <c r="H22" s="33" cm="1">
        <f t="array" aca="1" ref="H22" ca="1">INDIRECT(ADDRESS($C22,H$3,,,"mkt data"))</f>
        <v>42.42</v>
      </c>
      <c r="I22" s="34" cm="1">
        <f t="array" aca="1" ref="I22" ca="1">INDIRECT(ADDRESS($C22,I$3,,,"mkt data"))</f>
        <v>42.58</v>
      </c>
      <c r="J22" s="150" t="e" cm="1">
        <f t="array" aca="1" ref="J22" ca="1">INDIRECT(ADDRESS($A22,J$3,,,"SCALARS"))</f>
        <v>#N/A</v>
      </c>
      <c r="K22" s="16" t="e">
        <f t="shared" ca="1" si="1"/>
        <v>#N/A</v>
      </c>
      <c r="L22" s="16" t="e">
        <f t="shared" ca="1" si="2"/>
        <v>#N/A</v>
      </c>
      <c r="M22" s="73" t="e" cm="1">
        <f t="array" aca="1" ref="M22" ca="1">INDIRECT(ADDRESS($A22,M$3,,,"scalars"))</f>
        <v>#N/A</v>
      </c>
      <c r="N22" s="17" t="e">
        <f t="shared" ca="1" si="3"/>
        <v>#N/A</v>
      </c>
      <c r="O22" s="17" t="e">
        <f t="shared" ca="1" si="4"/>
        <v>#N/A</v>
      </c>
      <c r="P22" s="477" t="e">
        <f ca="1">N23-O22</f>
        <v>#N/A</v>
      </c>
      <c r="Q22" s="475" t="e">
        <f ca="1">LN(N23/O22)</f>
        <v>#N/A</v>
      </c>
      <c r="R22" s="252" t="e" cm="1">
        <f t="array" aca="1" ref="R22" ca="1">-INDIRECT(ADDRESS($B22,R$3,,,"threshold info"))</f>
        <v>#REF!</v>
      </c>
      <c r="S22" s="223" t="e" cm="1">
        <f t="array" aca="1" ref="S22" ca="1">-INDIRECT(ADDRESS($B22,S$3,,,"threshold info"))</f>
        <v>#REF!</v>
      </c>
      <c r="T22" s="504" t="e">
        <f ca="1">N22-O23</f>
        <v>#N/A</v>
      </c>
      <c r="U22" s="493" t="e">
        <f ca="1">LN(N22/O23)</f>
        <v>#N/A</v>
      </c>
      <c r="V22" s="252" t="e" cm="1">
        <f t="array" aca="1" ref="V22" ca="1">INDIRECT(ADDRESS($B22,V$3,,,"threshold info"))</f>
        <v>#REF!</v>
      </c>
      <c r="W22" s="60" t="e" cm="1">
        <f t="array" aca="1" ref="W22" ca="1">INDIRECT(ADDRESS($B22,W$3,,,"threshold info"))</f>
        <v>#REF!</v>
      </c>
      <c r="X22" s="27" cm="1">
        <f t="array" aca="1" ref="X22" ca="1">INDIRECT(ADDRESS($C22,X$3,,,"mkt data"))</f>
        <v>2555</v>
      </c>
      <c r="Y22" s="48">
        <f t="shared" ca="1" si="5"/>
        <v>108587.5</v>
      </c>
      <c r="Z22" s="27" t="e">
        <f t="shared" ca="1" si="6"/>
        <v>#N/A</v>
      </c>
      <c r="AA22" s="485" t="e">
        <f ca="1">SUM(Z22:Z23)</f>
        <v>#N/A</v>
      </c>
      <c r="AB22" s="474">
        <v>46315</v>
      </c>
      <c r="AC22" s="173" t="str">
        <f t="shared" si="0"/>
        <v>XLU</v>
      </c>
      <c r="AD22" s="33" cm="1">
        <f t="array" aca="1" ref="AD22" ca="1">INDIRECT(ADDRESS($C22,AD$3,,,"mkt data"))</f>
        <v>42.869999</v>
      </c>
      <c r="AE22" s="165">
        <f t="shared" ca="1" si="7"/>
        <v>42.5</v>
      </c>
      <c r="AF22" s="165">
        <f t="shared" ca="1" si="8"/>
        <v>-0.36999899999999997</v>
      </c>
      <c r="AG22" s="165">
        <f t="shared" ca="1" si="9"/>
        <v>-945.34744499999988</v>
      </c>
      <c r="AH22" s="522">
        <f ca="1">AG22+AG23</f>
        <v>-305.35144499998921</v>
      </c>
      <c r="AI22" s="460" t="e">
        <f ca="1">+U22+S22</f>
        <v>#N/A</v>
      </c>
      <c r="AJ22" s="458" t="e">
        <f ca="1">-AI22*Y22</f>
        <v>#N/A</v>
      </c>
      <c r="AK22" s="266"/>
      <c r="AL22" s="362"/>
      <c r="AN22"/>
    </row>
    <row r="23" spans="1:40" ht="15.75" thickBot="1" x14ac:dyDescent="0.3">
      <c r="A23" s="81" t="e">
        <f>MATCH(G23,SCALARS!D:D,0)</f>
        <v>#N/A</v>
      </c>
      <c r="B23" s="525"/>
      <c r="C23" s="82">
        <f>MATCH(G23,'MKT DATA'!B:B,0)</f>
        <v>161</v>
      </c>
      <c r="D23" s="354"/>
      <c r="E23" s="265" t="e" cm="1">
        <f t="array" aca="1" ref="E23" ca="1">INDIRECT(ADDRESS($A23,2,,,"scalars"))</f>
        <v>#N/A</v>
      </c>
      <c r="F23" s="20" t="e" cm="1">
        <f t="array" aca="1" ref="F23" ca="1">INDIRECT(ADDRESS($A23,5,,,"scalars"))</f>
        <v>#N/A</v>
      </c>
      <c r="G23" s="21" t="s">
        <v>102</v>
      </c>
      <c r="H23" s="37" cm="1">
        <f t="array" aca="1" ref="H23" ca="1">INDIRECT(ADDRESS($C23,H$3,,,"mkt data"))</f>
        <v>108.27</v>
      </c>
      <c r="I23" s="38" cm="1">
        <f t="array" aca="1" ref="I23" ca="1">INDIRECT(ADDRESS($C23,I$3,,,"mkt data"))</f>
        <v>110.13</v>
      </c>
      <c r="J23" s="151" t="e" cm="1">
        <f t="array" aca="1" ref="J23" ca="1">INDIRECT(ADDRESS($A23,J$3,,,"SCALARS"))</f>
        <v>#N/A</v>
      </c>
      <c r="K23" s="22" t="e">
        <f t="shared" ca="1" si="1"/>
        <v>#N/A</v>
      </c>
      <c r="L23" s="22" t="e">
        <f t="shared" ca="1" si="2"/>
        <v>#N/A</v>
      </c>
      <c r="M23" s="72" t="e" cm="1">
        <f t="array" aca="1" ref="M23" ca="1">INDIRECT(ADDRESS($A23,M$3,,,"scalars"))</f>
        <v>#N/A</v>
      </c>
      <c r="N23" s="23" t="e">
        <f t="shared" ca="1" si="3"/>
        <v>#N/A</v>
      </c>
      <c r="O23" s="23" t="e">
        <f t="shared" ca="1" si="4"/>
        <v>#N/A</v>
      </c>
      <c r="P23" s="478"/>
      <c r="Q23" s="476"/>
      <c r="R23" s="253" t="e">
        <f ca="1">IF(Q22&gt;R22,TRUE,FALSE)</f>
        <v>#N/A</v>
      </c>
      <c r="S23" s="224" t="e">
        <f ca="1">AND(IF(U22&gt;-S22,TRUE,FALSE),IF(X22&gt;0,TRUE,FALSE))</f>
        <v>#N/A</v>
      </c>
      <c r="T23" s="505"/>
      <c r="U23" s="494"/>
      <c r="V23" s="253" t="e">
        <f ca="1">IF(U22&gt;V22,TRUE,FALSE)</f>
        <v>#N/A</v>
      </c>
      <c r="W23" s="61" t="e">
        <f ca="1">AND(IF(Q22&gt;-W22,TRUE,FALSE),IF(X22&lt;0,TRUE,FALSE))</f>
        <v>#N/A</v>
      </c>
      <c r="X23" s="29" cm="1">
        <f t="array" aca="1" ref="X23" ca="1">INDIRECT(ADDRESS($C23,X$3,,,"mkt data"))</f>
        <v>-1000</v>
      </c>
      <c r="Y23" s="50">
        <f t="shared" ca="1" si="5"/>
        <v>-109199.99999999999</v>
      </c>
      <c r="Z23" s="29" t="e">
        <f t="shared" ca="1" si="6"/>
        <v>#N/A</v>
      </c>
      <c r="AA23" s="486"/>
      <c r="AB23" s="463"/>
      <c r="AC23" s="181" t="str">
        <f t="shared" si="0"/>
        <v>IDU</v>
      </c>
      <c r="AD23" s="37" cm="1">
        <f t="array" aca="1" ref="AD23" ca="1">INDIRECT(ADDRESS($C23,AD$3,,,"mkt data"))</f>
        <v>109.839996</v>
      </c>
      <c r="AE23" s="167">
        <f t="shared" ca="1" si="7"/>
        <v>109.19999999999999</v>
      </c>
      <c r="AF23" s="167">
        <f t="shared" ca="1" si="8"/>
        <v>-0.63999600000001067</v>
      </c>
      <c r="AG23" s="167">
        <f t="shared" ca="1" si="9"/>
        <v>639.99600000001067</v>
      </c>
      <c r="AH23" s="523"/>
      <c r="AI23" s="461"/>
      <c r="AJ23" s="459"/>
      <c r="AL23" s="362"/>
      <c r="AN23"/>
    </row>
    <row r="24" spans="1:40" ht="9.9499999999999993" customHeight="1" thickBot="1" x14ac:dyDescent="0.3">
      <c r="A24" s="196"/>
      <c r="B24" s="196"/>
      <c r="C24" s="196"/>
      <c r="D24" s="197"/>
      <c r="E24" s="352"/>
      <c r="F24" s="198"/>
      <c r="G24" s="199"/>
      <c r="H24" s="200"/>
      <c r="I24" s="200"/>
      <c r="J24" s="201"/>
      <c r="K24" s="202"/>
      <c r="L24" s="202"/>
      <c r="M24" s="203"/>
      <c r="N24" s="204"/>
      <c r="O24" s="204"/>
      <c r="P24" s="205"/>
      <c r="Q24" s="220"/>
      <c r="R24" s="208"/>
      <c r="S24" s="225"/>
      <c r="T24" s="221"/>
      <c r="U24" s="206"/>
      <c r="V24" s="208"/>
      <c r="W24" s="226"/>
      <c r="X24" s="209"/>
      <c r="Y24" s="210"/>
      <c r="Z24" s="209"/>
      <c r="AA24" s="211"/>
      <c r="AB24" s="381"/>
      <c r="AC24" s="212"/>
      <c r="AD24" s="200"/>
      <c r="AE24" s="200"/>
      <c r="AF24" s="200"/>
      <c r="AG24" s="213"/>
      <c r="AH24" s="214"/>
      <c r="AI24" s="370"/>
      <c r="AJ24" s="371"/>
      <c r="AN24"/>
    </row>
    <row r="25" spans="1:40" x14ac:dyDescent="0.25">
      <c r="A25" s="92" t="e">
        <f>MATCH(G25,SCALARS!D:D,0)</f>
        <v>#N/A</v>
      </c>
      <c r="B25" s="526">
        <f>MATCH(G25,'SCALAR INPUTS'!E:E,0)</f>
        <v>28</v>
      </c>
      <c r="C25" s="93">
        <f>MATCH(G25,'MKT DATA'!B:B,0)</f>
        <v>44</v>
      </c>
      <c r="D25" s="353"/>
      <c r="E25" s="350" t="e" cm="1">
        <f t="array" aca="1" ref="E25" ca="1">INDIRECT(ADDRESS($A25,2,,,"scalars"))</f>
        <v>#N/A</v>
      </c>
      <c r="F25" s="94" t="e" cm="1">
        <f t="array" aca="1" ref="F25" ca="1">INDIRECT(ADDRESS($A25,5,,,"scalars"))</f>
        <v>#N/A</v>
      </c>
      <c r="G25" s="122" t="s">
        <v>146</v>
      </c>
      <c r="H25" s="114" cm="1">
        <f t="array" aca="1" ref="H25" ca="1">INDIRECT(ADDRESS($C25,H$3,,,"mkt data"))</f>
        <v>97.46</v>
      </c>
      <c r="I25" s="115" cm="1">
        <f t="array" aca="1" ref="I25" ca="1">INDIRECT(ADDRESS($C25,I$3,,,"mkt data"))</f>
        <v>99.12</v>
      </c>
      <c r="J25" s="153" t="e" cm="1">
        <f t="array" aca="1" ref="J25" ca="1">INDIRECT(ADDRESS($A25,J$3,,,"SCALARS"))</f>
        <v>#N/A</v>
      </c>
      <c r="K25" s="97" t="e">
        <f t="shared" ref="K25:K42" ca="1" si="10">H25+J25-K$1</f>
        <v>#N/A</v>
      </c>
      <c r="L25" s="97" t="e">
        <f t="shared" ref="L25:L42" ca="1" si="11">I25+J25+K$1</f>
        <v>#N/A</v>
      </c>
      <c r="M25" s="123" t="e" cm="1">
        <f t="array" aca="1" ref="M25" ca="1">INDIRECT(ADDRESS($A25,M$3,,,"scalars"))</f>
        <v>#N/A</v>
      </c>
      <c r="N25" s="116" t="e">
        <f t="shared" ref="N25:N42" ca="1" si="12">K25*M25</f>
        <v>#N/A</v>
      </c>
      <c r="O25" s="116" t="e">
        <f t="shared" ref="O25:O42" ca="1" si="13">M25*L25</f>
        <v>#N/A</v>
      </c>
      <c r="P25" s="514" t="e">
        <f ca="1">N26-O25</f>
        <v>#N/A</v>
      </c>
      <c r="Q25" s="512" t="e">
        <f ca="1">LN(N26/O25)</f>
        <v>#N/A</v>
      </c>
      <c r="R25" s="261"/>
      <c r="S25" s="227"/>
      <c r="T25" s="514" t="e">
        <f ca="1">N25-O26</f>
        <v>#N/A</v>
      </c>
      <c r="U25" s="512" t="e">
        <f ca="1">LN(N25/O26)</f>
        <v>#N/A</v>
      </c>
      <c r="V25" s="261"/>
      <c r="W25" s="99"/>
      <c r="X25" s="112" cm="1">
        <f t="array" aca="1" ref="X25" ca="1">INDIRECT(ADDRESS($C25,X$3,,,"mkt data"))</f>
        <v>0</v>
      </c>
      <c r="Y25" s="113">
        <f t="shared" ref="Y25:Y42" ca="1" si="14">X25*AVERAGE(H25:I25)</f>
        <v>0</v>
      </c>
      <c r="Z25" s="112" t="e">
        <f t="shared" ref="Z25:Z42" ca="1" si="15">X25/M25</f>
        <v>#N/A</v>
      </c>
      <c r="AA25" s="516" t="e">
        <f ca="1">SUM(Z25:Z26)</f>
        <v>#N/A</v>
      </c>
      <c r="AB25" s="462"/>
      <c r="AC25" s="179" t="str">
        <f t="shared" ref="AC25:AC42" si="16">G25</f>
        <v>FDIS</v>
      </c>
      <c r="AD25" s="95" cm="1">
        <f t="array" aca="1" ref="AD25" ca="1">INDIRECT(ADDRESS($C25,AD$3,,,"mkt data"))</f>
        <v>99.830001999999993</v>
      </c>
      <c r="AE25" s="171">
        <f t="shared" ref="AE25:AE42" ca="1" si="17">AVERAGE(H25,I25)</f>
        <v>98.289999999999992</v>
      </c>
      <c r="AF25" s="171">
        <f t="shared" ref="AF25:AF42" ca="1" si="18">AE25-AD25</f>
        <v>-1.5400020000000012</v>
      </c>
      <c r="AG25" s="169">
        <f t="shared" ref="AG25:AG42" ca="1" si="19">AF25*X25</f>
        <v>0</v>
      </c>
      <c r="AH25" s="520">
        <f ca="1">AG25+AG26</f>
        <v>0</v>
      </c>
      <c r="AI25" s="372"/>
      <c r="AJ25" s="470"/>
      <c r="AN25"/>
    </row>
    <row r="26" spans="1:40" ht="15.75" thickBot="1" x14ac:dyDescent="0.3">
      <c r="A26" s="100" t="e">
        <f>MATCH(G26,SCALARS!D:D,0)</f>
        <v>#N/A</v>
      </c>
      <c r="B26" s="527"/>
      <c r="C26" s="101">
        <f>MATCH(G26,'MKT DATA'!B:B,0)</f>
        <v>46</v>
      </c>
      <c r="D26" s="354"/>
      <c r="E26" s="351" t="e" cm="1">
        <f t="array" aca="1" ref="E26" ca="1">INDIRECT(ADDRESS($A26,2,,,"scalars"))</f>
        <v>#N/A</v>
      </c>
      <c r="F26" s="102" t="e" cm="1">
        <f t="array" aca="1" ref="F26" ca="1">INDIRECT(ADDRESS($A26,5,,,"scalars"))</f>
        <v>#N/A</v>
      </c>
      <c r="G26" s="124" t="s">
        <v>149</v>
      </c>
      <c r="H26" s="119" cm="1">
        <f t="array" aca="1" ref="H26" ca="1">INDIRECT(ADDRESS($C26,H$3,,,"mkt data"))</f>
        <v>375.38</v>
      </c>
      <c r="I26" s="120" cm="1">
        <f t="array" aca="1" ref="I26" ca="1">INDIRECT(ADDRESS($C26,I$3,,,"mkt data"))</f>
        <v>381.18</v>
      </c>
      <c r="J26" s="154" t="e" cm="1">
        <f t="array" aca="1" ref="J26" ca="1">INDIRECT(ADDRESS($A26,J$3,,,"SCALARS"))</f>
        <v>#N/A</v>
      </c>
      <c r="K26" s="105" t="e">
        <f t="shared" ca="1" si="10"/>
        <v>#N/A</v>
      </c>
      <c r="L26" s="105" t="e">
        <f t="shared" ca="1" si="11"/>
        <v>#N/A</v>
      </c>
      <c r="M26" s="125" t="e" cm="1">
        <f t="array" aca="1" ref="M26" ca="1">INDIRECT(ADDRESS($A26,M$3,,,"scalars"))</f>
        <v>#N/A</v>
      </c>
      <c r="N26" s="121" t="e">
        <f t="shared" ca="1" si="12"/>
        <v>#N/A</v>
      </c>
      <c r="O26" s="121" t="e">
        <f t="shared" ca="1" si="13"/>
        <v>#N/A</v>
      </c>
      <c r="P26" s="515"/>
      <c r="Q26" s="513"/>
      <c r="R26" s="262"/>
      <c r="S26" s="228"/>
      <c r="T26" s="515"/>
      <c r="U26" s="513"/>
      <c r="V26" s="262"/>
      <c r="W26" s="107"/>
      <c r="X26" s="117" cm="1">
        <f t="array" aca="1" ref="X26" ca="1">INDIRECT(ADDRESS($C26,X$3,,,"mkt data"))</f>
        <v>0</v>
      </c>
      <c r="Y26" s="118">
        <f t="shared" ca="1" si="14"/>
        <v>0</v>
      </c>
      <c r="Z26" s="117" t="e">
        <f t="shared" ca="1" si="15"/>
        <v>#N/A</v>
      </c>
      <c r="AA26" s="517"/>
      <c r="AB26" s="463"/>
      <c r="AC26" s="180" t="str">
        <f t="shared" si="16"/>
        <v>VCR</v>
      </c>
      <c r="AD26" s="162" cm="1">
        <f t="array" aca="1" ref="AD26" ca="1">INDIRECT(ADDRESS($C26,AD$3,,,"mkt data"))</f>
        <v>384.23001099999999</v>
      </c>
      <c r="AE26" s="172">
        <f t="shared" ca="1" si="17"/>
        <v>378.28</v>
      </c>
      <c r="AF26" s="172">
        <f t="shared" ca="1" si="18"/>
        <v>-5.9500110000000177</v>
      </c>
      <c r="AG26" s="170">
        <f t="shared" ca="1" si="19"/>
        <v>0</v>
      </c>
      <c r="AH26" s="521"/>
      <c r="AI26" s="367"/>
      <c r="AJ26" s="471"/>
      <c r="AN26"/>
    </row>
    <row r="27" spans="1:40" x14ac:dyDescent="0.25">
      <c r="A27" s="79" t="e">
        <f>MATCH(G27,SCALARS!D:D,0)</f>
        <v>#N/A</v>
      </c>
      <c r="B27" s="524">
        <f>MATCH(G27,'SCALAR INPUTS'!E:E,0)</f>
        <v>29</v>
      </c>
      <c r="C27" s="80">
        <f>MATCH(G27,'MKT DATA'!B:B,0)</f>
        <v>50</v>
      </c>
      <c r="D27" s="353"/>
      <c r="E27" s="264" t="e" cm="1">
        <f t="array" aca="1" ref="E27" ca="1">INDIRECT(ADDRESS($A27,2,,,"scalars"))</f>
        <v>#N/A</v>
      </c>
      <c r="F27" s="14" t="e" cm="1">
        <f t="array" aca="1" ref="F27" ca="1">INDIRECT(ADDRESS($A27,5,,,"scalars"))</f>
        <v>#N/A</v>
      </c>
      <c r="G27" s="15" t="s">
        <v>80</v>
      </c>
      <c r="H27" s="33" cm="1">
        <f t="array" aca="1" ref="H27" ca="1">INDIRECT(ADDRESS($C27,H$3,,,"mkt data"))</f>
        <v>37.49</v>
      </c>
      <c r="I27" s="34" cm="1">
        <f t="array" aca="1" ref="I27" ca="1">INDIRECT(ADDRESS($C27,I$3,,,"mkt data"))</f>
        <v>38.619999999999997</v>
      </c>
      <c r="J27" s="150" t="e" cm="1">
        <f t="array" aca="1" ref="J27" ca="1">INDIRECT(ADDRESS($A27,J$3,,,"SCALARS"))</f>
        <v>#N/A</v>
      </c>
      <c r="K27" s="16" t="e">
        <f t="shared" ca="1" si="10"/>
        <v>#N/A</v>
      </c>
      <c r="L27" s="16" t="e">
        <f t="shared" ca="1" si="11"/>
        <v>#N/A</v>
      </c>
      <c r="M27" s="44" t="e" cm="1">
        <f t="array" aca="1" ref="M27" ca="1">INDIRECT(ADDRESS($A27,M$3,,,"scalars"))</f>
        <v>#N/A</v>
      </c>
      <c r="N27" s="17" t="e">
        <f t="shared" ca="1" si="12"/>
        <v>#N/A</v>
      </c>
      <c r="O27" s="17" t="e">
        <f t="shared" ca="1" si="13"/>
        <v>#N/A</v>
      </c>
      <c r="P27" s="477" t="e">
        <f ca="1">N28-O27</f>
        <v>#N/A</v>
      </c>
      <c r="Q27" s="475" t="e">
        <f ca="1">LN(N28/O27)</f>
        <v>#N/A</v>
      </c>
      <c r="R27" s="252" t="e" cm="1">
        <f t="array" aca="1" ref="R27" ca="1">-INDIRECT(ADDRESS($B27,R$3,,,"threshold info"))</f>
        <v>#REF!</v>
      </c>
      <c r="S27" s="223" t="e" cm="1">
        <f t="array" aca="1" ref="S27" ca="1">-INDIRECT(ADDRESS($B27,S$3,,,"threshold info"))</f>
        <v>#REF!</v>
      </c>
      <c r="T27" s="477" t="e">
        <f ca="1">N27-O28</f>
        <v>#N/A</v>
      </c>
      <c r="U27" s="475" t="e">
        <f ca="1">LN(N27/O28)</f>
        <v>#N/A</v>
      </c>
      <c r="V27" s="252" t="e" cm="1">
        <f t="array" aca="1" ref="V27" ca="1">INDIRECT(ADDRESS($B27,V$3,,,"threshold info"))</f>
        <v>#REF!</v>
      </c>
      <c r="W27" s="60" t="e" cm="1">
        <f t="array" aca="1" ref="W27" ca="1">INDIRECT(ADDRESS($B27,W$3,,,"threshold info"))</f>
        <v>#REF!</v>
      </c>
      <c r="X27" s="27" cm="1">
        <f t="array" aca="1" ref="X27" ca="1">INDIRECT(ADDRESS($C27,X$3,,,"mkt data"))</f>
        <v>0</v>
      </c>
      <c r="Y27" s="48">
        <f t="shared" ca="1" si="14"/>
        <v>0</v>
      </c>
      <c r="Z27" s="27" t="e">
        <f t="shared" ca="1" si="15"/>
        <v>#N/A</v>
      </c>
      <c r="AA27" s="485" t="e">
        <f ca="1">SUM(Z27:Z28)</f>
        <v>#N/A</v>
      </c>
      <c r="AB27" s="462"/>
      <c r="AC27" s="173" t="str">
        <f t="shared" si="16"/>
        <v>FENY</v>
      </c>
      <c r="AD27" s="33" cm="1">
        <f t="array" aca="1" ref="AD27" ca="1">INDIRECT(ADDRESS($C27,AD$3,,,"mkt data"))</f>
        <v>36.990001999999997</v>
      </c>
      <c r="AE27" s="165">
        <f t="shared" ca="1" si="17"/>
        <v>38.055</v>
      </c>
      <c r="AF27" s="165">
        <f t="shared" ca="1" si="18"/>
        <v>1.0649980000000028</v>
      </c>
      <c r="AG27" s="165">
        <f t="shared" ca="1" si="19"/>
        <v>0</v>
      </c>
      <c r="AH27" s="522">
        <f ca="1">AG27+AG28</f>
        <v>0</v>
      </c>
      <c r="AI27" s="460"/>
      <c r="AJ27" s="458"/>
      <c r="AN27"/>
    </row>
    <row r="28" spans="1:40" ht="15.75" thickBot="1" x14ac:dyDescent="0.3">
      <c r="A28" s="81" t="e">
        <f>MATCH(G28,SCALARS!D:D,0)</f>
        <v>#N/A</v>
      </c>
      <c r="B28" s="525"/>
      <c r="C28" s="82">
        <f>MATCH(G28,'MKT DATA'!B:B,0)</f>
        <v>52</v>
      </c>
      <c r="D28" s="354"/>
      <c r="E28" s="265" t="e" cm="1">
        <f t="array" aca="1" ref="E28" ca="1">INDIRECT(ADDRESS($A28,2,,,"scalars"))</f>
        <v>#N/A</v>
      </c>
      <c r="F28" s="20" t="e" cm="1">
        <f t="array" aca="1" ref="F28" ca="1">INDIRECT(ADDRESS($A28,5,,,"scalars"))</f>
        <v>#N/A</v>
      </c>
      <c r="G28" s="21" t="s">
        <v>82</v>
      </c>
      <c r="H28" s="37" cm="1">
        <f t="array" aca="1" ref="H28" ca="1">INDIRECT(ADDRESS($C28,H$3,,,"mkt data"))</f>
        <v>190.77</v>
      </c>
      <c r="I28" s="38" cm="1">
        <f t="array" aca="1" ref="I28" ca="1">INDIRECT(ADDRESS($C28,I$3,,,"mkt data"))</f>
        <v>193.68</v>
      </c>
      <c r="J28" s="151" t="e" cm="1">
        <f t="array" aca="1" ref="J28" ca="1">INDIRECT(ADDRESS($A28,J$3,,,"SCALARS"))</f>
        <v>#N/A</v>
      </c>
      <c r="K28" s="22" t="e">
        <f t="shared" ca="1" si="10"/>
        <v>#N/A</v>
      </c>
      <c r="L28" s="22" t="e">
        <f t="shared" ca="1" si="11"/>
        <v>#N/A</v>
      </c>
      <c r="M28" s="45" t="e" cm="1">
        <f t="array" aca="1" ref="M28" ca="1">INDIRECT(ADDRESS($A28,M$3,,,"scalars"))</f>
        <v>#N/A</v>
      </c>
      <c r="N28" s="23" t="e">
        <f t="shared" ca="1" si="12"/>
        <v>#N/A</v>
      </c>
      <c r="O28" s="23" t="e">
        <f t="shared" ca="1" si="13"/>
        <v>#N/A</v>
      </c>
      <c r="P28" s="478"/>
      <c r="Q28" s="476"/>
      <c r="R28" s="253" t="e">
        <f ca="1">IF(Q27&gt;R27,TRUE,FALSE)</f>
        <v>#N/A</v>
      </c>
      <c r="S28" s="224" t="e">
        <f ca="1">AND(IF(U27&gt;-S27,TRUE,FALSE),IF(X27&gt;0,TRUE,FALSE))</f>
        <v>#N/A</v>
      </c>
      <c r="T28" s="478"/>
      <c r="U28" s="476"/>
      <c r="V28" s="253" t="e">
        <f ca="1">IF(U27&gt;V27,TRUE,FALSE)</f>
        <v>#N/A</v>
      </c>
      <c r="W28" s="61" t="e">
        <f ca="1">AND(IF(Q27&gt;-W27,TRUE,FALSE),IF(X27&lt;0,TRUE,FALSE))</f>
        <v>#N/A</v>
      </c>
      <c r="X28" s="29" cm="1">
        <f t="array" aca="1" ref="X28" ca="1">INDIRECT(ADDRESS($C28,X$3,,,"mkt data"))</f>
        <v>0</v>
      </c>
      <c r="Y28" s="50">
        <f t="shared" ca="1" si="14"/>
        <v>0</v>
      </c>
      <c r="Z28" s="29" t="e">
        <f t="shared" ca="1" si="15"/>
        <v>#N/A</v>
      </c>
      <c r="AA28" s="486"/>
      <c r="AB28" s="463"/>
      <c r="AC28" s="181" t="str">
        <f t="shared" si="16"/>
        <v>VDE</v>
      </c>
      <c r="AD28" s="37" cm="1">
        <f t="array" aca="1" ref="AD28" ca="1">INDIRECT(ADDRESS($C28,AD$3,,,"mkt data"))</f>
        <v>187.96000699999999</v>
      </c>
      <c r="AE28" s="167">
        <f t="shared" ca="1" si="17"/>
        <v>192.22500000000002</v>
      </c>
      <c r="AF28" s="167">
        <f t="shared" ca="1" si="18"/>
        <v>4.2649930000000325</v>
      </c>
      <c r="AG28" s="167">
        <f t="shared" ca="1" si="19"/>
        <v>0</v>
      </c>
      <c r="AH28" s="523"/>
      <c r="AI28" s="461"/>
      <c r="AJ28" s="459"/>
      <c r="AN28"/>
    </row>
    <row r="29" spans="1:40" x14ac:dyDescent="0.25">
      <c r="A29" s="92" t="e">
        <f>MATCH(G29,SCALARS!D:D,0)</f>
        <v>#N/A</v>
      </c>
      <c r="B29" s="526">
        <f>MATCH(G29,'SCALAR INPUTS'!E:E,0)</f>
        <v>32</v>
      </c>
      <c r="C29" s="93">
        <f>MATCH(G29,'MKT DATA'!B:B,0)</f>
        <v>56</v>
      </c>
      <c r="D29" s="353"/>
      <c r="E29" s="350" t="e" cm="1">
        <f t="array" aca="1" ref="E29" ca="1">INDIRECT(ADDRESS($A29,2,,,"scalars"))</f>
        <v>#N/A</v>
      </c>
      <c r="F29" s="94" t="e" cm="1">
        <f t="array" aca="1" ref="F29" ca="1">INDIRECT(ADDRESS($A29,5,,,"scalars"))</f>
        <v>#N/A</v>
      </c>
      <c r="G29" s="122" t="s">
        <v>113</v>
      </c>
      <c r="H29" s="114" cm="1">
        <f t="array" aca="1" ref="H29" ca="1">INDIRECT(ADDRESS($C29,H$3,,,"mkt data"))</f>
        <v>78.41</v>
      </c>
      <c r="I29" s="115" cm="1">
        <f t="array" aca="1" ref="I29" ca="1">INDIRECT(ADDRESS($C29,I$3,,,"mkt data"))</f>
        <v>80.010000000000005</v>
      </c>
      <c r="J29" s="153" t="e" cm="1">
        <f t="array" aca="1" ref="J29" ca="1">INDIRECT(ADDRESS($A29,J$3,,,"SCALARS"))</f>
        <v>#N/A</v>
      </c>
      <c r="K29" s="97" t="e">
        <f t="shared" ca="1" si="10"/>
        <v>#N/A</v>
      </c>
      <c r="L29" s="97" t="e">
        <f t="shared" ca="1" si="11"/>
        <v>#N/A</v>
      </c>
      <c r="M29" s="123" t="e" cm="1">
        <f t="array" aca="1" ref="M29" ca="1">INDIRECT(ADDRESS($A29,M$3,,,"scalars"))</f>
        <v>#N/A</v>
      </c>
      <c r="N29" s="116" t="e">
        <f t="shared" ca="1" si="12"/>
        <v>#N/A</v>
      </c>
      <c r="O29" s="116" t="e">
        <f t="shared" ca="1" si="13"/>
        <v>#N/A</v>
      </c>
      <c r="P29" s="514" t="e">
        <f ca="1">N30-O29</f>
        <v>#N/A</v>
      </c>
      <c r="Q29" s="512" t="e">
        <f ca="1">LN(N30/O29)</f>
        <v>#N/A</v>
      </c>
      <c r="R29" s="261"/>
      <c r="S29" s="227"/>
      <c r="T29" s="514" t="e">
        <f ca="1">N29-O30</f>
        <v>#N/A</v>
      </c>
      <c r="U29" s="512" t="e">
        <f ca="1">LN(N29/O30)</f>
        <v>#N/A</v>
      </c>
      <c r="V29" s="261"/>
      <c r="W29" s="99"/>
      <c r="X29" s="112" cm="1">
        <f t="array" aca="1" ref="X29" ca="1">INDIRECT(ADDRESS($C29,X$3,,,"mkt data"))</f>
        <v>0</v>
      </c>
      <c r="Y29" s="113">
        <f t="shared" ca="1" si="14"/>
        <v>0</v>
      </c>
      <c r="Z29" s="112" t="e">
        <f t="shared" ca="1" si="15"/>
        <v>#N/A</v>
      </c>
      <c r="AA29" s="516" t="e">
        <f ca="1">SUM(Z29:Z30)</f>
        <v>#N/A</v>
      </c>
      <c r="AB29" s="462"/>
      <c r="AC29" s="179" t="str">
        <f t="shared" si="16"/>
        <v>FNCL</v>
      </c>
      <c r="AD29" s="162" cm="1">
        <f t="array" aca="1" ref="AD29" ca="1">INDIRECT(ADDRESS($C29,AD$3,,,"mkt data"))</f>
        <v>80.180000000000007</v>
      </c>
      <c r="AE29" s="172">
        <f t="shared" ca="1" si="17"/>
        <v>79.210000000000008</v>
      </c>
      <c r="AF29" s="172">
        <f t="shared" ca="1" si="18"/>
        <v>-0.96999999999999886</v>
      </c>
      <c r="AG29" s="170">
        <f t="shared" ca="1" si="19"/>
        <v>0</v>
      </c>
      <c r="AH29" s="218">
        <f ca="1">AG29+AG30</f>
        <v>0</v>
      </c>
      <c r="AI29" s="367"/>
      <c r="AJ29" s="368"/>
      <c r="AN29"/>
    </row>
    <row r="30" spans="1:40" ht="15.75" thickBot="1" x14ac:dyDescent="0.3">
      <c r="A30" s="100" t="e">
        <f>MATCH(G30,SCALARS!D:D,0)</f>
        <v>#N/A</v>
      </c>
      <c r="B30" s="527"/>
      <c r="C30" s="101">
        <f>MATCH(G30,'MKT DATA'!B:B,0)</f>
        <v>58</v>
      </c>
      <c r="D30" s="354"/>
      <c r="E30" s="351" t="e" cm="1">
        <f t="array" aca="1" ref="E30" ca="1">INDIRECT(ADDRESS($A30,2,,,"scalars"))</f>
        <v>#N/A</v>
      </c>
      <c r="F30" s="102" t="e" cm="1">
        <f t="array" aca="1" ref="F30" ca="1">INDIRECT(ADDRESS($A30,5,,,"scalars"))</f>
        <v>#N/A</v>
      </c>
      <c r="G30" s="124" t="s">
        <v>85</v>
      </c>
      <c r="H30" s="119" cm="1">
        <f t="array" aca="1" ref="H30" ca="1">INDIRECT(ADDRESS($C30,H$3,,,"mkt data"))</f>
        <v>134.78</v>
      </c>
      <c r="I30" s="120" cm="1">
        <f t="array" aca="1" ref="I30" ca="1">INDIRECT(ADDRESS($C30,I$3,,,"mkt data"))</f>
        <v>137.44999999999999</v>
      </c>
      <c r="J30" s="154" t="e" cm="1">
        <f t="array" aca="1" ref="J30" ca="1">INDIRECT(ADDRESS($A30,J$3,,,"SCALARS"))</f>
        <v>#N/A</v>
      </c>
      <c r="K30" s="105" t="e">
        <f t="shared" ca="1" si="10"/>
        <v>#N/A</v>
      </c>
      <c r="L30" s="105" t="e">
        <f t="shared" ca="1" si="11"/>
        <v>#N/A</v>
      </c>
      <c r="M30" s="125" t="e" cm="1">
        <f t="array" aca="1" ref="M30" ca="1">INDIRECT(ADDRESS($A30,M$3,,,"scalars"))</f>
        <v>#N/A</v>
      </c>
      <c r="N30" s="121" t="e">
        <f t="shared" ca="1" si="12"/>
        <v>#N/A</v>
      </c>
      <c r="O30" s="121" t="e">
        <f t="shared" ca="1" si="13"/>
        <v>#N/A</v>
      </c>
      <c r="P30" s="515"/>
      <c r="Q30" s="513"/>
      <c r="R30" s="262"/>
      <c r="S30" s="228"/>
      <c r="T30" s="515"/>
      <c r="U30" s="513"/>
      <c r="V30" s="262"/>
      <c r="W30" s="107"/>
      <c r="X30" s="117" cm="1">
        <f t="array" aca="1" ref="X30" ca="1">INDIRECT(ADDRESS($C30,X$3,,,"mkt data"))</f>
        <v>0</v>
      </c>
      <c r="Y30" s="118">
        <f t="shared" ca="1" si="14"/>
        <v>0</v>
      </c>
      <c r="Z30" s="117" t="e">
        <f t="shared" ca="1" si="15"/>
        <v>#N/A</v>
      </c>
      <c r="AA30" s="517"/>
      <c r="AB30" s="463"/>
      <c r="AC30" s="180" t="str">
        <f t="shared" si="16"/>
        <v>VFH</v>
      </c>
      <c r="AD30" s="162" cm="1">
        <f t="array" aca="1" ref="AD30" ca="1">INDIRECT(ADDRESS($C30,AD$3,,,"mkt data"))</f>
        <v>137.66000399999999</v>
      </c>
      <c r="AE30" s="172">
        <f t="shared" ca="1" si="17"/>
        <v>136.11500000000001</v>
      </c>
      <c r="AF30" s="172">
        <f t="shared" ca="1" si="18"/>
        <v>-1.5450039999999774</v>
      </c>
      <c r="AG30" s="170">
        <f t="shared" ca="1" si="19"/>
        <v>0</v>
      </c>
      <c r="AH30" s="219"/>
      <c r="AI30" s="367"/>
      <c r="AJ30" s="369"/>
      <c r="AN30"/>
    </row>
    <row r="31" spans="1:40" x14ac:dyDescent="0.25">
      <c r="A31" s="79" t="e">
        <f>MATCH(G31,SCALARS!D:D,0)</f>
        <v>#N/A</v>
      </c>
      <c r="B31" s="524">
        <f>MATCH(G31,'SCALAR INPUTS'!E:E,0)</f>
        <v>30</v>
      </c>
      <c r="C31" s="80">
        <f>MATCH(G31,'MKT DATA'!B:B,0)</f>
        <v>64</v>
      </c>
      <c r="D31" s="353"/>
      <c r="E31" s="264" t="e" cm="1">
        <f t="array" aca="1" ref="E31" ca="1">INDIRECT(ADDRESS($A31,2,,,"scalars"))</f>
        <v>#N/A</v>
      </c>
      <c r="F31" s="14" t="e" cm="1">
        <f t="array" aca="1" ref="F31" ca="1">INDIRECT(ADDRESS($A31,5,,,"scalars"))</f>
        <v>#N/A</v>
      </c>
      <c r="G31" s="15" t="s">
        <v>87</v>
      </c>
      <c r="H31" s="33" cm="1">
        <f t="array" aca="1" ref="H31" ca="1">INDIRECT(ADDRESS($C31,H$3,,,"mkt data"))</f>
        <v>85.23</v>
      </c>
      <c r="I31" s="34" cm="1">
        <f t="array" aca="1" ref="I31" ca="1">INDIRECT(ADDRESS($C31,I$3,,,"mkt data"))</f>
        <v>86.69</v>
      </c>
      <c r="J31" s="150" t="e" cm="1">
        <f t="array" aca="1" ref="J31" ca="1">INDIRECT(ADDRESS($A31,J$3,,,"SCALARS"))</f>
        <v>#N/A</v>
      </c>
      <c r="K31" s="16" t="e">
        <f t="shared" ca="1" si="10"/>
        <v>#N/A</v>
      </c>
      <c r="L31" s="16" t="e">
        <f t="shared" ca="1" si="11"/>
        <v>#N/A</v>
      </c>
      <c r="M31" s="44" t="e" cm="1">
        <f t="array" aca="1" ref="M31" ca="1">INDIRECT(ADDRESS($A31,M$3,,,"scalars"))</f>
        <v>#N/A</v>
      </c>
      <c r="N31" s="17" t="e">
        <f t="shared" ca="1" si="12"/>
        <v>#N/A</v>
      </c>
      <c r="O31" s="17" t="e">
        <f t="shared" ca="1" si="13"/>
        <v>#N/A</v>
      </c>
      <c r="P31" s="477" t="e">
        <f ca="1">N32-O31</f>
        <v>#N/A</v>
      </c>
      <c r="Q31" s="475" t="e">
        <f ca="1">LN(N32/O31)</f>
        <v>#N/A</v>
      </c>
      <c r="R31" s="252" t="e" cm="1">
        <f t="array" aca="1" ref="R31" ca="1">-INDIRECT(ADDRESS($B31,R$3,,,"threshold info"))</f>
        <v>#REF!</v>
      </c>
      <c r="S31" s="223" t="e" cm="1">
        <f t="array" aca="1" ref="S31" ca="1">-INDIRECT(ADDRESS($B31,S$3,,,"threshold info"))</f>
        <v>#REF!</v>
      </c>
      <c r="T31" s="477" t="e">
        <f ca="1">N31-O32</f>
        <v>#N/A</v>
      </c>
      <c r="U31" s="475" t="e">
        <f ca="1">LN(N31/O32)</f>
        <v>#N/A</v>
      </c>
      <c r="V31" s="252" t="e" cm="1">
        <f t="array" aca="1" ref="V31" ca="1">INDIRECT(ADDRESS($B31,V$3,,,"threshold info"))</f>
        <v>#REF!</v>
      </c>
      <c r="W31" s="60" t="e" cm="1">
        <f t="array" aca="1" ref="W31" ca="1">INDIRECT(ADDRESS($B31,W$3,,,"threshold info"))</f>
        <v>#REF!</v>
      </c>
      <c r="X31" s="27" cm="1">
        <f t="array" aca="1" ref="X31" ca="1">INDIRECT(ADDRESS($C31,X$3,,,"mkt data"))</f>
        <v>0</v>
      </c>
      <c r="Y31" s="48">
        <f t="shared" ca="1" si="14"/>
        <v>0</v>
      </c>
      <c r="Z31" s="27" t="e">
        <f t="shared" ca="1" si="15"/>
        <v>#N/A</v>
      </c>
      <c r="AA31" s="485" t="e">
        <f ca="1">SUM(Z31:Z32)</f>
        <v>#N/A</v>
      </c>
      <c r="AB31" s="462"/>
      <c r="AC31" s="173" t="str">
        <f t="shared" si="16"/>
        <v>FHLC</v>
      </c>
      <c r="AD31" s="33" cm="1">
        <f t="array" aca="1" ref="AD31" ca="1">INDIRECT(ADDRESS($C31,AD$3,,,"mkt data"))</f>
        <v>86.949996999999996</v>
      </c>
      <c r="AE31" s="165">
        <f t="shared" ca="1" si="17"/>
        <v>85.960000000000008</v>
      </c>
      <c r="AF31" s="165">
        <f t="shared" ca="1" si="18"/>
        <v>-0.98999699999998825</v>
      </c>
      <c r="AG31" s="165">
        <f t="shared" ca="1" si="19"/>
        <v>0</v>
      </c>
      <c r="AH31" s="216">
        <f ca="1">AG31+AG32</f>
        <v>0</v>
      </c>
      <c r="AI31" s="460"/>
      <c r="AJ31" s="458"/>
      <c r="AN31"/>
    </row>
    <row r="32" spans="1:40" ht="15.75" thickBot="1" x14ac:dyDescent="0.3">
      <c r="A32" s="81" t="e">
        <f>MATCH(G32,SCALARS!D:D,0)</f>
        <v>#N/A</v>
      </c>
      <c r="B32" s="525"/>
      <c r="C32" s="82">
        <f>MATCH(G32,'MKT DATA'!B:B,0)</f>
        <v>66</v>
      </c>
      <c r="D32" s="354"/>
      <c r="E32" s="265" t="e" cm="1">
        <f t="array" aca="1" ref="E32" ca="1">INDIRECT(ADDRESS($A32,2,,,"scalars"))</f>
        <v>#N/A</v>
      </c>
      <c r="F32" s="20" t="e" cm="1">
        <f t="array" aca="1" ref="F32" ca="1">INDIRECT(ADDRESS($A32,5,,,"scalars"))</f>
        <v>#N/A</v>
      </c>
      <c r="G32" s="21" t="s">
        <v>89</v>
      </c>
      <c r="H32" s="37" cm="1">
        <f t="array" aca="1" ref="H32" ca="1">INDIRECT(ADDRESS($C32,H$3,,,"mkt data"))</f>
        <v>331.34</v>
      </c>
      <c r="I32" s="38" cm="1">
        <f t="array" aca="1" ref="I32" ca="1">INDIRECT(ADDRESS($C32,I$3,,,"mkt data"))</f>
        <v>335.18</v>
      </c>
      <c r="J32" s="151" t="e" cm="1">
        <f t="array" aca="1" ref="J32" ca="1">INDIRECT(ADDRESS($A32,J$3,,,"SCALARS"))</f>
        <v>#N/A</v>
      </c>
      <c r="K32" s="22" t="e">
        <f t="shared" ca="1" si="10"/>
        <v>#N/A</v>
      </c>
      <c r="L32" s="22" t="e">
        <f t="shared" ca="1" si="11"/>
        <v>#N/A</v>
      </c>
      <c r="M32" s="45" t="e" cm="1">
        <f t="array" aca="1" ref="M32" ca="1">INDIRECT(ADDRESS($A32,M$3,,,"scalars"))</f>
        <v>#N/A</v>
      </c>
      <c r="N32" s="23" t="e">
        <f t="shared" ca="1" si="12"/>
        <v>#N/A</v>
      </c>
      <c r="O32" s="23" t="e">
        <f t="shared" ca="1" si="13"/>
        <v>#N/A</v>
      </c>
      <c r="P32" s="478"/>
      <c r="Q32" s="476"/>
      <c r="R32" s="253" t="e">
        <f ca="1">IF(Q31&gt;R31,TRUE,FALSE)</f>
        <v>#N/A</v>
      </c>
      <c r="S32" s="224" t="e">
        <f ca="1">AND(IF(U31&gt;-S31,TRUE,FALSE),IF(X31&gt;0,TRUE,FALSE))</f>
        <v>#N/A</v>
      </c>
      <c r="T32" s="478"/>
      <c r="U32" s="476"/>
      <c r="V32" s="253" t="e">
        <f ca="1">IF(U31&gt;V31,TRUE,FALSE)</f>
        <v>#N/A</v>
      </c>
      <c r="W32" s="61" t="e">
        <f ca="1">AND(IF(Q31&gt;-W31,TRUE,FALSE),IF(X31&lt;0,TRUE,FALSE))</f>
        <v>#N/A</v>
      </c>
      <c r="X32" s="29" cm="1">
        <f t="array" aca="1" ref="X32" ca="1">INDIRECT(ADDRESS($C32,X$3,,,"mkt data"))</f>
        <v>0</v>
      </c>
      <c r="Y32" s="50">
        <f t="shared" ca="1" si="14"/>
        <v>0</v>
      </c>
      <c r="Z32" s="29" t="e">
        <f t="shared" ca="1" si="15"/>
        <v>#N/A</v>
      </c>
      <c r="AA32" s="486"/>
      <c r="AB32" s="463"/>
      <c r="AC32" s="181" t="str">
        <f t="shared" si="16"/>
        <v>VHT</v>
      </c>
      <c r="AD32" s="37" cm="1">
        <f t="array" aca="1" ref="AD32" ca="1">INDIRECT(ADDRESS($C32,AD$3,,,"mkt data"))</f>
        <v>336.26001000000002</v>
      </c>
      <c r="AE32" s="167">
        <f t="shared" ca="1" si="17"/>
        <v>333.26</v>
      </c>
      <c r="AF32" s="167">
        <f t="shared" ca="1" si="18"/>
        <v>-3.0000100000000316</v>
      </c>
      <c r="AG32" s="167">
        <f t="shared" ca="1" si="19"/>
        <v>0</v>
      </c>
      <c r="AH32" s="217"/>
      <c r="AI32" s="461"/>
      <c r="AJ32" s="459"/>
      <c r="AN32"/>
    </row>
    <row r="33" spans="1:40" x14ac:dyDescent="0.25">
      <c r="A33" s="92" t="e">
        <f>MATCH(G33,SCALARS!D:D,0)</f>
        <v>#N/A</v>
      </c>
      <c r="B33" s="526">
        <f>MATCH(G33,'SCALAR INPUTS'!E:E,0)</f>
        <v>31</v>
      </c>
      <c r="C33" s="93">
        <f>MATCH(G33,'MKT DATA'!B:B,0)</f>
        <v>90</v>
      </c>
      <c r="D33" s="353"/>
      <c r="E33" s="350" t="e" cm="1">
        <f t="array" aca="1" ref="E33" ca="1">INDIRECT(ADDRESS($A33,2,,,"scalars"))</f>
        <v>#N/A</v>
      </c>
      <c r="F33" s="94" t="e" cm="1">
        <f t="array" aca="1" ref="F33" ca="1">INDIRECT(ADDRESS($A33,5,,,"scalars"))</f>
        <v>#N/A</v>
      </c>
      <c r="G33" s="122" t="s">
        <v>91</v>
      </c>
      <c r="H33" s="114" cm="1">
        <f t="array" aca="1" ref="H33" ca="1">INDIRECT(ADDRESS($C33,H$3,,,"mkt data"))</f>
        <v>86.38</v>
      </c>
      <c r="I33" s="115" cm="1">
        <f t="array" aca="1" ref="I33" ca="1">INDIRECT(ADDRESS($C33,I$3,,,"mkt data"))</f>
        <v>87.85</v>
      </c>
      <c r="J33" s="153" t="e" cm="1">
        <f t="array" aca="1" ref="J33" ca="1">INDIRECT(ADDRESS($A33,J$3,,,"SCALARS"))</f>
        <v>#N/A</v>
      </c>
      <c r="K33" s="97" t="e">
        <f t="shared" ca="1" si="10"/>
        <v>#N/A</v>
      </c>
      <c r="L33" s="97" t="e">
        <f t="shared" ca="1" si="11"/>
        <v>#N/A</v>
      </c>
      <c r="M33" s="123" t="e" cm="1">
        <f t="array" aca="1" ref="M33" ca="1">INDIRECT(ADDRESS($A33,M$3,,,"scalars"))</f>
        <v>#N/A</v>
      </c>
      <c r="N33" s="116" t="e">
        <f t="shared" ca="1" si="12"/>
        <v>#N/A</v>
      </c>
      <c r="O33" s="116" t="e">
        <f t="shared" ca="1" si="13"/>
        <v>#N/A</v>
      </c>
      <c r="P33" s="514" t="e">
        <f ca="1">N34-O33</f>
        <v>#N/A</v>
      </c>
      <c r="Q33" s="512" t="e">
        <f ca="1">LN(N34/O33)</f>
        <v>#N/A</v>
      </c>
      <c r="R33" s="261"/>
      <c r="S33" s="227"/>
      <c r="T33" s="514" t="e">
        <f ca="1">N33-O34</f>
        <v>#N/A</v>
      </c>
      <c r="U33" s="512" t="e">
        <f ca="1">LN(N33/O34)</f>
        <v>#N/A</v>
      </c>
      <c r="V33" s="261"/>
      <c r="W33" s="99"/>
      <c r="X33" s="112" cm="1">
        <f t="array" aca="1" ref="X33" ca="1">INDIRECT(ADDRESS($C33,X$3,,,"mkt data"))</f>
        <v>0</v>
      </c>
      <c r="Y33" s="113">
        <f t="shared" ca="1" si="14"/>
        <v>0</v>
      </c>
      <c r="Z33" s="112" t="e">
        <f t="shared" ca="1" si="15"/>
        <v>#N/A</v>
      </c>
      <c r="AA33" s="516" t="e">
        <f ca="1">SUM(Z33:Z34)</f>
        <v>#N/A</v>
      </c>
      <c r="AB33" s="462"/>
      <c r="AC33" s="179" t="str">
        <f t="shared" si="16"/>
        <v>FIDU</v>
      </c>
      <c r="AD33" s="162" cm="1">
        <f t="array" aca="1" ref="AD33" ca="1">INDIRECT(ADDRESS($C33,AD$3,,,"mkt data"))</f>
        <v>88.139999000000003</v>
      </c>
      <c r="AE33" s="172">
        <f t="shared" ca="1" si="17"/>
        <v>87.114999999999995</v>
      </c>
      <c r="AF33" s="172">
        <f t="shared" ca="1" si="18"/>
        <v>-1.0249990000000082</v>
      </c>
      <c r="AG33" s="170">
        <f t="shared" ca="1" si="19"/>
        <v>0</v>
      </c>
      <c r="AH33" s="520">
        <f ca="1">AG33+AG34</f>
        <v>0</v>
      </c>
      <c r="AI33" s="367"/>
      <c r="AJ33" s="470"/>
      <c r="AN33"/>
    </row>
    <row r="34" spans="1:40" ht="15.75" thickBot="1" x14ac:dyDescent="0.3">
      <c r="A34" s="100" t="e">
        <f>MATCH(G34,SCALARS!D:D,0)</f>
        <v>#N/A</v>
      </c>
      <c r="B34" s="527"/>
      <c r="C34" s="101">
        <f>MATCH(G34,'MKT DATA'!B:B,0)</f>
        <v>92</v>
      </c>
      <c r="D34" s="354"/>
      <c r="E34" s="351" t="e" cm="1">
        <f t="array" aca="1" ref="E34" ca="1">INDIRECT(ADDRESS($A34,2,,,"scalars"))</f>
        <v>#N/A</v>
      </c>
      <c r="F34" s="102" t="e" cm="1">
        <f t="array" aca="1" ref="F34" ca="1">INDIRECT(ADDRESS($A34,5,,,"scalars"))</f>
        <v>#N/A</v>
      </c>
      <c r="G34" s="124" t="s">
        <v>114</v>
      </c>
      <c r="H34" s="119" cm="1">
        <f t="array" aca="1" ref="H34" ca="1">INDIRECT(ADDRESS($C34,H$3,,,"mkt data"))</f>
        <v>312.36</v>
      </c>
      <c r="I34" s="120" cm="1">
        <f t="array" aca="1" ref="I34" ca="1">INDIRECT(ADDRESS($C34,I$3,,,"mkt data"))</f>
        <v>317.49</v>
      </c>
      <c r="J34" s="154" t="e" cm="1">
        <f t="array" aca="1" ref="J34" ca="1">INDIRECT(ADDRESS($A34,J$3,,,"SCALARS"))</f>
        <v>#N/A</v>
      </c>
      <c r="K34" s="105" t="e">
        <f t="shared" ca="1" si="10"/>
        <v>#N/A</v>
      </c>
      <c r="L34" s="105" t="e">
        <f t="shared" ca="1" si="11"/>
        <v>#N/A</v>
      </c>
      <c r="M34" s="125" t="e" cm="1">
        <f t="array" aca="1" ref="M34" ca="1">INDIRECT(ADDRESS($A34,M$3,,,"scalars"))</f>
        <v>#N/A</v>
      </c>
      <c r="N34" s="121" t="e">
        <f t="shared" ca="1" si="12"/>
        <v>#N/A</v>
      </c>
      <c r="O34" s="121" t="e">
        <f t="shared" ca="1" si="13"/>
        <v>#N/A</v>
      </c>
      <c r="P34" s="515"/>
      <c r="Q34" s="513"/>
      <c r="R34" s="262"/>
      <c r="S34" s="228"/>
      <c r="T34" s="515"/>
      <c r="U34" s="513"/>
      <c r="V34" s="262"/>
      <c r="W34" s="107"/>
      <c r="X34" s="117" cm="1">
        <f t="array" aca="1" ref="X34" ca="1">INDIRECT(ADDRESS($C34,X$3,,,"mkt data"))</f>
        <v>0</v>
      </c>
      <c r="Y34" s="118">
        <f t="shared" ca="1" si="14"/>
        <v>0</v>
      </c>
      <c r="Z34" s="117" t="e">
        <f t="shared" ca="1" si="15"/>
        <v>#N/A</v>
      </c>
      <c r="AA34" s="517"/>
      <c r="AB34" s="463"/>
      <c r="AC34" s="180" t="str">
        <f t="shared" si="16"/>
        <v>VIS</v>
      </c>
      <c r="AD34" s="162" cm="1">
        <f t="array" aca="1" ref="AD34" ca="1">INDIRECT(ADDRESS($C34,AD$3,,,"mkt data"))</f>
        <v>318.48001099999999</v>
      </c>
      <c r="AE34" s="172">
        <f t="shared" ca="1" si="17"/>
        <v>314.92500000000001</v>
      </c>
      <c r="AF34" s="172">
        <f t="shared" ca="1" si="18"/>
        <v>-3.555010999999979</v>
      </c>
      <c r="AG34" s="170">
        <f t="shared" ca="1" si="19"/>
        <v>0</v>
      </c>
      <c r="AH34" s="521"/>
      <c r="AI34" s="367"/>
      <c r="AJ34" s="471"/>
      <c r="AN34"/>
    </row>
    <row r="35" spans="1:40" x14ac:dyDescent="0.25">
      <c r="A35" s="79" t="e">
        <f>MATCH(G35,SCALARS!D:D,0)</f>
        <v>#N/A</v>
      </c>
      <c r="B35" s="524">
        <f>MATCH(G35,'SCALAR INPUTS'!E:E,0)</f>
        <v>33</v>
      </c>
      <c r="C35" s="80">
        <f>MATCH(G35,'MKT DATA'!B:B,0)</f>
        <v>132</v>
      </c>
      <c r="D35" s="353"/>
      <c r="E35" s="264" t="e" cm="1">
        <f t="array" aca="1" ref="E35" ca="1">INDIRECT(ADDRESS($A35,2,,,"scalars"))</f>
        <v>#N/A</v>
      </c>
      <c r="F35" s="14" t="e" cm="1">
        <f t="array" aca="1" ref="F35" ca="1">INDIRECT(ADDRESS($A35,5,,,"scalars"))</f>
        <v>#N/A</v>
      </c>
      <c r="G35" s="15" t="s">
        <v>93</v>
      </c>
      <c r="H35" s="33" cm="1">
        <f t="array" aca="1" ref="H35" ca="1">INDIRECT(ADDRESS($C35,H$3,,,"mkt data"))</f>
        <v>26.5</v>
      </c>
      <c r="I35" s="34" cm="1">
        <f t="array" aca="1" ref="I35" ca="1">INDIRECT(ADDRESS($C35,I$3,,,"mkt data"))</f>
        <v>28.5</v>
      </c>
      <c r="J35" s="150" t="e" cm="1">
        <f t="array" aca="1" ref="J35" ca="1">INDIRECT(ADDRESS($A35,J$3,,,"SCALARS"))</f>
        <v>#N/A</v>
      </c>
      <c r="K35" s="16" t="e">
        <f t="shared" ca="1" si="10"/>
        <v>#N/A</v>
      </c>
      <c r="L35" s="16" t="e">
        <f t="shared" ca="1" si="11"/>
        <v>#N/A</v>
      </c>
      <c r="M35" s="44" t="e" cm="1">
        <f t="array" aca="1" ref="M35" ca="1">INDIRECT(ADDRESS($A35,M$3,,,"scalars"))</f>
        <v>#N/A</v>
      </c>
      <c r="N35" s="17" t="e">
        <f t="shared" ca="1" si="12"/>
        <v>#N/A</v>
      </c>
      <c r="O35" s="17" t="e">
        <f t="shared" ca="1" si="13"/>
        <v>#N/A</v>
      </c>
      <c r="P35" s="477" t="e">
        <f ca="1">N36-O35</f>
        <v>#N/A</v>
      </c>
      <c r="Q35" s="475" t="e">
        <f ca="1">LN(N36/O35)</f>
        <v>#N/A</v>
      </c>
      <c r="R35" s="252" t="e" cm="1">
        <f t="array" aca="1" ref="R35" ca="1">-INDIRECT(ADDRESS($B35,R$3,,,"threshold info"))</f>
        <v>#REF!</v>
      </c>
      <c r="S35" s="223" t="e" cm="1">
        <f t="array" aca="1" ref="S35" ca="1">-INDIRECT(ADDRESS($B35,S$3,,,"threshold info"))</f>
        <v>#REF!</v>
      </c>
      <c r="T35" s="477" t="e">
        <f ca="1">N35-O36</f>
        <v>#N/A</v>
      </c>
      <c r="U35" s="475" t="e">
        <f ca="1">LN(N35/O36)</f>
        <v>#N/A</v>
      </c>
      <c r="V35" s="252" t="e" cm="1">
        <f t="array" aca="1" ref="V35" ca="1">INDIRECT(ADDRESS($B35,V$3,,,"threshold info"))</f>
        <v>#REF!</v>
      </c>
      <c r="W35" s="60" t="e" cm="1">
        <f t="array" aca="1" ref="W35" ca="1">INDIRECT(ADDRESS($B35,W$3,,,"threshold info"))</f>
        <v>#REF!</v>
      </c>
      <c r="X35" s="27" cm="1">
        <f t="array" aca="1" ref="X35" ca="1">INDIRECT(ADDRESS($C35,X$3,,,"mkt data"))</f>
        <v>0</v>
      </c>
      <c r="Y35" s="48">
        <f t="shared" ca="1" si="14"/>
        <v>0</v>
      </c>
      <c r="Z35" s="27" t="e">
        <f t="shared" ca="1" si="15"/>
        <v>#N/A</v>
      </c>
      <c r="AA35" s="485" t="e">
        <f ca="1">SUM(Z35:Z36)</f>
        <v>#N/A</v>
      </c>
      <c r="AB35" s="462"/>
      <c r="AC35" s="173" t="str">
        <f t="shared" si="16"/>
        <v>FREL</v>
      </c>
      <c r="AD35" s="33" cm="1">
        <f t="array" aca="1" ref="AD35" ca="1">INDIRECT(ADDRESS($C35,AD$3,,,"mkt data"))</f>
        <v>28.139999</v>
      </c>
      <c r="AE35" s="165">
        <f t="shared" ca="1" si="17"/>
        <v>27.5</v>
      </c>
      <c r="AF35" s="165">
        <f t="shared" ca="1" si="18"/>
        <v>-0.63999899999999954</v>
      </c>
      <c r="AG35" s="165">
        <f t="shared" ca="1" si="19"/>
        <v>0</v>
      </c>
      <c r="AH35" s="522">
        <f ca="1">AG35+AG36</f>
        <v>0</v>
      </c>
      <c r="AI35" s="460"/>
      <c r="AJ35" s="458"/>
      <c r="AN35"/>
    </row>
    <row r="36" spans="1:40" ht="15.75" thickBot="1" x14ac:dyDescent="0.3">
      <c r="A36" s="81" t="e">
        <f>MATCH(G36,SCALARS!D:D,0)</f>
        <v>#N/A</v>
      </c>
      <c r="B36" s="525"/>
      <c r="C36" s="82">
        <f>MATCH(G36,'MKT DATA'!B:B,0)</f>
        <v>136</v>
      </c>
      <c r="D36" s="354"/>
      <c r="E36" s="265" t="e" cm="1">
        <f t="array" aca="1" ref="E36" ca="1">INDIRECT(ADDRESS($A36,2,,,"scalars"))</f>
        <v>#N/A</v>
      </c>
      <c r="F36" s="20" t="e" cm="1">
        <f t="array" aca="1" ref="F36" ca="1">INDIRECT(ADDRESS($A36,5,,,"scalars"))</f>
        <v>#N/A</v>
      </c>
      <c r="G36" s="21" t="s">
        <v>95</v>
      </c>
      <c r="H36" s="37" cm="1">
        <f t="array" aca="1" ref="H36" ca="1">INDIRECT(ADDRESS($C36,H$3,,,"mkt data"))</f>
        <v>92.67</v>
      </c>
      <c r="I36" s="38" cm="1">
        <f t="array" aca="1" ref="I36" ca="1">INDIRECT(ADDRESS($C36,I$3,,,"mkt data"))</f>
        <v>92.77</v>
      </c>
      <c r="J36" s="151" t="e" cm="1">
        <f t="array" aca="1" ref="J36" ca="1">INDIRECT(ADDRESS($A36,J$3,,,"SCALARS"))</f>
        <v>#N/A</v>
      </c>
      <c r="K36" s="22" t="e">
        <f t="shared" ca="1" si="10"/>
        <v>#N/A</v>
      </c>
      <c r="L36" s="22" t="e">
        <f t="shared" ca="1" si="11"/>
        <v>#N/A</v>
      </c>
      <c r="M36" s="45" t="e" cm="1">
        <f t="array" aca="1" ref="M36" ca="1">INDIRECT(ADDRESS($A36,M$3,,,"scalars"))</f>
        <v>#N/A</v>
      </c>
      <c r="N36" s="23" t="e">
        <f t="shared" ca="1" si="12"/>
        <v>#N/A</v>
      </c>
      <c r="O36" s="23" t="e">
        <f t="shared" ca="1" si="13"/>
        <v>#N/A</v>
      </c>
      <c r="P36" s="478"/>
      <c r="Q36" s="476"/>
      <c r="R36" s="253" t="e">
        <f ca="1">IF(Q35&gt;R35,TRUE,FALSE)</f>
        <v>#N/A</v>
      </c>
      <c r="S36" s="224" t="e">
        <f ca="1">AND(IF(U35&gt;-S35,TRUE,FALSE),IF(X35&gt;0,TRUE,FALSE))</f>
        <v>#N/A</v>
      </c>
      <c r="T36" s="478"/>
      <c r="U36" s="476"/>
      <c r="V36" s="253" t="e">
        <f ca="1">IF(U35&gt;V35,TRUE,FALSE)</f>
        <v>#N/A</v>
      </c>
      <c r="W36" s="61" t="e">
        <f ca="1">AND(IF(Q35&gt;-W35,TRUE,FALSE),IF(X35&lt;0,TRUE,FALSE))</f>
        <v>#N/A</v>
      </c>
      <c r="X36" s="29" cm="1">
        <f t="array" aca="1" ref="X36" ca="1">INDIRECT(ADDRESS($C36,X$3,,,"mkt data"))</f>
        <v>0</v>
      </c>
      <c r="Y36" s="50">
        <f t="shared" ca="1" si="14"/>
        <v>0</v>
      </c>
      <c r="Z36" s="29" t="e">
        <f t="shared" ca="1" si="15"/>
        <v>#N/A</v>
      </c>
      <c r="AA36" s="486"/>
      <c r="AB36" s="463"/>
      <c r="AC36" s="181" t="str">
        <f t="shared" si="16"/>
        <v>VNQ</v>
      </c>
      <c r="AD36" s="37" cm="1">
        <f t="array" aca="1" ref="AD36" ca="1">INDIRECT(ADDRESS($C36,AD$3,,,"mkt data"))</f>
        <v>92.650002000000001</v>
      </c>
      <c r="AE36" s="167">
        <f t="shared" ca="1" si="17"/>
        <v>92.72</v>
      </c>
      <c r="AF36" s="167">
        <f t="shared" ca="1" si="18"/>
        <v>6.9997999999998228E-2</v>
      </c>
      <c r="AG36" s="167">
        <f t="shared" ca="1" si="19"/>
        <v>0</v>
      </c>
      <c r="AH36" s="523"/>
      <c r="AI36" s="461"/>
      <c r="AJ36" s="459"/>
      <c r="AN36"/>
    </row>
    <row r="37" spans="1:40" x14ac:dyDescent="0.25">
      <c r="A37" s="79" t="e">
        <f>MATCH(G37,SCALARS!D:D,0)</f>
        <v>#N/A</v>
      </c>
      <c r="B37" s="524">
        <f>MATCH(G37,'SCALAR INPUTS'!E:E,0)</f>
        <v>34</v>
      </c>
      <c r="C37" s="80">
        <f>MATCH(G37,'MKT DATA'!B:B,0)</f>
        <v>140</v>
      </c>
      <c r="D37" s="353"/>
      <c r="E37" s="264" t="e" cm="1">
        <f t="array" aca="1" ref="E37" ca="1">INDIRECT(ADDRESS($A37,2,,,"scalars"))</f>
        <v>#N/A</v>
      </c>
      <c r="F37" s="14" t="e" cm="1">
        <f t="array" aca="1" ref="F37" ca="1">INDIRECT(ADDRESS($A37,5,,,"scalars"))</f>
        <v>#N/A</v>
      </c>
      <c r="G37" s="15" t="s">
        <v>77</v>
      </c>
      <c r="H37" s="33" cm="1">
        <f t="array" aca="1" ref="H37" ca="1">INDIRECT(ADDRESS($C37,H$3,,,"mkt data"))</f>
        <v>55.32</v>
      </c>
      <c r="I37" s="34" cm="1">
        <f t="array" aca="1" ref="I37" ca="1">INDIRECT(ADDRESS($C37,I$3,,,"mkt data"))</f>
        <v>55.9</v>
      </c>
      <c r="J37" s="150" t="e" cm="1">
        <f t="array" aca="1" ref="J37" ca="1">INDIRECT(ADDRESS($A37,J$3,,,"SCALARS"))</f>
        <v>#N/A</v>
      </c>
      <c r="K37" s="16" t="e">
        <f t="shared" ca="1" si="10"/>
        <v>#N/A</v>
      </c>
      <c r="L37" s="16" t="e">
        <f t="shared" ca="1" si="11"/>
        <v>#N/A</v>
      </c>
      <c r="M37" s="44" t="e" cm="1">
        <f t="array" aca="1" ref="M37" ca="1">INDIRECT(ADDRESS($A37,M$3,,,"scalars"))</f>
        <v>#N/A</v>
      </c>
      <c r="N37" s="17" t="e">
        <f t="shared" ca="1" si="12"/>
        <v>#N/A</v>
      </c>
      <c r="O37" s="17" t="e">
        <f t="shared" ca="1" si="13"/>
        <v>#N/A</v>
      </c>
      <c r="P37" s="477" t="e">
        <f ca="1">N38-O37</f>
        <v>#N/A</v>
      </c>
      <c r="Q37" s="475" t="e">
        <f ca="1">LN(N38/O37)</f>
        <v>#N/A</v>
      </c>
      <c r="R37" s="252" t="e" cm="1">
        <f t="array" aca="1" ref="R37" ca="1">-INDIRECT(ADDRESS($B37,R$3,,,"threshold info"))</f>
        <v>#REF!</v>
      </c>
      <c r="S37" s="223" t="e" cm="1">
        <f t="array" aca="1" ref="S37" ca="1">-INDIRECT(ADDRESS($B37,S$3,,,"threshold info"))</f>
        <v>#REF!</v>
      </c>
      <c r="T37" s="477" t="e">
        <f ca="1">N37-O38</f>
        <v>#N/A</v>
      </c>
      <c r="U37" s="475" t="e">
        <f ca="1">LN(N37/O38)</f>
        <v>#N/A</v>
      </c>
      <c r="V37" s="252" t="e" cm="1">
        <f t="array" aca="1" ref="V37" ca="1">INDIRECT(ADDRESS($B37,V$3,,,"threshold info"))</f>
        <v>#REF!</v>
      </c>
      <c r="W37" s="60" t="e" cm="1">
        <f t="array" aca="1" ref="W37" ca="1">INDIRECT(ADDRESS($B37,W$3,,,"threshold info"))</f>
        <v>#REF!</v>
      </c>
      <c r="X37" s="27" cm="1">
        <f t="array" aca="1" ref="X37" ca="1">INDIRECT(ADDRESS($C37,X$3,,,"mkt data"))</f>
        <v>0</v>
      </c>
      <c r="Y37" s="48">
        <f t="shared" ca="1" si="14"/>
        <v>0</v>
      </c>
      <c r="Z37" s="27" t="e">
        <f t="shared" ca="1" si="15"/>
        <v>#N/A</v>
      </c>
      <c r="AA37" s="485" t="e">
        <f ca="1">SUM(Z37:Z38)</f>
        <v>#N/A</v>
      </c>
      <c r="AB37" s="462"/>
      <c r="AC37" s="173" t="str">
        <f t="shared" si="16"/>
        <v>FSTA</v>
      </c>
      <c r="AD37" s="33" cm="1">
        <f t="array" aca="1" ref="AD37" ca="1">INDIRECT(ADDRESS($C37,AD$3,,,"mkt data"))</f>
        <v>56.790000999999997</v>
      </c>
      <c r="AE37" s="165">
        <f t="shared" ca="1" si="17"/>
        <v>55.61</v>
      </c>
      <c r="AF37" s="165">
        <f t="shared" ca="1" si="18"/>
        <v>-1.1800009999999972</v>
      </c>
      <c r="AG37" s="165">
        <f t="shared" ca="1" si="19"/>
        <v>0</v>
      </c>
      <c r="AH37" s="522">
        <f ca="1">AG37+AG38</f>
        <v>0</v>
      </c>
      <c r="AI37" s="460"/>
      <c r="AJ37" s="458"/>
      <c r="AN37"/>
    </row>
    <row r="38" spans="1:40" ht="15.75" thickBot="1" x14ac:dyDescent="0.3">
      <c r="A38" s="81" t="e">
        <f>MATCH(G38,SCALARS!D:D,0)</f>
        <v>#N/A</v>
      </c>
      <c r="B38" s="525"/>
      <c r="C38" s="82">
        <f>MATCH(G38,'MKT DATA'!B:B,0)</f>
        <v>142</v>
      </c>
      <c r="D38" s="354"/>
      <c r="E38" s="265" t="e" cm="1">
        <f t="array" aca="1" ref="E38" ca="1">INDIRECT(ADDRESS($A38,2,,,"scalars"))</f>
        <v>#N/A</v>
      </c>
      <c r="F38" s="20" t="e" cm="1">
        <f t="array" aca="1" ref="F38" ca="1">INDIRECT(ADDRESS($A38,5,,,"scalars"))</f>
        <v>#N/A</v>
      </c>
      <c r="G38" s="21" t="s">
        <v>78</v>
      </c>
      <c r="H38" s="37" cm="1">
        <f t="array" aca="1" ref="H38" ca="1">INDIRECT(ADDRESS($C38,H$3,,,"mkt data"))</f>
        <v>237.38</v>
      </c>
      <c r="I38" s="38" cm="1">
        <f t="array" aca="1" ref="I38" ca="1">INDIRECT(ADDRESS($C38,I$3,,,"mkt data"))</f>
        <v>241.29</v>
      </c>
      <c r="J38" s="151" t="e" cm="1">
        <f t="array" aca="1" ref="J38" ca="1">INDIRECT(ADDRESS($A38,J$3,,,"SCALARS"))</f>
        <v>#N/A</v>
      </c>
      <c r="K38" s="22" t="e">
        <f t="shared" ca="1" si="10"/>
        <v>#N/A</v>
      </c>
      <c r="L38" s="22" t="e">
        <f t="shared" ca="1" si="11"/>
        <v>#N/A</v>
      </c>
      <c r="M38" s="45" t="e" cm="1">
        <f t="array" aca="1" ref="M38" ca="1">INDIRECT(ADDRESS($A38,M$3,,,"scalars"))</f>
        <v>#N/A</v>
      </c>
      <c r="N38" s="23" t="e">
        <f t="shared" ca="1" si="12"/>
        <v>#N/A</v>
      </c>
      <c r="O38" s="23" t="e">
        <f t="shared" ca="1" si="13"/>
        <v>#N/A</v>
      </c>
      <c r="P38" s="478"/>
      <c r="Q38" s="476"/>
      <c r="R38" s="253" t="e">
        <f ca="1">IF(Q37&gt;R37,TRUE,FALSE)</f>
        <v>#N/A</v>
      </c>
      <c r="S38" s="224" t="e">
        <f ca="1">AND(IF(U37&gt;-S37,TRUE,FALSE),IF(X37&gt;0,TRUE,FALSE))</f>
        <v>#N/A</v>
      </c>
      <c r="T38" s="478"/>
      <c r="U38" s="476"/>
      <c r="V38" s="253" t="e">
        <f ca="1">IF(U37&gt;V37,TRUE,FALSE)</f>
        <v>#N/A</v>
      </c>
      <c r="W38" s="61" t="e">
        <f ca="1">AND(IF(Q37&gt;-W37,TRUE,FALSE),IF(X37&lt;0,TRUE,FALSE))</f>
        <v>#N/A</v>
      </c>
      <c r="X38" s="29" cm="1">
        <f t="array" aca="1" ref="X38" ca="1">INDIRECT(ADDRESS($C38,X$3,,,"mkt data"))</f>
        <v>0</v>
      </c>
      <c r="Y38" s="50">
        <f t="shared" ca="1" si="14"/>
        <v>0</v>
      </c>
      <c r="Z38" s="29" t="e">
        <f t="shared" ca="1" si="15"/>
        <v>#N/A</v>
      </c>
      <c r="AA38" s="486"/>
      <c r="AB38" s="463"/>
      <c r="AC38" s="181" t="str">
        <f t="shared" si="16"/>
        <v>VDC</v>
      </c>
      <c r="AD38" s="37" cm="1">
        <f t="array" aca="1" ref="AD38" ca="1">INDIRECT(ADDRESS($C38,AD$3,,,"mkt data"))</f>
        <v>243.570007</v>
      </c>
      <c r="AE38" s="167">
        <f t="shared" ca="1" si="17"/>
        <v>239.33499999999998</v>
      </c>
      <c r="AF38" s="167">
        <f t="shared" ca="1" si="18"/>
        <v>-4.2350070000000244</v>
      </c>
      <c r="AG38" s="167">
        <f t="shared" ca="1" si="19"/>
        <v>0</v>
      </c>
      <c r="AH38" s="523"/>
      <c r="AI38" s="461"/>
      <c r="AJ38" s="459"/>
      <c r="AN38"/>
    </row>
    <row r="39" spans="1:40" x14ac:dyDescent="0.25">
      <c r="A39" s="79" t="e">
        <f>MATCH(G39,SCALARS!D:D,0)</f>
        <v>#N/A</v>
      </c>
      <c r="B39" s="524">
        <f>MATCH(G39,'SCALAR INPUTS'!E:E,0)</f>
        <v>42</v>
      </c>
      <c r="C39" s="80">
        <f>MATCH(G39,'MKT DATA'!B:B,0)</f>
        <v>146</v>
      </c>
      <c r="D39" s="353"/>
      <c r="E39" s="264" t="e" cm="1">
        <f t="array" aca="1" ref="E39" ca="1">INDIRECT(ADDRESS($A39,2,,,"scalars"))</f>
        <v>#N/A</v>
      </c>
      <c r="F39" s="14" t="e" cm="1">
        <f t="array" aca="1" ref="F39" ca="1">INDIRECT(ADDRESS($A39,5,,,"scalars"))</f>
        <v>#N/A</v>
      </c>
      <c r="G39" s="88" t="s">
        <v>99</v>
      </c>
      <c r="H39" s="33" cm="1">
        <f t="array" aca="1" ref="H39" ca="1">INDIRECT(ADDRESS($C39,H$3,,,"mkt data"))</f>
        <v>119</v>
      </c>
      <c r="I39" s="34" cm="1">
        <f t="array" aca="1" ref="I39" ca="1">INDIRECT(ADDRESS($C39,I$3,,,"mkt data"))</f>
        <v>119.21</v>
      </c>
      <c r="J39" s="150" t="e" cm="1">
        <f t="array" aca="1" ref="J39" ca="1">INDIRECT(ADDRESS($A39,J$3,,,"SCALARS"))</f>
        <v>#N/A</v>
      </c>
      <c r="K39" s="16" t="e">
        <f t="shared" ca="1" si="10"/>
        <v>#N/A</v>
      </c>
      <c r="L39" s="16" t="e">
        <f t="shared" ca="1" si="11"/>
        <v>#N/A</v>
      </c>
      <c r="M39" s="86" t="e" cm="1">
        <f t="array" aca="1" ref="M39" ca="1">INDIRECT(ADDRESS($A39,M$3,,,"scalars"))</f>
        <v>#N/A</v>
      </c>
      <c r="N39" s="17" t="e">
        <f t="shared" ca="1" si="12"/>
        <v>#N/A</v>
      </c>
      <c r="O39" s="17" t="e">
        <f t="shared" ca="1" si="13"/>
        <v>#N/A</v>
      </c>
      <c r="P39" s="477" t="e">
        <f ca="1">N40-O39</f>
        <v>#N/A</v>
      </c>
      <c r="Q39" s="475" t="e">
        <f ca="1">LN(N40/O39)</f>
        <v>#N/A</v>
      </c>
      <c r="R39" s="252" t="e" cm="1">
        <f t="array" aca="1" ref="R39" ca="1">-INDIRECT(ADDRESS($B39,R$3,,,"threshold info"))</f>
        <v>#REF!</v>
      </c>
      <c r="S39" s="223" t="e" cm="1">
        <f t="array" aca="1" ref="S39" ca="1">-INDIRECT(ADDRESS($B39,S$3,,,"threshold info"))</f>
        <v>#REF!</v>
      </c>
      <c r="T39" s="477" t="e">
        <f ca="1">N39-O40</f>
        <v>#N/A</v>
      </c>
      <c r="U39" s="475" t="e">
        <f ca="1">LN(N39/O40)</f>
        <v>#N/A</v>
      </c>
      <c r="V39" s="252" t="e" cm="1">
        <f t="array" aca="1" ref="V39" ca="1">INDIRECT(ADDRESS($B39,V$3,,,"threshold info"))</f>
        <v>#REF!</v>
      </c>
      <c r="W39" s="60" t="e" cm="1">
        <f t="array" aca="1" ref="W39" ca="1">INDIRECT(ADDRESS($B39,W$3,,,"threshold info"))</f>
        <v>#REF!</v>
      </c>
      <c r="X39" s="27" cm="1">
        <f t="array" aca="1" ref="X39" ca="1">INDIRECT(ADDRESS($C39,X$3,,,"mkt data"))</f>
        <v>0</v>
      </c>
      <c r="Y39" s="48">
        <f t="shared" ca="1" si="14"/>
        <v>0</v>
      </c>
      <c r="Z39" s="27" t="e">
        <f t="shared" ca="1" si="15"/>
        <v>#N/A</v>
      </c>
      <c r="AA39" s="485" t="e">
        <f ca="1">SUM(Z39:Z40)</f>
        <v>#N/A</v>
      </c>
      <c r="AB39" s="462"/>
      <c r="AC39" s="182" t="str">
        <f t="shared" si="16"/>
        <v>VGT</v>
      </c>
      <c r="AD39" s="33" cm="1">
        <f t="array" aca="1" ref="AD39" ca="1">INDIRECT(ADDRESS($C39,AD$3,,,"mkt data"))</f>
        <v>118.599998</v>
      </c>
      <c r="AE39" s="165">
        <f t="shared" ca="1" si="17"/>
        <v>119.10499999999999</v>
      </c>
      <c r="AF39" s="165">
        <f t="shared" ca="1" si="18"/>
        <v>0.5050019999999904</v>
      </c>
      <c r="AG39" s="165">
        <f t="shared" ca="1" si="19"/>
        <v>0</v>
      </c>
      <c r="AH39" s="522">
        <f ca="1">AG39+AG40</f>
        <v>0</v>
      </c>
      <c r="AI39" s="460"/>
      <c r="AJ39" s="458"/>
      <c r="AN39"/>
    </row>
    <row r="40" spans="1:40" ht="15.75" thickBot="1" x14ac:dyDescent="0.3">
      <c r="A40" s="81" t="e">
        <f>MATCH(G40,SCALARS!D:D,0)</f>
        <v>#N/A</v>
      </c>
      <c r="B40" s="525"/>
      <c r="C40" s="82">
        <f>MATCH(G40,'MKT DATA'!B:B,0)</f>
        <v>144</v>
      </c>
      <c r="D40" s="354"/>
      <c r="E40" s="265" t="e" cm="1">
        <f t="array" aca="1" ref="E40" ca="1">INDIRECT(ADDRESS($A40,2,,,"scalars"))</f>
        <v>#N/A</v>
      </c>
      <c r="F40" s="20" t="e" cm="1">
        <f t="array" aca="1" ref="F40" ca="1">INDIRECT(ADDRESS($A40,5,,,"scalars"))</f>
        <v>#N/A</v>
      </c>
      <c r="G40" s="89" t="s">
        <v>97</v>
      </c>
      <c r="H40" s="37" cm="1">
        <f t="array" aca="1" ref="H40" ca="1">INDIRECT(ADDRESS($C40,H$3,,,"mkt data"))</f>
        <v>283.92</v>
      </c>
      <c r="I40" s="38" cm="1">
        <f t="array" aca="1" ref="I40" ca="1">INDIRECT(ADDRESS($C40,I$3,,,"mkt data"))</f>
        <v>285.95999999999998</v>
      </c>
      <c r="J40" s="151" t="e" cm="1">
        <f t="array" aca="1" ref="J40" ca="1">INDIRECT(ADDRESS($A40,J$3,,,"SCALARS"))</f>
        <v>#N/A</v>
      </c>
      <c r="K40" s="22" t="e">
        <f t="shared" ca="1" si="10"/>
        <v>#N/A</v>
      </c>
      <c r="L40" s="22" t="e">
        <f t="shared" ca="1" si="11"/>
        <v>#N/A</v>
      </c>
      <c r="M40" s="87" t="e" cm="1">
        <f t="array" aca="1" ref="M40" ca="1">INDIRECT(ADDRESS($A40,M$3,,,"scalars"))</f>
        <v>#N/A</v>
      </c>
      <c r="N40" s="23" t="e">
        <f t="shared" ca="1" si="12"/>
        <v>#N/A</v>
      </c>
      <c r="O40" s="23" t="e">
        <f t="shared" ca="1" si="13"/>
        <v>#N/A</v>
      </c>
      <c r="P40" s="478"/>
      <c r="Q40" s="476"/>
      <c r="R40" s="253" t="e">
        <f ca="1">IF(Q39&gt;R39,TRUE,FALSE)</f>
        <v>#N/A</v>
      </c>
      <c r="S40" s="224" t="e">
        <f ca="1">AND(IF(U39&gt;-S39,TRUE,FALSE),IF(X39&gt;0,TRUE,FALSE))</f>
        <v>#N/A</v>
      </c>
      <c r="T40" s="478"/>
      <c r="U40" s="476"/>
      <c r="V40" s="253" t="e">
        <f ca="1">IF(U39&gt;V39,TRUE,FALSE)</f>
        <v>#N/A</v>
      </c>
      <c r="W40" s="61" t="e">
        <f ca="1">AND(IF(Q39&gt;-W39,TRUE,FALSE),IF(X39&lt;0,TRUE,FALSE))</f>
        <v>#N/A</v>
      </c>
      <c r="X40" s="29" cm="1">
        <f t="array" aca="1" ref="X40" ca="1">INDIRECT(ADDRESS($C40,X$3,,,"mkt data"))</f>
        <v>0</v>
      </c>
      <c r="Y40" s="50">
        <f t="shared" ca="1" si="14"/>
        <v>0</v>
      </c>
      <c r="Z40" s="29" t="e">
        <f t="shared" ca="1" si="15"/>
        <v>#N/A</v>
      </c>
      <c r="AA40" s="486"/>
      <c r="AB40" s="463"/>
      <c r="AC40" s="183" t="str">
        <f t="shared" si="16"/>
        <v>FTEC</v>
      </c>
      <c r="AD40" s="37" cm="1">
        <f t="array" aca="1" ref="AD40" ca="1">INDIRECT(ADDRESS($C40,AD$3,,,"mkt data"))</f>
        <v>283.01998900000001</v>
      </c>
      <c r="AE40" s="167">
        <f t="shared" ca="1" si="17"/>
        <v>284.94</v>
      </c>
      <c r="AF40" s="167">
        <f t="shared" ca="1" si="18"/>
        <v>1.9200109999999881</v>
      </c>
      <c r="AG40" s="167">
        <f t="shared" ca="1" si="19"/>
        <v>0</v>
      </c>
      <c r="AH40" s="523"/>
      <c r="AI40" s="461"/>
      <c r="AJ40" s="459"/>
      <c r="AN40"/>
    </row>
    <row r="41" spans="1:40" x14ac:dyDescent="0.25">
      <c r="A41" s="79" t="e">
        <f>MATCH(G41,SCALARS!D:D,0)</f>
        <v>#N/A</v>
      </c>
      <c r="B41" s="524">
        <f>MATCH(G41,'SCALAR INPUTS'!E:E,0)</f>
        <v>35</v>
      </c>
      <c r="C41" s="80">
        <f>MATCH(G41,'MKT DATA'!B:B,0)</f>
        <v>160</v>
      </c>
      <c r="D41" s="353"/>
      <c r="E41" s="264" t="e" cm="1">
        <f t="array" aca="1" ref="E41" ca="1">INDIRECT(ADDRESS($A41,2,,,"scalars"))</f>
        <v>#N/A</v>
      </c>
      <c r="F41" s="14" t="e" cm="1">
        <f t="array" aca="1" ref="F41" ca="1">INDIRECT(ADDRESS($A41,5,,,"scalars"))</f>
        <v>#N/A</v>
      </c>
      <c r="G41" s="15" t="s">
        <v>101</v>
      </c>
      <c r="H41" s="33" cm="1">
        <f t="array" aca="1" ref="H41" ca="1">INDIRECT(ADDRESS($C41,H$3,,,"mkt data"))</f>
        <v>54.41</v>
      </c>
      <c r="I41" s="34" cm="1">
        <f t="array" aca="1" ref="I41" ca="1">INDIRECT(ADDRESS($C41,I$3,,,"mkt data"))</f>
        <v>55.36</v>
      </c>
      <c r="J41" s="150" t="e" cm="1">
        <f t="array" aca="1" ref="J41" ca="1">INDIRECT(ADDRESS($A41,J$3,,,"SCALARS"))</f>
        <v>#N/A</v>
      </c>
      <c r="K41" s="16" t="e">
        <f t="shared" ca="1" si="10"/>
        <v>#N/A</v>
      </c>
      <c r="L41" s="16" t="e">
        <f t="shared" ca="1" si="11"/>
        <v>#N/A</v>
      </c>
      <c r="M41" s="44" t="e" cm="1">
        <f t="array" aca="1" ref="M41" ca="1">INDIRECT(ADDRESS($A41,M$3,,,"scalars"))</f>
        <v>#N/A</v>
      </c>
      <c r="N41" s="17" t="e">
        <f t="shared" ca="1" si="12"/>
        <v>#N/A</v>
      </c>
      <c r="O41" s="17" t="e">
        <f t="shared" ca="1" si="13"/>
        <v>#N/A</v>
      </c>
      <c r="P41" s="477" t="e">
        <f ca="1">N42-O41</f>
        <v>#N/A</v>
      </c>
      <c r="Q41" s="475" t="e">
        <f ca="1">LN(N42/O41)</f>
        <v>#N/A</v>
      </c>
      <c r="R41" s="252" t="e" cm="1">
        <f t="array" aca="1" ref="R41" ca="1">-INDIRECT(ADDRESS($B41,R$3,,,"threshold info"))</f>
        <v>#REF!</v>
      </c>
      <c r="S41" s="223" t="e" cm="1">
        <f t="array" aca="1" ref="S41" ca="1">-INDIRECT(ADDRESS($B41,S$3,,,"threshold info"))</f>
        <v>#REF!</v>
      </c>
      <c r="T41" s="477" t="e">
        <f ca="1">N41-O42</f>
        <v>#N/A</v>
      </c>
      <c r="U41" s="475" t="e">
        <f ca="1">LN(N41/O42)</f>
        <v>#N/A</v>
      </c>
      <c r="V41" s="252" t="e" cm="1">
        <f t="array" aca="1" ref="V41" ca="1">INDIRECT(ADDRESS($B41,V$3,,,"threshold info"))</f>
        <v>#REF!</v>
      </c>
      <c r="W41" s="60" t="e" cm="1">
        <f t="array" aca="1" ref="W41" ca="1">INDIRECT(ADDRESS($B41,W$3,,,"threshold info"))</f>
        <v>#REF!</v>
      </c>
      <c r="X41" s="27" cm="1">
        <f t="array" aca="1" ref="X41" ca="1">INDIRECT(ADDRESS($C41,X$3,,,"mkt data"))</f>
        <v>0</v>
      </c>
      <c r="Y41" s="48">
        <f t="shared" ca="1" si="14"/>
        <v>0</v>
      </c>
      <c r="Z41" s="27" t="e">
        <f t="shared" ca="1" si="15"/>
        <v>#N/A</v>
      </c>
      <c r="AA41" s="485" t="e">
        <f ca="1">SUM(Z41:Z42)</f>
        <v>#N/A</v>
      </c>
      <c r="AB41" s="462"/>
      <c r="AC41" s="173" t="str">
        <f t="shared" si="16"/>
        <v>FUTY</v>
      </c>
      <c r="AD41" s="33" cm="1">
        <f t="array" aca="1" ref="AD41" ca="1">INDIRECT(ADDRESS($C41,AD$3,,,"mkt data"))</f>
        <v>55.27</v>
      </c>
      <c r="AE41" s="165">
        <f t="shared" ca="1" si="17"/>
        <v>54.884999999999998</v>
      </c>
      <c r="AF41" s="165">
        <f t="shared" ca="1" si="18"/>
        <v>-0.38500000000000512</v>
      </c>
      <c r="AG41" s="165">
        <f t="shared" ca="1" si="19"/>
        <v>0</v>
      </c>
      <c r="AH41" s="522">
        <f ca="1">AG41+AG42</f>
        <v>0</v>
      </c>
      <c r="AI41" s="460"/>
      <c r="AJ41" s="458"/>
      <c r="AN41"/>
    </row>
    <row r="42" spans="1:40" ht="15.75" thickBot="1" x14ac:dyDescent="0.3">
      <c r="A42" s="81" t="e">
        <f>MATCH(G42,SCALARS!D:D,0)</f>
        <v>#N/A</v>
      </c>
      <c r="B42" s="525"/>
      <c r="C42" s="82">
        <f>MATCH(G42,'MKT DATA'!B:B,0)</f>
        <v>162</v>
      </c>
      <c r="D42" s="354"/>
      <c r="E42" s="265" t="e" cm="1">
        <f t="array" aca="1" ref="E42" ca="1">INDIRECT(ADDRESS($A42,2,,,"scalars"))</f>
        <v>#N/A</v>
      </c>
      <c r="F42" s="20" t="e" cm="1">
        <f t="array" aca="1" ref="F42" ca="1">INDIRECT(ADDRESS($A42,5,,,"scalars"))</f>
        <v>#N/A</v>
      </c>
      <c r="G42" s="21" t="s">
        <v>103</v>
      </c>
      <c r="H42" s="37" cm="1">
        <f t="array" aca="1" ref="H42" ca="1">INDIRECT(ADDRESS($C42,H$3,,,"mkt data"))</f>
        <v>182.34</v>
      </c>
      <c r="I42" s="38" cm="1">
        <f t="array" aca="1" ref="I42" ca="1">INDIRECT(ADDRESS($C42,I$3,,,"mkt data"))</f>
        <v>185.38</v>
      </c>
      <c r="J42" s="151" t="e" cm="1">
        <f t="array" aca="1" ref="J42" ca="1">INDIRECT(ADDRESS($A42,J$3,,,"SCALARS"))</f>
        <v>#N/A</v>
      </c>
      <c r="K42" s="22" t="e">
        <f t="shared" ca="1" si="10"/>
        <v>#N/A</v>
      </c>
      <c r="L42" s="22" t="e">
        <f t="shared" ca="1" si="11"/>
        <v>#N/A</v>
      </c>
      <c r="M42" s="45" t="e" cm="1">
        <f t="array" aca="1" ref="M42" ca="1">INDIRECT(ADDRESS($A42,M$3,,,"scalars"))</f>
        <v>#N/A</v>
      </c>
      <c r="N42" s="23" t="e">
        <f t="shared" ca="1" si="12"/>
        <v>#N/A</v>
      </c>
      <c r="O42" s="23" t="e">
        <f t="shared" ca="1" si="13"/>
        <v>#N/A</v>
      </c>
      <c r="P42" s="478"/>
      <c r="Q42" s="476"/>
      <c r="R42" s="253" t="e">
        <f ca="1">IF(Q41&gt;R41,TRUE,FALSE)</f>
        <v>#N/A</v>
      </c>
      <c r="S42" s="224" t="e">
        <f ca="1">AND(IF(U41&gt;-S41,TRUE,FALSE),IF(X41&gt;0,TRUE,FALSE))</f>
        <v>#N/A</v>
      </c>
      <c r="T42" s="478"/>
      <c r="U42" s="476"/>
      <c r="V42" s="253" t="e">
        <f ca="1">IF(U41&gt;V41,TRUE,FALSE)</f>
        <v>#N/A</v>
      </c>
      <c r="W42" s="61" t="e">
        <f ca="1">AND(IF(Q41&gt;-W41,TRUE,FALSE),IF(X41&lt;0,TRUE,FALSE))</f>
        <v>#N/A</v>
      </c>
      <c r="X42" s="29" cm="1">
        <f t="array" aca="1" ref="X42" ca="1">INDIRECT(ADDRESS($C42,X$3,,,"mkt data"))</f>
        <v>0</v>
      </c>
      <c r="Y42" s="50">
        <f t="shared" ca="1" si="14"/>
        <v>0</v>
      </c>
      <c r="Z42" s="29" t="e">
        <f t="shared" ca="1" si="15"/>
        <v>#N/A</v>
      </c>
      <c r="AA42" s="486"/>
      <c r="AB42" s="463"/>
      <c r="AC42" s="181" t="str">
        <f t="shared" si="16"/>
        <v>VPU</v>
      </c>
      <c r="AD42" s="37" cm="1">
        <f t="array" aca="1" ref="AD42" ca="1">INDIRECT(ADDRESS($C42,AD$3,,,"mkt data"))</f>
        <v>185.11999499999999</v>
      </c>
      <c r="AE42" s="167">
        <f t="shared" ca="1" si="17"/>
        <v>183.86</v>
      </c>
      <c r="AF42" s="167">
        <f t="shared" ca="1" si="18"/>
        <v>-1.2599949999999751</v>
      </c>
      <c r="AG42" s="167">
        <f t="shared" ca="1" si="19"/>
        <v>0</v>
      </c>
      <c r="AH42" s="523"/>
      <c r="AI42" s="461"/>
      <c r="AJ42" s="459"/>
      <c r="AN42"/>
    </row>
    <row r="43" spans="1:40" x14ac:dyDescent="0.25">
      <c r="AL43" s="2"/>
      <c r="AN43"/>
    </row>
    <row r="44" spans="1:40" x14ac:dyDescent="0.25">
      <c r="AB44"/>
      <c r="AC44"/>
      <c r="AL44" s="2"/>
      <c r="AN44"/>
    </row>
    <row r="45" spans="1:40" x14ac:dyDescent="0.25">
      <c r="AB45"/>
      <c r="AC45"/>
      <c r="AL45" s="2"/>
      <c r="AN45"/>
    </row>
    <row r="46" spans="1:40" x14ac:dyDescent="0.25">
      <c r="AB46"/>
      <c r="AC46"/>
      <c r="AL46" s="2"/>
      <c r="AN46"/>
    </row>
    <row r="47" spans="1:40" x14ac:dyDescent="0.25">
      <c r="AB47"/>
      <c r="AC47"/>
      <c r="AL47" s="2"/>
      <c r="AN47"/>
    </row>
    <row r="48" spans="1:40" x14ac:dyDescent="0.25">
      <c r="AB48"/>
      <c r="AC48"/>
      <c r="AL48" s="2"/>
      <c r="AN48"/>
    </row>
    <row r="49" spans="5:40" x14ac:dyDescent="0.25">
      <c r="AB49"/>
      <c r="AC49"/>
      <c r="AL49" s="2"/>
      <c r="AN49"/>
    </row>
    <row r="50" spans="5:40" x14ac:dyDescent="0.25">
      <c r="E50"/>
      <c r="AB50"/>
      <c r="AC50"/>
      <c r="AL50" s="2"/>
      <c r="AN50"/>
    </row>
    <row r="51" spans="5:40" x14ac:dyDescent="0.25">
      <c r="E51"/>
      <c r="Y51" s="296"/>
      <c r="Z51" s="296"/>
      <c r="AA51" s="296"/>
      <c r="AB51" s="296"/>
      <c r="AC51"/>
      <c r="AL51" s="2"/>
      <c r="AN51"/>
    </row>
    <row r="52" spans="5:40" x14ac:dyDescent="0.25">
      <c r="E52"/>
      <c r="Y52" s="296"/>
      <c r="Z52" s="296"/>
      <c r="AA52" s="296"/>
      <c r="AB52" s="296"/>
      <c r="AC52"/>
      <c r="AL52" s="2"/>
      <c r="AN52"/>
    </row>
    <row r="53" spans="5:40" x14ac:dyDescent="0.25">
      <c r="E53"/>
      <c r="AB53"/>
      <c r="AC53"/>
      <c r="AI53"/>
      <c r="AJ53"/>
    </row>
    <row r="54" spans="5:40" x14ac:dyDescent="0.25">
      <c r="AB54"/>
      <c r="AC54"/>
      <c r="AI54"/>
      <c r="AJ54"/>
    </row>
    <row r="55" spans="5:40" x14ac:dyDescent="0.25">
      <c r="AB55"/>
      <c r="AC55"/>
      <c r="AI55"/>
      <c r="AJ55"/>
    </row>
    <row r="56" spans="5:40" x14ac:dyDescent="0.25">
      <c r="AB56"/>
      <c r="AC56"/>
      <c r="AI56"/>
      <c r="AJ56"/>
    </row>
    <row r="57" spans="5:40" x14ac:dyDescent="0.25">
      <c r="E57"/>
      <c r="AB57"/>
      <c r="AC57"/>
      <c r="AI57"/>
      <c r="AJ57"/>
    </row>
    <row r="58" spans="5:40" x14ac:dyDescent="0.25">
      <c r="AB58"/>
      <c r="AC58"/>
      <c r="AI58"/>
      <c r="AJ58"/>
    </row>
    <row r="59" spans="5:40" x14ac:dyDescent="0.25">
      <c r="AB59"/>
      <c r="AC59"/>
      <c r="AI59"/>
      <c r="AJ59"/>
    </row>
    <row r="60" spans="5:40" x14ac:dyDescent="0.25">
      <c r="AB60"/>
      <c r="AC60"/>
      <c r="AI60"/>
      <c r="AJ60"/>
    </row>
    <row r="61" spans="5:40" x14ac:dyDescent="0.25">
      <c r="AB61"/>
      <c r="AC61"/>
      <c r="AI61"/>
      <c r="AJ61"/>
    </row>
    <row r="62" spans="5:40" x14ac:dyDescent="0.25">
      <c r="AB62"/>
      <c r="AC62"/>
      <c r="AI62"/>
      <c r="AJ62"/>
    </row>
    <row r="63" spans="5:40" x14ac:dyDescent="0.25">
      <c r="AB63"/>
      <c r="AC63"/>
      <c r="AI63"/>
      <c r="AJ63"/>
    </row>
    <row r="64" spans="5:40" x14ac:dyDescent="0.25">
      <c r="AB64"/>
      <c r="AC64"/>
      <c r="AI64"/>
      <c r="AJ64"/>
    </row>
    <row r="65" spans="28:36" x14ac:dyDescent="0.25">
      <c r="AB65"/>
      <c r="AC65"/>
      <c r="AI65"/>
      <c r="AJ65"/>
    </row>
    <row r="66" spans="28:36" x14ac:dyDescent="0.25">
      <c r="AB66"/>
      <c r="AC66"/>
      <c r="AI66"/>
      <c r="AJ66"/>
    </row>
    <row r="67" spans="28:36" x14ac:dyDescent="0.25">
      <c r="AB67"/>
      <c r="AC67"/>
      <c r="AI67"/>
      <c r="AJ67"/>
    </row>
    <row r="68" spans="28:36" x14ac:dyDescent="0.25">
      <c r="AB68"/>
      <c r="AC68"/>
      <c r="AI68"/>
      <c r="AJ68"/>
    </row>
    <row r="69" spans="28:36" x14ac:dyDescent="0.25">
      <c r="AB69"/>
      <c r="AC69"/>
      <c r="AI69"/>
      <c r="AJ69"/>
    </row>
    <row r="70" spans="28:36" x14ac:dyDescent="0.25">
      <c r="AB70"/>
      <c r="AC70"/>
      <c r="AI70"/>
      <c r="AJ70"/>
    </row>
    <row r="71" spans="28:36" x14ac:dyDescent="0.25">
      <c r="AB71"/>
      <c r="AC71"/>
      <c r="AI71"/>
      <c r="AJ71"/>
    </row>
    <row r="72" spans="28:36" x14ac:dyDescent="0.25">
      <c r="AB72"/>
      <c r="AC72"/>
      <c r="AI72"/>
      <c r="AJ72"/>
    </row>
  </sheetData>
  <sortState xmlns:xlrd2="http://schemas.microsoft.com/office/spreadsheetml/2017/richdata2" ref="AE55:AF70">
    <sortCondition ref="AE55:AE70"/>
  </sortState>
  <mergeCells count="189">
    <mergeCell ref="B35:B36"/>
    <mergeCell ref="B37:B38"/>
    <mergeCell ref="B39:B40"/>
    <mergeCell ref="B41:B42"/>
    <mergeCell ref="B25:B26"/>
    <mergeCell ref="B29:B30"/>
    <mergeCell ref="B33:B34"/>
    <mergeCell ref="B27:B28"/>
    <mergeCell ref="B31:B32"/>
    <mergeCell ref="B6:B7"/>
    <mergeCell ref="B8:B9"/>
    <mergeCell ref="B10:B11"/>
    <mergeCell ref="B12:B13"/>
    <mergeCell ref="B14:B15"/>
    <mergeCell ref="B18:B19"/>
    <mergeCell ref="B20:B21"/>
    <mergeCell ref="B22:B23"/>
    <mergeCell ref="B16:B17"/>
    <mergeCell ref="AH41:AH42"/>
    <mergeCell ref="AH6:AH7"/>
    <mergeCell ref="AH12:AH13"/>
    <mergeCell ref="AH16:AH17"/>
    <mergeCell ref="AH8:AH9"/>
    <mergeCell ref="AH14:AH15"/>
    <mergeCell ref="AH10:AH11"/>
    <mergeCell ref="AH18:AH19"/>
    <mergeCell ref="AH20:AH21"/>
    <mergeCell ref="AH22:AH23"/>
    <mergeCell ref="AH25:AH26"/>
    <mergeCell ref="AH27:AH28"/>
    <mergeCell ref="P14:P15"/>
    <mergeCell ref="Q14:Q15"/>
    <mergeCell ref="P18:P19"/>
    <mergeCell ref="Q18:Q19"/>
    <mergeCell ref="AA16:AA17"/>
    <mergeCell ref="T16:T17"/>
    <mergeCell ref="U16:U17"/>
    <mergeCell ref="P16:P17"/>
    <mergeCell ref="Q16:Q17"/>
    <mergeCell ref="P25:P26"/>
    <mergeCell ref="Q25:Q26"/>
    <mergeCell ref="T25:T26"/>
    <mergeCell ref="AA41:AA42"/>
    <mergeCell ref="P41:P42"/>
    <mergeCell ref="Q41:Q42"/>
    <mergeCell ref="T41:T42"/>
    <mergeCell ref="AA35:AA36"/>
    <mergeCell ref="P29:P30"/>
    <mergeCell ref="Q29:Q30"/>
    <mergeCell ref="T29:T30"/>
    <mergeCell ref="U29:U30"/>
    <mergeCell ref="AA39:AA40"/>
    <mergeCell ref="AA29:AA30"/>
    <mergeCell ref="AA33:AA34"/>
    <mergeCell ref="AA31:AA32"/>
    <mergeCell ref="AA25:AA26"/>
    <mergeCell ref="AA37:AA38"/>
    <mergeCell ref="P37:P38"/>
    <mergeCell ref="Q37:Q38"/>
    <mergeCell ref="T37:T38"/>
    <mergeCell ref="U37:U38"/>
    <mergeCell ref="AA27:AA28"/>
    <mergeCell ref="P27:P28"/>
    <mergeCell ref="K1:L2"/>
    <mergeCell ref="U41:U42"/>
    <mergeCell ref="Q33:Q34"/>
    <mergeCell ref="T33:T34"/>
    <mergeCell ref="U33:U34"/>
    <mergeCell ref="P31:P32"/>
    <mergeCell ref="Q31:Q32"/>
    <mergeCell ref="U8:U9"/>
    <mergeCell ref="P8:P9"/>
    <mergeCell ref="Q8:Q9"/>
    <mergeCell ref="P35:P36"/>
    <mergeCell ref="Q35:Q36"/>
    <mergeCell ref="T35:T36"/>
    <mergeCell ref="P39:P40"/>
    <mergeCell ref="Q39:Q40"/>
    <mergeCell ref="T39:T40"/>
    <mergeCell ref="U39:U40"/>
    <mergeCell ref="U35:U36"/>
    <mergeCell ref="P33:P34"/>
    <mergeCell ref="U25:U26"/>
    <mergeCell ref="T14:T15"/>
    <mergeCell ref="U14:U15"/>
    <mergeCell ref="T31:T32"/>
    <mergeCell ref="U31:U32"/>
    <mergeCell ref="A4:C4"/>
    <mergeCell ref="X4:AA4"/>
    <mergeCell ref="H4:I4"/>
    <mergeCell ref="N4:O4"/>
    <mergeCell ref="AA22:AA23"/>
    <mergeCell ref="T22:T23"/>
    <mergeCell ref="U22:U23"/>
    <mergeCell ref="P22:P23"/>
    <mergeCell ref="Q22:Q23"/>
    <mergeCell ref="AA20:AA21"/>
    <mergeCell ref="T20:T21"/>
    <mergeCell ref="U20:U21"/>
    <mergeCell ref="P20:P21"/>
    <mergeCell ref="Q20:Q21"/>
    <mergeCell ref="AA10:AA11"/>
    <mergeCell ref="T10:T11"/>
    <mergeCell ref="AA6:AA7"/>
    <mergeCell ref="P6:P7"/>
    <mergeCell ref="Q6:Q7"/>
    <mergeCell ref="T6:T7"/>
    <mergeCell ref="U6:U7"/>
    <mergeCell ref="K4:L4"/>
    <mergeCell ref="T18:T19"/>
    <mergeCell ref="U18:U19"/>
    <mergeCell ref="Q27:Q28"/>
    <mergeCell ref="T27:T28"/>
    <mergeCell ref="U27:U28"/>
    <mergeCell ref="AF1:AF2"/>
    <mergeCell ref="AG1:AG2"/>
    <mergeCell ref="AH1:AH2"/>
    <mergeCell ref="U10:U11"/>
    <mergeCell ref="AA14:AA15"/>
    <mergeCell ref="AA18:AA19"/>
    <mergeCell ref="P4:S4"/>
    <mergeCell ref="T4:W4"/>
    <mergeCell ref="P10:P11"/>
    <mergeCell ref="Q10:Q11"/>
    <mergeCell ref="AA12:AA13"/>
    <mergeCell ref="T12:T13"/>
    <mergeCell ref="U12:U13"/>
    <mergeCell ref="P12:P13"/>
    <mergeCell ref="Q12:Q13"/>
    <mergeCell ref="AA8:AA9"/>
    <mergeCell ref="X1:AA2"/>
    <mergeCell ref="T8:T9"/>
    <mergeCell ref="AB6:AB7"/>
    <mergeCell ref="AB8:AB9"/>
    <mergeCell ref="AB10:AB11"/>
    <mergeCell ref="AB41:AB42"/>
    <mergeCell ref="AJ27:AJ28"/>
    <mergeCell ref="AJ33:AJ34"/>
    <mergeCell ref="AJ35:AJ36"/>
    <mergeCell ref="AJ37:AJ38"/>
    <mergeCell ref="AJ39:AJ40"/>
    <mergeCell ref="AJ41:AJ42"/>
    <mergeCell ref="AB12:AB13"/>
    <mergeCell ref="AB14:AB15"/>
    <mergeCell ref="AB16:AB17"/>
    <mergeCell ref="AB18:AB19"/>
    <mergeCell ref="AB20:AB21"/>
    <mergeCell ref="AB22:AB23"/>
    <mergeCell ref="AB25:AB26"/>
    <mergeCell ref="AB27:AB28"/>
    <mergeCell ref="AB29:AB30"/>
    <mergeCell ref="AJ16:AJ17"/>
    <mergeCell ref="AJ18:AJ19"/>
    <mergeCell ref="AJ20:AJ21"/>
    <mergeCell ref="AI41:AI42"/>
    <mergeCell ref="AH33:AH34"/>
    <mergeCell ref="AH35:AH36"/>
    <mergeCell ref="AH37:AH38"/>
    <mergeCell ref="AH39:AH40"/>
    <mergeCell ref="AB37:AB38"/>
    <mergeCell ref="AB39:AB40"/>
    <mergeCell ref="AK1:AK2"/>
    <mergeCell ref="AI27:AI28"/>
    <mergeCell ref="AI31:AI32"/>
    <mergeCell ref="AJ31:AJ32"/>
    <mergeCell ref="AI35:AI36"/>
    <mergeCell ref="AI37:AI38"/>
    <mergeCell ref="AI39:AI40"/>
    <mergeCell ref="AI1:AJ2"/>
    <mergeCell ref="AI12:AI13"/>
    <mergeCell ref="AI14:AI15"/>
    <mergeCell ref="AI20:AI21"/>
    <mergeCell ref="AI6:AI7"/>
    <mergeCell ref="AI8:AI9"/>
    <mergeCell ref="AI18:AI19"/>
    <mergeCell ref="AI22:AI23"/>
    <mergeCell ref="AJ22:AJ23"/>
    <mergeCell ref="AJ25:AJ26"/>
    <mergeCell ref="AI4:AJ4"/>
    <mergeCell ref="AE1:AE2"/>
    <mergeCell ref="AJ6:AJ7"/>
    <mergeCell ref="AJ8:AJ9"/>
    <mergeCell ref="AJ10:AJ11"/>
    <mergeCell ref="AJ12:AJ13"/>
    <mergeCell ref="AJ14:AJ15"/>
    <mergeCell ref="AI10:AI11"/>
    <mergeCell ref="AB31:AB32"/>
    <mergeCell ref="AB33:AB34"/>
    <mergeCell ref="AB35:AB36"/>
  </mergeCells>
  <conditionalFormatting sqref="N31:N32">
    <cfRule type="top10" dxfId="447" priority="183" rank="1"/>
  </conditionalFormatting>
  <conditionalFormatting sqref="N39:N40">
    <cfRule type="top10" dxfId="446" priority="239" rank="1"/>
  </conditionalFormatting>
  <conditionalFormatting sqref="N35:N36">
    <cfRule type="top10" dxfId="445" priority="223" rank="1"/>
  </conditionalFormatting>
  <conditionalFormatting sqref="N37:N38">
    <cfRule type="top10" dxfId="444" priority="227" rank="1"/>
  </conditionalFormatting>
  <conditionalFormatting sqref="N20:N21">
    <cfRule type="top10" dxfId="443" priority="156" rank="1"/>
  </conditionalFormatting>
  <conditionalFormatting sqref="N16:N17">
    <cfRule type="top10" dxfId="442" priority="150" rank="1"/>
  </conditionalFormatting>
  <conditionalFormatting sqref="N27:N28">
    <cfRule type="top10" dxfId="441" priority="163" rank="1"/>
  </conditionalFormatting>
  <conditionalFormatting sqref="N33:N34">
    <cfRule type="top10" dxfId="440" priority="210" rank="1"/>
  </conditionalFormatting>
  <conditionalFormatting sqref="N41:N42">
    <cfRule type="top10" dxfId="439" priority="265" rank="1"/>
  </conditionalFormatting>
  <conditionalFormatting sqref="N29:N30">
    <cfRule type="top10" dxfId="438" priority="167" rank="1"/>
  </conditionalFormatting>
  <conditionalFormatting sqref="N18:N19">
    <cfRule type="top10" dxfId="437" priority="154" rank="1"/>
  </conditionalFormatting>
  <conditionalFormatting sqref="O16:O17">
    <cfRule type="top10" dxfId="436" priority="151" bottom="1" rank="1"/>
  </conditionalFormatting>
  <conditionalFormatting sqref="O20:O21">
    <cfRule type="top10" dxfId="435" priority="157" bottom="1" rank="1"/>
  </conditionalFormatting>
  <conditionalFormatting sqref="O18:O19">
    <cfRule type="top10" dxfId="434" priority="155" bottom="1" rank="1"/>
  </conditionalFormatting>
  <conditionalFormatting sqref="O27:O28">
    <cfRule type="top10" dxfId="433" priority="166" bottom="1" rank="1"/>
  </conditionalFormatting>
  <conditionalFormatting sqref="O31:O32">
    <cfRule type="top10" dxfId="432" priority="185" bottom="1" rank="1"/>
  </conditionalFormatting>
  <conditionalFormatting sqref="O35:O36">
    <cfRule type="top10" dxfId="431" priority="225" bottom="1" rank="1"/>
  </conditionalFormatting>
  <conditionalFormatting sqref="O39:O40">
    <cfRule type="top10" dxfId="430" priority="242" bottom="1" rank="1"/>
  </conditionalFormatting>
  <conditionalFormatting sqref="O29:O30">
    <cfRule type="top10" dxfId="429" priority="169" bottom="1" rank="1"/>
  </conditionalFormatting>
  <conditionalFormatting sqref="O33:O34">
    <cfRule type="top10" dxfId="428" priority="216" bottom="1" rank="1"/>
  </conditionalFormatting>
  <conditionalFormatting sqref="O37:O38">
    <cfRule type="top10" dxfId="427" priority="237" bottom="1" rank="1"/>
  </conditionalFormatting>
  <conditionalFormatting sqref="O41:O42">
    <cfRule type="top10" dxfId="426" priority="267" bottom="1" rank="1"/>
  </conditionalFormatting>
  <conditionalFormatting sqref="N25:N26">
    <cfRule type="top10" dxfId="425" priority="160" rank="1"/>
  </conditionalFormatting>
  <conditionalFormatting sqref="O25:O26">
    <cfRule type="top10" dxfId="424" priority="161" bottom="1" rank="1"/>
  </conditionalFormatting>
  <conditionalFormatting sqref="N22:N23">
    <cfRule type="top10" dxfId="423" priority="158" rank="1"/>
  </conditionalFormatting>
  <conditionalFormatting sqref="O22:O23">
    <cfRule type="top10" dxfId="422" priority="159" bottom="1" rank="1"/>
  </conditionalFormatting>
  <conditionalFormatting sqref="N8:N9">
    <cfRule type="top10" dxfId="421" priority="84" rank="1"/>
  </conditionalFormatting>
  <conditionalFormatting sqref="N6:N7">
    <cfRule type="top10" dxfId="420" priority="82" rank="1"/>
  </conditionalFormatting>
  <conditionalFormatting sqref="O8:O9">
    <cfRule type="top10" dxfId="419" priority="85" bottom="1" rank="1"/>
  </conditionalFormatting>
  <conditionalFormatting sqref="O6:O7">
    <cfRule type="top10" dxfId="418" priority="83" bottom="1" rank="1"/>
  </conditionalFormatting>
  <conditionalFormatting sqref="N10:N11">
    <cfRule type="top10" dxfId="417" priority="86" rank="1"/>
  </conditionalFormatting>
  <conditionalFormatting sqref="O10:O11">
    <cfRule type="top10" dxfId="416" priority="87" bottom="1" rank="1"/>
  </conditionalFormatting>
  <conditionalFormatting sqref="N14:N15">
    <cfRule type="top10" dxfId="415" priority="90" rank="1"/>
  </conditionalFormatting>
  <conditionalFormatting sqref="N12:N13">
    <cfRule type="top10" dxfId="414" priority="88" rank="1"/>
  </conditionalFormatting>
  <conditionalFormatting sqref="O14:O15">
    <cfRule type="top10" dxfId="413" priority="91" bottom="1" rank="1"/>
  </conditionalFormatting>
  <conditionalFormatting sqref="O12:O13">
    <cfRule type="top10" dxfId="412" priority="89" bottom="1" rank="1"/>
  </conditionalFormatting>
  <conditionalFormatting sqref="R6:R42 V6:V42">
    <cfRule type="cellIs" dxfId="411" priority="6" operator="equal">
      <formula>TRUE</formula>
    </cfRule>
  </conditionalFormatting>
  <conditionalFormatting sqref="S6:S42 W6:W42">
    <cfRule type="cellIs" dxfId="410" priority="5" operator="equal">
      <formula>TRUE</formula>
    </cfRule>
  </conditionalFormatting>
  <conditionalFormatting sqref="T48:U91 P48:Q91 P6:Q43 T6:U43">
    <cfRule type="cellIs" dxfId="409" priority="1" operator="greaterThan">
      <formula>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587A0-551F-4D4F-B7A3-F6E22A6BAF8C}">
  <sheetPr codeName="Sheet15">
    <tabColor theme="4" tint="0.79998168889431442"/>
  </sheetPr>
  <dimension ref="A1:AQ15"/>
  <sheetViews>
    <sheetView topLeftCell="G1" zoomScale="85" zoomScaleNormal="85" workbookViewId="0">
      <selection activeCell="G6" sqref="G6:G9"/>
    </sheetView>
  </sheetViews>
  <sheetFormatPr defaultRowHeight="15" x14ac:dyDescent="0.25"/>
  <sheetData>
    <row r="1" spans="1:43" x14ac:dyDescent="0.25">
      <c r="A1" s="136"/>
      <c r="B1" s="136"/>
      <c r="C1" s="136"/>
      <c r="D1" s="136"/>
      <c r="E1" s="136"/>
      <c r="F1" s="136"/>
      <c r="G1" s="136"/>
      <c r="H1" s="136"/>
      <c r="I1" s="136"/>
      <c r="J1" s="157"/>
      <c r="K1" s="510">
        <v>5.4999999999999997E-3</v>
      </c>
      <c r="L1" s="510"/>
      <c r="M1" s="136"/>
      <c r="N1" s="136"/>
      <c r="O1" s="136"/>
      <c r="T1" s="158"/>
      <c r="U1" s="158"/>
      <c r="V1" s="158"/>
      <c r="W1" s="158"/>
      <c r="X1" s="495" t="str">
        <f>'MKT DATA'!J2</f>
        <v>2026-10-23_16-00-28</v>
      </c>
      <c r="Y1" s="495"/>
      <c r="Z1" s="495"/>
      <c r="AA1" s="495"/>
      <c r="AB1" s="375"/>
      <c r="AC1" s="184"/>
      <c r="AE1" s="518">
        <f ca="1">'INITIAL INPUTS'!H11</f>
        <v>1152.46693100006</v>
      </c>
      <c r="AF1" s="479" t="s">
        <v>175</v>
      </c>
      <c r="AG1" s="481">
        <f ca="1">SUM(AG6:AG47)</f>
        <v>0</v>
      </c>
      <c r="AH1" s="483">
        <f ca="1">SUM(AH6:AH47)</f>
        <v>0</v>
      </c>
      <c r="AI1" s="466">
        <f>SUM(AJ6:AJ47)</f>
        <v>0</v>
      </c>
      <c r="AJ1" s="467"/>
      <c r="AK1" s="464">
        <f ca="1">'INITIAL INPUTS'!I11</f>
        <v>3847.1845091987584</v>
      </c>
      <c r="AN1" s="2"/>
    </row>
    <row r="2" spans="1:43" ht="18" thickBot="1" x14ac:dyDescent="0.45">
      <c r="A2" s="139"/>
      <c r="B2" s="139"/>
      <c r="C2" s="139"/>
      <c r="D2" s="139"/>
      <c r="E2" s="139"/>
      <c r="F2" s="139"/>
      <c r="G2" s="139"/>
      <c r="H2" s="139"/>
      <c r="I2" s="139"/>
      <c r="J2" s="174"/>
      <c r="K2" s="511"/>
      <c r="L2" s="511"/>
      <c r="M2" s="139"/>
      <c r="N2" s="139"/>
      <c r="O2" s="139"/>
      <c r="T2" s="175"/>
      <c r="U2" s="175"/>
      <c r="V2" s="175"/>
      <c r="W2" s="175"/>
      <c r="X2" s="496"/>
      <c r="Y2" s="496"/>
      <c r="Z2" s="496"/>
      <c r="AA2" s="496"/>
      <c r="AB2" s="376"/>
      <c r="AC2" s="185"/>
      <c r="AE2" s="519"/>
      <c r="AF2" s="480"/>
      <c r="AG2" s="482"/>
      <c r="AH2" s="484"/>
      <c r="AI2" s="468"/>
      <c r="AJ2" s="469"/>
      <c r="AK2" s="465"/>
      <c r="AN2" s="325"/>
    </row>
    <row r="3" spans="1:43" s="74" customFormat="1" ht="15.75" thickBot="1" x14ac:dyDescent="0.3">
      <c r="A3" s="423" t="s">
        <v>415</v>
      </c>
      <c r="B3" s="399"/>
      <c r="C3" s="398"/>
      <c r="D3" s="70"/>
      <c r="E3" s="399">
        <v>2</v>
      </c>
      <c r="F3" s="399">
        <v>5</v>
      </c>
      <c r="G3" s="399"/>
      <c r="H3" s="411">
        <v>5</v>
      </c>
      <c r="I3" s="412">
        <v>6</v>
      </c>
      <c r="J3" s="413">
        <v>10</v>
      </c>
      <c r="K3" s="414"/>
      <c r="L3" s="415"/>
      <c r="M3" s="416">
        <v>9</v>
      </c>
      <c r="N3" s="417"/>
      <c r="O3" s="412"/>
      <c r="P3" s="411"/>
      <c r="Q3" s="417"/>
      <c r="R3" s="417">
        <v>20</v>
      </c>
      <c r="S3" s="418">
        <v>21</v>
      </c>
      <c r="T3" s="411"/>
      <c r="U3" s="417"/>
      <c r="V3" s="417">
        <v>24</v>
      </c>
      <c r="W3" s="412">
        <v>25</v>
      </c>
      <c r="X3" s="419">
        <v>9</v>
      </c>
      <c r="Y3" s="419"/>
      <c r="Z3" s="419"/>
      <c r="AA3" s="420"/>
      <c r="AB3" s="70"/>
      <c r="AC3" s="399"/>
      <c r="AD3" s="411">
        <v>8</v>
      </c>
      <c r="AE3" s="417"/>
      <c r="AF3" s="417"/>
      <c r="AG3" s="417"/>
      <c r="AH3" s="412"/>
      <c r="AI3" s="411"/>
      <c r="AJ3" s="412"/>
      <c r="AM3" s="421"/>
      <c r="AN3" s="422"/>
      <c r="AO3" s="422"/>
      <c r="AP3" s="422"/>
      <c r="AQ3" s="422"/>
    </row>
    <row r="4" spans="1:43" x14ac:dyDescent="0.25">
      <c r="A4" s="497" t="s">
        <v>55</v>
      </c>
      <c r="B4" s="498"/>
      <c r="C4" s="499"/>
      <c r="D4" s="247"/>
      <c r="E4" s="70"/>
      <c r="F4" s="52"/>
      <c r="G4" s="52"/>
      <c r="H4" s="502" t="s">
        <v>57</v>
      </c>
      <c r="I4" s="503"/>
      <c r="J4" s="90"/>
      <c r="K4" s="506" t="s">
        <v>179</v>
      </c>
      <c r="L4" s="507"/>
      <c r="M4" s="39"/>
      <c r="N4" s="490" t="s">
        <v>60</v>
      </c>
      <c r="O4" s="492"/>
      <c r="P4" s="489" t="s">
        <v>69</v>
      </c>
      <c r="Q4" s="490"/>
      <c r="R4" s="490" t="s">
        <v>67</v>
      </c>
      <c r="S4" s="491" t="s">
        <v>68</v>
      </c>
      <c r="T4" s="489" t="s">
        <v>70</v>
      </c>
      <c r="U4" s="490"/>
      <c r="V4" s="490" t="s">
        <v>67</v>
      </c>
      <c r="W4" s="492" t="s">
        <v>68</v>
      </c>
      <c r="X4" s="500" t="s">
        <v>61</v>
      </c>
      <c r="Y4" s="500"/>
      <c r="Z4" s="500"/>
      <c r="AA4" s="501"/>
      <c r="AB4" s="377" t="s">
        <v>331</v>
      </c>
      <c r="AC4" s="245"/>
      <c r="AD4" s="41"/>
      <c r="AE4" s="43" t="s">
        <v>174</v>
      </c>
      <c r="AF4" s="43" t="s">
        <v>177</v>
      </c>
      <c r="AG4" s="43"/>
      <c r="AH4" s="42" t="s">
        <v>231</v>
      </c>
      <c r="AI4" s="472" t="s">
        <v>333</v>
      </c>
      <c r="AJ4" s="473"/>
      <c r="AL4" s="2"/>
    </row>
    <row r="5" spans="1:43" ht="15.75" thickBot="1" x14ac:dyDescent="0.3">
      <c r="A5" s="31" t="s">
        <v>169</v>
      </c>
      <c r="B5" s="349" t="s">
        <v>353</v>
      </c>
      <c r="C5" s="32" t="s">
        <v>56</v>
      </c>
      <c r="D5" s="355" t="s">
        <v>65</v>
      </c>
      <c r="E5" s="71" t="s">
        <v>105</v>
      </c>
      <c r="F5" s="69" t="s">
        <v>76</v>
      </c>
      <c r="G5" s="53" t="s">
        <v>50</v>
      </c>
      <c r="H5" s="54" t="s">
        <v>58</v>
      </c>
      <c r="I5" s="55" t="s">
        <v>59</v>
      </c>
      <c r="J5" s="91" t="s">
        <v>129</v>
      </c>
      <c r="K5" s="188" t="s">
        <v>58</v>
      </c>
      <c r="L5" s="189" t="s">
        <v>59</v>
      </c>
      <c r="M5" s="56" t="s">
        <v>51</v>
      </c>
      <c r="N5" s="57" t="s">
        <v>53</v>
      </c>
      <c r="O5" s="58" t="s">
        <v>54</v>
      </c>
      <c r="P5" s="40" t="s">
        <v>66</v>
      </c>
      <c r="Q5" s="12" t="s">
        <v>24</v>
      </c>
      <c r="R5" s="251" t="s">
        <v>71</v>
      </c>
      <c r="S5" s="222" t="s">
        <v>72</v>
      </c>
      <c r="T5" s="40" t="s">
        <v>66</v>
      </c>
      <c r="U5" s="12" t="s">
        <v>24</v>
      </c>
      <c r="V5" s="251" t="s">
        <v>72</v>
      </c>
      <c r="W5" s="59" t="s">
        <v>71</v>
      </c>
      <c r="X5" s="131" t="s">
        <v>62</v>
      </c>
      <c r="Y5" s="132" t="s">
        <v>74</v>
      </c>
      <c r="Z5" s="133" t="s">
        <v>73</v>
      </c>
      <c r="AA5" s="134" t="s">
        <v>63</v>
      </c>
      <c r="AB5" s="378" t="s">
        <v>332</v>
      </c>
      <c r="AC5" s="53" t="str">
        <f t="shared" ref="AC5" si="0">G5</f>
        <v>symbol</v>
      </c>
      <c r="AD5" s="163" t="s">
        <v>170</v>
      </c>
      <c r="AE5" s="164" t="s">
        <v>176</v>
      </c>
      <c r="AF5" s="164" t="s">
        <v>172</v>
      </c>
      <c r="AG5" s="168" t="s">
        <v>173</v>
      </c>
      <c r="AH5" s="55" t="s">
        <v>173</v>
      </c>
      <c r="AI5" s="365" t="s">
        <v>24</v>
      </c>
      <c r="AJ5" s="366" t="s">
        <v>334</v>
      </c>
      <c r="AN5" s="2"/>
    </row>
    <row r="6" spans="1:43" x14ac:dyDescent="0.25">
      <c r="A6" s="79" t="e">
        <f>MATCH(G6,SCALARS!D:D,0)</f>
        <v>#N/A</v>
      </c>
      <c r="B6" s="524">
        <f>MATCH(G6,'SCALAR INPUTS'!E:E,0)</f>
        <v>41</v>
      </c>
      <c r="C6" s="80">
        <f>MATCH(G6,'MKT DATA'!B:B,0)</f>
        <v>139</v>
      </c>
      <c r="D6" s="353"/>
      <c r="E6" s="264" t="e" cm="1">
        <f t="array" aca="1" ref="E6" ca="1">INDIRECT(ADDRESS($A6,2,,,"scalars"))</f>
        <v>#N/A</v>
      </c>
      <c r="F6" s="14" t="e" cm="1">
        <f t="array" aca="1" ref="F6" ca="1">INDIRECT(ADDRESS($A6,5,,,"scalars"))</f>
        <v>#N/A</v>
      </c>
      <c r="G6" s="194" t="s">
        <v>159</v>
      </c>
      <c r="H6" s="33" cm="1">
        <f t="array" aca="1" ref="H6" ca="1">INDIRECT(ADDRESS($C6,H$3,,,"mkt data"))</f>
        <v>477.52</v>
      </c>
      <c r="I6" s="34" cm="1">
        <f t="array" aca="1" ref="I6" ca="1">INDIRECT(ADDRESS($C6,I$3,,,"mkt data"))</f>
        <v>478.8</v>
      </c>
      <c r="J6" s="150" t="e" cm="1">
        <f t="array" aca="1" ref="J6" ca="1">INDIRECT(ADDRESS($A6,J$3,,,"SCALARS"))</f>
        <v>#N/A</v>
      </c>
      <c r="K6" s="16" t="e">
        <f ca="1">H6+J6-CORPS!K$1</f>
        <v>#N/A</v>
      </c>
      <c r="L6" s="16" t="e">
        <f ca="1">I6+J6+CORPS!K$1</f>
        <v>#N/A</v>
      </c>
      <c r="M6" s="44" t="e" cm="1">
        <f t="array" aca="1" ref="M6" ca="1">INDIRECT(ADDRESS($A6,M$3,,,"scalars"))</f>
        <v>#N/A</v>
      </c>
      <c r="N6" s="17" t="e">
        <f ca="1">K6*M6</f>
        <v>#N/A</v>
      </c>
      <c r="O6" s="17" t="e">
        <f ca="1">M6*L6</f>
        <v>#N/A</v>
      </c>
      <c r="P6" s="477" t="e">
        <f ca="1">N7-O6</f>
        <v>#N/A</v>
      </c>
      <c r="Q6" s="475" t="e">
        <f ca="1">LN(N7/O6)</f>
        <v>#N/A</v>
      </c>
      <c r="R6" s="252" t="e" cm="1">
        <f t="array" aca="1" ref="R6" ca="1">-INDIRECT(ADDRESS($B6,R$3,,,"threshold info"))</f>
        <v>#REF!</v>
      </c>
      <c r="S6" s="223" t="e" cm="1">
        <f t="array" aca="1" ref="S6" ca="1">-INDIRECT(ADDRESS($B6,S$3,,,"threshold info"))</f>
        <v>#REF!</v>
      </c>
      <c r="T6" s="477" t="e">
        <f ca="1">N6-O7</f>
        <v>#N/A</v>
      </c>
      <c r="U6" s="475" t="e">
        <f ca="1">LN(N6/O7)</f>
        <v>#N/A</v>
      </c>
      <c r="V6" s="252" t="e" cm="1">
        <f t="array" aca="1" ref="V6" ca="1">INDIRECT(ADDRESS($B6,V$3,,,"threshold info"))</f>
        <v>#REF!</v>
      </c>
      <c r="W6" s="60" t="e" cm="1">
        <f t="array" aca="1" ref="W6" ca="1">INDIRECT(ADDRESS($B6,W$3,,,"threshold info"))</f>
        <v>#REF!</v>
      </c>
      <c r="X6" s="27" cm="1">
        <f t="array" aca="1" ref="X6" ca="1">INDIRECT(ADDRESS($C6,X$3,,,"mkt data"))</f>
        <v>0</v>
      </c>
      <c r="Y6" s="48">
        <f ca="1">X6*AVERAGE(H6:I6)</f>
        <v>0</v>
      </c>
      <c r="Z6" s="27" t="e">
        <f ca="1">X6/M6</f>
        <v>#N/A</v>
      </c>
      <c r="AA6" s="485" t="e">
        <f ca="1">SUM(Z6:Z7)</f>
        <v>#N/A</v>
      </c>
      <c r="AB6" s="462"/>
      <c r="AC6" s="173" t="str">
        <f>G6</f>
        <v>SOXX</v>
      </c>
      <c r="AD6" s="33" cm="1">
        <f t="array" aca="1" ref="AD6" ca="1">INDIRECT(ADDRESS($C6,AD$3,,,"mkt data"))</f>
        <v>475.69000199999999</v>
      </c>
      <c r="AE6" s="165">
        <f ca="1">AVERAGE(H6,I6)</f>
        <v>478.15999999999997</v>
      </c>
      <c r="AF6" s="165">
        <f ca="1">AE6-AD6</f>
        <v>2.4699979999999755</v>
      </c>
      <c r="AG6" s="165">
        <f ca="1">AF6*X6</f>
        <v>0</v>
      </c>
      <c r="AH6" s="522">
        <f ca="1">AG6+AG7</f>
        <v>0</v>
      </c>
      <c r="AI6" s="460"/>
      <c r="AJ6" s="458"/>
    </row>
    <row r="7" spans="1:43" ht="15.75" thickBot="1" x14ac:dyDescent="0.3">
      <c r="A7" s="81" t="e">
        <f>MATCH(G7,SCALARS!D:D,0)</f>
        <v>#N/A</v>
      </c>
      <c r="B7" s="525"/>
      <c r="C7" s="82">
        <f>MATCH(G7,'MKT DATA'!B:B,0)</f>
        <v>138</v>
      </c>
      <c r="D7" s="354"/>
      <c r="E7" s="265" t="e" cm="1">
        <f t="array" aca="1" ref="E7" ca="1">INDIRECT(ADDRESS($A7,2,,,"scalars"))</f>
        <v>#N/A</v>
      </c>
      <c r="F7" s="20" t="e" cm="1">
        <f t="array" aca="1" ref="F7" ca="1">INDIRECT(ADDRESS($A7,5,,,"scalars"))</f>
        <v>#N/A</v>
      </c>
      <c r="G7" s="195" t="s">
        <v>158</v>
      </c>
      <c r="H7" s="37" cm="1">
        <f t="array" aca="1" ref="H7" ca="1">INDIRECT(ADDRESS($C7,H$3,,,"mkt data"))</f>
        <v>526.32000000000005</v>
      </c>
      <c r="I7" s="38" cm="1">
        <f t="array" aca="1" ref="I7" ca="1">INDIRECT(ADDRESS($C7,I$3,,,"mkt data"))</f>
        <v>527.85</v>
      </c>
      <c r="J7" s="151" t="e" cm="1">
        <f t="array" aca="1" ref="J7" ca="1">INDIRECT(ADDRESS($A7,J$3,,,"SCALARS"))</f>
        <v>#N/A</v>
      </c>
      <c r="K7" s="22" t="e">
        <f ca="1">H7+J7-CORPS!K$1</f>
        <v>#N/A</v>
      </c>
      <c r="L7" s="22" t="e">
        <f ca="1">I7+J7+CORPS!K$1</f>
        <v>#N/A</v>
      </c>
      <c r="M7" s="45" t="e" cm="1">
        <f t="array" aca="1" ref="M7" ca="1">INDIRECT(ADDRESS($A7,M$3,,,"scalars"))</f>
        <v>#N/A</v>
      </c>
      <c r="N7" s="23" t="e">
        <f ca="1">K7*M7</f>
        <v>#N/A</v>
      </c>
      <c r="O7" s="23" t="e">
        <f ca="1">M7*L7</f>
        <v>#N/A</v>
      </c>
      <c r="P7" s="478"/>
      <c r="Q7" s="476"/>
      <c r="R7" s="253" t="e">
        <f ca="1">IF(Q6&gt;R6,TRUE,FALSE)</f>
        <v>#N/A</v>
      </c>
      <c r="S7" s="224" t="e">
        <f ca="1">AND(IF(U6&gt;-S6,TRUE,FALSE),IF(X6&gt;0,TRUE,FALSE))</f>
        <v>#N/A</v>
      </c>
      <c r="T7" s="478"/>
      <c r="U7" s="476"/>
      <c r="V7" s="253" t="e">
        <f ca="1">IF(U6&gt;V6,TRUE,FALSE)</f>
        <v>#N/A</v>
      </c>
      <c r="W7" s="61" t="e">
        <f ca="1">AND(IF(Q6&gt;-W6,TRUE,FALSE),IF(X6&lt;0,TRUE,FALSE))</f>
        <v>#N/A</v>
      </c>
      <c r="X7" s="29" cm="1">
        <f t="array" aca="1" ref="X7" ca="1">INDIRECT(ADDRESS($C7,X$3,,,"mkt data"))</f>
        <v>0</v>
      </c>
      <c r="Y7" s="50">
        <f ca="1">X7*AVERAGE(H7:I7)</f>
        <v>0</v>
      </c>
      <c r="Z7" s="29" t="e">
        <f ca="1">X7/M7</f>
        <v>#N/A</v>
      </c>
      <c r="AA7" s="486"/>
      <c r="AB7" s="463"/>
      <c r="AC7" s="181" t="str">
        <f>G7</f>
        <v>SMH</v>
      </c>
      <c r="AD7" s="37" cm="1">
        <f t="array" aca="1" ref="AD7" ca="1">INDIRECT(ADDRESS($C7,AD$3,,,"mkt data"))</f>
        <v>523.34997599999997</v>
      </c>
      <c r="AE7" s="167">
        <f ca="1">AVERAGE(H7,I7)</f>
        <v>527.08500000000004</v>
      </c>
      <c r="AF7" s="167">
        <f ca="1">AE7-AD7</f>
        <v>3.7350240000000667</v>
      </c>
      <c r="AG7" s="167">
        <f ca="1">AF7*X7</f>
        <v>0</v>
      </c>
      <c r="AH7" s="523"/>
      <c r="AI7" s="461"/>
      <c r="AJ7" s="459"/>
    </row>
    <row r="8" spans="1:43" x14ac:dyDescent="0.25">
      <c r="A8" s="79" t="e">
        <f>MATCH(G8,SCALARS!D:D,0)</f>
        <v>#N/A</v>
      </c>
      <c r="B8" s="524" t="e">
        <f>MATCH(G8,'SCALAR INPUTS'!E:E,0)</f>
        <v>#N/A</v>
      </c>
      <c r="C8" s="80" t="e">
        <f>MATCH(G8,'MKT DATA'!B:B,0)</f>
        <v>#N/A</v>
      </c>
      <c r="D8" s="353"/>
      <c r="E8" s="264" t="e" cm="1">
        <f t="array" aca="1" ref="E8" ca="1">INDIRECT(ADDRESS($A8,2,,,"scalars"))</f>
        <v>#N/A</v>
      </c>
      <c r="F8" s="14" t="e" cm="1">
        <f t="array" aca="1" ref="F8" ca="1">INDIRECT(ADDRESS($A8,5,,,"scalars"))</f>
        <v>#N/A</v>
      </c>
      <c r="G8" s="194" t="s">
        <v>163</v>
      </c>
      <c r="H8" s="33" t="e" cm="1">
        <f t="array" aca="1" ref="H8" ca="1">INDIRECT(ADDRESS($C8,H$3,,,"mkt data"))</f>
        <v>#N/A</v>
      </c>
      <c r="I8" s="34" t="e" cm="1">
        <f t="array" aca="1" ref="I8" ca="1">INDIRECT(ADDRESS($C8,I$3,,,"mkt data"))</f>
        <v>#N/A</v>
      </c>
      <c r="J8" s="150" t="e" cm="1">
        <f t="array" aca="1" ref="J8" ca="1">INDIRECT(ADDRESS($A8,J$3,,,"SCALARS"))</f>
        <v>#N/A</v>
      </c>
      <c r="K8" s="16" t="e">
        <f ca="1">H8+J8-CORPS!K$1</f>
        <v>#N/A</v>
      </c>
      <c r="L8" s="16" t="e">
        <f ca="1">I8+J8+CORPS!K$1</f>
        <v>#N/A</v>
      </c>
      <c r="M8" s="44" t="e" cm="1">
        <f t="array" aca="1" ref="M8" ca="1">INDIRECT(ADDRESS($A8,M$3,,,"scalars"))</f>
        <v>#N/A</v>
      </c>
      <c r="N8" s="17" t="e">
        <f ca="1">K8*M8</f>
        <v>#N/A</v>
      </c>
      <c r="O8" s="17" t="e">
        <f ca="1">M8*L8</f>
        <v>#N/A</v>
      </c>
      <c r="P8" s="477" t="e">
        <f ca="1">N9-O8</f>
        <v>#N/A</v>
      </c>
      <c r="Q8" s="475" t="e">
        <f ca="1">LN(N9/O8)</f>
        <v>#N/A</v>
      </c>
      <c r="R8" s="252" t="e" cm="1">
        <f t="array" aca="1" ref="R8" ca="1">-INDIRECT(ADDRESS($B8,R$3,,,"threshold info"))</f>
        <v>#N/A</v>
      </c>
      <c r="S8" s="223" t="e" cm="1">
        <f t="array" aca="1" ref="S8" ca="1">-INDIRECT(ADDRESS($B8,S$3,,,"threshold info"))</f>
        <v>#N/A</v>
      </c>
      <c r="T8" s="477" t="e">
        <f ca="1">N8-O9</f>
        <v>#N/A</v>
      </c>
      <c r="U8" s="475" t="e">
        <f ca="1">LN(N8/O9)</f>
        <v>#N/A</v>
      </c>
      <c r="V8" s="252" t="e" cm="1">
        <f t="array" aca="1" ref="V8" ca="1">INDIRECT(ADDRESS($B8,V$3,,,"threshold info"))</f>
        <v>#N/A</v>
      </c>
      <c r="W8" s="60" t="e" cm="1">
        <f t="array" aca="1" ref="W8" ca="1">INDIRECT(ADDRESS($B8,W$3,,,"threshold info"))</f>
        <v>#N/A</v>
      </c>
      <c r="X8" s="27" t="e" cm="1">
        <f t="array" aca="1" ref="X8" ca="1">INDIRECT(ADDRESS($C8,X$3,,,"mkt data"))</f>
        <v>#N/A</v>
      </c>
      <c r="Y8" s="48" t="e">
        <f ca="1">X8*AVERAGE(H8:I8)</f>
        <v>#N/A</v>
      </c>
      <c r="Z8" s="27" t="e">
        <f ca="1">X8/M8</f>
        <v>#N/A</v>
      </c>
      <c r="AA8" s="487" t="e">
        <f ca="1">SUM(Z8:Z9)</f>
        <v>#N/A</v>
      </c>
      <c r="AB8" s="462"/>
      <c r="AC8" s="173" t="str">
        <f>G8</f>
        <v>KBE</v>
      </c>
      <c r="AD8" s="33" t="e" cm="1">
        <f t="array" aca="1" ref="AD8" ca="1">INDIRECT(ADDRESS($C8,AD$3,,,"mkt data"))</f>
        <v>#N/A</v>
      </c>
      <c r="AE8" s="165" t="e">
        <f ca="1">AVERAGE(H8,I8)</f>
        <v>#N/A</v>
      </c>
      <c r="AF8" s="165" t="e">
        <f ca="1">AE8-AD8</f>
        <v>#N/A</v>
      </c>
      <c r="AG8" s="389"/>
      <c r="AH8" s="528"/>
      <c r="AI8" s="460"/>
      <c r="AJ8" s="458"/>
    </row>
    <row r="9" spans="1:43" ht="15.75" thickBot="1" x14ac:dyDescent="0.3">
      <c r="A9" s="81" t="e">
        <f>MATCH(G9,SCALARS!D:D,0)</f>
        <v>#N/A</v>
      </c>
      <c r="B9" s="525"/>
      <c r="C9" s="82">
        <f>MATCH(G9,'MKT DATA'!B:B,0)</f>
        <v>10</v>
      </c>
      <c r="D9" s="354"/>
      <c r="E9" s="265" t="e" cm="1">
        <f t="array" aca="1" ref="E9" ca="1">INDIRECT(ADDRESS($A9,2,,,"scalars"))</f>
        <v>#N/A</v>
      </c>
      <c r="F9" s="20" t="e" cm="1">
        <f t="array" aca="1" ref="F9" ca="1">INDIRECT(ADDRESS($A9,5,,,"scalars"))</f>
        <v>#N/A</v>
      </c>
      <c r="G9" s="195" t="s">
        <v>164</v>
      </c>
      <c r="H9" s="37" cm="1">
        <f t="array" aca="1" ref="H9" ca="1">INDIRECT(ADDRESS($C9,H$3,,,"mkt data"))</f>
        <v>87.16</v>
      </c>
      <c r="I9" s="38" cm="1">
        <f t="array" aca="1" ref="I9" ca="1">INDIRECT(ADDRESS($C9,I$3,,,"mkt data"))</f>
        <v>88.15</v>
      </c>
      <c r="J9" s="151" t="e" cm="1">
        <f t="array" aca="1" ref="J9" ca="1">INDIRECT(ADDRESS($A9,J$3,,,"SCALARS"))</f>
        <v>#N/A</v>
      </c>
      <c r="K9" s="22" t="e">
        <f ca="1">H9+J9-CORPS!K$1</f>
        <v>#N/A</v>
      </c>
      <c r="L9" s="22" t="e">
        <f ca="1">I9+J9+CORPS!K$1</f>
        <v>#N/A</v>
      </c>
      <c r="M9" s="45" t="e" cm="1">
        <f t="array" aca="1" ref="M9" ca="1">INDIRECT(ADDRESS($A9,M$3,,,"scalars"))</f>
        <v>#N/A</v>
      </c>
      <c r="N9" s="23" t="e">
        <f ca="1">K9*M9</f>
        <v>#N/A</v>
      </c>
      <c r="O9" s="23" t="e">
        <f ca="1">M9*L9</f>
        <v>#N/A</v>
      </c>
      <c r="P9" s="478"/>
      <c r="Q9" s="476"/>
      <c r="R9" s="253" t="e">
        <f ca="1">IF(Q8&gt;R8,TRUE,FALSE)</f>
        <v>#N/A</v>
      </c>
      <c r="S9" s="224" t="e">
        <f ca="1">AND(IF(U8&gt;-S8,TRUE,FALSE),IF(X8&gt;0,TRUE,FALSE))</f>
        <v>#N/A</v>
      </c>
      <c r="T9" s="478"/>
      <c r="U9" s="476"/>
      <c r="V9" s="253" t="e">
        <f ca="1">IF(U8&gt;V8,TRUE,FALSE)</f>
        <v>#N/A</v>
      </c>
      <c r="W9" s="61" t="e">
        <f ca="1">AND(IF(Q8&gt;-W8,TRUE,FALSE),IF(X8&lt;0,TRUE,FALSE))</f>
        <v>#N/A</v>
      </c>
      <c r="X9" s="29" cm="1">
        <f t="array" aca="1" ref="X9" ca="1">INDIRECT(ADDRESS($C9,X$3,,,"mkt data"))</f>
        <v>0</v>
      </c>
      <c r="Y9" s="50">
        <f ca="1">X9*AVERAGE(H9:I9)</f>
        <v>0</v>
      </c>
      <c r="Z9" s="29" t="e">
        <f ca="1">X9/M9</f>
        <v>#N/A</v>
      </c>
      <c r="AA9" s="488"/>
      <c r="AB9" s="463"/>
      <c r="AC9" s="181" t="str">
        <f>G9</f>
        <v>KBWB</v>
      </c>
      <c r="AD9" s="37" cm="1">
        <f t="array" aca="1" ref="AD9" ca="1">INDIRECT(ADDRESS($C9,AD$3,,,"mkt data"))</f>
        <v>88.220000999999996</v>
      </c>
      <c r="AE9" s="167">
        <f ca="1">AVERAGE(H9,I9)</f>
        <v>87.655000000000001</v>
      </c>
      <c r="AF9" s="167">
        <f ca="1">AE9-AD9</f>
        <v>-0.5650009999999952</v>
      </c>
      <c r="AG9" s="390"/>
      <c r="AH9" s="529"/>
      <c r="AI9" s="461"/>
      <c r="AJ9" s="459"/>
    </row>
    <row r="12" spans="1:43" ht="15.75" thickBot="1" x14ac:dyDescent="0.3"/>
    <row r="13" spans="1:43" ht="15.75" thickBot="1" x14ac:dyDescent="0.3">
      <c r="AD13" s="395" t="s">
        <v>379</v>
      </c>
    </row>
    <row r="14" spans="1:43" x14ac:dyDescent="0.25">
      <c r="S14" t="s">
        <v>180</v>
      </c>
      <c r="V14" s="161" t="s">
        <v>165</v>
      </c>
      <c r="W14" s="136" t="s">
        <v>45</v>
      </c>
      <c r="X14" s="136" t="s">
        <v>46</v>
      </c>
      <c r="Y14" s="136" t="s">
        <v>166</v>
      </c>
      <c r="Z14" s="136" t="s">
        <v>167</v>
      </c>
      <c r="AA14" s="137" t="s">
        <v>168</v>
      </c>
      <c r="AD14" s="323" t="s">
        <v>380</v>
      </c>
    </row>
    <row r="15" spans="1:43" ht="15.75" thickBot="1" x14ac:dyDescent="0.3">
      <c r="AD15" s="324" t="s">
        <v>381</v>
      </c>
    </row>
  </sheetData>
  <mergeCells count="36">
    <mergeCell ref="AB8:AB9"/>
    <mergeCell ref="AH8:AH9"/>
    <mergeCell ref="AI8:AI9"/>
    <mergeCell ref="AJ8:AJ9"/>
    <mergeCell ref="AB6:AB7"/>
    <mergeCell ref="AH6:AH7"/>
    <mergeCell ref="AI6:AI7"/>
    <mergeCell ref="AJ6:AJ7"/>
    <mergeCell ref="AA8:AA9"/>
    <mergeCell ref="B6:B7"/>
    <mergeCell ref="P6:P7"/>
    <mergeCell ref="Q6:Q7"/>
    <mergeCell ref="T6:T7"/>
    <mergeCell ref="U6:U7"/>
    <mergeCell ref="AA6:AA7"/>
    <mergeCell ref="B8:B9"/>
    <mergeCell ref="P8:P9"/>
    <mergeCell ref="Q8:Q9"/>
    <mergeCell ref="T8:T9"/>
    <mergeCell ref="U8:U9"/>
    <mergeCell ref="AI1:AJ2"/>
    <mergeCell ref="AK1:AK2"/>
    <mergeCell ref="A4:C4"/>
    <mergeCell ref="H4:I4"/>
    <mergeCell ref="K4:L4"/>
    <mergeCell ref="N4:O4"/>
    <mergeCell ref="P4:S4"/>
    <mergeCell ref="T4:W4"/>
    <mergeCell ref="X4:AA4"/>
    <mergeCell ref="AI4:AJ4"/>
    <mergeCell ref="K1:L2"/>
    <mergeCell ref="X1:AA2"/>
    <mergeCell ref="AE1:AE2"/>
    <mergeCell ref="AF1:AF2"/>
    <mergeCell ref="AG1:AG2"/>
    <mergeCell ref="AH1:AH2"/>
  </mergeCells>
  <conditionalFormatting sqref="N6:N7">
    <cfRule type="top10" dxfId="408" priority="7" rank="1"/>
  </conditionalFormatting>
  <conditionalFormatting sqref="O6:O7">
    <cfRule type="top10" dxfId="407" priority="8" bottom="1" rank="1"/>
  </conditionalFormatting>
  <conditionalFormatting sqref="N8:N9">
    <cfRule type="top10" dxfId="406" priority="5" rank="1"/>
  </conditionalFormatting>
  <conditionalFormatting sqref="O8:O9">
    <cfRule type="top10" dxfId="405" priority="6" bottom="1" rank="1"/>
  </conditionalFormatting>
  <conditionalFormatting sqref="R6:R9 V6:V9">
    <cfRule type="cellIs" dxfId="404" priority="4" operator="equal">
      <formula>TRUE</formula>
    </cfRule>
  </conditionalFormatting>
  <conditionalFormatting sqref="S6:S9 W6:W9">
    <cfRule type="cellIs" dxfId="403" priority="3" operator="equal">
      <formula>TRUE</formula>
    </cfRule>
  </conditionalFormatting>
  <conditionalFormatting sqref="P6:Q9 T6:U9">
    <cfRule type="cellIs" dxfId="402" priority="2" operator="greaterThan">
      <formula>0</formula>
    </cfRule>
  </conditionalFormatting>
  <conditionalFormatting sqref="V13:W14 Z13:AA14">
    <cfRule type="cellIs" dxfId="401"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0D1F6-39F9-4FC4-97E9-017416F69E97}">
  <sheetPr>
    <tabColor theme="6" tint="0.79998168889431442"/>
  </sheetPr>
  <dimension ref="A1:AR42"/>
  <sheetViews>
    <sheetView topLeftCell="M1" zoomScale="85" zoomScaleNormal="85" workbookViewId="0">
      <selection activeCell="AL3" sqref="AL3"/>
    </sheetView>
  </sheetViews>
  <sheetFormatPr defaultColWidth="20.140625" defaultRowHeight="15" x14ac:dyDescent="0.25"/>
  <cols>
    <col min="1" max="1" width="18.5703125" style="10" bestFit="1" customWidth="1"/>
    <col min="2" max="2" width="8.140625" style="10" customWidth="1"/>
    <col min="3" max="3" width="6.7109375" style="10" bestFit="1" customWidth="1"/>
    <col min="4" max="4" width="9.42578125" style="10" bestFit="1" customWidth="1"/>
    <col min="5" max="5" width="7.7109375" style="10" bestFit="1" customWidth="1"/>
    <col min="6" max="6" width="12.5703125" style="10" bestFit="1" customWidth="1"/>
    <col min="7" max="7" width="10.85546875" style="10" bestFit="1" customWidth="1"/>
    <col min="8" max="8" width="7.85546875" style="299" bestFit="1" customWidth="1"/>
    <col min="9" max="10" width="9" style="2" bestFit="1" customWidth="1"/>
    <col min="11" max="11" width="8.85546875" style="2" bestFit="1" customWidth="1"/>
    <col min="12" max="13" width="10" style="13" bestFit="1" customWidth="1"/>
    <col min="14" max="14" width="8.5703125" style="47" bestFit="1" customWidth="1"/>
    <col min="15" max="16" width="10" style="7" bestFit="1" customWidth="1"/>
    <col min="17" max="17" width="9.7109375" bestFit="1" customWidth="1"/>
    <col min="18" max="18" width="7.85546875" bestFit="1" customWidth="1"/>
    <col min="19" max="19" width="9.7109375" bestFit="1" customWidth="1"/>
    <col min="20" max="20" width="9.5703125" bestFit="1" customWidth="1"/>
    <col min="21" max="21" width="9.7109375" style="11" bestFit="1" customWidth="1"/>
    <col min="22" max="22" width="7.85546875" bestFit="1" customWidth="1"/>
    <col min="23" max="23" width="9.5703125" style="30" bestFit="1" customWidth="1"/>
    <col min="24" max="24" width="9.7109375" style="26" bestFit="1" customWidth="1"/>
    <col min="25" max="25" width="7.7109375" style="26" bestFit="1" customWidth="1"/>
    <col min="26" max="26" width="10.7109375" style="1" bestFit="1" customWidth="1"/>
    <col min="27" max="27" width="7.7109375" bestFit="1" customWidth="1"/>
    <col min="28" max="28" width="9.5703125" bestFit="1" customWidth="1"/>
    <col min="29" max="29" width="6.85546875" style="373" bestFit="1" customWidth="1"/>
    <col min="30" max="30" width="7.85546875" style="1" bestFit="1" customWidth="1"/>
    <col min="31" max="31" width="9" bestFit="1" customWidth="1"/>
    <col min="32" max="32" width="10.5703125" bestFit="1" customWidth="1"/>
    <col min="33" max="33" width="7.7109375" bestFit="1" customWidth="1"/>
    <col min="34" max="35" width="11.28515625" bestFit="1" customWidth="1"/>
    <col min="36" max="37" width="7.85546875" style="10" bestFit="1" customWidth="1"/>
    <col min="38" max="38" width="5.28515625" style="10" customWidth="1"/>
    <col min="39" max="39" width="24.7109375" bestFit="1" customWidth="1"/>
    <col min="40" max="40" width="10.5703125" style="301" customWidth="1"/>
    <col min="41" max="43" width="10.5703125" style="2" customWidth="1"/>
    <col min="44" max="44" width="20.140625" style="2"/>
  </cols>
  <sheetData>
    <row r="1" spans="1:44" x14ac:dyDescent="0.25">
      <c r="H1" s="74"/>
      <c r="I1" s="10"/>
      <c r="J1" s="166"/>
      <c r="K1" s="190"/>
      <c r="L1" s="510">
        <v>5.4999999999999997E-3</v>
      </c>
      <c r="M1" s="510"/>
      <c r="N1" s="191"/>
      <c r="O1" s="19"/>
      <c r="P1" s="19"/>
      <c r="U1" s="229"/>
      <c r="V1" s="229"/>
      <c r="W1" s="192"/>
      <c r="X1" s="192"/>
      <c r="Y1" s="495" t="str">
        <f>'MKT DATA'!J2</f>
        <v>2026-10-23_16-00-28</v>
      </c>
      <c r="Z1" s="495"/>
      <c r="AA1" s="495"/>
      <c r="AB1" s="495"/>
      <c r="AC1" s="383"/>
      <c r="AD1" s="193"/>
      <c r="AF1" s="518">
        <f ca="1">'INITIAL INPUTS'!H11</f>
        <v>1152.46693100006</v>
      </c>
      <c r="AG1" s="479" t="s">
        <v>175</v>
      </c>
      <c r="AH1" s="481">
        <f ca="1">SUM(AH6:AH42)</f>
        <v>530.66563900006224</v>
      </c>
      <c r="AI1" s="483">
        <f ca="1">SUM(AI6:AI42)</f>
        <v>530.66563900006224</v>
      </c>
      <c r="AJ1" s="466">
        <f>SUM(AK6:AK42)</f>
        <v>0</v>
      </c>
      <c r="AK1" s="467"/>
      <c r="AL1" s="464">
        <f ca="1">'INITIAL INPUTS'!I11</f>
        <v>3847.1845091987584</v>
      </c>
    </row>
    <row r="2" spans="1:44" ht="15.75" thickBot="1" x14ac:dyDescent="0.3">
      <c r="H2" s="74"/>
      <c r="I2" s="10"/>
      <c r="K2" s="145"/>
      <c r="L2" s="511"/>
      <c r="M2" s="511"/>
      <c r="N2" s="7"/>
      <c r="U2" s="230"/>
      <c r="V2" s="230"/>
      <c r="X2" s="1"/>
      <c r="Y2" s="496"/>
      <c r="Z2" s="496"/>
      <c r="AA2" s="496"/>
      <c r="AB2" s="496"/>
      <c r="AC2" s="383"/>
      <c r="AE2" s="67"/>
      <c r="AF2" s="519"/>
      <c r="AG2" s="480"/>
      <c r="AH2" s="482"/>
      <c r="AI2" s="484"/>
      <c r="AJ2" s="468"/>
      <c r="AK2" s="469"/>
      <c r="AL2" s="465"/>
    </row>
    <row r="3" spans="1:44" s="74" customFormat="1" ht="15.75" thickBot="1" x14ac:dyDescent="0.3">
      <c r="A3" s="424" t="s">
        <v>415</v>
      </c>
      <c r="B3" s="455"/>
      <c r="C3" s="425"/>
      <c r="D3" s="426"/>
      <c r="E3" s="427"/>
      <c r="F3" s="425">
        <v>2</v>
      </c>
      <c r="G3" s="425">
        <v>3</v>
      </c>
      <c r="H3" s="425"/>
      <c r="I3" s="428">
        <v>5</v>
      </c>
      <c r="J3" s="429">
        <v>6</v>
      </c>
      <c r="K3" s="456" t="s">
        <v>553</v>
      </c>
      <c r="L3" s="430"/>
      <c r="M3" s="431"/>
      <c r="N3" s="432">
        <v>9</v>
      </c>
      <c r="O3" s="433"/>
      <c r="P3" s="429"/>
      <c r="Q3" s="428"/>
      <c r="R3" s="433"/>
      <c r="S3" s="433">
        <v>9</v>
      </c>
      <c r="T3" s="434">
        <v>10</v>
      </c>
      <c r="U3" s="428"/>
      <c r="V3" s="433"/>
      <c r="W3" s="433">
        <v>11</v>
      </c>
      <c r="X3" s="429">
        <v>12</v>
      </c>
      <c r="Y3" s="435">
        <v>9</v>
      </c>
      <c r="Z3" s="435"/>
      <c r="AA3" s="435"/>
      <c r="AB3" s="436"/>
      <c r="AC3" s="427"/>
      <c r="AD3" s="425"/>
      <c r="AE3" s="428">
        <v>8</v>
      </c>
      <c r="AF3" s="433"/>
      <c r="AG3" s="433"/>
      <c r="AH3" s="433"/>
      <c r="AI3" s="429"/>
      <c r="AJ3" s="428"/>
      <c r="AK3" s="429"/>
      <c r="AN3" s="421"/>
      <c r="AO3" s="422"/>
      <c r="AP3" s="422"/>
      <c r="AQ3" s="422"/>
      <c r="AR3" s="422"/>
    </row>
    <row r="4" spans="1:44" x14ac:dyDescent="0.25">
      <c r="A4" s="70"/>
      <c r="B4" s="498" t="s">
        <v>55</v>
      </c>
      <c r="C4" s="498"/>
      <c r="D4" s="499"/>
      <c r="E4" s="403"/>
      <c r="F4" s="402"/>
      <c r="G4" s="410"/>
      <c r="H4" s="410"/>
      <c r="I4" s="544" t="s">
        <v>57</v>
      </c>
      <c r="J4" s="545"/>
      <c r="K4" s="404"/>
      <c r="L4" s="546" t="s">
        <v>179</v>
      </c>
      <c r="M4" s="547"/>
      <c r="N4" s="405"/>
      <c r="O4" s="539" t="s">
        <v>60</v>
      </c>
      <c r="P4" s="541"/>
      <c r="Q4" s="538" t="s">
        <v>69</v>
      </c>
      <c r="R4" s="539"/>
      <c r="S4" s="539"/>
      <c r="T4" s="540"/>
      <c r="U4" s="538" t="s">
        <v>70</v>
      </c>
      <c r="V4" s="539"/>
      <c r="W4" s="539" t="s">
        <v>68</v>
      </c>
      <c r="X4" s="541" t="s">
        <v>67</v>
      </c>
      <c r="Y4" s="548" t="s">
        <v>61</v>
      </c>
      <c r="Z4" s="548"/>
      <c r="AA4" s="548"/>
      <c r="AB4" s="549"/>
      <c r="AC4" s="409" t="s">
        <v>331</v>
      </c>
      <c r="AD4" s="410"/>
      <c r="AE4" s="408"/>
      <c r="AF4" s="406" t="s">
        <v>174</v>
      </c>
      <c r="AG4" s="406" t="s">
        <v>177</v>
      </c>
      <c r="AH4" s="406"/>
      <c r="AI4" s="407" t="s">
        <v>231</v>
      </c>
      <c r="AJ4" s="536" t="s">
        <v>333</v>
      </c>
      <c r="AK4" s="537"/>
    </row>
    <row r="5" spans="1:44" ht="15.75" thickBot="1" x14ac:dyDescent="0.3">
      <c r="A5" s="71" t="s">
        <v>545</v>
      </c>
      <c r="B5" s="349" t="s">
        <v>169</v>
      </c>
      <c r="C5" s="349" t="s">
        <v>353</v>
      </c>
      <c r="D5" s="32" t="s">
        <v>56</v>
      </c>
      <c r="E5" s="355" t="s">
        <v>65</v>
      </c>
      <c r="F5" s="349" t="s">
        <v>432</v>
      </c>
      <c r="G5" s="69" t="s">
        <v>433</v>
      </c>
      <c r="H5" s="53" t="s">
        <v>50</v>
      </c>
      <c r="I5" s="54" t="s">
        <v>58</v>
      </c>
      <c r="J5" s="55" t="s">
        <v>59</v>
      </c>
      <c r="K5" s="91" t="s">
        <v>129</v>
      </c>
      <c r="L5" s="188" t="s">
        <v>58</v>
      </c>
      <c r="M5" s="189" t="s">
        <v>59</v>
      </c>
      <c r="N5" s="56" t="s">
        <v>51</v>
      </c>
      <c r="O5" s="57" t="s">
        <v>53</v>
      </c>
      <c r="P5" s="58" t="s">
        <v>54</v>
      </c>
      <c r="Q5" s="40" t="s">
        <v>66</v>
      </c>
      <c r="R5" s="12" t="s">
        <v>24</v>
      </c>
      <c r="S5" s="251" t="s">
        <v>71</v>
      </c>
      <c r="T5" s="222" t="s">
        <v>72</v>
      </c>
      <c r="U5" s="40" t="s">
        <v>66</v>
      </c>
      <c r="V5" s="12" t="s">
        <v>24</v>
      </c>
      <c r="W5" s="251" t="s">
        <v>72</v>
      </c>
      <c r="X5" s="59" t="s">
        <v>71</v>
      </c>
      <c r="Y5" s="131" t="s">
        <v>62</v>
      </c>
      <c r="Z5" s="132" t="s">
        <v>74</v>
      </c>
      <c r="AA5" s="133" t="s">
        <v>73</v>
      </c>
      <c r="AB5" s="134" t="s">
        <v>63</v>
      </c>
      <c r="AC5" s="378" t="s">
        <v>332</v>
      </c>
      <c r="AD5" s="53" t="str">
        <f t="shared" ref="AD5" si="0">H5</f>
        <v>symbol</v>
      </c>
      <c r="AE5" s="163" t="s">
        <v>170</v>
      </c>
      <c r="AF5" s="164" t="s">
        <v>176</v>
      </c>
      <c r="AG5" s="164" t="s">
        <v>172</v>
      </c>
      <c r="AH5" s="168" t="s">
        <v>173</v>
      </c>
      <c r="AI5" s="55" t="s">
        <v>173</v>
      </c>
      <c r="AJ5" s="365" t="s">
        <v>24</v>
      </c>
      <c r="AK5" s="366" t="s">
        <v>334</v>
      </c>
    </row>
    <row r="6" spans="1:44" x14ac:dyDescent="0.25">
      <c r="A6" s="530" t="str">
        <f>_xlfn.CONCAT(H6,"_",H7)</f>
        <v>IYC_XLY</v>
      </c>
      <c r="B6" s="524">
        <f>MATCH(A6,SCALARS!D:D,0)</f>
        <v>34</v>
      </c>
      <c r="C6" s="524">
        <f>MATCH(A6,THRESHOLDS!D:D,0)</f>
        <v>34</v>
      </c>
      <c r="D6" s="80">
        <f>MATCH(H6,'MKT DATA'!B:B,0)</f>
        <v>45</v>
      </c>
      <c r="E6" s="64"/>
      <c r="F6" s="524" t="str" cm="1">
        <f t="array" aca="1" ref="F6" ca="1">INDIRECT(ADDRESS($B6,F$3,,,"scalars"))</f>
        <v>discretionary</v>
      </c>
      <c r="G6" s="524" t="str" cm="1">
        <f t="array" aca="1" ref="G6" ca="1">INDIRECT(ADDRESS($B6,G$3,,,"scalars"))</f>
        <v>-</v>
      </c>
      <c r="H6" s="173" t="s">
        <v>147</v>
      </c>
      <c r="I6" s="33" cm="1">
        <f t="array" aca="1" ref="I6" ca="1">INDIRECT(ADDRESS($D6,I$3,,,"mkt data"))</f>
        <v>98.23</v>
      </c>
      <c r="J6" s="34" cm="1">
        <f t="array" aca="1" ref="J6" ca="1">INDIRECT(ADDRESS($D6,J$3,,,"mkt data"))</f>
        <v>99.9</v>
      </c>
      <c r="K6" s="150" cm="1">
        <f t="array" aca="1" ref="K6" ca="1">INDIRECT(ADDRESS($B6,INT(LEFT(K$3,2)),,,"SCALARS"))</f>
        <v>0</v>
      </c>
      <c r="L6" s="16">
        <f t="shared" ref="L6:L23" ca="1" si="1">I6+K6-L$1</f>
        <v>98.224500000000006</v>
      </c>
      <c r="M6" s="16">
        <f t="shared" ref="M6:M23" ca="1" si="2">J6+K6+L$1</f>
        <v>99.905500000000004</v>
      </c>
      <c r="N6" s="44" cm="1">
        <f t="array" aca="1" ref="N6" ca="1">INDIRECT(ADDRESS($B6,N$3,,,"scalars"))</f>
        <v>1.1490450308305171</v>
      </c>
      <c r="O6" s="17">
        <f t="shared" ref="O6:O23" ca="1" si="3">L6*N6</f>
        <v>112.86437363081214</v>
      </c>
      <c r="P6" s="17">
        <f t="shared" ref="P6:P23" ca="1" si="4">N6*M6</f>
        <v>114.79591832763823</v>
      </c>
      <c r="Q6" s="477">
        <f ca="1">O7-P6</f>
        <v>-2.0414183276382261</v>
      </c>
      <c r="R6" s="475">
        <f ca="1">LN(O7/P6)</f>
        <v>-1.7943039721530624E-2</v>
      </c>
      <c r="S6" s="252" cm="1">
        <f t="array" aca="1" ref="S6" ca="1">-INDIRECT(ADDRESS($C6,S$3,,,"thresholds"))</f>
        <v>6.0000000000000001E-3</v>
      </c>
      <c r="T6" s="60" cm="1">
        <f t="array" aca="1" ref="T6" ca="1">-INDIRECT(ADDRESS($C6,T$3,,,"thresholds"))</f>
        <v>0</v>
      </c>
      <c r="U6" s="477">
        <f ca="1">O6-P7</f>
        <v>-0.26112636918786336</v>
      </c>
      <c r="V6" s="475">
        <f ca="1">LN(O6/P7)</f>
        <v>-2.3109574000388699E-3</v>
      </c>
      <c r="W6" s="252" cm="1">
        <f t="array" aca="1" ref="W6" ca="1">INDIRECT(ADDRESS($C6,W$3,,,"thresholds"))</f>
        <v>1.2E-2</v>
      </c>
      <c r="X6" s="60" cm="1">
        <f t="array" aca="1" ref="X6" ca="1">INDIRECT(ADDRESS($C6,X$3,,,"thresholds"))</f>
        <v>8.0000000000000002E-3</v>
      </c>
      <c r="Y6" s="27" cm="1">
        <f t="array" aca="1" ref="Y6" ca="1">INDIRECT(ADDRESS($D6,Y$3,,,"mkt data"))</f>
        <v>0</v>
      </c>
      <c r="Z6" s="48">
        <f t="shared" ref="Z6:Z23" ca="1" si="5">Y6*AVERAGE(I6:J6)</f>
        <v>0</v>
      </c>
      <c r="AA6" s="27">
        <f t="shared" ref="AA6:AA23" ca="1" si="6">Y6/N6</f>
        <v>0</v>
      </c>
      <c r="AB6" s="534">
        <f ca="1">SUM(AA6:AA7)</f>
        <v>0</v>
      </c>
      <c r="AC6" s="462"/>
      <c r="AD6" s="173" t="str">
        <f>H6</f>
        <v>IYC</v>
      </c>
      <c r="AE6" s="33" cm="1">
        <f t="array" aca="1" ref="AE6" ca="1">INDIRECT(ADDRESS($D6,AE$3,,,"mkt data"))</f>
        <v>100.779999</v>
      </c>
      <c r="AF6" s="165">
        <f t="shared" ref="AF6:AF23" ca="1" si="7">AVERAGE(I6,J6)</f>
        <v>99.064999999999998</v>
      </c>
      <c r="AG6" s="165">
        <f t="shared" ref="AG6:AG23" ca="1" si="8">AF6-AE6</f>
        <v>-1.7149990000000059</v>
      </c>
      <c r="AH6" s="165">
        <f ca="1">AG6*Y6</f>
        <v>0</v>
      </c>
      <c r="AI6" s="522">
        <f ca="1">AH6+AH7</f>
        <v>0</v>
      </c>
      <c r="AJ6" s="532"/>
      <c r="AK6" s="458"/>
    </row>
    <row r="7" spans="1:44" ht="15.75" thickBot="1" x14ac:dyDescent="0.3">
      <c r="A7" s="531"/>
      <c r="B7" s="525" t="e">
        <f>MATCH(H7,SCALARS!D:D,0)</f>
        <v>#N/A</v>
      </c>
      <c r="C7" s="525"/>
      <c r="D7" s="82">
        <f>MATCH(H7,'MKT DATA'!B:B,0)</f>
        <v>47</v>
      </c>
      <c r="E7" s="65"/>
      <c r="F7" s="525"/>
      <c r="G7" s="525"/>
      <c r="H7" s="181" t="s">
        <v>148</v>
      </c>
      <c r="I7" s="37" cm="1">
        <f t="array" aca="1" ref="I7" ca="1">INDIRECT(ADDRESS($D7,I$3,,,"mkt data"))</f>
        <v>112.76</v>
      </c>
      <c r="J7" s="38" cm="1">
        <f t="array" aca="1" ref="J7" ca="1">INDIRECT(ADDRESS($D7,J$3,,,"mkt data"))</f>
        <v>113.12</v>
      </c>
      <c r="K7" s="151" cm="1">
        <f t="array" aca="1" ref="K7" ca="1">INDIRECT(ADDRESS($B6,INT(RIGHT(K$3,2)),,,"SCALARS"))</f>
        <v>0</v>
      </c>
      <c r="L7" s="22">
        <f t="shared" ca="1" si="1"/>
        <v>112.75450000000001</v>
      </c>
      <c r="M7" s="22">
        <f t="shared" ca="1" si="2"/>
        <v>113.1255</v>
      </c>
      <c r="N7" s="87">
        <v>1</v>
      </c>
      <c r="O7" s="23">
        <f t="shared" ca="1" si="3"/>
        <v>112.75450000000001</v>
      </c>
      <c r="P7" s="23">
        <f t="shared" ca="1" si="4"/>
        <v>113.1255</v>
      </c>
      <c r="Q7" s="598"/>
      <c r="R7" s="476"/>
      <c r="S7" s="253" t="b">
        <f ca="1">IF(R6&gt;S6,TRUE,FALSE)</f>
        <v>0</v>
      </c>
      <c r="T7" s="224" t="b">
        <f ca="1">AND(IF(V6&gt;-T6,TRUE,FALSE),IF(Y6&gt;0,TRUE,FALSE))</f>
        <v>0</v>
      </c>
      <c r="U7" s="478"/>
      <c r="V7" s="476"/>
      <c r="W7" s="253" t="b">
        <f ca="1">IF(V6&gt;W6,TRUE,FALSE)</f>
        <v>0</v>
      </c>
      <c r="X7" s="61" t="b">
        <f ca="1">AND(IF(R6&gt;-X6,TRUE,FALSE),IF(Y6&lt;0,TRUE,FALSE))</f>
        <v>0</v>
      </c>
      <c r="Y7" s="29" cm="1">
        <f t="array" aca="1" ref="Y7" ca="1">INDIRECT(ADDRESS($D7,Y$3,,,"mkt data"))</f>
        <v>0</v>
      </c>
      <c r="Z7" s="50">
        <f t="shared" ca="1" si="5"/>
        <v>0</v>
      </c>
      <c r="AA7" s="29">
        <f t="shared" ca="1" si="6"/>
        <v>0</v>
      </c>
      <c r="AB7" s="535"/>
      <c r="AC7" s="463"/>
      <c r="AD7" s="181" t="str">
        <f>H7</f>
        <v>XLY</v>
      </c>
      <c r="AE7" s="37" cm="1">
        <f t="array" aca="1" ref="AE7" ca="1">INDIRECT(ADDRESS($D7,AE$3,,,"mkt data"))</f>
        <v>115.010002</v>
      </c>
      <c r="AF7" s="167">
        <f t="shared" ca="1" si="7"/>
        <v>112.94</v>
      </c>
      <c r="AG7" s="167">
        <f t="shared" ca="1" si="8"/>
        <v>-2.0700020000000023</v>
      </c>
      <c r="AH7" s="167">
        <f t="shared" ref="AH7:AH23" ca="1" si="9">AG7*Y7</f>
        <v>0</v>
      </c>
      <c r="AI7" s="523"/>
      <c r="AJ7" s="533"/>
      <c r="AK7" s="459"/>
    </row>
    <row r="8" spans="1:44" x14ac:dyDescent="0.25">
      <c r="A8" s="530" t="str">
        <f t="shared" ref="A8" si="10">_xlfn.CONCAT(H8,"_",H9)</f>
        <v>XLE_IYE</v>
      </c>
      <c r="B8" s="524">
        <f>MATCH(A8,SCALARS!D:D,0)</f>
        <v>95</v>
      </c>
      <c r="C8" s="524">
        <f>MATCH(A8,THRESHOLDS!D:D,0)</f>
        <v>95</v>
      </c>
      <c r="D8" s="80">
        <f>MATCH(H8,'MKT DATA'!B:B,0)</f>
        <v>53</v>
      </c>
      <c r="E8" s="64"/>
      <c r="F8" s="524" t="str" cm="1">
        <f t="array" aca="1" ref="F8" ca="1">INDIRECT(ADDRESS($B8,F$3,,,"scalars"))</f>
        <v>energy</v>
      </c>
      <c r="G8" s="524" t="str" cm="1">
        <f t="array" aca="1" ref="G8" ca="1">INDIRECT(ADDRESS($B8,G$3,,,"scalars"))</f>
        <v>-</v>
      </c>
      <c r="H8" s="173" t="s">
        <v>83</v>
      </c>
      <c r="I8" s="33" cm="1">
        <f t="array" aca="1" ref="I8" ca="1">INDIRECT(ADDRESS($D8,I$3,,,"mkt data"))</f>
        <v>69.33</v>
      </c>
      <c r="J8" s="34" cm="1">
        <f t="array" aca="1" ref="J8" ca="1">INDIRECT(ADDRESS($D8,J$3,,,"mkt data"))</f>
        <v>69.39</v>
      </c>
      <c r="K8" s="150" cm="1">
        <f t="array" aca="1" ref="K8" ca="1">INDIRECT(ADDRESS($B8,INT(LEFT(K$3,2)),,,"SCALARS"))</f>
        <v>0</v>
      </c>
      <c r="L8" s="16">
        <f t="shared" ca="1" si="1"/>
        <v>69.3245</v>
      </c>
      <c r="M8" s="16">
        <f t="shared" ca="1" si="2"/>
        <v>69.395499999999998</v>
      </c>
      <c r="N8" s="44" cm="1">
        <f t="array" aca="1" ref="N8" ca="1">INDIRECT(ADDRESS($B8,N$3,,,"scalars"))</f>
        <v>1.0527408583544688</v>
      </c>
      <c r="O8" s="17">
        <f t="shared" ca="1" si="3"/>
        <v>72.98073363499438</v>
      </c>
      <c r="P8" s="17">
        <f t="shared" ca="1" si="4"/>
        <v>73.055478235937542</v>
      </c>
      <c r="Q8" s="477">
        <f ca="1">O9-P8</f>
        <v>-0.99097823593754697</v>
      </c>
      <c r="R8" s="475">
        <f ca="1">LN(O9/P8)</f>
        <v>-1.3657577017557545E-2</v>
      </c>
      <c r="S8" s="252" cm="1">
        <f t="array" aca="1" ref="S8" ca="1">-INDIRECT(ADDRESS($C8,S$3,,,"thresholds"))</f>
        <v>2.5000000000000001E-3</v>
      </c>
      <c r="T8" s="60" cm="1">
        <f t="array" aca="1" ref="T8" ca="1">-INDIRECT(ADDRESS($C8,T$3,,,"thresholds"))</f>
        <v>5.0000000000000001E-4</v>
      </c>
      <c r="U8" s="477">
        <f ca="1">O8-P9</f>
        <v>-1.214766365005616</v>
      </c>
      <c r="V8" s="475">
        <f ca="1">LN(O8/P9)</f>
        <v>-1.6508017927626052E-2</v>
      </c>
      <c r="W8" s="252" cm="1">
        <f t="array" aca="1" ref="W8" ca="1">INDIRECT(ADDRESS($C8,W$3,,,"thresholds"))</f>
        <v>3.0000000000000001E-3</v>
      </c>
      <c r="X8" s="60" cm="1">
        <f t="array" aca="1" ref="X8" ca="1">INDIRECT(ADDRESS($C8,X$3,,,"thresholds"))</f>
        <v>2E-3</v>
      </c>
      <c r="Y8" s="27" cm="1">
        <f t="array" aca="1" ref="Y8" ca="1">INDIRECT(ADDRESS($D8,Y$3,,,"mkt data"))</f>
        <v>0</v>
      </c>
      <c r="Z8" s="48">
        <f t="shared" ca="1" si="5"/>
        <v>0</v>
      </c>
      <c r="AA8" s="27">
        <f t="shared" ca="1" si="6"/>
        <v>0</v>
      </c>
      <c r="AB8" s="485">
        <f ca="1">SUM(AA8:AA9)</f>
        <v>0</v>
      </c>
      <c r="AC8" s="462"/>
      <c r="AD8" s="173" t="str">
        <f t="shared" ref="AD8:AD11" si="11">H8</f>
        <v>XLE</v>
      </c>
      <c r="AE8" s="33" cm="1">
        <f t="array" aca="1" ref="AE8" ca="1">INDIRECT(ADDRESS($D8,AE$3,,,"mkt data"))</f>
        <v>67.569999999999993</v>
      </c>
      <c r="AF8" s="165">
        <f t="shared" ca="1" si="7"/>
        <v>69.36</v>
      </c>
      <c r="AG8" s="165">
        <f t="shared" ca="1" si="8"/>
        <v>1.7900000000000063</v>
      </c>
      <c r="AH8" s="165">
        <f t="shared" ca="1" si="9"/>
        <v>0</v>
      </c>
      <c r="AI8" s="522">
        <f ca="1">AH8+AH9</f>
        <v>0</v>
      </c>
      <c r="AJ8" s="532"/>
      <c r="AK8" s="458"/>
    </row>
    <row r="9" spans="1:44" ht="15.75" thickBot="1" x14ac:dyDescent="0.3">
      <c r="A9" s="531"/>
      <c r="B9" s="525" t="e">
        <f>MATCH(H9,SCALARS!D:D,0)</f>
        <v>#N/A</v>
      </c>
      <c r="C9" s="525"/>
      <c r="D9" s="82">
        <f>MATCH(H9,'MKT DATA'!B:B,0)</f>
        <v>51</v>
      </c>
      <c r="E9" s="65"/>
      <c r="F9" s="525"/>
      <c r="G9" s="525"/>
      <c r="H9" s="181" t="s">
        <v>81</v>
      </c>
      <c r="I9" s="37" cm="1">
        <f t="array" aca="1" ref="I9" ca="1">INDIRECT(ADDRESS($D9,I$3,,,"mkt data"))</f>
        <v>72.069999999999993</v>
      </c>
      <c r="J9" s="38" cm="1">
        <f t="array" aca="1" ref="J9" ca="1">INDIRECT(ADDRESS($D9,J$3,,,"mkt data"))</f>
        <v>74.19</v>
      </c>
      <c r="K9" s="151" cm="1">
        <f t="array" aca="1" ref="K9" ca="1">INDIRECT(ADDRESS($B8,INT(RIGHT(K$3,2)),,,"SCALARS"))</f>
        <v>0</v>
      </c>
      <c r="L9" s="22">
        <f t="shared" ca="1" si="1"/>
        <v>72.064499999999995</v>
      </c>
      <c r="M9" s="22">
        <f t="shared" ca="1" si="2"/>
        <v>74.195499999999996</v>
      </c>
      <c r="N9" s="87">
        <v>1</v>
      </c>
      <c r="O9" s="23">
        <f t="shared" ca="1" si="3"/>
        <v>72.064499999999995</v>
      </c>
      <c r="P9" s="23">
        <f t="shared" ca="1" si="4"/>
        <v>74.195499999999996</v>
      </c>
      <c r="Q9" s="598"/>
      <c r="R9" s="476"/>
      <c r="S9" s="253" t="b">
        <f ca="1">IF(R8&gt;S8,TRUE,FALSE)</f>
        <v>0</v>
      </c>
      <c r="T9" s="224" t="b">
        <f ca="1">AND(IF(V8&gt;-T8,TRUE,FALSE),IF(Y8&gt;0,TRUE,FALSE))</f>
        <v>0</v>
      </c>
      <c r="U9" s="478"/>
      <c r="V9" s="476"/>
      <c r="W9" s="253" t="b">
        <f ca="1">IF(V8&gt;W8,TRUE,FALSE)</f>
        <v>0</v>
      </c>
      <c r="X9" s="61" t="b">
        <f ca="1">AND(IF(R8&gt;-X8,TRUE,FALSE),IF(Y8&lt;0,TRUE,FALSE))</f>
        <v>0</v>
      </c>
      <c r="Y9" s="29" cm="1">
        <f t="array" aca="1" ref="Y9" ca="1">INDIRECT(ADDRESS($D9,Y$3,,,"mkt data"))</f>
        <v>0</v>
      </c>
      <c r="Z9" s="50">
        <f t="shared" ca="1" si="5"/>
        <v>0</v>
      </c>
      <c r="AA9" s="29">
        <f t="shared" ca="1" si="6"/>
        <v>0</v>
      </c>
      <c r="AB9" s="486"/>
      <c r="AC9" s="463"/>
      <c r="AD9" s="181" t="str">
        <f t="shared" si="11"/>
        <v>IYE</v>
      </c>
      <c r="AE9" s="37" cm="1">
        <f t="array" aca="1" ref="AE9" ca="1">INDIRECT(ADDRESS($D9,AE$3,,,"mkt data"))</f>
        <v>71.050003000000004</v>
      </c>
      <c r="AF9" s="167">
        <f t="shared" ca="1" si="7"/>
        <v>73.13</v>
      </c>
      <c r="AG9" s="167">
        <f t="shared" ca="1" si="8"/>
        <v>2.0799969999999917</v>
      </c>
      <c r="AH9" s="167">
        <f t="shared" ca="1" si="9"/>
        <v>0</v>
      </c>
      <c r="AI9" s="523"/>
      <c r="AJ9" s="533"/>
      <c r="AK9" s="459"/>
    </row>
    <row r="10" spans="1:44" x14ac:dyDescent="0.25">
      <c r="A10" s="530" t="str">
        <f t="shared" ref="A10" si="12">_xlfn.CONCAT(H10,"_",H11)</f>
        <v>XLF_IYF</v>
      </c>
      <c r="B10" s="524">
        <f>MATCH(A10,SCALARS!D:D,0)</f>
        <v>96</v>
      </c>
      <c r="C10" s="524">
        <f>MATCH(A10,THRESHOLDS!D:D,0)</f>
        <v>96</v>
      </c>
      <c r="D10" s="80">
        <f>MATCH(H10,'MKT DATA'!B:B,0)</f>
        <v>59</v>
      </c>
      <c r="E10" s="64"/>
      <c r="F10" s="524" t="str" cm="1">
        <f t="array" aca="1" ref="F10" ca="1">INDIRECT(ADDRESS($B10,F$3,,,"scalars"))</f>
        <v>financials</v>
      </c>
      <c r="G10" s="524" t="str" cm="1">
        <f t="array" aca="1" ref="G10" ca="1">INDIRECT(ADDRESS($B10,G$3,,,"scalars"))</f>
        <v>-</v>
      </c>
      <c r="H10" s="173" t="s">
        <v>86</v>
      </c>
      <c r="I10" s="33" cm="1">
        <f t="array" aca="1" ref="I10" ca="1">INDIRECT(ADDRESS($D10,I$3,,,"mkt data"))</f>
        <v>55.88</v>
      </c>
      <c r="J10" s="34" cm="1">
        <f t="array" aca="1" ref="J10" ca="1">INDIRECT(ADDRESS($D10,J$3,,,"mkt data"))</f>
        <v>55.94</v>
      </c>
      <c r="K10" s="150" cm="1">
        <f t="array" aca="1" ref="K10" ca="1">INDIRECT(ADDRESS($B10,INT(LEFT(K$3,2)),,,"SCALARS"))</f>
        <v>0</v>
      </c>
      <c r="L10" s="16">
        <f t="shared" ca="1" si="1"/>
        <v>55.874500000000005</v>
      </c>
      <c r="M10" s="16">
        <f t="shared" ca="1" si="2"/>
        <v>55.945499999999996</v>
      </c>
      <c r="N10" s="44" cm="1">
        <f t="array" aca="1" ref="N10" ca="1">INDIRECT(ADDRESS($B10,N$3,,,"scalars"))</f>
        <v>2.340591625355255</v>
      </c>
      <c r="O10" s="17">
        <f t="shared" ca="1" si="3"/>
        <v>130.7793867709122</v>
      </c>
      <c r="P10" s="17">
        <f t="shared" ca="1" si="4"/>
        <v>130.9455687763124</v>
      </c>
      <c r="Q10" s="477">
        <f ca="1">O11-P10</f>
        <v>-1.7910687763124145</v>
      </c>
      <c r="R10" s="475">
        <f ca="1">LN(O11/P10)</f>
        <v>-1.3772369190065366E-2</v>
      </c>
      <c r="S10" s="252" cm="1">
        <f t="array" aca="1" ref="S10" ca="1">-INDIRECT(ADDRESS($C10,S$3,,,"thresholds"))</f>
        <v>4.0000000000000001E-3</v>
      </c>
      <c r="T10" s="60" cm="1">
        <f t="array" aca="1" ref="T10" ca="1">-INDIRECT(ADDRESS($C10,T$3,,,"thresholds"))</f>
        <v>1E-3</v>
      </c>
      <c r="U10" s="477">
        <f ca="1">O10-P11</f>
        <v>-0.93611322908782313</v>
      </c>
      <c r="V10" s="475">
        <f ca="1">LN(O10/P11)</f>
        <v>-7.1324604383385306E-3</v>
      </c>
      <c r="W10" s="252" cm="1">
        <f t="array" aca="1" ref="W10" ca="1">INDIRECT(ADDRESS($C10,W$3,,,"thresholds"))</f>
        <v>5.0000000000000001E-3</v>
      </c>
      <c r="X10" s="60" cm="1">
        <f t="array" aca="1" ref="X10" ca="1">INDIRECT(ADDRESS($C10,X$3,,,"thresholds"))</f>
        <v>1E-3</v>
      </c>
      <c r="Y10" s="27" cm="1">
        <f t="array" aca="1" ref="Y10" ca="1">INDIRECT(ADDRESS($D10,Y$3,,,"mkt data"))</f>
        <v>-8041</v>
      </c>
      <c r="Z10" s="48">
        <f t="shared" ca="1" si="5"/>
        <v>-449572.31</v>
      </c>
      <c r="AA10" s="27">
        <f t="shared" ca="1" si="6"/>
        <v>-3435.4561953025604</v>
      </c>
      <c r="AB10" s="550">
        <f ca="1">SUM(AA10:AA11)</f>
        <v>-35.456195302560445</v>
      </c>
      <c r="AC10" s="474">
        <v>46293</v>
      </c>
      <c r="AD10" s="173" t="str">
        <f t="shared" si="11"/>
        <v>XLF</v>
      </c>
      <c r="AE10" s="33" cm="1">
        <f t="array" aca="1" ref="AE10" ca="1">INDIRECT(ADDRESS($D10,AE$3,,,"mkt data"))</f>
        <v>56.650002000000001</v>
      </c>
      <c r="AF10" s="165">
        <f t="shared" ca="1" si="7"/>
        <v>55.91</v>
      </c>
      <c r="AG10" s="165">
        <f t="shared" ca="1" si="8"/>
        <v>-0.74000200000000405</v>
      </c>
      <c r="AH10" s="165">
        <f t="shared" ca="1" si="9"/>
        <v>5950.356082000033</v>
      </c>
      <c r="AI10" s="522">
        <f ca="1">AH10+AH11</f>
        <v>1615.332282000074</v>
      </c>
      <c r="AJ10" s="532"/>
      <c r="AK10" s="458"/>
    </row>
    <row r="11" spans="1:44" ht="15.75" thickBot="1" x14ac:dyDescent="0.3">
      <c r="A11" s="531"/>
      <c r="B11" s="525" t="e">
        <f>MATCH(H11,SCALARS!D:D,0)</f>
        <v>#N/A</v>
      </c>
      <c r="C11" s="525"/>
      <c r="D11" s="82">
        <f>MATCH(H11,'MKT DATA'!B:B,0)</f>
        <v>57</v>
      </c>
      <c r="E11" s="65"/>
      <c r="F11" s="525"/>
      <c r="G11" s="525"/>
      <c r="H11" s="181" t="s">
        <v>84</v>
      </c>
      <c r="I11" s="37" cm="1">
        <f t="array" aca="1" ref="I11" ca="1">INDIRECT(ADDRESS($D11,I$3,,,"mkt data"))</f>
        <v>129.16</v>
      </c>
      <c r="J11" s="38" cm="1">
        <f t="array" aca="1" ref="J11" ca="1">INDIRECT(ADDRESS($D11,J$3,,,"mkt data"))</f>
        <v>131.71</v>
      </c>
      <c r="K11" s="151" cm="1">
        <f t="array" aca="1" ref="K11" ca="1">INDIRECT(ADDRESS($B10,INT(RIGHT(K$3,2)),,,"SCALARS"))</f>
        <v>0</v>
      </c>
      <c r="L11" s="22">
        <f t="shared" ca="1" si="1"/>
        <v>129.15449999999998</v>
      </c>
      <c r="M11" s="22">
        <f t="shared" ca="1" si="2"/>
        <v>131.71550000000002</v>
      </c>
      <c r="N11" s="87">
        <v>1</v>
      </c>
      <c r="O11" s="23">
        <f t="shared" ca="1" si="3"/>
        <v>129.15449999999998</v>
      </c>
      <c r="P11" s="23">
        <f t="shared" ca="1" si="4"/>
        <v>131.71550000000002</v>
      </c>
      <c r="Q11" s="598"/>
      <c r="R11" s="476"/>
      <c r="S11" s="253" t="b">
        <f ca="1">IF(R10&gt;S10,TRUE,FALSE)</f>
        <v>0</v>
      </c>
      <c r="T11" s="224" t="b">
        <f ca="1">AND(IF(V10&gt;-T10,TRUE,FALSE),IF(Y10&gt;0,TRUE,FALSE))</f>
        <v>0</v>
      </c>
      <c r="U11" s="478"/>
      <c r="V11" s="476"/>
      <c r="W11" s="253" t="b">
        <f ca="1">IF(V10&gt;W10,TRUE,FALSE)</f>
        <v>0</v>
      </c>
      <c r="X11" s="61" t="b">
        <f ca="1">AND(IF(R10&gt;-X10,TRUE,FALSE),IF(Y10&lt;0,TRUE,FALSE))</f>
        <v>0</v>
      </c>
      <c r="Y11" s="29" cm="1">
        <f t="array" aca="1" ref="Y11" ca="1">INDIRECT(ADDRESS($D11,Y$3,,,"mkt data"))</f>
        <v>3400</v>
      </c>
      <c r="Z11" s="50">
        <f t="shared" ca="1" si="5"/>
        <v>443479</v>
      </c>
      <c r="AA11" s="29">
        <f t="shared" ca="1" si="6"/>
        <v>3400</v>
      </c>
      <c r="AB11" s="551"/>
      <c r="AC11" s="463"/>
      <c r="AD11" s="181" t="str">
        <f t="shared" si="11"/>
        <v>IYF</v>
      </c>
      <c r="AE11" s="37" cm="1">
        <f t="array" aca="1" ref="AE11" ca="1">INDIRECT(ADDRESS($D11,AE$3,,,"mkt data"))</f>
        <v>131.71000699999999</v>
      </c>
      <c r="AF11" s="167">
        <f t="shared" ca="1" si="7"/>
        <v>130.435</v>
      </c>
      <c r="AG11" s="167">
        <f t="shared" ca="1" si="8"/>
        <v>-1.275006999999988</v>
      </c>
      <c r="AH11" s="167">
        <f t="shared" ca="1" si="9"/>
        <v>-4335.023799999959</v>
      </c>
      <c r="AI11" s="523"/>
      <c r="AJ11" s="533"/>
      <c r="AK11" s="459"/>
    </row>
    <row r="12" spans="1:44" x14ac:dyDescent="0.25">
      <c r="A12" s="530" t="str">
        <f t="shared" ref="A12" si="13">_xlfn.CONCAT(H12,"_",H13)</f>
        <v>IYH_XLV</v>
      </c>
      <c r="B12" s="524">
        <f>MATCH(A12,SCALARS!D:D,0)</f>
        <v>35</v>
      </c>
      <c r="C12" s="524">
        <f>MATCH(A12,THRESHOLDS!D:D,0)</f>
        <v>35</v>
      </c>
      <c r="D12" s="80">
        <f>MATCH(H12,'MKT DATA'!B:B,0)</f>
        <v>65</v>
      </c>
      <c r="E12" s="64"/>
      <c r="F12" s="524" t="str" cm="1">
        <f t="array" aca="1" ref="F12" ca="1">INDIRECT(ADDRESS($B12,F$3,,,"scalars"))</f>
        <v>healthcare</v>
      </c>
      <c r="G12" s="524" t="str" cm="1">
        <f t="array" aca="1" ref="G12" ca="1">INDIRECT(ADDRESS($B12,G$3,,,"scalars"))</f>
        <v>-</v>
      </c>
      <c r="H12" s="173" t="s">
        <v>88</v>
      </c>
      <c r="I12" s="33" cm="1">
        <f t="array" aca="1" ref="I12" ca="1">INDIRECT(ADDRESS($D12,I$3,,,"mkt data"))</f>
        <v>74.72</v>
      </c>
      <c r="J12" s="34" cm="1">
        <f t="array" aca="1" ref="J12" ca="1">INDIRECT(ADDRESS($D12,J$3,,,"mkt data"))</f>
        <v>75.38</v>
      </c>
      <c r="K12" s="150" cm="1">
        <f t="array" aca="1" ref="K12" ca="1">INDIRECT(ADDRESS($B12,INT(LEFT(K$3,2)),,,"SCALARS"))</f>
        <v>0</v>
      </c>
      <c r="L12" s="16">
        <f t="shared" ca="1" si="1"/>
        <v>74.714500000000001</v>
      </c>
      <c r="M12" s="16">
        <f t="shared" ca="1" si="2"/>
        <v>75.385499999999993</v>
      </c>
      <c r="N12" s="44" cm="1">
        <f t="array" aca="1" ref="N12" ca="1">INDIRECT(ADDRESS($B12,N$3,,,"scalars"))</f>
        <v>2.3688775352894398</v>
      </c>
      <c r="O12" s="17">
        <f t="shared" ca="1" si="3"/>
        <v>176.98950061038286</v>
      </c>
      <c r="P12" s="17">
        <f t="shared" ca="1" si="4"/>
        <v>178.57901743656205</v>
      </c>
      <c r="Q12" s="477">
        <f ca="1">O13-P12</f>
        <v>9.5482563437940371E-2</v>
      </c>
      <c r="R12" s="475">
        <f ca="1">LN(O13/P12)</f>
        <v>5.3453674240394112E-4</v>
      </c>
      <c r="S12" s="252" cm="1">
        <f t="array" aca="1" ref="S12" ca="1">-INDIRECT(ADDRESS($C12,S$3,,,"thresholds"))</f>
        <v>3.0000000000000001E-3</v>
      </c>
      <c r="T12" s="60" cm="1">
        <f t="array" aca="1" ref="T12" ca="1">-INDIRECT(ADDRESS($C12,T$3,,,"thresholds"))</f>
        <v>2E-3</v>
      </c>
      <c r="U12" s="477">
        <f ca="1">O12-P13</f>
        <v>-2.8959993896171454</v>
      </c>
      <c r="V12" s="475">
        <f ca="1">LN(O12/P13)</f>
        <v>-1.6230125145582728E-2</v>
      </c>
      <c r="W12" s="252" cm="1">
        <f t="array" aca="1" ref="W12" ca="1">INDIRECT(ADDRESS($C12,W$3,,,"thresholds"))</f>
        <v>4.0000000000000001E-3</v>
      </c>
      <c r="X12" s="60" cm="1">
        <f t="array" aca="1" ref="X12" ca="1">INDIRECT(ADDRESS($C12,X$3,,,"thresholds"))</f>
        <v>1E-3</v>
      </c>
      <c r="Y12" s="27" cm="1">
        <f t="array" aca="1" ref="Y12" ca="1">INDIRECT(ADDRESS($D12,Y$3,,,"mkt data"))</f>
        <v>3304</v>
      </c>
      <c r="Z12" s="48">
        <f t="shared" ca="1" si="5"/>
        <v>247965.19999999998</v>
      </c>
      <c r="AA12" s="27">
        <f t="shared" ca="1" si="6"/>
        <v>1394.7534014654341</v>
      </c>
      <c r="AB12" s="550">
        <f ca="1">SUM(AA12:AA13)</f>
        <v>-5.2465985345659192</v>
      </c>
      <c r="AC12" s="474">
        <v>46303</v>
      </c>
      <c r="AD12" s="173" t="str">
        <f>H12</f>
        <v>IYH</v>
      </c>
      <c r="AE12" s="33" cm="1">
        <f t="array" aca="1" ref="AE12" ca="1">INDIRECT(ADDRESS($D12,AE$3,,,"mkt data"))</f>
        <v>76.220000999999996</v>
      </c>
      <c r="AF12" s="165">
        <f t="shared" ca="1" si="7"/>
        <v>75.05</v>
      </c>
      <c r="AG12" s="165">
        <f t="shared" ca="1" si="8"/>
        <v>-1.1700009999999992</v>
      </c>
      <c r="AH12" s="165">
        <f t="shared" ca="1" si="9"/>
        <v>-3865.6833039999974</v>
      </c>
      <c r="AI12" s="522">
        <f ca="1">AH12+AH13</f>
        <v>-1037.6791039999935</v>
      </c>
      <c r="AJ12" s="532"/>
      <c r="AK12" s="458"/>
    </row>
    <row r="13" spans="1:44" ht="15.75" thickBot="1" x14ac:dyDescent="0.3">
      <c r="A13" s="531"/>
      <c r="B13" s="525" t="e">
        <f>MATCH(H13,SCALARS!D:D,0)</f>
        <v>#N/A</v>
      </c>
      <c r="C13" s="525"/>
      <c r="D13" s="82">
        <f>MATCH(H13,'MKT DATA'!B:B,0)</f>
        <v>67</v>
      </c>
      <c r="E13" s="65"/>
      <c r="F13" s="525"/>
      <c r="G13" s="525"/>
      <c r="H13" s="181" t="s">
        <v>90</v>
      </c>
      <c r="I13" s="37" cm="1">
        <f t="array" aca="1" ref="I13" ca="1">INDIRECT(ADDRESS($D13,I$3,,,"mkt data"))</f>
        <v>178.68</v>
      </c>
      <c r="J13" s="38" cm="1">
        <f t="array" aca="1" ref="J13" ca="1">INDIRECT(ADDRESS($D13,J$3,,,"mkt data"))</f>
        <v>179.88</v>
      </c>
      <c r="K13" s="151" cm="1">
        <f t="array" aca="1" ref="K13" ca="1">INDIRECT(ADDRESS($B12,INT(RIGHT(K$3,2)),,,"SCALARS"))</f>
        <v>0</v>
      </c>
      <c r="L13" s="22">
        <f t="shared" ca="1" si="1"/>
        <v>178.67449999999999</v>
      </c>
      <c r="M13" s="22">
        <f t="shared" ca="1" si="2"/>
        <v>179.88550000000001</v>
      </c>
      <c r="N13" s="87">
        <v>1</v>
      </c>
      <c r="O13" s="23">
        <f t="shared" ca="1" si="3"/>
        <v>178.67449999999999</v>
      </c>
      <c r="P13" s="23">
        <f t="shared" ca="1" si="4"/>
        <v>179.88550000000001</v>
      </c>
      <c r="Q13" s="598"/>
      <c r="R13" s="476"/>
      <c r="S13" s="253" t="b">
        <f ca="1">IF(R12&gt;S12,TRUE,FALSE)</f>
        <v>0</v>
      </c>
      <c r="T13" s="224" t="b">
        <f ca="1">AND(IF(V12&gt;-T12,TRUE,FALSE),IF(Y12&gt;0,TRUE,FALSE))</f>
        <v>0</v>
      </c>
      <c r="U13" s="478"/>
      <c r="V13" s="476"/>
      <c r="W13" s="253" t="b">
        <f ca="1">IF(V12&gt;W12,TRUE,FALSE)</f>
        <v>0</v>
      </c>
      <c r="X13" s="61" t="b">
        <f ca="1">AND(IF(R12&gt;-X12,TRUE,FALSE),IF(Y12&lt;0,TRUE,FALSE))</f>
        <v>0</v>
      </c>
      <c r="Y13" s="29" cm="1">
        <f t="array" aca="1" ref="Y13" ca="1">INDIRECT(ADDRESS($D13,Y$3,,,"mkt data"))</f>
        <v>-1400</v>
      </c>
      <c r="Z13" s="50">
        <f t="shared" ca="1" si="5"/>
        <v>-250992</v>
      </c>
      <c r="AA13" s="29">
        <f t="shared" ca="1" si="6"/>
        <v>-1400</v>
      </c>
      <c r="AB13" s="551"/>
      <c r="AC13" s="463"/>
      <c r="AD13" s="181" t="str">
        <f>H13</f>
        <v>XLV</v>
      </c>
      <c r="AE13" s="37" cm="1">
        <f t="array" aca="1" ref="AE13" ca="1">INDIRECT(ADDRESS($D13,AE$3,,,"mkt data"))</f>
        <v>181.300003</v>
      </c>
      <c r="AF13" s="167">
        <f t="shared" ca="1" si="7"/>
        <v>179.28</v>
      </c>
      <c r="AG13" s="167">
        <f t="shared" ca="1" si="8"/>
        <v>-2.0200030000000027</v>
      </c>
      <c r="AH13" s="167">
        <f t="shared" ca="1" si="9"/>
        <v>2828.0042000000039</v>
      </c>
      <c r="AI13" s="523"/>
      <c r="AJ13" s="533"/>
      <c r="AK13" s="459"/>
    </row>
    <row r="14" spans="1:44" x14ac:dyDescent="0.25">
      <c r="A14" s="530" t="str">
        <f t="shared" ref="A14" si="14">_xlfn.CONCAT(H14,"_",H15)</f>
        <v>IYJ_XLI</v>
      </c>
      <c r="B14" s="524">
        <f>MATCH(A14,SCALARS!D:D,0)</f>
        <v>36</v>
      </c>
      <c r="C14" s="524">
        <f>MATCH(A14,THRESHOLDS!D:D,0)</f>
        <v>36</v>
      </c>
      <c r="D14" s="80">
        <f>MATCH(H14,'MKT DATA'!B:B,0)</f>
        <v>91</v>
      </c>
      <c r="E14" s="64"/>
      <c r="F14" s="524" t="str" cm="1">
        <f t="array" aca="1" ref="F14" ca="1">INDIRECT(ADDRESS($B14,F$3,,,"scalars"))</f>
        <v>industrials</v>
      </c>
      <c r="G14" s="524" t="str" cm="1">
        <f t="array" aca="1" ref="G14" ca="1">INDIRECT(ADDRESS($B14,G$3,,,"scalars"))</f>
        <v>-</v>
      </c>
      <c r="H14" s="173" t="s">
        <v>115</v>
      </c>
      <c r="I14" s="33" cm="1">
        <f t="array" aca="1" ref="I14" ca="1">INDIRECT(ADDRESS($D14,I$3,,,"mkt data"))</f>
        <v>153.9</v>
      </c>
      <c r="J14" s="34" cm="1">
        <f t="array" aca="1" ref="J14" ca="1">INDIRECT(ADDRESS($D14,J$3,,,"mkt data"))</f>
        <v>156.46</v>
      </c>
      <c r="K14" s="150" cm="1">
        <f t="array" aca="1" ref="K14" ca="1">INDIRECT(ADDRESS($B14,INT(LEFT(K$3,2)),,,"SCALARS"))</f>
        <v>0</v>
      </c>
      <c r="L14" s="16">
        <f t="shared" ca="1" si="1"/>
        <v>153.89449999999999</v>
      </c>
      <c r="M14" s="16">
        <f t="shared" ca="1" si="2"/>
        <v>156.46550000000002</v>
      </c>
      <c r="N14" s="44" cm="1">
        <f t="array" aca="1" ref="N14" ca="1">INDIRECT(ADDRESS($B14,N$3,,,"scalars"))</f>
        <v>1.0782339604110101</v>
      </c>
      <c r="O14" s="17">
        <f t="shared" ca="1" si="3"/>
        <v>165.93427622047219</v>
      </c>
      <c r="P14" s="17">
        <f t="shared" ca="1" si="4"/>
        <v>168.70641573268892</v>
      </c>
      <c r="Q14" s="477">
        <f ca="1">O15-P14</f>
        <v>-4.7119157326889365</v>
      </c>
      <c r="R14" s="475">
        <f ca="1">LN(O15/P14)</f>
        <v>-2.8327128577264826E-2</v>
      </c>
      <c r="S14" s="252" cm="1">
        <f t="array" aca="1" ref="S14" ca="1">-INDIRECT(ADDRESS($C14,S$3,,,"thresholds"))</f>
        <v>4.0000000000000001E-3</v>
      </c>
      <c r="T14" s="60" cm="1">
        <f t="array" aca="1" ref="T14" ca="1">-INDIRECT(ADDRESS($C14,T$3,,,"thresholds"))</f>
        <v>1E-3</v>
      </c>
      <c r="U14" s="477">
        <f ca="1">O14-P15</f>
        <v>0.69877622047218324</v>
      </c>
      <c r="V14" s="475">
        <f ca="1">LN(O14/P15)</f>
        <v>4.2200545320336853E-3</v>
      </c>
      <c r="W14" s="252" cm="1">
        <f t="array" aca="1" ref="W14" ca="1">INDIRECT(ADDRESS($C14,W$3,,,"thresholds"))</f>
        <v>7.0000000000000001E-3</v>
      </c>
      <c r="X14" s="60" cm="1">
        <f t="array" aca="1" ref="X14" ca="1">INDIRECT(ADDRESS($C14,X$3,,,"thresholds"))</f>
        <v>4.0000000000000001E-3</v>
      </c>
      <c r="Y14" s="27" cm="1">
        <f t="array" aca="1" ref="Y14" ca="1">INDIRECT(ADDRESS($D14,Y$3,,,"mkt data"))</f>
        <v>-1519</v>
      </c>
      <c r="Z14" s="48">
        <f t="shared" ca="1" si="5"/>
        <v>-235718.42</v>
      </c>
      <c r="AA14" s="27">
        <f t="shared" ca="1" si="6"/>
        <v>-1408.7851577416234</v>
      </c>
      <c r="AB14" s="534">
        <f ca="1">SUM(AA14:AA15)</f>
        <v>-8.7851577416233795</v>
      </c>
      <c r="AC14" s="474">
        <v>46304</v>
      </c>
      <c r="AD14" s="173" t="str">
        <f>H14</f>
        <v>IYJ</v>
      </c>
      <c r="AE14" s="33" cm="1">
        <f t="array" aca="1" ref="AE14" ca="1">INDIRECT(ADDRESS($D14,AE$3,,,"mkt data"))</f>
        <v>157.14999399999999</v>
      </c>
      <c r="AF14" s="165">
        <f t="shared" ca="1" si="7"/>
        <v>155.18</v>
      </c>
      <c r="AG14" s="165">
        <f t="shared" ca="1" si="8"/>
        <v>-1.9699939999999856</v>
      </c>
      <c r="AH14" s="165">
        <f t="shared" ca="1" si="9"/>
        <v>2992.4208859999781</v>
      </c>
      <c r="AI14" s="522">
        <f ca="1">AH14+AH15</f>
        <v>31.426485999991201</v>
      </c>
      <c r="AJ14" s="532"/>
      <c r="AK14" s="458"/>
      <c r="AM14" s="235"/>
    </row>
    <row r="15" spans="1:44" ht="15.75" thickBot="1" x14ac:dyDescent="0.3">
      <c r="A15" s="531"/>
      <c r="B15" s="525" t="e">
        <f>MATCH(H15,SCALARS!D:D,0)</f>
        <v>#N/A</v>
      </c>
      <c r="C15" s="525"/>
      <c r="D15" s="82">
        <f>MATCH(H15,'MKT DATA'!B:B,0)</f>
        <v>93</v>
      </c>
      <c r="E15" s="65"/>
      <c r="F15" s="525"/>
      <c r="G15" s="525"/>
      <c r="H15" s="181" t="s">
        <v>92</v>
      </c>
      <c r="I15" s="37" cm="1">
        <f t="array" aca="1" ref="I15" ca="1">INDIRECT(ADDRESS($D15,I$3,,,"mkt data"))</f>
        <v>164</v>
      </c>
      <c r="J15" s="38" cm="1">
        <f t="array" aca="1" ref="J15" ca="1">INDIRECT(ADDRESS($D15,J$3,,,"mkt data"))</f>
        <v>165.23</v>
      </c>
      <c r="K15" s="151" cm="1">
        <f t="array" aca="1" ref="K15" ca="1">INDIRECT(ADDRESS($B14,INT(RIGHT(K$3,2)),,,"SCALARS"))</f>
        <v>0</v>
      </c>
      <c r="L15" s="22">
        <f t="shared" ca="1" si="1"/>
        <v>163.99449999999999</v>
      </c>
      <c r="M15" s="22">
        <f t="shared" ca="1" si="2"/>
        <v>165.2355</v>
      </c>
      <c r="N15" s="87">
        <v>1</v>
      </c>
      <c r="O15" s="23">
        <f t="shared" ca="1" si="3"/>
        <v>163.99449999999999</v>
      </c>
      <c r="P15" s="23">
        <f t="shared" ca="1" si="4"/>
        <v>165.2355</v>
      </c>
      <c r="Q15" s="598"/>
      <c r="R15" s="476"/>
      <c r="S15" s="253" t="b">
        <f ca="1">IF(R14&gt;S14,TRUE,FALSE)</f>
        <v>0</v>
      </c>
      <c r="T15" s="224" t="b">
        <f ca="1">AND(IF(V14&gt;-T14,TRUE,FALSE),IF(Y14&gt;0,TRUE,FALSE))</f>
        <v>0</v>
      </c>
      <c r="U15" s="478"/>
      <c r="V15" s="476"/>
      <c r="W15" s="253" t="b">
        <f ca="1">IF(V14&gt;W14,TRUE,FALSE)</f>
        <v>0</v>
      </c>
      <c r="X15" s="61" t="b">
        <f ca="1">AND(IF(R14&gt;-X14,TRUE,FALSE),IF(Y14&lt;0,TRUE,FALSE))</f>
        <v>0</v>
      </c>
      <c r="Y15" s="29" cm="1">
        <f t="array" aca="1" ref="Y15" ca="1">INDIRECT(ADDRESS($D15,Y$3,,,"mkt data"))</f>
        <v>1400</v>
      </c>
      <c r="Z15" s="50">
        <f t="shared" ca="1" si="5"/>
        <v>230461</v>
      </c>
      <c r="AA15" s="29">
        <f t="shared" ca="1" si="6"/>
        <v>1400</v>
      </c>
      <c r="AB15" s="535"/>
      <c r="AC15" s="463"/>
      <c r="AD15" s="181" t="str">
        <f>H15</f>
        <v>XLI</v>
      </c>
      <c r="AE15" s="37" cm="1">
        <f t="array" aca="1" ref="AE15" ca="1">INDIRECT(ADDRESS($D15,AE$3,,,"mkt data"))</f>
        <v>166.729996</v>
      </c>
      <c r="AF15" s="167">
        <f t="shared" ca="1" si="7"/>
        <v>164.61500000000001</v>
      </c>
      <c r="AG15" s="167">
        <f t="shared" ca="1" si="8"/>
        <v>-2.1149959999999908</v>
      </c>
      <c r="AH15" s="167">
        <f t="shared" ca="1" si="9"/>
        <v>-2960.9943999999869</v>
      </c>
      <c r="AI15" s="523"/>
      <c r="AJ15" s="533"/>
      <c r="AK15" s="459"/>
    </row>
    <row r="16" spans="1:44" x14ac:dyDescent="0.25">
      <c r="A16" s="530" t="str">
        <f t="shared" ref="A16" si="15">_xlfn.CONCAT(H16,"_",H17)</f>
        <v>XLRE_IYR</v>
      </c>
      <c r="B16" s="524">
        <f>MATCH(A16,SCALARS!D:D,0)</f>
        <v>98</v>
      </c>
      <c r="C16" s="524">
        <f>MATCH(A16,THRESHOLDS!D:D,0)</f>
        <v>98</v>
      </c>
      <c r="D16" s="80">
        <f>MATCH(H16,'MKT DATA'!B:B,0)</f>
        <v>137</v>
      </c>
      <c r="E16" s="64"/>
      <c r="F16" s="524" t="str" cm="1">
        <f t="array" aca="1" ref="F16" ca="1">INDIRECT(ADDRESS($B16,F$3,,,"scalars"))</f>
        <v>real estate</v>
      </c>
      <c r="G16" s="524" t="str" cm="1">
        <f t="array" aca="1" ref="G16" ca="1">INDIRECT(ADDRESS($B16,G$3,,,"scalars"))</f>
        <v>-</v>
      </c>
      <c r="H16" s="173" t="s">
        <v>96</v>
      </c>
      <c r="I16" s="33" cm="1">
        <f t="array" aca="1" ref="I16" ca="1">INDIRECT(ADDRESS($D16,I$3,,,"mkt data"))</f>
        <v>42.51</v>
      </c>
      <c r="J16" s="34" cm="1">
        <f t="array" aca="1" ref="J16" ca="1">INDIRECT(ADDRESS($D16,J$3,,,"mkt data"))</f>
        <v>42.67</v>
      </c>
      <c r="K16" s="150" cm="1">
        <f t="array" aca="1" ref="K16" ca="1">INDIRECT(ADDRESS($B16,INT(LEFT(K$3,2)),,,"SCALARS"))</f>
        <v>0</v>
      </c>
      <c r="L16" s="16">
        <f t="shared" ca="1" si="1"/>
        <v>42.5045</v>
      </c>
      <c r="M16" s="16">
        <f t="shared" ca="1" si="2"/>
        <v>42.6755</v>
      </c>
      <c r="N16" s="44" cm="1">
        <f t="array" aca="1" ref="N16" ca="1">INDIRECT(ADDRESS($B16,N$3,,,"scalars"))</f>
        <v>2.3159755371176471</v>
      </c>
      <c r="O16" s="17">
        <f t="shared" ca="1" si="3"/>
        <v>98.439382217417034</v>
      </c>
      <c r="P16" s="17">
        <f t="shared" ca="1" si="4"/>
        <v>98.835414034264147</v>
      </c>
      <c r="Q16" s="477">
        <f ca="1">O17-P16</f>
        <v>-0.76091403426414672</v>
      </c>
      <c r="R16" s="475">
        <f ca="1">LN(O17/P16)</f>
        <v>-7.7285882278715495E-3</v>
      </c>
      <c r="S16" s="252" cm="1">
        <f t="array" aca="1" ref="S16" ca="1">-INDIRECT(ADDRESS($C16,S$3,,,"thresholds"))</f>
        <v>0</v>
      </c>
      <c r="T16" s="60" cm="1">
        <f t="array" aca="1" ref="T16" ca="1">-INDIRECT(ADDRESS($C16,T$3,,,"thresholds"))</f>
        <v>0</v>
      </c>
      <c r="U16" s="477">
        <f ca="1">O16-P17</f>
        <v>1.3882217417034326E-2</v>
      </c>
      <c r="V16" s="475">
        <f ca="1">LN(O16/P17)</f>
        <v>1.4103294893108407E-4</v>
      </c>
      <c r="W16" s="252" cm="1">
        <f t="array" aca="1" ref="W16" ca="1">INDIRECT(ADDRESS($C16,W$3,,,"thresholds"))</f>
        <v>0</v>
      </c>
      <c r="X16" s="60" cm="1">
        <f t="array" aca="1" ref="X16" ca="1">INDIRECT(ADDRESS($C16,X$3,,,"thresholds"))</f>
        <v>0</v>
      </c>
      <c r="Y16" s="27" cm="1">
        <f t="array" aca="1" ref="Y16" ca="1">INDIRECT(ADDRESS($D16,Y$3,,,"mkt data"))</f>
        <v>0</v>
      </c>
      <c r="Z16" s="48">
        <f t="shared" ca="1" si="5"/>
        <v>0</v>
      </c>
      <c r="AA16" s="27">
        <f t="shared" ca="1" si="6"/>
        <v>0</v>
      </c>
      <c r="AB16" s="485">
        <f ca="1">SUM(AA16:AA17)</f>
        <v>0</v>
      </c>
      <c r="AC16" s="462"/>
      <c r="AD16" s="173" t="str">
        <f t="shared" ref="AD16:AD17" si="16">H16</f>
        <v>XLRE</v>
      </c>
      <c r="AE16" s="33" cm="1">
        <f t="array" aca="1" ref="AE16" ca="1">INDIRECT(ADDRESS($D16,AE$3,,,"mkt data"))</f>
        <v>42.52</v>
      </c>
      <c r="AF16" s="165">
        <f t="shared" ca="1" si="7"/>
        <v>42.59</v>
      </c>
      <c r="AG16" s="165">
        <f t="shared" ca="1" si="8"/>
        <v>7.0000000000000284E-2</v>
      </c>
      <c r="AH16" s="165">
        <f t="shared" ca="1" si="9"/>
        <v>0</v>
      </c>
      <c r="AI16" s="522">
        <f ca="1">AH16+AH17</f>
        <v>0</v>
      </c>
      <c r="AJ16" s="532"/>
      <c r="AK16" s="458"/>
    </row>
    <row r="17" spans="1:44" ht="15.75" thickBot="1" x14ac:dyDescent="0.3">
      <c r="A17" s="531"/>
      <c r="B17" s="525" t="e">
        <f>MATCH(H17,SCALARS!D:D,0)</f>
        <v>#N/A</v>
      </c>
      <c r="C17" s="525"/>
      <c r="D17" s="82">
        <f>MATCH(H17,'MKT DATA'!B:B,0)</f>
        <v>133</v>
      </c>
      <c r="E17" s="65"/>
      <c r="F17" s="525"/>
      <c r="G17" s="525"/>
      <c r="H17" s="181" t="s">
        <v>94</v>
      </c>
      <c r="I17" s="37" cm="1">
        <f t="array" aca="1" ref="I17" ca="1">INDIRECT(ADDRESS($D17,I$3,,,"mkt data"))</f>
        <v>98.08</v>
      </c>
      <c r="J17" s="38" cm="1">
        <f t="array" aca="1" ref="J17" ca="1">INDIRECT(ADDRESS($D17,J$3,,,"mkt data"))</f>
        <v>98.42</v>
      </c>
      <c r="K17" s="151" cm="1">
        <f t="array" aca="1" ref="K17" ca="1">INDIRECT(ADDRESS($B16,INT(RIGHT(K$3,2)),,,"SCALARS"))</f>
        <v>0</v>
      </c>
      <c r="L17" s="22">
        <f t="shared" ca="1" si="1"/>
        <v>98.0745</v>
      </c>
      <c r="M17" s="22">
        <f t="shared" ca="1" si="2"/>
        <v>98.4255</v>
      </c>
      <c r="N17" s="87">
        <v>1</v>
      </c>
      <c r="O17" s="23">
        <f t="shared" ca="1" si="3"/>
        <v>98.0745</v>
      </c>
      <c r="P17" s="23">
        <f t="shared" ca="1" si="4"/>
        <v>98.4255</v>
      </c>
      <c r="Q17" s="598"/>
      <c r="R17" s="476"/>
      <c r="S17" s="253" t="b">
        <f ca="1">IF(R16&gt;S16,TRUE,FALSE)</f>
        <v>0</v>
      </c>
      <c r="T17" s="224" t="b">
        <f ca="1">AND(IF(V16&gt;-T16,TRUE,FALSE),IF(Y16&gt;0,TRUE,FALSE))</f>
        <v>0</v>
      </c>
      <c r="U17" s="478"/>
      <c r="V17" s="476"/>
      <c r="W17" s="253" t="b">
        <f ca="1">IF(V16&gt;W16,TRUE,FALSE)</f>
        <v>1</v>
      </c>
      <c r="X17" s="61" t="b">
        <f ca="1">AND(IF(R16&gt;-X16,TRUE,FALSE),IF(Y16&lt;0,TRUE,FALSE))</f>
        <v>0</v>
      </c>
      <c r="Y17" s="29" cm="1">
        <f t="array" aca="1" ref="Y17" ca="1">INDIRECT(ADDRESS($D17,Y$3,,,"mkt data"))</f>
        <v>0</v>
      </c>
      <c r="Z17" s="50">
        <f t="shared" ca="1" si="5"/>
        <v>0</v>
      </c>
      <c r="AA17" s="29">
        <f t="shared" ca="1" si="6"/>
        <v>0</v>
      </c>
      <c r="AB17" s="486"/>
      <c r="AC17" s="463"/>
      <c r="AD17" s="181" t="str">
        <f t="shared" si="16"/>
        <v>IYR</v>
      </c>
      <c r="AE17" s="37" cm="1">
        <f t="array" aca="1" ref="AE17" ca="1">INDIRECT(ADDRESS($D17,AE$3,,,"mkt data"))</f>
        <v>98.370002999999997</v>
      </c>
      <c r="AF17" s="167">
        <f t="shared" ca="1" si="7"/>
        <v>98.25</v>
      </c>
      <c r="AG17" s="167">
        <f t="shared" ca="1" si="8"/>
        <v>-0.12000299999999697</v>
      </c>
      <c r="AH17" s="167">
        <f t="shared" ca="1" si="9"/>
        <v>0</v>
      </c>
      <c r="AI17" s="523"/>
      <c r="AJ17" s="533"/>
      <c r="AK17" s="459"/>
    </row>
    <row r="18" spans="1:44" x14ac:dyDescent="0.25">
      <c r="A18" s="530" t="str">
        <f t="shared" ref="A18" si="17">_xlfn.CONCAT(H18,"_",H19)</f>
        <v>IYK_XLP</v>
      </c>
      <c r="B18" s="524">
        <f>MATCH(A18,SCALARS!D:D,0)</f>
        <v>37</v>
      </c>
      <c r="C18" s="524">
        <f>MATCH(A18,THRESHOLDS!D:D,0)</f>
        <v>37</v>
      </c>
      <c r="D18" s="80">
        <f>MATCH(H18,'MKT DATA'!B:B,0)</f>
        <v>141</v>
      </c>
      <c r="E18" s="64"/>
      <c r="F18" s="524" t="str" cm="1">
        <f t="array" aca="1" ref="F18" ca="1">INDIRECT(ADDRESS($B18,F$3,,,"scalars"))</f>
        <v>staples</v>
      </c>
      <c r="G18" s="524" t="str" cm="1">
        <f t="array" aca="1" ref="G18" ca="1">INDIRECT(ADDRESS($B18,G$3,,,"scalars"))</f>
        <v>-</v>
      </c>
      <c r="H18" s="173" t="s">
        <v>116</v>
      </c>
      <c r="I18" s="33" cm="1">
        <f t="array" aca="1" ref="I18" ca="1">INDIRECT(ADDRESS($D18,I$3,,,"mkt data"))</f>
        <v>76.709999999999994</v>
      </c>
      <c r="J18" s="34" cm="1">
        <f t="array" aca="1" ref="J18" ca="1">INDIRECT(ADDRESS($D18,J$3,,,"mkt data"))</f>
        <v>78.03</v>
      </c>
      <c r="K18" s="150" cm="1">
        <f t="array" aca="1" ref="K18" ca="1">INDIRECT(ADDRESS($B18,INT(LEFT(K$3,2)),,,"SCALARS"))</f>
        <v>0</v>
      </c>
      <c r="L18" s="16">
        <f t="shared" ca="1" si="1"/>
        <v>76.704499999999996</v>
      </c>
      <c r="M18" s="16">
        <f t="shared" ca="1" si="2"/>
        <v>78.035499999999999</v>
      </c>
      <c r="N18" s="44" cm="1">
        <f t="array" aca="1" ref="N18" ca="1">INDIRECT(ADDRESS($B18,N$3,,,"scalars"))</f>
        <v>1.1371880047163194</v>
      </c>
      <c r="O18" s="17">
        <f t="shared" ca="1" si="3"/>
        <v>87.227437307762912</v>
      </c>
      <c r="P18" s="17">
        <f t="shared" ca="1" si="4"/>
        <v>88.741034542040339</v>
      </c>
      <c r="Q18" s="477">
        <f ca="1">O19-P18</f>
        <v>-0.69653454204033949</v>
      </c>
      <c r="R18" s="475">
        <f ca="1">LN(O19/P18)</f>
        <v>-7.880035525697127E-3</v>
      </c>
      <c r="S18" s="252" cm="1">
        <f t="array" aca="1" ref="S18" ca="1">-INDIRECT(ADDRESS($C18,S$3,,,"thresholds"))</f>
        <v>6.0000000000000001E-3</v>
      </c>
      <c r="T18" s="60" cm="1">
        <f t="array" aca="1" ref="T18" ca="1">-INDIRECT(ADDRESS($C18,T$3,,,"thresholds"))</f>
        <v>4.0000000000000001E-3</v>
      </c>
      <c r="U18" s="477">
        <f ca="1">O18-P19</f>
        <v>-1.37806269223708</v>
      </c>
      <c r="V18" s="475">
        <f ca="1">LN(O18/P19)</f>
        <v>-1.5675002985359631E-2</v>
      </c>
      <c r="W18" s="252" cm="1">
        <f t="array" aca="1" ref="W18" ca="1">INDIRECT(ADDRESS($C18,W$3,,,"thresholds"))</f>
        <v>8.0000000000000002E-3</v>
      </c>
      <c r="X18" s="60" cm="1">
        <f t="array" aca="1" ref="X18" ca="1">INDIRECT(ADDRESS($C18,X$3,,,"thresholds"))</f>
        <v>6.0000000000000001E-3</v>
      </c>
      <c r="Y18" s="27" cm="1">
        <f t="array" aca="1" ref="Y18" ca="1">INDIRECT(ADDRESS($D18,Y$3,,,"mkt data"))</f>
        <v>0</v>
      </c>
      <c r="Z18" s="48">
        <f t="shared" ca="1" si="5"/>
        <v>0</v>
      </c>
      <c r="AA18" s="27">
        <f t="shared" ca="1" si="6"/>
        <v>0</v>
      </c>
      <c r="AB18" s="534">
        <f ca="1">SUM(AA18:AA19)</f>
        <v>0</v>
      </c>
      <c r="AC18" s="462"/>
      <c r="AD18" s="173" t="str">
        <f>H18</f>
        <v>IYK</v>
      </c>
      <c r="AE18" s="33" cm="1">
        <f t="array" aca="1" ref="AE18" ca="1">INDIRECT(ADDRESS($D18,AE$3,,,"mkt data"))</f>
        <v>78.800003000000004</v>
      </c>
      <c r="AF18" s="165">
        <f t="shared" ca="1" si="7"/>
        <v>77.37</v>
      </c>
      <c r="AG18" s="165">
        <f t="shared" ca="1" si="8"/>
        <v>-1.4300029999999992</v>
      </c>
      <c r="AH18" s="165">
        <f t="shared" ca="1" si="9"/>
        <v>0</v>
      </c>
      <c r="AI18" s="522">
        <f ca="1">AH18+AH19</f>
        <v>0</v>
      </c>
      <c r="AJ18" s="532"/>
      <c r="AK18" s="458"/>
    </row>
    <row r="19" spans="1:44" ht="15.75" thickBot="1" x14ac:dyDescent="0.3">
      <c r="A19" s="531"/>
      <c r="B19" s="525" t="e">
        <f>MATCH(H19,SCALARS!D:D,0)</f>
        <v>#N/A</v>
      </c>
      <c r="C19" s="525"/>
      <c r="D19" s="82">
        <f>MATCH(H19,'MKT DATA'!B:B,0)</f>
        <v>143</v>
      </c>
      <c r="E19" s="65"/>
      <c r="F19" s="525"/>
      <c r="G19" s="525"/>
      <c r="H19" s="181" t="s">
        <v>79</v>
      </c>
      <c r="I19" s="37" cm="1">
        <f t="array" aca="1" ref="I19" ca="1">INDIRECT(ADDRESS($D19,I$3,,,"mkt data"))</f>
        <v>88.05</v>
      </c>
      <c r="J19" s="38" cm="1">
        <f t="array" aca="1" ref="J19" ca="1">INDIRECT(ADDRESS($D19,J$3,,,"mkt data"))</f>
        <v>88.6</v>
      </c>
      <c r="K19" s="151" cm="1">
        <f t="array" aca="1" ref="K19" ca="1">INDIRECT(ADDRESS($B18,INT(RIGHT(K$3,2)),,,"SCALARS"))</f>
        <v>0</v>
      </c>
      <c r="L19" s="22">
        <f t="shared" ca="1" si="1"/>
        <v>88.044499999999999</v>
      </c>
      <c r="M19" s="22">
        <f t="shared" ca="1" si="2"/>
        <v>88.605499999999992</v>
      </c>
      <c r="N19" s="87">
        <v>1</v>
      </c>
      <c r="O19" s="23">
        <f t="shared" ca="1" si="3"/>
        <v>88.044499999999999</v>
      </c>
      <c r="P19" s="23">
        <f t="shared" ca="1" si="4"/>
        <v>88.605499999999992</v>
      </c>
      <c r="Q19" s="598"/>
      <c r="R19" s="476"/>
      <c r="S19" s="253" t="b">
        <f ca="1">IF(R18&gt;S18,TRUE,FALSE)</f>
        <v>0</v>
      </c>
      <c r="T19" s="224" t="b">
        <f ca="1">AND(IF(V18&gt;-T18,TRUE,FALSE),IF(Y18&gt;0,TRUE,FALSE))</f>
        <v>0</v>
      </c>
      <c r="U19" s="478"/>
      <c r="V19" s="476"/>
      <c r="W19" s="253" t="b">
        <f ca="1">IF(V18&gt;W18,TRUE,FALSE)</f>
        <v>0</v>
      </c>
      <c r="X19" s="61" t="b">
        <f ca="1">AND(IF(R18&gt;-X18,TRUE,FALSE),IF(Y18&lt;0,TRUE,FALSE))</f>
        <v>0</v>
      </c>
      <c r="Y19" s="29" cm="1">
        <f t="array" aca="1" ref="Y19" ca="1">INDIRECT(ADDRESS($D19,Y$3,,,"mkt data"))</f>
        <v>0</v>
      </c>
      <c r="Z19" s="50">
        <f t="shared" ca="1" si="5"/>
        <v>0</v>
      </c>
      <c r="AA19" s="29">
        <f t="shared" ca="1" si="6"/>
        <v>0</v>
      </c>
      <c r="AB19" s="535"/>
      <c r="AC19" s="463"/>
      <c r="AD19" s="181" t="str">
        <f>H19</f>
        <v>XLP</v>
      </c>
      <c r="AE19" s="37" cm="1">
        <f t="array" aca="1" ref="AE19" ca="1">INDIRECT(ADDRESS($D19,AE$3,,,"mkt data"))</f>
        <v>89.989998</v>
      </c>
      <c r="AF19" s="167">
        <f t="shared" ca="1" si="7"/>
        <v>88.324999999999989</v>
      </c>
      <c r="AG19" s="167">
        <f t="shared" ca="1" si="8"/>
        <v>-1.6649980000000113</v>
      </c>
      <c r="AH19" s="167">
        <f t="shared" ca="1" si="9"/>
        <v>0</v>
      </c>
      <c r="AI19" s="523"/>
      <c r="AJ19" s="533"/>
      <c r="AK19" s="459"/>
    </row>
    <row r="20" spans="1:44" x14ac:dyDescent="0.25">
      <c r="A20" s="530" t="str">
        <f t="shared" ref="A20" si="18">_xlfn.CONCAT(H20,"_",H21)</f>
        <v>XLK_IYW</v>
      </c>
      <c r="B20" s="524">
        <f>MATCH(A20,SCALARS!D:D,0)</f>
        <v>97</v>
      </c>
      <c r="C20" s="524">
        <f>MATCH(A20,THRESHOLDS!D:D,0)</f>
        <v>97</v>
      </c>
      <c r="D20" s="80">
        <f>MATCH(H20,'MKT DATA'!B:B,0)</f>
        <v>147</v>
      </c>
      <c r="E20" s="64"/>
      <c r="F20" s="524" t="str" cm="1">
        <f t="array" aca="1" ref="F20" ca="1">INDIRECT(ADDRESS($B20,F$3,,,"scalars"))</f>
        <v>technology</v>
      </c>
      <c r="G20" s="524" t="str" cm="1">
        <f t="array" aca="1" ref="G20" ca="1">INDIRECT(ADDRESS($B20,G$3,,,"scalars"))</f>
        <v>-</v>
      </c>
      <c r="H20" s="173" t="s">
        <v>100</v>
      </c>
      <c r="I20" s="33" cm="1">
        <f t="array" aca="1" ref="I20" ca="1">INDIRECT(ADDRESS($D20,I$3,,,"mkt data"))</f>
        <v>183.11</v>
      </c>
      <c r="J20" s="34" cm="1">
        <f t="array" aca="1" ref="J20" ca="1">INDIRECT(ADDRESS($D20,J$3,,,"mkt data"))</f>
        <v>183.44</v>
      </c>
      <c r="K20" s="150" cm="1">
        <f t="array" aca="1" ref="K20" ca="1">INDIRECT(ADDRESS($B20,INT(LEFT(K$3,2)),,,"SCALARS"))</f>
        <v>0</v>
      </c>
      <c r="L20" s="16">
        <f t="shared" ca="1" si="1"/>
        <v>183.1045</v>
      </c>
      <c r="M20" s="16">
        <f t="shared" ca="1" si="2"/>
        <v>183.44550000000001</v>
      </c>
      <c r="N20" s="44" cm="1">
        <f t="array" aca="1" ref="N20" ca="1">INDIRECT(ADDRESS($B20,N$3,,,"scalars"))</f>
        <v>1.357744840563476</v>
      </c>
      <c r="O20" s="17">
        <f t="shared" ca="1" si="3"/>
        <v>248.60919015895499</v>
      </c>
      <c r="P20" s="17">
        <f t="shared" ca="1" si="4"/>
        <v>249.07218114958715</v>
      </c>
      <c r="Q20" s="477">
        <f ca="1">O21-P20</f>
        <v>0.27231885041283022</v>
      </c>
      <c r="R20" s="475">
        <f ca="1">LN(O21/P20)</f>
        <v>1.092735808448891E-3</v>
      </c>
      <c r="S20" s="252" cm="1">
        <f t="array" aca="1" ref="S20" ca="1">-INDIRECT(ADDRESS($C20,S$3,,,"thresholds"))</f>
        <v>2E-3</v>
      </c>
      <c r="T20" s="60" cm="1">
        <f t="array" aca="1" ref="T20" ca="1">-INDIRECT(ADDRESS($C20,T$3,,,"thresholds"))</f>
        <v>0</v>
      </c>
      <c r="U20" s="477">
        <f ca="1">O20-P21</f>
        <v>-2.04630984104503</v>
      </c>
      <c r="V20" s="475">
        <f ca="1">LN(O20/P21)</f>
        <v>-8.1973403690938692E-3</v>
      </c>
      <c r="W20" s="252" cm="1">
        <f t="array" aca="1" ref="W20" ca="1">INDIRECT(ADDRESS($C20,W$3,,,"thresholds"))</f>
        <v>3.0000000000000001E-3</v>
      </c>
      <c r="X20" s="60" cm="1">
        <f t="array" aca="1" ref="X20" ca="1">INDIRECT(ADDRESS($C20,X$3,,,"thresholds"))</f>
        <v>0</v>
      </c>
      <c r="Y20" s="27" cm="1">
        <f t="array" aca="1" ref="Y20" ca="1">INDIRECT(ADDRESS($D20,Y$3,,,"mkt data"))</f>
        <v>1355</v>
      </c>
      <c r="Z20" s="48">
        <f t="shared" ca="1" si="5"/>
        <v>248337.625</v>
      </c>
      <c r="AA20" s="27">
        <f t="shared" ca="1" si="6"/>
        <v>997.97838262280789</v>
      </c>
      <c r="AB20" s="534">
        <f ca="1">SUM(AA20:AA21)</f>
        <v>-2.0216173771921149</v>
      </c>
      <c r="AC20" s="474">
        <v>46308</v>
      </c>
      <c r="AD20" s="173" t="str">
        <f t="shared" ref="AD20:AD23" si="19">H20</f>
        <v>XLK</v>
      </c>
      <c r="AE20" s="33" cm="1">
        <f t="array" aca="1" ref="AE20" ca="1">INDIRECT(ADDRESS($D20,AE$3,,,"mkt data"))</f>
        <v>182.33999600000001</v>
      </c>
      <c r="AF20" s="165">
        <f t="shared" ca="1" si="7"/>
        <v>183.27500000000001</v>
      </c>
      <c r="AG20" s="165">
        <f t="shared" ca="1" si="8"/>
        <v>0.93500399999999217</v>
      </c>
      <c r="AH20" s="165">
        <f t="shared" ca="1" si="9"/>
        <v>1266.9304199999895</v>
      </c>
      <c r="AI20" s="522">
        <f ca="1">AH20+AH21</f>
        <v>226.93741999997974</v>
      </c>
      <c r="AJ20" s="532"/>
      <c r="AK20" s="458"/>
      <c r="AM20" s="235"/>
    </row>
    <row r="21" spans="1:44" ht="15.75" thickBot="1" x14ac:dyDescent="0.3">
      <c r="A21" s="531"/>
      <c r="B21" s="525" t="e">
        <f>MATCH(H21,SCALARS!D:D,0)</f>
        <v>#N/A</v>
      </c>
      <c r="C21" s="525"/>
      <c r="D21" s="82">
        <f>MATCH(H21,'MKT DATA'!B:B,0)</f>
        <v>145</v>
      </c>
      <c r="E21" s="65"/>
      <c r="F21" s="525"/>
      <c r="G21" s="525"/>
      <c r="H21" s="181" t="s">
        <v>98</v>
      </c>
      <c r="I21" s="37" cm="1">
        <f t="array" aca="1" ref="I21" ca="1">INDIRECT(ADDRESS($D21,I$3,,,"mkt data"))</f>
        <v>249.35</v>
      </c>
      <c r="J21" s="38" cm="1">
        <f t="array" aca="1" ref="J21" ca="1">INDIRECT(ADDRESS($D21,J$3,,,"mkt data"))</f>
        <v>250.65</v>
      </c>
      <c r="K21" s="151" cm="1">
        <f t="array" aca="1" ref="K21" ca="1">INDIRECT(ADDRESS($B20,INT(RIGHT(K$3,2)),,,"SCALARS"))</f>
        <v>0</v>
      </c>
      <c r="L21" s="22">
        <f t="shared" ca="1" si="1"/>
        <v>249.34449999999998</v>
      </c>
      <c r="M21" s="22">
        <f t="shared" ca="1" si="2"/>
        <v>250.65550000000002</v>
      </c>
      <c r="N21" s="87">
        <v>1</v>
      </c>
      <c r="O21" s="23">
        <f t="shared" ca="1" si="3"/>
        <v>249.34449999999998</v>
      </c>
      <c r="P21" s="23">
        <f t="shared" ca="1" si="4"/>
        <v>250.65550000000002</v>
      </c>
      <c r="Q21" s="598"/>
      <c r="R21" s="476"/>
      <c r="S21" s="253" t="b">
        <f ca="1">IF(R20&gt;S20,TRUE,FALSE)</f>
        <v>0</v>
      </c>
      <c r="T21" s="224" t="b">
        <f ca="1">AND(IF(V20&gt;-T20,TRUE,FALSE),IF(Y20&gt;0,TRUE,FALSE))</f>
        <v>0</v>
      </c>
      <c r="U21" s="478"/>
      <c r="V21" s="476"/>
      <c r="W21" s="253" t="b">
        <f ca="1">IF(V20&gt;W20,TRUE,FALSE)</f>
        <v>0</v>
      </c>
      <c r="X21" s="61" t="b">
        <f ca="1">AND(IF(R20&gt;-X20,TRUE,FALSE),IF(Y20&lt;0,TRUE,FALSE))</f>
        <v>0</v>
      </c>
      <c r="Y21" s="29" cm="1">
        <f t="array" aca="1" ref="Y21" ca="1">INDIRECT(ADDRESS($D21,Y$3,,,"mkt data"))</f>
        <v>-1000</v>
      </c>
      <c r="Z21" s="50">
        <f t="shared" ca="1" si="5"/>
        <v>-250000</v>
      </c>
      <c r="AA21" s="29">
        <f t="shared" ca="1" si="6"/>
        <v>-1000</v>
      </c>
      <c r="AB21" s="535"/>
      <c r="AC21" s="463"/>
      <c r="AD21" s="181" t="str">
        <f t="shared" si="19"/>
        <v>IYW</v>
      </c>
      <c r="AE21" s="37" cm="1">
        <f t="array" aca="1" ref="AE21" ca="1">INDIRECT(ADDRESS($D21,AE$3,,,"mkt data"))</f>
        <v>248.96000699999999</v>
      </c>
      <c r="AF21" s="167">
        <f t="shared" ca="1" si="7"/>
        <v>250</v>
      </c>
      <c r="AG21" s="167">
        <f t="shared" ca="1" si="8"/>
        <v>1.0399930000000097</v>
      </c>
      <c r="AH21" s="167">
        <f t="shared" ca="1" si="9"/>
        <v>-1039.9930000000097</v>
      </c>
      <c r="AI21" s="523"/>
      <c r="AJ21" s="533"/>
      <c r="AK21" s="459"/>
    </row>
    <row r="22" spans="1:44" x14ac:dyDescent="0.25">
      <c r="A22" s="530" t="str">
        <f t="shared" ref="A22" si="20">_xlfn.CONCAT(H22,"_",H23)</f>
        <v>XLU_IDU</v>
      </c>
      <c r="B22" s="524">
        <f>MATCH(A22,SCALARS!D:D,0)</f>
        <v>99</v>
      </c>
      <c r="C22" s="524">
        <f>MATCH(A22,THRESHOLDS!D:D,0)</f>
        <v>99</v>
      </c>
      <c r="D22" s="80">
        <f>MATCH(H22,'MKT DATA'!B:B,0)</f>
        <v>163</v>
      </c>
      <c r="E22" s="64"/>
      <c r="F22" s="524" t="str" cm="1">
        <f t="array" aca="1" ref="F22" ca="1">INDIRECT(ADDRESS($B22,F$3,,,"scalars"))</f>
        <v>utilities</v>
      </c>
      <c r="G22" s="524" t="str" cm="1">
        <f t="array" aca="1" ref="G22" ca="1">INDIRECT(ADDRESS($B22,G$3,,,"scalars"))</f>
        <v>-</v>
      </c>
      <c r="H22" s="173" t="s">
        <v>104</v>
      </c>
      <c r="I22" s="33" cm="1">
        <f t="array" aca="1" ref="I22" ca="1">INDIRECT(ADDRESS($D22,I$3,,,"mkt data"))</f>
        <v>42.42</v>
      </c>
      <c r="J22" s="34" cm="1">
        <f t="array" aca="1" ref="J22" ca="1">INDIRECT(ADDRESS($D22,J$3,,,"mkt data"))</f>
        <v>42.58</v>
      </c>
      <c r="K22" s="150" cm="1">
        <f t="array" aca="1" ref="K22" ca="1">INDIRECT(ADDRESS($B22,INT(LEFT(K$3,2)),,,"SCALARS"))</f>
        <v>0</v>
      </c>
      <c r="L22" s="16">
        <f t="shared" ca="1" si="1"/>
        <v>42.414500000000004</v>
      </c>
      <c r="M22" s="16">
        <f t="shared" ca="1" si="2"/>
        <v>42.585499999999996</v>
      </c>
      <c r="N22" s="44" cm="1">
        <f t="array" aca="1" ref="N22" ca="1">INDIRECT(ADDRESS($B22,N$3,,,"scalars"))</f>
        <v>2.5565272100610614</v>
      </c>
      <c r="O22" s="17">
        <f t="shared" ca="1" si="3"/>
        <v>108.4338233511349</v>
      </c>
      <c r="P22" s="17">
        <f t="shared" ca="1" si="4"/>
        <v>108.87098950405532</v>
      </c>
      <c r="Q22" s="477">
        <f ca="1">O23-P22</f>
        <v>-0.60648950405531821</v>
      </c>
      <c r="R22" s="475">
        <f ca="1">LN(O23/P22)</f>
        <v>-5.5862916066714502E-3</v>
      </c>
      <c r="S22" s="252" cm="1">
        <f t="array" aca="1" ref="S22" ca="1">-INDIRECT(ADDRESS($C22,S$3,,,"thresholds"))</f>
        <v>3.0000000000000001E-3</v>
      </c>
      <c r="T22" s="60" cm="1">
        <f t="array" aca="1" ref="T22" ca="1">-INDIRECT(ADDRESS($C22,T$3,,,"thresholds"))</f>
        <v>0</v>
      </c>
      <c r="U22" s="477">
        <f ca="1">O22-P23</f>
        <v>-1.7016766488650887</v>
      </c>
      <c r="V22" s="475">
        <f ca="1">LN(O22/P23)</f>
        <v>-1.5571362037905179E-2</v>
      </c>
      <c r="W22" s="252" cm="1">
        <f t="array" aca="1" ref="W22" ca="1">INDIRECT(ADDRESS($C22,W$3,,,"thresholds"))</f>
        <v>6.0000000000000001E-3</v>
      </c>
      <c r="X22" s="60" cm="1">
        <f t="array" aca="1" ref="X22" ca="1">INDIRECT(ADDRESS($C22,X$3,,,"thresholds"))</f>
        <v>0</v>
      </c>
      <c r="Y22" s="27" cm="1">
        <f t="array" aca="1" ref="Y22" ca="1">INDIRECT(ADDRESS($D22,Y$3,,,"mkt data"))</f>
        <v>2555</v>
      </c>
      <c r="Z22" s="48">
        <f t="shared" ca="1" si="5"/>
        <v>108587.5</v>
      </c>
      <c r="AA22" s="27">
        <f t="shared" ca="1" si="6"/>
        <v>999.40262319327121</v>
      </c>
      <c r="AB22" s="534">
        <f ca="1">SUM(AA22:AA23)</f>
        <v>-0.59737680672878923</v>
      </c>
      <c r="AC22" s="474">
        <v>46315</v>
      </c>
      <c r="AD22" s="173" t="str">
        <f t="shared" si="19"/>
        <v>XLU</v>
      </c>
      <c r="AE22" s="33" cm="1">
        <f t="array" aca="1" ref="AE22" ca="1">INDIRECT(ADDRESS($D22,AE$3,,,"mkt data"))</f>
        <v>42.869999</v>
      </c>
      <c r="AF22" s="165">
        <f t="shared" ca="1" si="7"/>
        <v>42.5</v>
      </c>
      <c r="AG22" s="165">
        <f t="shared" ca="1" si="8"/>
        <v>-0.36999899999999997</v>
      </c>
      <c r="AH22" s="165">
        <f t="shared" ca="1" si="9"/>
        <v>-945.34744499999988</v>
      </c>
      <c r="AI22" s="522">
        <f ca="1">AH22+AH23</f>
        <v>-305.35144499998921</v>
      </c>
      <c r="AJ22" s="532"/>
      <c r="AK22" s="458"/>
      <c r="AM22" s="235"/>
    </row>
    <row r="23" spans="1:44" ht="15.75" thickBot="1" x14ac:dyDescent="0.3">
      <c r="A23" s="531"/>
      <c r="B23" s="525" t="e">
        <f>MATCH(H23,SCALARS!D:D,0)</f>
        <v>#N/A</v>
      </c>
      <c r="C23" s="525"/>
      <c r="D23" s="82">
        <f>MATCH(H23,'MKT DATA'!B:B,0)</f>
        <v>161</v>
      </c>
      <c r="E23" s="65"/>
      <c r="F23" s="525"/>
      <c r="G23" s="525"/>
      <c r="H23" s="181" t="s">
        <v>102</v>
      </c>
      <c r="I23" s="37" cm="1">
        <f t="array" aca="1" ref="I23" ca="1">INDIRECT(ADDRESS($D23,I$3,,,"mkt data"))</f>
        <v>108.27</v>
      </c>
      <c r="J23" s="38" cm="1">
        <f t="array" aca="1" ref="J23" ca="1">INDIRECT(ADDRESS($D23,J$3,,,"mkt data"))</f>
        <v>110.13</v>
      </c>
      <c r="K23" s="151" cm="1">
        <f t="array" aca="1" ref="K23" ca="1">INDIRECT(ADDRESS($B22,INT(RIGHT(K$3,2)),,,"SCALARS"))</f>
        <v>0</v>
      </c>
      <c r="L23" s="22">
        <f t="shared" ca="1" si="1"/>
        <v>108.2645</v>
      </c>
      <c r="M23" s="22">
        <f t="shared" ca="1" si="2"/>
        <v>110.13549999999999</v>
      </c>
      <c r="N23" s="87">
        <v>1</v>
      </c>
      <c r="O23" s="23">
        <f t="shared" ca="1" si="3"/>
        <v>108.2645</v>
      </c>
      <c r="P23" s="23">
        <f t="shared" ca="1" si="4"/>
        <v>110.13549999999999</v>
      </c>
      <c r="Q23" s="598"/>
      <c r="R23" s="476"/>
      <c r="S23" s="253" t="b">
        <f ca="1">IF(R22&gt;S22,TRUE,FALSE)</f>
        <v>0</v>
      </c>
      <c r="T23" s="224" t="b">
        <f ca="1">AND(IF(V22&gt;-T22,TRUE,FALSE),IF(Y22&gt;0,TRUE,FALSE))</f>
        <v>0</v>
      </c>
      <c r="U23" s="478"/>
      <c r="V23" s="476"/>
      <c r="W23" s="253" t="b">
        <f ca="1">IF(V22&gt;W22,TRUE,FALSE)</f>
        <v>0</v>
      </c>
      <c r="X23" s="61" t="b">
        <f ca="1">AND(IF(R22&gt;-X22,TRUE,FALSE),IF(Y22&lt;0,TRUE,FALSE))</f>
        <v>0</v>
      </c>
      <c r="Y23" s="29" cm="1">
        <f t="array" aca="1" ref="Y23" ca="1">INDIRECT(ADDRESS($D23,Y$3,,,"mkt data"))</f>
        <v>-1000</v>
      </c>
      <c r="Z23" s="50">
        <f t="shared" ca="1" si="5"/>
        <v>-109199.99999999999</v>
      </c>
      <c r="AA23" s="29">
        <f t="shared" ca="1" si="6"/>
        <v>-1000</v>
      </c>
      <c r="AB23" s="535"/>
      <c r="AC23" s="463"/>
      <c r="AD23" s="181" t="str">
        <f t="shared" si="19"/>
        <v>IDU</v>
      </c>
      <c r="AE23" s="37" cm="1">
        <f t="array" aca="1" ref="AE23" ca="1">INDIRECT(ADDRESS($D23,AE$3,,,"mkt data"))</f>
        <v>109.839996</v>
      </c>
      <c r="AF23" s="167">
        <f t="shared" ca="1" si="7"/>
        <v>109.19999999999999</v>
      </c>
      <c r="AG23" s="167">
        <f t="shared" ca="1" si="8"/>
        <v>-0.63999600000001067</v>
      </c>
      <c r="AH23" s="167">
        <f t="shared" ca="1" si="9"/>
        <v>639.99600000001067</v>
      </c>
      <c r="AI23" s="523"/>
      <c r="AJ23" s="533"/>
      <c r="AK23" s="459"/>
    </row>
    <row r="24" spans="1:44" ht="9.9499999999999993" customHeight="1" thickBot="1" x14ac:dyDescent="0.3">
      <c r="A24" s="196"/>
      <c r="B24" s="196"/>
      <c r="C24" s="196"/>
      <c r="D24" s="197"/>
      <c r="E24" s="352"/>
      <c r="F24" s="198"/>
      <c r="G24" s="199"/>
      <c r="H24" s="599"/>
      <c r="I24" s="200"/>
      <c r="J24" s="201"/>
      <c r="K24" s="202"/>
      <c r="L24" s="202"/>
      <c r="M24" s="203"/>
      <c r="N24" s="204"/>
      <c r="O24" s="204"/>
      <c r="P24" s="205"/>
      <c r="Q24" s="220"/>
      <c r="R24" s="208"/>
      <c r="S24" s="225"/>
      <c r="T24" s="221"/>
      <c r="U24" s="206"/>
      <c r="V24" s="208"/>
      <c r="W24" s="226"/>
      <c r="X24" s="209"/>
      <c r="Y24" s="210"/>
      <c r="Z24" s="209"/>
      <c r="AA24" s="211"/>
      <c r="AB24" s="381"/>
      <c r="AC24" s="381"/>
      <c r="AD24" s="200"/>
      <c r="AE24" s="200"/>
      <c r="AF24" s="200"/>
      <c r="AG24" s="213"/>
      <c r="AH24" s="214"/>
      <c r="AI24" s="370"/>
      <c r="AJ24" s="371"/>
      <c r="AK24" s="371"/>
      <c r="AL24"/>
      <c r="AN24"/>
      <c r="AO24"/>
      <c r="AP24"/>
      <c r="AQ24"/>
      <c r="AR24"/>
    </row>
    <row r="25" spans="1:44" x14ac:dyDescent="0.25">
      <c r="A25" s="530" t="str">
        <f>_xlfn.CONCAT(H25,"_",H26)</f>
        <v>FDIS_VCR</v>
      </c>
      <c r="B25" s="524">
        <f>MATCH(A25,SCALARS!D:D,0)</f>
        <v>12</v>
      </c>
      <c r="C25" s="524">
        <f>MATCH(A25,THRESHOLDS!D:D,0)</f>
        <v>12</v>
      </c>
      <c r="D25" s="80">
        <f>MATCH(H25,'MKT DATA'!B:B,0)</f>
        <v>44</v>
      </c>
      <c r="E25" s="64"/>
      <c r="F25" s="524" t="str" cm="1">
        <f t="array" aca="1" ref="F25" ca="1">INDIRECT(ADDRESS($B25,F$3,,,"scalars"))</f>
        <v>discretionary</v>
      </c>
      <c r="G25" s="524" t="str" cm="1">
        <f t="array" aca="1" ref="G25" ca="1">INDIRECT(ADDRESS($B25,G$3,,,"scalars"))</f>
        <v>-</v>
      </c>
      <c r="H25" s="173" t="s">
        <v>146</v>
      </c>
      <c r="I25" s="33" cm="1">
        <f t="array" aca="1" ref="I25" ca="1">INDIRECT(ADDRESS($D25,I$3,,,"mkt data"))</f>
        <v>97.46</v>
      </c>
      <c r="J25" s="34" cm="1">
        <f t="array" aca="1" ref="J25" ca="1">INDIRECT(ADDRESS($D25,J$3,,,"mkt data"))</f>
        <v>99.12</v>
      </c>
      <c r="K25" s="150" cm="1">
        <f t="array" aca="1" ref="K25" ca="1">INDIRECT(ADDRESS($B25,INT(LEFT(K$3,2)),,,"SCALARS"))</f>
        <v>0</v>
      </c>
      <c r="L25" s="16">
        <f t="shared" ref="L25:L42" ca="1" si="21">I25+K25-L$1</f>
        <v>97.454499999999996</v>
      </c>
      <c r="M25" s="16">
        <f t="shared" ref="M25:M42" ca="1" si="22">J25+K25+L$1</f>
        <v>99.125500000000002</v>
      </c>
      <c r="N25" s="44" cm="1">
        <f t="array" aca="1" ref="N25" ca="1">INDIRECT(ADDRESS($B25,N$3,,,"scalars"))</f>
        <v>3.8498971710079077</v>
      </c>
      <c r="O25" s="17">
        <f t="shared" ref="O25:O42" ca="1" si="23">L25*N25</f>
        <v>375.18980385199012</v>
      </c>
      <c r="P25" s="17">
        <f t="shared" ref="P25:P42" ca="1" si="24">N25*M25</f>
        <v>381.62298202474437</v>
      </c>
      <c r="Q25" s="477">
        <f ca="1">O26-P25</f>
        <v>-6.2484820247443622</v>
      </c>
      <c r="R25" s="475">
        <f ca="1">LN(O26/P25)</f>
        <v>-1.6508968891097733E-2</v>
      </c>
      <c r="S25" s="252" cm="1">
        <f t="array" aca="1" ref="S25" ca="1">-INDIRECT(ADDRESS($C25,S$3,,,"thresholds"))</f>
        <v>0</v>
      </c>
      <c r="T25" s="60" cm="1">
        <f t="array" aca="1" ref="T25" ca="1">-INDIRECT(ADDRESS($C25,T$3,,,"thresholds"))</f>
        <v>0</v>
      </c>
      <c r="U25" s="477">
        <f ca="1">O25-P26</f>
        <v>-5.9956961480098698</v>
      </c>
      <c r="V25" s="475">
        <f ca="1">LN(O25/P26)</f>
        <v>-1.5854091752898206E-2</v>
      </c>
      <c r="W25" s="252" cm="1">
        <f t="array" aca="1" ref="W25" ca="1">INDIRECT(ADDRESS($C25,W$3,,,"thresholds"))</f>
        <v>0</v>
      </c>
      <c r="X25" s="60" cm="1">
        <f t="array" aca="1" ref="X25" ca="1">INDIRECT(ADDRESS($C25,X$3,,,"thresholds"))</f>
        <v>0</v>
      </c>
      <c r="Y25" s="27" cm="1">
        <f t="array" aca="1" ref="Y25" ca="1">INDIRECT(ADDRESS($D25,Y$3,,,"mkt data"))</f>
        <v>0</v>
      </c>
      <c r="Z25" s="48">
        <f t="shared" ref="Z25:Z42" ca="1" si="25">Y25*AVERAGE(I25:J25)</f>
        <v>0</v>
      </c>
      <c r="AA25" s="27">
        <f t="shared" ref="AA25:AA42" ca="1" si="26">Y25/N25</f>
        <v>0</v>
      </c>
      <c r="AB25" s="534">
        <f ca="1">SUM(AA25:AA26)</f>
        <v>0</v>
      </c>
      <c r="AC25" s="462"/>
      <c r="AD25" s="173" t="str">
        <f>H25</f>
        <v>FDIS</v>
      </c>
      <c r="AE25" s="33" cm="1">
        <f t="array" aca="1" ref="AE25" ca="1">INDIRECT(ADDRESS($D25,AE$3,,,"mkt data"))</f>
        <v>99.830001999999993</v>
      </c>
      <c r="AF25" s="165">
        <f t="shared" ref="AF25:AF42" ca="1" si="27">AVERAGE(I25,J25)</f>
        <v>98.289999999999992</v>
      </c>
      <c r="AG25" s="165">
        <f t="shared" ref="AG25:AG42" ca="1" si="28">AF25-AE25</f>
        <v>-1.5400020000000012</v>
      </c>
      <c r="AH25" s="165">
        <f ca="1">AG25*Y25</f>
        <v>0</v>
      </c>
      <c r="AI25" s="522">
        <f ca="1">AH25+AH26</f>
        <v>0</v>
      </c>
      <c r="AJ25" s="532"/>
      <c r="AK25" s="458"/>
    </row>
    <row r="26" spans="1:44" ht="15.75" thickBot="1" x14ac:dyDescent="0.3">
      <c r="A26" s="531"/>
      <c r="B26" s="525" t="e">
        <f>MATCH(H26,SCALARS!D:D,0)</f>
        <v>#N/A</v>
      </c>
      <c r="C26" s="525"/>
      <c r="D26" s="82">
        <f>MATCH(H26,'MKT DATA'!B:B,0)</f>
        <v>46</v>
      </c>
      <c r="E26" s="65"/>
      <c r="F26" s="525"/>
      <c r="G26" s="525"/>
      <c r="H26" s="181" t="s">
        <v>149</v>
      </c>
      <c r="I26" s="37" cm="1">
        <f t="array" aca="1" ref="I26" ca="1">INDIRECT(ADDRESS($D26,I$3,,,"mkt data"))</f>
        <v>375.38</v>
      </c>
      <c r="J26" s="38" cm="1">
        <f t="array" aca="1" ref="J26" ca="1">INDIRECT(ADDRESS($D26,J$3,,,"mkt data"))</f>
        <v>381.18</v>
      </c>
      <c r="K26" s="151" cm="1">
        <f t="array" aca="1" ref="K26" ca="1">INDIRECT(ADDRESS($B25,INT(RIGHT(K$3,2)),,,"SCALARS"))</f>
        <v>0</v>
      </c>
      <c r="L26" s="22">
        <f t="shared" ca="1" si="21"/>
        <v>375.37450000000001</v>
      </c>
      <c r="M26" s="22">
        <f t="shared" ca="1" si="22"/>
        <v>381.18549999999999</v>
      </c>
      <c r="N26" s="87">
        <v>1</v>
      </c>
      <c r="O26" s="23">
        <f t="shared" ca="1" si="23"/>
        <v>375.37450000000001</v>
      </c>
      <c r="P26" s="23">
        <f t="shared" ca="1" si="24"/>
        <v>381.18549999999999</v>
      </c>
      <c r="Q26" s="598"/>
      <c r="R26" s="476"/>
      <c r="S26" s="253" t="b">
        <f ca="1">IF(R25&gt;S25,TRUE,FALSE)</f>
        <v>0</v>
      </c>
      <c r="T26" s="224" t="b">
        <f ca="1">AND(IF(V25&gt;-T25,TRUE,FALSE),IF(Y25&gt;0,TRUE,FALSE))</f>
        <v>0</v>
      </c>
      <c r="U26" s="478"/>
      <c r="V26" s="476"/>
      <c r="W26" s="253" t="b">
        <f ca="1">IF(V25&gt;W25,TRUE,FALSE)</f>
        <v>0</v>
      </c>
      <c r="X26" s="61" t="b">
        <f ca="1">AND(IF(R25&gt;-X25,TRUE,FALSE),IF(Y25&lt;0,TRUE,FALSE))</f>
        <v>0</v>
      </c>
      <c r="Y26" s="29" cm="1">
        <f t="array" aca="1" ref="Y26" ca="1">INDIRECT(ADDRESS($D26,Y$3,,,"mkt data"))</f>
        <v>0</v>
      </c>
      <c r="Z26" s="50">
        <f t="shared" ca="1" si="25"/>
        <v>0</v>
      </c>
      <c r="AA26" s="29">
        <f t="shared" ca="1" si="26"/>
        <v>0</v>
      </c>
      <c r="AB26" s="535"/>
      <c r="AC26" s="463"/>
      <c r="AD26" s="181" t="str">
        <f>H26</f>
        <v>VCR</v>
      </c>
      <c r="AE26" s="37" cm="1">
        <f t="array" aca="1" ref="AE26" ca="1">INDIRECT(ADDRESS($D26,AE$3,,,"mkt data"))</f>
        <v>384.23001099999999</v>
      </c>
      <c r="AF26" s="167">
        <f t="shared" ca="1" si="27"/>
        <v>378.28</v>
      </c>
      <c r="AG26" s="167">
        <f t="shared" ca="1" si="28"/>
        <v>-5.9500110000000177</v>
      </c>
      <c r="AH26" s="167">
        <f t="shared" ref="AH26:AH42" ca="1" si="29">AG26*Y26</f>
        <v>0</v>
      </c>
      <c r="AI26" s="523"/>
      <c r="AJ26" s="533"/>
      <c r="AK26" s="459"/>
    </row>
    <row r="27" spans="1:44" x14ac:dyDescent="0.25">
      <c r="A27" s="530" t="str">
        <f t="shared" ref="A27" si="30">_xlfn.CONCAT(H27,"_",H28)</f>
        <v>FENY_VDE</v>
      </c>
      <c r="B27" s="524">
        <f>MATCH(A27,SCALARS!D:D,0)</f>
        <v>13</v>
      </c>
      <c r="C27" s="524">
        <f>MATCH(A27,THRESHOLDS!D:D,0)</f>
        <v>13</v>
      </c>
      <c r="D27" s="80">
        <f>MATCH(H27,'MKT DATA'!B:B,0)</f>
        <v>50</v>
      </c>
      <c r="E27" s="64"/>
      <c r="F27" s="524" t="str" cm="1">
        <f t="array" aca="1" ref="F27" ca="1">INDIRECT(ADDRESS($B27,F$3,,,"scalars"))</f>
        <v>energy</v>
      </c>
      <c r="G27" s="524" t="str" cm="1">
        <f t="array" aca="1" ref="G27" ca="1">INDIRECT(ADDRESS($B27,G$3,,,"scalars"))</f>
        <v>-</v>
      </c>
      <c r="H27" s="173" t="s">
        <v>80</v>
      </c>
      <c r="I27" s="33" cm="1">
        <f t="array" aca="1" ref="I27" ca="1">INDIRECT(ADDRESS($D27,I$3,,,"mkt data"))</f>
        <v>37.49</v>
      </c>
      <c r="J27" s="34" cm="1">
        <f t="array" aca="1" ref="J27" ca="1">INDIRECT(ADDRESS($D27,J$3,,,"mkt data"))</f>
        <v>38.619999999999997</v>
      </c>
      <c r="K27" s="150" cm="1">
        <f t="array" aca="1" ref="K27" ca="1">INDIRECT(ADDRESS($B27,INT(LEFT(K$3,2)),,,"SCALARS"))</f>
        <v>0</v>
      </c>
      <c r="L27" s="16">
        <f t="shared" ca="1" si="21"/>
        <v>37.484500000000004</v>
      </c>
      <c r="M27" s="16">
        <f t="shared" ca="1" si="22"/>
        <v>38.625499999999995</v>
      </c>
      <c r="N27" s="44" cm="1">
        <f t="array" aca="1" ref="N27" ca="1">INDIRECT(ADDRESS($B27,N$3,,,"scalars"))</f>
        <v>5.0804910874323221</v>
      </c>
      <c r="O27" s="17">
        <f t="shared" ca="1" si="23"/>
        <v>190.4396681668569</v>
      </c>
      <c r="P27" s="17">
        <f t="shared" ca="1" si="24"/>
        <v>196.23650849761714</v>
      </c>
      <c r="Q27" s="477">
        <f ca="1">O28-P27</f>
        <v>-5.4720084976171393</v>
      </c>
      <c r="R27" s="475">
        <f ca="1">LN(O28/P27)</f>
        <v>-2.8280924787501729E-2</v>
      </c>
      <c r="S27" s="252" cm="1">
        <f t="array" aca="1" ref="S27" ca="1">-INDIRECT(ADDRESS($C27,S$3,,,"thresholds"))</f>
        <v>0</v>
      </c>
      <c r="T27" s="60" cm="1">
        <f t="array" aca="1" ref="T27" ca="1">-INDIRECT(ADDRESS($C27,T$3,,,"thresholds"))</f>
        <v>0</v>
      </c>
      <c r="U27" s="477">
        <f ca="1">O27-P28</f>
        <v>-3.2458318331431144</v>
      </c>
      <c r="V27" s="475">
        <f ca="1">LN(O27/P28)</f>
        <v>-1.6900267713337847E-2</v>
      </c>
      <c r="W27" s="252" cm="1">
        <f t="array" aca="1" ref="W27" ca="1">INDIRECT(ADDRESS($C27,W$3,,,"thresholds"))</f>
        <v>0</v>
      </c>
      <c r="X27" s="60" cm="1">
        <f t="array" aca="1" ref="X27" ca="1">INDIRECT(ADDRESS($C27,X$3,,,"thresholds"))</f>
        <v>0</v>
      </c>
      <c r="Y27" s="27" cm="1">
        <f t="array" aca="1" ref="Y27" ca="1">INDIRECT(ADDRESS($D27,Y$3,,,"mkt data"))</f>
        <v>0</v>
      </c>
      <c r="Z27" s="48">
        <f t="shared" ca="1" si="25"/>
        <v>0</v>
      </c>
      <c r="AA27" s="27">
        <f t="shared" ca="1" si="26"/>
        <v>0</v>
      </c>
      <c r="AB27" s="485">
        <f ca="1">SUM(AA27:AA28)</f>
        <v>0</v>
      </c>
      <c r="AC27" s="462"/>
      <c r="AD27" s="173" t="str">
        <f t="shared" ref="AD27:AD30" si="31">H27</f>
        <v>FENY</v>
      </c>
      <c r="AE27" s="33" cm="1">
        <f t="array" aca="1" ref="AE27" ca="1">INDIRECT(ADDRESS($D27,AE$3,,,"mkt data"))</f>
        <v>36.990001999999997</v>
      </c>
      <c r="AF27" s="165">
        <f t="shared" ca="1" si="27"/>
        <v>38.055</v>
      </c>
      <c r="AG27" s="165">
        <f t="shared" ca="1" si="28"/>
        <v>1.0649980000000028</v>
      </c>
      <c r="AH27" s="165">
        <f t="shared" ca="1" si="29"/>
        <v>0</v>
      </c>
      <c r="AI27" s="522">
        <f ca="1">AH27+AH28</f>
        <v>0</v>
      </c>
      <c r="AJ27" s="532"/>
      <c r="AK27" s="458"/>
    </row>
    <row r="28" spans="1:44" ht="15.75" thickBot="1" x14ac:dyDescent="0.3">
      <c r="A28" s="531"/>
      <c r="B28" s="525" t="e">
        <f>MATCH(H28,SCALARS!D:D,0)</f>
        <v>#N/A</v>
      </c>
      <c r="C28" s="525"/>
      <c r="D28" s="82">
        <f>MATCH(H28,'MKT DATA'!B:B,0)</f>
        <v>52</v>
      </c>
      <c r="E28" s="65"/>
      <c r="F28" s="525"/>
      <c r="G28" s="525"/>
      <c r="H28" s="181" t="s">
        <v>82</v>
      </c>
      <c r="I28" s="37" cm="1">
        <f t="array" aca="1" ref="I28" ca="1">INDIRECT(ADDRESS($D28,I$3,,,"mkt data"))</f>
        <v>190.77</v>
      </c>
      <c r="J28" s="38" cm="1">
        <f t="array" aca="1" ref="J28" ca="1">INDIRECT(ADDRESS($D28,J$3,,,"mkt data"))</f>
        <v>193.68</v>
      </c>
      <c r="K28" s="151" cm="1">
        <f t="array" aca="1" ref="K28" ca="1">INDIRECT(ADDRESS($B27,INT(RIGHT(K$3,2)),,,"SCALARS"))</f>
        <v>0</v>
      </c>
      <c r="L28" s="22">
        <f t="shared" ca="1" si="21"/>
        <v>190.7645</v>
      </c>
      <c r="M28" s="22">
        <f t="shared" ca="1" si="22"/>
        <v>193.68550000000002</v>
      </c>
      <c r="N28" s="87">
        <v>1</v>
      </c>
      <c r="O28" s="23">
        <f t="shared" ca="1" si="23"/>
        <v>190.7645</v>
      </c>
      <c r="P28" s="23">
        <f t="shared" ca="1" si="24"/>
        <v>193.68550000000002</v>
      </c>
      <c r="Q28" s="598"/>
      <c r="R28" s="476"/>
      <c r="S28" s="253" t="b">
        <f ca="1">IF(R27&gt;S27,TRUE,FALSE)</f>
        <v>0</v>
      </c>
      <c r="T28" s="224" t="b">
        <f ca="1">AND(IF(V27&gt;-T27,TRUE,FALSE),IF(Y27&gt;0,TRUE,FALSE))</f>
        <v>0</v>
      </c>
      <c r="U28" s="478"/>
      <c r="V28" s="476"/>
      <c r="W28" s="253" t="b">
        <f ca="1">IF(V27&gt;W27,TRUE,FALSE)</f>
        <v>0</v>
      </c>
      <c r="X28" s="61" t="b">
        <f ca="1">AND(IF(R27&gt;-X27,TRUE,FALSE),IF(Y27&lt;0,TRUE,FALSE))</f>
        <v>0</v>
      </c>
      <c r="Y28" s="29" cm="1">
        <f t="array" aca="1" ref="Y28" ca="1">INDIRECT(ADDRESS($D28,Y$3,,,"mkt data"))</f>
        <v>0</v>
      </c>
      <c r="Z28" s="50">
        <f t="shared" ca="1" si="25"/>
        <v>0</v>
      </c>
      <c r="AA28" s="29">
        <f t="shared" ca="1" si="26"/>
        <v>0</v>
      </c>
      <c r="AB28" s="486"/>
      <c r="AC28" s="463"/>
      <c r="AD28" s="181" t="str">
        <f t="shared" si="31"/>
        <v>VDE</v>
      </c>
      <c r="AE28" s="37" cm="1">
        <f t="array" aca="1" ref="AE28" ca="1">INDIRECT(ADDRESS($D28,AE$3,,,"mkt data"))</f>
        <v>187.96000699999999</v>
      </c>
      <c r="AF28" s="167">
        <f t="shared" ca="1" si="27"/>
        <v>192.22500000000002</v>
      </c>
      <c r="AG28" s="167">
        <f t="shared" ca="1" si="28"/>
        <v>4.2649930000000325</v>
      </c>
      <c r="AH28" s="167">
        <f t="shared" ca="1" si="29"/>
        <v>0</v>
      </c>
      <c r="AI28" s="523"/>
      <c r="AJ28" s="533"/>
      <c r="AK28" s="459"/>
    </row>
    <row r="29" spans="1:44" x14ac:dyDescent="0.25">
      <c r="A29" s="530" t="str">
        <f t="shared" ref="A29" si="32">_xlfn.CONCAT(H29,"_",H30)</f>
        <v>FNCL_VFH</v>
      </c>
      <c r="B29" s="524">
        <f>MATCH(A29,SCALARS!D:D,0)</f>
        <v>21</v>
      </c>
      <c r="C29" s="524">
        <f>MATCH(A29,THRESHOLDS!D:D,0)</f>
        <v>21</v>
      </c>
      <c r="D29" s="80">
        <f>MATCH(H29,'MKT DATA'!B:B,0)</f>
        <v>56</v>
      </c>
      <c r="E29" s="64"/>
      <c r="F29" s="524" t="str" cm="1">
        <f t="array" aca="1" ref="F29" ca="1">INDIRECT(ADDRESS($B29,F$3,,,"scalars"))</f>
        <v>financials</v>
      </c>
      <c r="G29" s="524" t="str" cm="1">
        <f t="array" aca="1" ref="G29" ca="1">INDIRECT(ADDRESS($B29,G$3,,,"scalars"))</f>
        <v>-</v>
      </c>
      <c r="H29" s="173" t="s">
        <v>113</v>
      </c>
      <c r="I29" s="33" cm="1">
        <f t="array" aca="1" ref="I29" ca="1">INDIRECT(ADDRESS($D29,I$3,,,"mkt data"))</f>
        <v>78.41</v>
      </c>
      <c r="J29" s="34" cm="1">
        <f t="array" aca="1" ref="J29" ca="1">INDIRECT(ADDRESS($D29,J$3,,,"mkt data"))</f>
        <v>80.010000000000005</v>
      </c>
      <c r="K29" s="150" cm="1">
        <f t="array" aca="1" ref="K29" ca="1">INDIRECT(ADDRESS($B29,INT(LEFT(K$3,2)),,,"SCALARS"))</f>
        <v>0</v>
      </c>
      <c r="L29" s="16">
        <f t="shared" ca="1" si="21"/>
        <v>78.404499999999999</v>
      </c>
      <c r="M29" s="16">
        <f t="shared" ca="1" si="22"/>
        <v>80.015500000000003</v>
      </c>
      <c r="N29" s="44" cm="1">
        <f t="array" aca="1" ref="N29" ca="1">INDIRECT(ADDRESS($B29,N$3,,,"scalars"))</f>
        <v>1.7181415229658914</v>
      </c>
      <c r="O29" s="17">
        <f t="shared" ca="1" si="23"/>
        <v>134.71002703737923</v>
      </c>
      <c r="P29" s="17">
        <f t="shared" ca="1" si="24"/>
        <v>137.4779530308773</v>
      </c>
      <c r="Q29" s="477">
        <f ca="1">O30-P29</f>
        <v>-2.7034530308773128</v>
      </c>
      <c r="R29" s="475">
        <f ca="1">LN(O30/P29)</f>
        <v>-1.9860551212916508E-2</v>
      </c>
      <c r="S29" s="252" cm="1">
        <f t="array" aca="1" ref="S29" ca="1">-INDIRECT(ADDRESS($C29,S$3,,,"thresholds"))</f>
        <v>0</v>
      </c>
      <c r="T29" s="60" cm="1">
        <f t="array" aca="1" ref="T29" ca="1">-INDIRECT(ADDRESS($C29,T$3,,,"thresholds"))</f>
        <v>0</v>
      </c>
      <c r="U29" s="477">
        <f ca="1">O29-P30</f>
        <v>-2.7454729626207666</v>
      </c>
      <c r="V29" s="475">
        <f ca="1">LN(O29/P30)</f>
        <v>-2.0175707942949445E-2</v>
      </c>
      <c r="W29" s="252" cm="1">
        <f t="array" aca="1" ref="W29" ca="1">INDIRECT(ADDRESS($C29,W$3,,,"thresholds"))</f>
        <v>0</v>
      </c>
      <c r="X29" s="60" cm="1">
        <f t="array" aca="1" ref="X29" ca="1">INDIRECT(ADDRESS($C29,X$3,,,"thresholds"))</f>
        <v>0</v>
      </c>
      <c r="Y29" s="27" cm="1">
        <f t="array" aca="1" ref="Y29" ca="1">INDIRECT(ADDRESS($D29,Y$3,,,"mkt data"))</f>
        <v>0</v>
      </c>
      <c r="Z29" s="48">
        <f t="shared" ca="1" si="25"/>
        <v>0</v>
      </c>
      <c r="AA29" s="27">
        <f t="shared" ca="1" si="26"/>
        <v>0</v>
      </c>
      <c r="AB29" s="550">
        <f ca="1">SUM(AA29:AA30)</f>
        <v>0</v>
      </c>
      <c r="AC29" s="462"/>
      <c r="AD29" s="173" t="str">
        <f t="shared" si="31"/>
        <v>FNCL</v>
      </c>
      <c r="AE29" s="33" cm="1">
        <f t="array" aca="1" ref="AE29" ca="1">INDIRECT(ADDRESS($D29,AE$3,,,"mkt data"))</f>
        <v>80.180000000000007</v>
      </c>
      <c r="AF29" s="165">
        <f t="shared" ca="1" si="27"/>
        <v>79.210000000000008</v>
      </c>
      <c r="AG29" s="165">
        <f t="shared" ca="1" si="28"/>
        <v>-0.96999999999999886</v>
      </c>
      <c r="AH29" s="165">
        <f t="shared" ca="1" si="29"/>
        <v>0</v>
      </c>
      <c r="AI29" s="522">
        <f ca="1">AH29+AH30</f>
        <v>0</v>
      </c>
      <c r="AJ29" s="532"/>
      <c r="AK29" s="458"/>
    </row>
    <row r="30" spans="1:44" ht="15.75" thickBot="1" x14ac:dyDescent="0.3">
      <c r="A30" s="531"/>
      <c r="B30" s="525" t="e">
        <f>MATCH(H30,SCALARS!D:D,0)</f>
        <v>#N/A</v>
      </c>
      <c r="C30" s="525"/>
      <c r="D30" s="82">
        <f>MATCH(H30,'MKT DATA'!B:B,0)</f>
        <v>58</v>
      </c>
      <c r="E30" s="65"/>
      <c r="F30" s="525"/>
      <c r="G30" s="525"/>
      <c r="H30" s="181" t="s">
        <v>85</v>
      </c>
      <c r="I30" s="37" cm="1">
        <f t="array" aca="1" ref="I30" ca="1">INDIRECT(ADDRESS($D30,I$3,,,"mkt data"))</f>
        <v>134.78</v>
      </c>
      <c r="J30" s="38" cm="1">
        <f t="array" aca="1" ref="J30" ca="1">INDIRECT(ADDRESS($D30,J$3,,,"mkt data"))</f>
        <v>137.44999999999999</v>
      </c>
      <c r="K30" s="151" cm="1">
        <f t="array" aca="1" ref="K30" ca="1">INDIRECT(ADDRESS($B29,INT(RIGHT(K$3,2)),,,"SCALARS"))</f>
        <v>0</v>
      </c>
      <c r="L30" s="22">
        <f t="shared" ca="1" si="21"/>
        <v>134.77449999999999</v>
      </c>
      <c r="M30" s="22">
        <f t="shared" ca="1" si="22"/>
        <v>137.4555</v>
      </c>
      <c r="N30" s="87">
        <v>1</v>
      </c>
      <c r="O30" s="23">
        <f t="shared" ca="1" si="23"/>
        <v>134.77449999999999</v>
      </c>
      <c r="P30" s="23">
        <f t="shared" ca="1" si="24"/>
        <v>137.4555</v>
      </c>
      <c r="Q30" s="598"/>
      <c r="R30" s="476"/>
      <c r="S30" s="253" t="b">
        <f ca="1">IF(R29&gt;S29,TRUE,FALSE)</f>
        <v>0</v>
      </c>
      <c r="T30" s="224" t="b">
        <f ca="1">AND(IF(V29&gt;-T29,TRUE,FALSE),IF(Y29&gt;0,TRUE,FALSE))</f>
        <v>0</v>
      </c>
      <c r="U30" s="478"/>
      <c r="V30" s="476"/>
      <c r="W30" s="253" t="b">
        <f ca="1">IF(V29&gt;W29,TRUE,FALSE)</f>
        <v>0</v>
      </c>
      <c r="X30" s="61" t="b">
        <f ca="1">AND(IF(R29&gt;-X29,TRUE,FALSE),IF(Y29&lt;0,TRUE,FALSE))</f>
        <v>0</v>
      </c>
      <c r="Y30" s="29" cm="1">
        <f t="array" aca="1" ref="Y30" ca="1">INDIRECT(ADDRESS($D30,Y$3,,,"mkt data"))</f>
        <v>0</v>
      </c>
      <c r="Z30" s="50">
        <f t="shared" ca="1" si="25"/>
        <v>0</v>
      </c>
      <c r="AA30" s="29">
        <f t="shared" ca="1" si="26"/>
        <v>0</v>
      </c>
      <c r="AB30" s="551"/>
      <c r="AC30" s="463"/>
      <c r="AD30" s="181" t="str">
        <f t="shared" si="31"/>
        <v>VFH</v>
      </c>
      <c r="AE30" s="37" cm="1">
        <f t="array" aca="1" ref="AE30" ca="1">INDIRECT(ADDRESS($D30,AE$3,,,"mkt data"))</f>
        <v>137.66000399999999</v>
      </c>
      <c r="AF30" s="167">
        <f t="shared" ca="1" si="27"/>
        <v>136.11500000000001</v>
      </c>
      <c r="AG30" s="167">
        <f t="shared" ca="1" si="28"/>
        <v>-1.5450039999999774</v>
      </c>
      <c r="AH30" s="167">
        <f t="shared" ca="1" si="29"/>
        <v>0</v>
      </c>
      <c r="AI30" s="523"/>
      <c r="AJ30" s="533"/>
      <c r="AK30" s="459"/>
    </row>
    <row r="31" spans="1:44" x14ac:dyDescent="0.25">
      <c r="A31" s="530" t="str">
        <f t="shared" ref="A31" si="33">_xlfn.CONCAT(H31,"_",H32)</f>
        <v>FHLC_VHT</v>
      </c>
      <c r="B31" s="524">
        <f>MATCH(A31,SCALARS!D:D,0)</f>
        <v>14</v>
      </c>
      <c r="C31" s="524">
        <f>MATCH(A31,THRESHOLDS!D:D,0)</f>
        <v>14</v>
      </c>
      <c r="D31" s="80">
        <f>MATCH(H31,'MKT DATA'!B:B,0)</f>
        <v>64</v>
      </c>
      <c r="E31" s="64"/>
      <c r="F31" s="524" t="str" cm="1">
        <f t="array" aca="1" ref="F31" ca="1">INDIRECT(ADDRESS($B31,F$3,,,"scalars"))</f>
        <v>healthcare</v>
      </c>
      <c r="G31" s="524" t="str" cm="1">
        <f t="array" aca="1" ref="G31" ca="1">INDIRECT(ADDRESS($B31,G$3,,,"scalars"))</f>
        <v>-</v>
      </c>
      <c r="H31" s="173" t="s">
        <v>87</v>
      </c>
      <c r="I31" s="33" cm="1">
        <f t="array" aca="1" ref="I31" ca="1">INDIRECT(ADDRESS($D31,I$3,,,"mkt data"))</f>
        <v>85.23</v>
      </c>
      <c r="J31" s="34" cm="1">
        <f t="array" aca="1" ref="J31" ca="1">INDIRECT(ADDRESS($D31,J$3,,,"mkt data"))</f>
        <v>86.69</v>
      </c>
      <c r="K31" s="150" cm="1">
        <f t="array" aca="1" ref="K31" ca="1">INDIRECT(ADDRESS($B31,INT(LEFT(K$3,2)),,,"SCALARS"))</f>
        <v>0</v>
      </c>
      <c r="L31" s="16">
        <f t="shared" ca="1" si="21"/>
        <v>85.224500000000006</v>
      </c>
      <c r="M31" s="16">
        <f t="shared" ca="1" si="22"/>
        <v>86.695499999999996</v>
      </c>
      <c r="N31" s="44" cm="1">
        <f t="array" aca="1" ref="N31" ca="1">INDIRECT(ADDRESS($B31,N$3,,,"scalars"))</f>
        <v>3.8688675686628429</v>
      </c>
      <c r="O31" s="17">
        <f t="shared" ca="1" si="23"/>
        <v>329.72230410550645</v>
      </c>
      <c r="P31" s="17">
        <f t="shared" ca="1" si="24"/>
        <v>335.41340829900946</v>
      </c>
      <c r="Q31" s="477">
        <f ca="1">O32-P31</f>
        <v>-4.0789082990094698</v>
      </c>
      <c r="R31" s="475">
        <f ca="1">LN(O32/P31)</f>
        <v>-1.2235386520406438E-2</v>
      </c>
      <c r="S31" s="252" cm="1">
        <f t="array" aca="1" ref="S31" ca="1">-INDIRECT(ADDRESS($C31,S$3,,,"thresholds"))</f>
        <v>0</v>
      </c>
      <c r="T31" s="60" cm="1">
        <f t="array" aca="1" ref="T31" ca="1">-INDIRECT(ADDRESS($C31,T$3,,,"thresholds"))</f>
        <v>0</v>
      </c>
      <c r="U31" s="477">
        <f ca="1">O31-P32</f>
        <v>-5.4631958944935377</v>
      </c>
      <c r="V31" s="475">
        <f ca="1">LN(O31/P32)</f>
        <v>-1.6433312427943228E-2</v>
      </c>
      <c r="W31" s="252" cm="1">
        <f t="array" aca="1" ref="W31" ca="1">INDIRECT(ADDRESS($C31,W$3,,,"thresholds"))</f>
        <v>0</v>
      </c>
      <c r="X31" s="60" cm="1">
        <f t="array" aca="1" ref="X31" ca="1">INDIRECT(ADDRESS($C31,X$3,,,"thresholds"))</f>
        <v>0</v>
      </c>
      <c r="Y31" s="27" cm="1">
        <f t="array" aca="1" ref="Y31" ca="1">INDIRECT(ADDRESS($D31,Y$3,,,"mkt data"))</f>
        <v>0</v>
      </c>
      <c r="Z31" s="48">
        <f t="shared" ca="1" si="25"/>
        <v>0</v>
      </c>
      <c r="AA31" s="27">
        <f t="shared" ca="1" si="26"/>
        <v>0</v>
      </c>
      <c r="AB31" s="550">
        <f ca="1">SUM(AA31:AA32)</f>
        <v>0</v>
      </c>
      <c r="AC31" s="462"/>
      <c r="AD31" s="173" t="str">
        <f>H31</f>
        <v>FHLC</v>
      </c>
      <c r="AE31" s="33" cm="1">
        <f t="array" aca="1" ref="AE31" ca="1">INDIRECT(ADDRESS($D31,AE$3,,,"mkt data"))</f>
        <v>86.949996999999996</v>
      </c>
      <c r="AF31" s="165">
        <f t="shared" ca="1" si="27"/>
        <v>85.960000000000008</v>
      </c>
      <c r="AG31" s="165">
        <f t="shared" ca="1" si="28"/>
        <v>-0.98999699999998825</v>
      </c>
      <c r="AH31" s="165">
        <f t="shared" ca="1" si="29"/>
        <v>0</v>
      </c>
      <c r="AI31" s="522">
        <f ca="1">AH31+AH32</f>
        <v>0</v>
      </c>
      <c r="AJ31" s="532"/>
      <c r="AK31" s="458"/>
    </row>
    <row r="32" spans="1:44" ht="15.75" thickBot="1" x14ac:dyDescent="0.3">
      <c r="A32" s="531"/>
      <c r="B32" s="525" t="e">
        <f>MATCH(H32,SCALARS!D:D,0)</f>
        <v>#N/A</v>
      </c>
      <c r="C32" s="525"/>
      <c r="D32" s="82">
        <f>MATCH(H32,'MKT DATA'!B:B,0)</f>
        <v>66</v>
      </c>
      <c r="E32" s="65"/>
      <c r="F32" s="525"/>
      <c r="G32" s="525"/>
      <c r="H32" s="181" t="s">
        <v>89</v>
      </c>
      <c r="I32" s="37" cm="1">
        <f t="array" aca="1" ref="I32" ca="1">INDIRECT(ADDRESS($D32,I$3,,,"mkt data"))</f>
        <v>331.34</v>
      </c>
      <c r="J32" s="38" cm="1">
        <f t="array" aca="1" ref="J32" ca="1">INDIRECT(ADDRESS($D32,J$3,,,"mkt data"))</f>
        <v>335.18</v>
      </c>
      <c r="K32" s="151" cm="1">
        <f t="array" aca="1" ref="K32" ca="1">INDIRECT(ADDRESS($B31,INT(RIGHT(K$3,2)),,,"SCALARS"))</f>
        <v>0</v>
      </c>
      <c r="L32" s="22">
        <f t="shared" ca="1" si="21"/>
        <v>331.33449999999999</v>
      </c>
      <c r="M32" s="22">
        <f t="shared" ca="1" si="22"/>
        <v>335.18549999999999</v>
      </c>
      <c r="N32" s="87">
        <v>1</v>
      </c>
      <c r="O32" s="23">
        <f t="shared" ca="1" si="23"/>
        <v>331.33449999999999</v>
      </c>
      <c r="P32" s="23">
        <f t="shared" ca="1" si="24"/>
        <v>335.18549999999999</v>
      </c>
      <c r="Q32" s="598"/>
      <c r="R32" s="476"/>
      <c r="S32" s="253" t="b">
        <f ca="1">IF(R31&gt;S31,TRUE,FALSE)</f>
        <v>0</v>
      </c>
      <c r="T32" s="224" t="b">
        <f ca="1">AND(IF(V31&gt;-T31,TRUE,FALSE),IF(Y31&gt;0,TRUE,FALSE))</f>
        <v>0</v>
      </c>
      <c r="U32" s="478"/>
      <c r="V32" s="476"/>
      <c r="W32" s="253" t="b">
        <f ca="1">IF(V31&gt;W31,TRUE,FALSE)</f>
        <v>0</v>
      </c>
      <c r="X32" s="61" t="b">
        <f ca="1">AND(IF(R31&gt;-X31,TRUE,FALSE),IF(Y31&lt;0,TRUE,FALSE))</f>
        <v>0</v>
      </c>
      <c r="Y32" s="29" cm="1">
        <f t="array" aca="1" ref="Y32" ca="1">INDIRECT(ADDRESS($D32,Y$3,,,"mkt data"))</f>
        <v>0</v>
      </c>
      <c r="Z32" s="50">
        <f t="shared" ca="1" si="25"/>
        <v>0</v>
      </c>
      <c r="AA32" s="29">
        <f t="shared" ca="1" si="26"/>
        <v>0</v>
      </c>
      <c r="AB32" s="551"/>
      <c r="AC32" s="463"/>
      <c r="AD32" s="181" t="str">
        <f>H32</f>
        <v>VHT</v>
      </c>
      <c r="AE32" s="37" cm="1">
        <f t="array" aca="1" ref="AE32" ca="1">INDIRECT(ADDRESS($D32,AE$3,,,"mkt data"))</f>
        <v>336.26001000000002</v>
      </c>
      <c r="AF32" s="167">
        <f t="shared" ca="1" si="27"/>
        <v>333.26</v>
      </c>
      <c r="AG32" s="167">
        <f t="shared" ca="1" si="28"/>
        <v>-3.0000100000000316</v>
      </c>
      <c r="AH32" s="167">
        <f t="shared" ca="1" si="29"/>
        <v>0</v>
      </c>
      <c r="AI32" s="523"/>
      <c r="AJ32" s="533"/>
      <c r="AK32" s="459"/>
    </row>
    <row r="33" spans="1:39" x14ac:dyDescent="0.25">
      <c r="A33" s="530" t="str">
        <f t="shared" ref="A33" si="34">_xlfn.CONCAT(H33,"_",H34)</f>
        <v>FIDU_VIS</v>
      </c>
      <c r="B33" s="524">
        <f>MATCH(A33,SCALARS!D:D,0)</f>
        <v>15</v>
      </c>
      <c r="C33" s="524">
        <f>MATCH(A33,THRESHOLDS!D:D,0)</f>
        <v>15</v>
      </c>
      <c r="D33" s="80">
        <f>MATCH(H33,'MKT DATA'!B:B,0)</f>
        <v>90</v>
      </c>
      <c r="E33" s="64"/>
      <c r="F33" s="524" t="str" cm="1">
        <f t="array" aca="1" ref="F33" ca="1">INDIRECT(ADDRESS($B33,F$3,,,"scalars"))</f>
        <v>industrials</v>
      </c>
      <c r="G33" s="524" t="str" cm="1">
        <f t="array" aca="1" ref="G33" ca="1">INDIRECT(ADDRESS($B33,G$3,,,"scalars"))</f>
        <v>-</v>
      </c>
      <c r="H33" s="173" t="s">
        <v>91</v>
      </c>
      <c r="I33" s="33" cm="1">
        <f t="array" aca="1" ref="I33" ca="1">INDIRECT(ADDRESS($D33,I$3,,,"mkt data"))</f>
        <v>86.38</v>
      </c>
      <c r="J33" s="34" cm="1">
        <f t="array" aca="1" ref="J33" ca="1">INDIRECT(ADDRESS($D33,J$3,,,"mkt data"))</f>
        <v>87.85</v>
      </c>
      <c r="K33" s="150" cm="1">
        <f t="array" aca="1" ref="K33" ca="1">INDIRECT(ADDRESS($B33,INT(LEFT(K$3,2)),,,"SCALARS"))</f>
        <v>0</v>
      </c>
      <c r="L33" s="16">
        <f t="shared" ca="1" si="21"/>
        <v>86.374499999999998</v>
      </c>
      <c r="M33" s="16">
        <f t="shared" ca="1" si="22"/>
        <v>87.855499999999992</v>
      </c>
      <c r="N33" s="44" cm="1">
        <f t="array" aca="1" ref="N33" ca="1">INDIRECT(ADDRESS($B33,N$3,,,"scalars"))</f>
        <v>3.6163074436575924</v>
      </c>
      <c r="O33" s="17">
        <f t="shared" ca="1" si="23"/>
        <v>312.35674729220273</v>
      </c>
      <c r="P33" s="17">
        <f t="shared" ca="1" si="24"/>
        <v>317.71249861625955</v>
      </c>
      <c r="Q33" s="477">
        <f ca="1">O34-P33</f>
        <v>-5.3579986162595219</v>
      </c>
      <c r="R33" s="475">
        <f ca="1">LN(O34/P33)</f>
        <v>-1.7008120689325095E-2</v>
      </c>
      <c r="S33" s="252" cm="1">
        <f t="array" aca="1" ref="S33" ca="1">-INDIRECT(ADDRESS($C33,S$3,,,"thresholds"))</f>
        <v>0</v>
      </c>
      <c r="T33" s="60" cm="1">
        <f t="array" aca="1" ref="T33" ca="1">-INDIRECT(ADDRESS($C33,T$3,,,"thresholds"))</f>
        <v>0</v>
      </c>
      <c r="U33" s="477">
        <f ca="1">O33-P34</f>
        <v>-5.1387527077972663</v>
      </c>
      <c r="V33" s="475">
        <f ca="1">LN(O33/P34)</f>
        <v>-1.6317689593826627E-2</v>
      </c>
      <c r="W33" s="252" cm="1">
        <f t="array" aca="1" ref="W33" ca="1">INDIRECT(ADDRESS($C33,W$3,,,"thresholds"))</f>
        <v>0</v>
      </c>
      <c r="X33" s="60" cm="1">
        <f t="array" aca="1" ref="X33" ca="1">INDIRECT(ADDRESS($C33,X$3,,,"thresholds"))</f>
        <v>0</v>
      </c>
      <c r="Y33" s="27" cm="1">
        <f t="array" aca="1" ref="Y33" ca="1">INDIRECT(ADDRESS($D33,Y$3,,,"mkt data"))</f>
        <v>0</v>
      </c>
      <c r="Z33" s="48">
        <f t="shared" ca="1" si="25"/>
        <v>0</v>
      </c>
      <c r="AA33" s="27">
        <f t="shared" ca="1" si="26"/>
        <v>0</v>
      </c>
      <c r="AB33" s="534">
        <f ca="1">SUM(AA33:AA34)</f>
        <v>0</v>
      </c>
      <c r="AC33" s="462"/>
      <c r="AD33" s="173" t="str">
        <f>H33</f>
        <v>FIDU</v>
      </c>
      <c r="AE33" s="33" cm="1">
        <f t="array" aca="1" ref="AE33" ca="1">INDIRECT(ADDRESS($D33,AE$3,,,"mkt data"))</f>
        <v>88.139999000000003</v>
      </c>
      <c r="AF33" s="165">
        <f t="shared" ca="1" si="27"/>
        <v>87.114999999999995</v>
      </c>
      <c r="AG33" s="165">
        <f t="shared" ca="1" si="28"/>
        <v>-1.0249990000000082</v>
      </c>
      <c r="AH33" s="165">
        <f t="shared" ca="1" si="29"/>
        <v>0</v>
      </c>
      <c r="AI33" s="522">
        <f ca="1">AH33+AH34</f>
        <v>0</v>
      </c>
      <c r="AJ33" s="532"/>
      <c r="AK33" s="458"/>
      <c r="AM33" s="235"/>
    </row>
    <row r="34" spans="1:39" ht="15.75" thickBot="1" x14ac:dyDescent="0.3">
      <c r="A34" s="531"/>
      <c r="B34" s="525" t="e">
        <f>MATCH(H34,SCALARS!D:D,0)</f>
        <v>#N/A</v>
      </c>
      <c r="C34" s="525"/>
      <c r="D34" s="82">
        <f>MATCH(H34,'MKT DATA'!B:B,0)</f>
        <v>92</v>
      </c>
      <c r="E34" s="65"/>
      <c r="F34" s="525"/>
      <c r="G34" s="525"/>
      <c r="H34" s="181" t="s">
        <v>114</v>
      </c>
      <c r="I34" s="37" cm="1">
        <f t="array" aca="1" ref="I34" ca="1">INDIRECT(ADDRESS($D34,I$3,,,"mkt data"))</f>
        <v>312.36</v>
      </c>
      <c r="J34" s="38" cm="1">
        <f t="array" aca="1" ref="J34" ca="1">INDIRECT(ADDRESS($D34,J$3,,,"mkt data"))</f>
        <v>317.49</v>
      </c>
      <c r="K34" s="151" cm="1">
        <f t="array" aca="1" ref="K34" ca="1">INDIRECT(ADDRESS($B33,INT(RIGHT(K$3,2)),,,"SCALARS"))</f>
        <v>0</v>
      </c>
      <c r="L34" s="22">
        <f t="shared" ca="1" si="21"/>
        <v>312.35450000000003</v>
      </c>
      <c r="M34" s="22">
        <f t="shared" ca="1" si="22"/>
        <v>317.49549999999999</v>
      </c>
      <c r="N34" s="87">
        <v>1</v>
      </c>
      <c r="O34" s="23">
        <f t="shared" ca="1" si="23"/>
        <v>312.35450000000003</v>
      </c>
      <c r="P34" s="23">
        <f t="shared" ca="1" si="24"/>
        <v>317.49549999999999</v>
      </c>
      <c r="Q34" s="598"/>
      <c r="R34" s="476"/>
      <c r="S34" s="253" t="b">
        <f ca="1">IF(R33&gt;S33,TRUE,FALSE)</f>
        <v>0</v>
      </c>
      <c r="T34" s="224" t="b">
        <f ca="1">AND(IF(V33&gt;-T33,TRUE,FALSE),IF(Y33&gt;0,TRUE,FALSE))</f>
        <v>0</v>
      </c>
      <c r="U34" s="478"/>
      <c r="V34" s="476"/>
      <c r="W34" s="253" t="b">
        <f ca="1">IF(V33&gt;W33,TRUE,FALSE)</f>
        <v>0</v>
      </c>
      <c r="X34" s="61" t="b">
        <f ca="1">AND(IF(R33&gt;-X33,TRUE,FALSE),IF(Y33&lt;0,TRUE,FALSE))</f>
        <v>0</v>
      </c>
      <c r="Y34" s="29" cm="1">
        <f t="array" aca="1" ref="Y34" ca="1">INDIRECT(ADDRESS($D34,Y$3,,,"mkt data"))</f>
        <v>0</v>
      </c>
      <c r="Z34" s="50">
        <f t="shared" ca="1" si="25"/>
        <v>0</v>
      </c>
      <c r="AA34" s="29">
        <f t="shared" ca="1" si="26"/>
        <v>0</v>
      </c>
      <c r="AB34" s="535"/>
      <c r="AC34" s="463"/>
      <c r="AD34" s="181" t="str">
        <f>H34</f>
        <v>VIS</v>
      </c>
      <c r="AE34" s="37" cm="1">
        <f t="array" aca="1" ref="AE34" ca="1">INDIRECT(ADDRESS($D34,AE$3,,,"mkt data"))</f>
        <v>318.48001099999999</v>
      </c>
      <c r="AF34" s="167">
        <f t="shared" ca="1" si="27"/>
        <v>314.92500000000001</v>
      </c>
      <c r="AG34" s="167">
        <f t="shared" ca="1" si="28"/>
        <v>-3.555010999999979</v>
      </c>
      <c r="AH34" s="167">
        <f t="shared" ca="1" si="29"/>
        <v>0</v>
      </c>
      <c r="AI34" s="523"/>
      <c r="AJ34" s="533"/>
      <c r="AK34" s="459"/>
    </row>
    <row r="35" spans="1:39" x14ac:dyDescent="0.25">
      <c r="A35" s="530" t="str">
        <f t="shared" ref="A35" si="35">_xlfn.CONCAT(H35,"_",H36)</f>
        <v>FREL_VNQ</v>
      </c>
      <c r="B35" s="524">
        <f>MATCH(A35,SCALARS!D:D,0)</f>
        <v>23</v>
      </c>
      <c r="C35" s="524">
        <f>MATCH(A35,THRESHOLDS!D:D,0)</f>
        <v>23</v>
      </c>
      <c r="D35" s="80">
        <f>MATCH(H35,'MKT DATA'!B:B,0)</f>
        <v>132</v>
      </c>
      <c r="E35" s="64"/>
      <c r="F35" s="524" t="str" cm="1">
        <f t="array" aca="1" ref="F35" ca="1">INDIRECT(ADDRESS($B35,F$3,,,"scalars"))</f>
        <v>real estate</v>
      </c>
      <c r="G35" s="524" t="str" cm="1">
        <f t="array" aca="1" ref="G35" ca="1">INDIRECT(ADDRESS($B35,G$3,,,"scalars"))</f>
        <v>-</v>
      </c>
      <c r="H35" s="173" t="s">
        <v>93</v>
      </c>
      <c r="I35" s="33" cm="1">
        <f t="array" aca="1" ref="I35" ca="1">INDIRECT(ADDRESS($D35,I$3,,,"mkt data"))</f>
        <v>26.5</v>
      </c>
      <c r="J35" s="34" cm="1">
        <f t="array" aca="1" ref="J35" ca="1">INDIRECT(ADDRESS($D35,J$3,,,"mkt data"))</f>
        <v>28.5</v>
      </c>
      <c r="K35" s="150" cm="1">
        <f t="array" aca="1" ref="K35" ca="1">INDIRECT(ADDRESS($B35,INT(LEFT(K$3,2)),,,"SCALARS"))</f>
        <v>0</v>
      </c>
      <c r="L35" s="16">
        <f t="shared" ca="1" si="21"/>
        <v>26.494499999999999</v>
      </c>
      <c r="M35" s="16">
        <f t="shared" ca="1" si="22"/>
        <v>28.505500000000001</v>
      </c>
      <c r="N35" s="44" cm="1">
        <f t="array" aca="1" ref="N35" ca="1">INDIRECT(ADDRESS($B35,N$3,,,"scalars"))</f>
        <v>3.2971692852691055</v>
      </c>
      <c r="O35" s="17">
        <f t="shared" ca="1" si="23"/>
        <v>87.35685162856231</v>
      </c>
      <c r="P35" s="17">
        <f t="shared" ca="1" si="24"/>
        <v>93.987459061238496</v>
      </c>
      <c r="Q35" s="477">
        <f ca="1">O36-P35</f>
        <v>-1.3229590612384925</v>
      </c>
      <c r="R35" s="475">
        <f ca="1">LN(O36/P35)</f>
        <v>-1.4175915673171986E-2</v>
      </c>
      <c r="S35" s="252" cm="1">
        <f t="array" aca="1" ref="S35" ca="1">-INDIRECT(ADDRESS($C35,S$3,,,"thresholds"))</f>
        <v>0</v>
      </c>
      <c r="T35" s="60" cm="1">
        <f t="array" aca="1" ref="T35" ca="1">-INDIRECT(ADDRESS($C35,T$3,,,"thresholds"))</f>
        <v>0</v>
      </c>
      <c r="U35" s="477">
        <f ca="1">O35-P36</f>
        <v>-5.4186483714376834</v>
      </c>
      <c r="V35" s="475">
        <f ca="1">LN(O35/P36)</f>
        <v>-6.0181124018221371E-2</v>
      </c>
      <c r="W35" s="252" cm="1">
        <f t="array" aca="1" ref="W35" ca="1">INDIRECT(ADDRESS($C35,W$3,,,"thresholds"))</f>
        <v>0</v>
      </c>
      <c r="X35" s="60" cm="1">
        <f t="array" aca="1" ref="X35" ca="1">INDIRECT(ADDRESS($C35,X$3,,,"thresholds"))</f>
        <v>0</v>
      </c>
      <c r="Y35" s="27" cm="1">
        <f t="array" aca="1" ref="Y35" ca="1">INDIRECT(ADDRESS($D35,Y$3,,,"mkt data"))</f>
        <v>0</v>
      </c>
      <c r="Z35" s="48">
        <f t="shared" ca="1" si="25"/>
        <v>0</v>
      </c>
      <c r="AA35" s="27">
        <f t="shared" ca="1" si="26"/>
        <v>0</v>
      </c>
      <c r="AB35" s="485">
        <f ca="1">SUM(AA35:AA36)</f>
        <v>0</v>
      </c>
      <c r="AC35" s="462"/>
      <c r="AD35" s="173" t="str">
        <f t="shared" ref="AD35:AD36" si="36">H35</f>
        <v>FREL</v>
      </c>
      <c r="AE35" s="33" cm="1">
        <f t="array" aca="1" ref="AE35" ca="1">INDIRECT(ADDRESS($D35,AE$3,,,"mkt data"))</f>
        <v>28.139999</v>
      </c>
      <c r="AF35" s="165">
        <f t="shared" ca="1" si="27"/>
        <v>27.5</v>
      </c>
      <c r="AG35" s="165">
        <f t="shared" ca="1" si="28"/>
        <v>-0.63999899999999954</v>
      </c>
      <c r="AH35" s="165">
        <f t="shared" ca="1" si="29"/>
        <v>0</v>
      </c>
      <c r="AI35" s="522">
        <f ca="1">AH35+AH36</f>
        <v>0</v>
      </c>
      <c r="AJ35" s="532"/>
      <c r="AK35" s="458"/>
    </row>
    <row r="36" spans="1:39" ht="15.75" thickBot="1" x14ac:dyDescent="0.3">
      <c r="A36" s="531"/>
      <c r="B36" s="525" t="e">
        <f>MATCH(H36,SCALARS!D:D,0)</f>
        <v>#N/A</v>
      </c>
      <c r="C36" s="525"/>
      <c r="D36" s="82">
        <f>MATCH(H36,'MKT DATA'!B:B,0)</f>
        <v>136</v>
      </c>
      <c r="E36" s="65"/>
      <c r="F36" s="525"/>
      <c r="G36" s="525"/>
      <c r="H36" s="181" t="s">
        <v>95</v>
      </c>
      <c r="I36" s="37" cm="1">
        <f t="array" aca="1" ref="I36" ca="1">INDIRECT(ADDRESS($D36,I$3,,,"mkt data"))</f>
        <v>92.67</v>
      </c>
      <c r="J36" s="38" cm="1">
        <f t="array" aca="1" ref="J36" ca="1">INDIRECT(ADDRESS($D36,J$3,,,"mkt data"))</f>
        <v>92.77</v>
      </c>
      <c r="K36" s="151" cm="1">
        <f t="array" aca="1" ref="K36" ca="1">INDIRECT(ADDRESS($B35,INT(RIGHT(K$3,2)),,,"SCALARS"))</f>
        <v>0</v>
      </c>
      <c r="L36" s="22">
        <f t="shared" ca="1" si="21"/>
        <v>92.664500000000004</v>
      </c>
      <c r="M36" s="22">
        <f t="shared" ca="1" si="22"/>
        <v>92.775499999999994</v>
      </c>
      <c r="N36" s="87">
        <v>1</v>
      </c>
      <c r="O36" s="23">
        <f t="shared" ca="1" si="23"/>
        <v>92.664500000000004</v>
      </c>
      <c r="P36" s="23">
        <f t="shared" ca="1" si="24"/>
        <v>92.775499999999994</v>
      </c>
      <c r="Q36" s="598"/>
      <c r="R36" s="476"/>
      <c r="S36" s="253" t="b">
        <f ca="1">IF(R35&gt;S35,TRUE,FALSE)</f>
        <v>0</v>
      </c>
      <c r="T36" s="224" t="b">
        <f ca="1">AND(IF(V35&gt;-T35,TRUE,FALSE),IF(Y35&gt;0,TRUE,FALSE))</f>
        <v>0</v>
      </c>
      <c r="U36" s="478"/>
      <c r="V36" s="476"/>
      <c r="W36" s="253" t="b">
        <f ca="1">IF(V35&gt;W35,TRUE,FALSE)</f>
        <v>0</v>
      </c>
      <c r="X36" s="61" t="b">
        <f ca="1">AND(IF(R35&gt;-X35,TRUE,FALSE),IF(Y35&lt;0,TRUE,FALSE))</f>
        <v>0</v>
      </c>
      <c r="Y36" s="29" cm="1">
        <f t="array" aca="1" ref="Y36" ca="1">INDIRECT(ADDRESS($D36,Y$3,,,"mkt data"))</f>
        <v>0</v>
      </c>
      <c r="Z36" s="50">
        <f t="shared" ca="1" si="25"/>
        <v>0</v>
      </c>
      <c r="AA36" s="29">
        <f t="shared" ca="1" si="26"/>
        <v>0</v>
      </c>
      <c r="AB36" s="486"/>
      <c r="AC36" s="463"/>
      <c r="AD36" s="181" t="str">
        <f t="shared" si="36"/>
        <v>VNQ</v>
      </c>
      <c r="AE36" s="37" cm="1">
        <f t="array" aca="1" ref="AE36" ca="1">INDIRECT(ADDRESS($D36,AE$3,,,"mkt data"))</f>
        <v>92.650002000000001</v>
      </c>
      <c r="AF36" s="167">
        <f t="shared" ca="1" si="27"/>
        <v>92.72</v>
      </c>
      <c r="AG36" s="167">
        <f t="shared" ca="1" si="28"/>
        <v>6.9997999999998228E-2</v>
      </c>
      <c r="AH36" s="167">
        <f t="shared" ca="1" si="29"/>
        <v>0</v>
      </c>
      <c r="AI36" s="523"/>
      <c r="AJ36" s="533"/>
      <c r="AK36" s="459"/>
    </row>
    <row r="37" spans="1:39" x14ac:dyDescent="0.25">
      <c r="A37" s="530" t="str">
        <f t="shared" ref="A37" si="37">_xlfn.CONCAT(H37,"_",H38)</f>
        <v>FSTA_VDC</v>
      </c>
      <c r="B37" s="524">
        <f>MATCH(A37,SCALARS!D:D,0)</f>
        <v>24</v>
      </c>
      <c r="C37" s="524">
        <f>MATCH(A37,THRESHOLDS!D:D,0)</f>
        <v>24</v>
      </c>
      <c r="D37" s="80">
        <f>MATCH(H37,'MKT DATA'!B:B,0)</f>
        <v>140</v>
      </c>
      <c r="E37" s="64"/>
      <c r="F37" s="524" t="str" cm="1">
        <f t="array" aca="1" ref="F37" ca="1">INDIRECT(ADDRESS($B37,F$3,,,"scalars"))</f>
        <v>staples</v>
      </c>
      <c r="G37" s="524" t="str" cm="1">
        <f t="array" aca="1" ref="G37" ca="1">INDIRECT(ADDRESS($B37,G$3,,,"scalars"))</f>
        <v>-</v>
      </c>
      <c r="H37" s="173" t="s">
        <v>77</v>
      </c>
      <c r="I37" s="33" cm="1">
        <f t="array" aca="1" ref="I37" ca="1">INDIRECT(ADDRESS($D37,I$3,,,"mkt data"))</f>
        <v>55.32</v>
      </c>
      <c r="J37" s="34" cm="1">
        <f t="array" aca="1" ref="J37" ca="1">INDIRECT(ADDRESS($D37,J$3,,,"mkt data"))</f>
        <v>55.9</v>
      </c>
      <c r="K37" s="150" cm="1">
        <f t="array" aca="1" ref="K37" ca="1">INDIRECT(ADDRESS($B37,INT(LEFT(K$3,2)),,,"SCALARS"))</f>
        <v>0</v>
      </c>
      <c r="L37" s="16">
        <f t="shared" ca="1" si="21"/>
        <v>55.314500000000002</v>
      </c>
      <c r="M37" s="16">
        <f t="shared" ca="1" si="22"/>
        <v>55.905499999999996</v>
      </c>
      <c r="N37" s="44" cm="1">
        <f t="array" aca="1" ref="N37" ca="1">INDIRECT(ADDRESS($B37,N$3,,,"scalars"))</f>
        <v>4.2909485790018387</v>
      </c>
      <c r="O37" s="17">
        <f t="shared" ca="1" si="23"/>
        <v>237.35167517319721</v>
      </c>
      <c r="P37" s="17">
        <f t="shared" ca="1" si="24"/>
        <v>239.88762578338728</v>
      </c>
      <c r="Q37" s="477">
        <f ca="1">O38-P37</f>
        <v>-2.5131257833872951</v>
      </c>
      <c r="R37" s="475">
        <f ca="1">LN(O38/P37)</f>
        <v>-1.0531525029004254E-2</v>
      </c>
      <c r="S37" s="252" cm="1">
        <f t="array" aca="1" ref="S37" ca="1">-INDIRECT(ADDRESS($C37,S$3,,,"thresholds"))</f>
        <v>0</v>
      </c>
      <c r="T37" s="60" cm="1">
        <f t="array" aca="1" ref="T37" ca="1">-INDIRECT(ADDRESS($C37,T$3,,,"thresholds"))</f>
        <v>0</v>
      </c>
      <c r="U37" s="477">
        <f ca="1">O37-P38</f>
        <v>-3.9438248268027962</v>
      </c>
      <c r="V37" s="475">
        <f ca="1">LN(O37/P38)</f>
        <v>-1.6479420681604563E-2</v>
      </c>
      <c r="W37" s="252" cm="1">
        <f t="array" aca="1" ref="W37" ca="1">INDIRECT(ADDRESS($C37,W$3,,,"thresholds"))</f>
        <v>0</v>
      </c>
      <c r="X37" s="60" cm="1">
        <f t="array" aca="1" ref="X37" ca="1">INDIRECT(ADDRESS($C37,X$3,,,"thresholds"))</f>
        <v>0</v>
      </c>
      <c r="Y37" s="27" cm="1">
        <f t="array" aca="1" ref="Y37" ca="1">INDIRECT(ADDRESS($D37,Y$3,,,"mkt data"))</f>
        <v>0</v>
      </c>
      <c r="Z37" s="48">
        <f t="shared" ca="1" si="25"/>
        <v>0</v>
      </c>
      <c r="AA37" s="27">
        <f t="shared" ca="1" si="26"/>
        <v>0</v>
      </c>
      <c r="AB37" s="534">
        <f ca="1">SUM(AA37:AA38)</f>
        <v>0</v>
      </c>
      <c r="AC37" s="462"/>
      <c r="AD37" s="173" t="str">
        <f>H37</f>
        <v>FSTA</v>
      </c>
      <c r="AE37" s="33" cm="1">
        <f t="array" aca="1" ref="AE37" ca="1">INDIRECT(ADDRESS($D37,AE$3,,,"mkt data"))</f>
        <v>56.790000999999997</v>
      </c>
      <c r="AF37" s="165">
        <f t="shared" ca="1" si="27"/>
        <v>55.61</v>
      </c>
      <c r="AG37" s="165">
        <f t="shared" ca="1" si="28"/>
        <v>-1.1800009999999972</v>
      </c>
      <c r="AH37" s="165">
        <f t="shared" ca="1" si="29"/>
        <v>0</v>
      </c>
      <c r="AI37" s="522">
        <f ca="1">AH37+AH38</f>
        <v>0</v>
      </c>
      <c r="AJ37" s="532"/>
      <c r="AK37" s="458"/>
    </row>
    <row r="38" spans="1:39" ht="15.75" thickBot="1" x14ac:dyDescent="0.3">
      <c r="A38" s="531"/>
      <c r="B38" s="525" t="e">
        <f>MATCH(H38,SCALARS!D:D,0)</f>
        <v>#N/A</v>
      </c>
      <c r="C38" s="525"/>
      <c r="D38" s="82">
        <f>MATCH(H38,'MKT DATA'!B:B,0)</f>
        <v>142</v>
      </c>
      <c r="E38" s="65"/>
      <c r="F38" s="525"/>
      <c r="G38" s="525"/>
      <c r="H38" s="181" t="s">
        <v>78</v>
      </c>
      <c r="I38" s="37" cm="1">
        <f t="array" aca="1" ref="I38" ca="1">INDIRECT(ADDRESS($D38,I$3,,,"mkt data"))</f>
        <v>237.38</v>
      </c>
      <c r="J38" s="38" cm="1">
        <f t="array" aca="1" ref="J38" ca="1">INDIRECT(ADDRESS($D38,J$3,,,"mkt data"))</f>
        <v>241.29</v>
      </c>
      <c r="K38" s="151" cm="1">
        <f t="array" aca="1" ref="K38" ca="1">INDIRECT(ADDRESS($B37,INT(RIGHT(K$3,2)),,,"SCALARS"))</f>
        <v>0</v>
      </c>
      <c r="L38" s="22">
        <f t="shared" ca="1" si="21"/>
        <v>237.37449999999998</v>
      </c>
      <c r="M38" s="22">
        <f t="shared" ca="1" si="22"/>
        <v>241.2955</v>
      </c>
      <c r="N38" s="87">
        <v>1</v>
      </c>
      <c r="O38" s="23">
        <f t="shared" ca="1" si="23"/>
        <v>237.37449999999998</v>
      </c>
      <c r="P38" s="23">
        <f t="shared" ca="1" si="24"/>
        <v>241.2955</v>
      </c>
      <c r="Q38" s="598"/>
      <c r="R38" s="476"/>
      <c r="S38" s="253" t="b">
        <f ca="1">IF(R37&gt;S37,TRUE,FALSE)</f>
        <v>0</v>
      </c>
      <c r="T38" s="224" t="b">
        <f ca="1">AND(IF(V37&gt;-T37,TRUE,FALSE),IF(Y37&gt;0,TRUE,FALSE))</f>
        <v>0</v>
      </c>
      <c r="U38" s="478"/>
      <c r="V38" s="476"/>
      <c r="W38" s="253" t="b">
        <f ca="1">IF(V37&gt;W37,TRUE,FALSE)</f>
        <v>0</v>
      </c>
      <c r="X38" s="61" t="b">
        <f ca="1">AND(IF(R37&gt;-X37,TRUE,FALSE),IF(Y37&lt;0,TRUE,FALSE))</f>
        <v>0</v>
      </c>
      <c r="Y38" s="29" cm="1">
        <f t="array" aca="1" ref="Y38" ca="1">INDIRECT(ADDRESS($D38,Y$3,,,"mkt data"))</f>
        <v>0</v>
      </c>
      <c r="Z38" s="50">
        <f t="shared" ca="1" si="25"/>
        <v>0</v>
      </c>
      <c r="AA38" s="29">
        <f t="shared" ca="1" si="26"/>
        <v>0</v>
      </c>
      <c r="AB38" s="535"/>
      <c r="AC38" s="463"/>
      <c r="AD38" s="181" t="str">
        <f>H38</f>
        <v>VDC</v>
      </c>
      <c r="AE38" s="37" cm="1">
        <f t="array" aca="1" ref="AE38" ca="1">INDIRECT(ADDRESS($D38,AE$3,,,"mkt data"))</f>
        <v>243.570007</v>
      </c>
      <c r="AF38" s="167">
        <f t="shared" ca="1" si="27"/>
        <v>239.33499999999998</v>
      </c>
      <c r="AG38" s="167">
        <f t="shared" ca="1" si="28"/>
        <v>-4.2350070000000244</v>
      </c>
      <c r="AH38" s="167">
        <f t="shared" ca="1" si="29"/>
        <v>0</v>
      </c>
      <c r="AI38" s="523"/>
      <c r="AJ38" s="533"/>
      <c r="AK38" s="459"/>
    </row>
    <row r="39" spans="1:39" x14ac:dyDescent="0.25">
      <c r="A39" s="530" t="str">
        <f t="shared" ref="A39" si="38">_xlfn.CONCAT(H39,"_",H40)</f>
        <v>VGT_FTEC</v>
      </c>
      <c r="B39" s="524">
        <f>MATCH(A39,SCALARS!D:D,0)</f>
        <v>59</v>
      </c>
      <c r="C39" s="524">
        <f>MATCH(A39,THRESHOLDS!D:D,0)</f>
        <v>59</v>
      </c>
      <c r="D39" s="80">
        <f>MATCH(H39,'MKT DATA'!B:B,0)</f>
        <v>146</v>
      </c>
      <c r="E39" s="64"/>
      <c r="F39" s="524" t="str" cm="1">
        <f t="array" aca="1" ref="F39" ca="1">INDIRECT(ADDRESS($B39,F$3,,,"scalars"))</f>
        <v>technology</v>
      </c>
      <c r="G39" s="524" t="str" cm="1">
        <f t="array" aca="1" ref="G39" ca="1">INDIRECT(ADDRESS($B39,G$3,,,"scalars"))</f>
        <v>-</v>
      </c>
      <c r="H39" s="173" t="s">
        <v>99</v>
      </c>
      <c r="I39" s="33" cm="1">
        <f t="array" aca="1" ref="I39" ca="1">INDIRECT(ADDRESS($D39,I$3,,,"mkt data"))</f>
        <v>119</v>
      </c>
      <c r="J39" s="34" cm="1">
        <f t="array" aca="1" ref="J39" ca="1">INDIRECT(ADDRESS($D39,J$3,,,"mkt data"))</f>
        <v>119.21</v>
      </c>
      <c r="K39" s="150" cm="1">
        <f t="array" aca="1" ref="K39" ca="1">INDIRECT(ADDRESS($B39,INT(LEFT(K$3,2)),,,"SCALARS"))</f>
        <v>0</v>
      </c>
      <c r="L39" s="16">
        <f t="shared" ca="1" si="21"/>
        <v>118.9945</v>
      </c>
      <c r="M39" s="16">
        <f t="shared" ca="1" si="22"/>
        <v>119.21549999999999</v>
      </c>
      <c r="N39" s="44" cm="1">
        <f t="array" aca="1" ref="N39" ca="1">INDIRECT(ADDRESS($B39,N$3,,,"scalars"))</f>
        <v>2.3869407020055839</v>
      </c>
      <c r="O39" s="17">
        <f t="shared" ca="1" si="23"/>
        <v>284.03281536480347</v>
      </c>
      <c r="P39" s="17">
        <f t="shared" ca="1" si="24"/>
        <v>284.56032925994668</v>
      </c>
      <c r="Q39" s="477">
        <f ca="1">O40-P39</f>
        <v>-0.64582925994665175</v>
      </c>
      <c r="R39" s="475">
        <f ca="1">LN(O40/P39)</f>
        <v>-2.2721482273436316E-3</v>
      </c>
      <c r="S39" s="252" cm="1">
        <f t="array" aca="1" ref="S39" ca="1">-INDIRECT(ADDRESS($C39,S$3,,,"thresholds"))</f>
        <v>0</v>
      </c>
      <c r="T39" s="60" cm="1">
        <f t="array" aca="1" ref="T39" ca="1">-INDIRECT(ADDRESS($C39,T$3,,,"thresholds"))</f>
        <v>0</v>
      </c>
      <c r="U39" s="477">
        <f ca="1">O39-P40</f>
        <v>-1.9326846351964946</v>
      </c>
      <c r="V39" s="475">
        <f ca="1">LN(O39/P40)</f>
        <v>-6.7813956275895194E-3</v>
      </c>
      <c r="W39" s="252" cm="1">
        <f t="array" aca="1" ref="W39" ca="1">INDIRECT(ADDRESS($C39,W$3,,,"thresholds"))</f>
        <v>0</v>
      </c>
      <c r="X39" s="60" cm="1">
        <f t="array" aca="1" ref="X39" ca="1">INDIRECT(ADDRESS($C39,X$3,,,"thresholds"))</f>
        <v>0</v>
      </c>
      <c r="Y39" s="27" cm="1">
        <f t="array" aca="1" ref="Y39" ca="1">INDIRECT(ADDRESS($D39,Y$3,,,"mkt data"))</f>
        <v>0</v>
      </c>
      <c r="Z39" s="48">
        <f t="shared" ca="1" si="25"/>
        <v>0</v>
      </c>
      <c r="AA39" s="27">
        <f t="shared" ca="1" si="26"/>
        <v>0</v>
      </c>
      <c r="AB39" s="534">
        <f ca="1">SUM(AA39:AA40)</f>
        <v>0</v>
      </c>
      <c r="AC39" s="462"/>
      <c r="AD39" s="173" t="str">
        <f t="shared" ref="AD39:AD42" si="39">H39</f>
        <v>VGT</v>
      </c>
      <c r="AE39" s="33" cm="1">
        <f t="array" aca="1" ref="AE39" ca="1">INDIRECT(ADDRESS($D39,AE$3,,,"mkt data"))</f>
        <v>118.599998</v>
      </c>
      <c r="AF39" s="165">
        <f t="shared" ca="1" si="27"/>
        <v>119.10499999999999</v>
      </c>
      <c r="AG39" s="165">
        <f t="shared" ca="1" si="28"/>
        <v>0.5050019999999904</v>
      </c>
      <c r="AH39" s="165">
        <f t="shared" ca="1" si="29"/>
        <v>0</v>
      </c>
      <c r="AI39" s="522">
        <f ca="1">AH39+AH40</f>
        <v>0</v>
      </c>
      <c r="AJ39" s="532"/>
      <c r="AK39" s="458"/>
      <c r="AM39" s="235"/>
    </row>
    <row r="40" spans="1:39" ht="15.75" thickBot="1" x14ac:dyDescent="0.3">
      <c r="A40" s="531"/>
      <c r="B40" s="525" t="e">
        <f>MATCH(H40,SCALARS!D:D,0)</f>
        <v>#N/A</v>
      </c>
      <c r="C40" s="525"/>
      <c r="D40" s="82">
        <f>MATCH(H40,'MKT DATA'!B:B,0)</f>
        <v>144</v>
      </c>
      <c r="E40" s="65"/>
      <c r="F40" s="525"/>
      <c r="G40" s="525"/>
      <c r="H40" s="181" t="s">
        <v>97</v>
      </c>
      <c r="I40" s="37" cm="1">
        <f t="array" aca="1" ref="I40" ca="1">INDIRECT(ADDRESS($D40,I$3,,,"mkt data"))</f>
        <v>283.92</v>
      </c>
      <c r="J40" s="38" cm="1">
        <f t="array" aca="1" ref="J40" ca="1">INDIRECT(ADDRESS($D40,J$3,,,"mkt data"))</f>
        <v>285.95999999999998</v>
      </c>
      <c r="K40" s="151" cm="1">
        <f t="array" aca="1" ref="K40" ca="1">INDIRECT(ADDRESS($B39,INT(RIGHT(K$3,2)),,,"SCALARS"))</f>
        <v>0</v>
      </c>
      <c r="L40" s="22">
        <f t="shared" ca="1" si="21"/>
        <v>283.91450000000003</v>
      </c>
      <c r="M40" s="22">
        <f t="shared" ca="1" si="22"/>
        <v>285.96549999999996</v>
      </c>
      <c r="N40" s="87">
        <v>1</v>
      </c>
      <c r="O40" s="23">
        <f t="shared" ca="1" si="23"/>
        <v>283.91450000000003</v>
      </c>
      <c r="P40" s="23">
        <f t="shared" ca="1" si="24"/>
        <v>285.96549999999996</v>
      </c>
      <c r="Q40" s="598"/>
      <c r="R40" s="476"/>
      <c r="S40" s="253" t="b">
        <f ca="1">IF(R39&gt;S39,TRUE,FALSE)</f>
        <v>0</v>
      </c>
      <c r="T40" s="224" t="b">
        <f ca="1">AND(IF(V39&gt;-T39,TRUE,FALSE),IF(Y39&gt;0,TRUE,FALSE))</f>
        <v>0</v>
      </c>
      <c r="U40" s="478"/>
      <c r="V40" s="476"/>
      <c r="W40" s="253" t="b">
        <f ca="1">IF(V39&gt;W39,TRUE,FALSE)</f>
        <v>0</v>
      </c>
      <c r="X40" s="61" t="b">
        <f ca="1">AND(IF(R39&gt;-X39,TRUE,FALSE),IF(Y39&lt;0,TRUE,FALSE))</f>
        <v>0</v>
      </c>
      <c r="Y40" s="29" cm="1">
        <f t="array" aca="1" ref="Y40" ca="1">INDIRECT(ADDRESS($D40,Y$3,,,"mkt data"))</f>
        <v>0</v>
      </c>
      <c r="Z40" s="50">
        <f t="shared" ca="1" si="25"/>
        <v>0</v>
      </c>
      <c r="AA40" s="29">
        <f t="shared" ca="1" si="26"/>
        <v>0</v>
      </c>
      <c r="AB40" s="535"/>
      <c r="AC40" s="463"/>
      <c r="AD40" s="181" t="str">
        <f t="shared" si="39"/>
        <v>FTEC</v>
      </c>
      <c r="AE40" s="37" cm="1">
        <f t="array" aca="1" ref="AE40" ca="1">INDIRECT(ADDRESS($D40,AE$3,,,"mkt data"))</f>
        <v>283.01998900000001</v>
      </c>
      <c r="AF40" s="167">
        <f t="shared" ca="1" si="27"/>
        <v>284.94</v>
      </c>
      <c r="AG40" s="167">
        <f t="shared" ca="1" si="28"/>
        <v>1.9200109999999881</v>
      </c>
      <c r="AH40" s="167">
        <f t="shared" ca="1" si="29"/>
        <v>0</v>
      </c>
      <c r="AI40" s="523"/>
      <c r="AJ40" s="533"/>
      <c r="AK40" s="459"/>
    </row>
    <row r="41" spans="1:39" x14ac:dyDescent="0.25">
      <c r="A41" s="530" t="str">
        <f t="shared" ref="A41" si="40">_xlfn.CONCAT(H41,"_",H42)</f>
        <v>FUTY_VPU</v>
      </c>
      <c r="B41" s="524">
        <f>MATCH(A41,SCALARS!D:D,0)</f>
        <v>26</v>
      </c>
      <c r="C41" s="524">
        <f>MATCH(A41,THRESHOLDS!D:D,0)</f>
        <v>26</v>
      </c>
      <c r="D41" s="80">
        <f>MATCH(H41,'MKT DATA'!B:B,0)</f>
        <v>160</v>
      </c>
      <c r="E41" s="64"/>
      <c r="F41" s="524" t="str" cm="1">
        <f t="array" aca="1" ref="F41" ca="1">INDIRECT(ADDRESS($B41,F$3,,,"scalars"))</f>
        <v>utilities</v>
      </c>
      <c r="G41" s="524" t="str" cm="1">
        <f t="array" aca="1" ref="G41" ca="1">INDIRECT(ADDRESS($B41,G$3,,,"scalars"))</f>
        <v>-</v>
      </c>
      <c r="H41" s="173" t="s">
        <v>101</v>
      </c>
      <c r="I41" s="33" cm="1">
        <f t="array" aca="1" ref="I41" ca="1">INDIRECT(ADDRESS($D41,I$3,,,"mkt data"))</f>
        <v>54.41</v>
      </c>
      <c r="J41" s="34" cm="1">
        <f t="array" aca="1" ref="J41" ca="1">INDIRECT(ADDRESS($D41,J$3,,,"mkt data"))</f>
        <v>55.36</v>
      </c>
      <c r="K41" s="150" cm="1">
        <f t="array" aca="1" ref="K41" ca="1">INDIRECT(ADDRESS($B41,INT(LEFT(K$3,2)),,,"SCALARS"))</f>
        <v>0</v>
      </c>
      <c r="L41" s="16">
        <f t="shared" ca="1" si="21"/>
        <v>54.404499999999999</v>
      </c>
      <c r="M41" s="16">
        <f t="shared" ca="1" si="22"/>
        <v>55.365499999999997</v>
      </c>
      <c r="N41" s="44" cm="1">
        <f t="array" aca="1" ref="N41" ca="1">INDIRECT(ADDRESS($B41,N$3,,,"scalars"))</f>
        <v>3.3503672680154892</v>
      </c>
      <c r="O41" s="17">
        <f t="shared" ca="1" si="23"/>
        <v>182.27505603274869</v>
      </c>
      <c r="P41" s="17">
        <f t="shared" ca="1" si="24"/>
        <v>185.49475897731156</v>
      </c>
      <c r="Q41" s="477">
        <f ca="1">O42-P41</f>
        <v>-3.160258977311571</v>
      </c>
      <c r="R41" s="475">
        <f ca="1">LN(O42/P41)</f>
        <v>-1.7183715885892504E-2</v>
      </c>
      <c r="S41" s="252" cm="1">
        <f t="array" aca="1" ref="S41" ca="1">-INDIRECT(ADDRESS($C41,S$3,,,"thresholds"))</f>
        <v>0</v>
      </c>
      <c r="T41" s="60" cm="1">
        <f t="array" aca="1" ref="T41" ca="1">-INDIRECT(ADDRESS($C41,T$3,,,"thresholds"))</f>
        <v>0</v>
      </c>
      <c r="U41" s="477">
        <f ca="1">O41-P42</f>
        <v>-3.1104439672513138</v>
      </c>
      <c r="V41" s="475">
        <f ca="1">LN(O41/P42)</f>
        <v>-1.6920597695808823E-2</v>
      </c>
      <c r="W41" s="252" cm="1">
        <f t="array" aca="1" ref="W41" ca="1">INDIRECT(ADDRESS($C41,W$3,,,"thresholds"))</f>
        <v>0</v>
      </c>
      <c r="X41" s="60" cm="1">
        <f t="array" aca="1" ref="X41" ca="1">INDIRECT(ADDRESS($C41,X$3,,,"thresholds"))</f>
        <v>0</v>
      </c>
      <c r="Y41" s="27" cm="1">
        <f t="array" aca="1" ref="Y41" ca="1">INDIRECT(ADDRESS($D41,Y$3,,,"mkt data"))</f>
        <v>0</v>
      </c>
      <c r="Z41" s="48">
        <f t="shared" ca="1" si="25"/>
        <v>0</v>
      </c>
      <c r="AA41" s="27">
        <f t="shared" ca="1" si="26"/>
        <v>0</v>
      </c>
      <c r="AB41" s="534">
        <f ca="1">SUM(AA41:AA42)</f>
        <v>0</v>
      </c>
      <c r="AC41" s="462"/>
      <c r="AD41" s="173" t="str">
        <f t="shared" si="39"/>
        <v>FUTY</v>
      </c>
      <c r="AE41" s="33" cm="1">
        <f t="array" aca="1" ref="AE41" ca="1">INDIRECT(ADDRESS($D41,AE$3,,,"mkt data"))</f>
        <v>55.27</v>
      </c>
      <c r="AF41" s="165">
        <f t="shared" ca="1" si="27"/>
        <v>54.884999999999998</v>
      </c>
      <c r="AG41" s="165">
        <f t="shared" ca="1" si="28"/>
        <v>-0.38500000000000512</v>
      </c>
      <c r="AH41" s="165">
        <f t="shared" ca="1" si="29"/>
        <v>0</v>
      </c>
      <c r="AI41" s="522">
        <f ca="1">AH41+AH42</f>
        <v>0</v>
      </c>
      <c r="AJ41" s="532"/>
      <c r="AK41" s="458"/>
      <c r="AM41" s="235"/>
    </row>
    <row r="42" spans="1:39" ht="15.75" thickBot="1" x14ac:dyDescent="0.3">
      <c r="A42" s="531"/>
      <c r="B42" s="525" t="e">
        <f>MATCH(H42,SCALARS!D:D,0)</f>
        <v>#N/A</v>
      </c>
      <c r="C42" s="525"/>
      <c r="D42" s="82">
        <f>MATCH(H42,'MKT DATA'!B:B,0)</f>
        <v>162</v>
      </c>
      <c r="E42" s="65"/>
      <c r="F42" s="525"/>
      <c r="G42" s="525"/>
      <c r="H42" s="181" t="s">
        <v>103</v>
      </c>
      <c r="I42" s="37" cm="1">
        <f t="array" aca="1" ref="I42" ca="1">INDIRECT(ADDRESS($D42,I$3,,,"mkt data"))</f>
        <v>182.34</v>
      </c>
      <c r="J42" s="38" cm="1">
        <f t="array" aca="1" ref="J42" ca="1">INDIRECT(ADDRESS($D42,J$3,,,"mkt data"))</f>
        <v>185.38</v>
      </c>
      <c r="K42" s="151" cm="1">
        <f t="array" aca="1" ref="K42" ca="1">INDIRECT(ADDRESS($B41,INT(RIGHT(K$3,2)),,,"SCALARS"))</f>
        <v>0</v>
      </c>
      <c r="L42" s="22">
        <f t="shared" ca="1" si="21"/>
        <v>182.33449999999999</v>
      </c>
      <c r="M42" s="22">
        <f t="shared" ca="1" si="22"/>
        <v>185.38550000000001</v>
      </c>
      <c r="N42" s="87">
        <v>1</v>
      </c>
      <c r="O42" s="23">
        <f t="shared" ca="1" si="23"/>
        <v>182.33449999999999</v>
      </c>
      <c r="P42" s="23">
        <f t="shared" ca="1" si="24"/>
        <v>185.38550000000001</v>
      </c>
      <c r="Q42" s="598"/>
      <c r="R42" s="476"/>
      <c r="S42" s="253" t="b">
        <f ca="1">IF(R41&gt;S41,TRUE,FALSE)</f>
        <v>0</v>
      </c>
      <c r="T42" s="224" t="b">
        <f ca="1">AND(IF(V41&gt;-T41,TRUE,FALSE),IF(Y41&gt;0,TRUE,FALSE))</f>
        <v>0</v>
      </c>
      <c r="U42" s="478"/>
      <c r="V42" s="476"/>
      <c r="W42" s="253" t="b">
        <f ca="1">IF(V41&gt;W41,TRUE,FALSE)</f>
        <v>0</v>
      </c>
      <c r="X42" s="61" t="b">
        <f ca="1">AND(IF(R41&gt;-X41,TRUE,FALSE),IF(Y41&lt;0,TRUE,FALSE))</f>
        <v>0</v>
      </c>
      <c r="Y42" s="29" cm="1">
        <f t="array" aca="1" ref="Y42" ca="1">INDIRECT(ADDRESS($D42,Y$3,,,"mkt data"))</f>
        <v>0</v>
      </c>
      <c r="Z42" s="50">
        <f t="shared" ca="1" si="25"/>
        <v>0</v>
      </c>
      <c r="AA42" s="29">
        <f t="shared" ca="1" si="26"/>
        <v>0</v>
      </c>
      <c r="AB42" s="535"/>
      <c r="AC42" s="463"/>
      <c r="AD42" s="181" t="str">
        <f t="shared" si="39"/>
        <v>VPU</v>
      </c>
      <c r="AE42" s="37" cm="1">
        <f t="array" aca="1" ref="AE42" ca="1">INDIRECT(ADDRESS($D42,AE$3,,,"mkt data"))</f>
        <v>185.11999499999999</v>
      </c>
      <c r="AF42" s="167">
        <f t="shared" ca="1" si="27"/>
        <v>183.86</v>
      </c>
      <c r="AG42" s="167">
        <f t="shared" ca="1" si="28"/>
        <v>-1.2599949999999751</v>
      </c>
      <c r="AH42" s="167">
        <f t="shared" ca="1" si="29"/>
        <v>0</v>
      </c>
      <c r="AI42" s="523"/>
      <c r="AJ42" s="533"/>
      <c r="AK42" s="459"/>
    </row>
  </sheetData>
  <mergeCells count="268">
    <mergeCell ref="V41:V42"/>
    <mergeCell ref="AB41:AB42"/>
    <mergeCell ref="AC41:AC42"/>
    <mergeCell ref="AI41:AI42"/>
    <mergeCell ref="AJ41:AJ42"/>
    <mergeCell ref="AK41:AK42"/>
    <mergeCell ref="AJ39:AJ40"/>
    <mergeCell ref="AK39:AK40"/>
    <mergeCell ref="A41:A42"/>
    <mergeCell ref="B41:B42"/>
    <mergeCell ref="C41:C42"/>
    <mergeCell ref="F41:F42"/>
    <mergeCell ref="G41:G42"/>
    <mergeCell ref="Q41:Q42"/>
    <mergeCell ref="R41:R42"/>
    <mergeCell ref="U41:U42"/>
    <mergeCell ref="R39:R40"/>
    <mergeCell ref="U39:U40"/>
    <mergeCell ref="V39:V40"/>
    <mergeCell ref="AB39:AB40"/>
    <mergeCell ref="AC39:AC40"/>
    <mergeCell ref="AI39:AI40"/>
    <mergeCell ref="A39:A40"/>
    <mergeCell ref="B39:B40"/>
    <mergeCell ref="C39:C40"/>
    <mergeCell ref="F39:F40"/>
    <mergeCell ref="G39:G40"/>
    <mergeCell ref="Q39:Q40"/>
    <mergeCell ref="V37:V38"/>
    <mergeCell ref="AB37:AB38"/>
    <mergeCell ref="AC37:AC38"/>
    <mergeCell ref="AI37:AI38"/>
    <mergeCell ref="AJ37:AJ38"/>
    <mergeCell ref="AK37:AK38"/>
    <mergeCell ref="AJ35:AJ36"/>
    <mergeCell ref="AK35:AK36"/>
    <mergeCell ref="A37:A38"/>
    <mergeCell ref="B37:B38"/>
    <mergeCell ref="C37:C38"/>
    <mergeCell ref="F37:F38"/>
    <mergeCell ref="G37:G38"/>
    <mergeCell ref="Q37:Q38"/>
    <mergeCell ref="R37:R38"/>
    <mergeCell ref="U37:U38"/>
    <mergeCell ref="R35:R36"/>
    <mergeCell ref="U35:U36"/>
    <mergeCell ref="V35:V36"/>
    <mergeCell ref="AB35:AB36"/>
    <mergeCell ref="AC35:AC36"/>
    <mergeCell ref="AI35:AI36"/>
    <mergeCell ref="A35:A36"/>
    <mergeCell ref="B35:B36"/>
    <mergeCell ref="C35:C36"/>
    <mergeCell ref="F35:F36"/>
    <mergeCell ref="G35:G36"/>
    <mergeCell ref="Q35:Q36"/>
    <mergeCell ref="V33:V34"/>
    <mergeCell ref="AB33:AB34"/>
    <mergeCell ref="AC33:AC34"/>
    <mergeCell ref="AI33:AI34"/>
    <mergeCell ref="AJ33:AJ34"/>
    <mergeCell ref="AK33:AK34"/>
    <mergeCell ref="AJ31:AJ32"/>
    <mergeCell ref="AK31:AK32"/>
    <mergeCell ref="A33:A34"/>
    <mergeCell ref="B33:B34"/>
    <mergeCell ref="C33:C34"/>
    <mergeCell ref="F33:F34"/>
    <mergeCell ref="G33:G34"/>
    <mergeCell ref="Q33:Q34"/>
    <mergeCell ref="R33:R34"/>
    <mergeCell ref="U33:U34"/>
    <mergeCell ref="R31:R32"/>
    <mergeCell ref="U31:U32"/>
    <mergeCell ref="V31:V32"/>
    <mergeCell ref="AB31:AB32"/>
    <mergeCell ref="AC31:AC32"/>
    <mergeCell ref="AI31:AI32"/>
    <mergeCell ref="A31:A32"/>
    <mergeCell ref="B31:B32"/>
    <mergeCell ref="C31:C32"/>
    <mergeCell ref="F31:F32"/>
    <mergeCell ref="G31:G32"/>
    <mergeCell ref="Q31:Q32"/>
    <mergeCell ref="V29:V30"/>
    <mergeCell ref="AB29:AB30"/>
    <mergeCell ref="AC29:AC30"/>
    <mergeCell ref="AI29:AI30"/>
    <mergeCell ref="AJ29:AJ30"/>
    <mergeCell ref="AK29:AK30"/>
    <mergeCell ref="AJ27:AJ28"/>
    <mergeCell ref="AK27:AK28"/>
    <mergeCell ref="A29:A30"/>
    <mergeCell ref="B29:B30"/>
    <mergeCell ref="C29:C30"/>
    <mergeCell ref="F29:F30"/>
    <mergeCell ref="G29:G30"/>
    <mergeCell ref="Q29:Q30"/>
    <mergeCell ref="R29:R30"/>
    <mergeCell ref="U29:U30"/>
    <mergeCell ref="R27:R28"/>
    <mergeCell ref="U27:U28"/>
    <mergeCell ref="V27:V28"/>
    <mergeCell ref="AB27:AB28"/>
    <mergeCell ref="AC27:AC28"/>
    <mergeCell ref="AI27:AI28"/>
    <mergeCell ref="A27:A28"/>
    <mergeCell ref="B27:B28"/>
    <mergeCell ref="C27:C28"/>
    <mergeCell ref="F27:F28"/>
    <mergeCell ref="G27:G28"/>
    <mergeCell ref="Q27:Q28"/>
    <mergeCell ref="R25:R26"/>
    <mergeCell ref="U25:U26"/>
    <mergeCell ref="V25:V26"/>
    <mergeCell ref="AB25:AB26"/>
    <mergeCell ref="AC25:AC26"/>
    <mergeCell ref="AI25:AI26"/>
    <mergeCell ref="A25:A26"/>
    <mergeCell ref="B25:B26"/>
    <mergeCell ref="C25:C26"/>
    <mergeCell ref="F25:F26"/>
    <mergeCell ref="G25:G26"/>
    <mergeCell ref="Q25:Q26"/>
    <mergeCell ref="AJ25:AJ26"/>
    <mergeCell ref="AK25:AK26"/>
    <mergeCell ref="AJ22:AJ23"/>
    <mergeCell ref="AK22:AK23"/>
    <mergeCell ref="R22:R23"/>
    <mergeCell ref="U22:U23"/>
    <mergeCell ref="V22:V23"/>
    <mergeCell ref="AB22:AB23"/>
    <mergeCell ref="AC22:AC23"/>
    <mergeCell ref="AI22:AI23"/>
    <mergeCell ref="A22:A23"/>
    <mergeCell ref="B22:B23"/>
    <mergeCell ref="C22:C23"/>
    <mergeCell ref="F22:F23"/>
    <mergeCell ref="G22:G23"/>
    <mergeCell ref="Q22:Q23"/>
    <mergeCell ref="V20:V21"/>
    <mergeCell ref="AB20:AB21"/>
    <mergeCell ref="AC20:AC21"/>
    <mergeCell ref="AI20:AI21"/>
    <mergeCell ref="AJ20:AJ21"/>
    <mergeCell ref="AK20:AK21"/>
    <mergeCell ref="AJ18:AJ19"/>
    <mergeCell ref="AK18:AK19"/>
    <mergeCell ref="A20:A21"/>
    <mergeCell ref="B20:B21"/>
    <mergeCell ref="C20:C21"/>
    <mergeCell ref="F20:F21"/>
    <mergeCell ref="G20:G21"/>
    <mergeCell ref="Q20:Q21"/>
    <mergeCell ref="R20:R21"/>
    <mergeCell ref="U20:U21"/>
    <mergeCell ref="R18:R19"/>
    <mergeCell ref="U18:U19"/>
    <mergeCell ref="V18:V19"/>
    <mergeCell ref="AB18:AB19"/>
    <mergeCell ref="AC18:AC19"/>
    <mergeCell ref="AI18:AI19"/>
    <mergeCell ref="A18:A19"/>
    <mergeCell ref="B18:B19"/>
    <mergeCell ref="C18:C19"/>
    <mergeCell ref="F18:F19"/>
    <mergeCell ref="G18:G19"/>
    <mergeCell ref="Q18:Q19"/>
    <mergeCell ref="V16:V17"/>
    <mergeCell ref="AB16:AB17"/>
    <mergeCell ref="AC16:AC17"/>
    <mergeCell ref="AI16:AI17"/>
    <mergeCell ref="AJ16:AJ17"/>
    <mergeCell ref="AK16:AK17"/>
    <mergeCell ref="AJ14:AJ15"/>
    <mergeCell ref="AK14:AK15"/>
    <mergeCell ref="A16:A17"/>
    <mergeCell ref="B16:B17"/>
    <mergeCell ref="C16:C17"/>
    <mergeCell ref="F16:F17"/>
    <mergeCell ref="G16:G17"/>
    <mergeCell ref="Q16:Q17"/>
    <mergeCell ref="R16:R17"/>
    <mergeCell ref="U16:U17"/>
    <mergeCell ref="R14:R15"/>
    <mergeCell ref="U14:U15"/>
    <mergeCell ref="V14:V15"/>
    <mergeCell ref="AB14:AB15"/>
    <mergeCell ref="AC14:AC15"/>
    <mergeCell ref="AI14:AI15"/>
    <mergeCell ref="A14:A15"/>
    <mergeCell ref="B14:B15"/>
    <mergeCell ref="C14:C15"/>
    <mergeCell ref="F14:F15"/>
    <mergeCell ref="G14:G15"/>
    <mergeCell ref="Q14:Q15"/>
    <mergeCell ref="V12:V13"/>
    <mergeCell ref="AB12:AB13"/>
    <mergeCell ref="AC12:AC13"/>
    <mergeCell ref="AI12:AI13"/>
    <mergeCell ref="AJ12:AJ13"/>
    <mergeCell ref="AK12:AK13"/>
    <mergeCell ref="AJ10:AJ11"/>
    <mergeCell ref="AK10:AK11"/>
    <mergeCell ref="A12:A13"/>
    <mergeCell ref="B12:B13"/>
    <mergeCell ref="C12:C13"/>
    <mergeCell ref="F12:F13"/>
    <mergeCell ref="G12:G13"/>
    <mergeCell ref="Q12:Q13"/>
    <mergeCell ref="R12:R13"/>
    <mergeCell ref="U12:U13"/>
    <mergeCell ref="R10:R11"/>
    <mergeCell ref="U10:U11"/>
    <mergeCell ref="V10:V11"/>
    <mergeCell ref="AB10:AB11"/>
    <mergeCell ref="AC10:AC11"/>
    <mergeCell ref="AI10:AI11"/>
    <mergeCell ref="A10:A11"/>
    <mergeCell ref="B10:B11"/>
    <mergeCell ref="C10:C11"/>
    <mergeCell ref="F10:F11"/>
    <mergeCell ref="G10:G11"/>
    <mergeCell ref="Q10:Q11"/>
    <mergeCell ref="V8:V9"/>
    <mergeCell ref="AB8:AB9"/>
    <mergeCell ref="AC8:AC9"/>
    <mergeCell ref="AI8:AI9"/>
    <mergeCell ref="AJ8:AJ9"/>
    <mergeCell ref="AK8:AK9"/>
    <mergeCell ref="AJ6:AJ7"/>
    <mergeCell ref="AK6:AK7"/>
    <mergeCell ref="A8:A9"/>
    <mergeCell ref="B8:B9"/>
    <mergeCell ref="C8:C9"/>
    <mergeCell ref="F8:F9"/>
    <mergeCell ref="G8:G9"/>
    <mergeCell ref="Q8:Q9"/>
    <mergeCell ref="R8:R9"/>
    <mergeCell ref="U8:U9"/>
    <mergeCell ref="R6:R7"/>
    <mergeCell ref="U6:U7"/>
    <mergeCell ref="V6:V7"/>
    <mergeCell ref="AB6:AB7"/>
    <mergeCell ref="AC6:AC7"/>
    <mergeCell ref="AI6:AI7"/>
    <mergeCell ref="A6:A7"/>
    <mergeCell ref="B6:B7"/>
    <mergeCell ref="C6:C7"/>
    <mergeCell ref="F6:F7"/>
    <mergeCell ref="G6:G7"/>
    <mergeCell ref="Q6:Q7"/>
    <mergeCell ref="AJ1:AK2"/>
    <mergeCell ref="AL1:AL2"/>
    <mergeCell ref="B4:D4"/>
    <mergeCell ref="I4:J4"/>
    <mergeCell ref="L4:M4"/>
    <mergeCell ref="O4:P4"/>
    <mergeCell ref="Q4:T4"/>
    <mergeCell ref="U4:X4"/>
    <mergeCell ref="Y4:AB4"/>
    <mergeCell ref="AJ4:AK4"/>
    <mergeCell ref="L1:M2"/>
    <mergeCell ref="Y1:AB2"/>
    <mergeCell ref="AF1:AF2"/>
    <mergeCell ref="AG1:AG2"/>
    <mergeCell ref="AH1:AH2"/>
    <mergeCell ref="AI1:AI2"/>
  </mergeCells>
  <conditionalFormatting sqref="O12:O13">
    <cfRule type="top10" dxfId="400" priority="123" rank="1"/>
  </conditionalFormatting>
  <conditionalFormatting sqref="P12:P13">
    <cfRule type="top10" dxfId="399" priority="124" bottom="1" rank="1"/>
  </conditionalFormatting>
  <conditionalFormatting sqref="O6:O7">
    <cfRule type="top10" dxfId="398" priority="121" rank="1"/>
  </conditionalFormatting>
  <conditionalFormatting sqref="P6:P7">
    <cfRule type="top10" dxfId="397" priority="122" bottom="1" rank="1"/>
  </conditionalFormatting>
  <conditionalFormatting sqref="O10:O11">
    <cfRule type="top10" dxfId="396" priority="115" rank="1"/>
  </conditionalFormatting>
  <conditionalFormatting sqref="P10:P11">
    <cfRule type="top10" dxfId="395" priority="116" bottom="1" rank="1"/>
  </conditionalFormatting>
  <conditionalFormatting sqref="O16:O17">
    <cfRule type="top10" dxfId="394" priority="117" rank="1"/>
  </conditionalFormatting>
  <conditionalFormatting sqref="P16:P17">
    <cfRule type="top10" dxfId="393" priority="118" bottom="1" rank="1"/>
  </conditionalFormatting>
  <conditionalFormatting sqref="O18:O19">
    <cfRule type="top10" dxfId="392" priority="119" rank="1"/>
  </conditionalFormatting>
  <conditionalFormatting sqref="P18:P19">
    <cfRule type="top10" dxfId="391" priority="120" bottom="1" rank="1"/>
  </conditionalFormatting>
  <conditionalFormatting sqref="O8:O9">
    <cfRule type="top10" dxfId="390" priority="113" rank="1"/>
  </conditionalFormatting>
  <conditionalFormatting sqref="P8:P9">
    <cfRule type="top10" dxfId="389" priority="114" bottom="1" rank="1"/>
  </conditionalFormatting>
  <conditionalFormatting sqref="S7 W7 S9 S11 S13 S15 S17 S19 S21 S23 W9 W11 W13 W15 W17 W19 W21 W23">
    <cfRule type="cellIs" dxfId="388" priority="112" operator="equal">
      <formula>TRUE</formula>
    </cfRule>
  </conditionalFormatting>
  <conditionalFormatting sqref="T7 X7 T9 T11 T13 T15 T17 T19 T21 T23 X9 X11 X13 X15 X17 X19 X21 X23">
    <cfRule type="cellIs" dxfId="387" priority="111" operator="equal">
      <formula>TRUE</formula>
    </cfRule>
  </conditionalFormatting>
  <conditionalFormatting sqref="U6:V23 Q6:R23">
    <cfRule type="cellIs" dxfId="386" priority="110" operator="greaterThan">
      <formula>0</formula>
    </cfRule>
  </conditionalFormatting>
  <conditionalFormatting sqref="O14:O15">
    <cfRule type="top10" dxfId="385" priority="125" rank="1"/>
  </conditionalFormatting>
  <conditionalFormatting sqref="P14:P15">
    <cfRule type="top10" dxfId="384" priority="126" bottom="1" rank="1"/>
  </conditionalFormatting>
  <conditionalFormatting sqref="O20:O21">
    <cfRule type="top10" dxfId="383" priority="106" rank="1"/>
  </conditionalFormatting>
  <conditionalFormatting sqref="P20:P21">
    <cfRule type="top10" dxfId="382" priority="107" bottom="1" rank="1"/>
  </conditionalFormatting>
  <conditionalFormatting sqref="O22:O23">
    <cfRule type="top10" dxfId="381" priority="104" rank="1"/>
  </conditionalFormatting>
  <conditionalFormatting sqref="P22:P23">
    <cfRule type="top10" dxfId="380" priority="105" bottom="1" rank="1"/>
  </conditionalFormatting>
  <conditionalFormatting sqref="W6">
    <cfRule type="cellIs" dxfId="379" priority="103" operator="equal">
      <formula>TRUE</formula>
    </cfRule>
  </conditionalFormatting>
  <conditionalFormatting sqref="X6">
    <cfRule type="cellIs" dxfId="378" priority="102" operator="equal">
      <formula>TRUE</formula>
    </cfRule>
  </conditionalFormatting>
  <conditionalFormatting sqref="S6">
    <cfRule type="cellIs" dxfId="377" priority="101" operator="equal">
      <formula>TRUE</formula>
    </cfRule>
  </conditionalFormatting>
  <conditionalFormatting sqref="T6">
    <cfRule type="cellIs" dxfId="376" priority="100" operator="equal">
      <formula>TRUE</formula>
    </cfRule>
  </conditionalFormatting>
  <conditionalFormatting sqref="S8">
    <cfRule type="cellIs" dxfId="375" priority="99" operator="equal">
      <formula>TRUE</formula>
    </cfRule>
  </conditionalFormatting>
  <conditionalFormatting sqref="T8">
    <cfRule type="cellIs" dxfId="374" priority="98" operator="equal">
      <formula>TRUE</formula>
    </cfRule>
  </conditionalFormatting>
  <conditionalFormatting sqref="S10">
    <cfRule type="cellIs" dxfId="373" priority="97" operator="equal">
      <formula>TRUE</formula>
    </cfRule>
  </conditionalFormatting>
  <conditionalFormatting sqref="T10">
    <cfRule type="cellIs" dxfId="372" priority="96" operator="equal">
      <formula>TRUE</formula>
    </cfRule>
  </conditionalFormatting>
  <conditionalFormatting sqref="S12">
    <cfRule type="cellIs" dxfId="371" priority="95" operator="equal">
      <formula>TRUE</formula>
    </cfRule>
  </conditionalFormatting>
  <conditionalFormatting sqref="T12">
    <cfRule type="cellIs" dxfId="370" priority="94" operator="equal">
      <formula>TRUE</formula>
    </cfRule>
  </conditionalFormatting>
  <conditionalFormatting sqref="S14">
    <cfRule type="cellIs" dxfId="369" priority="93" operator="equal">
      <formula>TRUE</formula>
    </cfRule>
  </conditionalFormatting>
  <conditionalFormatting sqref="T14">
    <cfRule type="cellIs" dxfId="368" priority="92" operator="equal">
      <formula>TRUE</formula>
    </cfRule>
  </conditionalFormatting>
  <conditionalFormatting sqref="S16">
    <cfRule type="cellIs" dxfId="367" priority="91" operator="equal">
      <formula>TRUE</formula>
    </cfRule>
  </conditionalFormatting>
  <conditionalFormatting sqref="T16">
    <cfRule type="cellIs" dxfId="366" priority="90" operator="equal">
      <formula>TRUE</formula>
    </cfRule>
  </conditionalFormatting>
  <conditionalFormatting sqref="S18">
    <cfRule type="cellIs" dxfId="365" priority="89" operator="equal">
      <formula>TRUE</formula>
    </cfRule>
  </conditionalFormatting>
  <conditionalFormatting sqref="T18">
    <cfRule type="cellIs" dxfId="364" priority="88" operator="equal">
      <formula>TRUE</formula>
    </cfRule>
  </conditionalFormatting>
  <conditionalFormatting sqref="S20">
    <cfRule type="cellIs" dxfId="363" priority="87" operator="equal">
      <formula>TRUE</formula>
    </cfRule>
  </conditionalFormatting>
  <conditionalFormatting sqref="T20">
    <cfRule type="cellIs" dxfId="362" priority="86" operator="equal">
      <formula>TRUE</formula>
    </cfRule>
  </conditionalFormatting>
  <conditionalFormatting sqref="S22">
    <cfRule type="cellIs" dxfId="361" priority="85" operator="equal">
      <formula>TRUE</formula>
    </cfRule>
  </conditionalFormatting>
  <conditionalFormatting sqref="T22">
    <cfRule type="cellIs" dxfId="360" priority="84" operator="equal">
      <formula>TRUE</formula>
    </cfRule>
  </conditionalFormatting>
  <conditionalFormatting sqref="W8">
    <cfRule type="cellIs" dxfId="359" priority="81" operator="equal">
      <formula>TRUE</formula>
    </cfRule>
  </conditionalFormatting>
  <conditionalFormatting sqref="X8">
    <cfRule type="cellIs" dxfId="358" priority="80" operator="equal">
      <formula>TRUE</formula>
    </cfRule>
  </conditionalFormatting>
  <conditionalFormatting sqref="W10">
    <cfRule type="cellIs" dxfId="357" priority="79" operator="equal">
      <formula>TRUE</formula>
    </cfRule>
  </conditionalFormatting>
  <conditionalFormatting sqref="X10">
    <cfRule type="cellIs" dxfId="356" priority="78" operator="equal">
      <formula>TRUE</formula>
    </cfRule>
  </conditionalFormatting>
  <conditionalFormatting sqref="W12">
    <cfRule type="cellIs" dxfId="355" priority="77" operator="equal">
      <formula>TRUE</formula>
    </cfRule>
  </conditionalFormatting>
  <conditionalFormatting sqref="X12">
    <cfRule type="cellIs" dxfId="354" priority="76" operator="equal">
      <formula>TRUE</formula>
    </cfRule>
  </conditionalFormatting>
  <conditionalFormatting sqref="W14">
    <cfRule type="cellIs" dxfId="353" priority="75" operator="equal">
      <formula>TRUE</formula>
    </cfRule>
  </conditionalFormatting>
  <conditionalFormatting sqref="X14">
    <cfRule type="cellIs" dxfId="352" priority="74" operator="equal">
      <formula>TRUE</formula>
    </cfRule>
  </conditionalFormatting>
  <conditionalFormatting sqref="W16">
    <cfRule type="cellIs" dxfId="351" priority="73" operator="equal">
      <formula>TRUE</formula>
    </cfRule>
  </conditionalFormatting>
  <conditionalFormatting sqref="X16">
    <cfRule type="cellIs" dxfId="350" priority="72" operator="equal">
      <formula>TRUE</formula>
    </cfRule>
  </conditionalFormatting>
  <conditionalFormatting sqref="W18">
    <cfRule type="cellIs" dxfId="349" priority="71" operator="equal">
      <formula>TRUE</formula>
    </cfRule>
  </conditionalFormatting>
  <conditionalFormatting sqref="X18">
    <cfRule type="cellIs" dxfId="348" priority="70" operator="equal">
      <formula>TRUE</formula>
    </cfRule>
  </conditionalFormatting>
  <conditionalFormatting sqref="W20">
    <cfRule type="cellIs" dxfId="347" priority="69" operator="equal">
      <formula>TRUE</formula>
    </cfRule>
  </conditionalFormatting>
  <conditionalFormatting sqref="X20">
    <cfRule type="cellIs" dxfId="346" priority="68" operator="equal">
      <formula>TRUE</formula>
    </cfRule>
  </conditionalFormatting>
  <conditionalFormatting sqref="W22">
    <cfRule type="cellIs" dxfId="345" priority="67" operator="equal">
      <formula>TRUE</formula>
    </cfRule>
  </conditionalFormatting>
  <conditionalFormatting sqref="X22">
    <cfRule type="cellIs" dxfId="344" priority="66" operator="equal">
      <formula>TRUE</formula>
    </cfRule>
  </conditionalFormatting>
  <conditionalFormatting sqref="R24 V24">
    <cfRule type="cellIs" dxfId="343" priority="63" operator="equal">
      <formula>TRUE</formula>
    </cfRule>
  </conditionalFormatting>
  <conditionalFormatting sqref="S24 W24">
    <cfRule type="cellIs" dxfId="342" priority="62" operator="equal">
      <formula>TRUE</formula>
    </cfRule>
  </conditionalFormatting>
  <conditionalFormatting sqref="P24:Q24 T24:U24">
    <cfRule type="cellIs" dxfId="341" priority="61" operator="greaterThan">
      <formula>0</formula>
    </cfRule>
  </conditionalFormatting>
  <conditionalFormatting sqref="O31:O32">
    <cfRule type="top10" dxfId="340" priority="57" rank="1"/>
  </conditionalFormatting>
  <conditionalFormatting sqref="P31:P32">
    <cfRule type="top10" dxfId="339" priority="58" bottom="1" rank="1"/>
  </conditionalFormatting>
  <conditionalFormatting sqref="O25:O26">
    <cfRule type="top10" dxfId="338" priority="55" rank="1"/>
  </conditionalFormatting>
  <conditionalFormatting sqref="P25:P26">
    <cfRule type="top10" dxfId="337" priority="56" bottom="1" rank="1"/>
  </conditionalFormatting>
  <conditionalFormatting sqref="O29:O30">
    <cfRule type="top10" dxfId="336" priority="49" rank="1"/>
  </conditionalFormatting>
  <conditionalFormatting sqref="P29:P30">
    <cfRule type="top10" dxfId="335" priority="50" bottom="1" rank="1"/>
  </conditionalFormatting>
  <conditionalFormatting sqref="O35:O36">
    <cfRule type="top10" dxfId="334" priority="51" rank="1"/>
  </conditionalFormatting>
  <conditionalFormatting sqref="P35:P36">
    <cfRule type="top10" dxfId="333" priority="52" bottom="1" rank="1"/>
  </conditionalFormatting>
  <conditionalFormatting sqref="O37:O38">
    <cfRule type="top10" dxfId="332" priority="53" rank="1"/>
  </conditionalFormatting>
  <conditionalFormatting sqref="P37:P38">
    <cfRule type="top10" dxfId="331" priority="54" bottom="1" rank="1"/>
  </conditionalFormatting>
  <conditionalFormatting sqref="O27:O28">
    <cfRule type="top10" dxfId="330" priority="47" rank="1"/>
  </conditionalFormatting>
  <conditionalFormatting sqref="P27:P28">
    <cfRule type="top10" dxfId="329" priority="48" bottom="1" rank="1"/>
  </conditionalFormatting>
  <conditionalFormatting sqref="S26 W26 S28 S30 S32 S34 S36 S38 S40 S42 W28 W30 W32 W34 W36 W38 W40 W42">
    <cfRule type="cellIs" dxfId="328" priority="46" operator="equal">
      <formula>TRUE</formula>
    </cfRule>
  </conditionalFormatting>
  <conditionalFormatting sqref="T26 X26 T28 T30 T32 T34 T36 T38 T40 T42 X28 X30 X32 X34 X36 X38 X40 X42">
    <cfRule type="cellIs" dxfId="327" priority="45" operator="equal">
      <formula>TRUE</formula>
    </cfRule>
  </conditionalFormatting>
  <conditionalFormatting sqref="O33:O34">
    <cfRule type="top10" dxfId="326" priority="59" rank="1"/>
  </conditionalFormatting>
  <conditionalFormatting sqref="P33:P34">
    <cfRule type="top10" dxfId="325" priority="60" bottom="1" rank="1"/>
  </conditionalFormatting>
  <conditionalFormatting sqref="O39:O40">
    <cfRule type="top10" dxfId="324" priority="42" rank="1"/>
  </conditionalFormatting>
  <conditionalFormatting sqref="P39:P40">
    <cfRule type="top10" dxfId="323" priority="43" bottom="1" rank="1"/>
  </conditionalFormatting>
  <conditionalFormatting sqref="O41:O42">
    <cfRule type="top10" dxfId="322" priority="40" rank="1"/>
  </conditionalFormatting>
  <conditionalFormatting sqref="P41:P42">
    <cfRule type="top10" dxfId="321" priority="41" bottom="1" rank="1"/>
  </conditionalFormatting>
  <conditionalFormatting sqref="W25">
    <cfRule type="cellIs" dxfId="320" priority="39" operator="equal">
      <formula>TRUE</formula>
    </cfRule>
  </conditionalFormatting>
  <conditionalFormatting sqref="X25">
    <cfRule type="cellIs" dxfId="319" priority="38" operator="equal">
      <formula>TRUE</formula>
    </cfRule>
  </conditionalFormatting>
  <conditionalFormatting sqref="S25">
    <cfRule type="cellIs" dxfId="318" priority="37" operator="equal">
      <formula>TRUE</formula>
    </cfRule>
  </conditionalFormatting>
  <conditionalFormatting sqref="T25">
    <cfRule type="cellIs" dxfId="317" priority="36" operator="equal">
      <formula>TRUE</formula>
    </cfRule>
  </conditionalFormatting>
  <conditionalFormatting sqref="S27">
    <cfRule type="cellIs" dxfId="316" priority="35" operator="equal">
      <formula>TRUE</formula>
    </cfRule>
  </conditionalFormatting>
  <conditionalFormatting sqref="T27">
    <cfRule type="cellIs" dxfId="315" priority="34" operator="equal">
      <formula>TRUE</formula>
    </cfRule>
  </conditionalFormatting>
  <conditionalFormatting sqref="S29">
    <cfRule type="cellIs" dxfId="314" priority="33" operator="equal">
      <formula>TRUE</formula>
    </cfRule>
  </conditionalFormatting>
  <conditionalFormatting sqref="T29">
    <cfRule type="cellIs" dxfId="313" priority="32" operator="equal">
      <formula>TRUE</formula>
    </cfRule>
  </conditionalFormatting>
  <conditionalFormatting sqref="S31">
    <cfRule type="cellIs" dxfId="312" priority="31" operator="equal">
      <formula>TRUE</formula>
    </cfRule>
  </conditionalFormatting>
  <conditionalFormatting sqref="T31">
    <cfRule type="cellIs" dxfId="311" priority="30" operator="equal">
      <formula>TRUE</formula>
    </cfRule>
  </conditionalFormatting>
  <conditionalFormatting sqref="S33">
    <cfRule type="cellIs" dxfId="310" priority="29" operator="equal">
      <formula>TRUE</formula>
    </cfRule>
  </conditionalFormatting>
  <conditionalFormatting sqref="T33">
    <cfRule type="cellIs" dxfId="309" priority="28" operator="equal">
      <formula>TRUE</formula>
    </cfRule>
  </conditionalFormatting>
  <conditionalFormatting sqref="S35">
    <cfRule type="cellIs" dxfId="308" priority="27" operator="equal">
      <formula>TRUE</formula>
    </cfRule>
  </conditionalFormatting>
  <conditionalFormatting sqref="T35">
    <cfRule type="cellIs" dxfId="307" priority="26" operator="equal">
      <formula>TRUE</formula>
    </cfRule>
  </conditionalFormatting>
  <conditionalFormatting sqref="S37">
    <cfRule type="cellIs" dxfId="306" priority="25" operator="equal">
      <formula>TRUE</formula>
    </cfRule>
  </conditionalFormatting>
  <conditionalFormatting sqref="T37">
    <cfRule type="cellIs" dxfId="305" priority="24" operator="equal">
      <formula>TRUE</formula>
    </cfRule>
  </conditionalFormatting>
  <conditionalFormatting sqref="S39">
    <cfRule type="cellIs" dxfId="304" priority="23" operator="equal">
      <formula>TRUE</formula>
    </cfRule>
  </conditionalFormatting>
  <conditionalFormatting sqref="T39">
    <cfRule type="cellIs" dxfId="303" priority="22" operator="equal">
      <formula>TRUE</formula>
    </cfRule>
  </conditionalFormatting>
  <conditionalFormatting sqref="S41">
    <cfRule type="cellIs" dxfId="302" priority="21" operator="equal">
      <formula>TRUE</formula>
    </cfRule>
  </conditionalFormatting>
  <conditionalFormatting sqref="T41">
    <cfRule type="cellIs" dxfId="301" priority="20" operator="equal">
      <formula>TRUE</formula>
    </cfRule>
  </conditionalFormatting>
  <conditionalFormatting sqref="W27">
    <cfRule type="cellIs" dxfId="300" priority="19" operator="equal">
      <formula>TRUE</formula>
    </cfRule>
  </conditionalFormatting>
  <conditionalFormatting sqref="X27">
    <cfRule type="cellIs" dxfId="299" priority="18" operator="equal">
      <formula>TRUE</formula>
    </cfRule>
  </conditionalFormatting>
  <conditionalFormatting sqref="W29">
    <cfRule type="cellIs" dxfId="298" priority="17" operator="equal">
      <formula>TRUE</formula>
    </cfRule>
  </conditionalFormatting>
  <conditionalFormatting sqref="X29">
    <cfRule type="cellIs" dxfId="297" priority="16" operator="equal">
      <formula>TRUE</formula>
    </cfRule>
  </conditionalFormatting>
  <conditionalFormatting sqref="W31">
    <cfRule type="cellIs" dxfId="296" priority="15" operator="equal">
      <formula>TRUE</formula>
    </cfRule>
  </conditionalFormatting>
  <conditionalFormatting sqref="X31">
    <cfRule type="cellIs" dxfId="295" priority="14" operator="equal">
      <formula>TRUE</formula>
    </cfRule>
  </conditionalFormatting>
  <conditionalFormatting sqref="W33">
    <cfRule type="cellIs" dxfId="294" priority="13" operator="equal">
      <formula>TRUE</formula>
    </cfRule>
  </conditionalFormatting>
  <conditionalFormatting sqref="X33">
    <cfRule type="cellIs" dxfId="293" priority="12" operator="equal">
      <formula>TRUE</formula>
    </cfRule>
  </conditionalFormatting>
  <conditionalFormatting sqref="W35">
    <cfRule type="cellIs" dxfId="292" priority="11" operator="equal">
      <formula>TRUE</formula>
    </cfRule>
  </conditionalFormatting>
  <conditionalFormatting sqref="X35">
    <cfRule type="cellIs" dxfId="291" priority="10" operator="equal">
      <formula>TRUE</formula>
    </cfRule>
  </conditionalFormatting>
  <conditionalFormatting sqref="W37">
    <cfRule type="cellIs" dxfId="290" priority="9" operator="equal">
      <formula>TRUE</formula>
    </cfRule>
  </conditionalFormatting>
  <conditionalFormatting sqref="X37">
    <cfRule type="cellIs" dxfId="289" priority="8" operator="equal">
      <formula>TRUE</formula>
    </cfRule>
  </conditionalFormatting>
  <conditionalFormatting sqref="W39">
    <cfRule type="cellIs" dxfId="288" priority="7" operator="equal">
      <formula>TRUE</formula>
    </cfRule>
  </conditionalFormatting>
  <conditionalFormatting sqref="X39">
    <cfRule type="cellIs" dxfId="287" priority="6" operator="equal">
      <formula>TRUE</formula>
    </cfRule>
  </conditionalFormatting>
  <conditionalFormatting sqref="W41">
    <cfRule type="cellIs" dxfId="286" priority="5" operator="equal">
      <formula>TRUE</formula>
    </cfRule>
  </conditionalFormatting>
  <conditionalFormatting sqref="X41">
    <cfRule type="cellIs" dxfId="285" priority="4" operator="equal">
      <formula>TRUE</formula>
    </cfRule>
  </conditionalFormatting>
  <conditionalFormatting sqref="Q25:R42">
    <cfRule type="cellIs" dxfId="284" priority="2" operator="greaterThan">
      <formula>0</formula>
    </cfRule>
  </conditionalFormatting>
  <conditionalFormatting sqref="U25:V42">
    <cfRule type="cellIs" dxfId="283" priority="1"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7CA5B-2AED-4081-8BBC-25F4539769F2}">
  <sheetPr>
    <tabColor theme="6" tint="0.79998168889431442"/>
  </sheetPr>
  <dimension ref="A1:AR9"/>
  <sheetViews>
    <sheetView topLeftCell="N1" zoomScale="85" zoomScaleNormal="85" workbookViewId="0">
      <selection activeCell="AL1" sqref="AL1:AL2"/>
    </sheetView>
  </sheetViews>
  <sheetFormatPr defaultColWidth="20.140625" defaultRowHeight="15" x14ac:dyDescent="0.25"/>
  <cols>
    <col min="1" max="1" width="18.5703125" style="10" bestFit="1" customWidth="1"/>
    <col min="2" max="2" width="8.140625" style="10" customWidth="1"/>
    <col min="3" max="3" width="6.7109375" style="10" bestFit="1" customWidth="1"/>
    <col min="4" max="4" width="9.42578125" style="10" bestFit="1" customWidth="1"/>
    <col min="5" max="5" width="7.7109375" style="10" bestFit="1" customWidth="1"/>
    <col min="6" max="6" width="12.5703125" style="10" bestFit="1" customWidth="1"/>
    <col min="7" max="7" width="10.85546875" style="10" bestFit="1" customWidth="1"/>
    <col min="8" max="8" width="7.85546875" style="299" bestFit="1" customWidth="1"/>
    <col min="9" max="10" width="9" style="2" bestFit="1" customWidth="1"/>
    <col min="11" max="11" width="8.85546875" style="2" bestFit="1" customWidth="1"/>
    <col min="12" max="13" width="10" style="13" bestFit="1" customWidth="1"/>
    <col min="14" max="14" width="8.5703125" style="47" bestFit="1" customWidth="1"/>
    <col min="15" max="16" width="10" style="7" bestFit="1" customWidth="1"/>
    <col min="17" max="17" width="9.7109375" bestFit="1" customWidth="1"/>
    <col min="18" max="18" width="7.85546875" bestFit="1" customWidth="1"/>
    <col min="19" max="19" width="9.7109375" bestFit="1" customWidth="1"/>
    <col min="20" max="20" width="9.5703125" bestFit="1" customWidth="1"/>
    <col min="21" max="21" width="9.7109375" style="11" bestFit="1" customWidth="1"/>
    <col min="22" max="22" width="7.85546875" bestFit="1" customWidth="1"/>
    <col min="23" max="23" width="9.5703125" style="30" bestFit="1" customWidth="1"/>
    <col min="24" max="24" width="9.7109375" style="26" bestFit="1" customWidth="1"/>
    <col min="25" max="25" width="7.7109375" style="26" bestFit="1" customWidth="1"/>
    <col min="26" max="26" width="10.7109375" style="1" bestFit="1" customWidth="1"/>
    <col min="27" max="27" width="7.7109375" bestFit="1" customWidth="1"/>
    <col min="28" max="28" width="9.5703125" bestFit="1" customWidth="1"/>
    <col min="29" max="29" width="6.85546875" style="373" bestFit="1" customWidth="1"/>
    <col min="30" max="30" width="7.85546875" style="1" bestFit="1" customWidth="1"/>
    <col min="31" max="31" width="9" bestFit="1" customWidth="1"/>
    <col min="32" max="32" width="10.5703125" bestFit="1" customWidth="1"/>
    <col min="33" max="33" width="7.7109375" bestFit="1" customWidth="1"/>
    <col min="34" max="35" width="11.28515625" bestFit="1" customWidth="1"/>
    <col min="36" max="37" width="7.85546875" style="10" bestFit="1" customWidth="1"/>
    <col min="38" max="38" width="6.140625" style="10" bestFit="1" customWidth="1"/>
    <col min="39" max="39" width="24.7109375" bestFit="1" customWidth="1"/>
    <col min="40" max="40" width="10.5703125" style="301" customWidth="1"/>
    <col min="41" max="43" width="10.5703125" style="2" customWidth="1"/>
    <col min="44" max="44" width="20.140625" style="2"/>
  </cols>
  <sheetData>
    <row r="1" spans="1:44" x14ac:dyDescent="0.25">
      <c r="H1" s="74"/>
      <c r="I1" s="10"/>
      <c r="J1" s="166"/>
      <c r="K1" s="190"/>
      <c r="L1" s="510">
        <v>5.4999999999999997E-3</v>
      </c>
      <c r="M1" s="510"/>
      <c r="N1" s="191"/>
      <c r="O1" s="19"/>
      <c r="P1" s="19"/>
      <c r="U1" s="229"/>
      <c r="V1" s="229"/>
      <c r="W1" s="192"/>
      <c r="X1" s="192"/>
      <c r="Y1" s="495" t="str">
        <f>'MKT DATA'!J2</f>
        <v>2026-10-23_16-00-28</v>
      </c>
      <c r="Z1" s="495"/>
      <c r="AA1" s="495"/>
      <c r="AB1" s="495"/>
      <c r="AC1" s="383"/>
      <c r="AD1" s="193"/>
      <c r="AF1" s="518">
        <f ca="1">'INITIAL INPUTS'!H11</f>
        <v>1152.46693100006</v>
      </c>
      <c r="AG1" s="479" t="s">
        <v>175</v>
      </c>
      <c r="AH1" s="481" t="e">
        <f ca="1">SUM(AH6:AH9)</f>
        <v>#N/A</v>
      </c>
      <c r="AI1" s="483">
        <f ca="1">SUM(AI6:AI9)</f>
        <v>0</v>
      </c>
      <c r="AJ1" s="466">
        <f>SUM(AK6:AK9)</f>
        <v>0</v>
      </c>
      <c r="AK1" s="467"/>
      <c r="AL1" s="464">
        <f ca="1">'INITIAL INPUTS'!I11</f>
        <v>3847.1845091987584</v>
      </c>
    </row>
    <row r="2" spans="1:44" ht="15.75" thickBot="1" x14ac:dyDescent="0.3">
      <c r="H2" s="74"/>
      <c r="I2" s="10"/>
      <c r="K2" s="145"/>
      <c r="L2" s="511"/>
      <c r="M2" s="511"/>
      <c r="N2" s="7"/>
      <c r="U2" s="230"/>
      <c r="V2" s="230"/>
      <c r="X2" s="1"/>
      <c r="Y2" s="496"/>
      <c r="Z2" s="496"/>
      <c r="AA2" s="496"/>
      <c r="AB2" s="496"/>
      <c r="AC2" s="383"/>
      <c r="AE2" s="67"/>
      <c r="AF2" s="519"/>
      <c r="AG2" s="480"/>
      <c r="AH2" s="482"/>
      <c r="AI2" s="484"/>
      <c r="AJ2" s="468"/>
      <c r="AK2" s="469"/>
      <c r="AL2" s="465"/>
    </row>
    <row r="3" spans="1:44" s="74" customFormat="1" ht="15.75" thickBot="1" x14ac:dyDescent="0.3">
      <c r="A3" s="424" t="s">
        <v>415</v>
      </c>
      <c r="B3" s="455"/>
      <c r="C3" s="425"/>
      <c r="D3" s="426"/>
      <c r="E3" s="427"/>
      <c r="F3" s="425">
        <v>2</v>
      </c>
      <c r="G3" s="425">
        <v>3</v>
      </c>
      <c r="H3" s="425"/>
      <c r="I3" s="428">
        <v>5</v>
      </c>
      <c r="J3" s="429">
        <v>6</v>
      </c>
      <c r="K3" s="456" t="s">
        <v>553</v>
      </c>
      <c r="L3" s="430"/>
      <c r="M3" s="431"/>
      <c r="N3" s="432">
        <v>9</v>
      </c>
      <c r="O3" s="433"/>
      <c r="P3" s="429"/>
      <c r="Q3" s="428"/>
      <c r="R3" s="433"/>
      <c r="S3" s="433">
        <v>9</v>
      </c>
      <c r="T3" s="434">
        <v>10</v>
      </c>
      <c r="U3" s="428"/>
      <c r="V3" s="433"/>
      <c r="W3" s="433">
        <v>11</v>
      </c>
      <c r="X3" s="429">
        <v>12</v>
      </c>
      <c r="Y3" s="435">
        <v>9</v>
      </c>
      <c r="Z3" s="435"/>
      <c r="AA3" s="435"/>
      <c r="AB3" s="436"/>
      <c r="AC3" s="427"/>
      <c r="AD3" s="425"/>
      <c r="AE3" s="428">
        <v>8</v>
      </c>
      <c r="AF3" s="433"/>
      <c r="AG3" s="433"/>
      <c r="AH3" s="433"/>
      <c r="AI3" s="429"/>
      <c r="AJ3" s="428"/>
      <c r="AK3" s="429"/>
      <c r="AN3" s="421"/>
      <c r="AO3" s="422"/>
      <c r="AP3" s="422"/>
      <c r="AQ3" s="422"/>
      <c r="AR3" s="422"/>
    </row>
    <row r="4" spans="1:44" x14ac:dyDescent="0.25">
      <c r="A4" s="70"/>
      <c r="B4" s="498" t="s">
        <v>55</v>
      </c>
      <c r="C4" s="498"/>
      <c r="D4" s="499"/>
      <c r="E4" s="403"/>
      <c r="F4" s="402"/>
      <c r="G4" s="410"/>
      <c r="H4" s="410"/>
      <c r="I4" s="544" t="s">
        <v>57</v>
      </c>
      <c r="J4" s="545"/>
      <c r="K4" s="404"/>
      <c r="L4" s="546" t="s">
        <v>179</v>
      </c>
      <c r="M4" s="547"/>
      <c r="N4" s="405"/>
      <c r="O4" s="539" t="s">
        <v>60</v>
      </c>
      <c r="P4" s="541"/>
      <c r="Q4" s="538" t="s">
        <v>69</v>
      </c>
      <c r="R4" s="539"/>
      <c r="S4" s="539"/>
      <c r="T4" s="540"/>
      <c r="U4" s="538" t="s">
        <v>70</v>
      </c>
      <c r="V4" s="539"/>
      <c r="W4" s="539" t="s">
        <v>68</v>
      </c>
      <c r="X4" s="541" t="s">
        <v>67</v>
      </c>
      <c r="Y4" s="548" t="s">
        <v>61</v>
      </c>
      <c r="Z4" s="548"/>
      <c r="AA4" s="548"/>
      <c r="AB4" s="549"/>
      <c r="AC4" s="409" t="s">
        <v>331</v>
      </c>
      <c r="AD4" s="410"/>
      <c r="AE4" s="408"/>
      <c r="AF4" s="406" t="s">
        <v>174</v>
      </c>
      <c r="AG4" s="406" t="s">
        <v>177</v>
      </c>
      <c r="AH4" s="406"/>
      <c r="AI4" s="407" t="s">
        <v>231</v>
      </c>
      <c r="AJ4" s="536" t="s">
        <v>333</v>
      </c>
      <c r="AK4" s="537"/>
    </row>
    <row r="5" spans="1:44" ht="15.75" thickBot="1" x14ac:dyDescent="0.3">
      <c r="A5" s="71" t="s">
        <v>545</v>
      </c>
      <c r="B5" s="349" t="s">
        <v>169</v>
      </c>
      <c r="C5" s="349" t="s">
        <v>353</v>
      </c>
      <c r="D5" s="32" t="s">
        <v>56</v>
      </c>
      <c r="E5" s="355" t="s">
        <v>65</v>
      </c>
      <c r="F5" s="349" t="s">
        <v>432</v>
      </c>
      <c r="G5" s="69" t="s">
        <v>433</v>
      </c>
      <c r="H5" s="53" t="s">
        <v>50</v>
      </c>
      <c r="I5" s="54" t="s">
        <v>58</v>
      </c>
      <c r="J5" s="55" t="s">
        <v>59</v>
      </c>
      <c r="K5" s="91" t="s">
        <v>129</v>
      </c>
      <c r="L5" s="188" t="s">
        <v>58</v>
      </c>
      <c r="M5" s="189" t="s">
        <v>59</v>
      </c>
      <c r="N5" s="56" t="s">
        <v>51</v>
      </c>
      <c r="O5" s="57" t="s">
        <v>53</v>
      </c>
      <c r="P5" s="58" t="s">
        <v>54</v>
      </c>
      <c r="Q5" s="40" t="s">
        <v>66</v>
      </c>
      <c r="R5" s="12" t="s">
        <v>24</v>
      </c>
      <c r="S5" s="251" t="s">
        <v>71</v>
      </c>
      <c r="T5" s="222" t="s">
        <v>72</v>
      </c>
      <c r="U5" s="40" t="s">
        <v>66</v>
      </c>
      <c r="V5" s="12" t="s">
        <v>24</v>
      </c>
      <c r="W5" s="251" t="s">
        <v>72</v>
      </c>
      <c r="X5" s="59" t="s">
        <v>71</v>
      </c>
      <c r="Y5" s="131" t="s">
        <v>62</v>
      </c>
      <c r="Z5" s="132" t="s">
        <v>74</v>
      </c>
      <c r="AA5" s="133" t="s">
        <v>73</v>
      </c>
      <c r="AB5" s="134" t="s">
        <v>63</v>
      </c>
      <c r="AC5" s="378" t="s">
        <v>332</v>
      </c>
      <c r="AD5" s="53" t="str">
        <f t="shared" ref="AD5" si="0">H5</f>
        <v>symbol</v>
      </c>
      <c r="AE5" s="163" t="s">
        <v>170</v>
      </c>
      <c r="AF5" s="164" t="s">
        <v>176</v>
      </c>
      <c r="AG5" s="164" t="s">
        <v>172</v>
      </c>
      <c r="AH5" s="168" t="s">
        <v>173</v>
      </c>
      <c r="AI5" s="55" t="s">
        <v>173</v>
      </c>
      <c r="AJ5" s="365" t="s">
        <v>24</v>
      </c>
      <c r="AK5" s="366" t="s">
        <v>334</v>
      </c>
    </row>
    <row r="6" spans="1:44" x14ac:dyDescent="0.25">
      <c r="A6" s="530" t="str">
        <f>_xlfn.CONCAT(H6,"_",H7)</f>
        <v>SOXX_SMH</v>
      </c>
      <c r="B6" s="524">
        <f>MATCH(A6,SCALARS!D:D,0)</f>
        <v>50</v>
      </c>
      <c r="C6" s="524">
        <f>MATCH(A6,THRESHOLDS!D:D,0)</f>
        <v>50</v>
      </c>
      <c r="D6" s="80">
        <f>MATCH(H6,'MKT DATA'!B:B,0)</f>
        <v>139</v>
      </c>
      <c r="E6" s="64"/>
      <c r="F6" s="524" t="str" cm="1">
        <f t="array" aca="1" ref="F6" ca="1">INDIRECT(ADDRESS($B6,F$3,,,"scalars"))</f>
        <v>semis</v>
      </c>
      <c r="G6" s="524" t="str" cm="1">
        <f t="array" aca="1" ref="G6" ca="1">INDIRECT(ADDRESS($B6,G$3,,,"scalars"))</f>
        <v>-</v>
      </c>
      <c r="H6" s="173" t="s">
        <v>159</v>
      </c>
      <c r="I6" s="33" cm="1">
        <f t="array" aca="1" ref="I6" ca="1">INDIRECT(ADDRESS($D6,I$3,,,"mkt data"))</f>
        <v>477.52</v>
      </c>
      <c r="J6" s="34" cm="1">
        <f t="array" aca="1" ref="J6" ca="1">INDIRECT(ADDRESS($D6,J$3,,,"mkt data"))</f>
        <v>478.8</v>
      </c>
      <c r="K6" s="150" cm="1">
        <f t="array" aca="1" ref="K6" ca="1">INDIRECT(ADDRESS($B6,INT(LEFT(K$3,2)),,,"SCALARS"))</f>
        <v>0</v>
      </c>
      <c r="L6" s="16">
        <f t="shared" ref="L6:L9" ca="1" si="1">I6+K6-L$1</f>
        <v>477.5145</v>
      </c>
      <c r="M6" s="16">
        <f t="shared" ref="M6:M9" ca="1" si="2">J6+K6+L$1</f>
        <v>478.80549999999999</v>
      </c>
      <c r="N6" s="44" cm="1">
        <f t="array" aca="1" ref="N6" ca="1">INDIRECT(ADDRESS($B6,N$3,,,"scalars"))</f>
        <v>1.0799594601288685</v>
      </c>
      <c r="O6" s="17">
        <f t="shared" ref="O6:O9" ca="1" si="3">L6*N6</f>
        <v>515.69630162370652</v>
      </c>
      <c r="P6" s="17">
        <f t="shared" ref="P6:P9" ca="1" si="4">N6*M6</f>
        <v>517.09052928673293</v>
      </c>
      <c r="Q6" s="477">
        <f ca="1">O7-P6</f>
        <v>9.2239707132671356</v>
      </c>
      <c r="R6" s="475">
        <f ca="1">LN(O7/P6)</f>
        <v>1.768097862405173E-2</v>
      </c>
      <c r="S6" s="252" cm="1">
        <f t="array" aca="1" ref="S6" ca="1">-INDIRECT(ADDRESS($C6,S$3,,,"thresholds"))</f>
        <v>2.5000000000000001E-2</v>
      </c>
      <c r="T6" s="60" cm="1">
        <f t="array" aca="1" ref="T6" ca="1">-INDIRECT(ADDRESS($C6,T$3,,,"thresholds"))</f>
        <v>1.4999999999999999E-2</v>
      </c>
      <c r="U6" s="477">
        <f ca="1">O6-P7</f>
        <v>-12.159198376293489</v>
      </c>
      <c r="V6" s="475">
        <f ca="1">LN(O6/P7)</f>
        <v>-2.3304542542442765E-2</v>
      </c>
      <c r="W6" s="252" cm="1">
        <f t="array" aca="1" ref="W6" ca="1">INDIRECT(ADDRESS($C6,W$3,,,"thresholds"))</f>
        <v>3.5000000000000003E-2</v>
      </c>
      <c r="X6" s="60" cm="1">
        <f t="array" aca="1" ref="X6" ca="1">INDIRECT(ADDRESS($C6,X$3,,,"thresholds"))</f>
        <v>0.01</v>
      </c>
      <c r="Y6" s="27" cm="1">
        <f t="array" aca="1" ref="Y6" ca="1">INDIRECT(ADDRESS($D6,Y$3,,,"mkt data"))</f>
        <v>0</v>
      </c>
      <c r="Z6" s="48">
        <f t="shared" ref="Z6:Z9" ca="1" si="5">Y6*AVERAGE(I6:J6)</f>
        <v>0</v>
      </c>
      <c r="AA6" s="27">
        <f t="shared" ref="AA6:AA9" ca="1" si="6">Y6/N6</f>
        <v>0</v>
      </c>
      <c r="AB6" s="534">
        <f ca="1">SUM(AA6:AA7)</f>
        <v>0</v>
      </c>
      <c r="AC6" s="462"/>
      <c r="AD6" s="173" t="str">
        <f>H6</f>
        <v>SOXX</v>
      </c>
      <c r="AE6" s="33" cm="1">
        <f t="array" aca="1" ref="AE6" ca="1">INDIRECT(ADDRESS($D6,AE$3,,,"mkt data"))</f>
        <v>475.69000199999999</v>
      </c>
      <c r="AF6" s="165">
        <f t="shared" ref="AF6:AF9" ca="1" si="7">AVERAGE(I6,J6)</f>
        <v>478.15999999999997</v>
      </c>
      <c r="AG6" s="165">
        <f t="shared" ref="AG6:AG9" ca="1" si="8">AF6-AE6</f>
        <v>2.4699979999999755</v>
      </c>
      <c r="AH6" s="165">
        <f ca="1">AG6*Y6</f>
        <v>0</v>
      </c>
      <c r="AI6" s="522">
        <f ca="1">AH6+AH7</f>
        <v>0</v>
      </c>
      <c r="AJ6" s="532"/>
      <c r="AK6" s="458"/>
    </row>
    <row r="7" spans="1:44" ht="15.75" thickBot="1" x14ac:dyDescent="0.3">
      <c r="A7" s="531"/>
      <c r="B7" s="525" t="e">
        <f>MATCH(H7,SCALARS!D:D,0)</f>
        <v>#N/A</v>
      </c>
      <c r="C7" s="525"/>
      <c r="D7" s="82">
        <f>MATCH(H7,'MKT DATA'!B:B,0)</f>
        <v>138</v>
      </c>
      <c r="E7" s="65"/>
      <c r="F7" s="525"/>
      <c r="G7" s="525"/>
      <c r="H7" s="181" t="s">
        <v>158</v>
      </c>
      <c r="I7" s="37" cm="1">
        <f t="array" aca="1" ref="I7" ca="1">INDIRECT(ADDRESS($D7,I$3,,,"mkt data"))</f>
        <v>526.32000000000005</v>
      </c>
      <c r="J7" s="38" cm="1">
        <f t="array" aca="1" ref="J7" ca="1">INDIRECT(ADDRESS($D7,J$3,,,"mkt data"))</f>
        <v>527.85</v>
      </c>
      <c r="K7" s="151" cm="1">
        <f t="array" aca="1" ref="K7" ca="1">INDIRECT(ADDRESS($B6,INT(RIGHT(K$3,2)),,,"SCALARS"))</f>
        <v>0</v>
      </c>
      <c r="L7" s="22">
        <f t="shared" ca="1" si="1"/>
        <v>526.31450000000007</v>
      </c>
      <c r="M7" s="22">
        <f t="shared" ca="1" si="2"/>
        <v>527.85550000000001</v>
      </c>
      <c r="N7" s="87">
        <v>1</v>
      </c>
      <c r="O7" s="23">
        <f t="shared" ca="1" si="3"/>
        <v>526.31450000000007</v>
      </c>
      <c r="P7" s="23">
        <f t="shared" ca="1" si="4"/>
        <v>527.85550000000001</v>
      </c>
      <c r="Q7" s="598"/>
      <c r="R7" s="476"/>
      <c r="S7" s="253" t="b">
        <f ca="1">IF(R6&gt;S6,TRUE,FALSE)</f>
        <v>0</v>
      </c>
      <c r="T7" s="224" t="b">
        <f ca="1">AND(IF(V6&gt;-T6,TRUE,FALSE),IF(Y6&gt;0,TRUE,FALSE))</f>
        <v>0</v>
      </c>
      <c r="U7" s="478"/>
      <c r="V7" s="476"/>
      <c r="W7" s="253" t="b">
        <f ca="1">IF(V6&gt;W6,TRUE,FALSE)</f>
        <v>0</v>
      </c>
      <c r="X7" s="61" t="b">
        <f ca="1">AND(IF(R6&gt;-X6,TRUE,FALSE),IF(Y6&lt;0,TRUE,FALSE))</f>
        <v>0</v>
      </c>
      <c r="Y7" s="29" cm="1">
        <f t="array" aca="1" ref="Y7" ca="1">INDIRECT(ADDRESS($D7,Y$3,,,"mkt data"))</f>
        <v>0</v>
      </c>
      <c r="Z7" s="50">
        <f t="shared" ca="1" si="5"/>
        <v>0</v>
      </c>
      <c r="AA7" s="29">
        <f t="shared" ca="1" si="6"/>
        <v>0</v>
      </c>
      <c r="AB7" s="535"/>
      <c r="AC7" s="463"/>
      <c r="AD7" s="181" t="str">
        <f>H7</f>
        <v>SMH</v>
      </c>
      <c r="AE7" s="37" cm="1">
        <f t="array" aca="1" ref="AE7" ca="1">INDIRECT(ADDRESS($D7,AE$3,,,"mkt data"))</f>
        <v>523.34997599999997</v>
      </c>
      <c r="AF7" s="167">
        <f t="shared" ca="1" si="7"/>
        <v>527.08500000000004</v>
      </c>
      <c r="AG7" s="167">
        <f t="shared" ca="1" si="8"/>
        <v>3.7350240000000667</v>
      </c>
      <c r="AH7" s="167">
        <f t="shared" ref="AH7:AH9" ca="1" si="9">AG7*Y7</f>
        <v>0</v>
      </c>
      <c r="AI7" s="523"/>
      <c r="AJ7" s="533"/>
      <c r="AK7" s="459"/>
    </row>
    <row r="8" spans="1:44" x14ac:dyDescent="0.25">
      <c r="A8" s="530" t="str">
        <f t="shared" ref="A8" si="10">_xlfn.CONCAT(H8,"_",H9)</f>
        <v>KBE_KBWB</v>
      </c>
      <c r="B8" s="524" t="e">
        <f>MATCH(A8,SCALARS!D:D,0)</f>
        <v>#N/A</v>
      </c>
      <c r="C8" s="524" t="e">
        <f>MATCH(A8,THRESHOLDS!D:D,0)</f>
        <v>#N/A</v>
      </c>
      <c r="D8" s="80" t="e">
        <f>MATCH(H8,'MKT DATA'!B:B,0)</f>
        <v>#N/A</v>
      </c>
      <c r="E8" s="64"/>
      <c r="F8" s="524" t="e" cm="1">
        <f t="array" aca="1" ref="F8" ca="1">INDIRECT(ADDRESS($B8,F$3,,,"scalars"))</f>
        <v>#N/A</v>
      </c>
      <c r="G8" s="524" t="e" cm="1">
        <f t="array" aca="1" ref="G8" ca="1">INDIRECT(ADDRESS($B8,G$3,,,"scalars"))</f>
        <v>#N/A</v>
      </c>
      <c r="H8" s="173" t="s">
        <v>163</v>
      </c>
      <c r="I8" s="231" t="e" cm="1">
        <f t="array" aca="1" ref="I8" ca="1">INDIRECT(ADDRESS($D8,I$3,,,"mkt data"))</f>
        <v>#N/A</v>
      </c>
      <c r="J8" s="232" t="e" cm="1">
        <f t="array" aca="1" ref="J8" ca="1">INDIRECT(ADDRESS($D8,J$3,,,"mkt data"))</f>
        <v>#N/A</v>
      </c>
      <c r="K8" s="150" t="e" cm="1">
        <f t="array" aca="1" ref="K8" ca="1">INDIRECT(ADDRESS($B8,INT(LEFT(K$3,2)),,,"SCALARS"))</f>
        <v>#N/A</v>
      </c>
      <c r="L8" s="16" t="e">
        <f t="shared" ca="1" si="1"/>
        <v>#N/A</v>
      </c>
      <c r="M8" s="16" t="e">
        <f t="shared" ca="1" si="2"/>
        <v>#N/A</v>
      </c>
      <c r="N8" s="44" t="e" cm="1">
        <f t="array" aca="1" ref="N8" ca="1">INDIRECT(ADDRESS($B8,N$3,,,"scalars"))</f>
        <v>#N/A</v>
      </c>
      <c r="O8" s="17" t="e">
        <f t="shared" ca="1" si="3"/>
        <v>#N/A</v>
      </c>
      <c r="P8" s="17" t="e">
        <f t="shared" ca="1" si="4"/>
        <v>#N/A</v>
      </c>
      <c r="Q8" s="477" t="e">
        <f ca="1">O9-P8</f>
        <v>#N/A</v>
      </c>
      <c r="R8" s="475" t="e">
        <f ca="1">LN(O9/P8)</f>
        <v>#N/A</v>
      </c>
      <c r="S8" s="252" t="e" cm="1">
        <f t="array" aca="1" ref="S8" ca="1">-INDIRECT(ADDRESS($C8,S$3,,,"thresholds"))</f>
        <v>#N/A</v>
      </c>
      <c r="T8" s="60" t="e" cm="1">
        <f t="array" aca="1" ref="T8" ca="1">-INDIRECT(ADDRESS($C8,T$3,,,"thresholds"))</f>
        <v>#N/A</v>
      </c>
      <c r="U8" s="477" t="e">
        <f ca="1">O8-P9</f>
        <v>#N/A</v>
      </c>
      <c r="V8" s="475" t="e">
        <f ca="1">LN(O8/P9)</f>
        <v>#N/A</v>
      </c>
      <c r="W8" s="252" t="e" cm="1">
        <f t="array" aca="1" ref="W8" ca="1">INDIRECT(ADDRESS($C8,W$3,,,"thresholds"))</f>
        <v>#N/A</v>
      </c>
      <c r="X8" s="60" t="e" cm="1">
        <f t="array" aca="1" ref="X8" ca="1">INDIRECT(ADDRESS($C8,X$3,,,"thresholds"))</f>
        <v>#N/A</v>
      </c>
      <c r="Y8" s="27" t="e" cm="1">
        <f t="array" aca="1" ref="Y8" ca="1">INDIRECT(ADDRESS($D8,Y$3,,,"mkt data"))</f>
        <v>#N/A</v>
      </c>
      <c r="Z8" s="48" t="e">
        <f t="shared" ca="1" si="5"/>
        <v>#N/A</v>
      </c>
      <c r="AA8" s="27" t="e">
        <f t="shared" ca="1" si="6"/>
        <v>#N/A</v>
      </c>
      <c r="AB8" s="485" t="e">
        <f ca="1">SUM(AA8:AA9)</f>
        <v>#N/A</v>
      </c>
      <c r="AC8" s="462"/>
      <c r="AD8" s="173" t="str">
        <f t="shared" ref="AD8:AD9" si="11">H8</f>
        <v>KBE</v>
      </c>
      <c r="AE8" s="33" t="e" cm="1">
        <f t="array" aca="1" ref="AE8" ca="1">INDIRECT(ADDRESS($D8,AE$3,,,"mkt data"))</f>
        <v>#N/A</v>
      </c>
      <c r="AF8" s="165" t="e">
        <f t="shared" ca="1" si="7"/>
        <v>#N/A</v>
      </c>
      <c r="AG8" s="165" t="e">
        <f t="shared" ca="1" si="8"/>
        <v>#N/A</v>
      </c>
      <c r="AH8" s="165" t="e">
        <f t="shared" ca="1" si="9"/>
        <v>#N/A</v>
      </c>
      <c r="AI8" s="522"/>
      <c r="AJ8" s="532"/>
      <c r="AK8" s="458"/>
    </row>
    <row r="9" spans="1:44" ht="15.75" thickBot="1" x14ac:dyDescent="0.3">
      <c r="A9" s="531"/>
      <c r="B9" s="525" t="e">
        <f>MATCH(H9,SCALARS!D:D,0)</f>
        <v>#N/A</v>
      </c>
      <c r="C9" s="525"/>
      <c r="D9" s="82">
        <f>MATCH(H9,'MKT DATA'!B:B,0)</f>
        <v>10</v>
      </c>
      <c r="E9" s="65"/>
      <c r="F9" s="525"/>
      <c r="G9" s="525"/>
      <c r="H9" s="181" t="s">
        <v>164</v>
      </c>
      <c r="I9" s="233" cm="1">
        <f t="array" aca="1" ref="I9" ca="1">INDIRECT(ADDRESS($D9,I$3,,,"mkt data"))</f>
        <v>87.16</v>
      </c>
      <c r="J9" s="234" cm="1">
        <f t="array" aca="1" ref="J9" ca="1">INDIRECT(ADDRESS($D9,J$3,,,"mkt data"))</f>
        <v>88.15</v>
      </c>
      <c r="K9" s="151" t="e" cm="1">
        <f t="array" aca="1" ref="K9" ca="1">INDIRECT(ADDRESS($B8,INT(RIGHT(K$3,2)),,,"SCALARS"))</f>
        <v>#N/A</v>
      </c>
      <c r="L9" s="22" t="e">
        <f t="shared" ca="1" si="1"/>
        <v>#N/A</v>
      </c>
      <c r="M9" s="22" t="e">
        <f t="shared" ca="1" si="2"/>
        <v>#N/A</v>
      </c>
      <c r="N9" s="87">
        <v>1</v>
      </c>
      <c r="O9" s="23" t="e">
        <f t="shared" ca="1" si="3"/>
        <v>#N/A</v>
      </c>
      <c r="P9" s="23" t="e">
        <f t="shared" ca="1" si="4"/>
        <v>#N/A</v>
      </c>
      <c r="Q9" s="598"/>
      <c r="R9" s="476"/>
      <c r="S9" s="253" t="e">
        <f ca="1">IF(R8&gt;S8,TRUE,FALSE)</f>
        <v>#N/A</v>
      </c>
      <c r="T9" s="224" t="e">
        <f ca="1">AND(IF(V8&gt;-T8,TRUE,FALSE),IF(Y8&gt;0,TRUE,FALSE))</f>
        <v>#N/A</v>
      </c>
      <c r="U9" s="478"/>
      <c r="V9" s="476"/>
      <c r="W9" s="253" t="e">
        <f ca="1">IF(V8&gt;W8,TRUE,FALSE)</f>
        <v>#N/A</v>
      </c>
      <c r="X9" s="61" t="e">
        <f ca="1">AND(IF(R8&gt;-X8,TRUE,FALSE),IF(Y8&lt;0,TRUE,FALSE))</f>
        <v>#N/A</v>
      </c>
      <c r="Y9" s="29" cm="1">
        <f t="array" aca="1" ref="Y9" ca="1">INDIRECT(ADDRESS($D9,Y$3,,,"mkt data"))</f>
        <v>0</v>
      </c>
      <c r="Z9" s="50">
        <f t="shared" ca="1" si="5"/>
        <v>0</v>
      </c>
      <c r="AA9" s="29">
        <f t="shared" ca="1" si="6"/>
        <v>0</v>
      </c>
      <c r="AB9" s="486"/>
      <c r="AC9" s="463"/>
      <c r="AD9" s="181" t="str">
        <f t="shared" si="11"/>
        <v>KBWB</v>
      </c>
      <c r="AE9" s="37" cm="1">
        <f t="array" aca="1" ref="AE9" ca="1">INDIRECT(ADDRESS($D9,AE$3,,,"mkt data"))</f>
        <v>88.220000999999996</v>
      </c>
      <c r="AF9" s="167">
        <f t="shared" ca="1" si="7"/>
        <v>87.655000000000001</v>
      </c>
      <c r="AG9" s="167">
        <f t="shared" ca="1" si="8"/>
        <v>-0.5650009999999952</v>
      </c>
      <c r="AH9" s="167">
        <f t="shared" ca="1" si="9"/>
        <v>0</v>
      </c>
      <c r="AI9" s="523"/>
      <c r="AJ9" s="533"/>
      <c r="AK9" s="459"/>
    </row>
  </sheetData>
  <mergeCells count="44">
    <mergeCell ref="V8:V9"/>
    <mergeCell ref="AB8:AB9"/>
    <mergeCell ref="AC8:AC9"/>
    <mergeCell ref="AI8:AI9"/>
    <mergeCell ref="AJ8:AJ9"/>
    <mergeCell ref="AK8:AK9"/>
    <mergeCell ref="AJ6:AJ7"/>
    <mergeCell ref="AK6:AK7"/>
    <mergeCell ref="A8:A9"/>
    <mergeCell ref="B8:B9"/>
    <mergeCell ref="C8:C9"/>
    <mergeCell ref="F8:F9"/>
    <mergeCell ref="G8:G9"/>
    <mergeCell ref="Q8:Q9"/>
    <mergeCell ref="R8:R9"/>
    <mergeCell ref="U8:U9"/>
    <mergeCell ref="R6:R7"/>
    <mergeCell ref="U6:U7"/>
    <mergeCell ref="V6:V7"/>
    <mergeCell ref="AB6:AB7"/>
    <mergeCell ref="AC6:AC7"/>
    <mergeCell ref="AI6:AI7"/>
    <mergeCell ref="A6:A7"/>
    <mergeCell ref="B6:B7"/>
    <mergeCell ref="C6:C7"/>
    <mergeCell ref="F6:F7"/>
    <mergeCell ref="G6:G7"/>
    <mergeCell ref="Q6:Q7"/>
    <mergeCell ref="AJ1:AK2"/>
    <mergeCell ref="AL1:AL2"/>
    <mergeCell ref="B4:D4"/>
    <mergeCell ref="I4:J4"/>
    <mergeCell ref="L4:M4"/>
    <mergeCell ref="O4:P4"/>
    <mergeCell ref="Q4:T4"/>
    <mergeCell ref="U4:X4"/>
    <mergeCell ref="Y4:AB4"/>
    <mergeCell ref="AJ4:AK4"/>
    <mergeCell ref="L1:M2"/>
    <mergeCell ref="Y1:AB2"/>
    <mergeCell ref="AF1:AF2"/>
    <mergeCell ref="AG1:AG2"/>
    <mergeCell ref="AH1:AH2"/>
    <mergeCell ref="AI1:AI2"/>
  </mergeCells>
  <conditionalFormatting sqref="O6:O7">
    <cfRule type="top10" dxfId="280" priority="113" rank="1"/>
  </conditionalFormatting>
  <conditionalFormatting sqref="P6:P7">
    <cfRule type="top10" dxfId="279" priority="114" bottom="1" rank="1"/>
  </conditionalFormatting>
  <conditionalFormatting sqref="O8:O9">
    <cfRule type="top10" dxfId="272" priority="105" rank="1"/>
  </conditionalFormatting>
  <conditionalFormatting sqref="P8:P9">
    <cfRule type="top10" dxfId="271" priority="106" bottom="1" rank="1"/>
  </conditionalFormatting>
  <conditionalFormatting sqref="S7 W7 S9 W9">
    <cfRule type="cellIs" dxfId="270" priority="104" operator="equal">
      <formula>TRUE</formula>
    </cfRule>
  </conditionalFormatting>
  <conditionalFormatting sqref="T7 X7 T9 X9">
    <cfRule type="cellIs" dxfId="269" priority="103" operator="equal">
      <formula>TRUE</formula>
    </cfRule>
  </conditionalFormatting>
  <conditionalFormatting sqref="U6:V9 Q6:R9">
    <cfRule type="cellIs" dxfId="268" priority="102" operator="greaterThan">
      <formula>0</formula>
    </cfRule>
  </conditionalFormatting>
  <conditionalFormatting sqref="W6">
    <cfRule type="cellIs" dxfId="261" priority="97" operator="equal">
      <formula>TRUE</formula>
    </cfRule>
  </conditionalFormatting>
  <conditionalFormatting sqref="X6">
    <cfRule type="cellIs" dxfId="260" priority="96" operator="equal">
      <formula>TRUE</formula>
    </cfRule>
  </conditionalFormatting>
  <conditionalFormatting sqref="S6">
    <cfRule type="cellIs" dxfId="259" priority="95" operator="equal">
      <formula>TRUE</formula>
    </cfRule>
  </conditionalFormatting>
  <conditionalFormatting sqref="T6">
    <cfRule type="cellIs" dxfId="258" priority="94" operator="equal">
      <formula>TRUE</formula>
    </cfRule>
  </conditionalFormatting>
  <conditionalFormatting sqref="S8">
    <cfRule type="cellIs" dxfId="257" priority="93" operator="equal">
      <formula>TRUE</formula>
    </cfRule>
  </conditionalFormatting>
  <conditionalFormatting sqref="T8">
    <cfRule type="cellIs" dxfId="256" priority="92" operator="equal">
      <formula>TRUE</formula>
    </cfRule>
  </conditionalFormatting>
  <conditionalFormatting sqref="W8">
    <cfRule type="cellIs" dxfId="241" priority="77" operator="equal">
      <formula>TRUE</formula>
    </cfRule>
  </conditionalFormatting>
  <conditionalFormatting sqref="X8">
    <cfRule type="cellIs" dxfId="240" priority="76" operator="equal">
      <formula>TRUE</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3CA3-6BAF-4DE9-9A96-345BF7575CFF}">
  <sheetPr codeName="Sheet4">
    <tabColor theme="6" tint="0.79998168889431442"/>
  </sheetPr>
  <dimension ref="A1:AR37"/>
  <sheetViews>
    <sheetView zoomScale="85" zoomScaleNormal="85" workbookViewId="0">
      <selection activeCell="M34" sqref="M34"/>
    </sheetView>
  </sheetViews>
  <sheetFormatPr defaultColWidth="20.140625" defaultRowHeight="15" x14ac:dyDescent="0.25"/>
  <cols>
    <col min="1" max="1" width="11.5703125" style="10" bestFit="1" customWidth="1"/>
    <col min="2" max="2" width="8.140625" style="10" customWidth="1"/>
    <col min="3" max="3" width="6.7109375" style="10" bestFit="1" customWidth="1"/>
    <col min="4" max="4" width="9.42578125" style="10" bestFit="1" customWidth="1"/>
    <col min="5" max="5" width="7.7109375" style="10" bestFit="1" customWidth="1"/>
    <col min="6" max="6" width="12.28515625" style="10" bestFit="1" customWidth="1"/>
    <col min="7" max="7" width="11.140625" style="10" bestFit="1" customWidth="1"/>
    <col min="8" max="8" width="7.85546875" style="8" bestFit="1" customWidth="1"/>
    <col min="9" max="10" width="9" style="2" bestFit="1" customWidth="1"/>
    <col min="11" max="11" width="9" style="2" customWidth="1"/>
    <col min="12" max="13" width="10" style="13" bestFit="1" customWidth="1"/>
    <col min="14" max="14" width="8.5703125" style="47" bestFit="1" customWidth="1"/>
    <col min="15" max="16" width="10" style="7" bestFit="1" customWidth="1"/>
    <col min="17" max="17" width="9.7109375" bestFit="1" customWidth="1"/>
    <col min="18" max="18" width="8.85546875" bestFit="1" customWidth="1"/>
    <col min="19" max="19" width="9.7109375" bestFit="1" customWidth="1"/>
    <col min="20" max="20" width="9.5703125" bestFit="1" customWidth="1"/>
    <col min="21" max="21" width="9.7109375" style="11" bestFit="1" customWidth="1"/>
    <col min="22" max="22" width="8.85546875" bestFit="1" customWidth="1"/>
    <col min="23" max="23" width="9.5703125" style="30" bestFit="1" customWidth="1"/>
    <col min="24" max="24" width="9.7109375" style="26" bestFit="1" customWidth="1"/>
    <col min="25" max="25" width="6.140625" style="26" bestFit="1" customWidth="1"/>
    <col min="26" max="26" width="9.7109375" style="1" bestFit="1" customWidth="1"/>
    <col min="27" max="27" width="6.140625" bestFit="1" customWidth="1"/>
    <col min="28" max="28" width="9.5703125" bestFit="1" customWidth="1"/>
    <col min="29" max="29" width="6.42578125" style="373" bestFit="1" customWidth="1"/>
    <col min="30" max="30" width="7.85546875" style="1" bestFit="1" customWidth="1"/>
    <col min="31" max="31" width="9" bestFit="1" customWidth="1"/>
    <col min="32" max="32" width="10.5703125" bestFit="1" customWidth="1"/>
    <col min="33" max="33" width="7.7109375" bestFit="1" customWidth="1"/>
    <col min="34" max="35" width="9" bestFit="1" customWidth="1"/>
    <col min="36" max="36" width="5.85546875" style="10" bestFit="1" customWidth="1"/>
    <col min="37" max="37" width="7.85546875" style="10" bestFit="1" customWidth="1"/>
    <col min="38" max="38" width="5.28515625" style="10" bestFit="1" customWidth="1"/>
    <col min="39" max="39" width="24.7109375" bestFit="1" customWidth="1"/>
    <col min="40" max="40" width="10.5703125" style="301" customWidth="1"/>
    <col min="41" max="43" width="10.5703125" style="2" customWidth="1"/>
    <col min="44" max="44" width="20.140625" style="2"/>
  </cols>
  <sheetData>
    <row r="1" spans="1:44" x14ac:dyDescent="0.25">
      <c r="H1" s="10"/>
      <c r="I1" s="10"/>
      <c r="J1" s="166"/>
      <c r="K1" s="190"/>
      <c r="L1" s="510">
        <v>5.4999999999999997E-3</v>
      </c>
      <c r="M1" s="510"/>
      <c r="N1" s="191"/>
      <c r="O1" s="19"/>
      <c r="P1" s="19"/>
      <c r="U1" s="229"/>
      <c r="V1" s="229"/>
      <c r="W1" s="192"/>
      <c r="X1" s="192"/>
      <c r="Y1" s="495" t="str">
        <f>'MKT DATA'!J2</f>
        <v>2026-10-23_16-00-28</v>
      </c>
      <c r="Z1" s="495"/>
      <c r="AA1" s="495"/>
      <c r="AB1" s="495"/>
      <c r="AC1" s="383"/>
      <c r="AD1" s="193"/>
      <c r="AF1" s="518">
        <f ca="1">'INITIAL INPUTS'!H11</f>
        <v>1152.46693100006</v>
      </c>
      <c r="AG1" s="479" t="s">
        <v>175</v>
      </c>
      <c r="AH1" s="481">
        <f ca="1">SUM(AH6:AH25)</f>
        <v>621.80129199999772</v>
      </c>
      <c r="AI1" s="483">
        <f ca="1">SUM(AI6:AI25)</f>
        <v>621.80129199999772</v>
      </c>
      <c r="AJ1" s="466">
        <f ca="1">SUM(AK6:AK25)</f>
        <v>3847.1845091987584</v>
      </c>
      <c r="AK1" s="467"/>
      <c r="AL1" s="464">
        <f ca="1">'INITIAL INPUTS'!I11</f>
        <v>3847.1845091987584</v>
      </c>
    </row>
    <row r="2" spans="1:44" ht="15.75" thickBot="1" x14ac:dyDescent="0.3">
      <c r="H2" s="10"/>
      <c r="I2" s="10"/>
      <c r="K2" s="145"/>
      <c r="L2" s="511"/>
      <c r="M2" s="511"/>
      <c r="N2" s="7"/>
      <c r="U2" s="230"/>
      <c r="V2" s="230"/>
      <c r="X2" s="1"/>
      <c r="Y2" s="496"/>
      <c r="Z2" s="496"/>
      <c r="AA2" s="496"/>
      <c r="AB2" s="496"/>
      <c r="AC2" s="383"/>
      <c r="AE2" s="67"/>
      <c r="AF2" s="519"/>
      <c r="AG2" s="480"/>
      <c r="AH2" s="482"/>
      <c r="AI2" s="484"/>
      <c r="AJ2" s="468"/>
      <c r="AK2" s="469"/>
      <c r="AL2" s="465"/>
    </row>
    <row r="3" spans="1:44" s="74" customFormat="1" ht="15.75" thickBot="1" x14ac:dyDescent="0.3">
      <c r="A3" s="424" t="s">
        <v>415</v>
      </c>
      <c r="B3" s="455"/>
      <c r="C3" s="425"/>
      <c r="D3" s="426"/>
      <c r="E3" s="427"/>
      <c r="F3" s="425">
        <v>2</v>
      </c>
      <c r="G3" s="425">
        <v>3</v>
      </c>
      <c r="H3" s="425"/>
      <c r="I3" s="428">
        <v>5</v>
      </c>
      <c r="J3" s="429">
        <v>6</v>
      </c>
      <c r="K3" s="456" t="s">
        <v>553</v>
      </c>
      <c r="L3" s="430"/>
      <c r="M3" s="431"/>
      <c r="N3" s="432">
        <v>9</v>
      </c>
      <c r="O3" s="433"/>
      <c r="P3" s="429"/>
      <c r="Q3" s="428"/>
      <c r="R3" s="433"/>
      <c r="S3" s="433">
        <v>9</v>
      </c>
      <c r="T3" s="434">
        <v>10</v>
      </c>
      <c r="U3" s="428"/>
      <c r="V3" s="433"/>
      <c r="W3" s="433">
        <v>11</v>
      </c>
      <c r="X3" s="429">
        <v>12</v>
      </c>
      <c r="Y3" s="435">
        <v>9</v>
      </c>
      <c r="Z3" s="435"/>
      <c r="AA3" s="435"/>
      <c r="AB3" s="436"/>
      <c r="AC3" s="427"/>
      <c r="AD3" s="425"/>
      <c r="AE3" s="428">
        <v>8</v>
      </c>
      <c r="AF3" s="433"/>
      <c r="AG3" s="433"/>
      <c r="AH3" s="433"/>
      <c r="AI3" s="429"/>
      <c r="AJ3" s="428"/>
      <c r="AK3" s="429"/>
      <c r="AN3" s="421"/>
      <c r="AO3" s="422"/>
      <c r="AP3" s="422"/>
      <c r="AQ3" s="422"/>
      <c r="AR3" s="422"/>
    </row>
    <row r="4" spans="1:44" x14ac:dyDescent="0.25">
      <c r="A4" s="70"/>
      <c r="B4" s="498" t="s">
        <v>55</v>
      </c>
      <c r="C4" s="498"/>
      <c r="D4" s="499"/>
      <c r="E4" s="403"/>
      <c r="F4" s="402"/>
      <c r="G4" s="410"/>
      <c r="H4" s="9"/>
      <c r="I4" s="544" t="s">
        <v>57</v>
      </c>
      <c r="J4" s="545"/>
      <c r="K4" s="404"/>
      <c r="L4" s="546" t="s">
        <v>179</v>
      </c>
      <c r="M4" s="547"/>
      <c r="N4" s="405"/>
      <c r="O4" s="539" t="s">
        <v>60</v>
      </c>
      <c r="P4" s="541"/>
      <c r="Q4" s="538" t="s">
        <v>69</v>
      </c>
      <c r="R4" s="539"/>
      <c r="S4" s="539"/>
      <c r="T4" s="540"/>
      <c r="U4" s="538" t="s">
        <v>70</v>
      </c>
      <c r="V4" s="539"/>
      <c r="W4" s="539" t="s">
        <v>68</v>
      </c>
      <c r="X4" s="541" t="s">
        <v>67</v>
      </c>
      <c r="Y4" s="548" t="s">
        <v>61</v>
      </c>
      <c r="Z4" s="548"/>
      <c r="AA4" s="548"/>
      <c r="AB4" s="549"/>
      <c r="AC4" s="409" t="s">
        <v>331</v>
      </c>
      <c r="AD4" s="410"/>
      <c r="AE4" s="408"/>
      <c r="AF4" s="406" t="s">
        <v>174</v>
      </c>
      <c r="AG4" s="406" t="s">
        <v>177</v>
      </c>
      <c r="AH4" s="406"/>
      <c r="AI4" s="407" t="s">
        <v>231</v>
      </c>
      <c r="AJ4" s="536" t="s">
        <v>333</v>
      </c>
      <c r="AK4" s="537"/>
    </row>
    <row r="5" spans="1:44" ht="15.75" thickBot="1" x14ac:dyDescent="0.3">
      <c r="A5" s="71" t="s">
        <v>545</v>
      </c>
      <c r="B5" s="349" t="s">
        <v>169</v>
      </c>
      <c r="C5" s="349" t="s">
        <v>353</v>
      </c>
      <c r="D5" s="32" t="s">
        <v>56</v>
      </c>
      <c r="E5" s="355" t="s">
        <v>65</v>
      </c>
      <c r="F5" s="349" t="s">
        <v>432</v>
      </c>
      <c r="G5" s="69" t="s">
        <v>433</v>
      </c>
      <c r="H5" s="53" t="s">
        <v>50</v>
      </c>
      <c r="I5" s="54" t="s">
        <v>58</v>
      </c>
      <c r="J5" s="55" t="s">
        <v>59</v>
      </c>
      <c r="K5" s="91" t="s">
        <v>129</v>
      </c>
      <c r="L5" s="188" t="s">
        <v>58</v>
      </c>
      <c r="M5" s="189" t="s">
        <v>59</v>
      </c>
      <c r="N5" s="56" t="s">
        <v>51</v>
      </c>
      <c r="O5" s="57" t="s">
        <v>53</v>
      </c>
      <c r="P5" s="58" t="s">
        <v>54</v>
      </c>
      <c r="Q5" s="40" t="s">
        <v>66</v>
      </c>
      <c r="R5" s="12" t="s">
        <v>24</v>
      </c>
      <c r="S5" s="251" t="s">
        <v>71</v>
      </c>
      <c r="T5" s="222" t="s">
        <v>72</v>
      </c>
      <c r="U5" s="40" t="s">
        <v>66</v>
      </c>
      <c r="V5" s="12" t="s">
        <v>24</v>
      </c>
      <c r="W5" s="251" t="s">
        <v>72</v>
      </c>
      <c r="X5" s="59" t="s">
        <v>71</v>
      </c>
      <c r="Y5" s="131" t="s">
        <v>62</v>
      </c>
      <c r="Z5" s="132" t="s">
        <v>74</v>
      </c>
      <c r="AA5" s="133" t="s">
        <v>73</v>
      </c>
      <c r="AB5" s="134" t="s">
        <v>63</v>
      </c>
      <c r="AC5" s="378" t="s">
        <v>332</v>
      </c>
      <c r="AD5" s="53" t="str">
        <f t="shared" ref="AD5:AD17" si="0">H5</f>
        <v>symbol</v>
      </c>
      <c r="AE5" s="163" t="s">
        <v>170</v>
      </c>
      <c r="AF5" s="164" t="s">
        <v>176</v>
      </c>
      <c r="AG5" s="164" t="s">
        <v>172</v>
      </c>
      <c r="AH5" s="168" t="s">
        <v>173</v>
      </c>
      <c r="AI5" s="55" t="s">
        <v>173</v>
      </c>
      <c r="AJ5" s="365" t="s">
        <v>24</v>
      </c>
      <c r="AK5" s="366" t="s">
        <v>334</v>
      </c>
    </row>
    <row r="6" spans="1:44" x14ac:dyDescent="0.25">
      <c r="A6" s="530" t="str">
        <f>_xlfn.CONCAT(H6,"_",H7)</f>
        <v>PFFD_PFF</v>
      </c>
      <c r="B6" s="524">
        <f>MATCH(A6,SCALARS!D:D,0)</f>
        <v>43</v>
      </c>
      <c r="C6" s="524">
        <f>MATCH(A6,THRESHOLDS!D:D,0)</f>
        <v>43</v>
      </c>
      <c r="D6" s="80">
        <f>MATCH(H6,'MKT DATA'!B:B,0)</f>
        <v>131</v>
      </c>
      <c r="E6" s="64">
        <v>0.16500000000000001</v>
      </c>
      <c r="F6" s="524" t="str" cm="1">
        <f t="array" aca="1" ref="F6" ca="1">INDIRECT(ADDRESS($B6,F$3,,,"scalars"))</f>
        <v>prefs</v>
      </c>
      <c r="G6" s="524" t="str" cm="1">
        <f t="array" aca="1" ref="G6" ca="1">INDIRECT(ADDRESS($B6,G$3,,,"scalars"))</f>
        <v>-</v>
      </c>
      <c r="H6" s="15" t="s">
        <v>44</v>
      </c>
      <c r="I6" s="33" cm="1">
        <f t="array" aca="1" ref="I6" ca="1">INDIRECT(ADDRESS($D6,I$3,,,"mkt data"))</f>
        <v>17.11</v>
      </c>
      <c r="J6" s="34" cm="1">
        <f t="array" aca="1" ref="J6" ca="1">INDIRECT(ADDRESS($D6,J$3,,,"mkt data"))</f>
        <v>17.2</v>
      </c>
      <c r="K6" s="150" cm="1">
        <f t="array" aca="1" ref="K6" ca="1">INDIRECT(ADDRESS($B6,INT(LEFT(K$3,2)),,,"SCALARS"))</f>
        <v>0.89999999999999991</v>
      </c>
      <c r="L6" s="16">
        <f t="shared" ref="L6:L23" ca="1" si="1">I6+K6-L$1</f>
        <v>18.004499999999997</v>
      </c>
      <c r="M6" s="16">
        <f t="shared" ref="M6:M23" ca="1" si="2">J6+K6+L$1</f>
        <v>18.105499999999999</v>
      </c>
      <c r="N6" s="44" cm="1">
        <f t="array" aca="1" ref="N6" ca="1">INDIRECT(ADDRESS($B6,N$3,,,"scalars"))</f>
        <v>1.6622533949761078</v>
      </c>
      <c r="O6" s="17">
        <f t="shared" ref="O6:O23" ca="1" si="3">L6*N6</f>
        <v>29.928041249847329</v>
      </c>
      <c r="P6" s="17">
        <f t="shared" ref="P6:P23" ca="1" si="4">N6*M6</f>
        <v>30.095928842739919</v>
      </c>
      <c r="Q6" s="477">
        <f ca="1">O7-P6</f>
        <v>-0.16164184273992177</v>
      </c>
      <c r="R6" s="475">
        <f ca="1">LN(O7/P6)</f>
        <v>-5.3853623923759237E-3</v>
      </c>
      <c r="S6" s="252" cm="1">
        <f t="array" aca="1" ref="S6" ca="1">-INDIRECT(ADDRESS($C6,S$3,,,"thresholds"))</f>
        <v>5.0000000000000001E-3</v>
      </c>
      <c r="T6" s="60" cm="1">
        <f t="array" aca="1" ref="T6" ca="1">-INDIRECT(ADDRESS($C6,T$3,,,"thresholds"))</f>
        <v>3.0000000000000001E-3</v>
      </c>
      <c r="U6" s="477">
        <f ca="1">O6-P7</f>
        <v>-0.19724575015267121</v>
      </c>
      <c r="V6" s="475">
        <f ca="1">LN(O6/P7)</f>
        <v>-6.56904338865921E-3</v>
      </c>
      <c r="W6" s="252" cm="1">
        <f t="array" aca="1" ref="W6" ca="1">INDIRECT(ADDRESS($C6,W$3,,,"thresholds"))</f>
        <v>5.0000000000000001E-3</v>
      </c>
      <c r="X6" s="60" cm="1">
        <f t="array" aca="1" ref="X6" ca="1">INDIRECT(ADDRESS($C6,X$3,,,"thresholds"))</f>
        <v>3.0000000000000001E-3</v>
      </c>
      <c r="Y6" s="27" cm="1">
        <f t="array" aca="1" ref="Y6" ca="1">INDIRECT(ADDRESS($D6,Y$3,,,"mkt data"))</f>
        <v>0</v>
      </c>
      <c r="Z6" s="48">
        <f t="shared" ref="Z6:Z23" ca="1" si="5">Y6*AVERAGE(I6:J6)</f>
        <v>0</v>
      </c>
      <c r="AA6" s="27">
        <f t="shared" ref="AA6:AA23" ca="1" si="6">Y6/N6</f>
        <v>0</v>
      </c>
      <c r="AB6" s="534">
        <f ca="1">SUM(AA6:AA7)</f>
        <v>0</v>
      </c>
      <c r="AC6" s="474"/>
      <c r="AD6" s="173" t="str">
        <f>H6</f>
        <v>PFFD</v>
      </c>
      <c r="AE6" s="33" cm="1">
        <f t="array" aca="1" ref="AE6" ca="1">INDIRECT(ADDRESS($D6,AE$3,,,"mkt data"))</f>
        <v>17.200001</v>
      </c>
      <c r="AF6" s="165">
        <f t="shared" ref="AF6:AF23" ca="1" si="7">AVERAGE(I6,J6)</f>
        <v>17.155000000000001</v>
      </c>
      <c r="AG6" s="165">
        <f t="shared" ref="AG6:AG23" ca="1" si="8">AF6-AE6</f>
        <v>-4.5000999999999181E-2</v>
      </c>
      <c r="AH6" s="165">
        <f ca="1">AG6*Y6</f>
        <v>0</v>
      </c>
      <c r="AI6" s="522">
        <f ca="1">AH6+AH7</f>
        <v>0</v>
      </c>
      <c r="AJ6" s="532"/>
      <c r="AK6" s="458"/>
    </row>
    <row r="7" spans="1:44" ht="15.75" thickBot="1" x14ac:dyDescent="0.3">
      <c r="A7" s="531"/>
      <c r="B7" s="525" t="e">
        <f>MATCH(H7,SCALARS!D:D,0)</f>
        <v>#N/A</v>
      </c>
      <c r="C7" s="525"/>
      <c r="D7" s="82">
        <f>MATCH(H7,'MKT DATA'!B:B,0)</f>
        <v>130</v>
      </c>
      <c r="E7" s="65">
        <v>0.16500000000000001</v>
      </c>
      <c r="F7" s="525"/>
      <c r="G7" s="525"/>
      <c r="H7" s="21" t="s">
        <v>43</v>
      </c>
      <c r="I7" s="37" cm="1">
        <f t="array" aca="1" ref="I7" ca="1">INDIRECT(ADDRESS($D7,I$3,,,"mkt data"))</f>
        <v>28.72</v>
      </c>
      <c r="J7" s="38" cm="1">
        <f t="array" aca="1" ref="J7" ca="1">INDIRECT(ADDRESS($D7,J$3,,,"mkt data"))</f>
        <v>28.9</v>
      </c>
      <c r="K7" s="151" cm="1">
        <f t="array" aca="1" ref="K7" ca="1">INDIRECT(ADDRESS($B6,INT(RIGHT(K$3,2)),,,"SCALARS"))</f>
        <v>1.2197870000000002</v>
      </c>
      <c r="L7" s="22">
        <f t="shared" ca="1" si="1"/>
        <v>29.934286999999998</v>
      </c>
      <c r="M7" s="22">
        <f t="shared" ca="1" si="2"/>
        <v>30.125287</v>
      </c>
      <c r="N7" s="87">
        <v>1</v>
      </c>
      <c r="O7" s="23">
        <f t="shared" ca="1" si="3"/>
        <v>29.934286999999998</v>
      </c>
      <c r="P7" s="23">
        <f t="shared" ca="1" si="4"/>
        <v>30.125287</v>
      </c>
      <c r="Q7" s="478"/>
      <c r="R7" s="476"/>
      <c r="S7" s="253" t="b">
        <f ca="1">IF(R6&gt;S6,TRUE,FALSE)</f>
        <v>0</v>
      </c>
      <c r="T7" s="224" t="b">
        <f ca="1">AND(IF(V6&gt;-T6,TRUE,FALSE),IF(Y6&gt;0,TRUE,FALSE))</f>
        <v>0</v>
      </c>
      <c r="U7" s="478"/>
      <c r="V7" s="476"/>
      <c r="W7" s="253" t="b">
        <f ca="1">IF(V6&gt;W6,TRUE,FALSE)</f>
        <v>0</v>
      </c>
      <c r="X7" s="61" t="b">
        <f ca="1">AND(IF(R6&gt;-X6,TRUE,FALSE),IF(Y6&lt;0,TRUE,FALSE))</f>
        <v>0</v>
      </c>
      <c r="Y7" s="29" cm="1">
        <f t="array" aca="1" ref="Y7" ca="1">INDIRECT(ADDRESS($D7,Y$3,,,"mkt data"))</f>
        <v>0</v>
      </c>
      <c r="Z7" s="50">
        <f t="shared" ca="1" si="5"/>
        <v>0</v>
      </c>
      <c r="AA7" s="29">
        <f t="shared" ca="1" si="6"/>
        <v>0</v>
      </c>
      <c r="AB7" s="535"/>
      <c r="AC7" s="463"/>
      <c r="AD7" s="181" t="str">
        <f>H7</f>
        <v>PFF</v>
      </c>
      <c r="AE7" s="37" cm="1">
        <f t="array" aca="1" ref="AE7" ca="1">INDIRECT(ADDRESS($D7,AE$3,,,"mkt data"))</f>
        <v>28.809999000000001</v>
      </c>
      <c r="AF7" s="167">
        <f t="shared" ca="1" si="7"/>
        <v>28.81</v>
      </c>
      <c r="AG7" s="167">
        <f t="shared" ca="1" si="8"/>
        <v>9.9999999747524271E-7</v>
      </c>
      <c r="AH7" s="167">
        <f t="shared" ref="AH7:AH25" ca="1" si="9">AG7*Y7</f>
        <v>0</v>
      </c>
      <c r="AI7" s="523"/>
      <c r="AJ7" s="533"/>
      <c r="AK7" s="459"/>
    </row>
    <row r="8" spans="1:44" x14ac:dyDescent="0.25">
      <c r="A8" s="530" t="str">
        <f t="shared" ref="A8" si="10">_xlfn.CONCAT(H8,"_",H9)</f>
        <v>CWB_ICVT</v>
      </c>
      <c r="B8" s="524">
        <f>MATCH(A8,SCALARS!D:D,0)</f>
        <v>7</v>
      </c>
      <c r="C8" s="524">
        <f>MATCH(A8,THRESHOLDS!D:D,0)</f>
        <v>7</v>
      </c>
      <c r="D8" s="80">
        <f>MATCH(H8,'MKT DATA'!B:B,0)</f>
        <v>18</v>
      </c>
      <c r="E8" s="64">
        <v>0.16500000000000001</v>
      </c>
      <c r="F8" s="524" t="str" cm="1">
        <f t="array" aca="1" ref="F8" ca="1">INDIRECT(ADDRESS($B8,F$3,,,"scalars"))</f>
        <v>converts</v>
      </c>
      <c r="G8" s="524" t="str" cm="1">
        <f t="array" aca="1" ref="G8" ca="1">INDIRECT(ADDRESS($B8,G$3,,,"scalars"))</f>
        <v>-</v>
      </c>
      <c r="H8" s="15" t="s">
        <v>37</v>
      </c>
      <c r="I8" s="231" cm="1">
        <f t="array" aca="1" ref="I8" ca="1">INDIRECT(ADDRESS($D8,I$3,,,"mkt data"))</f>
        <v>89.7</v>
      </c>
      <c r="J8" s="232" cm="1">
        <f t="array" aca="1" ref="J8" ca="1">INDIRECT(ADDRESS($D8,J$3,,,"mkt data"))</f>
        <v>98</v>
      </c>
      <c r="K8" s="150" cm="1">
        <f t="array" aca="1" ref="K8" ca="1">INDIRECT(ADDRESS($B8,INT(LEFT(K$3,2)),,,"SCALARS"))</f>
        <v>1.1624699999999999</v>
      </c>
      <c r="L8" s="16">
        <f t="shared" ca="1" si="1"/>
        <v>90.856970000000004</v>
      </c>
      <c r="M8" s="16">
        <f t="shared" ca="1" si="2"/>
        <v>99.167969999999997</v>
      </c>
      <c r="N8" s="44" cm="1">
        <f t="array" aca="1" ref="N8" ca="1">INDIRECT(ADDRESS($B8,N$3,,,"scalars"))</f>
        <v>1.1096403270639605</v>
      </c>
      <c r="O8" s="17">
        <f t="shared" ca="1" si="3"/>
        <v>100.81855790684045</v>
      </c>
      <c r="P8" s="17">
        <f t="shared" ca="1" si="4"/>
        <v>110.04077866506903</v>
      </c>
      <c r="Q8" s="477">
        <f ca="1">O9-P8</f>
        <v>-9.7635476650690265</v>
      </c>
      <c r="R8" s="493">
        <f ca="1">LN(O9/P8)</f>
        <v>-9.2912352007156696E-2</v>
      </c>
      <c r="S8" s="252" cm="1">
        <f t="array" aca="1" ref="S8" ca="1">-INDIRECT(ADDRESS($C8,S$3,,,"thresholds"))</f>
        <v>5.0000000000000001E-3</v>
      </c>
      <c r="T8" s="60" cm="1">
        <f t="array" aca="1" ref="T8" ca="1">-INDIRECT(ADDRESS($C8,T$3,,,"thresholds"))</f>
        <v>3.0000000000000001E-3</v>
      </c>
      <c r="U8" s="542">
        <f ca="1">O8-P9</f>
        <v>-11.479673093159548</v>
      </c>
      <c r="V8" s="475">
        <f ca="1">LN(O8/P9)</f>
        <v>-0.1078356642610751</v>
      </c>
      <c r="W8" s="252" cm="1">
        <f t="array" aca="1" ref="W8" ca="1">INDIRECT(ADDRESS($C8,W$3,,,"thresholds"))</f>
        <v>3.0000000000000001E-3</v>
      </c>
      <c r="X8" s="60" cm="1">
        <f t="array" aca="1" ref="X8" ca="1">INDIRECT(ADDRESS($C8,X$3,,,"thresholds"))</f>
        <v>1E-3</v>
      </c>
      <c r="Y8" s="27" cm="1">
        <f t="array" aca="1" ref="Y8" ca="1">INDIRECT(ADDRESS($D8,Y$3,,,"mkt data"))</f>
        <v>-446</v>
      </c>
      <c r="Z8" s="48">
        <f t="shared" ca="1" si="5"/>
        <v>-41857.1</v>
      </c>
      <c r="AA8" s="27">
        <f t="shared" ca="1" si="6"/>
        <v>-401.9320397088382</v>
      </c>
      <c r="AB8" s="485">
        <f ca="1">SUM(AA8:AA9)</f>
        <v>-1.9320397088382038</v>
      </c>
      <c r="AC8" s="474">
        <v>46302</v>
      </c>
      <c r="AD8" s="173" t="str">
        <f t="shared" si="0"/>
        <v>CWB</v>
      </c>
      <c r="AE8" s="33" cm="1">
        <f t="array" aca="1" ref="AE8" ca="1">INDIRECT(ADDRESS($D8,AE$3,,,"mkt data"))</f>
        <v>95.150002000000001</v>
      </c>
      <c r="AF8" s="165">
        <f t="shared" ca="1" si="7"/>
        <v>93.85</v>
      </c>
      <c r="AG8" s="165">
        <f t="shared" ca="1" si="8"/>
        <v>-1.3000020000000063</v>
      </c>
      <c r="AH8" s="165">
        <f t="shared" ca="1" si="9"/>
        <v>579.80089200000282</v>
      </c>
      <c r="AI8" s="522">
        <f ca="1">AH8+AH9</f>
        <v>621.80129199999772</v>
      </c>
      <c r="AJ8" s="532">
        <f ca="1">R8+X8</f>
        <v>-9.1912352007156695E-2</v>
      </c>
      <c r="AK8" s="458">
        <f ca="1">AJ8*Z8</f>
        <v>3847.1845091987584</v>
      </c>
    </row>
    <row r="9" spans="1:44" ht="15.75" thickBot="1" x14ac:dyDescent="0.3">
      <c r="A9" s="531"/>
      <c r="B9" s="525" t="e">
        <f>MATCH(H9,SCALARS!D:D,0)</f>
        <v>#N/A</v>
      </c>
      <c r="C9" s="525"/>
      <c r="D9" s="82">
        <f>MATCH(H9,'MKT DATA'!B:B,0)</f>
        <v>19</v>
      </c>
      <c r="E9" s="65">
        <v>0.16500000000000001</v>
      </c>
      <c r="F9" s="525"/>
      <c r="G9" s="525"/>
      <c r="H9" s="21" t="s">
        <v>41</v>
      </c>
      <c r="I9" s="233" cm="1">
        <f t="array" aca="1" ref="I9" ca="1">INDIRECT(ADDRESS($D9,I$3,,,"mkt data"))</f>
        <v>99.13</v>
      </c>
      <c r="J9" s="234" cm="1">
        <f t="array" aca="1" ref="J9" ca="1">INDIRECT(ADDRESS($D9,J$3,,,"mkt data"))</f>
        <v>111.14</v>
      </c>
      <c r="K9" s="151" cm="1">
        <f t="array" aca="1" ref="K9" ca="1">INDIRECT(ADDRESS($B8,INT(RIGHT(K$3,2)),,,"SCALARS"))</f>
        <v>1.152731</v>
      </c>
      <c r="L9" s="22">
        <f t="shared" ca="1" si="1"/>
        <v>100.277231</v>
      </c>
      <c r="M9" s="22">
        <f t="shared" ca="1" si="2"/>
        <v>112.298231</v>
      </c>
      <c r="N9" s="87">
        <v>1</v>
      </c>
      <c r="O9" s="23">
        <f t="shared" ca="1" si="3"/>
        <v>100.277231</v>
      </c>
      <c r="P9" s="23">
        <f t="shared" ca="1" si="4"/>
        <v>112.298231</v>
      </c>
      <c r="Q9" s="478"/>
      <c r="R9" s="494"/>
      <c r="S9" s="253" t="b">
        <f ca="1">IF(R8&gt;S8,TRUE,FALSE)</f>
        <v>0</v>
      </c>
      <c r="T9" s="224" t="b">
        <f ca="1">AND(IF(V8&gt;-T8,TRUE,FALSE),IF(Y8&gt;0,TRUE,FALSE))</f>
        <v>0</v>
      </c>
      <c r="U9" s="543"/>
      <c r="V9" s="476"/>
      <c r="W9" s="253" t="b">
        <f ca="1">IF(V8&gt;W8,TRUE,FALSE)</f>
        <v>0</v>
      </c>
      <c r="X9" s="61" t="b">
        <f ca="1">AND(IF(R8&gt;-X8,TRUE,FALSE),IF(Y8&lt;0,TRUE,FALSE))</f>
        <v>0</v>
      </c>
      <c r="Y9" s="29" cm="1">
        <f t="array" aca="1" ref="Y9" ca="1">INDIRECT(ADDRESS($D9,Y$3,,,"mkt data"))</f>
        <v>400</v>
      </c>
      <c r="Z9" s="50">
        <f t="shared" ca="1" si="5"/>
        <v>42054</v>
      </c>
      <c r="AA9" s="29">
        <f t="shared" ca="1" si="6"/>
        <v>400</v>
      </c>
      <c r="AB9" s="486"/>
      <c r="AC9" s="463"/>
      <c r="AD9" s="181" t="str">
        <f t="shared" si="0"/>
        <v>ICVT</v>
      </c>
      <c r="AE9" s="37" cm="1">
        <f t="array" aca="1" ref="AE9" ca="1">INDIRECT(ADDRESS($D9,AE$3,,,"mkt data"))</f>
        <v>105.029999</v>
      </c>
      <c r="AF9" s="167">
        <f t="shared" ca="1" si="7"/>
        <v>105.13499999999999</v>
      </c>
      <c r="AG9" s="167">
        <f t="shared" ca="1" si="8"/>
        <v>0.10500099999998724</v>
      </c>
      <c r="AH9" s="167">
        <f t="shared" ca="1" si="9"/>
        <v>42.000399999994897</v>
      </c>
      <c r="AI9" s="523"/>
      <c r="AJ9" s="533"/>
      <c r="AK9" s="459"/>
    </row>
    <row r="10" spans="1:44" x14ac:dyDescent="0.25">
      <c r="A10" s="530" t="str">
        <f t="shared" ref="A10" si="11">_xlfn.CONCAT(H10,"_",H11)</f>
        <v>BWX_IGOV</v>
      </c>
      <c r="B10" s="524">
        <f>MATCH(A10,SCALARS!D:D,0)</f>
        <v>92</v>
      </c>
      <c r="C10" s="524">
        <f>MATCH(A10,THRESHOLDS!D:D,0)</f>
        <v>92</v>
      </c>
      <c r="D10" s="80">
        <f>MATCH(H10,'MKT DATA'!B:B,0)</f>
        <v>98</v>
      </c>
      <c r="E10" s="64">
        <v>0.16500000000000001</v>
      </c>
      <c r="F10" s="524" t="str" cm="1">
        <f t="array" aca="1" ref="F10" ca="1">INDIRECT(ADDRESS($B10,F$3,,,"scalars"))</f>
        <v>intl gov</v>
      </c>
      <c r="G10" s="524" t="str" cm="1">
        <f t="array" aca="1" ref="G10" ca="1">INDIRECT(ADDRESS($B10,G$3,,,"scalars"))</f>
        <v>unhedged</v>
      </c>
      <c r="H10" s="15" t="s">
        <v>35</v>
      </c>
      <c r="I10" s="231" cm="1">
        <f t="array" aca="1" ref="I10" ca="1">INDIRECT(ADDRESS($D10,I$3,,,"mkt data"))</f>
        <v>21</v>
      </c>
      <c r="J10" s="232" cm="1">
        <f t="array" aca="1" ref="J10" ca="1">INDIRECT(ADDRESS($D10,J$3,,,"mkt data"))</f>
        <v>21.4</v>
      </c>
      <c r="K10" s="150" cm="1">
        <f t="array" aca="1" ref="K10" ca="1">INDIRECT(ADDRESS($B10,INT(LEFT(K$3,2)),,,"SCALARS"))</f>
        <v>0.39030199999999993</v>
      </c>
      <c r="L10" s="16">
        <f t="shared" ca="1" si="1"/>
        <v>21.384801999999997</v>
      </c>
      <c r="M10" s="16">
        <f t="shared" ca="1" si="2"/>
        <v>21.795801999999998</v>
      </c>
      <c r="N10" s="44" cm="1">
        <f t="array" aca="1" ref="N10" ca="1">INDIRECT(ADDRESS($B10,N$3,,,"scalars"))</f>
        <v>1.8448816102993717</v>
      </c>
      <c r="O10" s="17">
        <f t="shared" ca="1" si="3"/>
        <v>39.452427949693217</v>
      </c>
      <c r="P10" s="17">
        <f t="shared" ca="1" si="4"/>
        <v>40.21067429152626</v>
      </c>
      <c r="Q10" s="477">
        <f ca="1">O11-P10</f>
        <v>-1.3461742915262604</v>
      </c>
      <c r="R10" s="493">
        <f ca="1">LN(O11/P10)</f>
        <v>-3.4051252464419819E-2</v>
      </c>
      <c r="S10" s="252" cm="1">
        <f t="array" aca="1" ref="S10" ca="1">-INDIRECT(ADDRESS($C10,S$3,,,"thresholds"))</f>
        <v>3.0000000000000001E-3</v>
      </c>
      <c r="T10" s="60" cm="1">
        <f t="array" aca="1" ref="T10" ca="1">-INDIRECT(ADDRESS($C10,T$3,,,"thresholds"))</f>
        <v>2E-3</v>
      </c>
      <c r="U10" s="477">
        <f ca="1">O10-P11</f>
        <v>-0.78307205030677807</v>
      </c>
      <c r="V10" s="475">
        <f ca="1">LN(O10/P11)</f>
        <v>-1.9654100128352371E-2</v>
      </c>
      <c r="W10" s="252" cm="1">
        <f t="array" aca="1" ref="W10" ca="1">INDIRECT(ADDRESS($C10,W$3,,,"thresholds"))</f>
        <v>2E-3</v>
      </c>
      <c r="X10" s="60" cm="1">
        <f t="array" aca="1" ref="X10" ca="1">INDIRECT(ADDRESS($C10,X$3,,,"thresholds"))</f>
        <v>1E-3</v>
      </c>
      <c r="Y10" s="27" cm="1">
        <f t="array" aca="1" ref="Y10" ca="1">INDIRECT(ADDRESS($D10,Y$3,,,"mkt data"))</f>
        <v>0</v>
      </c>
      <c r="Z10" s="48">
        <f t="shared" ca="1" si="5"/>
        <v>0</v>
      </c>
      <c r="AA10" s="27">
        <f t="shared" ca="1" si="6"/>
        <v>0</v>
      </c>
      <c r="AB10" s="550">
        <f ca="1">SUM(AA10:AA11)</f>
        <v>0</v>
      </c>
      <c r="AC10" s="474"/>
      <c r="AD10" s="173" t="str">
        <f t="shared" si="0"/>
        <v>BWX</v>
      </c>
      <c r="AE10" s="33" cm="1">
        <f t="array" aca="1" ref="AE10" ca="1">INDIRECT(ADDRESS($D10,AE$3,,,"mkt data"))</f>
        <v>21.42</v>
      </c>
      <c r="AF10" s="165">
        <f t="shared" ca="1" si="7"/>
        <v>21.2</v>
      </c>
      <c r="AG10" s="165">
        <f t="shared" ca="1" si="8"/>
        <v>-0.22000000000000242</v>
      </c>
      <c r="AH10" s="165">
        <f t="shared" ca="1" si="9"/>
        <v>0</v>
      </c>
      <c r="AI10" s="522">
        <f ca="1">AH10+AH11</f>
        <v>0</v>
      </c>
      <c r="AJ10" s="532"/>
      <c r="AK10" s="458"/>
    </row>
    <row r="11" spans="1:44" ht="15.75" thickBot="1" x14ac:dyDescent="0.3">
      <c r="A11" s="531"/>
      <c r="B11" s="525" t="e">
        <f>MATCH(H11,SCALARS!D:D,0)</f>
        <v>#N/A</v>
      </c>
      <c r="C11" s="525"/>
      <c r="D11" s="82">
        <f>MATCH(H11,'MKT DATA'!B:B,0)</f>
        <v>99</v>
      </c>
      <c r="E11" s="65">
        <v>0.16500000000000001</v>
      </c>
      <c r="F11" s="525"/>
      <c r="G11" s="525"/>
      <c r="H11" s="21" t="s">
        <v>42</v>
      </c>
      <c r="I11" s="233" cm="1">
        <f t="array" aca="1" ref="I11" ca="1">INDIRECT(ADDRESS($D11,I$3,,,"mkt data"))</f>
        <v>38.869999999999997</v>
      </c>
      <c r="J11" s="234" cm="1">
        <f t="array" aca="1" ref="J11" ca="1">INDIRECT(ADDRESS($D11,J$3,,,"mkt data"))</f>
        <v>40.229999999999997</v>
      </c>
      <c r="K11" s="151" cm="1">
        <f t="array" aca="1" ref="K11" ca="1">INDIRECT(ADDRESS($B10,INT(RIGHT(K$3,2)),,,"SCALARS"))</f>
        <v>0</v>
      </c>
      <c r="L11" s="22">
        <f t="shared" ca="1" si="1"/>
        <v>38.8645</v>
      </c>
      <c r="M11" s="22">
        <f t="shared" ca="1" si="2"/>
        <v>40.235499999999995</v>
      </c>
      <c r="N11" s="87">
        <v>1</v>
      </c>
      <c r="O11" s="23">
        <f t="shared" ca="1" si="3"/>
        <v>38.8645</v>
      </c>
      <c r="P11" s="23">
        <f t="shared" ca="1" si="4"/>
        <v>40.235499999999995</v>
      </c>
      <c r="Q11" s="478"/>
      <c r="R11" s="494"/>
      <c r="S11" s="253" t="b">
        <f ca="1">IF(R10&gt;S10,TRUE,FALSE)</f>
        <v>0</v>
      </c>
      <c r="T11" s="224" t="b">
        <f ca="1">AND(IF(V10&gt;-T10,TRUE,FALSE),IF(Y10&gt;0,TRUE,FALSE))</f>
        <v>0</v>
      </c>
      <c r="U11" s="478"/>
      <c r="V11" s="476"/>
      <c r="W11" s="253" t="b">
        <f ca="1">IF(V10&gt;W10,TRUE,FALSE)</f>
        <v>0</v>
      </c>
      <c r="X11" s="61" t="b">
        <f ca="1">AND(IF(R10&gt;-X10,TRUE,FALSE),IF(Y10&lt;0,TRUE,FALSE))</f>
        <v>0</v>
      </c>
      <c r="Y11" s="29" cm="1">
        <f t="array" aca="1" ref="Y11" ca="1">INDIRECT(ADDRESS($D11,Y$3,,,"mkt data"))</f>
        <v>0</v>
      </c>
      <c r="Z11" s="50">
        <f t="shared" ca="1" si="5"/>
        <v>0</v>
      </c>
      <c r="AA11" s="29">
        <f t="shared" ca="1" si="6"/>
        <v>0</v>
      </c>
      <c r="AB11" s="551"/>
      <c r="AC11" s="463"/>
      <c r="AD11" s="181" t="str">
        <f t="shared" si="0"/>
        <v>IGOV</v>
      </c>
      <c r="AE11" s="37" cm="1">
        <f t="array" aca="1" ref="AE11" ca="1">INDIRECT(ADDRESS($D11,AE$3,,,"mkt data"))</f>
        <v>40.209999000000003</v>
      </c>
      <c r="AF11" s="167">
        <f t="shared" ca="1" si="7"/>
        <v>39.549999999999997</v>
      </c>
      <c r="AG11" s="167">
        <f t="shared" ca="1" si="8"/>
        <v>-0.65999900000000622</v>
      </c>
      <c r="AH11" s="167">
        <f t="shared" ca="1" si="9"/>
        <v>0</v>
      </c>
      <c r="AI11" s="523"/>
      <c r="AJ11" s="533"/>
      <c r="AK11" s="459"/>
    </row>
    <row r="12" spans="1:44" x14ac:dyDescent="0.25">
      <c r="A12" s="530" t="str">
        <f t="shared" ref="A12" si="12">_xlfn.CONCAT(H12,"_",H13)</f>
        <v>BNDX_IAGG</v>
      </c>
      <c r="B12" s="524">
        <f>MATCH(A12,SCALARS!D:D,0)</f>
        <v>94</v>
      </c>
      <c r="C12" s="524">
        <f>MATCH(A12,THRESHOLDS!D:D,0)</f>
        <v>94</v>
      </c>
      <c r="D12" s="80">
        <f>MATCH(H12,'MKT DATA'!B:B,0)</f>
        <v>96</v>
      </c>
      <c r="E12" s="64"/>
      <c r="F12" s="524" t="str" cm="1">
        <f t="array" aca="1" ref="F12" ca="1">INDIRECT(ADDRESS($B12,F$3,,,"scalars"))</f>
        <v>intl agg</v>
      </c>
      <c r="G12" s="524" t="str" cm="1">
        <f t="array" aca="1" ref="G12" ca="1">INDIRECT(ADDRESS($B12,G$3,,,"scalars"))</f>
        <v>usd hedged</v>
      </c>
      <c r="H12" s="15" t="s">
        <v>34</v>
      </c>
      <c r="I12" s="33" cm="1">
        <f t="array" aca="1" ref="I12" ca="1">INDIRECT(ADDRESS($D12,I$3,,,"mkt data"))</f>
        <v>47.2</v>
      </c>
      <c r="J12" s="34" cm="1">
        <f t="array" aca="1" ref="J12" ca="1">INDIRECT(ADDRESS($D12,J$3,,,"mkt data"))</f>
        <v>47.23</v>
      </c>
      <c r="K12" s="150" cm="1">
        <f t="array" aca="1" ref="K12" ca="1">INDIRECT(ADDRESS($B12,INT(LEFT(K$3,2)),,,"SCALARS"))</f>
        <v>1.0149000000000001</v>
      </c>
      <c r="L12" s="16">
        <f t="shared" ca="1" si="1"/>
        <v>48.209400000000002</v>
      </c>
      <c r="M12" s="16">
        <f t="shared" ca="1" si="2"/>
        <v>48.250399999999992</v>
      </c>
      <c r="N12" s="44" cm="1">
        <f t="array" aca="1" ref="N12" ca="1">INDIRECT(ADDRESS($B12,N$3,,,"scalars"))</f>
        <v>1.0456128966684359</v>
      </c>
      <c r="O12" s="17">
        <f t="shared" ca="1" si="3"/>
        <v>50.408370380647298</v>
      </c>
      <c r="P12" s="17">
        <f t="shared" ca="1" si="4"/>
        <v>50.451240509410695</v>
      </c>
      <c r="Q12" s="477">
        <f ca="1">O13-P12</f>
        <v>-3.0285725094106937</v>
      </c>
      <c r="R12" s="475">
        <f ca="1">LN(O13/P12)</f>
        <v>-6.1906993150897198E-2</v>
      </c>
      <c r="S12" s="252" cm="1">
        <f t="array" aca="1" ref="S12" ca="1">-INDIRECT(ADDRESS($C12,S$3,,,"thresholds"))</f>
        <v>3.0000000000000001E-3</v>
      </c>
      <c r="T12" s="60" cm="1">
        <f t="array" aca="1" ref="T12" ca="1">-INDIRECT(ADDRESS($C12,T$3,,,"thresholds"))</f>
        <v>2E-3</v>
      </c>
      <c r="U12" s="477">
        <f ca="1">O12-P13</f>
        <v>-2.1252976193527005</v>
      </c>
      <c r="V12" s="475">
        <f ca="1">LN(O12/P13)</f>
        <v>-4.1297019024919911E-2</v>
      </c>
      <c r="W12" s="252" cm="1">
        <f t="array" aca="1" ref="W12" ca="1">INDIRECT(ADDRESS($C12,W$3,,,"thresholds"))</f>
        <v>1.5E-3</v>
      </c>
      <c r="X12" s="60" cm="1">
        <f t="array" aca="1" ref="X12" ca="1">INDIRECT(ADDRESS($C12,X$3,,,"thresholds"))</f>
        <v>5.0000000000000001E-4</v>
      </c>
      <c r="Y12" s="27" cm="1">
        <f t="array" aca="1" ref="Y12" ca="1">INDIRECT(ADDRESS($D12,Y$3,,,"mkt data"))</f>
        <v>0</v>
      </c>
      <c r="Z12" s="48">
        <f t="shared" ca="1" si="5"/>
        <v>0</v>
      </c>
      <c r="AA12" s="27">
        <f t="shared" ca="1" si="6"/>
        <v>0</v>
      </c>
      <c r="AB12" s="550">
        <f ca="1">SUM(AA12:AA13)</f>
        <v>0</v>
      </c>
      <c r="AC12" s="474"/>
      <c r="AD12" s="173" t="str">
        <f>H12</f>
        <v>BNDX</v>
      </c>
      <c r="AE12" s="33" cm="1">
        <f t="array" aca="1" ref="AE12" ca="1">INDIRECT(ADDRESS($D12,AE$3,,,"mkt data"))</f>
        <v>47.220001000000003</v>
      </c>
      <c r="AF12" s="165">
        <f t="shared" ca="1" si="7"/>
        <v>47.215000000000003</v>
      </c>
      <c r="AG12" s="165">
        <f t="shared" ca="1" si="8"/>
        <v>-5.0010000000000332E-3</v>
      </c>
      <c r="AH12" s="165">
        <f t="shared" ca="1" si="9"/>
        <v>0</v>
      </c>
      <c r="AI12" s="522">
        <f ca="1">AH12+AH13</f>
        <v>0</v>
      </c>
      <c r="AJ12" s="532"/>
      <c r="AK12" s="458"/>
    </row>
    <row r="13" spans="1:44" ht="15.75" thickBot="1" x14ac:dyDescent="0.3">
      <c r="A13" s="531"/>
      <c r="B13" s="525" t="e">
        <f>MATCH(H13,SCALARS!D:D,0)</f>
        <v>#N/A</v>
      </c>
      <c r="C13" s="525"/>
      <c r="D13" s="82">
        <f>MATCH(H13,'MKT DATA'!B:B,0)</f>
        <v>97</v>
      </c>
      <c r="E13" s="65"/>
      <c r="F13" s="525"/>
      <c r="G13" s="525"/>
      <c r="H13" s="21" t="s">
        <v>40</v>
      </c>
      <c r="I13" s="37" cm="1">
        <f t="array" aca="1" ref="I13" ca="1">INDIRECT(ADDRESS($D13,I$3,,,"mkt data"))</f>
        <v>46.4</v>
      </c>
      <c r="J13" s="38" cm="1">
        <f t="array" aca="1" ref="J13" ca="1">INDIRECT(ADDRESS($D13,J$3,,,"mkt data"))</f>
        <v>51.5</v>
      </c>
      <c r="K13" s="151" cm="1">
        <f t="array" aca="1" ref="K13" ca="1">INDIRECT(ADDRESS($B12,INT(RIGHT(K$3,2)),,,"SCALARS"))</f>
        <v>1.028168</v>
      </c>
      <c r="L13" s="22">
        <f t="shared" ca="1" si="1"/>
        <v>47.422668000000002</v>
      </c>
      <c r="M13" s="22">
        <f t="shared" ca="1" si="2"/>
        <v>52.533667999999999</v>
      </c>
      <c r="N13" s="87">
        <v>1</v>
      </c>
      <c r="O13" s="23">
        <f t="shared" ca="1" si="3"/>
        <v>47.422668000000002</v>
      </c>
      <c r="P13" s="23">
        <f t="shared" ca="1" si="4"/>
        <v>52.533667999999999</v>
      </c>
      <c r="Q13" s="478"/>
      <c r="R13" s="476"/>
      <c r="S13" s="253" t="b">
        <f ca="1">IF(R12&gt;S12,TRUE,FALSE)</f>
        <v>0</v>
      </c>
      <c r="T13" s="224" t="b">
        <f ca="1">AND(IF(V12&gt;-T12,TRUE,FALSE),IF(Y12&gt;0,TRUE,FALSE))</f>
        <v>0</v>
      </c>
      <c r="U13" s="478"/>
      <c r="V13" s="476"/>
      <c r="W13" s="253" t="b">
        <f ca="1">IF(V12&gt;W12,TRUE,FALSE)</f>
        <v>0</v>
      </c>
      <c r="X13" s="61" t="b">
        <f ca="1">AND(IF(R12&gt;-X12,TRUE,FALSE),IF(Y12&lt;0,TRUE,FALSE))</f>
        <v>0</v>
      </c>
      <c r="Y13" s="29" cm="1">
        <f t="array" aca="1" ref="Y13" ca="1">INDIRECT(ADDRESS($D13,Y$3,,,"mkt data"))</f>
        <v>0</v>
      </c>
      <c r="Z13" s="50">
        <f t="shared" ca="1" si="5"/>
        <v>0</v>
      </c>
      <c r="AA13" s="29">
        <f t="shared" ca="1" si="6"/>
        <v>0</v>
      </c>
      <c r="AB13" s="551"/>
      <c r="AC13" s="463"/>
      <c r="AD13" s="181" t="str">
        <f>H13</f>
        <v>IAGG</v>
      </c>
      <c r="AE13" s="37" cm="1">
        <f t="array" aca="1" ref="AE13" ca="1">INDIRECT(ADDRESS($D13,AE$3,,,"mkt data"))</f>
        <v>49.400002000000001</v>
      </c>
      <c r="AF13" s="167">
        <f t="shared" ca="1" si="7"/>
        <v>48.95</v>
      </c>
      <c r="AG13" s="167">
        <f t="shared" ca="1" si="8"/>
        <v>-0.45000199999999779</v>
      </c>
      <c r="AH13" s="167">
        <f t="shared" ca="1" si="9"/>
        <v>0</v>
      </c>
      <c r="AI13" s="523"/>
      <c r="AJ13" s="533"/>
      <c r="AK13" s="459"/>
    </row>
    <row r="14" spans="1:44" x14ac:dyDescent="0.25">
      <c r="A14" s="530" t="str">
        <f t="shared" ref="A14" si="13">_xlfn.CONCAT(H14,"_",H15)</f>
        <v>FALN_ANGL</v>
      </c>
      <c r="B14" s="524">
        <f>MATCH(A14,SCALARS!D:D,0)</f>
        <v>11</v>
      </c>
      <c r="C14" s="524">
        <f>MATCH(A14,THRESHOLDS!D:D,0)</f>
        <v>11</v>
      </c>
      <c r="D14" s="80">
        <f>MATCH(H14,'MKT DATA'!B:B,0)</f>
        <v>55</v>
      </c>
      <c r="E14" s="64"/>
      <c r="F14" s="524" t="str" cm="1">
        <f t="array" aca="1" ref="F14" ca="1">INDIRECT(ADDRESS($B14,F$3,,,"scalars"))</f>
        <v>fallen angels</v>
      </c>
      <c r="G14" s="524" t="str" cm="1">
        <f t="array" aca="1" ref="G14" ca="1">INDIRECT(ADDRESS($B14,G$3,,,"scalars"))</f>
        <v>-</v>
      </c>
      <c r="H14" s="15" t="s">
        <v>39</v>
      </c>
      <c r="I14" s="33" cm="1">
        <f t="array" aca="1" ref="I14" ca="1">INDIRECT(ADDRESS($D14,I$3,,,"mkt data"))</f>
        <v>25.5</v>
      </c>
      <c r="J14" s="34" cm="1">
        <f t="array" aca="1" ref="J14" ca="1">INDIRECT(ADDRESS($D14,J$3,,,"mkt data"))</f>
        <v>26</v>
      </c>
      <c r="K14" s="150" cm="1">
        <f t="array" aca="1" ref="K14" ca="1">INDIRECT(ADDRESS($B14,INT(LEFT(K$3,2)),,,"SCALARS"))</f>
        <v>1.319258</v>
      </c>
      <c r="L14" s="16">
        <f t="shared" ca="1" si="1"/>
        <v>26.813758</v>
      </c>
      <c r="M14" s="16">
        <f t="shared" ca="1" si="2"/>
        <v>27.324758000000003</v>
      </c>
      <c r="N14" s="44" cm="1">
        <f t="array" aca="1" ref="N14" ca="1">INDIRECT(ADDRESS($B14,N$3,,,"scalars"))</f>
        <v>1.0700343422243339</v>
      </c>
      <c r="O14" s="17">
        <f t="shared" ca="1" si="3"/>
        <v>28.691641904092471</v>
      </c>
      <c r="P14" s="17">
        <f t="shared" ca="1" si="4"/>
        <v>29.238429452969108</v>
      </c>
      <c r="Q14" s="477">
        <f ca="1">O15-P14</f>
        <v>-0.42332945296911006</v>
      </c>
      <c r="R14" s="493">
        <f ca="1">LN(O15/P14)</f>
        <v>-1.4584365862941122E-2</v>
      </c>
      <c r="S14" s="252" cm="1">
        <f t="array" aca="1" ref="S14" ca="1">-INDIRECT(ADDRESS($C14,S$3,,,"thresholds"))</f>
        <v>2E-3</v>
      </c>
      <c r="T14" s="60" cm="1">
        <f t="array" aca="1" ref="T14" ca="1">-INDIRECT(ADDRESS($C14,T$3,,,"thresholds"))</f>
        <v>0</v>
      </c>
      <c r="U14" s="477">
        <f ca="1">O14-P15</f>
        <v>-1.4544580959075297</v>
      </c>
      <c r="V14" s="475">
        <f ca="1">LN(O14/P15)</f>
        <v>-4.9449704074468033E-2</v>
      </c>
      <c r="W14" s="252" cm="1">
        <f t="array" aca="1" ref="W14" ca="1">INDIRECT(ADDRESS($C14,W$3,,,"thresholds"))</f>
        <v>2E-3</v>
      </c>
      <c r="X14" s="60" cm="1">
        <f t="array" aca="1" ref="X14" ca="1">INDIRECT(ADDRESS($C14,X$3,,,"thresholds"))</f>
        <v>0</v>
      </c>
      <c r="Y14" s="27" cm="1">
        <f t="array" aca="1" ref="Y14" ca="1">INDIRECT(ADDRESS($D14,Y$3,,,"mkt data"))</f>
        <v>0</v>
      </c>
      <c r="Z14" s="48">
        <f t="shared" ca="1" si="5"/>
        <v>0</v>
      </c>
      <c r="AA14" s="27">
        <f t="shared" ca="1" si="6"/>
        <v>0</v>
      </c>
      <c r="AB14" s="534">
        <f ca="1">SUM(AA14:AA15)</f>
        <v>0</v>
      </c>
      <c r="AC14" s="474"/>
      <c r="AD14" s="173" t="str">
        <f>H14</f>
        <v>FALN</v>
      </c>
      <c r="AE14" s="33" cm="1">
        <f t="array" aca="1" ref="AE14" ca="1">INDIRECT(ADDRESS($D14,AE$3,,,"mkt data"))</f>
        <v>25.780000999999999</v>
      </c>
      <c r="AF14" s="165">
        <f t="shared" ca="1" si="7"/>
        <v>25.75</v>
      </c>
      <c r="AG14" s="165">
        <f t="shared" ca="1" si="8"/>
        <v>-3.0000999999998612E-2</v>
      </c>
      <c r="AH14" s="165">
        <f t="shared" ca="1" si="9"/>
        <v>0</v>
      </c>
      <c r="AI14" s="522">
        <f ca="1">AH14+AH15</f>
        <v>0</v>
      </c>
      <c r="AJ14" s="532"/>
      <c r="AK14" s="458"/>
      <c r="AM14" s="235"/>
    </row>
    <row r="15" spans="1:44" ht="15.75" thickBot="1" x14ac:dyDescent="0.3">
      <c r="A15" s="531"/>
      <c r="B15" s="525" t="e">
        <f>MATCH(H15,SCALARS!D:D,0)</f>
        <v>#N/A</v>
      </c>
      <c r="C15" s="525"/>
      <c r="D15" s="82">
        <f>MATCH(H15,'MKT DATA'!B:B,0)</f>
        <v>54</v>
      </c>
      <c r="E15" s="65"/>
      <c r="F15" s="525"/>
      <c r="G15" s="525"/>
      <c r="H15" s="21" t="s">
        <v>33</v>
      </c>
      <c r="I15" s="37" cm="1">
        <f t="array" aca="1" ref="I15" ca="1">INDIRECT(ADDRESS($D15,I$3,,,"mkt data"))</f>
        <v>27.38</v>
      </c>
      <c r="J15" s="38" cm="1">
        <f t="array" aca="1" ref="J15" ca="1">INDIRECT(ADDRESS($D15,J$3,,,"mkt data"))</f>
        <v>28.7</v>
      </c>
      <c r="K15" s="151" cm="1">
        <f t="array" aca="1" ref="K15" ca="1">INDIRECT(ADDRESS($B14,INT(RIGHT(K$3,2)),,,"SCALARS"))</f>
        <v>1.4405999999999999</v>
      </c>
      <c r="L15" s="22">
        <f t="shared" ca="1" si="1"/>
        <v>28.815099999999997</v>
      </c>
      <c r="M15" s="22">
        <f t="shared" ca="1" si="2"/>
        <v>30.146100000000001</v>
      </c>
      <c r="N15" s="87">
        <v>1</v>
      </c>
      <c r="O15" s="23">
        <f t="shared" ca="1" si="3"/>
        <v>28.815099999999997</v>
      </c>
      <c r="P15" s="23">
        <f t="shared" ca="1" si="4"/>
        <v>30.146100000000001</v>
      </c>
      <c r="Q15" s="478"/>
      <c r="R15" s="494"/>
      <c r="S15" s="253" t="b">
        <f ca="1">IF(R14&gt;S14,TRUE,FALSE)</f>
        <v>0</v>
      </c>
      <c r="T15" s="224" t="b">
        <f ca="1">AND(IF(V14&gt;-T14,TRUE,FALSE),IF(Y14&gt;0,TRUE,FALSE))</f>
        <v>0</v>
      </c>
      <c r="U15" s="478"/>
      <c r="V15" s="476"/>
      <c r="W15" s="253" t="b">
        <f ca="1">IF(V14&gt;W14,TRUE,FALSE)</f>
        <v>0</v>
      </c>
      <c r="X15" s="61" t="b">
        <f ca="1">AND(IF(R14&gt;-X14,TRUE,FALSE),IF(Y14&lt;0,TRUE,FALSE))</f>
        <v>0</v>
      </c>
      <c r="Y15" s="29" cm="1">
        <f t="array" aca="1" ref="Y15" ca="1">INDIRECT(ADDRESS($D15,Y$3,,,"mkt data"))</f>
        <v>0</v>
      </c>
      <c r="Z15" s="50">
        <f t="shared" ca="1" si="5"/>
        <v>0</v>
      </c>
      <c r="AA15" s="29">
        <f t="shared" ca="1" si="6"/>
        <v>0</v>
      </c>
      <c r="AB15" s="535"/>
      <c r="AC15" s="463"/>
      <c r="AD15" s="181" t="str">
        <f>H15</f>
        <v>ANGL</v>
      </c>
      <c r="AE15" s="37" cm="1">
        <f t="array" aca="1" ref="AE15" ca="1">INDIRECT(ADDRESS($D15,AE$3,,,"mkt data"))</f>
        <v>27.530000999999999</v>
      </c>
      <c r="AF15" s="167">
        <f t="shared" ca="1" si="7"/>
        <v>28.04</v>
      </c>
      <c r="AG15" s="167">
        <f t="shared" ca="1" si="8"/>
        <v>0.50999900000000054</v>
      </c>
      <c r="AH15" s="167">
        <f t="shared" ca="1" si="9"/>
        <v>0</v>
      </c>
      <c r="AI15" s="523"/>
      <c r="AJ15" s="533"/>
      <c r="AK15" s="459"/>
    </row>
    <row r="16" spans="1:44" x14ac:dyDescent="0.25">
      <c r="A16" s="530" t="str">
        <f t="shared" ref="A16" si="14">_xlfn.CONCAT(H16,"_",H17)</f>
        <v>VWOB_EMB</v>
      </c>
      <c r="B16" s="524">
        <f>MATCH(A16,SCALARS!D:D,0)</f>
        <v>93</v>
      </c>
      <c r="C16" s="524">
        <f>MATCH(A16,THRESHOLDS!D:D,0)</f>
        <v>93</v>
      </c>
      <c r="D16" s="80">
        <f>MATCH(H16,'MKT DATA'!B:B,0)</f>
        <v>49</v>
      </c>
      <c r="E16" s="64">
        <v>0.16500000000000001</v>
      </c>
      <c r="F16" s="524" t="str" cm="1">
        <f t="array" aca="1" ref="F16" ca="1">INDIRECT(ADDRESS($B16,F$3,,,"scalars"))</f>
        <v>em gov</v>
      </c>
      <c r="G16" s="524" t="str" cm="1">
        <f t="array" aca="1" ref="G16" ca="1">INDIRECT(ADDRESS($B16,G$3,,,"scalars"))</f>
        <v>usd denom</v>
      </c>
      <c r="H16" s="15" t="s">
        <v>48</v>
      </c>
      <c r="I16" s="33" cm="1">
        <f t="array" aca="1" ref="I16" ca="1">INDIRECT(ADDRESS($D16,I$3,,,"mkt data"))</f>
        <v>62.77</v>
      </c>
      <c r="J16" s="34" cm="1">
        <f t="array" aca="1" ref="J16" ca="1">INDIRECT(ADDRESS($D16,J$3,,,"mkt data"))</f>
        <v>64.58</v>
      </c>
      <c r="K16" s="150" cm="1">
        <f t="array" aca="1" ref="K16" ca="1">INDIRECT(ADDRESS($B16,INT(LEFT(K$3,2)),,,"SCALARS"))</f>
        <v>2.9314</v>
      </c>
      <c r="L16" s="16">
        <f t="shared" ca="1" si="1"/>
        <v>65.695900000000009</v>
      </c>
      <c r="M16" s="16">
        <f t="shared" ca="1" si="2"/>
        <v>67.516899999999993</v>
      </c>
      <c r="N16" s="44" cm="1">
        <f t="array" aca="1" ref="N16" ca="1">INDIRECT(ADDRESS($B16,N$3,,,"scalars"))</f>
        <v>1.4316361037438448</v>
      </c>
      <c r="O16" s="17">
        <f t="shared" ca="1" si="3"/>
        <v>94.052622307945256</v>
      </c>
      <c r="P16" s="17">
        <f t="shared" ca="1" si="4"/>
        <v>96.659631652862785</v>
      </c>
      <c r="Q16" s="477">
        <f ca="1">O17-P16</f>
        <v>-2.9045286528627798</v>
      </c>
      <c r="R16" s="475">
        <f ca="1">LN(O17/P16)</f>
        <v>-3.0509760290087663E-2</v>
      </c>
      <c r="S16" s="252" cm="1">
        <f t="array" aca="1" ref="S16" ca="1">-INDIRECT(ADDRESS($C16,S$3,,,"thresholds"))</f>
        <v>1.1999999999999999E-3</v>
      </c>
      <c r="T16" s="60" cm="1">
        <f t="array" aca="1" ref="T16" ca="1">-INDIRECT(ADDRESS($C16,T$3,,,"thresholds"))</f>
        <v>2.0000000000000001E-4</v>
      </c>
      <c r="U16" s="477">
        <f ca="1">O16-P17</f>
        <v>-2.5134806920547419</v>
      </c>
      <c r="V16" s="475">
        <f ca="1">LN(O16/P17)</f>
        <v>-2.6373341596832856E-2</v>
      </c>
      <c r="W16" s="252" cm="1">
        <f t="array" aca="1" ref="W16" ca="1">INDIRECT(ADDRESS($C16,W$3,,,"thresholds"))</f>
        <v>1.1999999999999999E-3</v>
      </c>
      <c r="X16" s="60" cm="1">
        <f t="array" aca="1" ref="X16" ca="1">INDIRECT(ADDRESS($C16,X$3,,,"thresholds"))</f>
        <v>2.0000000000000001E-4</v>
      </c>
      <c r="Y16" s="27" cm="1">
        <f t="array" aca="1" ref="Y16" ca="1">INDIRECT(ADDRESS($D16,Y$3,,,"mkt data"))</f>
        <v>0</v>
      </c>
      <c r="Z16" s="48">
        <f t="shared" ca="1" si="5"/>
        <v>0</v>
      </c>
      <c r="AA16" s="27">
        <f t="shared" ca="1" si="6"/>
        <v>0</v>
      </c>
      <c r="AB16" s="485">
        <f ca="1">SUM(AA16:AA17)</f>
        <v>0</v>
      </c>
      <c r="AC16" s="462"/>
      <c r="AD16" s="173" t="str">
        <f t="shared" si="0"/>
        <v>VWOB</v>
      </c>
      <c r="AE16" s="33" cm="1">
        <f t="array" aca="1" ref="AE16" ca="1">INDIRECT(ADDRESS($D16,AE$3,,,"mkt data"))</f>
        <v>63.82</v>
      </c>
      <c r="AF16" s="165">
        <f t="shared" ca="1" si="7"/>
        <v>63.674999999999997</v>
      </c>
      <c r="AG16" s="165">
        <f t="shared" ca="1" si="8"/>
        <v>-0.14500000000000313</v>
      </c>
      <c r="AH16" s="165">
        <f t="shared" ca="1" si="9"/>
        <v>0</v>
      </c>
      <c r="AI16" s="522">
        <f ca="1">AH16+AH17</f>
        <v>0</v>
      </c>
      <c r="AJ16" s="532"/>
      <c r="AK16" s="458"/>
    </row>
    <row r="17" spans="1:39" ht="15.75" thickBot="1" x14ac:dyDescent="0.3">
      <c r="A17" s="531"/>
      <c r="B17" s="525" t="e">
        <f>MATCH(H17,SCALARS!D:D,0)</f>
        <v>#N/A</v>
      </c>
      <c r="C17" s="525"/>
      <c r="D17" s="82">
        <f>MATCH(H17,'MKT DATA'!B:B,0)</f>
        <v>48</v>
      </c>
      <c r="E17" s="65">
        <v>0.16500000000000001</v>
      </c>
      <c r="F17" s="525"/>
      <c r="G17" s="525"/>
      <c r="H17" s="21" t="s">
        <v>38</v>
      </c>
      <c r="I17" s="37" cm="1">
        <f t="array" aca="1" ref="I17" ca="1">INDIRECT(ADDRESS($D17,I$3,,,"mkt data"))</f>
        <v>90</v>
      </c>
      <c r="J17" s="38" cm="1">
        <f t="array" aca="1" ref="J17" ca="1">INDIRECT(ADDRESS($D17,J$3,,,"mkt data"))</f>
        <v>92.8</v>
      </c>
      <c r="K17" s="151" cm="1">
        <f t="array" aca="1" ref="K17" ca="1">INDIRECT(ADDRESS($B16,INT(RIGHT(K$3,2)),,,"SCALARS"))</f>
        <v>3.7606030000000001</v>
      </c>
      <c r="L17" s="22">
        <f t="shared" ca="1" si="1"/>
        <v>93.755103000000005</v>
      </c>
      <c r="M17" s="22">
        <f t="shared" ca="1" si="2"/>
        <v>96.566102999999998</v>
      </c>
      <c r="N17" s="87">
        <v>1</v>
      </c>
      <c r="O17" s="23">
        <f t="shared" ca="1" si="3"/>
        <v>93.755103000000005</v>
      </c>
      <c r="P17" s="23">
        <f t="shared" ca="1" si="4"/>
        <v>96.566102999999998</v>
      </c>
      <c r="Q17" s="478"/>
      <c r="R17" s="476"/>
      <c r="S17" s="253" t="b">
        <f ca="1">IF(R16&gt;S16,TRUE,FALSE)</f>
        <v>0</v>
      </c>
      <c r="T17" s="224" t="b">
        <f ca="1">AND(IF(V16&gt;-T16,TRUE,FALSE),IF(Y16&gt;0,TRUE,FALSE))</f>
        <v>0</v>
      </c>
      <c r="U17" s="478"/>
      <c r="V17" s="476"/>
      <c r="W17" s="253" t="b">
        <f ca="1">IF(V16&gt;W16,TRUE,FALSE)</f>
        <v>0</v>
      </c>
      <c r="X17" s="61" t="b">
        <f ca="1">AND(IF(R16&gt;-X16,TRUE,FALSE),IF(Y16&lt;0,TRUE,FALSE))</f>
        <v>0</v>
      </c>
      <c r="Y17" s="29" cm="1">
        <f t="array" aca="1" ref="Y17" ca="1">INDIRECT(ADDRESS($D17,Y$3,,,"mkt data"))</f>
        <v>0</v>
      </c>
      <c r="Z17" s="50">
        <f t="shared" ca="1" si="5"/>
        <v>0</v>
      </c>
      <c r="AA17" s="29">
        <f t="shared" ca="1" si="6"/>
        <v>0</v>
      </c>
      <c r="AB17" s="486"/>
      <c r="AC17" s="463"/>
      <c r="AD17" s="181" t="str">
        <f t="shared" si="0"/>
        <v>EMB</v>
      </c>
      <c r="AE17" s="37" cm="1">
        <f t="array" aca="1" ref="AE17" ca="1">INDIRECT(ADDRESS($D17,AE$3,,,"mkt data"))</f>
        <v>91.849997999999999</v>
      </c>
      <c r="AF17" s="167">
        <f t="shared" ca="1" si="7"/>
        <v>91.4</v>
      </c>
      <c r="AG17" s="167">
        <f t="shared" ca="1" si="8"/>
        <v>-0.44999799999999368</v>
      </c>
      <c r="AH17" s="167">
        <f t="shared" ca="1" si="9"/>
        <v>0</v>
      </c>
      <c r="AI17" s="523"/>
      <c r="AJ17" s="533"/>
      <c r="AK17" s="459"/>
    </row>
    <row r="18" spans="1:39" x14ac:dyDescent="0.25">
      <c r="A18" s="530" t="str">
        <f t="shared" ref="A18" si="15">_xlfn.CONCAT(H18,"_",H19)</f>
        <v>CMF_VTEC</v>
      </c>
      <c r="B18" s="524">
        <f>MATCH(A18,SCALARS!D:D,0)</f>
        <v>6</v>
      </c>
      <c r="C18" s="524">
        <f>MATCH(A18,THRESHOLDS!D:D,0)</f>
        <v>6</v>
      </c>
      <c r="D18" s="80">
        <f>MATCH(H18,'MKT DATA'!B:B,0)</f>
        <v>16</v>
      </c>
      <c r="E18" s="64">
        <v>0.1002</v>
      </c>
      <c r="F18" s="524" t="str" cm="1">
        <f t="array" aca="1" ref="F18" ca="1">INDIRECT(ADDRESS($B18,F$3,,,"scalars"))</f>
        <v>calif munis</v>
      </c>
      <c r="G18" s="524" t="str" cm="1">
        <f t="array" aca="1" ref="G18" ca="1">INDIRECT(ADDRESS($B18,G$3,,,"scalars"))</f>
        <v>-</v>
      </c>
      <c r="H18" s="15" t="s">
        <v>36</v>
      </c>
      <c r="I18" s="33" cm="1">
        <f t="array" aca="1" ref="I18" ca="1">INDIRECT(ADDRESS($D18,I$3,,,"mkt data"))</f>
        <v>55</v>
      </c>
      <c r="J18" s="34" cm="1">
        <f t="array" aca="1" ref="J18" ca="1">INDIRECT(ADDRESS($D18,J$3,,,"mkt data"))</f>
        <v>56.53</v>
      </c>
      <c r="K18" s="150" cm="1">
        <f t="array" aca="1" ref="K18" ca="1">INDIRECT(ADDRESS($B18,INT(LEFT(K$3,2)),,,"SCALARS"))</f>
        <v>1.267263</v>
      </c>
      <c r="L18" s="16">
        <f t="shared" ca="1" si="1"/>
        <v>56.261763000000002</v>
      </c>
      <c r="M18" s="16">
        <f t="shared" ca="1" si="2"/>
        <v>57.802762999999999</v>
      </c>
      <c r="N18" s="44" cm="1">
        <f t="array" aca="1" ref="N18" ca="1">INDIRECT(ADDRESS($B18,N$3,,,"scalars"))</f>
        <v>1.743183335924225</v>
      </c>
      <c r="O18" s="17">
        <f t="shared" ca="1" si="3"/>
        <v>98.074567711318139</v>
      </c>
      <c r="P18" s="17">
        <f t="shared" ca="1" si="4"/>
        <v>100.76081323197737</v>
      </c>
      <c r="Q18" s="477">
        <f ca="1">O19-P18</f>
        <v>-2.0454132319773635</v>
      </c>
      <c r="R18" s="475">
        <f ca="1">LN(O19/P18)</f>
        <v>-2.0508559795092123E-2</v>
      </c>
      <c r="S18" s="252" cm="1">
        <f t="array" aca="1" ref="S18" ca="1">-INDIRECT(ADDRESS($C18,S$3,,,"thresholds"))</f>
        <v>1E-3</v>
      </c>
      <c r="T18" s="60" cm="1">
        <f t="array" aca="1" ref="T18" ca="1">-INDIRECT(ADDRESS($C18,T$3,,,"thresholds"))</f>
        <v>0</v>
      </c>
      <c r="U18" s="477">
        <f ca="1">O18-P19</f>
        <v>-0.95183228868185665</v>
      </c>
      <c r="V18" s="475">
        <f ca="1">LN(O18/P19)</f>
        <v>-9.6583969018500214E-3</v>
      </c>
      <c r="W18" s="252" cm="1">
        <f t="array" aca="1" ref="W18" ca="1">INDIRECT(ADDRESS($C18,W$3,,,"thresholds"))</f>
        <v>1.1999999999999999E-3</v>
      </c>
      <c r="X18" s="60" cm="1">
        <f t="array" aca="1" ref="X18" ca="1">INDIRECT(ADDRESS($C18,X$3,,,"thresholds"))</f>
        <v>2.0000000000000001E-4</v>
      </c>
      <c r="Y18" s="27" cm="1">
        <f t="array" aca="1" ref="Y18" ca="1">INDIRECT(ADDRESS($D18,Y$3,,,"mkt data"))</f>
        <v>0</v>
      </c>
      <c r="Z18" s="48">
        <f t="shared" ca="1" si="5"/>
        <v>0</v>
      </c>
      <c r="AA18" s="27">
        <f t="shared" ca="1" si="6"/>
        <v>0</v>
      </c>
      <c r="AB18" s="534">
        <f ca="1">SUM(AA18:AA19)</f>
        <v>0</v>
      </c>
      <c r="AC18" s="474"/>
      <c r="AD18" s="173" t="str">
        <f>H18</f>
        <v>CMF</v>
      </c>
      <c r="AE18" s="33" cm="1">
        <f t="array" aca="1" ref="AE18" ca="1">INDIRECT(ADDRESS($D18,AE$3,,,"mkt data"))</f>
        <v>55.299999</v>
      </c>
      <c r="AF18" s="165">
        <f t="shared" ca="1" si="7"/>
        <v>55.765000000000001</v>
      </c>
      <c r="AG18" s="165">
        <f t="shared" ca="1" si="8"/>
        <v>0.46500100000000089</v>
      </c>
      <c r="AH18" s="165">
        <f t="shared" ca="1" si="9"/>
        <v>0</v>
      </c>
      <c r="AI18" s="522">
        <f ca="1">AH18+AH19</f>
        <v>0</v>
      </c>
      <c r="AJ18" s="532"/>
      <c r="AK18" s="458"/>
    </row>
    <row r="19" spans="1:39" ht="15.75" thickBot="1" x14ac:dyDescent="0.3">
      <c r="A19" s="531"/>
      <c r="B19" s="525" t="e">
        <f>MATCH(H19,SCALARS!D:D,0)</f>
        <v>#N/A</v>
      </c>
      <c r="C19" s="525"/>
      <c r="D19" s="82">
        <f>MATCH(H19,'MKT DATA'!B:B,0)</f>
        <v>17</v>
      </c>
      <c r="E19" s="65">
        <v>0.1002</v>
      </c>
      <c r="F19" s="525"/>
      <c r="G19" s="525"/>
      <c r="H19" s="21" t="s">
        <v>47</v>
      </c>
      <c r="I19" s="37" cm="1">
        <f t="array" aca="1" ref="I19" ca="1">INDIRECT(ADDRESS($D19,I$3,,,"mkt data"))</f>
        <v>96.4</v>
      </c>
      <c r="J19" s="38" cm="1">
        <f t="array" aca="1" ref="J19" ca="1">INDIRECT(ADDRESS($D19,J$3,,,"mkt data"))</f>
        <v>96.7</v>
      </c>
      <c r="K19" s="151" cm="1">
        <f t="array" aca="1" ref="K19" ca="1">INDIRECT(ADDRESS($B18,INT(RIGHT(K$3,2)),,,"SCALARS"))</f>
        <v>2.3209</v>
      </c>
      <c r="L19" s="22">
        <f t="shared" ca="1" si="1"/>
        <v>98.715400000000002</v>
      </c>
      <c r="M19" s="22">
        <f t="shared" ca="1" si="2"/>
        <v>99.026399999999995</v>
      </c>
      <c r="N19" s="87">
        <v>1</v>
      </c>
      <c r="O19" s="23">
        <f t="shared" ca="1" si="3"/>
        <v>98.715400000000002</v>
      </c>
      <c r="P19" s="23">
        <f t="shared" ca="1" si="4"/>
        <v>99.026399999999995</v>
      </c>
      <c r="Q19" s="478"/>
      <c r="R19" s="476"/>
      <c r="S19" s="253" t="b">
        <f ca="1">IF(R18&gt;S18,TRUE,FALSE)</f>
        <v>0</v>
      </c>
      <c r="T19" s="224" t="b">
        <f ca="1">AND(IF(V18&gt;-T18,TRUE,FALSE),IF(Y18&gt;0,TRUE,FALSE))</f>
        <v>0</v>
      </c>
      <c r="U19" s="478"/>
      <c r="V19" s="476"/>
      <c r="W19" s="253" t="b">
        <f ca="1">IF(V18&gt;W18,TRUE,FALSE)</f>
        <v>0</v>
      </c>
      <c r="X19" s="61" t="b">
        <f ca="1">AND(IF(R18&gt;-X18,TRUE,FALSE),IF(Y18&lt;0,TRUE,FALSE))</f>
        <v>0</v>
      </c>
      <c r="Y19" s="29" cm="1">
        <f t="array" aca="1" ref="Y19" ca="1">INDIRECT(ADDRESS($D19,Y$3,,,"mkt data"))</f>
        <v>0</v>
      </c>
      <c r="Z19" s="50">
        <f t="shared" ca="1" si="5"/>
        <v>0</v>
      </c>
      <c r="AA19" s="29">
        <f t="shared" ca="1" si="6"/>
        <v>0</v>
      </c>
      <c r="AB19" s="535"/>
      <c r="AC19" s="463"/>
      <c r="AD19" s="181" t="str">
        <f>H19</f>
        <v>VTEC</v>
      </c>
      <c r="AE19" s="37" cm="1">
        <f t="array" aca="1" ref="AE19" ca="1">INDIRECT(ADDRESS($D19,AE$3,,,"mkt data"))</f>
        <v>96.279999000000004</v>
      </c>
      <c r="AF19" s="167">
        <f t="shared" ca="1" si="7"/>
        <v>96.550000000000011</v>
      </c>
      <c r="AG19" s="167">
        <f t="shared" ca="1" si="8"/>
        <v>0.27000100000000771</v>
      </c>
      <c r="AH19" s="167">
        <f t="shared" ca="1" si="9"/>
        <v>0</v>
      </c>
      <c r="AI19" s="523"/>
      <c r="AJ19" s="533"/>
      <c r="AK19" s="459"/>
    </row>
    <row r="20" spans="1:39" x14ac:dyDescent="0.25">
      <c r="A20" s="530" t="str">
        <f t="shared" ref="A20" si="16">_xlfn.CONCAT(H20,"_",H21)</f>
        <v>SPMB_VMBS</v>
      </c>
      <c r="B20" s="524">
        <f>MATCH(A20,SCALARS!D:D,0)</f>
        <v>54</v>
      </c>
      <c r="C20" s="524">
        <f>MATCH(A20,THRESHOLDS!D:D,0)</f>
        <v>54</v>
      </c>
      <c r="D20" s="80">
        <f>MATCH(H20,'MKT DATA'!B:B,0)</f>
        <v>112</v>
      </c>
      <c r="E20" s="64"/>
      <c r="F20" s="524" t="str" cm="1">
        <f t="array" aca="1" ref="F20" ca="1">INDIRECT(ADDRESS($B20,F$3,,,"scalars"))</f>
        <v>mortgages</v>
      </c>
      <c r="G20" s="524" t="str" cm="1">
        <f t="array" aca="1" ref="G20" ca="1">INDIRECT(ADDRESS($B20,G$3,,,"scalars"))</f>
        <v>-</v>
      </c>
      <c r="H20" s="15" t="s">
        <v>17</v>
      </c>
      <c r="I20" s="33" cm="1">
        <f t="array" aca="1" ref="I20" ca="1">INDIRECT(ADDRESS($D20,I$3,,,"mkt data"))</f>
        <v>21.48</v>
      </c>
      <c r="J20" s="34" cm="1">
        <f t="array" aca="1" ref="J20" ca="1">INDIRECT(ADDRESS($D20,J$3,,,"mkt data"))</f>
        <v>21.6</v>
      </c>
      <c r="K20" s="150" cm="1">
        <f t="array" aca="1" ref="K20" ca="1">INDIRECT(ADDRESS($B20,INT(LEFT(K$3,2)),,,"SCALARS"))</f>
        <v>0.63775799999999994</v>
      </c>
      <c r="L20" s="16">
        <f t="shared" ca="1" si="1"/>
        <v>22.112258000000001</v>
      </c>
      <c r="M20" s="16">
        <f t="shared" ca="1" si="2"/>
        <v>22.243258000000004</v>
      </c>
      <c r="N20" s="44" cm="1">
        <f t="array" aca="1" ref="N20" ca="1">INDIRECT(ADDRESS($B20,N$3,,,"scalars"))</f>
        <v>2.1075884170070407</v>
      </c>
      <c r="O20" s="17">
        <f t="shared" ca="1" si="3"/>
        <v>46.603538834671276</v>
      </c>
      <c r="P20" s="17">
        <f t="shared" ca="1" si="4"/>
        <v>46.879632917299205</v>
      </c>
      <c r="Q20" s="477">
        <f ca="1">O21-P20</f>
        <v>-2.3114329172992001</v>
      </c>
      <c r="R20" s="508">
        <f ca="1">LN(O21/P20)</f>
        <v>-5.0562714742584593E-2</v>
      </c>
      <c r="S20" s="252" cm="1">
        <f t="array" aca="1" ref="S20" ca="1">-INDIRECT(ADDRESS($C20,S$3,,,"thresholds"))</f>
        <v>1.5E-3</v>
      </c>
      <c r="T20" s="60" cm="1">
        <f t="array" aca="1" ref="T20" ca="1">-INDIRECT(ADDRESS($C20,T$3,,,"thresholds"))</f>
        <v>5.0000000000000001E-4</v>
      </c>
      <c r="U20" s="477">
        <f ca="1">O20-P21</f>
        <v>-1.2556611653287248</v>
      </c>
      <c r="V20" s="475">
        <f ca="1">LN(O20/P21)</f>
        <v>-2.6586888014111885E-2</v>
      </c>
      <c r="W20" s="252" cm="1">
        <f t="array" aca="1" ref="W20" ca="1">INDIRECT(ADDRESS($C20,W$3,,,"thresholds"))</f>
        <v>1E-3</v>
      </c>
      <c r="X20" s="60" cm="1">
        <f t="array" aca="1" ref="X20" ca="1">INDIRECT(ADDRESS($C20,X$3,,,"thresholds"))</f>
        <v>0</v>
      </c>
      <c r="Y20" s="27" cm="1">
        <f t="array" aca="1" ref="Y20" ca="1">INDIRECT(ADDRESS($D20,Y$3,,,"mkt data"))</f>
        <v>0</v>
      </c>
      <c r="Z20" s="48">
        <f t="shared" ca="1" si="5"/>
        <v>0</v>
      </c>
      <c r="AA20" s="27">
        <f t="shared" ca="1" si="6"/>
        <v>0</v>
      </c>
      <c r="AB20" s="534">
        <f ca="1">SUM(AA20:AA21)</f>
        <v>0</v>
      </c>
      <c r="AC20" s="474"/>
      <c r="AD20" s="173" t="str">
        <f t="shared" ref="AD20:AD21" si="17">H20</f>
        <v>SPMB</v>
      </c>
      <c r="AE20" s="33" cm="1">
        <f t="array" aca="1" ref="AE20" ca="1">INDIRECT(ADDRESS($D20,AE$3,,,"mkt data"))</f>
        <v>21.559999000000001</v>
      </c>
      <c r="AF20" s="165">
        <f t="shared" ca="1" si="7"/>
        <v>21.54</v>
      </c>
      <c r="AG20" s="165">
        <f t="shared" ca="1" si="8"/>
        <v>-1.9999000000002098E-2</v>
      </c>
      <c r="AH20" s="165">
        <f t="shared" ca="1" si="9"/>
        <v>0</v>
      </c>
      <c r="AI20" s="522">
        <f ca="1">AH20+AH21</f>
        <v>0</v>
      </c>
      <c r="AJ20" s="532"/>
      <c r="AK20" s="458"/>
      <c r="AM20" s="235"/>
    </row>
    <row r="21" spans="1:39" ht="15.75" thickBot="1" x14ac:dyDescent="0.3">
      <c r="A21" s="531"/>
      <c r="B21" s="525" t="e">
        <f>MATCH(H21,SCALARS!D:D,0)</f>
        <v>#N/A</v>
      </c>
      <c r="C21" s="525"/>
      <c r="D21" s="82">
        <f>MATCH(H21,'MKT DATA'!B:B,0)</f>
        <v>113</v>
      </c>
      <c r="E21" s="65"/>
      <c r="F21" s="525"/>
      <c r="G21" s="525"/>
      <c r="H21" s="21" t="s">
        <v>18</v>
      </c>
      <c r="I21" s="37" cm="1">
        <f t="array" aca="1" ref="I21" ca="1">INDIRECT(ADDRESS($D21,I$3,,,"mkt data"))</f>
        <v>43.1</v>
      </c>
      <c r="J21" s="38" cm="1">
        <f t="array" aca="1" ref="J21" ca="1">INDIRECT(ADDRESS($D21,J$3,,,"mkt data"))</f>
        <v>46.38</v>
      </c>
      <c r="K21" s="151" cm="1">
        <f t="array" aca="1" ref="K21" ca="1">INDIRECT(ADDRESS($B20,INT(RIGHT(K$3,2)),,,"SCALARS"))</f>
        <v>1.4737</v>
      </c>
      <c r="L21" s="22">
        <f t="shared" ca="1" si="1"/>
        <v>44.568200000000004</v>
      </c>
      <c r="M21" s="22">
        <f t="shared" ca="1" si="2"/>
        <v>47.859200000000001</v>
      </c>
      <c r="N21" s="87">
        <v>1</v>
      </c>
      <c r="O21" s="23">
        <f t="shared" ca="1" si="3"/>
        <v>44.568200000000004</v>
      </c>
      <c r="P21" s="23">
        <f t="shared" ca="1" si="4"/>
        <v>47.859200000000001</v>
      </c>
      <c r="Q21" s="478"/>
      <c r="R21" s="509"/>
      <c r="S21" s="253" t="b">
        <f ca="1">IF(R20&gt;S20,TRUE,FALSE)</f>
        <v>0</v>
      </c>
      <c r="T21" s="224" t="b">
        <f ca="1">AND(IF(V20&gt;-T20,TRUE,FALSE),IF(Y20&gt;0,TRUE,FALSE))</f>
        <v>0</v>
      </c>
      <c r="U21" s="478"/>
      <c r="V21" s="476"/>
      <c r="W21" s="253" t="b">
        <f ca="1">IF(V20&gt;W20,TRUE,FALSE)</f>
        <v>0</v>
      </c>
      <c r="X21" s="61" t="b">
        <f ca="1">AND(IF(R20&gt;-X20,TRUE,FALSE),IF(Y20&lt;0,TRUE,FALSE))</f>
        <v>0</v>
      </c>
      <c r="Y21" s="29" cm="1">
        <f t="array" aca="1" ref="Y21" ca="1">INDIRECT(ADDRESS($D21,Y$3,,,"mkt data"))</f>
        <v>0</v>
      </c>
      <c r="Z21" s="50">
        <f t="shared" ca="1" si="5"/>
        <v>0</v>
      </c>
      <c r="AA21" s="29">
        <f t="shared" ca="1" si="6"/>
        <v>0</v>
      </c>
      <c r="AB21" s="535"/>
      <c r="AC21" s="463"/>
      <c r="AD21" s="181" t="str">
        <f t="shared" si="17"/>
        <v>VMBS</v>
      </c>
      <c r="AE21" s="37" cm="1">
        <f t="array" aca="1" ref="AE21" ca="1">INDIRECT(ADDRESS($D21,AE$3,,,"mkt data"))</f>
        <v>45.299999</v>
      </c>
      <c r="AF21" s="167">
        <f t="shared" ca="1" si="7"/>
        <v>44.74</v>
      </c>
      <c r="AG21" s="167">
        <f t="shared" ca="1" si="8"/>
        <v>-0.55999899999999769</v>
      </c>
      <c r="AH21" s="167">
        <f t="shared" ca="1" si="9"/>
        <v>0</v>
      </c>
      <c r="AI21" s="523"/>
      <c r="AJ21" s="533"/>
      <c r="AK21" s="459"/>
    </row>
    <row r="22" spans="1:39" x14ac:dyDescent="0.25">
      <c r="A22" s="530" t="str">
        <f t="shared" ref="A22" si="18">_xlfn.CONCAT(H22,"_",H23)</f>
        <v>EMLC_LEMB</v>
      </c>
      <c r="B22" s="524">
        <f>MATCH(A22,SCALARS!D:D,0)</f>
        <v>91</v>
      </c>
      <c r="C22" s="524">
        <f>MATCH(A22,THRESHOLDS!D:D,0)</f>
        <v>91</v>
      </c>
      <c r="D22" s="80">
        <f>MATCH(H22,'MKT DATA'!B:B,0)</f>
        <v>94</v>
      </c>
      <c r="E22" s="64"/>
      <c r="F22" s="524" t="str" cm="1">
        <f t="array" aca="1" ref="F22" ca="1">INDIRECT(ADDRESS($B22,F$3,,,"scalars"))</f>
        <v>em bonds</v>
      </c>
      <c r="G22" s="524" t="str" cm="1">
        <f t="array" aca="1" ref="G22" ca="1">INDIRECT(ADDRESS($B22,G$3,,,"scalars"))</f>
        <v>local ccy</v>
      </c>
      <c r="H22" s="15" t="s">
        <v>328</v>
      </c>
      <c r="I22" s="33" cm="1">
        <f t="array" aca="1" ref="I22" ca="1">INDIRECT(ADDRESS($D22,I$3,,,"mkt data"))</f>
        <v>24.5</v>
      </c>
      <c r="J22" s="34" cm="1">
        <f t="array" aca="1" ref="J22" ca="1">INDIRECT(ADDRESS($D22,J$3,,,"mkt data"))</f>
        <v>25.19</v>
      </c>
      <c r="K22" s="150" cm="1">
        <f t="array" aca="1" ref="K22" ca="1">INDIRECT(ADDRESS($B22,INT(LEFT(K$3,2)),,,"SCALARS"))</f>
        <v>1.2006000000000001</v>
      </c>
      <c r="L22" s="16">
        <f t="shared" ca="1" si="1"/>
        <v>25.6951</v>
      </c>
      <c r="M22" s="16">
        <f t="shared" ca="1" si="2"/>
        <v>26.396100000000004</v>
      </c>
      <c r="N22" s="44" cm="1">
        <f t="array" aca="1" ref="N22" ca="1">INDIRECT(ADDRESS($B22,N$3,,,"scalars"))</f>
        <v>1.6281103781070272</v>
      </c>
      <c r="O22" s="17">
        <f t="shared" ca="1" si="3"/>
        <v>41.834458976497878</v>
      </c>
      <c r="P22" s="17">
        <f t="shared" ca="1" si="4"/>
        <v>42.975764351550907</v>
      </c>
      <c r="Q22" s="477">
        <f ca="1">O23-P22</f>
        <v>-4.7012643515509041</v>
      </c>
      <c r="R22" s="493">
        <f ca="1">LN(O23/P22)</f>
        <v>-0.1158524589677427</v>
      </c>
      <c r="S22" s="252" cm="1">
        <f t="array" aca="1" ref="S22" ca="1">-INDIRECT(ADDRESS($C22,S$3,,,"thresholds"))</f>
        <v>3.0000000000000001E-3</v>
      </c>
      <c r="T22" s="60" cm="1">
        <f t="array" aca="1" ref="T22" ca="1">-INDIRECT(ADDRESS($C22,T$3,,,"thresholds"))</f>
        <v>1E-3</v>
      </c>
      <c r="U22" s="477">
        <f ca="1">O22-P23</f>
        <v>-1.5710410235021186</v>
      </c>
      <c r="V22" s="475">
        <f ca="1">LN(O22/P23)</f>
        <v>-3.6865783841178987E-2</v>
      </c>
      <c r="W22" s="252" cm="1">
        <f t="array" aca="1" ref="W22" ca="1">INDIRECT(ADDRESS($C22,W$3,,,"thresholds"))</f>
        <v>1.5E-3</v>
      </c>
      <c r="X22" s="60" cm="1">
        <f t="array" aca="1" ref="X22" ca="1">INDIRECT(ADDRESS($C22,X$3,,,"thresholds"))</f>
        <v>0</v>
      </c>
      <c r="Y22" s="27" cm="1">
        <f t="array" aca="1" ref="Y22" ca="1">INDIRECT(ADDRESS($D22,Y$3,,,"mkt data"))</f>
        <v>0</v>
      </c>
      <c r="Z22" s="48">
        <f t="shared" ca="1" si="5"/>
        <v>0</v>
      </c>
      <c r="AA22" s="27">
        <f t="shared" ca="1" si="6"/>
        <v>0</v>
      </c>
      <c r="AB22" s="534">
        <f ca="1">SUM(AA22:AA23)</f>
        <v>0</v>
      </c>
      <c r="AC22" s="474"/>
      <c r="AD22" s="173" t="str">
        <f t="shared" ref="AD22:AD23" si="19">H22</f>
        <v>EMLC</v>
      </c>
      <c r="AE22" s="33" cm="1">
        <f t="array" aca="1" ref="AE22" ca="1">INDIRECT(ADDRESS($D22,AE$3,,,"mkt data"))</f>
        <v>24.84</v>
      </c>
      <c r="AF22" s="165">
        <f t="shared" ca="1" si="7"/>
        <v>24.844999999999999</v>
      </c>
      <c r="AG22" s="165">
        <f t="shared" ca="1" si="8"/>
        <v>4.9999999999990052E-3</v>
      </c>
      <c r="AH22" s="165">
        <f t="shared" ca="1" si="9"/>
        <v>0</v>
      </c>
      <c r="AI22" s="522">
        <f ca="1">AH22+AH23</f>
        <v>0</v>
      </c>
      <c r="AJ22" s="532"/>
      <c r="AK22" s="458"/>
      <c r="AM22" s="235"/>
    </row>
    <row r="23" spans="1:39" ht="15.75" thickBot="1" x14ac:dyDescent="0.3">
      <c r="A23" s="531"/>
      <c r="B23" s="525" t="e">
        <f>MATCH(H23,SCALARS!D:D,0)</f>
        <v>#N/A</v>
      </c>
      <c r="C23" s="525"/>
      <c r="D23" s="82">
        <f>MATCH(H23,'MKT DATA'!B:B,0)</f>
        <v>95</v>
      </c>
      <c r="E23" s="65"/>
      <c r="F23" s="525"/>
      <c r="G23" s="525"/>
      <c r="H23" s="21" t="s">
        <v>329</v>
      </c>
      <c r="I23" s="37" cm="1">
        <f t="array" aca="1" ref="I23" ca="1">INDIRECT(ADDRESS($D23,I$3,,,"mkt data"))</f>
        <v>38.28</v>
      </c>
      <c r="J23" s="38" cm="1">
        <f t="array" aca="1" ref="J23" ca="1">INDIRECT(ADDRESS($D23,J$3,,,"mkt data"))</f>
        <v>43.4</v>
      </c>
      <c r="K23" s="151" cm="1">
        <f t="array" aca="1" ref="K23" ca="1">INDIRECT(ADDRESS($B22,INT(RIGHT(K$3,2)),,,"SCALARS"))</f>
        <v>0</v>
      </c>
      <c r="L23" s="22">
        <f t="shared" ca="1" si="1"/>
        <v>38.274500000000003</v>
      </c>
      <c r="M23" s="22">
        <f t="shared" ca="1" si="2"/>
        <v>43.405499999999996</v>
      </c>
      <c r="N23" s="87">
        <v>1</v>
      </c>
      <c r="O23" s="23">
        <f t="shared" ca="1" si="3"/>
        <v>38.274500000000003</v>
      </c>
      <c r="P23" s="23">
        <f t="shared" ca="1" si="4"/>
        <v>43.405499999999996</v>
      </c>
      <c r="Q23" s="478"/>
      <c r="R23" s="494"/>
      <c r="S23" s="253" t="b">
        <f ca="1">IF(R22&gt;S22,TRUE,FALSE)</f>
        <v>0</v>
      </c>
      <c r="T23" s="224" t="b">
        <f ca="1">AND(IF(V22&gt;-T22,TRUE,FALSE),IF(Y22&gt;0,TRUE,FALSE))</f>
        <v>0</v>
      </c>
      <c r="U23" s="478"/>
      <c r="V23" s="476"/>
      <c r="W23" s="253" t="b">
        <f ca="1">IF(V22&gt;W22,TRUE,FALSE)</f>
        <v>0</v>
      </c>
      <c r="X23" s="61" t="b">
        <f ca="1">AND(IF(R22&gt;-X22,TRUE,FALSE),IF(Y22&lt;0,TRUE,FALSE))</f>
        <v>0</v>
      </c>
      <c r="Y23" s="29" cm="1">
        <f t="array" aca="1" ref="Y23" ca="1">INDIRECT(ADDRESS($D23,Y$3,,,"mkt data"))</f>
        <v>0</v>
      </c>
      <c r="Z23" s="50">
        <f t="shared" ca="1" si="5"/>
        <v>0</v>
      </c>
      <c r="AA23" s="29">
        <f t="shared" ca="1" si="6"/>
        <v>0</v>
      </c>
      <c r="AB23" s="535"/>
      <c r="AC23" s="463"/>
      <c r="AD23" s="181" t="str">
        <f t="shared" si="19"/>
        <v>LEMB</v>
      </c>
      <c r="AE23" s="37" cm="1">
        <f t="array" aca="1" ref="AE23" ca="1">INDIRECT(ADDRESS($D23,AE$3,,,"mkt data"))</f>
        <v>42.419998</v>
      </c>
      <c r="AF23" s="167">
        <f t="shared" ca="1" si="7"/>
        <v>40.840000000000003</v>
      </c>
      <c r="AG23" s="167">
        <f t="shared" ca="1" si="8"/>
        <v>-1.5799979999999962</v>
      </c>
      <c r="AH23" s="167">
        <f t="shared" ca="1" si="9"/>
        <v>0</v>
      </c>
      <c r="AI23" s="523"/>
      <c r="AJ23" s="533"/>
      <c r="AK23" s="459"/>
    </row>
    <row r="24" spans="1:39" x14ac:dyDescent="0.25">
      <c r="A24" s="530" t="str">
        <f t="shared" ref="A24" si="20">_xlfn.CONCAT(H24,"_",H25)</f>
        <v>TFI_MUB</v>
      </c>
      <c r="B24" s="524">
        <f>MATCH(A24,SCALARS!D:D,0)</f>
        <v>55</v>
      </c>
      <c r="C24" s="524">
        <f>MATCH(A24,THRESHOLDS!D:D,0)</f>
        <v>55</v>
      </c>
      <c r="D24" s="80">
        <f>MATCH(H24,'MKT DATA'!B:B,0)</f>
        <v>127</v>
      </c>
      <c r="E24" s="64"/>
      <c r="F24" s="524" t="str" cm="1">
        <f t="array" aca="1" ref="F24" ca="1">INDIRECT(ADDRESS($B24,F$3,,,"scalars"))</f>
        <v>munis</v>
      </c>
      <c r="G24" s="524" t="str" cm="1">
        <f t="array" aca="1" ref="G24" ca="1">INDIRECT(ADDRESS($B24,G$3,,,"scalars"))</f>
        <v>-</v>
      </c>
      <c r="H24" s="15" t="s">
        <v>19</v>
      </c>
      <c r="I24" s="33" cm="1">
        <f t="array" aca="1" ref="I24" ca="1">INDIRECT(ADDRESS($D24,I$3,,,"mkt data"))</f>
        <v>42.9</v>
      </c>
      <c r="J24" s="34" cm="1">
        <f t="array" aca="1" ref="J24" ca="1">INDIRECT(ADDRESS($D24,J$3,,,"mkt data"))</f>
        <v>43.82</v>
      </c>
      <c r="K24" s="150" cm="1">
        <f t="array" aca="1" ref="K24" ca="1">INDIRECT(ADDRESS($B24,INT(LEFT(K$3,2)),,,"SCALARS"))</f>
        <v>1.2129179999999999</v>
      </c>
      <c r="L24" s="16">
        <f t="shared" ref="L24:L25" ca="1" si="21">I24+K24-L$1</f>
        <v>44.107418000000003</v>
      </c>
      <c r="M24" s="16">
        <f t="shared" ref="M24:M25" ca="1" si="22">J24+K24+L$1</f>
        <v>45.038418</v>
      </c>
      <c r="N24" s="44" cm="1">
        <f t="array" aca="1" ref="N24" ca="1">INDIRECT(ADDRESS($B24,N$3,,,"scalars"))</f>
        <v>2.3570600142169802</v>
      </c>
      <c r="O24" s="17">
        <f t="shared" ref="O24:O25" ca="1" si="23">L24*N24</f>
        <v>103.96383129815429</v>
      </c>
      <c r="P24" s="17">
        <f t="shared" ref="P24:P25" ca="1" si="24">N24*M24</f>
        <v>106.1582541713903</v>
      </c>
      <c r="Q24" s="477">
        <f ca="1">O25-P24</f>
        <v>-0.82755917139030544</v>
      </c>
      <c r="R24" s="508">
        <f ca="1">LN(O25/P24)</f>
        <v>-7.8260674937801391E-3</v>
      </c>
      <c r="S24" s="252" cm="1">
        <f t="array" aca="1" ref="S24" ca="1">-INDIRECT(ADDRESS($C24,S$3,,,"thresholds"))</f>
        <v>1E-3</v>
      </c>
      <c r="T24" s="60" cm="1">
        <f t="array" aca="1" ref="T24" ca="1">-INDIRECT(ADDRESS($C24,T$3,,,"thresholds"))</f>
        <v>0</v>
      </c>
      <c r="U24" s="477">
        <f ca="1">O24-P25</f>
        <v>-3.1078637018457016</v>
      </c>
      <c r="V24" s="475">
        <f ca="1">LN(O24/P25)</f>
        <v>-2.9455594135796959E-2</v>
      </c>
      <c r="W24" s="252" cm="1">
        <f t="array" aca="1" ref="W24" ca="1">INDIRECT(ADDRESS($C24,W$3,,,"thresholds"))</f>
        <v>1E-3</v>
      </c>
      <c r="X24" s="60" cm="1">
        <f t="array" aca="1" ref="X24" ca="1">INDIRECT(ADDRESS($C24,X$3,,,"thresholds"))</f>
        <v>0</v>
      </c>
      <c r="Y24" s="27" cm="1">
        <f t="array" aca="1" ref="Y24" ca="1">INDIRECT(ADDRESS($D24,Y$3,,,"mkt data"))</f>
        <v>0</v>
      </c>
      <c r="Z24" s="48">
        <f t="shared" ref="Z24:Z25" ca="1" si="25">Y24*AVERAGE(I24:J24)</f>
        <v>0</v>
      </c>
      <c r="AA24" s="27">
        <f t="shared" ref="AA24:AA25" ca="1" si="26">Y24/N24</f>
        <v>0</v>
      </c>
      <c r="AB24" s="534">
        <f ca="1">SUM(AA24:AA25)</f>
        <v>0</v>
      </c>
      <c r="AC24" s="474"/>
      <c r="AD24" s="173" t="str">
        <f t="shared" ref="AD24:AD25" si="27">H24</f>
        <v>TFI</v>
      </c>
      <c r="AE24" s="33" cm="1">
        <f t="array" aca="1" ref="AE24" ca="1">INDIRECT(ADDRESS($D24,AE$3,,,"mkt data"))</f>
        <v>43.715000000000003</v>
      </c>
      <c r="AF24" s="165">
        <f t="shared" ref="AF24:AF25" ca="1" si="28">AVERAGE(I24,J24)</f>
        <v>43.36</v>
      </c>
      <c r="AG24" s="165">
        <f t="shared" ref="AG24:AG25" ca="1" si="29">AF24-AE24</f>
        <v>-0.35500000000000398</v>
      </c>
      <c r="AH24" s="165">
        <f t="shared" ca="1" si="9"/>
        <v>0</v>
      </c>
      <c r="AI24" s="522">
        <f ca="1">AH24+AH25</f>
        <v>0</v>
      </c>
      <c r="AJ24" s="532"/>
      <c r="AK24" s="458"/>
      <c r="AM24" s="235"/>
    </row>
    <row r="25" spans="1:39" ht="15.75" thickBot="1" x14ac:dyDescent="0.3">
      <c r="A25" s="531"/>
      <c r="B25" s="525" t="e">
        <f>MATCH(H25,SCALARS!D:D,0)</f>
        <v>#N/A</v>
      </c>
      <c r="C25" s="525"/>
      <c r="D25" s="82">
        <f>MATCH(H25,'MKT DATA'!B:B,0)</f>
        <v>126</v>
      </c>
      <c r="E25" s="65"/>
      <c r="F25" s="525"/>
      <c r="G25" s="525"/>
      <c r="H25" s="21" t="s">
        <v>3</v>
      </c>
      <c r="I25" s="37" cm="1">
        <f t="array" aca="1" ref="I25" ca="1">INDIRECT(ADDRESS($D25,I$3,,,"mkt data"))</f>
        <v>102.77</v>
      </c>
      <c r="J25" s="38" cm="1">
        <f t="array" aca="1" ref="J25" ca="1">INDIRECT(ADDRESS($D25,J$3,,,"mkt data"))</f>
        <v>104.5</v>
      </c>
      <c r="K25" s="151" cm="1">
        <f t="array" aca="1" ref="K25" ca="1">INDIRECT(ADDRESS($B24,INT(RIGHT(K$3,2)),,,"SCALARS"))</f>
        <v>2.5661949999999996</v>
      </c>
      <c r="L25" s="22">
        <f t="shared" ca="1" si="21"/>
        <v>105.33069499999999</v>
      </c>
      <c r="M25" s="22">
        <f t="shared" ca="1" si="22"/>
        <v>107.07169499999999</v>
      </c>
      <c r="N25" s="87">
        <v>1</v>
      </c>
      <c r="O25" s="23">
        <f t="shared" ca="1" si="23"/>
        <v>105.33069499999999</v>
      </c>
      <c r="P25" s="23">
        <f t="shared" ca="1" si="24"/>
        <v>107.07169499999999</v>
      </c>
      <c r="Q25" s="478"/>
      <c r="R25" s="509"/>
      <c r="S25" s="253" t="b">
        <f ca="1">IF(R24&gt;S24,TRUE,FALSE)</f>
        <v>0</v>
      </c>
      <c r="T25" s="224" t="b">
        <f ca="1">AND(IF(V24&gt;-T24,TRUE,FALSE),IF(Y24&gt;0,TRUE,FALSE))</f>
        <v>0</v>
      </c>
      <c r="U25" s="478"/>
      <c r="V25" s="476"/>
      <c r="W25" s="253" t="b">
        <f ca="1">IF(V24&gt;W24,TRUE,FALSE)</f>
        <v>0</v>
      </c>
      <c r="X25" s="61" t="b">
        <f ca="1">AND(IF(R24&gt;-X24,TRUE,FALSE),IF(Y24&lt;0,TRUE,FALSE))</f>
        <v>0</v>
      </c>
      <c r="Y25" s="29" cm="1">
        <f t="array" aca="1" ref="Y25" ca="1">INDIRECT(ADDRESS($D25,Y$3,,,"mkt data"))</f>
        <v>0</v>
      </c>
      <c r="Z25" s="50">
        <f t="shared" ca="1" si="25"/>
        <v>0</v>
      </c>
      <c r="AA25" s="29">
        <f t="shared" ca="1" si="26"/>
        <v>0</v>
      </c>
      <c r="AB25" s="535"/>
      <c r="AC25" s="463"/>
      <c r="AD25" s="181" t="str">
        <f t="shared" si="27"/>
        <v>MUB</v>
      </c>
      <c r="AE25" s="37" cm="1">
        <f t="array" aca="1" ref="AE25" ca="1">INDIRECT(ADDRESS($D25,AE$3,,,"mkt data"))</f>
        <v>103.239998</v>
      </c>
      <c r="AF25" s="167">
        <f t="shared" ca="1" si="28"/>
        <v>103.63499999999999</v>
      </c>
      <c r="AG25" s="167">
        <f t="shared" ca="1" si="29"/>
        <v>0.39500199999999097</v>
      </c>
      <c r="AH25" s="167">
        <f t="shared" ca="1" si="9"/>
        <v>0</v>
      </c>
      <c r="AI25" s="523"/>
      <c r="AJ25" s="533"/>
      <c r="AK25" s="459"/>
    </row>
    <row r="26" spans="1:39" x14ac:dyDescent="0.25">
      <c r="F26" s="8"/>
      <c r="G26" s="8"/>
      <c r="I26" s="8"/>
      <c r="J26" s="10"/>
      <c r="K26" s="10"/>
      <c r="L26" s="10"/>
      <c r="M26" s="10"/>
      <c r="N26" s="10"/>
      <c r="O26" s="10"/>
      <c r="P26" s="10"/>
    </row>
    <row r="27" spans="1:39" x14ac:dyDescent="0.25">
      <c r="W27"/>
      <c r="X27"/>
      <c r="Y27"/>
    </row>
    <row r="28" spans="1:39" x14ac:dyDescent="0.25">
      <c r="W28"/>
      <c r="X28"/>
      <c r="Y28"/>
      <c r="AC28"/>
      <c r="AD28"/>
    </row>
    <row r="29" spans="1:39" x14ac:dyDescent="0.25">
      <c r="T29" s="135"/>
      <c r="W29"/>
      <c r="X29"/>
      <c r="Y29"/>
      <c r="AB29" s="235"/>
      <c r="AC29" s="235"/>
      <c r="AD29" s="235"/>
      <c r="AE29" s="235"/>
    </row>
    <row r="30" spans="1:39" x14ac:dyDescent="0.25">
      <c r="W30"/>
      <c r="X30"/>
      <c r="Y30"/>
      <c r="AC30"/>
      <c r="AD30"/>
    </row>
    <row r="31" spans="1:39" x14ac:dyDescent="0.25">
      <c r="X31" s="391"/>
      <c r="AB31" s="235"/>
      <c r="AC31"/>
      <c r="AD31"/>
    </row>
    <row r="32" spans="1:39" x14ac:dyDescent="0.25">
      <c r="AC32"/>
      <c r="AD32"/>
    </row>
    <row r="33" spans="29:30" x14ac:dyDescent="0.25">
      <c r="AC33"/>
      <c r="AD33"/>
    </row>
    <row r="34" spans="29:30" x14ac:dyDescent="0.25">
      <c r="AC34"/>
      <c r="AD34"/>
    </row>
    <row r="35" spans="29:30" x14ac:dyDescent="0.25">
      <c r="AC35"/>
      <c r="AD35"/>
    </row>
    <row r="36" spans="29:30" x14ac:dyDescent="0.25">
      <c r="AC36"/>
      <c r="AD36"/>
    </row>
    <row r="37" spans="29:30" x14ac:dyDescent="0.25">
      <c r="AC37"/>
      <c r="AD37"/>
    </row>
  </sheetData>
  <mergeCells count="156">
    <mergeCell ref="AC10:AC11"/>
    <mergeCell ref="AC12:AC13"/>
    <mergeCell ref="AI14:AI15"/>
    <mergeCell ref="AB16:AB17"/>
    <mergeCell ref="Y1:AB2"/>
    <mergeCell ref="AH1:AH2"/>
    <mergeCell ref="AI1:AI2"/>
    <mergeCell ref="Q6:Q7"/>
    <mergeCell ref="R6:R7"/>
    <mergeCell ref="U6:U7"/>
    <mergeCell ref="V6:V7"/>
    <mergeCell ref="AI10:AI11"/>
    <mergeCell ref="AI16:AI17"/>
    <mergeCell ref="AC14:AC15"/>
    <mergeCell ref="AC16:AC17"/>
    <mergeCell ref="AB10:AB11"/>
    <mergeCell ref="V18:V19"/>
    <mergeCell ref="Q14:Q15"/>
    <mergeCell ref="R14:R15"/>
    <mergeCell ref="U14:U15"/>
    <mergeCell ref="V14:V15"/>
    <mergeCell ref="Q12:Q13"/>
    <mergeCell ref="R12:R13"/>
    <mergeCell ref="U12:U13"/>
    <mergeCell ref="V12:V13"/>
    <mergeCell ref="I4:J4"/>
    <mergeCell ref="O4:P4"/>
    <mergeCell ref="L4:M4"/>
    <mergeCell ref="Q8:Q9"/>
    <mergeCell ref="Y4:AB4"/>
    <mergeCell ref="AF1:AF2"/>
    <mergeCell ref="AG1:AG2"/>
    <mergeCell ref="AC6:AC7"/>
    <mergeCell ref="AC8:AC9"/>
    <mergeCell ref="AB6:AB7"/>
    <mergeCell ref="R22:R23"/>
    <mergeCell ref="U22:U23"/>
    <mergeCell ref="V22:V23"/>
    <mergeCell ref="AB22:AB23"/>
    <mergeCell ref="L1:M2"/>
    <mergeCell ref="Q4:T4"/>
    <mergeCell ref="U4:X4"/>
    <mergeCell ref="AI8:AI9"/>
    <mergeCell ref="R8:R9"/>
    <mergeCell ref="U8:U9"/>
    <mergeCell ref="V8:V9"/>
    <mergeCell ref="AB8:AB9"/>
    <mergeCell ref="AI18:AI19"/>
    <mergeCell ref="AI6:AI7"/>
    <mergeCell ref="AI12:AI13"/>
    <mergeCell ref="AB14:AB15"/>
    <mergeCell ref="AB12:AB13"/>
    <mergeCell ref="Q18:Q19"/>
    <mergeCell ref="Q10:Q11"/>
    <mergeCell ref="R10:R11"/>
    <mergeCell ref="U10:U11"/>
    <mergeCell ref="V10:V11"/>
    <mergeCell ref="R18:R19"/>
    <mergeCell ref="U18:U19"/>
    <mergeCell ref="AJ8:AJ9"/>
    <mergeCell ref="AK8:AK9"/>
    <mergeCell ref="AJ10:AJ11"/>
    <mergeCell ref="AK10:AK11"/>
    <mergeCell ref="AJ12:AJ13"/>
    <mergeCell ref="AK12:AK13"/>
    <mergeCell ref="AJ1:AK2"/>
    <mergeCell ref="AL1:AL2"/>
    <mergeCell ref="AJ4:AK4"/>
    <mergeCell ref="AJ6:AJ7"/>
    <mergeCell ref="AK6:AK7"/>
    <mergeCell ref="AK20:AK21"/>
    <mergeCell ref="AJ22:AJ23"/>
    <mergeCell ref="AK22:AK23"/>
    <mergeCell ref="AJ24:AJ25"/>
    <mergeCell ref="AK24:AK25"/>
    <mergeCell ref="AJ14:AJ15"/>
    <mergeCell ref="AK14:AK15"/>
    <mergeCell ref="AK16:AK17"/>
    <mergeCell ref="AJ18:AJ19"/>
    <mergeCell ref="AK18:AK19"/>
    <mergeCell ref="AJ16:AJ17"/>
    <mergeCell ref="AJ20:AJ21"/>
    <mergeCell ref="AC18:AC19"/>
    <mergeCell ref="AC20:AC21"/>
    <mergeCell ref="AC22:AC23"/>
    <mergeCell ref="AC24:AC25"/>
    <mergeCell ref="AB18:AB19"/>
    <mergeCell ref="Q16:Q17"/>
    <mergeCell ref="R16:R17"/>
    <mergeCell ref="U16:U17"/>
    <mergeCell ref="V16:V17"/>
    <mergeCell ref="AI24:AI25"/>
    <mergeCell ref="Q24:Q25"/>
    <mergeCell ref="R24:R25"/>
    <mergeCell ref="U24:U25"/>
    <mergeCell ref="V24:V25"/>
    <mergeCell ref="AB24:AB25"/>
    <mergeCell ref="AI20:AI21"/>
    <mergeCell ref="Q20:Q21"/>
    <mergeCell ref="R20:R21"/>
    <mergeCell ref="U20:U21"/>
    <mergeCell ref="V20:V21"/>
    <mergeCell ref="AB20:AB21"/>
    <mergeCell ref="AI22:AI23"/>
    <mergeCell ref="Q22:Q23"/>
    <mergeCell ref="B4:D4"/>
    <mergeCell ref="C10:C11"/>
    <mergeCell ref="C12:C13"/>
    <mergeCell ref="C14:C15"/>
    <mergeCell ref="C16:C17"/>
    <mergeCell ref="C18:C19"/>
    <mergeCell ref="C20:C21"/>
    <mergeCell ref="C22:C23"/>
    <mergeCell ref="C24:C25"/>
    <mergeCell ref="C6:C7"/>
    <mergeCell ref="C8:C9"/>
    <mergeCell ref="B6:B7"/>
    <mergeCell ref="B8:B9"/>
    <mergeCell ref="A10:A11"/>
    <mergeCell ref="A12:A13"/>
    <mergeCell ref="A14:A15"/>
    <mergeCell ref="A16:A17"/>
    <mergeCell ref="A18:A19"/>
    <mergeCell ref="A20:A21"/>
    <mergeCell ref="A22:A23"/>
    <mergeCell ref="A24:A25"/>
    <mergeCell ref="F6:F7"/>
    <mergeCell ref="F16:F17"/>
    <mergeCell ref="B10:B11"/>
    <mergeCell ref="B12:B13"/>
    <mergeCell ref="B14:B15"/>
    <mergeCell ref="B16:B17"/>
    <mergeCell ref="B18:B19"/>
    <mergeCell ref="B20:B21"/>
    <mergeCell ref="B22:B23"/>
    <mergeCell ref="B24:B25"/>
    <mergeCell ref="A6:A7"/>
    <mergeCell ref="A8:A9"/>
    <mergeCell ref="G6:G7"/>
    <mergeCell ref="F8:F9"/>
    <mergeCell ref="G8:G9"/>
    <mergeCell ref="F10:F11"/>
    <mergeCell ref="G10:G11"/>
    <mergeCell ref="F12:F13"/>
    <mergeCell ref="G12:G13"/>
    <mergeCell ref="F14:F15"/>
    <mergeCell ref="G14:G15"/>
    <mergeCell ref="G16:G17"/>
    <mergeCell ref="F18:F19"/>
    <mergeCell ref="G18:G19"/>
    <mergeCell ref="F20:F21"/>
    <mergeCell ref="G20:G21"/>
    <mergeCell ref="F22:F23"/>
    <mergeCell ref="G22:G23"/>
    <mergeCell ref="F24:F25"/>
    <mergeCell ref="G24:G25"/>
  </mergeCells>
  <phoneticPr fontId="2" type="noConversion"/>
  <conditionalFormatting sqref="O12:O13">
    <cfRule type="top10" dxfId="225" priority="118" rank="1"/>
  </conditionalFormatting>
  <conditionalFormatting sqref="P12:P13">
    <cfRule type="top10" dxfId="224" priority="119" bottom="1" rank="1"/>
  </conditionalFormatting>
  <conditionalFormatting sqref="O6:O7">
    <cfRule type="top10" dxfId="223" priority="116" rank="1"/>
  </conditionalFormatting>
  <conditionalFormatting sqref="P6:P7">
    <cfRule type="top10" dxfId="222" priority="117" bottom="1" rank="1"/>
  </conditionalFormatting>
  <conditionalFormatting sqref="O10:O11">
    <cfRule type="top10" dxfId="221" priority="110" rank="1"/>
  </conditionalFormatting>
  <conditionalFormatting sqref="P10:P11">
    <cfRule type="top10" dxfId="220" priority="111" bottom="1" rank="1"/>
  </conditionalFormatting>
  <conditionalFormatting sqref="O16:O17">
    <cfRule type="top10" dxfId="219" priority="112" rank="1"/>
  </conditionalFormatting>
  <conditionalFormatting sqref="P16:P17">
    <cfRule type="top10" dxfId="218" priority="113" bottom="1" rank="1"/>
  </conditionalFormatting>
  <conditionalFormatting sqref="O18:O19">
    <cfRule type="top10" dxfId="217" priority="114" rank="1"/>
  </conditionalFormatting>
  <conditionalFormatting sqref="P18:P19">
    <cfRule type="top10" dxfId="216" priority="115" bottom="1" rank="1"/>
  </conditionalFormatting>
  <conditionalFormatting sqref="O8:O9">
    <cfRule type="top10" dxfId="215" priority="108" rank="1"/>
  </conditionalFormatting>
  <conditionalFormatting sqref="P8:P9">
    <cfRule type="top10" dxfId="214" priority="109" bottom="1" rank="1"/>
  </conditionalFormatting>
  <conditionalFormatting sqref="S7 W7 S9 S11 S13 S15 S17 S19 S21 S23 S25 W9 W11 W13 W15 W17 W19 W21 W23 W25">
    <cfRule type="cellIs" dxfId="213" priority="74" operator="equal">
      <formula>TRUE</formula>
    </cfRule>
  </conditionalFormatting>
  <conditionalFormatting sqref="T7 X7 T9 T11 T13 T15 T17 T19 T21 T23 T25 X9 X11 X13 X15 X17 X19 X21 X23 X25">
    <cfRule type="cellIs" dxfId="212" priority="73" operator="equal">
      <formula>TRUE</formula>
    </cfRule>
  </conditionalFormatting>
  <conditionalFormatting sqref="Q6:R26 U6:V26">
    <cfRule type="cellIs" dxfId="211" priority="49" operator="greaterThan">
      <formula>0</formula>
    </cfRule>
  </conditionalFormatting>
  <conditionalFormatting sqref="O14:O15">
    <cfRule type="top10" dxfId="210" priority="317" rank="1"/>
  </conditionalFormatting>
  <conditionalFormatting sqref="P14:P15">
    <cfRule type="top10" dxfId="209" priority="319" bottom="1" rank="1"/>
  </conditionalFormatting>
  <conditionalFormatting sqref="O24:O25">
    <cfRule type="top10" dxfId="208" priority="47" rank="1"/>
  </conditionalFormatting>
  <conditionalFormatting sqref="P24:P25">
    <cfRule type="top10" dxfId="207" priority="48" bottom="1" rank="1"/>
  </conditionalFormatting>
  <conditionalFormatting sqref="O20:O21">
    <cfRule type="top10" dxfId="206" priority="45" rank="1"/>
  </conditionalFormatting>
  <conditionalFormatting sqref="P20:P21">
    <cfRule type="top10" dxfId="205" priority="46" bottom="1" rank="1"/>
  </conditionalFormatting>
  <conditionalFormatting sqref="O22:O23">
    <cfRule type="top10" dxfId="204" priority="43" rank="1"/>
  </conditionalFormatting>
  <conditionalFormatting sqref="P22:P23">
    <cfRule type="top10" dxfId="203" priority="44" bottom="1" rank="1"/>
  </conditionalFormatting>
  <conditionalFormatting sqref="W6">
    <cfRule type="cellIs" dxfId="202" priority="40" operator="equal">
      <formula>TRUE</formula>
    </cfRule>
  </conditionalFormatting>
  <conditionalFormatting sqref="X6">
    <cfRule type="cellIs" dxfId="201" priority="39" operator="equal">
      <formula>TRUE</formula>
    </cfRule>
  </conditionalFormatting>
  <conditionalFormatting sqref="S6">
    <cfRule type="cellIs" dxfId="200" priority="38" operator="equal">
      <formula>TRUE</formula>
    </cfRule>
  </conditionalFormatting>
  <conditionalFormatting sqref="T6">
    <cfRule type="cellIs" dxfId="199" priority="37" operator="equal">
      <formula>TRUE</formula>
    </cfRule>
  </conditionalFormatting>
  <conditionalFormatting sqref="S8">
    <cfRule type="cellIs" dxfId="198" priority="36" operator="equal">
      <formula>TRUE</formula>
    </cfRule>
  </conditionalFormatting>
  <conditionalFormatting sqref="T8">
    <cfRule type="cellIs" dxfId="197" priority="35" operator="equal">
      <formula>TRUE</formula>
    </cfRule>
  </conditionalFormatting>
  <conditionalFormatting sqref="S10">
    <cfRule type="cellIs" dxfId="196" priority="34" operator="equal">
      <formula>TRUE</formula>
    </cfRule>
  </conditionalFormatting>
  <conditionalFormatting sqref="T10">
    <cfRule type="cellIs" dxfId="195" priority="33" operator="equal">
      <formula>TRUE</formula>
    </cfRule>
  </conditionalFormatting>
  <conditionalFormatting sqref="S12">
    <cfRule type="cellIs" dxfId="194" priority="32" operator="equal">
      <formula>TRUE</formula>
    </cfRule>
  </conditionalFormatting>
  <conditionalFormatting sqref="T12">
    <cfRule type="cellIs" dxfId="193" priority="31" operator="equal">
      <formula>TRUE</formula>
    </cfRule>
  </conditionalFormatting>
  <conditionalFormatting sqref="S14">
    <cfRule type="cellIs" dxfId="192" priority="30" operator="equal">
      <formula>TRUE</formula>
    </cfRule>
  </conditionalFormatting>
  <conditionalFormatting sqref="T14">
    <cfRule type="cellIs" dxfId="191" priority="29" operator="equal">
      <formula>TRUE</formula>
    </cfRule>
  </conditionalFormatting>
  <conditionalFormatting sqref="S16">
    <cfRule type="cellIs" dxfId="190" priority="28" operator="equal">
      <formula>TRUE</formula>
    </cfRule>
  </conditionalFormatting>
  <conditionalFormatting sqref="T16">
    <cfRule type="cellIs" dxfId="189" priority="27" operator="equal">
      <formula>TRUE</formula>
    </cfRule>
  </conditionalFormatting>
  <conditionalFormatting sqref="S18">
    <cfRule type="cellIs" dxfId="188" priority="26" operator="equal">
      <formula>TRUE</formula>
    </cfRule>
  </conditionalFormatting>
  <conditionalFormatting sqref="T18">
    <cfRule type="cellIs" dxfId="187" priority="25" operator="equal">
      <formula>TRUE</formula>
    </cfRule>
  </conditionalFormatting>
  <conditionalFormatting sqref="S20">
    <cfRule type="cellIs" dxfId="186" priority="24" operator="equal">
      <formula>TRUE</formula>
    </cfRule>
  </conditionalFormatting>
  <conditionalFormatting sqref="T20">
    <cfRule type="cellIs" dxfId="185" priority="23" operator="equal">
      <formula>TRUE</formula>
    </cfRule>
  </conditionalFormatting>
  <conditionalFormatting sqref="S22">
    <cfRule type="cellIs" dxfId="184" priority="22" operator="equal">
      <formula>TRUE</formula>
    </cfRule>
  </conditionalFormatting>
  <conditionalFormatting sqref="T22">
    <cfRule type="cellIs" dxfId="183" priority="21" operator="equal">
      <formula>TRUE</formula>
    </cfRule>
  </conditionalFormatting>
  <conditionalFormatting sqref="S24">
    <cfRule type="cellIs" dxfId="182" priority="20" operator="equal">
      <formula>TRUE</formula>
    </cfRule>
  </conditionalFormatting>
  <conditionalFormatting sqref="T24">
    <cfRule type="cellIs" dxfId="181" priority="19" operator="equal">
      <formula>TRUE</formula>
    </cfRule>
  </conditionalFormatting>
  <conditionalFormatting sqref="W8">
    <cfRule type="cellIs" dxfId="180" priority="18" operator="equal">
      <formula>TRUE</formula>
    </cfRule>
  </conditionalFormatting>
  <conditionalFormatting sqref="X8">
    <cfRule type="cellIs" dxfId="179" priority="17" operator="equal">
      <formula>TRUE</formula>
    </cfRule>
  </conditionalFormatting>
  <conditionalFormatting sqref="W10">
    <cfRule type="cellIs" dxfId="178" priority="16" operator="equal">
      <formula>TRUE</formula>
    </cfRule>
  </conditionalFormatting>
  <conditionalFormatting sqref="X10">
    <cfRule type="cellIs" dxfId="177" priority="15" operator="equal">
      <formula>TRUE</formula>
    </cfRule>
  </conditionalFormatting>
  <conditionalFormatting sqref="W12">
    <cfRule type="cellIs" dxfId="176" priority="14" operator="equal">
      <formula>TRUE</formula>
    </cfRule>
  </conditionalFormatting>
  <conditionalFormatting sqref="X12">
    <cfRule type="cellIs" dxfId="175" priority="13" operator="equal">
      <formula>TRUE</formula>
    </cfRule>
  </conditionalFormatting>
  <conditionalFormatting sqref="W14">
    <cfRule type="cellIs" dxfId="174" priority="12" operator="equal">
      <formula>TRUE</formula>
    </cfRule>
  </conditionalFormatting>
  <conditionalFormatting sqref="X14">
    <cfRule type="cellIs" dxfId="173" priority="11" operator="equal">
      <formula>TRUE</formula>
    </cfRule>
  </conditionalFormatting>
  <conditionalFormatting sqref="W16">
    <cfRule type="cellIs" dxfId="172" priority="10" operator="equal">
      <formula>TRUE</formula>
    </cfRule>
  </conditionalFormatting>
  <conditionalFormatting sqref="X16">
    <cfRule type="cellIs" dxfId="171" priority="9" operator="equal">
      <formula>TRUE</formula>
    </cfRule>
  </conditionalFormatting>
  <conditionalFormatting sqref="W18">
    <cfRule type="cellIs" dxfId="170" priority="8" operator="equal">
      <formula>TRUE</formula>
    </cfRule>
  </conditionalFormatting>
  <conditionalFormatting sqref="X18">
    <cfRule type="cellIs" dxfId="169" priority="7" operator="equal">
      <formula>TRUE</formula>
    </cfRule>
  </conditionalFormatting>
  <conditionalFormatting sqref="W20">
    <cfRule type="cellIs" dxfId="168" priority="6" operator="equal">
      <formula>TRUE</formula>
    </cfRule>
  </conditionalFormatting>
  <conditionalFormatting sqref="X20">
    <cfRule type="cellIs" dxfId="167" priority="5" operator="equal">
      <formula>TRUE</formula>
    </cfRule>
  </conditionalFormatting>
  <conditionalFormatting sqref="W22">
    <cfRule type="cellIs" dxfId="166" priority="4" operator="equal">
      <formula>TRUE</formula>
    </cfRule>
  </conditionalFormatting>
  <conditionalFormatting sqref="X22">
    <cfRule type="cellIs" dxfId="165" priority="3" operator="equal">
      <formula>TRUE</formula>
    </cfRule>
  </conditionalFormatting>
  <conditionalFormatting sqref="W24">
    <cfRule type="cellIs" dxfId="164" priority="2" operator="equal">
      <formula>TRUE</formula>
    </cfRule>
  </conditionalFormatting>
  <conditionalFormatting sqref="X24">
    <cfRule type="cellIs" dxfId="163" priority="1" operator="equal">
      <formula>TRUE</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05C2E-4AC9-48EC-9E57-BEB85703E80C}">
  <sheetPr codeName="Sheet8">
    <tabColor theme="6" tint="0.79998168889431442"/>
  </sheetPr>
  <dimension ref="A1:AQ51"/>
  <sheetViews>
    <sheetView topLeftCell="G1" zoomScale="85" zoomScaleNormal="85" workbookViewId="0">
      <selection activeCell="T37" sqref="T37"/>
    </sheetView>
  </sheetViews>
  <sheetFormatPr defaultRowHeight="15" x14ac:dyDescent="0.25"/>
  <cols>
    <col min="1" max="2" width="10.28515625" customWidth="1"/>
    <col min="3" max="3" width="10" customWidth="1"/>
    <col min="4" max="4" width="7.7109375" bestFit="1" customWidth="1"/>
    <col min="5" max="5" width="14.5703125" bestFit="1" customWidth="1"/>
    <col min="6" max="6" width="7.5703125" customWidth="1"/>
    <col min="7" max="7" width="7.85546875" bestFit="1" customWidth="1"/>
    <col min="8" max="9" width="12.5703125" bestFit="1" customWidth="1"/>
    <col min="10" max="10" width="8.85546875" bestFit="1" customWidth="1"/>
    <col min="11" max="12" width="13.7109375" bestFit="1" customWidth="1"/>
    <col min="13" max="13" width="11.5703125" bestFit="1" customWidth="1"/>
    <col min="14" max="15" width="13.7109375" bestFit="1" customWidth="1"/>
    <col min="16" max="16" width="12.28515625" bestFit="1" customWidth="1"/>
    <col min="17" max="17" width="8.85546875" bestFit="1" customWidth="1"/>
    <col min="18" max="18" width="12.28515625" bestFit="1" customWidth="1"/>
    <col min="19" max="19" width="8.85546875" customWidth="1"/>
    <col min="20" max="20" width="12.28515625" bestFit="1" customWidth="1"/>
    <col min="21" max="21" width="9.5703125" bestFit="1" customWidth="1"/>
    <col min="22" max="22" width="9.7109375" bestFit="1" customWidth="1"/>
    <col min="23" max="23" width="8.85546875" customWidth="1"/>
    <col min="24" max="24" width="8.28515625" customWidth="1"/>
    <col min="25" max="25" width="11.5703125" customWidth="1"/>
    <col min="26" max="26" width="6" bestFit="1" customWidth="1"/>
    <col min="27" max="27" width="9.5703125" bestFit="1" customWidth="1"/>
    <col min="28" max="28" width="9.5703125" style="373" customWidth="1"/>
    <col min="29" max="29" width="7.85546875" bestFit="1" customWidth="1"/>
    <col min="30" max="31" width="12.5703125" bestFit="1" customWidth="1"/>
    <col min="32" max="32" width="12.28515625" bestFit="1" customWidth="1"/>
    <col min="33" max="33" width="11" customWidth="1"/>
    <col min="34" max="34" width="11.42578125" customWidth="1"/>
    <col min="35" max="35" width="6.85546875" style="10" bestFit="1" customWidth="1"/>
    <col min="36" max="36" width="9" style="10" customWidth="1"/>
    <col min="37" max="37" width="11.7109375" style="10" customWidth="1"/>
    <col min="38" max="69" width="11.7109375" customWidth="1"/>
  </cols>
  <sheetData>
    <row r="1" spans="1:43" x14ac:dyDescent="0.25">
      <c r="A1" s="136"/>
      <c r="B1" s="136"/>
      <c r="C1" s="136"/>
      <c r="D1" s="136"/>
      <c r="E1" s="136"/>
      <c r="F1" s="136"/>
      <c r="G1" s="136"/>
      <c r="H1" s="215"/>
      <c r="I1" s="136"/>
      <c r="J1" s="136"/>
      <c r="K1" s="510">
        <v>5.4999999999999997E-3</v>
      </c>
      <c r="L1" s="510"/>
      <c r="M1" s="136"/>
      <c r="N1" s="157"/>
      <c r="O1" s="136"/>
      <c r="T1" s="229"/>
      <c r="U1" s="229"/>
      <c r="X1" s="495" t="str">
        <f>'MKT DATA'!J2</f>
        <v>2026-10-23_16-00-28</v>
      </c>
      <c r="Y1" s="495"/>
      <c r="Z1" s="495"/>
      <c r="AA1" s="495"/>
      <c r="AB1" s="382"/>
      <c r="AC1" s="158"/>
      <c r="AE1" s="518">
        <f ca="1">'INITIAL INPUTS'!H11</f>
        <v>1152.46693100006</v>
      </c>
      <c r="AF1" s="479" t="s">
        <v>175</v>
      </c>
      <c r="AG1" s="481">
        <f ca="1">SUM(AG6:AG35)</f>
        <v>0</v>
      </c>
      <c r="AH1" s="483">
        <f ca="1">SUM(AH6:AH35)</f>
        <v>0</v>
      </c>
      <c r="AI1" s="466">
        <f>SUM(AJ6:AJ35)</f>
        <v>0</v>
      </c>
      <c r="AJ1" s="552"/>
      <c r="AK1" s="464">
        <f ca="1">'INITIAL INPUTS'!I11</f>
        <v>3847.1845091987584</v>
      </c>
    </row>
    <row r="2" spans="1:43" ht="15.75" thickBot="1" x14ac:dyDescent="0.3">
      <c r="K2" s="511"/>
      <c r="L2" s="511"/>
      <c r="T2" s="230"/>
      <c r="U2" s="230"/>
      <c r="X2" s="496"/>
      <c r="Y2" s="496"/>
      <c r="Z2" s="496"/>
      <c r="AA2" s="496"/>
      <c r="AB2" s="383"/>
      <c r="AE2" s="519"/>
      <c r="AF2" s="480"/>
      <c r="AG2" s="482"/>
      <c r="AH2" s="484"/>
      <c r="AI2" s="468"/>
      <c r="AJ2" s="553"/>
      <c r="AK2" s="465"/>
    </row>
    <row r="3" spans="1:43" s="74" customFormat="1" ht="15.75" thickBot="1" x14ac:dyDescent="0.3">
      <c r="A3" s="423" t="s">
        <v>415</v>
      </c>
      <c r="B3" s="399"/>
      <c r="C3" s="398"/>
      <c r="D3" s="70"/>
      <c r="E3" s="399">
        <v>2</v>
      </c>
      <c r="F3" s="399">
        <v>5</v>
      </c>
      <c r="G3" s="399"/>
      <c r="H3" s="411">
        <v>5</v>
      </c>
      <c r="I3" s="412">
        <v>6</v>
      </c>
      <c r="J3" s="413">
        <v>10</v>
      </c>
      <c r="K3" s="414"/>
      <c r="L3" s="415"/>
      <c r="M3" s="416">
        <v>9</v>
      </c>
      <c r="N3" s="417"/>
      <c r="O3" s="412"/>
      <c r="P3" s="411"/>
      <c r="Q3" s="417"/>
      <c r="R3" s="417">
        <v>20</v>
      </c>
      <c r="S3" s="418">
        <v>21</v>
      </c>
      <c r="T3" s="411"/>
      <c r="U3" s="417"/>
      <c r="V3" s="417">
        <v>24</v>
      </c>
      <c r="W3" s="412">
        <v>25</v>
      </c>
      <c r="X3" s="419">
        <v>9</v>
      </c>
      <c r="Y3" s="419"/>
      <c r="Z3" s="419"/>
      <c r="AA3" s="420"/>
      <c r="AB3" s="70"/>
      <c r="AC3" s="399"/>
      <c r="AD3" s="411">
        <v>8</v>
      </c>
      <c r="AE3" s="417"/>
      <c r="AF3" s="417"/>
      <c r="AG3" s="417"/>
      <c r="AH3" s="412"/>
      <c r="AI3" s="411"/>
      <c r="AJ3" s="412"/>
      <c r="AM3" s="421"/>
      <c r="AN3" s="422"/>
      <c r="AO3" s="422"/>
      <c r="AP3" s="422"/>
      <c r="AQ3" s="422"/>
    </row>
    <row r="4" spans="1:43" x14ac:dyDescent="0.25">
      <c r="A4" s="497" t="s">
        <v>55</v>
      </c>
      <c r="B4" s="498"/>
      <c r="C4" s="499"/>
      <c r="D4" s="247"/>
      <c r="E4" s="70"/>
      <c r="F4" s="52"/>
      <c r="G4" s="52"/>
      <c r="H4" s="502" t="s">
        <v>57</v>
      </c>
      <c r="I4" s="503"/>
      <c r="J4" s="90"/>
      <c r="K4" s="506" t="s">
        <v>179</v>
      </c>
      <c r="L4" s="507"/>
      <c r="M4" s="39"/>
      <c r="N4" s="490" t="s">
        <v>60</v>
      </c>
      <c r="O4" s="492"/>
      <c r="P4" s="489" t="s">
        <v>69</v>
      </c>
      <c r="Q4" s="490"/>
      <c r="R4" s="490" t="s">
        <v>67</v>
      </c>
      <c r="S4" s="491" t="s">
        <v>68</v>
      </c>
      <c r="T4" s="489" t="s">
        <v>70</v>
      </c>
      <c r="U4" s="490"/>
      <c r="V4" s="490" t="s">
        <v>67</v>
      </c>
      <c r="W4" s="492" t="s">
        <v>68</v>
      </c>
      <c r="X4" s="500" t="s">
        <v>61</v>
      </c>
      <c r="Y4" s="500"/>
      <c r="Z4" s="500"/>
      <c r="AA4" s="501"/>
      <c r="AB4" s="377" t="s">
        <v>331</v>
      </c>
      <c r="AC4" s="160"/>
      <c r="AD4" s="41"/>
      <c r="AE4" s="43" t="s">
        <v>174</v>
      </c>
      <c r="AF4" s="43" t="s">
        <v>177</v>
      </c>
      <c r="AG4" s="43"/>
      <c r="AH4" s="42" t="s">
        <v>231</v>
      </c>
      <c r="AI4" s="472" t="s">
        <v>333</v>
      </c>
      <c r="AJ4" s="473"/>
    </row>
    <row r="5" spans="1:43" ht="15.75" thickBot="1" x14ac:dyDescent="0.3">
      <c r="A5" s="31" t="s">
        <v>169</v>
      </c>
      <c r="B5" s="349" t="s">
        <v>353</v>
      </c>
      <c r="C5" s="32" t="s">
        <v>56</v>
      </c>
      <c r="D5" s="355" t="s">
        <v>65</v>
      </c>
      <c r="E5" s="71" t="s">
        <v>105</v>
      </c>
      <c r="F5" s="69" t="s">
        <v>76</v>
      </c>
      <c r="G5" s="53" t="s">
        <v>50</v>
      </c>
      <c r="H5" s="54" t="s">
        <v>58</v>
      </c>
      <c r="I5" s="55" t="s">
        <v>59</v>
      </c>
      <c r="J5" s="91" t="s">
        <v>129</v>
      </c>
      <c r="K5" s="188" t="s">
        <v>58</v>
      </c>
      <c r="L5" s="189" t="s">
        <v>59</v>
      </c>
      <c r="M5" s="56" t="s">
        <v>51</v>
      </c>
      <c r="N5" s="57" t="s">
        <v>53</v>
      </c>
      <c r="O5" s="58" t="s">
        <v>54</v>
      </c>
      <c r="P5" s="40" t="s">
        <v>66</v>
      </c>
      <c r="Q5" s="12" t="s">
        <v>24</v>
      </c>
      <c r="R5" s="251" t="s">
        <v>71</v>
      </c>
      <c r="S5" s="222" t="s">
        <v>72</v>
      </c>
      <c r="T5" s="40" t="s">
        <v>66</v>
      </c>
      <c r="U5" s="12" t="s">
        <v>24</v>
      </c>
      <c r="V5" s="251" t="s">
        <v>72</v>
      </c>
      <c r="W5" s="59" t="s">
        <v>71</v>
      </c>
      <c r="X5" s="131" t="s">
        <v>62</v>
      </c>
      <c r="Y5" s="132" t="s">
        <v>74</v>
      </c>
      <c r="Z5" s="133" t="s">
        <v>73</v>
      </c>
      <c r="AA5" s="134" t="s">
        <v>63</v>
      </c>
      <c r="AB5" s="378" t="s">
        <v>332</v>
      </c>
      <c r="AC5" s="53" t="str">
        <f t="shared" ref="AC5:AC33" si="0">G5</f>
        <v>symbol</v>
      </c>
      <c r="AD5" s="163" t="s">
        <v>170</v>
      </c>
      <c r="AE5" s="164" t="s">
        <v>176</v>
      </c>
      <c r="AF5" s="164" t="s">
        <v>172</v>
      </c>
      <c r="AG5" s="168" t="s">
        <v>173</v>
      </c>
      <c r="AH5" s="55" t="s">
        <v>173</v>
      </c>
      <c r="AI5" s="365" t="s">
        <v>24</v>
      </c>
      <c r="AJ5" s="366" t="s">
        <v>334</v>
      </c>
    </row>
    <row r="6" spans="1:43" x14ac:dyDescent="0.25">
      <c r="A6" s="79" t="e">
        <f>MATCH(G6,SCALARS!D:D,0)</f>
        <v>#N/A</v>
      </c>
      <c r="B6" s="524">
        <f>MATCH(G6,'SCALAR INPUTS'!E:E,0)</f>
        <v>2</v>
      </c>
      <c r="C6" s="80">
        <f>MATCH(G6,'MKT DATA'!B:B,0)</f>
        <v>9</v>
      </c>
      <c r="D6" s="353"/>
      <c r="E6" s="264" t="e" cm="1">
        <f t="array" aca="1" ref="E6" ca="1">INDIRECT(ADDRESS($A6,E$3,,,"scalars"))</f>
        <v>#N/A</v>
      </c>
      <c r="F6" s="14" t="e" cm="1">
        <f t="array" aca="1" ref="F6" ca="1">INDIRECT(ADDRESS($A6,F$3,,,"scalars"))</f>
        <v>#N/A</v>
      </c>
      <c r="G6" s="194" t="s">
        <v>217</v>
      </c>
      <c r="H6" s="33" cm="1">
        <f t="array" aca="1" ref="H6" ca="1">INDIRECT(ADDRESS($C6,H$3,,,"mkt data"))</f>
        <v>45.19</v>
      </c>
      <c r="I6" s="34" cm="1">
        <f t="array" aca="1" ref="I6" ca="1">INDIRECT(ADDRESS($C6,I$3,,,"mkt data"))</f>
        <v>49.77</v>
      </c>
      <c r="J6" s="150" t="e" cm="1">
        <f t="array" aca="1" ref="J6" ca="1">INDIRECT(ADDRESS($A6,J$3,,,"SCALARS"))</f>
        <v>#N/A</v>
      </c>
      <c r="K6" s="16" t="e">
        <f t="shared" ref="K6:K35" ca="1" si="1">H6+J6-K$1</f>
        <v>#N/A</v>
      </c>
      <c r="L6" s="16" t="e">
        <f t="shared" ref="L6:L35" ca="1" si="2">I6+J6+K$1</f>
        <v>#N/A</v>
      </c>
      <c r="M6" s="44" t="e" cm="1">
        <f t="array" aca="1" ref="M6" ca="1">INDIRECT(ADDRESS($A6,M$3,,,"scalars"))</f>
        <v>#N/A</v>
      </c>
      <c r="N6" s="17" t="e">
        <f t="shared" ref="N6:N35" ca="1" si="3">K6*M6</f>
        <v>#N/A</v>
      </c>
      <c r="O6" s="17" t="e">
        <f t="shared" ref="O6:O35" ca="1" si="4">M6*L6</f>
        <v>#N/A</v>
      </c>
      <c r="P6" s="477" t="e">
        <f ca="1">N7-O6</f>
        <v>#N/A</v>
      </c>
      <c r="Q6" s="475" t="e">
        <f ca="1">LN(N7/O6)</f>
        <v>#N/A</v>
      </c>
      <c r="R6" s="252" t="e" cm="1">
        <f t="array" aca="1" ref="R6" ca="1">-INDIRECT(ADDRESS($B6,R$3,,,"threshold info"))</f>
        <v>#REF!</v>
      </c>
      <c r="S6" s="223" t="e" cm="1">
        <f t="array" aca="1" ref="S6" ca="1">-INDIRECT(ADDRESS($B6,S$3,,,"threshold info"))</f>
        <v>#REF!</v>
      </c>
      <c r="T6" s="477" t="e">
        <f ca="1">N6-O7</f>
        <v>#N/A</v>
      </c>
      <c r="U6" s="475" t="e">
        <f ca="1">LN(N6/O7)</f>
        <v>#N/A</v>
      </c>
      <c r="V6" s="252" t="e" cm="1">
        <f t="array" aca="1" ref="V6" ca="1">INDIRECT(ADDRESS($B6,V$3,,,"threshold info"))</f>
        <v>#REF!</v>
      </c>
      <c r="W6" s="60" t="e" cm="1">
        <f t="array" aca="1" ref="W6" ca="1">INDIRECT(ADDRESS($B6,W$3,,,"threshold info"))</f>
        <v>#REF!</v>
      </c>
      <c r="X6" s="27" cm="1">
        <f t="array" aca="1" ref="X6" ca="1">INDIRECT(ADDRESS($C6,X$3,,,"mkt data"))</f>
        <v>0</v>
      </c>
      <c r="Y6" s="48">
        <f t="shared" ref="Y6:Y35" ca="1" si="5">X6*AVERAGE(H6:I6)</f>
        <v>0</v>
      </c>
      <c r="Z6" s="27" t="e">
        <f t="shared" ref="Z6:Z35" ca="1" si="6">X6/M6</f>
        <v>#N/A</v>
      </c>
      <c r="AA6" s="485" t="e">
        <f ca="1">SUM(Z6:Z7)</f>
        <v>#N/A</v>
      </c>
      <c r="AB6" s="462"/>
      <c r="AC6" s="173" t="str">
        <f t="shared" ref="AC6:AC13" si="7">G6</f>
        <v>BATRK</v>
      </c>
      <c r="AD6" s="33" cm="1">
        <f t="array" aca="1" ref="AD6" ca="1">INDIRECT(ADDRESS($C6,AD$3,,,"mkt data"))</f>
        <v>49.709999000000003</v>
      </c>
      <c r="AE6" s="165">
        <f t="shared" ref="AE6:AE35" ca="1" si="8">AVERAGE(H6,I6)</f>
        <v>47.480000000000004</v>
      </c>
      <c r="AF6" s="165">
        <f t="shared" ref="AF6:AF35" ca="1" si="9">AE6-AD6</f>
        <v>-2.2299989999999994</v>
      </c>
      <c r="AG6" s="165">
        <f t="shared" ref="AG6:AG35" ca="1" si="10">AF6*X6</f>
        <v>0</v>
      </c>
      <c r="AH6" s="522">
        <f ca="1">AG6+AG7</f>
        <v>0</v>
      </c>
      <c r="AI6" s="460"/>
      <c r="AJ6" s="458"/>
    </row>
    <row r="7" spans="1:43" ht="15.75" thickBot="1" x14ac:dyDescent="0.3">
      <c r="A7" s="81" t="e">
        <f>MATCH(G7,SCALARS!D:D,0)</f>
        <v>#N/A</v>
      </c>
      <c r="B7" s="525"/>
      <c r="C7" s="82">
        <f>MATCH(G7,'MKT DATA'!B:B,0)</f>
        <v>8</v>
      </c>
      <c r="D7" s="354"/>
      <c r="E7" s="265" t="e" cm="1">
        <f t="array" aca="1" ref="E7" ca="1">INDIRECT(ADDRESS($A7,E$3,,,"scalars"))</f>
        <v>#N/A</v>
      </c>
      <c r="F7" s="20" t="e" cm="1">
        <f t="array" aca="1" ref="F7" ca="1">INDIRECT(ADDRESS($A7,F$3,,,"scalars"))</f>
        <v>#N/A</v>
      </c>
      <c r="G7" s="195" t="s">
        <v>216</v>
      </c>
      <c r="H7" s="37" cm="1">
        <f t="array" aca="1" ref="H7" ca="1">INDIRECT(ADDRESS($C7,H$3,,,"mkt data"))</f>
        <v>53.09</v>
      </c>
      <c r="I7" s="38" cm="1">
        <f t="array" aca="1" ref="I7" ca="1">INDIRECT(ADDRESS($C7,I$3,,,"mkt data"))</f>
        <v>55.65</v>
      </c>
      <c r="J7" s="151" t="e" cm="1">
        <f t="array" aca="1" ref="J7" ca="1">INDIRECT(ADDRESS($A7,J$3,,,"SCALARS"))</f>
        <v>#N/A</v>
      </c>
      <c r="K7" s="22" t="e">
        <f t="shared" ca="1" si="1"/>
        <v>#N/A</v>
      </c>
      <c r="L7" s="22" t="e">
        <f t="shared" ca="1" si="2"/>
        <v>#N/A</v>
      </c>
      <c r="M7" s="45" t="e" cm="1">
        <f t="array" aca="1" ref="M7" ca="1">INDIRECT(ADDRESS($A7,M$3,,,"scalars"))</f>
        <v>#N/A</v>
      </c>
      <c r="N7" s="23" t="e">
        <f t="shared" ca="1" si="3"/>
        <v>#N/A</v>
      </c>
      <c r="O7" s="23" t="e">
        <f t="shared" ca="1" si="4"/>
        <v>#N/A</v>
      </c>
      <c r="P7" s="478"/>
      <c r="Q7" s="476"/>
      <c r="R7" s="253" t="e">
        <f ca="1">IF(Q6&gt;R6,TRUE,FALSE)</f>
        <v>#N/A</v>
      </c>
      <c r="S7" s="224" t="e">
        <f ca="1">AND(IF(U6&gt;-S6,TRUE,FALSE),IF(X6&gt;0,TRUE,FALSE))</f>
        <v>#N/A</v>
      </c>
      <c r="T7" s="478"/>
      <c r="U7" s="476"/>
      <c r="V7" s="253" t="e">
        <f ca="1">IF(U6&gt;V6,TRUE,FALSE)</f>
        <v>#N/A</v>
      </c>
      <c r="W7" s="61" t="e">
        <f ca="1">AND(IF(Q6&gt;-W6,TRUE,FALSE),IF(X6&lt;0,TRUE,FALSE))</f>
        <v>#N/A</v>
      </c>
      <c r="X7" s="29" cm="1">
        <f t="array" aca="1" ref="X7" ca="1">INDIRECT(ADDRESS($C7,X$3,,,"mkt data"))</f>
        <v>0</v>
      </c>
      <c r="Y7" s="50">
        <f t="shared" ca="1" si="5"/>
        <v>0</v>
      </c>
      <c r="Z7" s="29" t="e">
        <f t="shared" ca="1" si="6"/>
        <v>#N/A</v>
      </c>
      <c r="AA7" s="486"/>
      <c r="AB7" s="463"/>
      <c r="AC7" s="181" t="str">
        <f t="shared" si="7"/>
        <v>BATRA</v>
      </c>
      <c r="AD7" s="37" cm="1">
        <f t="array" aca="1" ref="AD7" ca="1">INDIRECT(ADDRESS($C7,AD$3,,,"mkt data"))</f>
        <v>54.689999</v>
      </c>
      <c r="AE7" s="167">
        <f t="shared" ca="1" si="8"/>
        <v>54.370000000000005</v>
      </c>
      <c r="AF7" s="167">
        <f t="shared" ca="1" si="9"/>
        <v>-0.3199989999999957</v>
      </c>
      <c r="AG7" s="167">
        <f t="shared" ca="1" si="10"/>
        <v>0</v>
      </c>
      <c r="AH7" s="523"/>
      <c r="AI7" s="461"/>
      <c r="AJ7" s="459"/>
    </row>
    <row r="8" spans="1:43" x14ac:dyDescent="0.25">
      <c r="A8" s="79" t="e">
        <f>MATCH(G8,SCALARS!D:D,0)</f>
        <v>#N/A</v>
      </c>
      <c r="B8" s="524">
        <f>MATCH(G8,'SCALAR INPUTS'!E:E,0)</f>
        <v>3</v>
      </c>
      <c r="C8" s="80">
        <f>MATCH(G8,'MKT DATA'!B:B,0)</f>
        <v>15</v>
      </c>
      <c r="D8" s="353"/>
      <c r="E8" s="264" t="e" cm="1">
        <f t="array" aca="1" ref="E8" ca="1">INDIRECT(ADDRESS($A8,E$3,,,"scalars"))</f>
        <v>#N/A</v>
      </c>
      <c r="F8" s="14" t="e" cm="1">
        <f t="array" aca="1" ref="F8" ca="1">INDIRECT(ADDRESS($A8,F$3,,,"scalars"))</f>
        <v>#N/A</v>
      </c>
      <c r="G8" s="194" t="s">
        <v>208</v>
      </c>
      <c r="H8" s="33" cm="1">
        <f t="array" aca="1" ref="H8" ca="1">INDIRECT(ADDRESS($C8,H$3,,,"mkt data"))</f>
        <v>27.04</v>
      </c>
      <c r="I8" s="34" cm="1">
        <f t="array" aca="1" ref="I8" ca="1">INDIRECT(ADDRESS($C8,I$3,,,"mkt data"))</f>
        <v>29.69</v>
      </c>
      <c r="J8" s="150" t="e" cm="1">
        <f t="array" aca="1" ref="J8" ca="1">INDIRECT(ADDRESS($A8,J$3,,,"SCALARS"))</f>
        <v>#N/A</v>
      </c>
      <c r="K8" s="16" t="e">
        <f t="shared" ca="1" si="1"/>
        <v>#N/A</v>
      </c>
      <c r="L8" s="16" t="e">
        <f t="shared" ca="1" si="2"/>
        <v>#N/A</v>
      </c>
      <c r="M8" s="44" t="e" cm="1">
        <f t="array" aca="1" ref="M8" ca="1">INDIRECT(ADDRESS($A8,M$3,,,"scalars"))</f>
        <v>#N/A</v>
      </c>
      <c r="N8" s="17" t="e">
        <f t="shared" ca="1" si="3"/>
        <v>#N/A</v>
      </c>
      <c r="O8" s="17" t="e">
        <f t="shared" ca="1" si="4"/>
        <v>#N/A</v>
      </c>
      <c r="P8" s="477" t="e">
        <f ca="1">N9-O8</f>
        <v>#N/A</v>
      </c>
      <c r="Q8" s="475" t="e">
        <f ca="1">LN(N9/O8)</f>
        <v>#N/A</v>
      </c>
      <c r="R8" s="252" t="e" cm="1">
        <f t="array" aca="1" ref="R8" ca="1">-INDIRECT(ADDRESS($B8,R$3,,,"threshold info"))</f>
        <v>#REF!</v>
      </c>
      <c r="S8" s="223" t="e" cm="1">
        <f t="array" aca="1" ref="S8" ca="1">-INDIRECT(ADDRESS($B8,S$3,,,"threshold info"))</f>
        <v>#REF!</v>
      </c>
      <c r="T8" s="477" t="e">
        <f ca="1">N8-O9</f>
        <v>#N/A</v>
      </c>
      <c r="U8" s="475" t="e">
        <f ca="1">LN(N8/O9)</f>
        <v>#N/A</v>
      </c>
      <c r="V8" s="252">
        <v>1.4999999999999999E-2</v>
      </c>
      <c r="W8" s="60">
        <v>7.4999999999999997E-3</v>
      </c>
      <c r="X8" s="27" cm="1">
        <f t="array" aca="1" ref="X8" ca="1">INDIRECT(ADDRESS($C8,X$3,,,"mkt data"))</f>
        <v>0</v>
      </c>
      <c r="Y8" s="48">
        <f t="shared" ca="1" si="5"/>
        <v>0</v>
      </c>
      <c r="Z8" s="27" t="e">
        <f t="shared" ca="1" si="6"/>
        <v>#N/A</v>
      </c>
      <c r="AA8" s="485" t="e">
        <f ca="1">SUM(Z8:Z9)</f>
        <v>#N/A</v>
      </c>
      <c r="AB8" s="462"/>
      <c r="AC8" s="173" t="str">
        <f t="shared" si="7"/>
        <v>BF B</v>
      </c>
      <c r="AD8" s="33" cm="1">
        <f t="array" aca="1" ref="AD8" ca="1">INDIRECT(ADDRESS($C8,AD$3,,,"mkt data"))</f>
        <v>30.18</v>
      </c>
      <c r="AE8" s="165">
        <f t="shared" ca="1" si="8"/>
        <v>28.365000000000002</v>
      </c>
      <c r="AF8" s="165">
        <f t="shared" ca="1" si="9"/>
        <v>-1.8149999999999977</v>
      </c>
      <c r="AG8" s="165">
        <f t="shared" ca="1" si="10"/>
        <v>0</v>
      </c>
      <c r="AH8" s="522">
        <f ca="1">AG8+AG9</f>
        <v>0</v>
      </c>
      <c r="AI8" s="460"/>
      <c r="AJ8" s="458"/>
    </row>
    <row r="9" spans="1:43" ht="15.75" thickBot="1" x14ac:dyDescent="0.3">
      <c r="A9" s="81" t="e">
        <f>MATCH(G9,SCALARS!D:D,0)</f>
        <v>#N/A</v>
      </c>
      <c r="B9" s="525"/>
      <c r="C9" s="82">
        <f>MATCH(G9,'MKT DATA'!B:B,0)</f>
        <v>14</v>
      </c>
      <c r="D9" s="354"/>
      <c r="E9" s="265" t="e" cm="1">
        <f t="array" aca="1" ref="E9" ca="1">INDIRECT(ADDRESS($A9,E$3,,,"scalars"))</f>
        <v>#N/A</v>
      </c>
      <c r="F9" s="20" t="e" cm="1">
        <f t="array" aca="1" ref="F9" ca="1">INDIRECT(ADDRESS($A9,F$3,,,"scalars"))</f>
        <v>#N/A</v>
      </c>
      <c r="G9" s="195" t="s">
        <v>207</v>
      </c>
      <c r="H9" s="37" cm="1">
        <f t="array" aca="1" ref="H9" ca="1">INDIRECT(ADDRESS($C9,H$3,,,"mkt data"))</f>
        <v>29</v>
      </c>
      <c r="I9" s="38" cm="1">
        <f t="array" aca="1" ref="I9" ca="1">INDIRECT(ADDRESS($C9,I$3,,,"mkt data"))</f>
        <v>30.72</v>
      </c>
      <c r="J9" s="151" t="e" cm="1">
        <f t="array" aca="1" ref="J9" ca="1">INDIRECT(ADDRESS($A9,J$3,,,"SCALARS"))</f>
        <v>#N/A</v>
      </c>
      <c r="K9" s="22" t="e">
        <f t="shared" ca="1" si="1"/>
        <v>#N/A</v>
      </c>
      <c r="L9" s="22" t="e">
        <f t="shared" ca="1" si="2"/>
        <v>#N/A</v>
      </c>
      <c r="M9" s="45" t="e" cm="1">
        <f t="array" aca="1" ref="M9" ca="1">INDIRECT(ADDRESS($A9,M$3,,,"scalars"))</f>
        <v>#N/A</v>
      </c>
      <c r="N9" s="23" t="e">
        <f t="shared" ca="1" si="3"/>
        <v>#N/A</v>
      </c>
      <c r="O9" s="23" t="e">
        <f t="shared" ca="1" si="4"/>
        <v>#N/A</v>
      </c>
      <c r="P9" s="478"/>
      <c r="Q9" s="476"/>
      <c r="R9" s="253" t="e">
        <f ca="1">IF(Q8&gt;R8,TRUE,FALSE)</f>
        <v>#N/A</v>
      </c>
      <c r="S9" s="224" t="e">
        <f ca="1">AND(IF(U8&gt;-S8,TRUE,FALSE),IF(X8&gt;0,TRUE,FALSE))</f>
        <v>#N/A</v>
      </c>
      <c r="T9" s="478"/>
      <c r="U9" s="476"/>
      <c r="V9" s="253" t="e">
        <f ca="1">IF(U8&gt;V8,TRUE,FALSE)</f>
        <v>#N/A</v>
      </c>
      <c r="W9" s="61" t="e">
        <f ca="1">AND(IF(Q8&gt;-W8,TRUE,FALSE),IF(X8&lt;0,TRUE,FALSE))</f>
        <v>#N/A</v>
      </c>
      <c r="X9" s="29" cm="1">
        <f t="array" aca="1" ref="X9" ca="1">INDIRECT(ADDRESS($C9,X$3,,,"mkt data"))</f>
        <v>0</v>
      </c>
      <c r="Y9" s="50">
        <f t="shared" ca="1" si="5"/>
        <v>0</v>
      </c>
      <c r="Z9" s="29" t="e">
        <f t="shared" ca="1" si="6"/>
        <v>#N/A</v>
      </c>
      <c r="AA9" s="486"/>
      <c r="AB9" s="463"/>
      <c r="AC9" s="181" t="str">
        <f t="shared" si="7"/>
        <v>BF A</v>
      </c>
      <c r="AD9" s="37" cm="1">
        <f t="array" aca="1" ref="AD9" ca="1">INDIRECT(ADDRESS($C9,AD$3,,,"mkt data"))</f>
        <v>30.91</v>
      </c>
      <c r="AE9" s="167">
        <f t="shared" ca="1" si="8"/>
        <v>29.86</v>
      </c>
      <c r="AF9" s="167">
        <f t="shared" ca="1" si="9"/>
        <v>-1.0500000000000007</v>
      </c>
      <c r="AG9" s="167">
        <f t="shared" ca="1" si="10"/>
        <v>0</v>
      </c>
      <c r="AH9" s="523"/>
      <c r="AI9" s="461"/>
      <c r="AJ9" s="459"/>
    </row>
    <row r="10" spans="1:43" x14ac:dyDescent="0.25">
      <c r="A10" s="79" t="e">
        <f>MATCH(G10,SCALARS!D:D,0)</f>
        <v>#N/A</v>
      </c>
      <c r="B10" s="524">
        <f>MATCH(G10,'SCALAR INPUTS'!E:E,0)</f>
        <v>5</v>
      </c>
      <c r="C10" s="80">
        <f>MATCH(G10,'MKT DATA'!B:B,0)</f>
        <v>12</v>
      </c>
      <c r="D10" s="353"/>
      <c r="E10" s="264" t="e" cm="1">
        <f t="array" aca="1" ref="E10" ca="1">INDIRECT(ADDRESS($A10,E$3,,,"scalars"))</f>
        <v>#N/A</v>
      </c>
      <c r="F10" s="14" t="e" cm="1">
        <f t="array" aca="1" ref="F10" ca="1">INDIRECT(ADDRESS($A10,F$3,,,"scalars"))</f>
        <v>#N/A</v>
      </c>
      <c r="G10" s="194" t="s">
        <v>157</v>
      </c>
      <c r="H10" s="33" cm="1">
        <f t="array" aca="1" ref="H10" ca="1">INDIRECT(ADDRESS($C10,H$3,,,"mkt data"))</f>
        <v>541.61</v>
      </c>
      <c r="I10" s="34" cm="1">
        <f t="array" aca="1" ref="I10" ca="1">INDIRECT(ADDRESS($C10,I$3,,,"mkt data"))</f>
        <v>546</v>
      </c>
      <c r="J10" s="150" t="e" cm="1">
        <f t="array" aca="1" ref="J10" ca="1">INDIRECT(ADDRESS($A10,J$3,,,"SCALARS"))</f>
        <v>#N/A</v>
      </c>
      <c r="K10" s="16" t="e">
        <f t="shared" ca="1" si="1"/>
        <v>#N/A</v>
      </c>
      <c r="L10" s="16" t="e">
        <f t="shared" ca="1" si="2"/>
        <v>#N/A</v>
      </c>
      <c r="M10" s="44" t="e" cm="1">
        <f t="array" aca="1" ref="M10" ca="1">INDIRECT(ADDRESS($A10,M$3,,,"scalars"))</f>
        <v>#N/A</v>
      </c>
      <c r="N10" s="17" t="e">
        <f t="shared" ca="1" si="3"/>
        <v>#N/A</v>
      </c>
      <c r="O10" s="17" t="e">
        <f t="shared" ca="1" si="4"/>
        <v>#N/A</v>
      </c>
      <c r="P10" s="477" t="e">
        <f ca="1">N11-O10</f>
        <v>#N/A</v>
      </c>
      <c r="Q10" s="475" t="e">
        <f ca="1">LN(N11/O10)</f>
        <v>#N/A</v>
      </c>
      <c r="R10" s="252" t="e" cm="1">
        <f t="array" aca="1" ref="R10" ca="1">-INDIRECT(ADDRESS($B10,R$3,,,"threshold info"))</f>
        <v>#REF!</v>
      </c>
      <c r="S10" s="223" t="e" cm="1">
        <f t="array" aca="1" ref="S10" ca="1">-INDIRECT(ADDRESS($B10,S$3,,,"threshold info"))</f>
        <v>#REF!</v>
      </c>
      <c r="T10" s="477" t="e">
        <f ca="1">N10-O11</f>
        <v>#N/A</v>
      </c>
      <c r="U10" s="475" t="e">
        <f ca="1">LN(N10/O11)</f>
        <v>#N/A</v>
      </c>
      <c r="V10" s="252">
        <v>4.0000000000000001E-3</v>
      </c>
      <c r="W10" s="60">
        <v>1E-3</v>
      </c>
      <c r="X10" s="27" cm="1">
        <f t="array" aca="1" ref="X10" ca="1">INDIRECT(ADDRESS($C10,X$3,,,"mkt data"))</f>
        <v>0</v>
      </c>
      <c r="Y10" s="48">
        <f t="shared" ca="1" si="5"/>
        <v>0</v>
      </c>
      <c r="Z10" s="27" t="e">
        <f t="shared" ca="1" si="6"/>
        <v>#N/A</v>
      </c>
      <c r="AA10" s="485" t="e">
        <f ca="1">SUM(Z10:Z11)</f>
        <v>#N/A</v>
      </c>
      <c r="AB10" s="474"/>
      <c r="AC10" s="173" t="str">
        <f t="shared" si="7"/>
        <v>BRK B</v>
      </c>
      <c r="AD10" s="33" cm="1">
        <f t="array" aca="1" ref="AD10" ca="1">INDIRECT(ADDRESS($C10,AD$3,,,"mkt data"))</f>
        <v>546.96997099999999</v>
      </c>
      <c r="AE10" s="165">
        <f t="shared" ca="1" si="8"/>
        <v>543.80500000000006</v>
      </c>
      <c r="AF10" s="165">
        <f t="shared" ca="1" si="9"/>
        <v>-3.1649709999999232</v>
      </c>
      <c r="AG10" s="165">
        <f t="shared" ca="1" si="10"/>
        <v>0</v>
      </c>
      <c r="AH10" s="522">
        <f ca="1">AG10+AG11</f>
        <v>0</v>
      </c>
      <c r="AI10" s="460"/>
      <c r="AJ10" s="458"/>
    </row>
    <row r="11" spans="1:43" ht="15.75" thickBot="1" x14ac:dyDescent="0.3">
      <c r="A11" s="81" t="e">
        <f>MATCH(G11,SCALARS!D:D,0)</f>
        <v>#N/A</v>
      </c>
      <c r="B11" s="525"/>
      <c r="C11" s="82">
        <f>MATCH(G11,'MKT DATA'!B:B,0)</f>
        <v>11</v>
      </c>
      <c r="D11" s="354"/>
      <c r="E11" s="265" t="e" cm="1">
        <f t="array" aca="1" ref="E11" ca="1">INDIRECT(ADDRESS($A11,E$3,,,"scalars"))</f>
        <v>#N/A</v>
      </c>
      <c r="F11" s="20" t="e" cm="1">
        <f t="array" aca="1" ref="F11" ca="1">INDIRECT(ADDRESS($A11,F$3,,,"scalars"))</f>
        <v>#N/A</v>
      </c>
      <c r="G11" s="195" t="s">
        <v>156</v>
      </c>
      <c r="H11" s="37" cm="1">
        <f t="array" aca="1" ref="H11" ca="1">INDIRECT(ADDRESS($C11,H$3,,,"mkt data"))</f>
        <v>809689.55</v>
      </c>
      <c r="I11" s="38" cm="1">
        <f t="array" aca="1" ref="I11" ca="1">INDIRECT(ADDRESS($C11,I$3,,,"mkt data"))</f>
        <v>821382.33</v>
      </c>
      <c r="J11" s="151" t="e" cm="1">
        <f t="array" aca="1" ref="J11" ca="1">INDIRECT(ADDRESS($A11,J$3,,,"SCALARS"))</f>
        <v>#N/A</v>
      </c>
      <c r="K11" s="22" t="e">
        <f t="shared" ca="1" si="1"/>
        <v>#N/A</v>
      </c>
      <c r="L11" s="22" t="e">
        <f t="shared" ca="1" si="2"/>
        <v>#N/A</v>
      </c>
      <c r="M11" s="45" t="e" cm="1">
        <f t="array" aca="1" ref="M11" ca="1">INDIRECT(ADDRESS($A11,M$3,,,"scalars"))</f>
        <v>#N/A</v>
      </c>
      <c r="N11" s="23" t="e">
        <f t="shared" ca="1" si="3"/>
        <v>#N/A</v>
      </c>
      <c r="O11" s="23" t="e">
        <f t="shared" ca="1" si="4"/>
        <v>#N/A</v>
      </c>
      <c r="P11" s="478"/>
      <c r="Q11" s="476"/>
      <c r="R11" s="253" t="e">
        <f ca="1">IF(Q10&gt;R10,TRUE,FALSE)</f>
        <v>#N/A</v>
      </c>
      <c r="S11" s="224" t="e">
        <f ca="1">AND(IF(U10&gt;-S10,TRUE,FALSE),IF(X10&gt;0,TRUE,FALSE))</f>
        <v>#N/A</v>
      </c>
      <c r="T11" s="478"/>
      <c r="U11" s="476"/>
      <c r="V11" s="253" t="e">
        <f ca="1">IF(U10&gt;V10,TRUE,FALSE)</f>
        <v>#N/A</v>
      </c>
      <c r="W11" s="61" t="e">
        <f ca="1">AND(IF(Q10&gt;-W10,TRUE,FALSE),IF(X10&lt;0,TRUE,FALSE))</f>
        <v>#N/A</v>
      </c>
      <c r="X11" s="29" cm="1">
        <f t="array" aca="1" ref="X11" ca="1">INDIRECT(ADDRESS($C11,X$3,,,"mkt data"))</f>
        <v>0</v>
      </c>
      <c r="Y11" s="50">
        <f t="shared" ca="1" si="5"/>
        <v>0</v>
      </c>
      <c r="Z11" s="29" t="e">
        <f t="shared" ca="1" si="6"/>
        <v>#N/A</v>
      </c>
      <c r="AA11" s="486"/>
      <c r="AB11" s="463"/>
      <c r="AC11" s="181" t="str">
        <f t="shared" si="7"/>
        <v>BRK A</v>
      </c>
      <c r="AD11" s="37" cm="1">
        <f t="array" aca="1" ref="AD11" ca="1">INDIRECT(ADDRESS($C11,AD$3,,,"mkt data"))</f>
        <v>820500</v>
      </c>
      <c r="AE11" s="167">
        <f t="shared" ca="1" si="8"/>
        <v>815535.94</v>
      </c>
      <c r="AF11" s="167">
        <f t="shared" ca="1" si="9"/>
        <v>-4964.0600000000559</v>
      </c>
      <c r="AG11" s="167">
        <f t="shared" ca="1" si="10"/>
        <v>0</v>
      </c>
      <c r="AH11" s="523"/>
      <c r="AI11" s="461"/>
      <c r="AJ11" s="459"/>
    </row>
    <row r="12" spans="1:43" x14ac:dyDescent="0.25">
      <c r="A12" s="79" t="e">
        <f>MATCH(G12,SCALARS!D:D,0)</f>
        <v>#N/A</v>
      </c>
      <c r="B12" s="524">
        <f>MATCH(G12,'SCALAR INPUTS'!E:E,0)</f>
        <v>6</v>
      </c>
      <c r="C12" s="80">
        <f>MATCH(G12,'MKT DATA'!B:B,0)</f>
        <v>60</v>
      </c>
      <c r="D12" s="353"/>
      <c r="E12" s="264" t="e" cm="1">
        <f t="array" aca="1" ref="E12" ca="1">INDIRECT(ADDRESS($A12,E$3,,,"scalars"))</f>
        <v>#N/A</v>
      </c>
      <c r="F12" s="14" t="e" cm="1">
        <f t="array" aca="1" ref="F12" ca="1">INDIRECT(ADDRESS($A12,F$3,,,"scalars"))</f>
        <v>#N/A</v>
      </c>
      <c r="G12" s="194" t="s">
        <v>141</v>
      </c>
      <c r="H12" s="33" cm="1">
        <f t="array" aca="1" ref="H12" ca="1">INDIRECT(ADDRESS($C12,H$3,,,"mkt data"))</f>
        <v>59</v>
      </c>
      <c r="I12" s="34" cm="1">
        <f t="array" aca="1" ref="I12" ca="1">INDIRECT(ADDRESS($C12,I$3,,,"mkt data"))</f>
        <v>62</v>
      </c>
      <c r="J12" s="150" t="e" cm="1">
        <f t="array" aca="1" ref="J12" ca="1">INDIRECT(ADDRESS($A12,J$3,,,"SCALARS"))</f>
        <v>#N/A</v>
      </c>
      <c r="K12" s="16" t="e">
        <f t="shared" ca="1" si="1"/>
        <v>#N/A</v>
      </c>
      <c r="L12" s="16" t="e">
        <f t="shared" ca="1" si="2"/>
        <v>#N/A</v>
      </c>
      <c r="M12" s="44" t="e" cm="1">
        <f t="array" aca="1" ref="M12" ca="1">INDIRECT(ADDRESS($A12,M$3,,,"scalars"))</f>
        <v>#N/A</v>
      </c>
      <c r="N12" s="17" t="e">
        <f t="shared" ca="1" si="3"/>
        <v>#N/A</v>
      </c>
      <c r="O12" s="17" t="e">
        <f t="shared" ca="1" si="4"/>
        <v>#N/A</v>
      </c>
      <c r="P12" s="477" t="e">
        <f ca="1">N13-O12</f>
        <v>#N/A</v>
      </c>
      <c r="Q12" s="475" t="e">
        <f ca="1">LN(N13/O12)</f>
        <v>#N/A</v>
      </c>
      <c r="R12" s="252" t="e" cm="1">
        <f t="array" aca="1" ref="R12" ca="1">-INDIRECT(ADDRESS($B12,R$3,,,"threshold info"))</f>
        <v>#REF!</v>
      </c>
      <c r="S12" s="223" t="e" cm="1">
        <f t="array" aca="1" ref="S12" ca="1">-INDIRECT(ADDRESS($B12,S$3,,,"threshold info"))</f>
        <v>#REF!</v>
      </c>
      <c r="T12" s="477" t="e">
        <f ca="1">N12-O13</f>
        <v>#N/A</v>
      </c>
      <c r="U12" s="475" t="e">
        <f ca="1">LN(N12/O13)</f>
        <v>#N/A</v>
      </c>
      <c r="V12" s="252">
        <v>0.01</v>
      </c>
      <c r="W12" s="60">
        <v>2.5000000000000001E-3</v>
      </c>
      <c r="X12" s="27" cm="1">
        <f t="array" aca="1" ref="X12" ca="1">INDIRECT(ADDRESS($C12,X$3,,,"mkt data"))</f>
        <v>0</v>
      </c>
      <c r="Y12" s="48">
        <f t="shared" ca="1" si="5"/>
        <v>0</v>
      </c>
      <c r="Z12" s="27" t="e">
        <f t="shared" ca="1" si="6"/>
        <v>#N/A</v>
      </c>
      <c r="AA12" s="485" t="e">
        <f ca="1">SUM(Z12:Z13)</f>
        <v>#N/A</v>
      </c>
      <c r="AB12" s="474"/>
      <c r="AC12" s="173" t="str">
        <f t="shared" si="7"/>
        <v>FOX</v>
      </c>
      <c r="AD12" s="33" cm="1">
        <f t="array" aca="1" ref="AD12" ca="1">INDIRECT(ADDRESS($C12,AD$3,,,"mkt data"))</f>
        <v>60.82</v>
      </c>
      <c r="AE12" s="165">
        <f t="shared" ca="1" si="8"/>
        <v>60.5</v>
      </c>
      <c r="AF12" s="165">
        <f t="shared" ca="1" si="9"/>
        <v>-0.32000000000000028</v>
      </c>
      <c r="AG12" s="165">
        <f t="shared" ca="1" si="10"/>
        <v>0</v>
      </c>
      <c r="AH12" s="522">
        <f ca="1">AG12+AG13</f>
        <v>0</v>
      </c>
      <c r="AI12" s="460"/>
      <c r="AJ12" s="458"/>
    </row>
    <row r="13" spans="1:43" ht="15.75" thickBot="1" x14ac:dyDescent="0.3">
      <c r="A13" s="81" t="e">
        <f>MATCH(G13,SCALARS!D:D,0)</f>
        <v>#N/A</v>
      </c>
      <c r="B13" s="525"/>
      <c r="C13" s="82">
        <f>MATCH(G13,'MKT DATA'!B:B,0)</f>
        <v>61</v>
      </c>
      <c r="D13" s="354"/>
      <c r="E13" s="265" t="e" cm="1">
        <f t="array" aca="1" ref="E13" ca="1">INDIRECT(ADDRESS($A13,E$3,,,"scalars"))</f>
        <v>#N/A</v>
      </c>
      <c r="F13" s="20" t="e" cm="1">
        <f t="array" aca="1" ref="F13" ca="1">INDIRECT(ADDRESS($A13,F$3,,,"scalars"))</f>
        <v>#N/A</v>
      </c>
      <c r="G13" s="195" t="s">
        <v>142</v>
      </c>
      <c r="H13" s="37" cm="1">
        <f t="array" aca="1" ref="H13" ca="1">INDIRECT(ADDRESS($C13,H$3,,,"mkt data"))</f>
        <v>66.27</v>
      </c>
      <c r="I13" s="38" cm="1">
        <f t="array" aca="1" ref="I13" ca="1">INDIRECT(ADDRESS($C13,I$3,,,"mkt data"))</f>
        <v>70</v>
      </c>
      <c r="J13" s="151" t="e" cm="1">
        <f t="array" aca="1" ref="J13" ca="1">INDIRECT(ADDRESS($A13,J$3,,,"SCALARS"))</f>
        <v>#N/A</v>
      </c>
      <c r="K13" s="22" t="e">
        <f t="shared" ca="1" si="1"/>
        <v>#N/A</v>
      </c>
      <c r="L13" s="22" t="e">
        <f t="shared" ca="1" si="2"/>
        <v>#N/A</v>
      </c>
      <c r="M13" s="45" t="e" cm="1">
        <f t="array" aca="1" ref="M13" ca="1">INDIRECT(ADDRESS($A13,M$3,,,"scalars"))</f>
        <v>#N/A</v>
      </c>
      <c r="N13" s="23" t="e">
        <f t="shared" ca="1" si="3"/>
        <v>#N/A</v>
      </c>
      <c r="O13" s="23" t="e">
        <f t="shared" ca="1" si="4"/>
        <v>#N/A</v>
      </c>
      <c r="P13" s="478"/>
      <c r="Q13" s="476"/>
      <c r="R13" s="253" t="e">
        <f ca="1">IF(Q12&gt;R12,TRUE,FALSE)</f>
        <v>#N/A</v>
      </c>
      <c r="S13" s="224" t="e">
        <f ca="1">AND(IF(U12&gt;-S12,TRUE,FALSE),IF(X12&gt;0,TRUE,FALSE))</f>
        <v>#N/A</v>
      </c>
      <c r="T13" s="478"/>
      <c r="U13" s="476"/>
      <c r="V13" s="253" t="e">
        <f ca="1">IF(U12&gt;V12,TRUE,FALSE)</f>
        <v>#N/A</v>
      </c>
      <c r="W13" s="61" t="e">
        <f ca="1">AND(IF(Q12&gt;-W12,TRUE,FALSE),IF(X12&lt;0,TRUE,FALSE))</f>
        <v>#N/A</v>
      </c>
      <c r="X13" s="29" cm="1">
        <f t="array" aca="1" ref="X13" ca="1">INDIRECT(ADDRESS($C13,X$3,,,"mkt data"))</f>
        <v>0</v>
      </c>
      <c r="Y13" s="50">
        <f t="shared" ca="1" si="5"/>
        <v>0</v>
      </c>
      <c r="Z13" s="29" t="e">
        <f t="shared" ca="1" si="6"/>
        <v>#N/A</v>
      </c>
      <c r="AA13" s="486"/>
      <c r="AB13" s="463"/>
      <c r="AC13" s="181" t="str">
        <f t="shared" si="7"/>
        <v>FOXA</v>
      </c>
      <c r="AD13" s="37" cm="1">
        <f t="array" aca="1" ref="AD13" ca="1">INDIRECT(ADDRESS($C13,AD$3,,,"mkt data"))</f>
        <v>68.269997000000004</v>
      </c>
      <c r="AE13" s="167">
        <f t="shared" ca="1" si="8"/>
        <v>68.134999999999991</v>
      </c>
      <c r="AF13" s="167">
        <f t="shared" ca="1" si="9"/>
        <v>-0.13499700000001269</v>
      </c>
      <c r="AG13" s="167">
        <f t="shared" ca="1" si="10"/>
        <v>0</v>
      </c>
      <c r="AH13" s="523"/>
      <c r="AI13" s="461"/>
      <c r="AJ13" s="459"/>
    </row>
    <row r="14" spans="1:43" x14ac:dyDescent="0.25">
      <c r="A14" s="79" t="e">
        <f>MATCH(G14,SCALARS!D:D,0)</f>
        <v>#N/A</v>
      </c>
      <c r="B14" s="524">
        <f>MATCH(G14,'SCALAR INPUTS'!E:E,0)</f>
        <v>9</v>
      </c>
      <c r="C14" s="80">
        <f>MATCH(G14,'MKT DATA'!B:B,0)</f>
        <v>62</v>
      </c>
      <c r="D14" s="353"/>
      <c r="E14" s="264" t="e" cm="1">
        <f t="array" aca="1" ref="E14" ca="1">INDIRECT(ADDRESS($A14,E$3,,,"scalars"))</f>
        <v>#N/A</v>
      </c>
      <c r="F14" s="14" t="e" cm="1">
        <f t="array" aca="1" ref="F14" ca="1">INDIRECT(ADDRESS($A14,F$3,,,"scalars"))</f>
        <v>#N/A</v>
      </c>
      <c r="G14" s="194" t="s">
        <v>139</v>
      </c>
      <c r="H14" s="33" cm="1">
        <f t="array" aca="1" ref="H14" ca="1">INDIRECT(ADDRESS($C14,H$3,,,"mkt data"))</f>
        <v>317.2</v>
      </c>
      <c r="I14" s="34" cm="1">
        <f t="array" aca="1" ref="I14" ca="1">INDIRECT(ADDRESS($C14,I$3,,,"mkt data"))</f>
        <v>317.42</v>
      </c>
      <c r="J14" s="150" t="e" cm="1">
        <f t="array" aca="1" ref="J14" ca="1">INDIRECT(ADDRESS($A14,J$3,,,"SCALARS"))</f>
        <v>#N/A</v>
      </c>
      <c r="K14" s="16" t="e">
        <f t="shared" ca="1" si="1"/>
        <v>#N/A</v>
      </c>
      <c r="L14" s="16" t="e">
        <f t="shared" ca="1" si="2"/>
        <v>#N/A</v>
      </c>
      <c r="M14" s="44" t="e" cm="1">
        <f t="array" aca="1" ref="M14" ca="1">INDIRECT(ADDRESS($A14,M$3,,,"scalars"))</f>
        <v>#N/A</v>
      </c>
      <c r="N14" s="17" t="e">
        <f t="shared" ca="1" si="3"/>
        <v>#N/A</v>
      </c>
      <c r="O14" s="17" t="e">
        <f t="shared" ca="1" si="4"/>
        <v>#N/A</v>
      </c>
      <c r="P14" s="477" t="e">
        <f ca="1">N15-O14</f>
        <v>#N/A</v>
      </c>
      <c r="Q14" s="475" t="e">
        <f ca="1">LN(N15/O14)</f>
        <v>#N/A</v>
      </c>
      <c r="R14" s="252" t="e" cm="1">
        <f t="array" aca="1" ref="R14" ca="1">-INDIRECT(ADDRESS($B14,R$3,,,"threshold info"))</f>
        <v>#REF!</v>
      </c>
      <c r="S14" s="223" t="e" cm="1">
        <f t="array" aca="1" ref="S14" ca="1">-INDIRECT(ADDRESS($B14,S$3,,,"threshold info"))</f>
        <v>#REF!</v>
      </c>
      <c r="T14" s="477" t="e">
        <f ca="1">N14-O15</f>
        <v>#N/A</v>
      </c>
      <c r="U14" s="475" t="e">
        <f ca="1">LN(N14/O15)</f>
        <v>#N/A</v>
      </c>
      <c r="V14" s="252">
        <v>5.0000000000000001E-3</v>
      </c>
      <c r="W14" s="60">
        <v>3.0000000000000001E-3</v>
      </c>
      <c r="X14" s="27" cm="1">
        <f t="array" aca="1" ref="X14" ca="1">INDIRECT(ADDRESS($C14,X$3,,,"mkt data"))</f>
        <v>0</v>
      </c>
      <c r="Y14" s="48">
        <f t="shared" ca="1" si="5"/>
        <v>0</v>
      </c>
      <c r="Z14" s="27" t="e">
        <f t="shared" ca="1" si="6"/>
        <v>#N/A</v>
      </c>
      <c r="AA14" s="485" t="e">
        <f ca="1">SUM(Z14:Z15)</f>
        <v>#N/A</v>
      </c>
      <c r="AB14" s="474"/>
      <c r="AC14" s="173" t="str">
        <f t="shared" si="0"/>
        <v>GOOG</v>
      </c>
      <c r="AD14" s="33" cm="1">
        <f t="array" aca="1" ref="AD14" ca="1">INDIRECT(ADDRESS($C14,AD$3,,,"mkt data"))</f>
        <v>320.76001000000002</v>
      </c>
      <c r="AE14" s="165">
        <f t="shared" ca="1" si="8"/>
        <v>317.31</v>
      </c>
      <c r="AF14" s="165">
        <f t="shared" ca="1" si="9"/>
        <v>-3.4500100000000202</v>
      </c>
      <c r="AG14" s="165">
        <f t="shared" ca="1" si="10"/>
        <v>0</v>
      </c>
      <c r="AH14" s="522">
        <f ca="1">AG14+AG15</f>
        <v>0</v>
      </c>
      <c r="AI14" s="460"/>
      <c r="AJ14" s="458"/>
    </row>
    <row r="15" spans="1:43" ht="15.75" thickBot="1" x14ac:dyDescent="0.3">
      <c r="A15" s="81" t="e">
        <f>MATCH(G15,SCALARS!D:D,0)</f>
        <v>#N/A</v>
      </c>
      <c r="B15" s="525"/>
      <c r="C15" s="82">
        <f>MATCH(G15,'MKT DATA'!B:B,0)</f>
        <v>63</v>
      </c>
      <c r="D15" s="354"/>
      <c r="E15" s="265" t="e" cm="1">
        <f t="array" aca="1" ref="E15" ca="1">INDIRECT(ADDRESS($A15,E$3,,,"scalars"))</f>
        <v>#N/A</v>
      </c>
      <c r="F15" s="20" t="e" cm="1">
        <f t="array" aca="1" ref="F15" ca="1">INDIRECT(ADDRESS($A15,F$3,,,"scalars"))</f>
        <v>#N/A</v>
      </c>
      <c r="G15" s="195" t="s">
        <v>140</v>
      </c>
      <c r="H15" s="37" cm="1">
        <f t="array" aca="1" ref="H15" ca="1">INDIRECT(ADDRESS($C15,H$3,,,"mkt data"))</f>
        <v>320.3</v>
      </c>
      <c r="I15" s="38" cm="1">
        <f t="array" aca="1" ref="I15" ca="1">INDIRECT(ADDRESS($C15,I$3,,,"mkt data"))</f>
        <v>320.45999999999998</v>
      </c>
      <c r="J15" s="151" t="e" cm="1">
        <f t="array" aca="1" ref="J15" ca="1">INDIRECT(ADDRESS($A15,J$3,,,"SCALARS"))</f>
        <v>#N/A</v>
      </c>
      <c r="K15" s="22" t="e">
        <f t="shared" ca="1" si="1"/>
        <v>#N/A</v>
      </c>
      <c r="L15" s="22" t="e">
        <f t="shared" ca="1" si="2"/>
        <v>#N/A</v>
      </c>
      <c r="M15" s="45" t="e" cm="1">
        <f t="array" aca="1" ref="M15" ca="1">INDIRECT(ADDRESS($A15,M$3,,,"scalars"))</f>
        <v>#N/A</v>
      </c>
      <c r="N15" s="23" t="e">
        <f t="shared" ca="1" si="3"/>
        <v>#N/A</v>
      </c>
      <c r="O15" s="23" t="e">
        <f t="shared" ca="1" si="4"/>
        <v>#N/A</v>
      </c>
      <c r="P15" s="478"/>
      <c r="Q15" s="476"/>
      <c r="R15" s="253" t="e">
        <f ca="1">IF(Q14&gt;R14,TRUE,FALSE)</f>
        <v>#N/A</v>
      </c>
      <c r="S15" s="224" t="e">
        <f ca="1">AND(IF(U14&gt;-S14,TRUE,FALSE),IF(X14&gt;0,TRUE,FALSE))</f>
        <v>#N/A</v>
      </c>
      <c r="T15" s="478"/>
      <c r="U15" s="476"/>
      <c r="V15" s="253" t="e">
        <f ca="1">IF(U14&gt;V14,TRUE,FALSE)</f>
        <v>#N/A</v>
      </c>
      <c r="W15" s="61" t="e">
        <f ca="1">AND(IF(Q14&gt;-W14,TRUE,FALSE),IF(X14&lt;0,TRUE,FALSE))</f>
        <v>#N/A</v>
      </c>
      <c r="X15" s="29" cm="1">
        <f t="array" aca="1" ref="X15" ca="1">INDIRECT(ADDRESS($C15,X$3,,,"mkt data"))</f>
        <v>0</v>
      </c>
      <c r="Y15" s="50">
        <f t="shared" ca="1" si="5"/>
        <v>0</v>
      </c>
      <c r="Z15" s="29" t="e">
        <f t="shared" ca="1" si="6"/>
        <v>#N/A</v>
      </c>
      <c r="AA15" s="486"/>
      <c r="AB15" s="463"/>
      <c r="AC15" s="181" t="str">
        <f t="shared" si="0"/>
        <v>GOOGL</v>
      </c>
      <c r="AD15" s="37" cm="1">
        <f t="array" aca="1" ref="AD15" ca="1">INDIRECT(ADDRESS($C15,AD$3,,,"mkt data"))</f>
        <v>324.22000100000002</v>
      </c>
      <c r="AE15" s="167">
        <f t="shared" ca="1" si="8"/>
        <v>320.38</v>
      </c>
      <c r="AF15" s="167">
        <f t="shared" ca="1" si="9"/>
        <v>-3.8400010000000293</v>
      </c>
      <c r="AG15" s="167">
        <f t="shared" ca="1" si="10"/>
        <v>0</v>
      </c>
      <c r="AH15" s="523"/>
      <c r="AI15" s="461"/>
      <c r="AJ15" s="459"/>
    </row>
    <row r="16" spans="1:43" x14ac:dyDescent="0.25">
      <c r="A16" s="79" t="e">
        <f>MATCH(G16,SCALARS!D:D,0)</f>
        <v>#N/A</v>
      </c>
      <c r="B16" s="524">
        <f>MATCH(G16,'SCALAR INPUTS'!E:E,0)</f>
        <v>10</v>
      </c>
      <c r="C16" s="80">
        <f>MATCH(G16,'MKT DATA'!B:B,0)</f>
        <v>69</v>
      </c>
      <c r="D16" s="353"/>
      <c r="E16" s="264" t="e" cm="1">
        <f t="array" aca="1" ref="E16" ca="1">INDIRECT(ADDRESS($A16,E$3,,,"scalars"))</f>
        <v>#N/A</v>
      </c>
      <c r="F16" s="14" t="e" cm="1">
        <f t="array" aca="1" ref="F16" ca="1">INDIRECT(ADDRESS($A16,F$3,,,"scalars"))</f>
        <v>#N/A</v>
      </c>
      <c r="G16" s="194" t="s">
        <v>154</v>
      </c>
      <c r="H16" s="33" cm="1">
        <f t="array" aca="1" ref="H16" ca="1">INDIRECT(ADDRESS($C16,H$3,,,"mkt data"))</f>
        <v>213.86</v>
      </c>
      <c r="I16" s="34" cm="1">
        <f t="array" aca="1" ref="I16" ca="1">INDIRECT(ADDRESS($C16,I$3,,,"mkt data"))</f>
        <v>238.93</v>
      </c>
      <c r="J16" s="150" t="e" cm="1">
        <f t="array" aca="1" ref="J16" ca="1">INDIRECT(ADDRESS($A16,J$3,,,"SCALARS"))</f>
        <v>#N/A</v>
      </c>
      <c r="K16" s="16" t="e">
        <f t="shared" ca="1" si="1"/>
        <v>#N/A</v>
      </c>
      <c r="L16" s="16" t="e">
        <f t="shared" ca="1" si="2"/>
        <v>#N/A</v>
      </c>
      <c r="M16" s="44" t="e" cm="1">
        <f t="array" aca="1" ref="M16" ca="1">INDIRECT(ADDRESS($A16,M$3,,,"scalars"))</f>
        <v>#N/A</v>
      </c>
      <c r="N16" s="17" t="e">
        <f t="shared" ca="1" si="3"/>
        <v>#N/A</v>
      </c>
      <c r="O16" s="17" t="e">
        <f t="shared" ca="1" si="4"/>
        <v>#N/A</v>
      </c>
      <c r="P16" s="477" t="e">
        <f ca="1">N17-O16</f>
        <v>#N/A</v>
      </c>
      <c r="Q16" s="475" t="e">
        <f ca="1">LN(N17/O16)</f>
        <v>#N/A</v>
      </c>
      <c r="R16" s="252" t="e" cm="1">
        <f t="array" aca="1" ref="R16" ca="1">-INDIRECT(ADDRESS($B16,R$3,,,"threshold info"))</f>
        <v>#REF!</v>
      </c>
      <c r="S16" s="223" t="e" cm="1">
        <f t="array" aca="1" ref="S16" ca="1">-INDIRECT(ADDRESS($B16,S$3,,,"threshold info"))</f>
        <v>#REF!</v>
      </c>
      <c r="T16" s="477" t="e">
        <f ca="1">N16-O17</f>
        <v>#N/A</v>
      </c>
      <c r="U16" s="475" t="e">
        <f ca="1">LN(N16/O17)</f>
        <v>#N/A</v>
      </c>
      <c r="V16" s="252">
        <v>1.4999999999999999E-2</v>
      </c>
      <c r="W16" s="60">
        <v>5.0000000000000001E-3</v>
      </c>
      <c r="X16" s="27" cm="1">
        <f t="array" aca="1" ref="X16" ca="1">INDIRECT(ADDRESS($C16,X$3,,,"mkt data"))</f>
        <v>0</v>
      </c>
      <c r="Y16" s="48">
        <f t="shared" ca="1" si="5"/>
        <v>0</v>
      </c>
      <c r="Z16" s="27" t="e">
        <f t="shared" ca="1" si="6"/>
        <v>#N/A</v>
      </c>
      <c r="AA16" s="485" t="e">
        <f ca="1">SUM(Z16:Z17)</f>
        <v>#N/A</v>
      </c>
      <c r="AB16" s="462"/>
      <c r="AC16" s="173" t="str">
        <f>G16</f>
        <v>HEI A</v>
      </c>
      <c r="AD16" s="33" cm="1">
        <f t="array" aca="1" ref="AD16" ca="1">INDIRECT(ADDRESS($C16,AD$3,,,"mkt data"))</f>
        <v>228.60000600000001</v>
      </c>
      <c r="AE16" s="165">
        <f t="shared" ca="1" si="8"/>
        <v>226.39500000000001</v>
      </c>
      <c r="AF16" s="165">
        <f t="shared" ca="1" si="9"/>
        <v>-2.2050059999999974</v>
      </c>
      <c r="AG16" s="165">
        <f t="shared" ca="1" si="10"/>
        <v>0</v>
      </c>
      <c r="AH16" s="522">
        <f ca="1">AG16+AG17</f>
        <v>0</v>
      </c>
      <c r="AI16" s="460"/>
      <c r="AJ16" s="458"/>
    </row>
    <row r="17" spans="1:39" ht="15.75" thickBot="1" x14ac:dyDescent="0.3">
      <c r="A17" s="81" t="e">
        <f>MATCH(G17,SCALARS!D:D,0)</f>
        <v>#N/A</v>
      </c>
      <c r="B17" s="525"/>
      <c r="C17" s="82">
        <f>MATCH(G17,'MKT DATA'!B:B,0)</f>
        <v>68</v>
      </c>
      <c r="D17" s="354"/>
      <c r="E17" s="265" t="e" cm="1">
        <f t="array" aca="1" ref="E17" ca="1">INDIRECT(ADDRESS($A17,E$3,,,"scalars"))</f>
        <v>#N/A</v>
      </c>
      <c r="F17" s="20" t="e" cm="1">
        <f t="array" aca="1" ref="F17" ca="1">INDIRECT(ADDRESS($A17,F$3,,,"scalars"))</f>
        <v>#N/A</v>
      </c>
      <c r="G17" s="195" t="s">
        <v>145</v>
      </c>
      <c r="H17" s="37" cm="1">
        <f t="array" aca="1" ref="H17" ca="1">INDIRECT(ADDRESS($C17,H$3,,,"mkt data"))</f>
        <v>285</v>
      </c>
      <c r="I17" s="38" cm="1">
        <f t="array" aca="1" ref="I17" ca="1">INDIRECT(ADDRESS($C17,I$3,,,"mkt data"))</f>
        <v>299.25</v>
      </c>
      <c r="J17" s="151" t="e" cm="1">
        <f t="array" aca="1" ref="J17" ca="1">INDIRECT(ADDRESS($A17,J$3,,,"SCALARS"))</f>
        <v>#N/A</v>
      </c>
      <c r="K17" s="22" t="e">
        <f t="shared" ca="1" si="1"/>
        <v>#N/A</v>
      </c>
      <c r="L17" s="22" t="e">
        <f t="shared" ca="1" si="2"/>
        <v>#N/A</v>
      </c>
      <c r="M17" s="45" t="e" cm="1">
        <f t="array" aca="1" ref="M17" ca="1">INDIRECT(ADDRESS($A17,M$3,,,"scalars"))</f>
        <v>#N/A</v>
      </c>
      <c r="N17" s="23" t="e">
        <f t="shared" ca="1" si="3"/>
        <v>#N/A</v>
      </c>
      <c r="O17" s="23" t="e">
        <f t="shared" ca="1" si="4"/>
        <v>#N/A</v>
      </c>
      <c r="P17" s="478"/>
      <c r="Q17" s="476"/>
      <c r="R17" s="253" t="e">
        <f ca="1">IF(Q16&gt;R16,TRUE,FALSE)</f>
        <v>#N/A</v>
      </c>
      <c r="S17" s="224" t="e">
        <f ca="1">AND(IF(U16&gt;-S16,TRUE,FALSE),IF(X16&gt;0,TRUE,FALSE))</f>
        <v>#N/A</v>
      </c>
      <c r="T17" s="478"/>
      <c r="U17" s="476"/>
      <c r="V17" s="253" t="e">
        <f ca="1">IF(U16&gt;V16,TRUE,FALSE)</f>
        <v>#N/A</v>
      </c>
      <c r="W17" s="61" t="e">
        <f ca="1">AND(IF(Q16&gt;-W16,TRUE,FALSE),IF(X16&lt;0,TRUE,FALSE))</f>
        <v>#N/A</v>
      </c>
      <c r="X17" s="29" cm="1">
        <f t="array" aca="1" ref="X17" ca="1">INDIRECT(ADDRESS($C17,X$3,,,"mkt data"))</f>
        <v>0</v>
      </c>
      <c r="Y17" s="50">
        <f t="shared" ca="1" si="5"/>
        <v>0</v>
      </c>
      <c r="Z17" s="29" t="e">
        <f t="shared" ca="1" si="6"/>
        <v>#N/A</v>
      </c>
      <c r="AA17" s="486"/>
      <c r="AB17" s="463"/>
      <c r="AC17" s="181" t="str">
        <f>G17</f>
        <v>HEI</v>
      </c>
      <c r="AD17" s="37" cm="1">
        <f t="array" aca="1" ref="AD17" ca="1">INDIRECT(ADDRESS($C17,AD$3,,,"mkt data"))</f>
        <v>300.01998900000001</v>
      </c>
      <c r="AE17" s="167">
        <f t="shared" ca="1" si="8"/>
        <v>292.125</v>
      </c>
      <c r="AF17" s="167">
        <f t="shared" ca="1" si="9"/>
        <v>-7.8949890000000096</v>
      </c>
      <c r="AG17" s="167">
        <f t="shared" ca="1" si="10"/>
        <v>0</v>
      </c>
      <c r="AH17" s="523"/>
      <c r="AI17" s="461"/>
      <c r="AJ17" s="459"/>
    </row>
    <row r="18" spans="1:39" x14ac:dyDescent="0.25">
      <c r="A18" s="79" t="e">
        <f>MATCH(G18,SCALARS!D:D,0)</f>
        <v>#N/A</v>
      </c>
      <c r="B18" s="524">
        <f>MATCH(G18,'SCALAR INPUTS'!E:E,0)</f>
        <v>14</v>
      </c>
      <c r="C18" s="80">
        <f>MATCH(G18,'MKT DATA'!B:B,0)</f>
        <v>101</v>
      </c>
      <c r="D18" s="353"/>
      <c r="E18" s="264" t="e" cm="1">
        <f t="array" aca="1" ref="E18" ca="1">INDIRECT(ADDRESS($A18,E$3,,,"scalars"))</f>
        <v>#N/A</v>
      </c>
      <c r="F18" s="14" t="e" cm="1">
        <f t="array" aca="1" ref="F18" ca="1">INDIRECT(ADDRESS($A18,F$3,,,"scalars"))</f>
        <v>#N/A</v>
      </c>
      <c r="G18" s="194" t="s">
        <v>214</v>
      </c>
      <c r="H18" s="33" cm="1">
        <f t="array" aca="1" ref="H18" ca="1">INDIRECT(ADDRESS($C18,H$3,,,"mkt data"))</f>
        <v>81.98</v>
      </c>
      <c r="I18" s="34" cm="1">
        <f t="array" aca="1" ref="I18" ca="1">INDIRECT(ADDRESS($C18,I$3,,,"mkt data"))</f>
        <v>85</v>
      </c>
      <c r="J18" s="150" t="e" cm="1">
        <f t="array" aca="1" ref="J18" ca="1">INDIRECT(ADDRESS($A18,J$3,,,"SCALARS"))</f>
        <v>#N/A</v>
      </c>
      <c r="K18" s="16" t="e">
        <f t="shared" ref="K18:K27" ca="1" si="11">H18+J18-K$1</f>
        <v>#N/A</v>
      </c>
      <c r="L18" s="16" t="e">
        <f t="shared" ref="L18:L27" ca="1" si="12">I18+J18+K$1</f>
        <v>#N/A</v>
      </c>
      <c r="M18" s="44" t="e" cm="1">
        <f t="array" aca="1" ref="M18" ca="1">INDIRECT(ADDRESS($A18,M$3,,,"scalars"))</f>
        <v>#N/A</v>
      </c>
      <c r="N18" s="17" t="e">
        <f ca="1">K18*M18</f>
        <v>#N/A</v>
      </c>
      <c r="O18" s="17" t="e">
        <f ca="1">M18*L18</f>
        <v>#N/A</v>
      </c>
      <c r="P18" s="477" t="e">
        <f ca="1">N19-O18</f>
        <v>#N/A</v>
      </c>
      <c r="Q18" s="475" t="e">
        <f ca="1">LN(N19/O18)</f>
        <v>#N/A</v>
      </c>
      <c r="R18" s="252" t="e" cm="1">
        <f t="array" aca="1" ref="R18" ca="1">-INDIRECT(ADDRESS($B18,R$3,,,"threshold info"))</f>
        <v>#REF!</v>
      </c>
      <c r="S18" s="223" t="e" cm="1">
        <f t="array" aca="1" ref="S18" ca="1">-INDIRECT(ADDRESS($B18,S$3,,,"threshold info"))</f>
        <v>#REF!</v>
      </c>
      <c r="T18" s="477" t="e">
        <f ca="1">N18-O19</f>
        <v>#N/A</v>
      </c>
      <c r="U18" s="475" t="e">
        <f ca="1">LN(N18/O19)</f>
        <v>#N/A</v>
      </c>
      <c r="V18" s="252">
        <v>4.0000000000000001E-3</v>
      </c>
      <c r="W18" s="60">
        <v>2E-3</v>
      </c>
      <c r="X18" s="27" cm="1">
        <f t="array" aca="1" ref="X18" ca="1">INDIRECT(ADDRESS($C18,X$3,,,"mkt data"))</f>
        <v>0</v>
      </c>
      <c r="Y18" s="48">
        <f ca="1">X18*AVERAGE(H18:I18)</f>
        <v>0</v>
      </c>
      <c r="Z18" s="27" t="e">
        <f ca="1">X18/M18</f>
        <v>#N/A</v>
      </c>
      <c r="AA18" s="485" t="e">
        <f ca="1">SUM(Z18:Z19)</f>
        <v>#N/A</v>
      </c>
      <c r="AB18" s="462"/>
      <c r="AC18" s="173" t="str">
        <f>G18</f>
        <v>LEN B</v>
      </c>
      <c r="AD18" s="33" cm="1">
        <f t="array" aca="1" ref="AD18" ca="1">INDIRECT(ADDRESS($C18,AD$3,,,"mkt data"))</f>
        <v>84.129997000000003</v>
      </c>
      <c r="AE18" s="165">
        <f ca="1">AVERAGE(H18,I18)</f>
        <v>83.490000000000009</v>
      </c>
      <c r="AF18" s="165">
        <f ca="1">AE18-AD18</f>
        <v>-0.63999699999999393</v>
      </c>
      <c r="AG18" s="165">
        <f t="shared" ca="1" si="10"/>
        <v>0</v>
      </c>
      <c r="AH18" s="522">
        <f ca="1">AG18+AG19</f>
        <v>0</v>
      </c>
      <c r="AI18" s="460"/>
      <c r="AJ18" s="458"/>
    </row>
    <row r="19" spans="1:39" ht="15.75" thickBot="1" x14ac:dyDescent="0.3">
      <c r="A19" s="81" t="e">
        <f>MATCH(G19,SCALARS!D:D,0)</f>
        <v>#N/A</v>
      </c>
      <c r="B19" s="525"/>
      <c r="C19" s="82">
        <f>MATCH(G19,'MKT DATA'!B:B,0)</f>
        <v>100</v>
      </c>
      <c r="D19" s="354"/>
      <c r="E19" s="265" t="e" cm="1">
        <f t="array" aca="1" ref="E19" ca="1">INDIRECT(ADDRESS($A19,E$3,,,"scalars"))</f>
        <v>#N/A</v>
      </c>
      <c r="F19" s="20" t="e" cm="1">
        <f t="array" aca="1" ref="F19" ca="1">INDIRECT(ADDRESS($A19,F$3,,,"scalars"))</f>
        <v>#N/A</v>
      </c>
      <c r="G19" s="195" t="s">
        <v>213</v>
      </c>
      <c r="H19" s="37" cm="1">
        <f t="array" aca="1" ref="H19" ca="1">INDIRECT(ADDRESS($C19,H$3,,,"mkt data"))</f>
        <v>84.5</v>
      </c>
      <c r="I19" s="38" cm="1">
        <f t="array" aca="1" ref="I19" ca="1">INDIRECT(ADDRESS($C19,I$3,,,"mkt data"))</f>
        <v>85.22</v>
      </c>
      <c r="J19" s="151" t="e" cm="1">
        <f t="array" aca="1" ref="J19" ca="1">INDIRECT(ADDRESS($A19,J$3,,,"SCALARS"))</f>
        <v>#N/A</v>
      </c>
      <c r="K19" s="22" t="e">
        <f t="shared" ca="1" si="11"/>
        <v>#N/A</v>
      </c>
      <c r="L19" s="22" t="e">
        <f t="shared" ca="1" si="12"/>
        <v>#N/A</v>
      </c>
      <c r="M19" s="45" t="e" cm="1">
        <f t="array" aca="1" ref="M19" ca="1">INDIRECT(ADDRESS($A19,M$3,,,"scalars"))</f>
        <v>#N/A</v>
      </c>
      <c r="N19" s="23" t="e">
        <f ca="1">K19*M19</f>
        <v>#N/A</v>
      </c>
      <c r="O19" s="23" t="e">
        <f ca="1">M19*L19</f>
        <v>#N/A</v>
      </c>
      <c r="P19" s="478"/>
      <c r="Q19" s="476"/>
      <c r="R19" s="253" t="e">
        <f ca="1">IF(Q18&gt;R18,TRUE,FALSE)</f>
        <v>#N/A</v>
      </c>
      <c r="S19" s="224" t="e">
        <f ca="1">AND(IF(U18&gt;-S18,TRUE,FALSE),IF(X18&gt;0,TRUE,FALSE))</f>
        <v>#N/A</v>
      </c>
      <c r="T19" s="478"/>
      <c r="U19" s="476"/>
      <c r="V19" s="253" t="e">
        <f ca="1">IF(U18&gt;V18,TRUE,FALSE)</f>
        <v>#N/A</v>
      </c>
      <c r="W19" s="61" t="e">
        <f ca="1">AND(IF(Q18&gt;-W18,TRUE,FALSE),IF(X18&lt;0,TRUE,FALSE))</f>
        <v>#N/A</v>
      </c>
      <c r="X19" s="29" cm="1">
        <f t="array" aca="1" ref="X19" ca="1">INDIRECT(ADDRESS($C19,X$3,,,"mkt data"))</f>
        <v>0</v>
      </c>
      <c r="Y19" s="50">
        <f ca="1">X19*AVERAGE(H19:I19)</f>
        <v>0</v>
      </c>
      <c r="Z19" s="29" t="e">
        <f ca="1">X19/M19</f>
        <v>#N/A</v>
      </c>
      <c r="AA19" s="486"/>
      <c r="AB19" s="463"/>
      <c r="AC19" s="181" t="str">
        <f>G19</f>
        <v>LEN</v>
      </c>
      <c r="AD19" s="37" cm="1">
        <f t="array" aca="1" ref="AD19" ca="1">INDIRECT(ADDRESS($C19,AD$3,,,"mkt data"))</f>
        <v>84.449996999999996</v>
      </c>
      <c r="AE19" s="167">
        <f ca="1">AVERAGE(H19,I19)</f>
        <v>84.86</v>
      </c>
      <c r="AF19" s="167">
        <f ca="1">AE19-AD19</f>
        <v>0.41000300000000323</v>
      </c>
      <c r="AG19" s="167">
        <f t="shared" ca="1" si="10"/>
        <v>0</v>
      </c>
      <c r="AH19" s="523"/>
      <c r="AI19" s="461"/>
      <c r="AJ19" s="459"/>
    </row>
    <row r="20" spans="1:39" x14ac:dyDescent="0.25">
      <c r="A20" s="79" t="e">
        <f>MATCH(G20,SCALARS!D:D,0)</f>
        <v>#N/A</v>
      </c>
      <c r="B20" s="524">
        <f>MATCH(G20,'SCALAR INPUTS'!E:E,0)</f>
        <v>7</v>
      </c>
      <c r="C20" s="80">
        <f>MATCH(G20,'MKT DATA'!B:B,0)</f>
        <v>102</v>
      </c>
      <c r="D20" s="353"/>
      <c r="E20" s="264" t="e" cm="1">
        <f t="array" aca="1" ref="E20" ca="1">INDIRECT(ADDRESS($A20,E$3,,,"scalars"))</f>
        <v>#N/A</v>
      </c>
      <c r="F20" s="14" t="e" cm="1">
        <f t="array" aca="1" ref="F20" ca="1">INDIRECT(ADDRESS($A20,F$3,,,"scalars"))</f>
        <v>#N/A</v>
      </c>
      <c r="G20" s="194" t="s">
        <v>295</v>
      </c>
      <c r="H20" s="33" cm="1">
        <f t="array" aca="1" ref="H20" ca="1">INDIRECT(ADDRESS($C20,H$3,,,"mkt data"))</f>
        <v>81.23</v>
      </c>
      <c r="I20" s="34" cm="1">
        <f t="array" aca="1" ref="I20" ca="1">INDIRECT(ADDRESS($C20,I$3,,,"mkt data"))</f>
        <v>83.66</v>
      </c>
      <c r="J20" s="150" t="e" cm="1">
        <f t="array" aca="1" ref="J20" ca="1">INDIRECT(ADDRESS($A20,J$3,,,"SCALARS"))</f>
        <v>#N/A</v>
      </c>
      <c r="K20" s="16" t="e">
        <f t="shared" ca="1" si="11"/>
        <v>#N/A</v>
      </c>
      <c r="L20" s="16" t="e">
        <f t="shared" ca="1" si="12"/>
        <v>#N/A</v>
      </c>
      <c r="M20" s="44" t="e" cm="1">
        <f t="array" aca="1" ref="M20" ca="1">INDIRECT(ADDRESS($A20,M$3,,,"scalars"))</f>
        <v>#N/A</v>
      </c>
      <c r="N20" s="17" t="e">
        <f t="shared" ref="N20:N23" ca="1" si="13">K20*M20</f>
        <v>#N/A</v>
      </c>
      <c r="O20" s="17" t="e">
        <f t="shared" ref="O20:O23" ca="1" si="14">M20*L20</f>
        <v>#N/A</v>
      </c>
      <c r="P20" s="477" t="e">
        <f ca="1">N21-O20</f>
        <v>#N/A</v>
      </c>
      <c r="Q20" s="475" t="e">
        <f ca="1">LN(N21/O20)</f>
        <v>#N/A</v>
      </c>
      <c r="R20" s="252" t="e" cm="1">
        <f t="array" aca="1" ref="R20" ca="1">-INDIRECT(ADDRESS($B20,R$3,,,"threshold info"))</f>
        <v>#REF!</v>
      </c>
      <c r="S20" s="223" t="e" cm="1">
        <f t="array" aca="1" ref="S20" ca="1">-INDIRECT(ADDRESS($B20,S$3,,,"threshold info"))</f>
        <v>#REF!</v>
      </c>
      <c r="T20" s="477" t="e">
        <f ca="1">N20-O21</f>
        <v>#N/A</v>
      </c>
      <c r="U20" s="475" t="e">
        <f ca="1">LN(N20/O21)</f>
        <v>#N/A</v>
      </c>
      <c r="V20" s="252">
        <v>6.0000000000000001E-3</v>
      </c>
      <c r="W20" s="60">
        <v>3.0000000000000001E-3</v>
      </c>
      <c r="X20" s="27" cm="1">
        <f t="array" aca="1" ref="X20" ca="1">INDIRECT(ADDRESS($C20,X$3,,,"mkt data"))</f>
        <v>0</v>
      </c>
      <c r="Y20" s="48">
        <f t="shared" ref="Y20:Y23" ca="1" si="15">X20*AVERAGE(H20:I20)</f>
        <v>0</v>
      </c>
      <c r="Z20" s="27" t="e">
        <f t="shared" ref="Z20:Z23" ca="1" si="16">X20/M20</f>
        <v>#N/A</v>
      </c>
      <c r="AA20" s="485" t="e">
        <f ca="1">SUM(Z20:Z21)</f>
        <v>#N/A</v>
      </c>
      <c r="AB20" s="474"/>
      <c r="AC20" s="173" t="str">
        <f t="shared" ref="AC20:AC23" si="17">G20</f>
        <v>FWONA</v>
      </c>
      <c r="AD20" s="33" cm="1">
        <f t="array" aca="1" ref="AD20" ca="1">INDIRECT(ADDRESS($C20,AD$3,,,"mkt data"))</f>
        <v>83.75</v>
      </c>
      <c r="AE20" s="165">
        <f t="shared" ref="AE20:AE23" ca="1" si="18">AVERAGE(H20,I20)</f>
        <v>82.444999999999993</v>
      </c>
      <c r="AF20" s="165">
        <f t="shared" ref="AF20:AF23" ca="1" si="19">AE20-AD20</f>
        <v>-1.3050000000000068</v>
      </c>
      <c r="AG20" s="165">
        <f t="shared" ca="1" si="10"/>
        <v>0</v>
      </c>
      <c r="AH20" s="522">
        <f ca="1">AG20+AG21</f>
        <v>0</v>
      </c>
      <c r="AI20" s="460"/>
      <c r="AJ20" s="458"/>
    </row>
    <row r="21" spans="1:39" ht="15.75" thickBot="1" x14ac:dyDescent="0.3">
      <c r="A21" s="81" t="e">
        <f>MATCH(G21,SCALARS!D:D,0)</f>
        <v>#N/A</v>
      </c>
      <c r="B21" s="525"/>
      <c r="C21" s="82">
        <f>MATCH(G21,'MKT DATA'!B:B,0)</f>
        <v>103</v>
      </c>
      <c r="D21" s="354"/>
      <c r="E21" s="265" t="e" cm="1">
        <f t="array" aca="1" ref="E21" ca="1">INDIRECT(ADDRESS($A21,E$3,,,"scalars"))</f>
        <v>#N/A</v>
      </c>
      <c r="F21" s="20" t="e" cm="1">
        <f t="array" aca="1" ref="F21" ca="1">INDIRECT(ADDRESS($A21,F$3,,,"scalars"))</f>
        <v>#N/A</v>
      </c>
      <c r="G21" s="195" t="s">
        <v>296</v>
      </c>
      <c r="H21" s="37" cm="1">
        <f t="array" aca="1" ref="H21" ca="1">INDIRECT(ADDRESS($C21,H$3,,,"mkt data"))</f>
        <v>88.88</v>
      </c>
      <c r="I21" s="38" cm="1">
        <f t="array" aca="1" ref="I21" ca="1">INDIRECT(ADDRESS($C21,I$3,,,"mkt data"))</f>
        <v>90.6</v>
      </c>
      <c r="J21" s="151" t="e" cm="1">
        <f t="array" aca="1" ref="J21" ca="1">INDIRECT(ADDRESS($A21,J$3,,,"SCALARS"))</f>
        <v>#N/A</v>
      </c>
      <c r="K21" s="22" t="e">
        <f t="shared" ca="1" si="11"/>
        <v>#N/A</v>
      </c>
      <c r="L21" s="22" t="e">
        <f t="shared" ca="1" si="12"/>
        <v>#N/A</v>
      </c>
      <c r="M21" s="45" t="e" cm="1">
        <f t="array" aca="1" ref="M21" ca="1">INDIRECT(ADDRESS($A21,M$3,,,"scalars"))</f>
        <v>#N/A</v>
      </c>
      <c r="N21" s="23" t="e">
        <f t="shared" ca="1" si="13"/>
        <v>#N/A</v>
      </c>
      <c r="O21" s="23" t="e">
        <f t="shared" ca="1" si="14"/>
        <v>#N/A</v>
      </c>
      <c r="P21" s="478"/>
      <c r="Q21" s="476"/>
      <c r="R21" s="253" t="e">
        <f ca="1">IF(Q20&gt;R20,TRUE,FALSE)</f>
        <v>#N/A</v>
      </c>
      <c r="S21" s="224" t="e">
        <f ca="1">AND(IF(U20&gt;-S20,TRUE,FALSE),IF(X20&gt;0,TRUE,FALSE))</f>
        <v>#N/A</v>
      </c>
      <c r="T21" s="478"/>
      <c r="U21" s="476"/>
      <c r="V21" s="253" t="e">
        <f ca="1">IF(U20&gt;V20,TRUE,FALSE)</f>
        <v>#N/A</v>
      </c>
      <c r="W21" s="61" t="e">
        <f ca="1">AND(IF(Q20&gt;-W20,TRUE,FALSE),IF(X20&lt;0,TRUE,FALSE))</f>
        <v>#N/A</v>
      </c>
      <c r="X21" s="29" cm="1">
        <f t="array" aca="1" ref="X21" ca="1">INDIRECT(ADDRESS($C21,X$3,,,"mkt data"))</f>
        <v>0</v>
      </c>
      <c r="Y21" s="50">
        <f t="shared" ca="1" si="15"/>
        <v>0</v>
      </c>
      <c r="Z21" s="29" t="e">
        <f t="shared" ca="1" si="16"/>
        <v>#N/A</v>
      </c>
      <c r="AA21" s="486"/>
      <c r="AB21" s="463"/>
      <c r="AC21" s="181" t="str">
        <f t="shared" si="17"/>
        <v>FWONK</v>
      </c>
      <c r="AD21" s="37" cm="1">
        <f t="array" aca="1" ref="AD21" ca="1">INDIRECT(ADDRESS($C21,AD$3,,,"mkt data"))</f>
        <v>91.150002000000001</v>
      </c>
      <c r="AE21" s="167">
        <f t="shared" ca="1" si="18"/>
        <v>89.74</v>
      </c>
      <c r="AF21" s="167">
        <f t="shared" ca="1" si="19"/>
        <v>-1.4100020000000058</v>
      </c>
      <c r="AG21" s="167">
        <f t="shared" ca="1" si="10"/>
        <v>0</v>
      </c>
      <c r="AH21" s="523"/>
      <c r="AI21" s="461"/>
      <c r="AJ21" s="459"/>
    </row>
    <row r="22" spans="1:39" x14ac:dyDescent="0.25">
      <c r="A22" s="79" t="e">
        <f>MATCH(G22,SCALARS!D:D,0)</f>
        <v>#N/A</v>
      </c>
      <c r="B22" s="524">
        <f>MATCH(G22,'SCALAR INPUTS'!E:E,0)</f>
        <v>8</v>
      </c>
      <c r="C22" s="80">
        <f>MATCH(G22,'MKT DATA'!B:B,0)</f>
        <v>105</v>
      </c>
      <c r="D22" s="353"/>
      <c r="E22" s="264" t="e" cm="1">
        <f t="array" aca="1" ref="E22" ca="1">INDIRECT(ADDRESS($A22,E$3,,,"scalars"))</f>
        <v>#N/A</v>
      </c>
      <c r="F22" s="14" t="e" cm="1">
        <f t="array" aca="1" ref="F22" ca="1">INDIRECT(ADDRESS($A22,F$3,,,"scalars"))</f>
        <v>#N/A</v>
      </c>
      <c r="G22" s="194" t="s">
        <v>297</v>
      </c>
      <c r="H22" s="33" cm="1">
        <f t="array" aca="1" ref="H22" ca="1">INDIRECT(ADDRESS($C22,H$3,,,"mkt data"))</f>
        <v>20.55</v>
      </c>
      <c r="I22" s="34" cm="1">
        <f t="array" aca="1" ref="I22" ca="1">INDIRECT(ADDRESS($C22,I$3,,,"mkt data"))</f>
        <v>22.26</v>
      </c>
      <c r="J22" s="150" t="e" cm="1">
        <f t="array" aca="1" ref="J22" ca="1">INDIRECT(ADDRESS($A22,J$3,,,"SCALARS"))</f>
        <v>#N/A</v>
      </c>
      <c r="K22" s="16" t="e">
        <f t="shared" ca="1" si="11"/>
        <v>#N/A</v>
      </c>
      <c r="L22" s="16" t="e">
        <f t="shared" ca="1" si="12"/>
        <v>#N/A</v>
      </c>
      <c r="M22" s="44" t="e" cm="1">
        <f t="array" aca="1" ref="M22" ca="1">INDIRECT(ADDRESS($A22,M$3,,,"scalars"))</f>
        <v>#N/A</v>
      </c>
      <c r="N22" s="17" t="e">
        <f t="shared" ca="1" si="13"/>
        <v>#N/A</v>
      </c>
      <c r="O22" s="17" t="e">
        <f t="shared" ca="1" si="14"/>
        <v>#N/A</v>
      </c>
      <c r="P22" s="477" t="e">
        <f ca="1">N23-O22</f>
        <v>#N/A</v>
      </c>
      <c r="Q22" s="475" t="e">
        <f ca="1">LN(N23/O22)</f>
        <v>#N/A</v>
      </c>
      <c r="R22" s="252" t="e" cm="1">
        <f t="array" aca="1" ref="R22" ca="1">-INDIRECT(ADDRESS($B22,R$3,,,"threshold info"))</f>
        <v>#REF!</v>
      </c>
      <c r="S22" s="223" t="e" cm="1">
        <f t="array" aca="1" ref="S22" ca="1">-INDIRECT(ADDRESS($B22,S$3,,,"threshold info"))</f>
        <v>#REF!</v>
      </c>
      <c r="T22" s="477" t="e">
        <f ca="1">N22-O23</f>
        <v>#N/A</v>
      </c>
      <c r="U22" s="475" t="e">
        <f ca="1">LN(N22/O23)</f>
        <v>#N/A</v>
      </c>
      <c r="V22" s="252">
        <v>0.01</v>
      </c>
      <c r="W22" s="60">
        <v>5.0000000000000001E-3</v>
      </c>
      <c r="X22" s="27" cm="1">
        <f t="array" aca="1" ref="X22" ca="1">INDIRECT(ADDRESS($C22,X$3,,,"mkt data"))</f>
        <v>0</v>
      </c>
      <c r="Y22" s="48">
        <f t="shared" ca="1" si="15"/>
        <v>0</v>
      </c>
      <c r="Z22" s="27" t="e">
        <f t="shared" ca="1" si="16"/>
        <v>#N/A</v>
      </c>
      <c r="AA22" s="485" t="e">
        <f ca="1">SUM(Z22:Z23)</f>
        <v>#N/A</v>
      </c>
      <c r="AB22" s="462"/>
      <c r="AC22" s="173" t="str">
        <f t="shared" si="17"/>
        <v>GLIBK</v>
      </c>
      <c r="AD22" s="33" cm="1">
        <f t="array" aca="1" ref="AD22" ca="1">INDIRECT(ADDRESS($C22,AD$3,,,"mkt data"))</f>
        <v>21.48</v>
      </c>
      <c r="AE22" s="165">
        <f t="shared" ca="1" si="18"/>
        <v>21.405000000000001</v>
      </c>
      <c r="AF22" s="165">
        <f t="shared" ca="1" si="19"/>
        <v>-7.4999999999999289E-2</v>
      </c>
      <c r="AG22" s="165">
        <f t="shared" ca="1" si="10"/>
        <v>0</v>
      </c>
      <c r="AH22" s="522">
        <f ca="1">AG22+AG23</f>
        <v>0</v>
      </c>
      <c r="AI22" s="460"/>
      <c r="AJ22" s="458"/>
    </row>
    <row r="23" spans="1:39" ht="15.75" thickBot="1" x14ac:dyDescent="0.3">
      <c r="A23" s="81" t="e">
        <f>MATCH(G23,SCALARS!D:D,0)</f>
        <v>#N/A</v>
      </c>
      <c r="B23" s="525"/>
      <c r="C23" s="82">
        <f>MATCH(G23,'MKT DATA'!B:B,0)</f>
        <v>104</v>
      </c>
      <c r="D23" s="354"/>
      <c r="E23" s="265" t="e" cm="1">
        <f t="array" aca="1" ref="E23" ca="1">INDIRECT(ADDRESS($A23,E$3,,,"scalars"))</f>
        <v>#N/A</v>
      </c>
      <c r="F23" s="20" t="e" cm="1">
        <f t="array" aca="1" ref="F23" ca="1">INDIRECT(ADDRESS($A23,F$3,,,"scalars"))</f>
        <v>#N/A</v>
      </c>
      <c r="G23" s="195" t="s">
        <v>298</v>
      </c>
      <c r="H23" s="37" cm="1">
        <f t="array" aca="1" ref="H23" ca="1">INDIRECT(ADDRESS($C23,H$3,,,"mkt data"))</f>
        <v>21.26</v>
      </c>
      <c r="I23" s="38" cm="1">
        <f t="array" aca="1" ref="I23" ca="1">INDIRECT(ADDRESS($C23,I$3,,,"mkt data"))</f>
        <v>22.62</v>
      </c>
      <c r="J23" s="151" t="e" cm="1">
        <f t="array" aca="1" ref="J23" ca="1">INDIRECT(ADDRESS($A23,J$3,,,"SCALARS"))</f>
        <v>#N/A</v>
      </c>
      <c r="K23" s="22" t="e">
        <f t="shared" ca="1" si="11"/>
        <v>#N/A</v>
      </c>
      <c r="L23" s="22" t="e">
        <f t="shared" ca="1" si="12"/>
        <v>#N/A</v>
      </c>
      <c r="M23" s="45" t="e" cm="1">
        <f t="array" aca="1" ref="M23" ca="1">INDIRECT(ADDRESS($A23,M$3,,,"scalars"))</f>
        <v>#N/A</v>
      </c>
      <c r="N23" s="23" t="e">
        <f t="shared" ca="1" si="13"/>
        <v>#N/A</v>
      </c>
      <c r="O23" s="23" t="e">
        <f t="shared" ca="1" si="14"/>
        <v>#N/A</v>
      </c>
      <c r="P23" s="478"/>
      <c r="Q23" s="476"/>
      <c r="R23" s="253" t="e">
        <f ca="1">IF(Q22&gt;R22,TRUE,FALSE)</f>
        <v>#N/A</v>
      </c>
      <c r="S23" s="224" t="e">
        <f ca="1">AND(IF(U22&gt;-S22,TRUE,FALSE),IF(X22&gt;0,TRUE,FALSE))</f>
        <v>#N/A</v>
      </c>
      <c r="T23" s="478"/>
      <c r="U23" s="476"/>
      <c r="V23" s="253" t="e">
        <f ca="1">IF(U22&gt;V22,TRUE,FALSE)</f>
        <v>#N/A</v>
      </c>
      <c r="W23" s="61" t="e">
        <f ca="1">AND(IF(Q22&gt;-W22,TRUE,FALSE),IF(X22&lt;0,TRUE,FALSE))</f>
        <v>#N/A</v>
      </c>
      <c r="X23" s="29" cm="1">
        <f t="array" aca="1" ref="X23" ca="1">INDIRECT(ADDRESS($C23,X$3,,,"mkt data"))</f>
        <v>0</v>
      </c>
      <c r="Y23" s="50">
        <f t="shared" ca="1" si="15"/>
        <v>0</v>
      </c>
      <c r="Z23" s="29" t="e">
        <f t="shared" ca="1" si="16"/>
        <v>#N/A</v>
      </c>
      <c r="AA23" s="486"/>
      <c r="AB23" s="463"/>
      <c r="AC23" s="181" t="str">
        <f t="shared" si="17"/>
        <v>GLIBA</v>
      </c>
      <c r="AD23" s="37" cm="1">
        <f t="array" aca="1" ref="AD23" ca="1">INDIRECT(ADDRESS($C23,AD$3,,,"mkt data"))</f>
        <v>21.139999</v>
      </c>
      <c r="AE23" s="167">
        <f t="shared" ca="1" si="18"/>
        <v>21.94</v>
      </c>
      <c r="AF23" s="167">
        <f t="shared" ca="1" si="19"/>
        <v>0.80000100000000174</v>
      </c>
      <c r="AG23" s="167">
        <f t="shared" ca="1" si="10"/>
        <v>0</v>
      </c>
      <c r="AH23" s="523"/>
      <c r="AI23" s="461"/>
      <c r="AJ23" s="459"/>
    </row>
    <row r="24" spans="1:39" x14ac:dyDescent="0.25">
      <c r="A24" s="79" t="e">
        <f>MATCH(G24,SCALARS!D:D,0)</f>
        <v>#N/A</v>
      </c>
      <c r="B24" s="524">
        <f>MATCH(G24,'SCALAR INPUTS'!E:E,0)</f>
        <v>13</v>
      </c>
      <c r="C24" s="80">
        <f>MATCH(G24,'MKT DATA'!B:B,0)</f>
        <v>107</v>
      </c>
      <c r="D24" s="353"/>
      <c r="E24" s="264" t="e" cm="1">
        <f t="array" aca="1" ref="E24" ca="1">INDIRECT(ADDRESS($A24,E$3,,,"scalars"))</f>
        <v>#N/A</v>
      </c>
      <c r="F24" s="14" t="e" cm="1">
        <f t="array" aca="1" ref="F24" ca="1">INDIRECT(ADDRESS($A24,F$3,,,"scalars"))</f>
        <v>#N/A</v>
      </c>
      <c r="G24" s="194" t="s">
        <v>293</v>
      </c>
      <c r="H24" s="33" cm="1">
        <f t="array" aca="1" ref="H24" ca="1">INDIRECT(ADDRESS($C24,H$3,,,"mkt data"))</f>
        <v>7.5</v>
      </c>
      <c r="I24" s="34" cm="1">
        <f t="array" aca="1" ref="I24" ca="1">INDIRECT(ADDRESS($C24,I$3,,,"mkt data"))</f>
        <v>8.8800000000000008</v>
      </c>
      <c r="J24" s="150" t="e" cm="1">
        <f t="array" aca="1" ref="J24" ca="1">INDIRECT(ADDRESS($A24,J$3,,,"SCALARS"))</f>
        <v>#N/A</v>
      </c>
      <c r="K24" s="16" t="e">
        <f t="shared" ca="1" si="11"/>
        <v>#N/A</v>
      </c>
      <c r="L24" s="16" t="e">
        <f t="shared" ca="1" si="12"/>
        <v>#N/A</v>
      </c>
      <c r="M24" s="44" t="e" cm="1">
        <f t="array" aca="1" ref="M24" ca="1">INDIRECT(ADDRESS($A24,M$3,,,"scalars"))</f>
        <v>#N/A</v>
      </c>
      <c r="N24" s="17" t="e">
        <f ca="1">K24*M24</f>
        <v>#N/A</v>
      </c>
      <c r="O24" s="17" t="e">
        <f ca="1">M24*L24</f>
        <v>#N/A</v>
      </c>
      <c r="P24" s="477" t="e">
        <f ca="1">N25-O24</f>
        <v>#N/A</v>
      </c>
      <c r="Q24" s="475" t="e">
        <f ca="1">LN(N25/O24)</f>
        <v>#N/A</v>
      </c>
      <c r="R24" s="252" t="e" cm="1">
        <f t="array" aca="1" ref="R24" ca="1">-INDIRECT(ADDRESS($B24,R$3,,,"threshold info"))</f>
        <v>#REF!</v>
      </c>
      <c r="S24" s="223" t="e" cm="1">
        <f t="array" aca="1" ref="S24" ca="1">-INDIRECT(ADDRESS($B24,S$3,,,"threshold info"))</f>
        <v>#REF!</v>
      </c>
      <c r="T24" s="477" t="e">
        <f ca="1">N24-O25</f>
        <v>#N/A</v>
      </c>
      <c r="U24" s="475" t="e">
        <f ca="1">LN(N24/O25)</f>
        <v>#N/A</v>
      </c>
      <c r="V24" s="252">
        <v>0.01</v>
      </c>
      <c r="W24" s="60">
        <v>5.0000000000000001E-3</v>
      </c>
      <c r="X24" s="27" cm="1">
        <f t="array" aca="1" ref="X24" ca="1">INDIRECT(ADDRESS($C24,X$3,,,"mkt data"))</f>
        <v>0</v>
      </c>
      <c r="Y24" s="48">
        <f ca="1">X24*AVERAGE(H24:I24)</f>
        <v>0</v>
      </c>
      <c r="Z24" s="27" t="e">
        <f ca="1">X24/M24</f>
        <v>#N/A</v>
      </c>
      <c r="AA24" s="485" t="e">
        <f ca="1">SUM(Z24:Z25)</f>
        <v>#N/A</v>
      </c>
      <c r="AB24" s="474"/>
      <c r="AC24" s="173" t="str">
        <f>G24</f>
        <v>LBTYK</v>
      </c>
      <c r="AD24" s="33" cm="1">
        <f t="array" aca="1" ref="AD24" ca="1">INDIRECT(ADDRESS($C24,AD$3,,,"mkt data"))</f>
        <v>8.02</v>
      </c>
      <c r="AE24" s="165">
        <f ca="1">AVERAGE(H24,I24)</f>
        <v>8.1900000000000013</v>
      </c>
      <c r="AF24" s="165">
        <f ca="1">AE24-AD24</f>
        <v>0.17000000000000171</v>
      </c>
      <c r="AG24" s="165">
        <f t="shared" ca="1" si="10"/>
        <v>0</v>
      </c>
      <c r="AH24" s="522">
        <f ca="1">AG24+AG25</f>
        <v>0</v>
      </c>
      <c r="AI24" s="460"/>
      <c r="AJ24" s="458"/>
      <c r="AL24" s="288"/>
      <c r="AM24" s="135"/>
    </row>
    <row r="25" spans="1:39" ht="15.75" thickBot="1" x14ac:dyDescent="0.3">
      <c r="A25" s="81" t="e">
        <f>MATCH(G25,SCALARS!D:D,0)</f>
        <v>#N/A</v>
      </c>
      <c r="B25" s="525"/>
      <c r="C25" s="82">
        <f>MATCH(G25,'MKT DATA'!B:B,0)</f>
        <v>106</v>
      </c>
      <c r="D25" s="354"/>
      <c r="E25" s="265" t="e" cm="1">
        <f t="array" aca="1" ref="E25" ca="1">INDIRECT(ADDRESS($A25,E$3,,,"scalars"))</f>
        <v>#N/A</v>
      </c>
      <c r="F25" s="20" t="e" cm="1">
        <f t="array" aca="1" ref="F25" ca="1">INDIRECT(ADDRESS($A25,F$3,,,"scalars"))</f>
        <v>#N/A</v>
      </c>
      <c r="G25" s="195" t="s">
        <v>292</v>
      </c>
      <c r="H25" s="37" cm="1">
        <f t="array" aca="1" ref="H25" ca="1">INDIRECT(ADDRESS($C25,H$3,,,"mkt data"))</f>
        <v>7.55</v>
      </c>
      <c r="I25" s="38" cm="1">
        <f t="array" aca="1" ref="I25" ca="1">INDIRECT(ADDRESS($C25,I$3,,,"mkt data"))</f>
        <v>9</v>
      </c>
      <c r="J25" s="151" t="e" cm="1">
        <f t="array" aca="1" ref="J25" ca="1">INDIRECT(ADDRESS($A25,J$3,,,"SCALARS"))</f>
        <v>#N/A</v>
      </c>
      <c r="K25" s="22" t="e">
        <f t="shared" ca="1" si="11"/>
        <v>#N/A</v>
      </c>
      <c r="L25" s="22" t="e">
        <f t="shared" ca="1" si="12"/>
        <v>#N/A</v>
      </c>
      <c r="M25" s="45" t="e" cm="1">
        <f t="array" aca="1" ref="M25" ca="1">INDIRECT(ADDRESS($A25,M$3,,,"scalars"))</f>
        <v>#N/A</v>
      </c>
      <c r="N25" s="23" t="e">
        <f ca="1">K25*M25</f>
        <v>#N/A</v>
      </c>
      <c r="O25" s="23" t="e">
        <f ca="1">M25*L25</f>
        <v>#N/A</v>
      </c>
      <c r="P25" s="478"/>
      <c r="Q25" s="476"/>
      <c r="R25" s="253" t="e">
        <f ca="1">IF(Q24&gt;R24,TRUE,FALSE)</f>
        <v>#N/A</v>
      </c>
      <c r="S25" s="224" t="e">
        <f ca="1">AND(IF(U24&gt;-S24,TRUE,FALSE),IF(X24&gt;0,TRUE,FALSE))</f>
        <v>#N/A</v>
      </c>
      <c r="T25" s="478"/>
      <c r="U25" s="476"/>
      <c r="V25" s="253" t="e">
        <f ca="1">IF(U24&gt;V24,TRUE,FALSE)</f>
        <v>#N/A</v>
      </c>
      <c r="W25" s="61" t="e">
        <f ca="1">AND(IF(Q24&gt;-W24,TRUE,FALSE),IF(X24&lt;0,TRUE,FALSE))</f>
        <v>#N/A</v>
      </c>
      <c r="X25" s="29" cm="1">
        <f t="array" aca="1" ref="X25" ca="1">INDIRECT(ADDRESS($C25,X$3,,,"mkt data"))</f>
        <v>0</v>
      </c>
      <c r="Y25" s="50">
        <f ca="1">X25*AVERAGE(H25:I25)</f>
        <v>0</v>
      </c>
      <c r="Z25" s="29" t="e">
        <f ca="1">X25/M25</f>
        <v>#N/A</v>
      </c>
      <c r="AA25" s="486"/>
      <c r="AB25" s="463"/>
      <c r="AC25" s="181" t="str">
        <f>G25</f>
        <v>LBTYA</v>
      </c>
      <c r="AD25" s="37" cm="1">
        <f t="array" aca="1" ref="AD25" ca="1">INDIRECT(ADDRESS($C25,AD$3,,,"mkt data"))</f>
        <v>8.14</v>
      </c>
      <c r="AE25" s="167">
        <f ca="1">AVERAGE(H25,I25)</f>
        <v>8.2750000000000004</v>
      </c>
      <c r="AF25" s="167">
        <f ca="1">AE25-AD25</f>
        <v>0.13499999999999979</v>
      </c>
      <c r="AG25" s="167">
        <f t="shared" ca="1" si="10"/>
        <v>0</v>
      </c>
      <c r="AH25" s="523"/>
      <c r="AI25" s="461"/>
      <c r="AJ25" s="459"/>
    </row>
    <row r="26" spans="1:39" x14ac:dyDescent="0.25">
      <c r="A26" s="79" t="e">
        <f>MATCH(G26,SCALARS!D:D,0)</f>
        <v>#N/A</v>
      </c>
      <c r="B26" s="524">
        <f>MATCH(G26,'SCALAR INPUTS'!E:E,0)</f>
        <v>15</v>
      </c>
      <c r="C26" s="80">
        <f>MATCH(G26,'MKT DATA'!B:B,0)</f>
        <v>109</v>
      </c>
      <c r="D26" s="353"/>
      <c r="E26" s="264" t="e" cm="1">
        <f t="array" aca="1" ref="E26" ca="1">INDIRECT(ADDRESS($A26,E$3,,,"scalars"))</f>
        <v>#N/A</v>
      </c>
      <c r="F26" s="14" t="e" cm="1">
        <f t="array" aca="1" ref="F26" ca="1">INDIRECT(ADDRESS($A26,F$3,,,"scalars"))</f>
        <v>#N/A</v>
      </c>
      <c r="G26" s="194" t="s">
        <v>294</v>
      </c>
      <c r="H26" s="33" cm="1">
        <f t="array" aca="1" ref="H26" ca="1">INDIRECT(ADDRESS($C26,H$3,,,"mkt data"))</f>
        <v>7.99</v>
      </c>
      <c r="I26" s="34" cm="1">
        <f t="array" aca="1" ref="I26" ca="1">INDIRECT(ADDRESS($C26,I$3,,,"mkt data"))</f>
        <v>8</v>
      </c>
      <c r="J26" s="150" t="e" cm="1">
        <f t="array" aca="1" ref="J26" ca="1">INDIRECT(ADDRESS($A26,J$3,,,"SCALARS"))</f>
        <v>#N/A</v>
      </c>
      <c r="K26" s="16" t="e">
        <f t="shared" ca="1" si="11"/>
        <v>#N/A</v>
      </c>
      <c r="L26" s="16" t="e">
        <f t="shared" ca="1" si="12"/>
        <v>#N/A</v>
      </c>
      <c r="M26" s="44" t="e" cm="1">
        <f t="array" aca="1" ref="M26" ca="1">INDIRECT(ADDRESS($A26,M$3,,,"scalars"))</f>
        <v>#N/A</v>
      </c>
      <c r="N26" s="17" t="e">
        <f ca="1">K26*M26</f>
        <v>#N/A</v>
      </c>
      <c r="O26" s="17" t="e">
        <f ca="1">M26*L26</f>
        <v>#N/A</v>
      </c>
      <c r="P26" s="477" t="e">
        <f ca="1">N27-O26</f>
        <v>#N/A</v>
      </c>
      <c r="Q26" s="475" t="e">
        <f ca="1">LN(N27/O26)</f>
        <v>#N/A</v>
      </c>
      <c r="R26" s="252" t="e" cm="1">
        <f t="array" aca="1" ref="R26" ca="1">-INDIRECT(ADDRESS($B26,R$3,,,"threshold info"))</f>
        <v>#REF!</v>
      </c>
      <c r="S26" s="223" t="e" cm="1">
        <f t="array" aca="1" ref="S26" ca="1">-INDIRECT(ADDRESS($B26,S$3,,,"threshold info"))</f>
        <v>#REF!</v>
      </c>
      <c r="T26" s="477" t="e">
        <f ca="1">N26-O27</f>
        <v>#N/A</v>
      </c>
      <c r="U26" s="475" t="e">
        <f ca="1">LN(N26/O27)</f>
        <v>#N/A</v>
      </c>
      <c r="V26" s="252">
        <v>0.01</v>
      </c>
      <c r="W26" s="60">
        <v>5.0000000000000001E-3</v>
      </c>
      <c r="X26" s="27" cm="1">
        <f t="array" aca="1" ref="X26" ca="1">INDIRECT(ADDRESS($C26,X$3,,,"mkt data"))</f>
        <v>0</v>
      </c>
      <c r="Y26" s="48">
        <f ca="1">X26*AVERAGE(H26:I26)</f>
        <v>0</v>
      </c>
      <c r="Z26" s="27" t="e">
        <f ca="1">X26/M26</f>
        <v>#N/A</v>
      </c>
      <c r="AA26" s="485" t="e">
        <f ca="1">SUM(Z26:Z27)</f>
        <v>#N/A</v>
      </c>
      <c r="AB26" s="462"/>
      <c r="AC26" s="173" t="str">
        <f>G26</f>
        <v>LILAK</v>
      </c>
      <c r="AD26" s="33" cm="1">
        <f t="array" aca="1" ref="AD26" ca="1">INDIRECT(ADDRESS($C26,AD$3,,,"mkt data"))</f>
        <v>8.11</v>
      </c>
      <c r="AE26" s="165">
        <f ca="1">AVERAGE(H26,I26)</f>
        <v>7.9950000000000001</v>
      </c>
      <c r="AF26" s="165">
        <f ca="1">AE26-AD26</f>
        <v>-0.11499999999999932</v>
      </c>
      <c r="AG26" s="165">
        <f t="shared" ca="1" si="10"/>
        <v>0</v>
      </c>
      <c r="AH26" s="522">
        <f ca="1">AG26+AG27</f>
        <v>0</v>
      </c>
      <c r="AI26" s="460"/>
      <c r="AJ26" s="458"/>
    </row>
    <row r="27" spans="1:39" ht="15.75" thickBot="1" x14ac:dyDescent="0.3">
      <c r="A27" s="81" t="e">
        <f>MATCH(G27,SCALARS!D:D,0)</f>
        <v>#N/A</v>
      </c>
      <c r="B27" s="525"/>
      <c r="C27" s="82">
        <f>MATCH(G27,'MKT DATA'!B:B,0)</f>
        <v>108</v>
      </c>
      <c r="D27" s="354"/>
      <c r="E27" s="265" t="e" cm="1">
        <f t="array" aca="1" ref="E27" ca="1">INDIRECT(ADDRESS($A27,E$3,,,"scalars"))</f>
        <v>#N/A</v>
      </c>
      <c r="F27" s="20" t="e" cm="1">
        <f t="array" aca="1" ref="F27" ca="1">INDIRECT(ADDRESS($A27,F$3,,,"scalars"))</f>
        <v>#N/A</v>
      </c>
      <c r="G27" s="195" t="s">
        <v>300</v>
      </c>
      <c r="H27" s="37" cm="1">
        <f t="array" aca="1" ref="H27" ca="1">INDIRECT(ADDRESS($C27,H$3,,,"mkt data"))</f>
        <v>8.0299999999999994</v>
      </c>
      <c r="I27" s="38" cm="1">
        <f t="array" aca="1" ref="I27" ca="1">INDIRECT(ADDRESS($C27,I$3,,,"mkt data"))</f>
        <v>8.11</v>
      </c>
      <c r="J27" s="151" t="e" cm="1">
        <f t="array" aca="1" ref="J27" ca="1">INDIRECT(ADDRESS($A27,J$3,,,"SCALARS"))</f>
        <v>#N/A</v>
      </c>
      <c r="K27" s="22" t="e">
        <f t="shared" ca="1" si="11"/>
        <v>#N/A</v>
      </c>
      <c r="L27" s="22" t="e">
        <f t="shared" ca="1" si="12"/>
        <v>#N/A</v>
      </c>
      <c r="M27" s="45" t="e" cm="1">
        <f t="array" aca="1" ref="M27" ca="1">INDIRECT(ADDRESS($A27,M$3,,,"scalars"))</f>
        <v>#N/A</v>
      </c>
      <c r="N27" s="23" t="e">
        <f ca="1">K27*M27</f>
        <v>#N/A</v>
      </c>
      <c r="O27" s="23" t="e">
        <f ca="1">M27*L27</f>
        <v>#N/A</v>
      </c>
      <c r="P27" s="478"/>
      <c r="Q27" s="476"/>
      <c r="R27" s="253" t="e">
        <f ca="1">IF(Q26&gt;R26,TRUE,FALSE)</f>
        <v>#N/A</v>
      </c>
      <c r="S27" s="224" t="e">
        <f ca="1">AND(IF(U26&gt;-S26,TRUE,FALSE),IF(X26&gt;0,TRUE,FALSE))</f>
        <v>#N/A</v>
      </c>
      <c r="T27" s="478"/>
      <c r="U27" s="476"/>
      <c r="V27" s="253" t="e">
        <f ca="1">IF(U26&gt;V26,TRUE,FALSE)</f>
        <v>#N/A</v>
      </c>
      <c r="W27" s="61" t="e">
        <f ca="1">AND(IF(Q26&gt;-W26,TRUE,FALSE),IF(X26&lt;0,TRUE,FALSE))</f>
        <v>#N/A</v>
      </c>
      <c r="X27" s="29" cm="1">
        <f t="array" aca="1" ref="X27" ca="1">INDIRECT(ADDRESS($C27,X$3,,,"mkt data"))</f>
        <v>0</v>
      </c>
      <c r="Y27" s="50">
        <f ca="1">X27*AVERAGE(H27:I27)</f>
        <v>0</v>
      </c>
      <c r="Z27" s="29" t="e">
        <f ca="1">X27/M27</f>
        <v>#N/A</v>
      </c>
      <c r="AA27" s="486"/>
      <c r="AB27" s="463"/>
      <c r="AC27" s="181" t="str">
        <f>G27</f>
        <v>LILA</v>
      </c>
      <c r="AD27" s="37" cm="1">
        <f t="array" aca="1" ref="AD27" ca="1">INDIRECT(ADDRESS($C27,AD$3,,,"mkt data"))</f>
        <v>8.14</v>
      </c>
      <c r="AE27" s="167">
        <f ca="1">AVERAGE(H27,I27)</f>
        <v>8.07</v>
      </c>
      <c r="AF27" s="167">
        <f ca="1">AE27-AD27</f>
        <v>-7.0000000000000284E-2</v>
      </c>
      <c r="AG27" s="167">
        <f t="shared" ca="1" si="10"/>
        <v>0</v>
      </c>
      <c r="AH27" s="523"/>
      <c r="AI27" s="461"/>
      <c r="AJ27" s="459"/>
    </row>
    <row r="28" spans="1:39" x14ac:dyDescent="0.25">
      <c r="A28" s="79" t="e">
        <f>MATCH(G28,SCALARS!D:D,0)</f>
        <v>#N/A</v>
      </c>
      <c r="B28" s="524">
        <f>MATCH(G28,'SCALAR INPUTS'!E:E,0)</f>
        <v>16</v>
      </c>
      <c r="C28" s="80">
        <f>MATCH(G28,'MKT DATA'!B:B,0)</f>
        <v>110</v>
      </c>
      <c r="D28" s="353"/>
      <c r="E28" s="264" t="e" cm="1">
        <f t="array" aca="1" ref="E28" ca="1">INDIRECT(ADDRESS($A28,E$3,,,"scalars"))</f>
        <v>#N/A</v>
      </c>
      <c r="F28" s="14" t="e" cm="1">
        <f t="array" aca="1" ref="F28" ca="1">INDIRECT(ADDRESS($A28,F$3,,,"scalars"))</f>
        <v>#N/A</v>
      </c>
      <c r="G28" s="194" t="s">
        <v>210</v>
      </c>
      <c r="H28" s="33" cm="1">
        <f t="array" aca="1" ref="H28" ca="1">INDIRECT(ADDRESS($C28,H$3,,,"mkt data"))</f>
        <v>320</v>
      </c>
      <c r="I28" s="34" cm="1">
        <f t="array" aca="1" ref="I28" ca="1">INDIRECT(ADDRESS($C28,I$3,,,"mkt data"))</f>
        <v>356</v>
      </c>
      <c r="J28" s="150" t="e" cm="1">
        <f t="array" aca="1" ref="J28" ca="1">INDIRECT(ADDRESS($A28,J$3,,,"SCALARS"))</f>
        <v>#N/A</v>
      </c>
      <c r="K28" s="16" t="e">
        <f t="shared" ca="1" si="1"/>
        <v>#N/A</v>
      </c>
      <c r="L28" s="16" t="e">
        <f t="shared" ca="1" si="2"/>
        <v>#N/A</v>
      </c>
      <c r="M28" s="44" t="e" cm="1">
        <f t="array" aca="1" ref="M28" ca="1">INDIRECT(ADDRESS($A28,M$3,,,"scalars"))</f>
        <v>#N/A</v>
      </c>
      <c r="N28" s="17" t="e">
        <f t="shared" ca="1" si="3"/>
        <v>#N/A</v>
      </c>
      <c r="O28" s="17" t="e">
        <f t="shared" ca="1" si="4"/>
        <v>#N/A</v>
      </c>
      <c r="P28" s="477" t="e">
        <f ca="1">N29-O28</f>
        <v>#N/A</v>
      </c>
      <c r="Q28" s="475" t="e">
        <f ca="1">LN(N29/O28)</f>
        <v>#N/A</v>
      </c>
      <c r="R28" s="252" t="e" cm="1">
        <f t="array" aca="1" ref="R28" ca="1">-INDIRECT(ADDRESS($B28,R$3,,,"threshold info"))</f>
        <v>#REF!</v>
      </c>
      <c r="S28" s="223" t="e" cm="1">
        <f t="array" aca="1" ref="S28" ca="1">-INDIRECT(ADDRESS($B28,S$3,,,"threshold info"))</f>
        <v>#REF!</v>
      </c>
      <c r="T28" s="477" t="e">
        <f ca="1">N28-O29</f>
        <v>#N/A</v>
      </c>
      <c r="U28" s="475" t="e">
        <f ca="1">LN(N28/O29)</f>
        <v>#N/A</v>
      </c>
      <c r="V28" s="252">
        <v>0.04</v>
      </c>
      <c r="W28" s="60">
        <v>0.01</v>
      </c>
      <c r="X28" s="27" cm="1">
        <f t="array" aca="1" ref="X28" ca="1">INDIRECT(ADDRESS($C28,X$3,,,"mkt data"))</f>
        <v>0</v>
      </c>
      <c r="Y28" s="48">
        <f t="shared" ca="1" si="5"/>
        <v>0</v>
      </c>
      <c r="Z28" s="27" t="e">
        <f t="shared" ca="1" si="6"/>
        <v>#N/A</v>
      </c>
      <c r="AA28" s="485" t="e">
        <f ca="1">SUM(Z28:Z29)</f>
        <v>#N/A</v>
      </c>
      <c r="AB28" s="462"/>
      <c r="AC28" s="173" t="str">
        <f t="shared" ref="AC28:AC29" si="20">G28</f>
        <v>MOG A</v>
      </c>
      <c r="AD28" s="33" cm="1">
        <f t="array" aca="1" ref="AD28" ca="1">INDIRECT(ADDRESS($C28,AD$3,,,"mkt data"))</f>
        <v>341.709991</v>
      </c>
      <c r="AE28" s="165">
        <f t="shared" ca="1" si="8"/>
        <v>338</v>
      </c>
      <c r="AF28" s="165">
        <f t="shared" ca="1" si="9"/>
        <v>-3.7099910000000023</v>
      </c>
      <c r="AG28" s="165">
        <f t="shared" ca="1" si="10"/>
        <v>0</v>
      </c>
      <c r="AH28" s="522">
        <f ca="1">AG28+AG29</f>
        <v>0</v>
      </c>
      <c r="AI28" s="460"/>
      <c r="AJ28" s="458"/>
    </row>
    <row r="29" spans="1:39" ht="15.75" thickBot="1" x14ac:dyDescent="0.3">
      <c r="A29" s="81" t="e">
        <f>MATCH(G29,SCALARS!D:D,0)</f>
        <v>#N/A</v>
      </c>
      <c r="B29" s="525"/>
      <c r="C29" s="82">
        <f>MATCH(G29,'MKT DATA'!B:B,0)</f>
        <v>111</v>
      </c>
      <c r="D29" s="354"/>
      <c r="E29" s="265" t="e" cm="1">
        <f t="array" aca="1" ref="E29" ca="1">INDIRECT(ADDRESS($A29,E$3,,,"scalars"))</f>
        <v>#N/A</v>
      </c>
      <c r="F29" s="20" t="e" cm="1">
        <f t="array" aca="1" ref="F29" ca="1">INDIRECT(ADDRESS($A29,F$3,,,"scalars"))</f>
        <v>#N/A</v>
      </c>
      <c r="G29" s="195" t="s">
        <v>211</v>
      </c>
      <c r="H29" s="37" cm="1">
        <f t="array" aca="1" ref="H29" ca="1">INDIRECT(ADDRESS($C29,H$3,,,"mkt data"))</f>
        <v>134.88</v>
      </c>
      <c r="I29" s="38" cm="1">
        <f t="array" aca="1" ref="I29" ca="1">INDIRECT(ADDRESS($C29,I$3,,,"mkt data"))</f>
        <v>539.48</v>
      </c>
      <c r="J29" s="151" t="e" cm="1">
        <f t="array" aca="1" ref="J29" ca="1">INDIRECT(ADDRESS($A29,J$3,,,"SCALARS"))</f>
        <v>#N/A</v>
      </c>
      <c r="K29" s="22" t="e">
        <f t="shared" ca="1" si="1"/>
        <v>#N/A</v>
      </c>
      <c r="L29" s="22" t="e">
        <f t="shared" ca="1" si="2"/>
        <v>#N/A</v>
      </c>
      <c r="M29" s="45" t="e" cm="1">
        <f t="array" aca="1" ref="M29" ca="1">INDIRECT(ADDRESS($A29,M$3,,,"scalars"))</f>
        <v>#N/A</v>
      </c>
      <c r="N29" s="23" t="e">
        <f t="shared" ca="1" si="3"/>
        <v>#N/A</v>
      </c>
      <c r="O29" s="23" t="e">
        <f t="shared" ca="1" si="4"/>
        <v>#N/A</v>
      </c>
      <c r="P29" s="478"/>
      <c r="Q29" s="476"/>
      <c r="R29" s="253" t="e">
        <f ca="1">IF(Q28&gt;R28,TRUE,FALSE)</f>
        <v>#N/A</v>
      </c>
      <c r="S29" s="224" t="e">
        <f ca="1">AND(IF(U28&gt;-S28,TRUE,FALSE),IF(X28&gt;0,TRUE,FALSE))</f>
        <v>#N/A</v>
      </c>
      <c r="T29" s="478"/>
      <c r="U29" s="476"/>
      <c r="V29" s="253" t="e">
        <f ca="1">IF(U28&gt;V28,TRUE,FALSE)</f>
        <v>#N/A</v>
      </c>
      <c r="W29" s="61" t="e">
        <f ca="1">AND(IF(Q28&gt;-W28,TRUE,FALSE),IF(X28&lt;0,TRUE,FALSE))</f>
        <v>#N/A</v>
      </c>
      <c r="X29" s="29" cm="1">
        <f t="array" aca="1" ref="X29" ca="1">INDIRECT(ADDRESS($C29,X$3,,,"mkt data"))</f>
        <v>0</v>
      </c>
      <c r="Y29" s="50">
        <f t="shared" ca="1" si="5"/>
        <v>0</v>
      </c>
      <c r="Z29" s="29" t="e">
        <f t="shared" ca="1" si="6"/>
        <v>#N/A</v>
      </c>
      <c r="AA29" s="486"/>
      <c r="AB29" s="463"/>
      <c r="AC29" s="181" t="str">
        <f t="shared" si="20"/>
        <v>MOG B</v>
      </c>
      <c r="AD29" s="37" cm="1">
        <f t="array" aca="1" ref="AD29" ca="1">INDIRECT(ADDRESS($C29,AD$3,,,"mkt data"))</f>
        <v>335.16000400000001</v>
      </c>
      <c r="AE29" s="167">
        <f t="shared" ca="1" si="8"/>
        <v>337.18</v>
      </c>
      <c r="AF29" s="167">
        <f t="shared" ca="1" si="9"/>
        <v>2.0199959999999919</v>
      </c>
      <c r="AG29" s="167">
        <f t="shared" ca="1" si="10"/>
        <v>0</v>
      </c>
      <c r="AH29" s="523"/>
      <c r="AI29" s="461"/>
      <c r="AJ29" s="459"/>
    </row>
    <row r="30" spans="1:39" x14ac:dyDescent="0.25">
      <c r="A30" s="79" t="e">
        <f>MATCH(G30,SCALARS!D:D,0)</f>
        <v>#N/A</v>
      </c>
      <c r="B30" s="524">
        <f>MATCH(G30,'SCALAR INPUTS'!E:E,0)</f>
        <v>17</v>
      </c>
      <c r="C30" s="80">
        <f>MATCH(G30,'MKT DATA'!B:B,0)</f>
        <v>129</v>
      </c>
      <c r="D30" s="353"/>
      <c r="E30" s="264" t="e" cm="1">
        <f t="array" aca="1" ref="E30" ca="1">INDIRECT(ADDRESS($A30,E$3,,,"scalars"))</f>
        <v>#N/A</v>
      </c>
      <c r="F30" s="14" t="e" cm="1">
        <f t="array" aca="1" ref="F30" ca="1">INDIRECT(ADDRESS($A30,F$3,,,"scalars"))</f>
        <v>#N/A</v>
      </c>
      <c r="G30" s="194" t="s">
        <v>144</v>
      </c>
      <c r="H30" s="33" cm="1">
        <f t="array" aca="1" ref="H30" ca="1">INDIRECT(ADDRESS($C30,H$3,,,"mkt data"))</f>
        <v>29.15</v>
      </c>
      <c r="I30" s="34" cm="1">
        <f t="array" aca="1" ref="I30" ca="1">INDIRECT(ADDRESS($C30,I$3,,,"mkt data"))</f>
        <v>31.11</v>
      </c>
      <c r="J30" s="150" t="e" cm="1">
        <f t="array" aca="1" ref="J30" ca="1">INDIRECT(ADDRESS($A30,J$3,,,"SCALARS"))</f>
        <v>#N/A</v>
      </c>
      <c r="K30" s="16" t="e">
        <f t="shared" ca="1" si="1"/>
        <v>#N/A</v>
      </c>
      <c r="L30" s="16" t="e">
        <f t="shared" ca="1" si="2"/>
        <v>#N/A</v>
      </c>
      <c r="M30" s="44" t="e" cm="1">
        <f t="array" aca="1" ref="M30" ca="1">INDIRECT(ADDRESS($A30,M$3,,,"scalars"))</f>
        <v>#N/A</v>
      </c>
      <c r="N30" s="17" t="e">
        <f t="shared" ca="1" si="3"/>
        <v>#N/A</v>
      </c>
      <c r="O30" s="17" t="e">
        <f t="shared" ca="1" si="4"/>
        <v>#N/A</v>
      </c>
      <c r="P30" s="477" t="e">
        <f ca="1">N31-O30</f>
        <v>#N/A</v>
      </c>
      <c r="Q30" s="475" t="e">
        <f ca="1">LN(N31/O30)</f>
        <v>#N/A</v>
      </c>
      <c r="R30" s="252" t="e" cm="1">
        <f t="array" aca="1" ref="R30" ca="1">-INDIRECT(ADDRESS($B30,R$3,,,"threshold info"))</f>
        <v>#REF!</v>
      </c>
      <c r="S30" s="223" t="e" cm="1">
        <f t="array" aca="1" ref="S30" ca="1">-INDIRECT(ADDRESS($B30,S$3,,,"threshold info"))</f>
        <v>#REF!</v>
      </c>
      <c r="T30" s="477" t="e">
        <f ca="1">N30-O31</f>
        <v>#N/A</v>
      </c>
      <c r="U30" s="475" t="e">
        <f ca="1">LN(N30/O31)</f>
        <v>#N/A</v>
      </c>
      <c r="V30" s="252">
        <v>1.4999999999999999E-2</v>
      </c>
      <c r="W30" s="60">
        <v>0.01</v>
      </c>
      <c r="X30" s="27" cm="1">
        <f t="array" aca="1" ref="X30" ca="1">INDIRECT(ADDRESS($C30,X$3,,,"mkt data"))</f>
        <v>0</v>
      </c>
      <c r="Y30" s="48">
        <f t="shared" ca="1" si="5"/>
        <v>0</v>
      </c>
      <c r="Z30" s="27" t="e">
        <f t="shared" ca="1" si="6"/>
        <v>#N/A</v>
      </c>
      <c r="AA30" s="485" t="e">
        <f ca="1">SUM(Z30:Z31)</f>
        <v>#N/A</v>
      </c>
      <c r="AB30" s="462"/>
      <c r="AC30" s="173" t="str">
        <f t="shared" si="0"/>
        <v>NWSA</v>
      </c>
      <c r="AD30" s="33" cm="1">
        <f t="array" aca="1" ref="AD30" ca="1">INDIRECT(ADDRESS($C30,AD$3,,,"mkt data"))</f>
        <v>31.08</v>
      </c>
      <c r="AE30" s="165">
        <f t="shared" ca="1" si="8"/>
        <v>30.13</v>
      </c>
      <c r="AF30" s="165">
        <f t="shared" ca="1" si="9"/>
        <v>-0.94999999999999929</v>
      </c>
      <c r="AG30" s="165">
        <f t="shared" ca="1" si="10"/>
        <v>0</v>
      </c>
      <c r="AH30" s="522">
        <f ca="1">AG30+AG31</f>
        <v>0</v>
      </c>
      <c r="AI30" s="460"/>
      <c r="AJ30" s="458"/>
    </row>
    <row r="31" spans="1:39" ht="15.75" thickBot="1" x14ac:dyDescent="0.3">
      <c r="A31" s="81" t="e">
        <f>MATCH(G31,SCALARS!D:D,0)</f>
        <v>#N/A</v>
      </c>
      <c r="B31" s="525"/>
      <c r="C31" s="82">
        <f>MATCH(G31,'MKT DATA'!B:B,0)</f>
        <v>128</v>
      </c>
      <c r="D31" s="354"/>
      <c r="E31" s="265" t="e" cm="1">
        <f t="array" aca="1" ref="E31" ca="1">INDIRECT(ADDRESS($A31,E$3,,,"scalars"))</f>
        <v>#N/A</v>
      </c>
      <c r="F31" s="20" t="e" cm="1">
        <f t="array" aca="1" ref="F31" ca="1">INDIRECT(ADDRESS($A31,F$3,,,"scalars"))</f>
        <v>#N/A</v>
      </c>
      <c r="G31" s="195" t="s">
        <v>143</v>
      </c>
      <c r="H31" s="37" cm="1">
        <f t="array" aca="1" ref="H31" ca="1">INDIRECT(ADDRESS($C31,H$3,,,"mkt data"))</f>
        <v>31.84</v>
      </c>
      <c r="I31" s="38" cm="1">
        <f t="array" aca="1" ref="I31" ca="1">INDIRECT(ADDRESS($C31,I$3,,,"mkt data"))</f>
        <v>34.590000000000003</v>
      </c>
      <c r="J31" s="151" t="e" cm="1">
        <f t="array" aca="1" ref="J31" ca="1">INDIRECT(ADDRESS($A31,J$3,,,"SCALARS"))</f>
        <v>#N/A</v>
      </c>
      <c r="K31" s="22" t="e">
        <f t="shared" ca="1" si="1"/>
        <v>#N/A</v>
      </c>
      <c r="L31" s="22" t="e">
        <f t="shared" ca="1" si="2"/>
        <v>#N/A</v>
      </c>
      <c r="M31" s="45" t="e" cm="1">
        <f t="array" aca="1" ref="M31" ca="1">INDIRECT(ADDRESS($A31,M$3,,,"scalars"))</f>
        <v>#N/A</v>
      </c>
      <c r="N31" s="23" t="e">
        <f t="shared" ca="1" si="3"/>
        <v>#N/A</v>
      </c>
      <c r="O31" s="23" t="e">
        <f t="shared" ca="1" si="4"/>
        <v>#N/A</v>
      </c>
      <c r="P31" s="478"/>
      <c r="Q31" s="476"/>
      <c r="R31" s="253" t="e">
        <f ca="1">IF(Q30&gt;R30,TRUE,FALSE)</f>
        <v>#N/A</v>
      </c>
      <c r="S31" s="224" t="e">
        <f ca="1">AND(IF(U30&gt;-S30,TRUE,FALSE),IF(X30&gt;0,TRUE,FALSE))</f>
        <v>#N/A</v>
      </c>
      <c r="T31" s="478"/>
      <c r="U31" s="476"/>
      <c r="V31" s="253" t="e">
        <f ca="1">IF(U30&gt;V30,TRUE,FALSE)</f>
        <v>#N/A</v>
      </c>
      <c r="W31" s="61" t="e">
        <f ca="1">AND(IF(Q30&gt;-W30,TRUE,FALSE),IF(X30&lt;0,TRUE,FALSE))</f>
        <v>#N/A</v>
      </c>
      <c r="X31" s="29" cm="1">
        <f t="array" aca="1" ref="X31" ca="1">INDIRECT(ADDRESS($C31,X$3,,,"mkt data"))</f>
        <v>0</v>
      </c>
      <c r="Y31" s="50">
        <f t="shared" ca="1" si="5"/>
        <v>0</v>
      </c>
      <c r="Z31" s="29" t="e">
        <f t="shared" ca="1" si="6"/>
        <v>#N/A</v>
      </c>
      <c r="AA31" s="486"/>
      <c r="AB31" s="463"/>
      <c r="AC31" s="181" t="str">
        <f t="shared" si="0"/>
        <v>NWS</v>
      </c>
      <c r="AD31" s="37" cm="1">
        <f t="array" aca="1" ref="AD31" ca="1">INDIRECT(ADDRESS($C31,AD$3,,,"mkt data"))</f>
        <v>33.950001</v>
      </c>
      <c r="AE31" s="167">
        <f t="shared" ca="1" si="8"/>
        <v>33.215000000000003</v>
      </c>
      <c r="AF31" s="167">
        <f t="shared" ca="1" si="9"/>
        <v>-0.73500099999999691</v>
      </c>
      <c r="AG31" s="167">
        <f t="shared" ca="1" si="10"/>
        <v>0</v>
      </c>
      <c r="AH31" s="523"/>
      <c r="AI31" s="461"/>
      <c r="AJ31" s="459"/>
    </row>
    <row r="32" spans="1:39" x14ac:dyDescent="0.25">
      <c r="A32" s="79" t="e">
        <f>MATCH(G32,SCALARS!D:D,0)</f>
        <v>#N/A</v>
      </c>
      <c r="B32" s="524">
        <f>MATCH(G32,'SCALAR INPUTS'!E:E,0)</f>
        <v>23</v>
      </c>
      <c r="C32" s="80">
        <f>MATCH(G32,'MKT DATA'!B:B,0)</f>
        <v>158</v>
      </c>
      <c r="D32" s="353"/>
      <c r="E32" s="264" t="e" cm="1">
        <f t="array" aca="1" ref="E32" ca="1">INDIRECT(ADDRESS($A32,E$3,,,"scalars"))</f>
        <v>#N/A</v>
      </c>
      <c r="F32" s="14" t="e" cm="1">
        <f t="array" aca="1" ref="F32" ca="1">INDIRECT(ADDRESS($A32,F$3,,,"scalars"))</f>
        <v>#N/A</v>
      </c>
      <c r="G32" s="194" t="s">
        <v>203</v>
      </c>
      <c r="H32" s="33" cm="1">
        <f t="array" aca="1" ref="H32" ca="1">INDIRECT(ADDRESS($C32,H$3,,,"mkt data"))</f>
        <v>4.5599999999999996</v>
      </c>
      <c r="I32" s="34" cm="1">
        <f t="array" aca="1" ref="I32" ca="1">INDIRECT(ADDRESS($C32,I$3,,,"mkt data"))</f>
        <v>4.59</v>
      </c>
      <c r="J32" s="150" t="e" cm="1">
        <f t="array" aca="1" ref="J32" ca="1">INDIRECT(ADDRESS($A32,J$3,,,"SCALARS"))</f>
        <v>#N/A</v>
      </c>
      <c r="K32" s="16" t="e">
        <f t="shared" ca="1" si="1"/>
        <v>#N/A</v>
      </c>
      <c r="L32" s="16" t="e">
        <f t="shared" ca="1" si="2"/>
        <v>#N/A</v>
      </c>
      <c r="M32" s="44" t="e" cm="1">
        <f t="array" aca="1" ref="M32" ca="1">INDIRECT(ADDRESS($A32,M$3,,,"scalars"))</f>
        <v>#N/A</v>
      </c>
      <c r="N32" s="17" t="e">
        <f t="shared" ca="1" si="3"/>
        <v>#N/A</v>
      </c>
      <c r="O32" s="17" t="e">
        <f t="shared" ca="1" si="4"/>
        <v>#N/A</v>
      </c>
      <c r="P32" s="477" t="e">
        <f ca="1">N33-O32</f>
        <v>#N/A</v>
      </c>
      <c r="Q32" s="475" t="e">
        <f ca="1">LN(N33/O32)</f>
        <v>#N/A</v>
      </c>
      <c r="R32" s="252" t="e" cm="1">
        <f t="array" aca="1" ref="R32" ca="1">-INDIRECT(ADDRESS($B32,R$3,,,"threshold info"))</f>
        <v>#REF!</v>
      </c>
      <c r="S32" s="223" t="e" cm="1">
        <f t="array" aca="1" ref="S32" ca="1">-INDIRECT(ADDRESS($B32,S$3,,,"threshold info"))</f>
        <v>#REF!</v>
      </c>
      <c r="T32" s="477" t="e">
        <f ca="1">N32-O33</f>
        <v>#N/A</v>
      </c>
      <c r="U32" s="475" t="e">
        <f ca="1">LN(N32/O33)</f>
        <v>#N/A</v>
      </c>
      <c r="V32" s="252">
        <v>5.0000000000000001E-3</v>
      </c>
      <c r="W32" s="60">
        <v>3.0000000000000001E-3</v>
      </c>
      <c r="X32" s="27" cm="1">
        <f t="array" aca="1" ref="X32" ca="1">INDIRECT(ADDRESS($C32,X$3,,,"mkt data"))</f>
        <v>0</v>
      </c>
      <c r="Y32" s="48">
        <f t="shared" ca="1" si="5"/>
        <v>0</v>
      </c>
      <c r="Z32" s="27" t="e">
        <f t="shared" ca="1" si="6"/>
        <v>#N/A</v>
      </c>
      <c r="AA32" s="485" t="e">
        <f ca="1">SUM(Z32:Z33)</f>
        <v>#N/A</v>
      </c>
      <c r="AB32" s="462"/>
      <c r="AC32" s="173" t="str">
        <f t="shared" si="0"/>
        <v>UA</v>
      </c>
      <c r="AD32" s="33" cm="1">
        <f t="array" aca="1" ref="AD32" ca="1">INDIRECT(ADDRESS($C32,AD$3,,,"mkt data"))</f>
        <v>4.7300000000000004</v>
      </c>
      <c r="AE32" s="165">
        <f t="shared" ca="1" si="8"/>
        <v>4.5749999999999993</v>
      </c>
      <c r="AF32" s="165">
        <f t="shared" ca="1" si="9"/>
        <v>-0.15500000000000114</v>
      </c>
      <c r="AG32" s="165">
        <f t="shared" ca="1" si="10"/>
        <v>0</v>
      </c>
      <c r="AH32" s="522">
        <f ca="1">AG32+AG33</f>
        <v>0</v>
      </c>
      <c r="AI32" s="460"/>
      <c r="AJ32" s="458"/>
    </row>
    <row r="33" spans="1:36" ht="15.75" thickBot="1" x14ac:dyDescent="0.3">
      <c r="A33" s="81" t="e">
        <f>MATCH(G33,SCALARS!D:D,0)</f>
        <v>#N/A</v>
      </c>
      <c r="B33" s="525"/>
      <c r="C33" s="82">
        <f>MATCH(G33,'MKT DATA'!B:B,0)</f>
        <v>159</v>
      </c>
      <c r="D33" s="354"/>
      <c r="E33" s="265" t="e" cm="1">
        <f t="array" aca="1" ref="E33" ca="1">INDIRECT(ADDRESS($A33,E$3,,,"scalars"))</f>
        <v>#N/A</v>
      </c>
      <c r="F33" s="20" t="e" cm="1">
        <f t="array" aca="1" ref="F33" ca="1">INDIRECT(ADDRESS($A33,F$3,,,"scalars"))</f>
        <v>#N/A</v>
      </c>
      <c r="G33" s="195" t="s">
        <v>204</v>
      </c>
      <c r="H33" s="37" cm="1">
        <f t="array" aca="1" ref="H33" ca="1">INDIRECT(ADDRESS($C33,H$3,,,"mkt data"))</f>
        <v>4.63</v>
      </c>
      <c r="I33" s="38" cm="1">
        <f t="array" aca="1" ref="I33" ca="1">INDIRECT(ADDRESS($C33,I$3,,,"mkt data"))</f>
        <v>4.7</v>
      </c>
      <c r="J33" s="151" t="e" cm="1">
        <f t="array" aca="1" ref="J33" ca="1">INDIRECT(ADDRESS($A33,J$3,,,"SCALARS"))</f>
        <v>#N/A</v>
      </c>
      <c r="K33" s="22" t="e">
        <f t="shared" ca="1" si="1"/>
        <v>#N/A</v>
      </c>
      <c r="L33" s="22" t="e">
        <f t="shared" ca="1" si="2"/>
        <v>#N/A</v>
      </c>
      <c r="M33" s="45" t="e" cm="1">
        <f t="array" aca="1" ref="M33" ca="1">INDIRECT(ADDRESS($A33,M$3,,,"scalars"))</f>
        <v>#N/A</v>
      </c>
      <c r="N33" s="23" t="e">
        <f t="shared" ca="1" si="3"/>
        <v>#N/A</v>
      </c>
      <c r="O33" s="23" t="e">
        <f t="shared" ca="1" si="4"/>
        <v>#N/A</v>
      </c>
      <c r="P33" s="478"/>
      <c r="Q33" s="476"/>
      <c r="R33" s="253" t="e">
        <f ca="1">IF(Q32&gt;R32,TRUE,FALSE)</f>
        <v>#N/A</v>
      </c>
      <c r="S33" s="224" t="e">
        <f ca="1">AND(IF(U32&gt;-S32,TRUE,FALSE),IF(X32&gt;0,TRUE,FALSE))</f>
        <v>#N/A</v>
      </c>
      <c r="T33" s="478"/>
      <c r="U33" s="476"/>
      <c r="V33" s="253" t="e">
        <f ca="1">IF(U32&gt;V32,TRUE,FALSE)</f>
        <v>#N/A</v>
      </c>
      <c r="W33" s="61" t="e">
        <f ca="1">AND(IF(Q32&gt;-W32,TRUE,FALSE),IF(X32&lt;0,TRUE,FALSE))</f>
        <v>#N/A</v>
      </c>
      <c r="X33" s="29" cm="1">
        <f t="array" aca="1" ref="X33" ca="1">INDIRECT(ADDRESS($C33,X$3,,,"mkt data"))</f>
        <v>0</v>
      </c>
      <c r="Y33" s="50">
        <f t="shared" ca="1" si="5"/>
        <v>0</v>
      </c>
      <c r="Z33" s="29" t="e">
        <f t="shared" ca="1" si="6"/>
        <v>#N/A</v>
      </c>
      <c r="AA33" s="486"/>
      <c r="AB33" s="463"/>
      <c r="AC33" s="181" t="str">
        <f t="shared" si="0"/>
        <v>UAA</v>
      </c>
      <c r="AD33" s="37" cm="1">
        <f t="array" aca="1" ref="AD33" ca="1">INDIRECT(ADDRESS($C33,AD$3,,,"mkt data"))</f>
        <v>4.88</v>
      </c>
      <c r="AE33" s="167">
        <f t="shared" ca="1" si="8"/>
        <v>4.665</v>
      </c>
      <c r="AF33" s="167">
        <f t="shared" ca="1" si="9"/>
        <v>-0.21499999999999986</v>
      </c>
      <c r="AG33" s="167">
        <f t="shared" ca="1" si="10"/>
        <v>0</v>
      </c>
      <c r="AH33" s="523"/>
      <c r="AI33" s="461"/>
      <c r="AJ33" s="459"/>
    </row>
    <row r="34" spans="1:36" x14ac:dyDescent="0.25">
      <c r="A34" s="79" t="e">
        <f>MATCH(G34,SCALARS!D:D,0)</f>
        <v>#N/A</v>
      </c>
      <c r="B34" s="524">
        <f>MATCH(G34,'SCALAR INPUTS'!E:E,0)</f>
        <v>27</v>
      </c>
      <c r="C34" s="80">
        <f>MATCH(G34,'MKT DATA'!B:B,0)</f>
        <v>175</v>
      </c>
      <c r="D34" s="353"/>
      <c r="E34" s="264" t="e" cm="1">
        <f t="array" aca="1" ref="E34" ca="1">INDIRECT(ADDRESS($A34,E$3,,,"scalars"))</f>
        <v>#N/A</v>
      </c>
      <c r="F34" s="14" t="e" cm="1">
        <f t="array" aca="1" ref="F34" ca="1">INDIRECT(ADDRESS($A34,F$3,,,"scalars"))</f>
        <v>#N/A</v>
      </c>
      <c r="G34" s="194" t="s">
        <v>218</v>
      </c>
      <c r="H34" s="33" cm="1">
        <f t="array" aca="1" ref="H34" ca="1">INDIRECT(ADDRESS($C34,H$3,,,"mkt data"))</f>
        <v>32.799999999999997</v>
      </c>
      <c r="I34" s="34" cm="1">
        <f t="array" aca="1" ref="I34" ca="1">INDIRECT(ADDRESS($C34,I$3,,,"mkt data"))</f>
        <v>34.25</v>
      </c>
      <c r="J34" s="150" t="e" cm="1">
        <f t="array" aca="1" ref="J34" ca="1">INDIRECT(ADDRESS($A34,J$3,,,"SCALARS"))</f>
        <v>#N/A</v>
      </c>
      <c r="K34" s="16" t="e">
        <f t="shared" ca="1" si="1"/>
        <v>#N/A</v>
      </c>
      <c r="L34" s="16" t="e">
        <f t="shared" ca="1" si="2"/>
        <v>#N/A</v>
      </c>
      <c r="M34" s="44" t="e" cm="1">
        <f t="array" aca="1" ref="M34" ca="1">INDIRECT(ADDRESS($A34,M$3,,,"scalars"))</f>
        <v>#N/A</v>
      </c>
      <c r="N34" s="17" t="e">
        <f t="shared" ca="1" si="3"/>
        <v>#N/A</v>
      </c>
      <c r="O34" s="17" t="e">
        <f t="shared" ca="1" si="4"/>
        <v>#N/A</v>
      </c>
      <c r="P34" s="477" t="e">
        <f ca="1">N35-O34</f>
        <v>#N/A</v>
      </c>
      <c r="Q34" s="475" t="e">
        <f ca="1">LN(N35/O34)</f>
        <v>#N/A</v>
      </c>
      <c r="R34" s="252" t="e" cm="1">
        <f t="array" aca="1" ref="R34" ca="1">-INDIRECT(ADDRESS($B34,R$3,,,"threshold info"))</f>
        <v>#REF!</v>
      </c>
      <c r="S34" s="223" t="e" cm="1">
        <f t="array" aca="1" ref="S34" ca="1">-INDIRECT(ADDRESS($B34,S$3,,,"threshold info"))</f>
        <v>#REF!</v>
      </c>
      <c r="T34" s="477" t="e">
        <f ca="1">N34-O35</f>
        <v>#N/A</v>
      </c>
      <c r="U34" s="475" t="e">
        <f ca="1">LN(N34/O35)</f>
        <v>#N/A</v>
      </c>
      <c r="V34" s="252">
        <v>1.2500000000000001E-2</v>
      </c>
      <c r="W34" s="60">
        <v>5.0000000000000001E-3</v>
      </c>
      <c r="X34" s="27" cm="1">
        <f t="array" aca="1" ref="X34" ca="1">INDIRECT(ADDRESS($C34,X$3,,,"mkt data"))</f>
        <v>0</v>
      </c>
      <c r="Y34" s="48">
        <f t="shared" ca="1" si="5"/>
        <v>0</v>
      </c>
      <c r="Z34" s="27" t="e">
        <f t="shared" ca="1" si="6"/>
        <v>#N/A</v>
      </c>
      <c r="AA34" s="485" t="e">
        <f ca="1">SUM(Z34:Z35)</f>
        <v>#N/A</v>
      </c>
      <c r="AB34" s="462"/>
      <c r="AC34" s="173" t="str">
        <f t="shared" ref="AC34:AC35" si="21">G34</f>
        <v>Z</v>
      </c>
      <c r="AD34" s="33" cm="1">
        <f t="array" aca="1" ref="AD34" ca="1">INDIRECT(ADDRESS($C34,AD$3,,,"mkt data"))</f>
        <v>33.979999999999997</v>
      </c>
      <c r="AE34" s="165">
        <f t="shared" ca="1" si="8"/>
        <v>33.524999999999999</v>
      </c>
      <c r="AF34" s="165">
        <f t="shared" ca="1" si="9"/>
        <v>-0.45499999999999829</v>
      </c>
      <c r="AG34" s="165">
        <f t="shared" ca="1" si="10"/>
        <v>0</v>
      </c>
      <c r="AH34" s="522">
        <f ca="1">AG34+AG35</f>
        <v>0</v>
      </c>
      <c r="AI34" s="460"/>
      <c r="AJ34" s="458"/>
    </row>
    <row r="35" spans="1:36" ht="15.75" thickBot="1" x14ac:dyDescent="0.3">
      <c r="A35" s="81" t="e">
        <f>MATCH(G35,SCALARS!D:D,0)</f>
        <v>#N/A</v>
      </c>
      <c r="B35" s="525"/>
      <c r="C35" s="82">
        <f>MATCH(G35,'MKT DATA'!B:B,0)</f>
        <v>176</v>
      </c>
      <c r="D35" s="354"/>
      <c r="E35" s="265" t="e" cm="1">
        <f t="array" aca="1" ref="E35" ca="1">INDIRECT(ADDRESS($A35,E$3,,,"scalars"))</f>
        <v>#N/A</v>
      </c>
      <c r="F35" s="20" t="e" cm="1">
        <f t="array" aca="1" ref="F35" ca="1">INDIRECT(ADDRESS($A35,F$3,,,"scalars"))</f>
        <v>#N/A</v>
      </c>
      <c r="G35" s="195" t="s">
        <v>219</v>
      </c>
      <c r="H35" s="37" cm="1">
        <f t="array" aca="1" ref="H35" ca="1">INDIRECT(ADDRESS($C35,H$3,,,"mkt data"))</f>
        <v>34.049999999999997</v>
      </c>
      <c r="I35" s="38" cm="1">
        <f t="array" aca="1" ref="I35" ca="1">INDIRECT(ADDRESS($C35,I$3,,,"mkt data"))</f>
        <v>35.5</v>
      </c>
      <c r="J35" s="151" t="e" cm="1">
        <f t="array" aca="1" ref="J35" ca="1">INDIRECT(ADDRESS($A35,J$3,,,"SCALARS"))</f>
        <v>#N/A</v>
      </c>
      <c r="K35" s="22" t="e">
        <f t="shared" ca="1" si="1"/>
        <v>#N/A</v>
      </c>
      <c r="L35" s="22" t="e">
        <f t="shared" ca="1" si="2"/>
        <v>#N/A</v>
      </c>
      <c r="M35" s="45" t="e" cm="1">
        <f t="array" aca="1" ref="M35" ca="1">INDIRECT(ADDRESS($A35,M$3,,,"scalars"))</f>
        <v>#N/A</v>
      </c>
      <c r="N35" s="23" t="e">
        <f t="shared" ca="1" si="3"/>
        <v>#N/A</v>
      </c>
      <c r="O35" s="23" t="e">
        <f t="shared" ca="1" si="4"/>
        <v>#N/A</v>
      </c>
      <c r="P35" s="478"/>
      <c r="Q35" s="476"/>
      <c r="R35" s="253" t="e">
        <f ca="1">IF(Q34&gt;R34,TRUE,FALSE)</f>
        <v>#N/A</v>
      </c>
      <c r="S35" s="224" t="e">
        <f ca="1">AND(IF(U34&gt;-S34,TRUE,FALSE),IF(X34&gt;0,TRUE,FALSE))</f>
        <v>#N/A</v>
      </c>
      <c r="T35" s="478"/>
      <c r="U35" s="476"/>
      <c r="V35" s="253" t="e">
        <f ca="1">IF(U34&gt;V34,TRUE,FALSE)</f>
        <v>#N/A</v>
      </c>
      <c r="W35" s="61" t="e">
        <f ca="1">AND(IF(Q34&gt;-W34,TRUE,FALSE),IF(X34&lt;0,TRUE,FALSE))</f>
        <v>#N/A</v>
      </c>
      <c r="X35" s="29" cm="1">
        <f t="array" aca="1" ref="X35" ca="1">INDIRECT(ADDRESS($C35,X$3,,,"mkt data"))</f>
        <v>0</v>
      </c>
      <c r="Y35" s="50">
        <f t="shared" ca="1" si="5"/>
        <v>0</v>
      </c>
      <c r="Z35" s="29" t="e">
        <f t="shared" ca="1" si="6"/>
        <v>#N/A</v>
      </c>
      <c r="AA35" s="486"/>
      <c r="AB35" s="463"/>
      <c r="AC35" s="181" t="str">
        <f t="shared" si="21"/>
        <v>ZG</v>
      </c>
      <c r="AD35" s="37" cm="1">
        <f t="array" aca="1" ref="AD35" ca="1">INDIRECT(ADDRESS($C35,AD$3,,,"mkt data"))</f>
        <v>35.139999000000003</v>
      </c>
      <c r="AE35" s="167">
        <f t="shared" ca="1" si="8"/>
        <v>34.774999999999999</v>
      </c>
      <c r="AF35" s="167">
        <f t="shared" ca="1" si="9"/>
        <v>-0.36499900000000451</v>
      </c>
      <c r="AG35" s="167">
        <f t="shared" ca="1" si="10"/>
        <v>0</v>
      </c>
      <c r="AH35" s="523"/>
      <c r="AI35" s="461"/>
      <c r="AJ35" s="459"/>
    </row>
    <row r="36" spans="1:36" x14ac:dyDescent="0.25">
      <c r="A36" s="74"/>
      <c r="B36" s="295"/>
      <c r="C36" s="74"/>
      <c r="D36" s="295"/>
      <c r="E36" s="74"/>
      <c r="F36" s="10"/>
      <c r="G36" s="8"/>
      <c r="H36" s="166"/>
      <c r="I36" s="166"/>
      <c r="J36" s="190"/>
      <c r="K36" s="18"/>
      <c r="L36" s="18"/>
      <c r="M36" s="191"/>
      <c r="N36" s="19"/>
      <c r="O36" s="19"/>
      <c r="P36" s="296"/>
      <c r="Q36" s="297"/>
      <c r="R36" s="192"/>
      <c r="S36" s="192"/>
      <c r="T36" s="296"/>
      <c r="U36" s="297"/>
      <c r="V36" s="192"/>
      <c r="W36" s="192"/>
      <c r="X36" s="28"/>
      <c r="Y36" s="49"/>
      <c r="Z36" s="28"/>
      <c r="AA36" s="298"/>
      <c r="AB36" s="384"/>
      <c r="AC36" s="299"/>
      <c r="AD36" s="166"/>
      <c r="AE36" s="166"/>
      <c r="AF36" s="166"/>
      <c r="AG36" s="166"/>
      <c r="AH36" s="300"/>
    </row>
    <row r="38" spans="1:36" x14ac:dyDescent="0.25">
      <c r="F38" s="236" t="s">
        <v>182</v>
      </c>
    </row>
    <row r="39" spans="1:36" x14ac:dyDescent="0.25">
      <c r="T39" s="7"/>
    </row>
    <row r="50" spans="8:8" x14ac:dyDescent="0.25">
      <c r="H50" s="8"/>
    </row>
    <row r="51" spans="8:8" x14ac:dyDescent="0.25">
      <c r="H51" s="8"/>
    </row>
  </sheetData>
  <mergeCells count="166">
    <mergeCell ref="B30:B31"/>
    <mergeCell ref="B32:B33"/>
    <mergeCell ref="B34:B35"/>
    <mergeCell ref="B12:B13"/>
    <mergeCell ref="B14:B15"/>
    <mergeCell ref="B16:B17"/>
    <mergeCell ref="B18:B19"/>
    <mergeCell ref="B20:B21"/>
    <mergeCell ref="B22:B23"/>
    <mergeCell ref="B24:B25"/>
    <mergeCell ref="B26:B27"/>
    <mergeCell ref="B28:B29"/>
    <mergeCell ref="AB20:AB21"/>
    <mergeCell ref="AB22:AB23"/>
    <mergeCell ref="AB24:AB25"/>
    <mergeCell ref="AG1:AG2"/>
    <mergeCell ref="AH1:AH2"/>
    <mergeCell ref="X4:AA4"/>
    <mergeCell ref="AA16:AA17"/>
    <mergeCell ref="AH16:AH17"/>
    <mergeCell ref="AH14:AH15"/>
    <mergeCell ref="AH12:AH13"/>
    <mergeCell ref="AH10:AH11"/>
    <mergeCell ref="AA6:AA7"/>
    <mergeCell ref="AH6:AH7"/>
    <mergeCell ref="AH8:AH9"/>
    <mergeCell ref="AF1:AF2"/>
    <mergeCell ref="AA8:AA9"/>
    <mergeCell ref="AA12:AA13"/>
    <mergeCell ref="AB6:AB7"/>
    <mergeCell ref="AB8:AB9"/>
    <mergeCell ref="AB10:AB11"/>
    <mergeCell ref="AB12:AB13"/>
    <mergeCell ref="P24:P25"/>
    <mergeCell ref="Q24:Q25"/>
    <mergeCell ref="T24:T25"/>
    <mergeCell ref="U24:U25"/>
    <mergeCell ref="AA24:AA25"/>
    <mergeCell ref="P22:P23"/>
    <mergeCell ref="Q22:Q23"/>
    <mergeCell ref="AA26:AA27"/>
    <mergeCell ref="AH24:AH25"/>
    <mergeCell ref="AH22:AH23"/>
    <mergeCell ref="AB26:AB27"/>
    <mergeCell ref="A4:C4"/>
    <mergeCell ref="H4:I4"/>
    <mergeCell ref="K4:L4"/>
    <mergeCell ref="N4:O4"/>
    <mergeCell ref="AA10:AA11"/>
    <mergeCell ref="T10:T11"/>
    <mergeCell ref="U10:U11"/>
    <mergeCell ref="P4:S4"/>
    <mergeCell ref="T4:W4"/>
    <mergeCell ref="B6:B7"/>
    <mergeCell ref="B8:B9"/>
    <mergeCell ref="B10:B11"/>
    <mergeCell ref="P34:P35"/>
    <mergeCell ref="Q34:Q35"/>
    <mergeCell ref="Q6:Q7"/>
    <mergeCell ref="T6:T7"/>
    <mergeCell ref="U6:U7"/>
    <mergeCell ref="Q8:Q9"/>
    <mergeCell ref="T8:T9"/>
    <mergeCell ref="U8:U9"/>
    <mergeCell ref="T18:T19"/>
    <mergeCell ref="U18:U19"/>
    <mergeCell ref="P6:P7"/>
    <mergeCell ref="P8:P9"/>
    <mergeCell ref="P32:P33"/>
    <mergeCell ref="P16:P17"/>
    <mergeCell ref="Q16:Q17"/>
    <mergeCell ref="T16:T17"/>
    <mergeCell ref="T22:T23"/>
    <mergeCell ref="U22:U23"/>
    <mergeCell ref="P20:P21"/>
    <mergeCell ref="Q20:Q21"/>
    <mergeCell ref="T20:T21"/>
    <mergeCell ref="U20:U21"/>
    <mergeCell ref="P26:P27"/>
    <mergeCell ref="Q26:Q27"/>
    <mergeCell ref="K1:L2"/>
    <mergeCell ref="X1:AA2"/>
    <mergeCell ref="P30:P31"/>
    <mergeCell ref="Q30:Q31"/>
    <mergeCell ref="T30:T31"/>
    <mergeCell ref="U30:U31"/>
    <mergeCell ref="P12:P13"/>
    <mergeCell ref="Q12:Q13"/>
    <mergeCell ref="T12:T13"/>
    <mergeCell ref="U12:U13"/>
    <mergeCell ref="P10:P11"/>
    <mergeCell ref="Q10:Q11"/>
    <mergeCell ref="P14:P15"/>
    <mergeCell ref="Q14:Q15"/>
    <mergeCell ref="T14:T15"/>
    <mergeCell ref="U14:U15"/>
    <mergeCell ref="U16:U17"/>
    <mergeCell ref="P28:P29"/>
    <mergeCell ref="Q28:Q29"/>
    <mergeCell ref="T28:T29"/>
    <mergeCell ref="U28:U29"/>
    <mergeCell ref="P18:P19"/>
    <mergeCell ref="Q18:Q19"/>
    <mergeCell ref="AA30:AA31"/>
    <mergeCell ref="AH30:AH31"/>
    <mergeCell ref="AA14:AA15"/>
    <mergeCell ref="AA34:AA35"/>
    <mergeCell ref="Q32:Q33"/>
    <mergeCell ref="T32:T33"/>
    <mergeCell ref="U32:U33"/>
    <mergeCell ref="T34:T35"/>
    <mergeCell ref="U34:U35"/>
    <mergeCell ref="AA18:AA19"/>
    <mergeCell ref="AH34:AH35"/>
    <mergeCell ref="AH18:AH19"/>
    <mergeCell ref="AH28:AH29"/>
    <mergeCell ref="AA32:AA33"/>
    <mergeCell ref="AH32:AH33"/>
    <mergeCell ref="AA28:AA29"/>
    <mergeCell ref="AA22:AA23"/>
    <mergeCell ref="AH26:AH27"/>
    <mergeCell ref="AA20:AA21"/>
    <mergeCell ref="AH20:AH21"/>
    <mergeCell ref="T26:T27"/>
    <mergeCell ref="U26:U27"/>
    <mergeCell ref="AB14:AB15"/>
    <mergeCell ref="AB16:AB17"/>
    <mergeCell ref="AB18:AB19"/>
    <mergeCell ref="AB28:AB29"/>
    <mergeCell ref="AB30:AB31"/>
    <mergeCell ref="AB32:AB33"/>
    <mergeCell ref="AB34:AB35"/>
    <mergeCell ref="AE1:AE2"/>
    <mergeCell ref="AI1:AJ2"/>
    <mergeCell ref="AK1:AK2"/>
    <mergeCell ref="AI4:AJ4"/>
    <mergeCell ref="AI6:AI7"/>
    <mergeCell ref="AJ6:AJ7"/>
    <mergeCell ref="AI8:AI9"/>
    <mergeCell ref="AJ8:AJ9"/>
    <mergeCell ref="AI10:AI11"/>
    <mergeCell ref="AJ10:AJ11"/>
    <mergeCell ref="AI12:AI13"/>
    <mergeCell ref="AJ12:AJ13"/>
    <mergeCell ref="AI14:AI15"/>
    <mergeCell ref="AJ14:AJ15"/>
    <mergeCell ref="AJ16:AJ17"/>
    <mergeCell ref="AI18:AI19"/>
    <mergeCell ref="AJ18:AJ19"/>
    <mergeCell ref="AI20:AI21"/>
    <mergeCell ref="AJ20:AJ21"/>
    <mergeCell ref="AI30:AI31"/>
    <mergeCell ref="AJ30:AJ31"/>
    <mergeCell ref="AI32:AI33"/>
    <mergeCell ref="AJ32:AJ33"/>
    <mergeCell ref="AI34:AI35"/>
    <mergeCell ref="AJ34:AJ35"/>
    <mergeCell ref="AI22:AI23"/>
    <mergeCell ref="AJ22:AJ23"/>
    <mergeCell ref="AI16:AI17"/>
    <mergeCell ref="AI24:AI25"/>
    <mergeCell ref="AJ24:AJ25"/>
    <mergeCell ref="AI26:AI27"/>
    <mergeCell ref="AJ26:AJ27"/>
    <mergeCell ref="AI28:AI29"/>
    <mergeCell ref="AJ28:AJ29"/>
  </mergeCells>
  <conditionalFormatting sqref="T1:T2 R49:R1048576 T49:T1048576 W24:W27 V47:W1048576 R1:R2 V1:W2 V46 V4:V5 R4:R5 R7 V7:V36 R9 R11 R13 R15 R17 R19 R21 R23 R25 R27 R29 R31 R33 R35:R36">
    <cfRule type="cellIs" dxfId="162" priority="118" operator="equal">
      <formula>TRUE</formula>
    </cfRule>
  </conditionalFormatting>
  <conditionalFormatting sqref="W47:W1048576 S1:S2 W1:W2 W4:W5 S4:S5 S7 W7:W36 S9 S11 S13 S15 S17 S19 S21 S23 S25 S27 S29 S31 S33 S35:S36">
    <cfRule type="cellIs" dxfId="161" priority="75" operator="equal">
      <formula>TRUE</formula>
    </cfRule>
  </conditionalFormatting>
  <conditionalFormatting sqref="N6:N7">
    <cfRule type="top10" dxfId="160" priority="61" rank="1"/>
  </conditionalFormatting>
  <conditionalFormatting sqref="O6:O7">
    <cfRule type="top10" dxfId="159" priority="62" bottom="1" rank="1"/>
  </conditionalFormatting>
  <conditionalFormatting sqref="N10:N11">
    <cfRule type="top10" dxfId="158" priority="59" rank="1"/>
  </conditionalFormatting>
  <conditionalFormatting sqref="O10:O11">
    <cfRule type="top10" dxfId="157" priority="60" bottom="1" rank="1"/>
  </conditionalFormatting>
  <conditionalFormatting sqref="N14:N15">
    <cfRule type="top10" dxfId="156" priority="57" rank="1"/>
  </conditionalFormatting>
  <conditionalFormatting sqref="O14:O15">
    <cfRule type="top10" dxfId="155" priority="58" bottom="1" rank="1"/>
  </conditionalFormatting>
  <conditionalFormatting sqref="N18:N19">
    <cfRule type="top10" dxfId="154" priority="55" rank="1"/>
  </conditionalFormatting>
  <conditionalFormatting sqref="O18:O19">
    <cfRule type="top10" dxfId="153" priority="56" bottom="1" rank="1"/>
  </conditionalFormatting>
  <conditionalFormatting sqref="N30:N31">
    <cfRule type="top10" dxfId="152" priority="53" rank="1"/>
  </conditionalFormatting>
  <conditionalFormatting sqref="O30:O31">
    <cfRule type="top10" dxfId="151" priority="54" bottom="1" rank="1"/>
  </conditionalFormatting>
  <conditionalFormatting sqref="N34:N36">
    <cfRule type="top10" dxfId="150" priority="51" rank="1"/>
  </conditionalFormatting>
  <conditionalFormatting sqref="O34:O36">
    <cfRule type="top10" dxfId="149" priority="52" bottom="1" rank="1"/>
  </conditionalFormatting>
  <conditionalFormatting sqref="N8:N9">
    <cfRule type="top10" dxfId="148" priority="49" rank="1"/>
  </conditionalFormatting>
  <conditionalFormatting sqref="O8:O9">
    <cfRule type="top10" dxfId="147" priority="50" bottom="1" rank="1"/>
  </conditionalFormatting>
  <conditionalFormatting sqref="N12:N13">
    <cfRule type="top10" dxfId="146" priority="47" rank="1"/>
  </conditionalFormatting>
  <conditionalFormatting sqref="O12:O13">
    <cfRule type="top10" dxfId="145" priority="48" bottom="1" rank="1"/>
  </conditionalFormatting>
  <conditionalFormatting sqref="N16:N17">
    <cfRule type="top10" dxfId="144" priority="45" rank="1"/>
  </conditionalFormatting>
  <conditionalFormatting sqref="O16:O17">
    <cfRule type="top10" dxfId="143" priority="46" bottom="1" rank="1"/>
  </conditionalFormatting>
  <conditionalFormatting sqref="N28:N29">
    <cfRule type="top10" dxfId="142" priority="43" rank="1"/>
  </conditionalFormatting>
  <conditionalFormatting sqref="O28:O29">
    <cfRule type="top10" dxfId="141" priority="44" bottom="1" rank="1"/>
  </conditionalFormatting>
  <conditionalFormatting sqref="N32:N33">
    <cfRule type="top10" dxfId="140" priority="41" rank="1"/>
  </conditionalFormatting>
  <conditionalFormatting sqref="O32:O33">
    <cfRule type="top10" dxfId="139" priority="42" bottom="1" rank="1"/>
  </conditionalFormatting>
  <conditionalFormatting sqref="S49:S1048576">
    <cfRule type="cellIs" dxfId="138" priority="38" operator="equal">
      <formula>TRUE</formula>
    </cfRule>
  </conditionalFormatting>
  <conditionalFormatting sqref="R25">
    <cfRule type="cellIs" dxfId="137" priority="31" operator="equal">
      <formula>TRUE</formula>
    </cfRule>
  </conditionalFormatting>
  <conditionalFormatting sqref="S25">
    <cfRule type="cellIs" dxfId="136" priority="30" operator="equal">
      <formula>TRUE</formula>
    </cfRule>
  </conditionalFormatting>
  <conditionalFormatting sqref="V24:V25">
    <cfRule type="cellIs" dxfId="135" priority="29" operator="equal">
      <formula>TRUE</formula>
    </cfRule>
  </conditionalFormatting>
  <conditionalFormatting sqref="W24:W25">
    <cfRule type="cellIs" dxfId="134" priority="28" operator="equal">
      <formula>TRUE</formula>
    </cfRule>
  </conditionalFormatting>
  <conditionalFormatting sqref="N24:N25">
    <cfRule type="top10" dxfId="133" priority="26" rank="1"/>
  </conditionalFormatting>
  <conditionalFormatting sqref="O24:O25">
    <cfRule type="top10" dxfId="132" priority="27" bottom="1" rank="1"/>
  </conditionalFormatting>
  <conditionalFormatting sqref="R27">
    <cfRule type="cellIs" dxfId="131" priority="25" operator="equal">
      <formula>TRUE</formula>
    </cfRule>
  </conditionalFormatting>
  <conditionalFormatting sqref="S27">
    <cfRule type="cellIs" dxfId="130" priority="24" operator="equal">
      <formula>TRUE</formula>
    </cfRule>
  </conditionalFormatting>
  <conditionalFormatting sqref="V26:V27">
    <cfRule type="cellIs" dxfId="129" priority="23" operator="equal">
      <formula>TRUE</formula>
    </cfRule>
  </conditionalFormatting>
  <conditionalFormatting sqref="W26:W27">
    <cfRule type="cellIs" dxfId="128" priority="22" operator="equal">
      <formula>TRUE</formula>
    </cfRule>
  </conditionalFormatting>
  <conditionalFormatting sqref="N26:N27">
    <cfRule type="top10" dxfId="127" priority="20" rank="1"/>
  </conditionalFormatting>
  <conditionalFormatting sqref="O26:O27">
    <cfRule type="top10" dxfId="126" priority="21" bottom="1" rank="1"/>
  </conditionalFormatting>
  <conditionalFormatting sqref="R21">
    <cfRule type="cellIs" dxfId="125" priority="19" operator="equal">
      <formula>TRUE</formula>
    </cfRule>
  </conditionalFormatting>
  <conditionalFormatting sqref="S21">
    <cfRule type="cellIs" dxfId="124" priority="18" operator="equal">
      <formula>TRUE</formula>
    </cfRule>
  </conditionalFormatting>
  <conditionalFormatting sqref="V20:V21">
    <cfRule type="cellIs" dxfId="123" priority="17" operator="equal">
      <formula>TRUE</formula>
    </cfRule>
  </conditionalFormatting>
  <conditionalFormatting sqref="W20:W21">
    <cfRule type="cellIs" dxfId="122" priority="16" operator="equal">
      <formula>TRUE</formula>
    </cfRule>
  </conditionalFormatting>
  <conditionalFormatting sqref="N20:N21">
    <cfRule type="top10" dxfId="121" priority="14" rank="1"/>
  </conditionalFormatting>
  <conditionalFormatting sqref="O20:O21">
    <cfRule type="top10" dxfId="120" priority="15" bottom="1" rank="1"/>
  </conditionalFormatting>
  <conditionalFormatting sqref="R23">
    <cfRule type="cellIs" dxfId="119" priority="13" operator="equal">
      <formula>TRUE</formula>
    </cfRule>
  </conditionalFormatting>
  <conditionalFormatting sqref="S23">
    <cfRule type="cellIs" dxfId="118" priority="12" operator="equal">
      <formula>TRUE</formula>
    </cfRule>
  </conditionalFormatting>
  <conditionalFormatting sqref="V22:V23">
    <cfRule type="cellIs" dxfId="117" priority="11" operator="equal">
      <formula>TRUE</formula>
    </cfRule>
  </conditionalFormatting>
  <conditionalFormatting sqref="W22:W23">
    <cfRule type="cellIs" dxfId="116" priority="10" operator="equal">
      <formula>TRUE</formula>
    </cfRule>
  </conditionalFormatting>
  <conditionalFormatting sqref="N22:N23">
    <cfRule type="top10" dxfId="115" priority="8" rank="1"/>
  </conditionalFormatting>
  <conditionalFormatting sqref="O22:O23">
    <cfRule type="top10" dxfId="114" priority="9" bottom="1" rank="1"/>
  </conditionalFormatting>
  <conditionalFormatting sqref="T6:U101 P6:Q101">
    <cfRule type="cellIs" dxfId="113" priority="7" operator="greaterThan">
      <formula>0</formula>
    </cfRule>
  </conditionalFormatting>
  <conditionalFormatting sqref="R6">
    <cfRule type="cellIs" dxfId="112" priority="6" operator="equal">
      <formula>TRUE</formula>
    </cfRule>
  </conditionalFormatting>
  <conditionalFormatting sqref="S6">
    <cfRule type="cellIs" dxfId="111" priority="5" operator="equal">
      <formula>TRUE</formula>
    </cfRule>
  </conditionalFormatting>
  <conditionalFormatting sqref="V6">
    <cfRule type="cellIs" dxfId="110" priority="4" operator="equal">
      <formula>TRUE</formula>
    </cfRule>
  </conditionalFormatting>
  <conditionalFormatting sqref="W6">
    <cfRule type="cellIs" dxfId="109" priority="3" operator="equal">
      <formula>TRUE</formula>
    </cfRule>
  </conditionalFormatting>
  <conditionalFormatting sqref="R34 R32 R30 R28 R26 R24 R22 R20 R18 R16 R14 R12 R10 R8">
    <cfRule type="cellIs" dxfId="108" priority="2" operator="equal">
      <formula>TRUE</formula>
    </cfRule>
  </conditionalFormatting>
  <conditionalFormatting sqref="S34 S32 S30 S28 S26 S24 S22 S20 S18 S16 S14 S12 S10 S8">
    <cfRule type="cellIs" dxfId="107" priority="1" operator="equal">
      <formula>TRUE</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AFD55-7319-401F-9C44-8A6C6F752354}">
  <sheetPr codeName="Sheet12">
    <tabColor theme="6" tint="0.79998168889431442"/>
  </sheetPr>
  <dimension ref="A1:AQ84"/>
  <sheetViews>
    <sheetView zoomScale="85" zoomScaleNormal="85" workbookViewId="0">
      <selection activeCell="M4" sqref="M4"/>
    </sheetView>
  </sheetViews>
  <sheetFormatPr defaultRowHeight="15" x14ac:dyDescent="0.25"/>
  <cols>
    <col min="5" max="5" width="11.140625" bestFit="1" customWidth="1"/>
    <col min="23" max="23" width="10.42578125" customWidth="1"/>
    <col min="28" max="28" width="9.140625" style="373"/>
    <col min="31" max="31" width="11.28515625" customWidth="1"/>
    <col min="35" max="35" width="6.85546875" bestFit="1" customWidth="1"/>
    <col min="36" max="36" width="9" customWidth="1"/>
    <col min="37" max="37" width="11.7109375" customWidth="1"/>
  </cols>
  <sheetData>
    <row r="1" spans="1:43" x14ac:dyDescent="0.25">
      <c r="A1" s="10"/>
      <c r="B1" s="10"/>
      <c r="C1" s="10"/>
      <c r="D1" s="10"/>
      <c r="E1" s="10"/>
      <c r="F1" s="10"/>
      <c r="G1" s="10"/>
      <c r="H1" s="10"/>
      <c r="I1" s="166"/>
      <c r="J1" s="190"/>
      <c r="K1" s="510">
        <v>5.4999999999999997E-3</v>
      </c>
      <c r="L1" s="510"/>
      <c r="M1" s="191"/>
      <c r="N1" s="19"/>
      <c r="O1" s="19"/>
      <c r="T1" s="229"/>
      <c r="U1" s="229"/>
      <c r="V1" s="192"/>
      <c r="W1" s="192"/>
      <c r="X1" s="495" t="str">
        <f>'MKT DATA'!J2</f>
        <v>2026-10-23_16-00-28</v>
      </c>
      <c r="Y1" s="495"/>
      <c r="Z1" s="495"/>
      <c r="AA1" s="495"/>
      <c r="AB1" s="383"/>
      <c r="AC1" s="193"/>
      <c r="AE1" s="518">
        <f ca="1">'INITIAL INPUTS'!H11</f>
        <v>1152.46693100006</v>
      </c>
      <c r="AF1" s="479" t="s">
        <v>175</v>
      </c>
      <c r="AG1" s="481">
        <f ca="1">SUM(AG6:AG64)</f>
        <v>0</v>
      </c>
      <c r="AH1" s="483">
        <f ca="1">SUM(AH34:AH64)</f>
        <v>0</v>
      </c>
      <c r="AI1" s="556">
        <f>SUM(AJ6:AJ64)</f>
        <v>0</v>
      </c>
      <c r="AJ1" s="557"/>
      <c r="AK1" s="518">
        <f ca="1">'INITIAL INPUTS'!I11</f>
        <v>3847.1845091987584</v>
      </c>
    </row>
    <row r="2" spans="1:43" ht="15.75" thickBot="1" x14ac:dyDescent="0.3">
      <c r="A2" s="10"/>
      <c r="B2" s="10"/>
      <c r="C2" s="10"/>
      <c r="D2" s="10"/>
      <c r="E2" s="10"/>
      <c r="F2" s="10"/>
      <c r="G2" s="10"/>
      <c r="H2" s="10"/>
      <c r="I2" s="2"/>
      <c r="J2" s="145"/>
      <c r="K2" s="511"/>
      <c r="L2" s="511"/>
      <c r="M2" s="7"/>
      <c r="N2" s="7"/>
      <c r="O2" s="7"/>
      <c r="T2" s="230"/>
      <c r="U2" s="230"/>
      <c r="V2" s="30"/>
      <c r="W2" s="1"/>
      <c r="X2" s="496"/>
      <c r="Y2" s="496"/>
      <c r="Z2" s="496"/>
      <c r="AA2" s="496"/>
      <c r="AB2" s="383"/>
      <c r="AC2" s="1"/>
      <c r="AD2" s="67"/>
      <c r="AE2" s="519"/>
      <c r="AF2" s="480"/>
      <c r="AG2" s="482"/>
      <c r="AH2" s="484"/>
      <c r="AI2" s="558"/>
      <c r="AJ2" s="482"/>
      <c r="AK2" s="519"/>
    </row>
    <row r="3" spans="1:43" s="74" customFormat="1" ht="15.75" thickBot="1" x14ac:dyDescent="0.3">
      <c r="A3" s="423" t="s">
        <v>415</v>
      </c>
      <c r="B3" s="399"/>
      <c r="C3" s="398"/>
      <c r="D3" s="70"/>
      <c r="E3" s="399">
        <v>2</v>
      </c>
      <c r="F3" s="399">
        <v>5</v>
      </c>
      <c r="G3" s="399"/>
      <c r="H3" s="411">
        <v>5</v>
      </c>
      <c r="I3" s="412">
        <v>6</v>
      </c>
      <c r="J3" s="413">
        <v>10</v>
      </c>
      <c r="K3" s="414"/>
      <c r="L3" s="415"/>
      <c r="M3" s="416">
        <v>9</v>
      </c>
      <c r="N3" s="417"/>
      <c r="O3" s="412"/>
      <c r="P3" s="411"/>
      <c r="Q3" s="417"/>
      <c r="R3" s="417">
        <v>20</v>
      </c>
      <c r="S3" s="418">
        <v>21</v>
      </c>
      <c r="T3" s="411"/>
      <c r="U3" s="417"/>
      <c r="V3" s="417">
        <v>24</v>
      </c>
      <c r="W3" s="412">
        <v>25</v>
      </c>
      <c r="X3" s="419">
        <v>9</v>
      </c>
      <c r="Y3" s="419"/>
      <c r="Z3" s="419"/>
      <c r="AA3" s="420"/>
      <c r="AB3" s="70"/>
      <c r="AC3" s="399"/>
      <c r="AD3" s="411">
        <v>8</v>
      </c>
      <c r="AE3" s="417"/>
      <c r="AF3" s="417"/>
      <c r="AG3" s="417"/>
      <c r="AH3" s="412"/>
      <c r="AI3" s="411"/>
      <c r="AJ3" s="412"/>
      <c r="AM3" s="421"/>
      <c r="AN3" s="422"/>
      <c r="AO3" s="422"/>
      <c r="AP3" s="422"/>
      <c r="AQ3" s="422"/>
    </row>
    <row r="4" spans="1:43" x14ac:dyDescent="0.25">
      <c r="A4" s="497" t="s">
        <v>55</v>
      </c>
      <c r="B4" s="498"/>
      <c r="C4" s="499"/>
      <c r="D4" s="247"/>
      <c r="E4" s="70"/>
      <c r="F4" s="52"/>
      <c r="G4" s="52"/>
      <c r="H4" s="502" t="s">
        <v>57</v>
      </c>
      <c r="I4" s="503"/>
      <c r="J4" s="90"/>
      <c r="K4" s="506" t="s">
        <v>179</v>
      </c>
      <c r="L4" s="507"/>
      <c r="M4" s="39"/>
      <c r="N4" s="490" t="s">
        <v>60</v>
      </c>
      <c r="O4" s="492"/>
      <c r="P4" s="489" t="s">
        <v>69</v>
      </c>
      <c r="Q4" s="490"/>
      <c r="R4" s="490"/>
      <c r="S4" s="491"/>
      <c r="T4" s="489" t="s">
        <v>70</v>
      </c>
      <c r="U4" s="490"/>
      <c r="V4" s="490" t="s">
        <v>68</v>
      </c>
      <c r="W4" s="492" t="s">
        <v>67</v>
      </c>
      <c r="X4" s="500" t="s">
        <v>61</v>
      </c>
      <c r="Y4" s="500"/>
      <c r="Z4" s="500"/>
      <c r="AA4" s="501"/>
      <c r="AB4" s="377" t="s">
        <v>331</v>
      </c>
      <c r="AC4" s="160"/>
      <c r="AD4" s="41"/>
      <c r="AE4" s="43" t="s">
        <v>174</v>
      </c>
      <c r="AF4" s="43" t="s">
        <v>177</v>
      </c>
      <c r="AG4" s="43"/>
      <c r="AH4" s="42" t="s">
        <v>231</v>
      </c>
      <c r="AI4" s="489" t="s">
        <v>333</v>
      </c>
      <c r="AJ4" s="492"/>
    </row>
    <row r="5" spans="1:43" ht="15.75" thickBot="1" x14ac:dyDescent="0.3">
      <c r="A5" s="31" t="s">
        <v>169</v>
      </c>
      <c r="B5" s="349" t="s">
        <v>353</v>
      </c>
      <c r="C5" s="32" t="s">
        <v>56</v>
      </c>
      <c r="D5" s="355" t="s">
        <v>65</v>
      </c>
      <c r="E5" s="71" t="s">
        <v>105</v>
      </c>
      <c r="F5" s="69" t="s">
        <v>76</v>
      </c>
      <c r="G5" s="53" t="s">
        <v>50</v>
      </c>
      <c r="H5" s="54" t="s">
        <v>58</v>
      </c>
      <c r="I5" s="55" t="s">
        <v>59</v>
      </c>
      <c r="J5" s="91" t="s">
        <v>129</v>
      </c>
      <c r="K5" s="188" t="s">
        <v>58</v>
      </c>
      <c r="L5" s="189" t="s">
        <v>59</v>
      </c>
      <c r="M5" s="56" t="s">
        <v>51</v>
      </c>
      <c r="N5" s="57" t="s">
        <v>53</v>
      </c>
      <c r="O5" s="58" t="s">
        <v>54</v>
      </c>
      <c r="P5" s="40" t="s">
        <v>66</v>
      </c>
      <c r="Q5" s="12" t="s">
        <v>24</v>
      </c>
      <c r="R5" s="251" t="s">
        <v>71</v>
      </c>
      <c r="S5" s="222" t="s">
        <v>72</v>
      </c>
      <c r="T5" s="40" t="s">
        <v>66</v>
      </c>
      <c r="U5" s="12" t="s">
        <v>24</v>
      </c>
      <c r="V5" s="251" t="s">
        <v>72</v>
      </c>
      <c r="W5" s="59" t="s">
        <v>71</v>
      </c>
      <c r="X5" s="131" t="s">
        <v>62</v>
      </c>
      <c r="Y5" s="132" t="s">
        <v>74</v>
      </c>
      <c r="Z5" s="133" t="s">
        <v>73</v>
      </c>
      <c r="AA5" s="134" t="s">
        <v>63</v>
      </c>
      <c r="AB5" s="378" t="s">
        <v>332</v>
      </c>
      <c r="AC5" s="53" t="str">
        <f t="shared" ref="AC5" si="0">G5</f>
        <v>symbol</v>
      </c>
      <c r="AD5" s="163" t="s">
        <v>170</v>
      </c>
      <c r="AE5" s="164" t="s">
        <v>176</v>
      </c>
      <c r="AF5" s="164" t="s">
        <v>172</v>
      </c>
      <c r="AG5" s="168" t="s">
        <v>173</v>
      </c>
      <c r="AH5" s="55" t="s">
        <v>173</v>
      </c>
      <c r="AI5" s="168" t="s">
        <v>24</v>
      </c>
      <c r="AJ5" s="55" t="s">
        <v>334</v>
      </c>
    </row>
    <row r="6" spans="1:43" x14ac:dyDescent="0.25">
      <c r="A6" s="75" t="e">
        <f>MATCH(G6,SCALARS!D:D,0)</f>
        <v>#N/A</v>
      </c>
      <c r="B6" s="524">
        <f>MATCH(G6,'SCALAR INPUTS'!E:E,0)</f>
        <v>49</v>
      </c>
      <c r="C6" s="76">
        <f>MATCH(G6,'MKT DATA'!B:B,0)</f>
        <v>76</v>
      </c>
      <c r="D6" s="353"/>
      <c r="E6" s="79" t="e" cm="1">
        <f t="array" aca="1" ref="E6" ca="1">INDIRECT(ADDRESS($A6,E$3,,,"scalars"))</f>
        <v>#N/A</v>
      </c>
      <c r="F6" s="75" t="e" cm="1">
        <f t="array" aca="1" ref="F6" ca="1">INDIRECT(ADDRESS($A6,F$3,,,"scalars"))</f>
        <v>#N/A</v>
      </c>
      <c r="G6" s="194" t="s">
        <v>237</v>
      </c>
      <c r="H6" s="33" cm="1">
        <f t="array" aca="1" ref="H6" ca="1">INDIRECT(ADDRESS($C6,H$3,,,"mkt data"))</f>
        <v>22.75</v>
      </c>
      <c r="I6" s="34" cm="1">
        <f t="array" aca="1" ref="I6" ca="1">INDIRECT(ADDRESS($C6,I$3,,,"mkt data"))</f>
        <v>22.77</v>
      </c>
      <c r="J6" s="150" t="e" cm="1">
        <f t="array" aca="1" ref="J6" ca="1">INDIRECT(ADDRESS($A6,J$3,,,"SCALARS"))</f>
        <v>#N/A</v>
      </c>
      <c r="K6" s="16" t="e">
        <f t="shared" ref="K6:K19" ca="1" si="1">H6+J6-K$1</f>
        <v>#N/A</v>
      </c>
      <c r="L6" s="16" t="e">
        <f t="shared" ref="L6:L19" ca="1" si="2">I6+J6+K$1</f>
        <v>#N/A</v>
      </c>
      <c r="M6" s="44" t="e" cm="1">
        <f t="array" aca="1" ref="M6" ca="1">INDIRECT(ADDRESS($A6,M$3,,,"scalars"))</f>
        <v>#N/A</v>
      </c>
      <c r="N6" s="17" t="e">
        <f ca="1">K6*M6</f>
        <v>#N/A</v>
      </c>
      <c r="O6" s="17" t="e">
        <f t="shared" ref="O6:O19" ca="1" si="3">M6*L6</f>
        <v>#N/A</v>
      </c>
      <c r="P6" s="477" t="e">
        <f ca="1">N7-O6</f>
        <v>#N/A</v>
      </c>
      <c r="Q6" s="475" t="e">
        <f ca="1">LN(N7/O6)</f>
        <v>#N/A</v>
      </c>
      <c r="R6" s="252" t="e" cm="1">
        <f t="array" aca="1" ref="R6" ca="1">-INDIRECT(ADDRESS($B6,R$3,,,"threshold info"))</f>
        <v>#REF!</v>
      </c>
      <c r="S6" s="223" t="e" cm="1">
        <f t="array" aca="1" ref="S6" ca="1">-INDIRECT(ADDRESS($B6,S$3,,,"threshold info"))</f>
        <v>#REF!</v>
      </c>
      <c r="T6" s="477" t="e">
        <f ca="1">N6-O7</f>
        <v>#N/A</v>
      </c>
      <c r="U6" s="475" t="e">
        <f ca="1">LN(N6/O7)</f>
        <v>#N/A</v>
      </c>
      <c r="V6" s="252" t="e" cm="1">
        <f t="array" aca="1" ref="V6" ca="1">INDIRECT(ADDRESS($B6,V$3,,,"threshold info"))</f>
        <v>#REF!</v>
      </c>
      <c r="W6" s="60" t="e" cm="1">
        <f t="array" aca="1" ref="W6" ca="1">INDIRECT(ADDRESS($B6,W$3,,,"threshold info"))</f>
        <v>#REF!</v>
      </c>
      <c r="X6" s="27" cm="1">
        <f t="array" aca="1" ref="X6" ca="1">INDIRECT(ADDRESS($C6,X$3,,,"mkt data"))</f>
        <v>0</v>
      </c>
      <c r="Y6" s="48">
        <f t="shared" ref="Y6:Y19" ca="1" si="4">X6*AVERAGE(H6:I6)</f>
        <v>0</v>
      </c>
      <c r="Z6" s="27" t="e">
        <f t="shared" ref="Z6:Z19" ca="1" si="5">X6/M6</f>
        <v>#N/A</v>
      </c>
      <c r="AA6" s="485" t="e">
        <f ca="1">SUM(Z6:Z7)</f>
        <v>#N/A</v>
      </c>
      <c r="AB6" s="462"/>
      <c r="AC6" s="173" t="str">
        <f t="shared" ref="AC6:AC19" si="6">G6</f>
        <v>BSJQ</v>
      </c>
      <c r="AD6" s="33" cm="1">
        <f t="array" aca="1" ref="AD6" ca="1">INDIRECT(ADDRESS($C6,AD$3,,,"mkt data"))</f>
        <v>22.754999000000002</v>
      </c>
      <c r="AE6" s="165">
        <f t="shared" ref="AE6:AE19" ca="1" si="7">AVERAGE(H6,I6)</f>
        <v>22.759999999999998</v>
      </c>
      <c r="AF6" s="165">
        <f t="shared" ref="AF6:AF19" ca="1" si="8">AE6-AD6</f>
        <v>5.0009999999964805E-3</v>
      </c>
      <c r="AG6" s="165">
        <f ca="1">AF6*X6</f>
        <v>0</v>
      </c>
      <c r="AH6" s="522">
        <f ca="1">AG6+AG7</f>
        <v>0</v>
      </c>
      <c r="AI6" s="554"/>
      <c r="AJ6" s="522"/>
    </row>
    <row r="7" spans="1:43" ht="15.75" thickBot="1" x14ac:dyDescent="0.3">
      <c r="A7" s="77" t="e">
        <f>MATCH(G7,SCALARS!D:D,0)</f>
        <v>#N/A</v>
      </c>
      <c r="B7" s="525"/>
      <c r="C7" s="78">
        <f>MATCH(G7,'MKT DATA'!B:B,0)</f>
        <v>83</v>
      </c>
      <c r="D7" s="354"/>
      <c r="E7" s="265" t="e" cm="1">
        <f t="array" aca="1" ref="E7" ca="1">INDIRECT(ADDRESS($A7,E$3,,,"scalars"))</f>
        <v>#N/A</v>
      </c>
      <c r="F7" s="77" t="e" cm="1">
        <f t="array" aca="1" ref="F7" ca="1">INDIRECT(ADDRESS($A7,F$3,,,"scalars"))</f>
        <v>#N/A</v>
      </c>
      <c r="G7" s="195" t="s">
        <v>238</v>
      </c>
      <c r="H7" s="37" cm="1">
        <f t="array" aca="1" ref="H7" ca="1">INDIRECT(ADDRESS($C7,H$3,,,"mkt data"))</f>
        <v>22.25</v>
      </c>
      <c r="I7" s="38" cm="1">
        <f t="array" aca="1" ref="I7" ca="1">INDIRECT(ADDRESS($C7,I$3,,,"mkt data"))</f>
        <v>22.55</v>
      </c>
      <c r="J7" s="151" t="e" cm="1">
        <f t="array" aca="1" ref="J7" ca="1">INDIRECT(ADDRESS($A7,J$3,,,"SCALARS"))</f>
        <v>#N/A</v>
      </c>
      <c r="K7" s="22" t="e">
        <f t="shared" ca="1" si="1"/>
        <v>#N/A</v>
      </c>
      <c r="L7" s="22" t="e">
        <f t="shared" ca="1" si="2"/>
        <v>#N/A</v>
      </c>
      <c r="M7" s="45" t="e" cm="1">
        <f t="array" aca="1" ref="M7" ca="1">INDIRECT(ADDRESS($A7,M$3,,,"scalars"))</f>
        <v>#N/A</v>
      </c>
      <c r="N7" s="23" t="e">
        <f t="shared" ref="N7:N9" ca="1" si="9">K7*M7</f>
        <v>#N/A</v>
      </c>
      <c r="O7" s="23" t="e">
        <f t="shared" ca="1" si="3"/>
        <v>#N/A</v>
      </c>
      <c r="P7" s="478"/>
      <c r="Q7" s="476"/>
      <c r="R7" s="253" t="e">
        <f ca="1">IF(Q6&gt;R6,TRUE,FALSE)</f>
        <v>#N/A</v>
      </c>
      <c r="S7" s="224" t="e">
        <f ca="1">AND(IF(U6&gt;-S6,TRUE,FALSE),IF(X6&gt;0,TRUE,FALSE))</f>
        <v>#N/A</v>
      </c>
      <c r="T7" s="478"/>
      <c r="U7" s="476"/>
      <c r="V7" s="253" t="e">
        <f ca="1">IF(U6&gt;V6,TRUE,FALSE)</f>
        <v>#N/A</v>
      </c>
      <c r="W7" s="61" t="e">
        <f ca="1">AND(IF(Q6&gt;-W6,TRUE,FALSE),IF(X6&lt;0,TRUE,FALSE))</f>
        <v>#N/A</v>
      </c>
      <c r="X7" s="29" cm="1">
        <f t="array" aca="1" ref="X7" ca="1">INDIRECT(ADDRESS($C7,X$3,,,"mkt data"))</f>
        <v>0</v>
      </c>
      <c r="Y7" s="50">
        <f t="shared" ca="1" si="4"/>
        <v>0</v>
      </c>
      <c r="Z7" s="29" t="e">
        <f t="shared" ca="1" si="5"/>
        <v>#N/A</v>
      </c>
      <c r="AA7" s="486"/>
      <c r="AB7" s="463"/>
      <c r="AC7" s="181" t="str">
        <f t="shared" si="6"/>
        <v>IBHF</v>
      </c>
      <c r="AD7" s="37" cm="1">
        <f t="array" aca="1" ref="AD7" ca="1">INDIRECT(ADDRESS($C7,AD$3,,,"mkt data"))</f>
        <v>22.52</v>
      </c>
      <c r="AE7" s="167">
        <f t="shared" ca="1" si="7"/>
        <v>22.4</v>
      </c>
      <c r="AF7" s="167">
        <f t="shared" ca="1" si="8"/>
        <v>-0.12000000000000099</v>
      </c>
      <c r="AG7" s="167">
        <f t="shared" ref="AG7:AG64" ca="1" si="10">AF7*X7</f>
        <v>0</v>
      </c>
      <c r="AH7" s="523"/>
      <c r="AI7" s="555"/>
      <c r="AJ7" s="523"/>
    </row>
    <row r="8" spans="1:43" x14ac:dyDescent="0.25">
      <c r="A8" s="75" t="e">
        <f>MATCH(G8,SCALARS!D:D,0)</f>
        <v>#N/A</v>
      </c>
      <c r="B8" s="524">
        <f>MATCH(G8,'SCALAR INPUTS'!E:E,0)</f>
        <v>53</v>
      </c>
      <c r="C8" s="76">
        <f>MATCH(G8,'MKT DATA'!B:B,0)</f>
        <v>77</v>
      </c>
      <c r="D8" s="353"/>
      <c r="E8" s="264" t="e" cm="1">
        <f t="array" aca="1" ref="E8" ca="1">INDIRECT(ADDRESS($A8,E$3,,,"scalars"))</f>
        <v>#N/A</v>
      </c>
      <c r="F8" s="75" t="e" cm="1">
        <f t="array" aca="1" ref="F8" ca="1">INDIRECT(ADDRESS($A8,F$3,,,"scalars"))</f>
        <v>#N/A</v>
      </c>
      <c r="G8" s="194" t="s">
        <v>239</v>
      </c>
      <c r="H8" s="33" cm="1">
        <f t="array" aca="1" ref="H8" ca="1">INDIRECT(ADDRESS($C8,H$3,,,"mkt data"))</f>
        <v>22.14</v>
      </c>
      <c r="I8" s="34" cm="1">
        <f t="array" aca="1" ref="I8" ca="1">INDIRECT(ADDRESS($C8,I$3,,,"mkt data"))</f>
        <v>22.16</v>
      </c>
      <c r="J8" s="150" t="e" cm="1">
        <f t="array" aca="1" ref="J8" ca="1">INDIRECT(ADDRESS($A8,J$3,,,"SCALARS"))</f>
        <v>#N/A</v>
      </c>
      <c r="K8" s="16" t="e">
        <f t="shared" ca="1" si="1"/>
        <v>#N/A</v>
      </c>
      <c r="L8" s="16" t="e">
        <f t="shared" ca="1" si="2"/>
        <v>#N/A</v>
      </c>
      <c r="M8" s="44" t="e" cm="1">
        <f t="array" aca="1" ref="M8" ca="1">INDIRECT(ADDRESS($A8,M$3,,,"scalars"))</f>
        <v>#N/A</v>
      </c>
      <c r="N8" s="17" t="e">
        <f t="shared" ca="1" si="9"/>
        <v>#N/A</v>
      </c>
      <c r="O8" s="17" t="e">
        <f t="shared" ca="1" si="3"/>
        <v>#N/A</v>
      </c>
      <c r="P8" s="477" t="e">
        <f ca="1">N9-O8</f>
        <v>#N/A</v>
      </c>
      <c r="Q8" s="475" t="e">
        <f ca="1">LN(N9/O8)</f>
        <v>#N/A</v>
      </c>
      <c r="R8" s="252" t="e" cm="1">
        <f t="array" aca="1" ref="R8" ca="1">-INDIRECT(ADDRESS($B8,R$3,,,"threshold info"))</f>
        <v>#REF!</v>
      </c>
      <c r="S8" s="223" t="e" cm="1">
        <f t="array" aca="1" ref="S8" ca="1">-INDIRECT(ADDRESS($B8,S$3,,,"threshold info"))</f>
        <v>#REF!</v>
      </c>
      <c r="T8" s="477" t="e">
        <f ca="1">N8-O9</f>
        <v>#N/A</v>
      </c>
      <c r="U8" s="475" t="e">
        <f ca="1">LN(N8/O9)</f>
        <v>#N/A</v>
      </c>
      <c r="V8" s="252" t="e" cm="1">
        <f t="array" aca="1" ref="V8" ca="1">INDIRECT(ADDRESS($B8,V$3,,,"threshold info"))</f>
        <v>#REF!</v>
      </c>
      <c r="W8" s="60" t="e" cm="1">
        <f t="array" aca="1" ref="W8" ca="1">INDIRECT(ADDRESS($B8,W$3,,,"threshold info"))</f>
        <v>#REF!</v>
      </c>
      <c r="X8" s="27" cm="1">
        <f t="array" aca="1" ref="X8" ca="1">INDIRECT(ADDRESS($C8,X$3,,,"mkt data"))</f>
        <v>0</v>
      </c>
      <c r="Y8" s="48">
        <f t="shared" ca="1" si="4"/>
        <v>0</v>
      </c>
      <c r="Z8" s="27" t="e">
        <f t="shared" ca="1" si="5"/>
        <v>#N/A</v>
      </c>
      <c r="AA8" s="534" t="e">
        <f ca="1">SUM(Z8:Z9)</f>
        <v>#N/A</v>
      </c>
      <c r="AB8" s="462"/>
      <c r="AC8" s="173" t="str">
        <f t="shared" si="6"/>
        <v>BSJR</v>
      </c>
      <c r="AD8" s="33" cm="1">
        <f t="array" aca="1" ref="AD8" ca="1">INDIRECT(ADDRESS($C8,AD$3,,,"mkt data"))</f>
        <v>22.145099999999999</v>
      </c>
      <c r="AE8" s="165">
        <f t="shared" ca="1" si="7"/>
        <v>22.15</v>
      </c>
      <c r="AF8" s="165">
        <f t="shared" ca="1" si="8"/>
        <v>4.8999999999992383E-3</v>
      </c>
      <c r="AG8" s="165">
        <f t="shared" ca="1" si="10"/>
        <v>0</v>
      </c>
      <c r="AH8" s="522">
        <f ca="1">AG8+AG9</f>
        <v>0</v>
      </c>
      <c r="AI8" s="554"/>
      <c r="AJ8" s="522"/>
    </row>
    <row r="9" spans="1:43" ht="15.75" thickBot="1" x14ac:dyDescent="0.3">
      <c r="A9" s="77" t="e">
        <f>MATCH(G9,SCALARS!D:D,0)</f>
        <v>#N/A</v>
      </c>
      <c r="B9" s="525"/>
      <c r="C9" s="78">
        <f>MATCH(G9,'MKT DATA'!B:B,0)</f>
        <v>84</v>
      </c>
      <c r="D9" s="354"/>
      <c r="E9" s="265" t="e" cm="1">
        <f t="array" aca="1" ref="E9" ca="1">INDIRECT(ADDRESS($A9,E$3,,,"scalars"))</f>
        <v>#N/A</v>
      </c>
      <c r="F9" s="77" t="e" cm="1">
        <f t="array" aca="1" ref="F9" ca="1">INDIRECT(ADDRESS($A9,F$3,,,"scalars"))</f>
        <v>#N/A</v>
      </c>
      <c r="G9" s="195" t="s">
        <v>240</v>
      </c>
      <c r="H9" s="37" cm="1">
        <f t="array" aca="1" ref="H9" ca="1">INDIRECT(ADDRESS($C9,H$3,,,"mkt data"))</f>
        <v>21.56</v>
      </c>
      <c r="I9" s="38" cm="1">
        <f t="array" aca="1" ref="I9" ca="1">INDIRECT(ADDRESS($C9,I$3,,,"mkt data"))</f>
        <v>21.8</v>
      </c>
      <c r="J9" s="151" t="e" cm="1">
        <f t="array" aca="1" ref="J9" ca="1">INDIRECT(ADDRESS($A9,J$3,,,"SCALARS"))</f>
        <v>#N/A</v>
      </c>
      <c r="K9" s="22" t="e">
        <f t="shared" ca="1" si="1"/>
        <v>#N/A</v>
      </c>
      <c r="L9" s="22" t="e">
        <f t="shared" ca="1" si="2"/>
        <v>#N/A</v>
      </c>
      <c r="M9" s="45" t="e" cm="1">
        <f t="array" aca="1" ref="M9" ca="1">INDIRECT(ADDRESS($A9,M$3,,,"scalars"))</f>
        <v>#N/A</v>
      </c>
      <c r="N9" s="23" t="e">
        <f t="shared" ca="1" si="9"/>
        <v>#N/A</v>
      </c>
      <c r="O9" s="23" t="e">
        <f t="shared" ca="1" si="3"/>
        <v>#N/A</v>
      </c>
      <c r="P9" s="478"/>
      <c r="Q9" s="476"/>
      <c r="R9" s="253" t="e">
        <f ca="1">IF(Q8&gt;R8,TRUE,FALSE)</f>
        <v>#N/A</v>
      </c>
      <c r="S9" s="224" t="e">
        <f ca="1">AND(IF(U8&gt;-S8,TRUE,FALSE),IF(X8&gt;0,TRUE,FALSE))</f>
        <v>#N/A</v>
      </c>
      <c r="T9" s="478"/>
      <c r="U9" s="476"/>
      <c r="V9" s="253" t="e">
        <f ca="1">IF(U8&gt;V8,TRUE,FALSE)</f>
        <v>#N/A</v>
      </c>
      <c r="W9" s="61" t="e">
        <f ca="1">AND(IF(Q8&gt;-W8,TRUE,FALSE),IF(X8&lt;0,TRUE,FALSE))</f>
        <v>#N/A</v>
      </c>
      <c r="X9" s="29" cm="1">
        <f t="array" aca="1" ref="X9" ca="1">INDIRECT(ADDRESS($C9,X$3,,,"mkt data"))</f>
        <v>0</v>
      </c>
      <c r="Y9" s="50">
        <f t="shared" ca="1" si="4"/>
        <v>0</v>
      </c>
      <c r="Z9" s="29" t="e">
        <f t="shared" ca="1" si="5"/>
        <v>#N/A</v>
      </c>
      <c r="AA9" s="535"/>
      <c r="AB9" s="463"/>
      <c r="AC9" s="181" t="str">
        <f t="shared" si="6"/>
        <v>IBHG</v>
      </c>
      <c r="AD9" s="37" cm="1">
        <f t="array" aca="1" ref="AD9" ca="1">INDIRECT(ADDRESS($C9,AD$3,,,"mkt data"))</f>
        <v>21.764999</v>
      </c>
      <c r="AE9" s="167">
        <f t="shared" ca="1" si="7"/>
        <v>21.68</v>
      </c>
      <c r="AF9" s="167">
        <f t="shared" ca="1" si="8"/>
        <v>-8.4998999999999825E-2</v>
      </c>
      <c r="AG9" s="167">
        <f t="shared" ca="1" si="10"/>
        <v>0</v>
      </c>
      <c r="AH9" s="523"/>
      <c r="AI9" s="555"/>
      <c r="AJ9" s="523"/>
    </row>
    <row r="10" spans="1:43" x14ac:dyDescent="0.25">
      <c r="A10" s="75" t="e">
        <f>MATCH(G10,SCALARS!D:D,0)</f>
        <v>#N/A</v>
      </c>
      <c r="B10" s="524">
        <f>MATCH(G10,'SCALAR INPUTS'!E:E,0)</f>
        <v>56</v>
      </c>
      <c r="C10" s="76">
        <f>MATCH(G10,'MKT DATA'!B:B,0)</f>
        <v>78</v>
      </c>
      <c r="D10" s="353"/>
      <c r="E10" s="264" t="e" cm="1">
        <f t="array" aca="1" ref="E10" ca="1">INDIRECT(ADDRESS($A10,E$3,,,"scalars"))</f>
        <v>#N/A</v>
      </c>
      <c r="F10" s="75" t="e" cm="1">
        <f t="array" aca="1" ref="F10" ca="1">INDIRECT(ADDRESS($A10,F$3,,,"scalars"))</f>
        <v>#N/A</v>
      </c>
      <c r="G10" s="194" t="s">
        <v>241</v>
      </c>
      <c r="H10" s="33" cm="1">
        <f t="array" aca="1" ref="H10" ca="1">INDIRECT(ADDRESS($C10,H$3,,,"mkt data"))</f>
        <v>21.38</v>
      </c>
      <c r="I10" s="34" cm="1">
        <f t="array" aca="1" ref="I10" ca="1">INDIRECT(ADDRESS($C10,I$3,,,"mkt data"))</f>
        <v>21.75</v>
      </c>
      <c r="J10" s="150" t="e" cm="1">
        <f t="array" aca="1" ref="J10" ca="1">INDIRECT(ADDRESS($A10,J$3,,,"SCALARS"))</f>
        <v>#N/A</v>
      </c>
      <c r="K10" s="16" t="e">
        <f t="shared" ca="1" si="1"/>
        <v>#N/A</v>
      </c>
      <c r="L10" s="16" t="e">
        <f t="shared" ca="1" si="2"/>
        <v>#N/A</v>
      </c>
      <c r="M10" s="44" t="e" cm="1">
        <f t="array" aca="1" ref="M10" ca="1">INDIRECT(ADDRESS($A10,M$3,,,"scalars"))</f>
        <v>#N/A</v>
      </c>
      <c r="N10" s="17" t="e">
        <f ca="1">K10*M10</f>
        <v>#N/A</v>
      </c>
      <c r="O10" s="17" t="e">
        <f t="shared" ca="1" si="3"/>
        <v>#N/A</v>
      </c>
      <c r="P10" s="477" t="e">
        <f ca="1">N11-O10</f>
        <v>#N/A</v>
      </c>
      <c r="Q10" s="475" t="e">
        <f ca="1">LN(N11/O10)</f>
        <v>#N/A</v>
      </c>
      <c r="R10" s="252" t="e" cm="1">
        <f t="array" aca="1" ref="R10" ca="1">-INDIRECT(ADDRESS($B10,R$3,,,"threshold info"))</f>
        <v>#REF!</v>
      </c>
      <c r="S10" s="223" t="e" cm="1">
        <f t="array" aca="1" ref="S10" ca="1">-INDIRECT(ADDRESS($B10,S$3,,,"threshold info"))</f>
        <v>#REF!</v>
      </c>
      <c r="T10" s="477" t="e">
        <f ca="1">N10-O11</f>
        <v>#N/A</v>
      </c>
      <c r="U10" s="475" t="e">
        <f ca="1">LN(N10/O11)</f>
        <v>#N/A</v>
      </c>
      <c r="V10" s="252" t="e" cm="1">
        <f t="array" aca="1" ref="V10" ca="1">INDIRECT(ADDRESS($B10,V$3,,,"threshold info"))</f>
        <v>#REF!</v>
      </c>
      <c r="W10" s="60" t="e" cm="1">
        <f t="array" aca="1" ref="W10" ca="1">INDIRECT(ADDRESS($B10,W$3,,,"threshold info"))</f>
        <v>#REF!</v>
      </c>
      <c r="X10" s="27" cm="1">
        <f t="array" aca="1" ref="X10" ca="1">INDIRECT(ADDRESS($C10,X$3,,,"mkt data"))</f>
        <v>0</v>
      </c>
      <c r="Y10" s="48">
        <f t="shared" ca="1" si="4"/>
        <v>0</v>
      </c>
      <c r="Z10" s="27" t="e">
        <f t="shared" ca="1" si="5"/>
        <v>#N/A</v>
      </c>
      <c r="AA10" s="534" t="e">
        <f ca="1">SUM(Z10:Z11)</f>
        <v>#N/A</v>
      </c>
      <c r="AB10" s="474"/>
      <c r="AC10" s="173" t="str">
        <f t="shared" si="6"/>
        <v>BSJS</v>
      </c>
      <c r="AD10" s="33" cm="1">
        <f t="array" aca="1" ref="AD10" ca="1">INDIRECT(ADDRESS($C10,AD$3,,,"mkt data"))</f>
        <v>21.469999000000001</v>
      </c>
      <c r="AE10" s="165">
        <f t="shared" ca="1" si="7"/>
        <v>21.564999999999998</v>
      </c>
      <c r="AF10" s="165">
        <f t="shared" ca="1" si="8"/>
        <v>9.5000999999996338E-2</v>
      </c>
      <c r="AG10" s="165">
        <f t="shared" ca="1" si="10"/>
        <v>0</v>
      </c>
      <c r="AH10" s="522">
        <f ca="1">AG10+AG11</f>
        <v>0</v>
      </c>
      <c r="AI10" s="554"/>
      <c r="AJ10" s="522"/>
    </row>
    <row r="11" spans="1:43" ht="15.75" thickBot="1" x14ac:dyDescent="0.3">
      <c r="A11" s="77" t="e">
        <f>MATCH(G11,SCALARS!D:D,0)</f>
        <v>#N/A</v>
      </c>
      <c r="B11" s="525"/>
      <c r="C11" s="78">
        <f>MATCH(G11,'MKT DATA'!B:B,0)</f>
        <v>85</v>
      </c>
      <c r="D11" s="354"/>
      <c r="E11" s="265" t="e" cm="1">
        <f t="array" aca="1" ref="E11" ca="1">INDIRECT(ADDRESS($A11,E$3,,,"scalars"))</f>
        <v>#N/A</v>
      </c>
      <c r="F11" s="77" t="e" cm="1">
        <f t="array" aca="1" ref="F11" ca="1">INDIRECT(ADDRESS($A11,F$3,,,"scalars"))</f>
        <v>#N/A</v>
      </c>
      <c r="G11" s="195" t="s">
        <v>242</v>
      </c>
      <c r="H11" s="37" cm="1">
        <f t="array" aca="1" ref="H11" ca="1">INDIRECT(ADDRESS($C11,H$3,,,"mkt data"))</f>
        <v>23.12</v>
      </c>
      <c r="I11" s="38" cm="1">
        <f t="array" aca="1" ref="I11" ca="1">INDIRECT(ADDRESS($C11,I$3,,,"mkt data"))</f>
        <v>23.37</v>
      </c>
      <c r="J11" s="151" t="e" cm="1">
        <f t="array" aca="1" ref="J11" ca="1">INDIRECT(ADDRESS($A11,J$3,,,"SCALARS"))</f>
        <v>#N/A</v>
      </c>
      <c r="K11" s="22" t="e">
        <f t="shared" ca="1" si="1"/>
        <v>#N/A</v>
      </c>
      <c r="L11" s="22" t="e">
        <f t="shared" ca="1" si="2"/>
        <v>#N/A</v>
      </c>
      <c r="M11" s="45" t="e" cm="1">
        <f t="array" aca="1" ref="M11" ca="1">INDIRECT(ADDRESS($A11,M$3,,,"scalars"))</f>
        <v>#N/A</v>
      </c>
      <c r="N11" s="23" t="e">
        <f t="shared" ref="N11:N12" ca="1" si="11">K11*M11</f>
        <v>#N/A</v>
      </c>
      <c r="O11" s="23" t="e">
        <f t="shared" ca="1" si="3"/>
        <v>#N/A</v>
      </c>
      <c r="P11" s="478"/>
      <c r="Q11" s="476"/>
      <c r="R11" s="253" t="e">
        <f ca="1">IF(Q10&gt;R10,TRUE,FALSE)</f>
        <v>#N/A</v>
      </c>
      <c r="S11" s="224" t="e">
        <f ca="1">AND(IF(U10&gt;-S10,TRUE,FALSE),IF(X10&gt;0,TRUE,FALSE))</f>
        <v>#N/A</v>
      </c>
      <c r="T11" s="478"/>
      <c r="U11" s="476"/>
      <c r="V11" s="253" t="e">
        <f ca="1">IF(U10&gt;V10,TRUE,FALSE)</f>
        <v>#N/A</v>
      </c>
      <c r="W11" s="61" t="e">
        <f ca="1">AND(IF(Q10&gt;-W10,TRUE,FALSE),IF(X10&lt;0,TRUE,FALSE))</f>
        <v>#N/A</v>
      </c>
      <c r="X11" s="29" cm="1">
        <f t="array" aca="1" ref="X11" ca="1">INDIRECT(ADDRESS($C11,X$3,,,"mkt data"))</f>
        <v>0</v>
      </c>
      <c r="Y11" s="50">
        <f t="shared" ca="1" si="4"/>
        <v>0</v>
      </c>
      <c r="Z11" s="29" t="e">
        <f t="shared" ca="1" si="5"/>
        <v>#N/A</v>
      </c>
      <c r="AA11" s="535"/>
      <c r="AB11" s="463"/>
      <c r="AC11" s="181" t="str">
        <f t="shared" si="6"/>
        <v>IBHH</v>
      </c>
      <c r="AD11" s="37" cm="1">
        <f t="array" aca="1" ref="AD11" ca="1">INDIRECT(ADDRESS($C11,AD$3,,,"mkt data"))</f>
        <v>23.16</v>
      </c>
      <c r="AE11" s="167">
        <f t="shared" ca="1" si="7"/>
        <v>23.245000000000001</v>
      </c>
      <c r="AF11" s="167">
        <f t="shared" ca="1" si="8"/>
        <v>8.5000000000000853E-2</v>
      </c>
      <c r="AG11" s="167">
        <f t="shared" ca="1" si="10"/>
        <v>0</v>
      </c>
      <c r="AH11" s="523"/>
      <c r="AI11" s="555"/>
      <c r="AJ11" s="523"/>
    </row>
    <row r="12" spans="1:43" x14ac:dyDescent="0.25">
      <c r="A12" s="75" t="e">
        <f>MATCH(G12,SCALARS!D:D,0)</f>
        <v>#N/A</v>
      </c>
      <c r="B12" s="524">
        <f>MATCH(G12,'SCALAR INPUTS'!E:E,0)</f>
        <v>61</v>
      </c>
      <c r="C12" s="76">
        <f>MATCH(G12,'MKT DATA'!B:B,0)</f>
        <v>79</v>
      </c>
      <c r="D12" s="353"/>
      <c r="E12" s="264" t="e" cm="1">
        <f t="array" aca="1" ref="E12" ca="1">INDIRECT(ADDRESS($A12,E$3,,,"scalars"))</f>
        <v>#N/A</v>
      </c>
      <c r="F12" s="75" t="e" cm="1">
        <f t="array" aca="1" ref="F12" ca="1">INDIRECT(ADDRESS($A12,F$3,,,"scalars"))</f>
        <v>#N/A</v>
      </c>
      <c r="G12" s="194" t="s">
        <v>243</v>
      </c>
      <c r="H12" s="33" cm="1">
        <f t="array" aca="1" ref="H12" ca="1">INDIRECT(ADDRESS($C12,H$3,,,"mkt data"))</f>
        <v>20.12</v>
      </c>
      <c r="I12" s="34" cm="1">
        <f t="array" aca="1" ref="I12" ca="1">INDIRECT(ADDRESS($C12,I$3,,,"mkt data"))</f>
        <v>20.65</v>
      </c>
      <c r="J12" s="150" t="e" cm="1">
        <f t="array" aca="1" ref="J12" ca="1">INDIRECT(ADDRESS($A12,J$3,,,"SCALARS"))</f>
        <v>#N/A</v>
      </c>
      <c r="K12" s="16" t="e">
        <f t="shared" ca="1" si="1"/>
        <v>#N/A</v>
      </c>
      <c r="L12" s="16" t="e">
        <f t="shared" ca="1" si="2"/>
        <v>#N/A</v>
      </c>
      <c r="M12" s="44" t="e" cm="1">
        <f t="array" aca="1" ref="M12" ca="1">INDIRECT(ADDRESS($A12,M$3,,,"scalars"))</f>
        <v>#N/A</v>
      </c>
      <c r="N12" s="17" t="e">
        <f t="shared" ca="1" si="11"/>
        <v>#N/A</v>
      </c>
      <c r="O12" s="17" t="e">
        <f t="shared" ca="1" si="3"/>
        <v>#N/A</v>
      </c>
      <c r="P12" s="477" t="e">
        <f ca="1">N13-O12</f>
        <v>#N/A</v>
      </c>
      <c r="Q12" s="475" t="e">
        <f ca="1">LN(N13/O12)</f>
        <v>#N/A</v>
      </c>
      <c r="R12" s="252" t="e" cm="1">
        <f t="array" aca="1" ref="R12" ca="1">-INDIRECT(ADDRESS($B12,R$3,,,"threshold info"))</f>
        <v>#REF!</v>
      </c>
      <c r="S12" s="223" t="e" cm="1">
        <f t="array" aca="1" ref="S12" ca="1">-INDIRECT(ADDRESS($B12,S$3,,,"threshold info"))</f>
        <v>#REF!</v>
      </c>
      <c r="T12" s="477" t="e">
        <f ca="1">N12-O13</f>
        <v>#N/A</v>
      </c>
      <c r="U12" s="475" t="e">
        <f ca="1">LN(N12/O13)</f>
        <v>#N/A</v>
      </c>
      <c r="V12" s="252" t="e" cm="1">
        <f t="array" aca="1" ref="V12" ca="1">INDIRECT(ADDRESS($B12,V$3,,,"threshold info"))</f>
        <v>#REF!</v>
      </c>
      <c r="W12" s="60" t="e" cm="1">
        <f t="array" aca="1" ref="W12" ca="1">INDIRECT(ADDRESS($B12,W$3,,,"threshold info"))</f>
        <v>#REF!</v>
      </c>
      <c r="X12" s="27" cm="1">
        <f t="array" aca="1" ref="X12" ca="1">INDIRECT(ADDRESS($C12,X$3,,,"mkt data"))</f>
        <v>0</v>
      </c>
      <c r="Y12" s="48">
        <f t="shared" ca="1" si="4"/>
        <v>0</v>
      </c>
      <c r="Z12" s="27" t="e">
        <f t="shared" ca="1" si="5"/>
        <v>#N/A</v>
      </c>
      <c r="AA12" s="550" t="e">
        <f ca="1">SUM(Z12:Z13)</f>
        <v>#N/A</v>
      </c>
      <c r="AB12" s="462"/>
      <c r="AC12" s="173" t="str">
        <f t="shared" si="6"/>
        <v>BSJT</v>
      </c>
      <c r="AD12" s="33" cm="1">
        <f t="array" aca="1" ref="AD12" ca="1">INDIRECT(ADDRESS($C12,AD$3,,,"mkt data"))</f>
        <v>20.65</v>
      </c>
      <c r="AE12" s="165">
        <f t="shared" ca="1" si="7"/>
        <v>20.384999999999998</v>
      </c>
      <c r="AF12" s="165">
        <f t="shared" ca="1" si="8"/>
        <v>-0.26500000000000057</v>
      </c>
      <c r="AG12" s="165">
        <f t="shared" ca="1" si="10"/>
        <v>0</v>
      </c>
      <c r="AH12" s="522">
        <f ca="1">AG12+AG13</f>
        <v>0</v>
      </c>
      <c r="AI12" s="554"/>
      <c r="AJ12" s="522"/>
    </row>
    <row r="13" spans="1:43" ht="15.75" thickBot="1" x14ac:dyDescent="0.3">
      <c r="A13" s="77" t="e">
        <f>MATCH(G13,SCALARS!D:D,0)</f>
        <v>#N/A</v>
      </c>
      <c r="B13" s="525"/>
      <c r="C13" s="78">
        <f>MATCH(G13,'MKT DATA'!B:B,0)</f>
        <v>86</v>
      </c>
      <c r="D13" s="354"/>
      <c r="E13" s="265" t="e" cm="1">
        <f t="array" aca="1" ref="E13" ca="1">INDIRECT(ADDRESS($A13,E$3,,,"scalars"))</f>
        <v>#N/A</v>
      </c>
      <c r="F13" s="77" t="e" cm="1">
        <f t="array" aca="1" ref="F13" ca="1">INDIRECT(ADDRESS($A13,F$3,,,"scalars"))</f>
        <v>#N/A</v>
      </c>
      <c r="G13" s="195" t="s">
        <v>244</v>
      </c>
      <c r="H13" s="37" cm="1">
        <f t="array" aca="1" ref="H13" ca="1">INDIRECT(ADDRESS($C13,H$3,,,"mkt data"))</f>
        <v>22.61</v>
      </c>
      <c r="I13" s="38" cm="1">
        <f t="array" aca="1" ref="I13" ca="1">INDIRECT(ADDRESS($C13,I$3,,,"mkt data"))</f>
        <v>23</v>
      </c>
      <c r="J13" s="151" t="e" cm="1">
        <f t="array" aca="1" ref="J13" ca="1">INDIRECT(ADDRESS($A13,J$3,,,"SCALARS"))</f>
        <v>#N/A</v>
      </c>
      <c r="K13" s="22" t="e">
        <f t="shared" ca="1" si="1"/>
        <v>#N/A</v>
      </c>
      <c r="L13" s="22" t="e">
        <f t="shared" ca="1" si="2"/>
        <v>#N/A</v>
      </c>
      <c r="M13" s="45" t="e" cm="1">
        <f t="array" aca="1" ref="M13" ca="1">INDIRECT(ADDRESS($A13,M$3,,,"scalars"))</f>
        <v>#N/A</v>
      </c>
      <c r="N13" s="23" t="e">
        <f ca="1">K13*M13</f>
        <v>#N/A</v>
      </c>
      <c r="O13" s="23" t="e">
        <f t="shared" ca="1" si="3"/>
        <v>#N/A</v>
      </c>
      <c r="P13" s="478"/>
      <c r="Q13" s="476"/>
      <c r="R13" s="253" t="e">
        <f ca="1">IF(Q12&gt;R12,TRUE,FALSE)</f>
        <v>#N/A</v>
      </c>
      <c r="S13" s="224" t="e">
        <f ca="1">AND(IF(U12&gt;-S12,TRUE,FALSE),IF(X12&gt;0,TRUE,FALSE))</f>
        <v>#N/A</v>
      </c>
      <c r="T13" s="478"/>
      <c r="U13" s="476"/>
      <c r="V13" s="253" t="e">
        <f ca="1">IF(U12&gt;V12,TRUE,FALSE)</f>
        <v>#N/A</v>
      </c>
      <c r="W13" s="61" t="e">
        <f ca="1">AND(IF(Q12&gt;-W12,TRUE,FALSE),IF(X12&lt;0,TRUE,FALSE))</f>
        <v>#N/A</v>
      </c>
      <c r="X13" s="29" cm="1">
        <f t="array" aca="1" ref="X13" ca="1">INDIRECT(ADDRESS($C13,X$3,,,"mkt data"))</f>
        <v>0</v>
      </c>
      <c r="Y13" s="50">
        <f t="shared" ca="1" si="4"/>
        <v>0</v>
      </c>
      <c r="Z13" s="29" t="e">
        <f t="shared" ca="1" si="5"/>
        <v>#N/A</v>
      </c>
      <c r="AA13" s="551"/>
      <c r="AB13" s="463"/>
      <c r="AC13" s="181" t="str">
        <f t="shared" si="6"/>
        <v>IBHI</v>
      </c>
      <c r="AD13" s="37" cm="1">
        <f t="array" aca="1" ref="AD13" ca="1">INDIRECT(ADDRESS($C13,AD$3,,,"mkt data"))</f>
        <v>22.82</v>
      </c>
      <c r="AE13" s="167">
        <f t="shared" ca="1" si="7"/>
        <v>22.805</v>
      </c>
      <c r="AF13" s="167">
        <f t="shared" ca="1" si="8"/>
        <v>-1.5000000000000568E-2</v>
      </c>
      <c r="AG13" s="167">
        <f t="shared" ca="1" si="10"/>
        <v>0</v>
      </c>
      <c r="AH13" s="523"/>
      <c r="AI13" s="555"/>
      <c r="AJ13" s="523"/>
    </row>
    <row r="14" spans="1:43" x14ac:dyDescent="0.25">
      <c r="A14" s="75" t="e">
        <f>MATCH(G14,SCALARS!D:D,0)</f>
        <v>#N/A</v>
      </c>
      <c r="B14" s="524">
        <f>MATCH(G14,'SCALAR INPUTS'!E:E,0)</f>
        <v>64</v>
      </c>
      <c r="C14" s="76">
        <f>MATCH(G14,'MKT DATA'!B:B,0)</f>
        <v>80</v>
      </c>
      <c r="D14" s="353"/>
      <c r="E14" s="264" t="e" cm="1">
        <f t="array" aca="1" ref="E14" ca="1">INDIRECT(ADDRESS($A14,E$3,,,"scalars"))</f>
        <v>#N/A</v>
      </c>
      <c r="F14" s="75" t="e" cm="1">
        <f t="array" aca="1" ref="F14" ca="1">INDIRECT(ADDRESS($A14,F$3,,,"scalars"))</f>
        <v>#N/A</v>
      </c>
      <c r="G14" s="194" t="s">
        <v>245</v>
      </c>
      <c r="H14" s="33" cm="1">
        <f t="array" aca="1" ref="H14" ca="1">INDIRECT(ADDRESS($C14,H$3,,,"mkt data"))</f>
        <v>23.64</v>
      </c>
      <c r="I14" s="34" cm="1">
        <f t="array" aca="1" ref="I14" ca="1">INDIRECT(ADDRESS($C14,I$3,,,"mkt data"))</f>
        <v>25.2</v>
      </c>
      <c r="J14" s="150" t="e" cm="1">
        <f t="array" aca="1" ref="J14" ca="1">INDIRECT(ADDRESS($A14,J$3,,,"SCALARS"))</f>
        <v>#N/A</v>
      </c>
      <c r="K14" s="16" t="e">
        <f t="shared" ca="1" si="1"/>
        <v>#N/A</v>
      </c>
      <c r="L14" s="16" t="e">
        <f t="shared" ca="1" si="2"/>
        <v>#N/A</v>
      </c>
      <c r="M14" s="44" t="e" cm="1">
        <f t="array" aca="1" ref="M14" ca="1">INDIRECT(ADDRESS($A14,M$3,,,"scalars"))</f>
        <v>#N/A</v>
      </c>
      <c r="N14" s="17" t="e">
        <f ca="1">K14*M14</f>
        <v>#N/A</v>
      </c>
      <c r="O14" s="17" t="e">
        <f t="shared" ca="1" si="3"/>
        <v>#N/A</v>
      </c>
      <c r="P14" s="477" t="e">
        <f ca="1">N15-O14</f>
        <v>#N/A</v>
      </c>
      <c r="Q14" s="475" t="e">
        <f t="shared" ref="Q14" ca="1" si="12">LN(N15/O14)</f>
        <v>#N/A</v>
      </c>
      <c r="R14" s="252" t="e" cm="1">
        <f t="array" aca="1" ref="R14" ca="1">-INDIRECT(ADDRESS($B14,R$3,,,"threshold info"))</f>
        <v>#REF!</v>
      </c>
      <c r="S14" s="223" t="e" cm="1">
        <f t="array" aca="1" ref="S14" ca="1">-INDIRECT(ADDRESS($B14,S$3,,,"threshold info"))</f>
        <v>#REF!</v>
      </c>
      <c r="T14" s="477" t="e">
        <f ca="1">N14-O15</f>
        <v>#N/A</v>
      </c>
      <c r="U14" s="475" t="e">
        <f t="shared" ref="U14" ca="1" si="13">LN(N14/O15)</f>
        <v>#N/A</v>
      </c>
      <c r="V14" s="252" t="e" cm="1">
        <f t="array" aca="1" ref="V14" ca="1">INDIRECT(ADDRESS($B14,V$3,,,"threshold info"))</f>
        <v>#REF!</v>
      </c>
      <c r="W14" s="60" t="e" cm="1">
        <f t="array" aca="1" ref="W14" ca="1">INDIRECT(ADDRESS($B14,W$3,,,"threshold info"))</f>
        <v>#REF!</v>
      </c>
      <c r="X14" s="27" cm="1">
        <f t="array" aca="1" ref="X14" ca="1">INDIRECT(ADDRESS($C14,X$3,,,"mkt data"))</f>
        <v>0</v>
      </c>
      <c r="Y14" s="48">
        <f t="shared" ca="1" si="4"/>
        <v>0</v>
      </c>
      <c r="Z14" s="27" t="e">
        <f t="shared" ca="1" si="5"/>
        <v>#N/A</v>
      </c>
      <c r="AA14" s="534" t="e">
        <f ca="1">SUM(Z14:Z15)</f>
        <v>#N/A</v>
      </c>
      <c r="AB14" s="462"/>
      <c r="AC14" s="173" t="str">
        <f t="shared" si="6"/>
        <v>BSJU</v>
      </c>
      <c r="AD14" s="33" cm="1">
        <f t="array" aca="1" ref="AD14" ca="1">INDIRECT(ADDRESS($C14,AD$3,,,"mkt data"))</f>
        <v>24.84</v>
      </c>
      <c r="AE14" s="165">
        <f t="shared" ca="1" si="7"/>
        <v>24.42</v>
      </c>
      <c r="AF14" s="165">
        <f t="shared" ca="1" si="8"/>
        <v>-0.41999999999999815</v>
      </c>
      <c r="AG14" s="165">
        <f t="shared" ca="1" si="10"/>
        <v>0</v>
      </c>
      <c r="AH14" s="522">
        <f ca="1">AG14+AG15</f>
        <v>0</v>
      </c>
      <c r="AI14" s="554"/>
      <c r="AJ14" s="522"/>
    </row>
    <row r="15" spans="1:43" ht="15.75" thickBot="1" x14ac:dyDescent="0.3">
      <c r="A15" s="77" t="e">
        <f>MATCH(G15,SCALARS!D:D,0)</f>
        <v>#N/A</v>
      </c>
      <c r="B15" s="525"/>
      <c r="C15" s="78">
        <f>MATCH(G15,'MKT DATA'!B:B,0)</f>
        <v>87</v>
      </c>
      <c r="D15" s="354"/>
      <c r="E15" s="265" t="e" cm="1">
        <f t="array" aca="1" ref="E15" ca="1">INDIRECT(ADDRESS($A15,E$3,,,"scalars"))</f>
        <v>#N/A</v>
      </c>
      <c r="F15" s="77" t="e" cm="1">
        <f t="array" aca="1" ref="F15" ca="1">INDIRECT(ADDRESS($A15,F$3,,,"scalars"))</f>
        <v>#N/A</v>
      </c>
      <c r="G15" s="195" t="s">
        <v>246</v>
      </c>
      <c r="H15" s="37" cm="1">
        <f t="array" aca="1" ref="H15" ca="1">INDIRECT(ADDRESS($C15,H$3,,,"mkt data"))</f>
        <v>25.4</v>
      </c>
      <c r="I15" s="38" cm="1">
        <f t="array" aca="1" ref="I15" ca="1">INDIRECT(ADDRESS($C15,I$3,,,"mkt data"))</f>
        <v>25.82</v>
      </c>
      <c r="J15" s="151" t="e" cm="1">
        <f t="array" aca="1" ref="J15" ca="1">INDIRECT(ADDRESS($A15,J$3,,,"SCALARS"))</f>
        <v>#N/A</v>
      </c>
      <c r="K15" s="22" t="e">
        <f t="shared" ca="1" si="1"/>
        <v>#N/A</v>
      </c>
      <c r="L15" s="22" t="e">
        <f t="shared" ca="1" si="2"/>
        <v>#N/A</v>
      </c>
      <c r="M15" s="45" t="e" cm="1">
        <f t="array" aca="1" ref="M15" ca="1">INDIRECT(ADDRESS($A15,M$3,,,"scalars"))</f>
        <v>#N/A</v>
      </c>
      <c r="N15" s="23" t="e">
        <f ca="1">K15*M15</f>
        <v>#N/A</v>
      </c>
      <c r="O15" s="23" t="e">
        <f t="shared" ca="1" si="3"/>
        <v>#N/A</v>
      </c>
      <c r="P15" s="478"/>
      <c r="Q15" s="476"/>
      <c r="R15" s="253" t="e">
        <f ca="1">IF(Q14&gt;R14,TRUE,FALSE)</f>
        <v>#N/A</v>
      </c>
      <c r="S15" s="224" t="e">
        <f ca="1">AND(IF(U14&gt;-S14,TRUE,FALSE),IF(X14&gt;0,TRUE,FALSE))</f>
        <v>#N/A</v>
      </c>
      <c r="T15" s="478"/>
      <c r="U15" s="476"/>
      <c r="V15" s="253" t="e">
        <f ca="1">IF(U14&gt;V14,TRUE,FALSE)</f>
        <v>#N/A</v>
      </c>
      <c r="W15" s="61" t="e">
        <f ca="1">AND(IF(Q14&gt;-W14,TRUE,FALSE),IF(X14&lt;0,TRUE,FALSE))</f>
        <v>#N/A</v>
      </c>
      <c r="X15" s="29" cm="1">
        <f t="array" aca="1" ref="X15" ca="1">INDIRECT(ADDRESS($C15,X$3,,,"mkt data"))</f>
        <v>0</v>
      </c>
      <c r="Y15" s="50">
        <f t="shared" ca="1" si="4"/>
        <v>0</v>
      </c>
      <c r="Z15" s="29" t="e">
        <f t="shared" ca="1" si="5"/>
        <v>#N/A</v>
      </c>
      <c r="AA15" s="535"/>
      <c r="AB15" s="463"/>
      <c r="AC15" s="181" t="str">
        <f t="shared" si="6"/>
        <v>IBHJ</v>
      </c>
      <c r="AD15" s="37" cm="1">
        <f t="array" aca="1" ref="AD15" ca="1">INDIRECT(ADDRESS($C15,AD$3,,,"mkt data"))</f>
        <v>25.559999000000001</v>
      </c>
      <c r="AE15" s="167">
        <f t="shared" ca="1" si="7"/>
        <v>25.61</v>
      </c>
      <c r="AF15" s="167">
        <f t="shared" ca="1" si="8"/>
        <v>5.0000999999998186E-2</v>
      </c>
      <c r="AG15" s="167">
        <f t="shared" ca="1" si="10"/>
        <v>0</v>
      </c>
      <c r="AH15" s="523"/>
      <c r="AI15" s="555"/>
      <c r="AJ15" s="523"/>
    </row>
    <row r="16" spans="1:43" x14ac:dyDescent="0.25">
      <c r="A16" s="75" t="e">
        <f>MATCH(G16,SCALARS!D:D,0)</f>
        <v>#N/A</v>
      </c>
      <c r="B16" s="524">
        <f>MATCH(G16,'SCALAR INPUTS'!E:E,0)</f>
        <v>68</v>
      </c>
      <c r="C16" s="76">
        <f>MATCH(G16,'MKT DATA'!B:B,0)</f>
        <v>81</v>
      </c>
      <c r="D16" s="353"/>
      <c r="E16" s="264" t="e" cm="1">
        <f t="array" aca="1" ref="E16" ca="1">INDIRECT(ADDRESS($A16,E$3,,,"scalars"))</f>
        <v>#N/A</v>
      </c>
      <c r="F16" s="75" t="e" cm="1">
        <f t="array" aca="1" ref="F16" ca="1">INDIRECT(ADDRESS($A16,F$3,,,"scalars"))</f>
        <v>#N/A</v>
      </c>
      <c r="G16" s="194" t="s">
        <v>247</v>
      </c>
      <c r="H16" s="33" cm="1">
        <f t="array" aca="1" ref="H16" ca="1">INDIRECT(ADDRESS($C16,H$3,,,"mkt data"))</f>
        <v>24.6</v>
      </c>
      <c r="I16" s="34" cm="1">
        <f t="array" aca="1" ref="I16" ca="1">INDIRECT(ADDRESS($C16,I$3,,,"mkt data"))</f>
        <v>25.2</v>
      </c>
      <c r="J16" s="150" t="e" cm="1">
        <f t="array" aca="1" ref="J16" ca="1">INDIRECT(ADDRESS($A16,J$3,,,"SCALARS"))</f>
        <v>#N/A</v>
      </c>
      <c r="K16" s="16" t="e">
        <f t="shared" ca="1" si="1"/>
        <v>#N/A</v>
      </c>
      <c r="L16" s="16" t="e">
        <f t="shared" ca="1" si="2"/>
        <v>#N/A</v>
      </c>
      <c r="M16" s="44" t="e" cm="1">
        <f t="array" aca="1" ref="M16" ca="1">INDIRECT(ADDRESS($A16,M$3,,,"scalars"))</f>
        <v>#N/A</v>
      </c>
      <c r="N16" s="17" t="e">
        <f ca="1">K16*M16</f>
        <v>#N/A</v>
      </c>
      <c r="O16" s="17" t="e">
        <f t="shared" ca="1" si="3"/>
        <v>#N/A</v>
      </c>
      <c r="P16" s="477" t="e">
        <f ca="1">N17-O16</f>
        <v>#N/A</v>
      </c>
      <c r="Q16" s="475" t="e">
        <f ca="1">LN(N17/O16)</f>
        <v>#N/A</v>
      </c>
      <c r="R16" s="252" t="e" cm="1">
        <f t="array" aca="1" ref="R16" ca="1">-INDIRECT(ADDRESS($B16,R$3,,,"threshold info"))</f>
        <v>#REF!</v>
      </c>
      <c r="S16" s="223" t="e" cm="1">
        <f t="array" aca="1" ref="S16" ca="1">-INDIRECT(ADDRESS($B16,S$3,,,"threshold info"))</f>
        <v>#REF!</v>
      </c>
      <c r="T16" s="477" t="e">
        <f ca="1">N16-O17</f>
        <v>#N/A</v>
      </c>
      <c r="U16" s="475" t="e">
        <f ca="1">LN(N16/O17)</f>
        <v>#N/A</v>
      </c>
      <c r="V16" s="252" t="e" cm="1">
        <f t="array" aca="1" ref="V16" ca="1">INDIRECT(ADDRESS($B16,V$3,,,"threshold info"))</f>
        <v>#REF!</v>
      </c>
      <c r="W16" s="60" t="e" cm="1">
        <f t="array" aca="1" ref="W16" ca="1">INDIRECT(ADDRESS($B16,W$3,,,"threshold info"))</f>
        <v>#REF!</v>
      </c>
      <c r="X16" s="27" cm="1">
        <f t="array" aca="1" ref="X16" ca="1">INDIRECT(ADDRESS($C16,X$3,,,"mkt data"))</f>
        <v>0</v>
      </c>
      <c r="Y16" s="48">
        <f t="shared" ca="1" si="4"/>
        <v>0</v>
      </c>
      <c r="Z16" s="27" t="e">
        <f t="shared" ca="1" si="5"/>
        <v>#N/A</v>
      </c>
      <c r="AA16" s="485" t="e">
        <f ca="1">SUM(Z16:Z17)</f>
        <v>#N/A</v>
      </c>
      <c r="AB16" s="474"/>
      <c r="AC16" s="173" t="str">
        <f t="shared" si="6"/>
        <v>BSJV</v>
      </c>
      <c r="AD16" s="33" cm="1">
        <f t="array" aca="1" ref="AD16" ca="1">INDIRECT(ADDRESS($C16,AD$3,,,"mkt data"))</f>
        <v>24.790001</v>
      </c>
      <c r="AE16" s="165">
        <f t="shared" ca="1" si="7"/>
        <v>24.9</v>
      </c>
      <c r="AF16" s="165">
        <f t="shared" ca="1" si="8"/>
        <v>0.1099989999999984</v>
      </c>
      <c r="AG16" s="165">
        <f t="shared" ca="1" si="10"/>
        <v>0</v>
      </c>
      <c r="AH16" s="522">
        <f ca="1">AG16+AG17</f>
        <v>0</v>
      </c>
      <c r="AI16" s="554"/>
      <c r="AJ16" s="522"/>
    </row>
    <row r="17" spans="1:36" ht="15.75" thickBot="1" x14ac:dyDescent="0.3">
      <c r="A17" s="77" t="e">
        <f>MATCH(G17,SCALARS!D:D,0)</f>
        <v>#N/A</v>
      </c>
      <c r="B17" s="525"/>
      <c r="C17" s="78">
        <f>MATCH(G17,'MKT DATA'!B:B,0)</f>
        <v>88</v>
      </c>
      <c r="D17" s="354"/>
      <c r="E17" s="265" t="e" cm="1">
        <f t="array" aca="1" ref="E17" ca="1">INDIRECT(ADDRESS($A17,E$3,,,"scalars"))</f>
        <v>#N/A</v>
      </c>
      <c r="F17" s="77" t="e" cm="1">
        <f t="array" aca="1" ref="F17" ca="1">INDIRECT(ADDRESS($A17,F$3,,,"scalars"))</f>
        <v>#N/A</v>
      </c>
      <c r="G17" s="195" t="s">
        <v>248</v>
      </c>
      <c r="H17" s="37" cm="1">
        <f t="array" aca="1" ref="H17" ca="1">INDIRECT(ADDRESS($C17,H$3,,,"mkt data"))</f>
        <v>24.25</v>
      </c>
      <c r="I17" s="38" cm="1">
        <f t="array" aca="1" ref="I17" ca="1">INDIRECT(ADDRESS($C17,I$3,,,"mkt data"))</f>
        <v>24.75</v>
      </c>
      <c r="J17" s="151" t="e" cm="1">
        <f t="array" aca="1" ref="J17" ca="1">INDIRECT(ADDRESS($A17,J$3,,,"SCALARS"))</f>
        <v>#N/A</v>
      </c>
      <c r="K17" s="22" t="e">
        <f t="shared" ca="1" si="1"/>
        <v>#N/A</v>
      </c>
      <c r="L17" s="22" t="e">
        <f t="shared" ca="1" si="2"/>
        <v>#N/A</v>
      </c>
      <c r="M17" s="45" t="e" cm="1">
        <f t="array" aca="1" ref="M17" ca="1">INDIRECT(ADDRESS($A17,M$3,,,"scalars"))</f>
        <v>#N/A</v>
      </c>
      <c r="N17" s="23" t="e">
        <f t="shared" ref="N17:N19" ca="1" si="14">K17*M17</f>
        <v>#N/A</v>
      </c>
      <c r="O17" s="23" t="e">
        <f t="shared" ca="1" si="3"/>
        <v>#N/A</v>
      </c>
      <c r="P17" s="478"/>
      <c r="Q17" s="476"/>
      <c r="R17" s="253" t="e">
        <f ca="1">IF(Q16&gt;R16,TRUE,FALSE)</f>
        <v>#N/A</v>
      </c>
      <c r="S17" s="224" t="e">
        <f ca="1">AND(IF(U16&gt;-S16,TRUE,FALSE),IF(X16&gt;0,TRUE,FALSE))</f>
        <v>#N/A</v>
      </c>
      <c r="T17" s="478"/>
      <c r="U17" s="476"/>
      <c r="V17" s="253" t="e">
        <f ca="1">IF(U16&gt;V16,TRUE,FALSE)</f>
        <v>#N/A</v>
      </c>
      <c r="W17" s="61" t="e">
        <f ca="1">AND(IF(Q16&gt;-W16,TRUE,FALSE),IF(X16&lt;0,TRUE,FALSE))</f>
        <v>#N/A</v>
      </c>
      <c r="X17" s="29" cm="1">
        <f t="array" aca="1" ref="X17" ca="1">INDIRECT(ADDRESS($C17,X$3,,,"mkt data"))</f>
        <v>0</v>
      </c>
      <c r="Y17" s="50">
        <f t="shared" ca="1" si="4"/>
        <v>0</v>
      </c>
      <c r="Z17" s="29" t="e">
        <f t="shared" ca="1" si="5"/>
        <v>#N/A</v>
      </c>
      <c r="AA17" s="486"/>
      <c r="AB17" s="463"/>
      <c r="AC17" s="181" t="str">
        <f t="shared" si="6"/>
        <v>IBHK</v>
      </c>
      <c r="AD17" s="37" cm="1">
        <f t="array" aca="1" ref="AD17" ca="1">INDIRECT(ADDRESS($C17,AD$3,,,"mkt data"))</f>
        <v>24.409599</v>
      </c>
      <c r="AE17" s="167">
        <f t="shared" ca="1" si="7"/>
        <v>24.5</v>
      </c>
      <c r="AF17" s="167">
        <f t="shared" ca="1" si="8"/>
        <v>9.0400999999999954E-2</v>
      </c>
      <c r="AG17" s="167">
        <f t="shared" ca="1" si="10"/>
        <v>0</v>
      </c>
      <c r="AH17" s="523"/>
      <c r="AI17" s="555"/>
      <c r="AJ17" s="523"/>
    </row>
    <row r="18" spans="1:36" x14ac:dyDescent="0.25">
      <c r="A18" s="75" t="e">
        <f>MATCH(G18,SCALARS!D:D,0)</f>
        <v>#N/A</v>
      </c>
      <c r="B18" s="524">
        <f>MATCH(G18,'SCALAR INPUTS'!E:E,0)</f>
        <v>72</v>
      </c>
      <c r="C18" s="76">
        <f>MATCH(G18,'MKT DATA'!B:B,0)</f>
        <v>82</v>
      </c>
      <c r="D18" s="353"/>
      <c r="E18" s="264" t="e" cm="1">
        <f t="array" aca="1" ref="E18" ca="1">INDIRECT(ADDRESS($A18,E$3,,,"scalars"))</f>
        <v>#N/A</v>
      </c>
      <c r="F18" s="75" t="e" cm="1">
        <f t="array" aca="1" ref="F18" ca="1">INDIRECT(ADDRESS($A18,F$3,,,"scalars"))</f>
        <v>#N/A</v>
      </c>
      <c r="G18" s="194" t="s">
        <v>249</v>
      </c>
      <c r="H18" s="33" cm="1">
        <f t="array" aca="1" ref="H18" ca="1">INDIRECT(ADDRESS($C18,H$3,,,"mkt data"))</f>
        <v>23.03</v>
      </c>
      <c r="I18" s="34" cm="1">
        <f t="array" aca="1" ref="I18" ca="1">INDIRECT(ADDRESS($C18,I$3,,,"mkt data"))</f>
        <v>25.37</v>
      </c>
      <c r="J18" s="150" t="e" cm="1">
        <f t="array" aca="1" ref="J18" ca="1">INDIRECT(ADDRESS($A18,J$3,,,"SCALARS"))</f>
        <v>#N/A</v>
      </c>
      <c r="K18" s="16" t="e">
        <f t="shared" ca="1" si="1"/>
        <v>#N/A</v>
      </c>
      <c r="L18" s="16" t="e">
        <f t="shared" ca="1" si="2"/>
        <v>#N/A</v>
      </c>
      <c r="M18" s="44" t="e" cm="1">
        <f t="array" aca="1" ref="M18" ca="1">INDIRECT(ADDRESS($A18,M$3,,,"scalars"))</f>
        <v>#N/A</v>
      </c>
      <c r="N18" s="17" t="e">
        <f t="shared" ca="1" si="14"/>
        <v>#N/A</v>
      </c>
      <c r="O18" s="17" t="e">
        <f t="shared" ca="1" si="3"/>
        <v>#N/A</v>
      </c>
      <c r="P18" s="477" t="e">
        <f ca="1">N19-O18</f>
        <v>#N/A</v>
      </c>
      <c r="Q18" s="475" t="e">
        <f ca="1">LN(N19/O18)</f>
        <v>#N/A</v>
      </c>
      <c r="R18" s="252" t="e" cm="1">
        <f t="array" aca="1" ref="R18" ca="1">-INDIRECT(ADDRESS($B18,R$3,,,"threshold info"))</f>
        <v>#REF!</v>
      </c>
      <c r="S18" s="223" t="e" cm="1">
        <f t="array" aca="1" ref="S18" ca="1">-INDIRECT(ADDRESS($B18,S$3,,,"threshold info"))</f>
        <v>#REF!</v>
      </c>
      <c r="T18" s="477" t="e">
        <f ca="1">N18-O19</f>
        <v>#N/A</v>
      </c>
      <c r="U18" s="475" t="e">
        <f ca="1">LN(N18/O19)</f>
        <v>#N/A</v>
      </c>
      <c r="V18" s="252" t="e" cm="1">
        <f t="array" aca="1" ref="V18" ca="1">INDIRECT(ADDRESS($B18,V$3,,,"threshold info"))</f>
        <v>#REF!</v>
      </c>
      <c r="W18" s="60" t="e" cm="1">
        <f t="array" aca="1" ref="W18" ca="1">INDIRECT(ADDRESS($B18,W$3,,,"threshold info"))</f>
        <v>#REF!</v>
      </c>
      <c r="X18" s="27" cm="1">
        <f t="array" aca="1" ref="X18" ca="1">INDIRECT(ADDRESS($C18,X$3,,,"mkt data"))</f>
        <v>0</v>
      </c>
      <c r="Y18" s="48">
        <f t="shared" ca="1" si="4"/>
        <v>0</v>
      </c>
      <c r="Z18" s="27" t="e">
        <f t="shared" ca="1" si="5"/>
        <v>#N/A</v>
      </c>
      <c r="AA18" s="534" t="e">
        <f ca="1">SUM(Z18:Z19)</f>
        <v>#N/A</v>
      </c>
      <c r="AB18" s="380"/>
      <c r="AC18" s="173" t="str">
        <f t="shared" si="6"/>
        <v>BSJW</v>
      </c>
      <c r="AD18" s="33" cm="1">
        <f t="array" aca="1" ref="AD18" ca="1">INDIRECT(ADDRESS($C18,AD$3,,,"mkt data"))</f>
        <v>24.195</v>
      </c>
      <c r="AE18" s="165">
        <f t="shared" ca="1" si="7"/>
        <v>24.200000000000003</v>
      </c>
      <c r="AF18" s="165">
        <f t="shared" ca="1" si="8"/>
        <v>5.000000000002558E-3</v>
      </c>
      <c r="AG18" s="165">
        <f t="shared" ca="1" si="10"/>
        <v>0</v>
      </c>
      <c r="AH18" s="522">
        <f ca="1">AG18+AG19</f>
        <v>0</v>
      </c>
      <c r="AI18" s="554"/>
      <c r="AJ18" s="522"/>
    </row>
    <row r="19" spans="1:36" ht="15.75" thickBot="1" x14ac:dyDescent="0.3">
      <c r="A19" s="77" t="e">
        <f>MATCH(G19,SCALARS!D:D,0)</f>
        <v>#N/A</v>
      </c>
      <c r="B19" s="525"/>
      <c r="C19" s="78">
        <f>MATCH(G19,'MKT DATA'!B:B,0)</f>
        <v>89</v>
      </c>
      <c r="D19" s="354"/>
      <c r="E19" s="265" t="e" cm="1">
        <f t="array" aca="1" ref="E19" ca="1">INDIRECT(ADDRESS($A19,E$3,,,"scalars"))</f>
        <v>#N/A</v>
      </c>
      <c r="F19" s="77" t="e" cm="1">
        <f t="array" aca="1" ref="F19" ca="1">INDIRECT(ADDRESS($A19,F$3,,,"scalars"))</f>
        <v>#N/A</v>
      </c>
      <c r="G19" s="195" t="s">
        <v>250</v>
      </c>
      <c r="H19" s="37" cm="1">
        <f t="array" aca="1" ref="H19" ca="1">INDIRECT(ADDRESS($C19,H$3,,,"mkt data"))</f>
        <v>21.31</v>
      </c>
      <c r="I19" s="38" cm="1">
        <f t="array" aca="1" ref="I19" ca="1">INDIRECT(ADDRESS($C19,I$3,,,"mkt data"))</f>
        <v>26.7</v>
      </c>
      <c r="J19" s="151" t="e" cm="1">
        <f t="array" aca="1" ref="J19" ca="1">INDIRECT(ADDRESS($A19,J$3,,,"SCALARS"))</f>
        <v>#N/A</v>
      </c>
      <c r="K19" s="22" t="e">
        <f t="shared" ca="1" si="1"/>
        <v>#N/A</v>
      </c>
      <c r="L19" s="22" t="e">
        <f t="shared" ca="1" si="2"/>
        <v>#N/A</v>
      </c>
      <c r="M19" s="45" t="e" cm="1">
        <f t="array" aca="1" ref="M19" ca="1">INDIRECT(ADDRESS($A19,M$3,,,"scalars"))</f>
        <v>#N/A</v>
      </c>
      <c r="N19" s="23" t="e">
        <f t="shared" ca="1" si="14"/>
        <v>#N/A</v>
      </c>
      <c r="O19" s="23" t="e">
        <f t="shared" ca="1" si="3"/>
        <v>#N/A</v>
      </c>
      <c r="P19" s="478"/>
      <c r="Q19" s="476"/>
      <c r="R19" s="253" t="e">
        <f ca="1">IF(Q18&gt;R18,TRUE,FALSE)</f>
        <v>#N/A</v>
      </c>
      <c r="S19" s="224" t="e">
        <f ca="1">AND(IF(U18&gt;-S18,TRUE,FALSE),IF(X18&gt;0,TRUE,FALSE))</f>
        <v>#N/A</v>
      </c>
      <c r="T19" s="478"/>
      <c r="U19" s="476"/>
      <c r="V19" s="253" t="e">
        <f ca="1">IF(U18&gt;V18,TRUE,FALSE)</f>
        <v>#N/A</v>
      </c>
      <c r="W19" s="61" t="e">
        <f ca="1">AND(IF(Q18&gt;-W18,TRUE,FALSE),IF(X18&lt;0,TRUE,FALSE))</f>
        <v>#N/A</v>
      </c>
      <c r="X19" s="29" cm="1">
        <f t="array" aca="1" ref="X19" ca="1">INDIRECT(ADDRESS($C19,X$3,,,"mkt data"))</f>
        <v>0</v>
      </c>
      <c r="Y19" s="50">
        <f t="shared" ca="1" si="4"/>
        <v>0</v>
      </c>
      <c r="Z19" s="29" t="e">
        <f t="shared" ca="1" si="5"/>
        <v>#N/A</v>
      </c>
      <c r="AA19" s="535"/>
      <c r="AB19" s="379"/>
      <c r="AC19" s="181" t="str">
        <f t="shared" si="6"/>
        <v>IBHL</v>
      </c>
      <c r="AD19" s="37" cm="1">
        <f t="array" aca="1" ref="AD19" ca="1">INDIRECT(ADDRESS($C19,AD$3,,,"mkt data"))</f>
        <v>24.309999000000001</v>
      </c>
      <c r="AE19" s="167">
        <f t="shared" ca="1" si="7"/>
        <v>24.004999999999999</v>
      </c>
      <c r="AF19" s="167">
        <f t="shared" ca="1" si="8"/>
        <v>-0.30499900000000224</v>
      </c>
      <c r="AG19" s="167">
        <f t="shared" ca="1" si="10"/>
        <v>0</v>
      </c>
      <c r="AH19" s="523"/>
      <c r="AI19" s="555"/>
      <c r="AJ19" s="523"/>
    </row>
    <row r="20" spans="1:36" ht="9.9499999999999993" customHeight="1" thickBot="1" x14ac:dyDescent="0.3">
      <c r="A20" s="196"/>
      <c r="B20" s="196"/>
      <c r="C20" s="196"/>
      <c r="D20" s="196"/>
      <c r="E20" s="196"/>
      <c r="F20" s="198"/>
      <c r="G20" s="199"/>
      <c r="H20" s="200"/>
      <c r="I20" s="200"/>
      <c r="J20" s="201"/>
      <c r="K20" s="202"/>
      <c r="L20" s="202"/>
      <c r="M20" s="203"/>
      <c r="N20" s="204"/>
      <c r="O20" s="204"/>
      <c r="P20" s="205"/>
      <c r="Q20" s="206"/>
      <c r="R20" s="208"/>
      <c r="S20" s="225"/>
      <c r="T20" s="207"/>
      <c r="U20" s="206"/>
      <c r="V20" s="208"/>
      <c r="W20" s="226"/>
      <c r="X20" s="209"/>
      <c r="Y20" s="210"/>
      <c r="Z20" s="209"/>
      <c r="AA20" s="211"/>
      <c r="AB20" s="385"/>
      <c r="AC20" s="212"/>
      <c r="AD20" s="200"/>
      <c r="AE20" s="200"/>
      <c r="AF20" s="200"/>
      <c r="AG20" s="213"/>
      <c r="AH20" s="214"/>
      <c r="AI20" s="214"/>
      <c r="AJ20" s="214"/>
    </row>
    <row r="21" spans="1:36" x14ac:dyDescent="0.25">
      <c r="A21" s="75" t="e">
        <f>MATCH(G21,SCALARS!D:D,0)</f>
        <v>#N/A</v>
      </c>
      <c r="B21" s="524">
        <f>MATCH(G21,'SCALAR INPUTS'!E:E,0)</f>
        <v>50</v>
      </c>
      <c r="C21" s="76">
        <f>MATCH(G21,'MKT DATA'!B:B,0)</f>
        <v>114</v>
      </c>
      <c r="D21" s="353"/>
      <c r="E21" s="264" t="e" cm="1">
        <f t="array" aca="1" ref="E21" ca="1">INDIRECT(ADDRESS($A21,E$3,,,"scalars"))</f>
        <v>#N/A</v>
      </c>
      <c r="F21" s="75" t="e" cm="1">
        <f t="array" aca="1" ref="F21" ca="1">INDIRECT(ADDRESS($A21,F$3,,,"scalars"))</f>
        <v>#N/A</v>
      </c>
      <c r="G21" s="194" t="s">
        <v>251</v>
      </c>
      <c r="H21" s="33" cm="1">
        <f t="array" aca="1" ref="H21" ca="1">INDIRECT(ADDRESS($C21,H$3,,,"mkt data"))</f>
        <v>22.25</v>
      </c>
      <c r="I21" s="34" cm="1">
        <f t="array" aca="1" ref="I21" ca="1">INDIRECT(ADDRESS($C21,I$3,,,"mkt data"))</f>
        <v>23.7</v>
      </c>
      <c r="J21" s="150" t="e" cm="1">
        <f t="array" aca="1" ref="J21" ca="1">INDIRECT(ADDRESS($A21,J$3,,,"SCALARS"))</f>
        <v>#N/A</v>
      </c>
      <c r="K21" s="16" t="e">
        <f t="shared" ref="K21:K32" ca="1" si="15">H21+J21-K$1</f>
        <v>#N/A</v>
      </c>
      <c r="L21" s="16" t="e">
        <f t="shared" ref="L21:L32" ca="1" si="16">I21+J21+K$1</f>
        <v>#N/A</v>
      </c>
      <c r="M21" s="44" t="e" cm="1">
        <f t="array" aca="1" ref="M21" ca="1">INDIRECT(ADDRESS($A21,M$3,,,"scalars"))</f>
        <v>#N/A</v>
      </c>
      <c r="N21" s="17" t="e">
        <f ca="1">K21*M21</f>
        <v>#N/A</v>
      </c>
      <c r="O21" s="17" t="e">
        <f t="shared" ref="O21:O32" ca="1" si="17">M21*L21</f>
        <v>#N/A</v>
      </c>
      <c r="P21" s="477" t="e">
        <f ca="1">N22-O21</f>
        <v>#N/A</v>
      </c>
      <c r="Q21" s="475" t="e">
        <f ca="1">LN(N22/O21)</f>
        <v>#N/A</v>
      </c>
      <c r="R21" s="252" t="e" cm="1">
        <f t="array" aca="1" ref="R21" ca="1">-INDIRECT(ADDRESS($B21,R$3,,,"threshold info"))</f>
        <v>#REF!</v>
      </c>
      <c r="S21" s="223" t="e" cm="1">
        <f t="array" aca="1" ref="S21" ca="1">-INDIRECT(ADDRESS($B21,S$3,,,"threshold info"))</f>
        <v>#REF!</v>
      </c>
      <c r="T21" s="477" t="e">
        <f ca="1">N21-O22</f>
        <v>#N/A</v>
      </c>
      <c r="U21" s="475" t="e">
        <f ca="1">LN(N21/O22)</f>
        <v>#N/A</v>
      </c>
      <c r="V21" s="252" t="e" cm="1">
        <f t="array" aca="1" ref="V21" ca="1">INDIRECT(ADDRESS($B21,V$3,,,"threshold info"))</f>
        <v>#REF!</v>
      </c>
      <c r="W21" s="60" t="e" cm="1">
        <f t="array" aca="1" ref="W21" ca="1">INDIRECT(ADDRESS($B21,W$3,,,"threshold info"))</f>
        <v>#REF!</v>
      </c>
      <c r="X21" s="27" cm="1">
        <f t="array" aca="1" ref="X21" ca="1">INDIRECT(ADDRESS($C21,X$3,,,"mkt data"))</f>
        <v>0</v>
      </c>
      <c r="Y21" s="48">
        <f t="shared" ref="Y21:Y32" ca="1" si="18">X21*AVERAGE(H21:I21)</f>
        <v>0</v>
      </c>
      <c r="Z21" s="27" t="e">
        <f t="shared" ref="Z21:Z32" ca="1" si="19">X21/M21</f>
        <v>#N/A</v>
      </c>
      <c r="AA21" s="485" t="e">
        <f ca="1">SUM(Z21:Z22)</f>
        <v>#N/A</v>
      </c>
      <c r="AB21" s="462"/>
      <c r="AC21" s="173" t="str">
        <f t="shared" ref="AC21:AC32" si="20">G21</f>
        <v>BSMQ</v>
      </c>
      <c r="AD21" s="33" cm="1">
        <f t="array" aca="1" ref="AD21" ca="1">INDIRECT(ADDRESS($C21,AD$3,,,"mkt data"))</f>
        <v>23.434999000000001</v>
      </c>
      <c r="AE21" s="165">
        <f t="shared" ref="AE21:AE32" ca="1" si="21">AVERAGE(H21,I21)</f>
        <v>22.975000000000001</v>
      </c>
      <c r="AF21" s="165">
        <f t="shared" ref="AF21:AF32" ca="1" si="22">AE21-AD21</f>
        <v>-0.45999899999999982</v>
      </c>
      <c r="AG21" s="165">
        <f t="shared" ca="1" si="10"/>
        <v>0</v>
      </c>
      <c r="AH21" s="522">
        <f ca="1">AG21+AG22</f>
        <v>0</v>
      </c>
      <c r="AI21" s="554"/>
      <c r="AJ21" s="522"/>
    </row>
    <row r="22" spans="1:36" ht="15.75" thickBot="1" x14ac:dyDescent="0.3">
      <c r="A22" s="77" t="e">
        <f>MATCH(G22,SCALARS!D:D,0)</f>
        <v>#N/A</v>
      </c>
      <c r="B22" s="525"/>
      <c r="C22" s="78">
        <f>MATCH(G22,'MKT DATA'!B:B,0)</f>
        <v>120</v>
      </c>
      <c r="D22" s="354"/>
      <c r="E22" s="265" t="e" cm="1">
        <f t="array" aca="1" ref="E22" ca="1">INDIRECT(ADDRESS($A22,E$3,,,"scalars"))</f>
        <v>#N/A</v>
      </c>
      <c r="F22" s="77" t="e" cm="1">
        <f t="array" aca="1" ref="F22" ca="1">INDIRECT(ADDRESS($A22,F$3,,,"scalars"))</f>
        <v>#N/A</v>
      </c>
      <c r="G22" s="195" t="s">
        <v>252</v>
      </c>
      <c r="H22" s="37" cm="1">
        <f t="array" aca="1" ref="H22" ca="1">INDIRECT(ADDRESS($C22,H$3,,,"mkt data"))</f>
        <v>25.4</v>
      </c>
      <c r="I22" s="38" cm="1">
        <f t="array" aca="1" ref="I22" ca="1">INDIRECT(ADDRESS($C22,I$3,,,"mkt data"))</f>
        <v>25.84</v>
      </c>
      <c r="J22" s="151" t="e" cm="1">
        <f t="array" aca="1" ref="J22" ca="1">INDIRECT(ADDRESS($A22,J$3,,,"SCALARS"))</f>
        <v>#N/A</v>
      </c>
      <c r="K22" s="22" t="e">
        <f t="shared" ca="1" si="15"/>
        <v>#N/A</v>
      </c>
      <c r="L22" s="22" t="e">
        <f t="shared" ca="1" si="16"/>
        <v>#N/A</v>
      </c>
      <c r="M22" s="45" t="e" cm="1">
        <f t="array" aca="1" ref="M22" ca="1">INDIRECT(ADDRESS($A22,M$3,,,"scalars"))</f>
        <v>#N/A</v>
      </c>
      <c r="N22" s="23" t="e">
        <f t="shared" ref="N22:N24" ca="1" si="23">K22*M22</f>
        <v>#N/A</v>
      </c>
      <c r="O22" s="23" t="e">
        <f t="shared" ca="1" si="17"/>
        <v>#N/A</v>
      </c>
      <c r="P22" s="478"/>
      <c r="Q22" s="476"/>
      <c r="R22" s="253" t="e">
        <f ca="1">IF(Q21&gt;R21,TRUE,FALSE)</f>
        <v>#N/A</v>
      </c>
      <c r="S22" s="224" t="e">
        <f ca="1">AND(IF(U21&gt;-S21,TRUE,FALSE),IF(X21&gt;0,TRUE,FALSE))</f>
        <v>#N/A</v>
      </c>
      <c r="T22" s="478"/>
      <c r="U22" s="476"/>
      <c r="V22" s="253" t="e">
        <f ca="1">IF(U21&gt;V21,TRUE,FALSE)</f>
        <v>#N/A</v>
      </c>
      <c r="W22" s="61" t="e">
        <f ca="1">AND(IF(Q21&gt;-W21,TRUE,FALSE),IF(X21&lt;0,TRUE,FALSE))</f>
        <v>#N/A</v>
      </c>
      <c r="X22" s="29" cm="1">
        <f t="array" aca="1" ref="X22" ca="1">INDIRECT(ADDRESS($C22,X$3,,,"mkt data"))</f>
        <v>0</v>
      </c>
      <c r="Y22" s="50">
        <f t="shared" ca="1" si="18"/>
        <v>0</v>
      </c>
      <c r="Z22" s="29" t="e">
        <f t="shared" ca="1" si="19"/>
        <v>#N/A</v>
      </c>
      <c r="AA22" s="486"/>
      <c r="AB22" s="463"/>
      <c r="AC22" s="181" t="str">
        <f t="shared" si="20"/>
        <v>IBMO</v>
      </c>
      <c r="AD22" s="37" cm="1">
        <f t="array" aca="1" ref="AD22" ca="1">INDIRECT(ADDRESS($C22,AD$3,,,"mkt data"))</f>
        <v>25.639999</v>
      </c>
      <c r="AE22" s="167">
        <f t="shared" ca="1" si="21"/>
        <v>25.619999999999997</v>
      </c>
      <c r="AF22" s="167">
        <f t="shared" ca="1" si="22"/>
        <v>-1.9999000000002098E-2</v>
      </c>
      <c r="AG22" s="167">
        <f t="shared" ca="1" si="10"/>
        <v>0</v>
      </c>
      <c r="AH22" s="523"/>
      <c r="AI22" s="555"/>
      <c r="AJ22" s="523"/>
    </row>
    <row r="23" spans="1:36" x14ac:dyDescent="0.25">
      <c r="A23" s="75" t="e">
        <f>MATCH(G23,SCALARS!D:D,0)</f>
        <v>#N/A</v>
      </c>
      <c r="B23" s="524">
        <f>MATCH(G23,'SCALAR INPUTS'!E:E,0)</f>
        <v>54</v>
      </c>
      <c r="C23" s="76">
        <f>MATCH(G23,'MKT DATA'!B:B,0)</f>
        <v>115</v>
      </c>
      <c r="D23" s="353"/>
      <c r="E23" s="264" t="e" cm="1">
        <f t="array" aca="1" ref="E23" ca="1">INDIRECT(ADDRESS($A23,E$3,,,"scalars"))</f>
        <v>#N/A</v>
      </c>
      <c r="F23" s="75" t="e" cm="1">
        <f t="array" aca="1" ref="F23" ca="1">INDIRECT(ADDRESS($A23,F$3,,,"scalars"))</f>
        <v>#N/A</v>
      </c>
      <c r="G23" s="194" t="s">
        <v>253</v>
      </c>
      <c r="H23" s="33" cm="1">
        <f t="array" aca="1" ref="H23" ca="1">INDIRECT(ADDRESS($C23,H$3,,,"mkt data"))</f>
        <v>23.1</v>
      </c>
      <c r="I23" s="34" cm="1">
        <f t="array" aca="1" ref="I23" ca="1">INDIRECT(ADDRESS($C23,I$3,,,"mkt data"))</f>
        <v>23.55</v>
      </c>
      <c r="J23" s="150" t="e" cm="1">
        <f t="array" aca="1" ref="J23" ca="1">INDIRECT(ADDRESS($A23,J$3,,,"SCALARS"))</f>
        <v>#N/A</v>
      </c>
      <c r="K23" s="16" t="e">
        <f t="shared" ca="1" si="15"/>
        <v>#N/A</v>
      </c>
      <c r="L23" s="16" t="e">
        <f t="shared" ca="1" si="16"/>
        <v>#N/A</v>
      </c>
      <c r="M23" s="44" t="e" cm="1">
        <f t="array" aca="1" ref="M23" ca="1">INDIRECT(ADDRESS($A23,M$3,,,"scalars"))</f>
        <v>#N/A</v>
      </c>
      <c r="N23" s="17" t="e">
        <f t="shared" ca="1" si="23"/>
        <v>#N/A</v>
      </c>
      <c r="O23" s="17" t="e">
        <f t="shared" ca="1" si="17"/>
        <v>#N/A</v>
      </c>
      <c r="P23" s="477" t="e">
        <f ca="1">N24-O23</f>
        <v>#N/A</v>
      </c>
      <c r="Q23" s="475" t="e">
        <f ca="1">LN(N24/O23)</f>
        <v>#N/A</v>
      </c>
      <c r="R23" s="252" t="e" cm="1">
        <f t="array" aca="1" ref="R23" ca="1">-INDIRECT(ADDRESS($B23,R$3,,,"threshold info"))</f>
        <v>#REF!</v>
      </c>
      <c r="S23" s="223" t="e" cm="1">
        <f t="array" aca="1" ref="S23" ca="1">-INDIRECT(ADDRESS($B23,S$3,,,"threshold info"))</f>
        <v>#REF!</v>
      </c>
      <c r="T23" s="477" t="e">
        <f ca="1">N23-O24</f>
        <v>#N/A</v>
      </c>
      <c r="U23" s="475" t="e">
        <f ca="1">LN(N23/O24)</f>
        <v>#N/A</v>
      </c>
      <c r="V23" s="252" t="e" cm="1">
        <f t="array" aca="1" ref="V23" ca="1">INDIRECT(ADDRESS($B23,V$3,,,"threshold info"))</f>
        <v>#REF!</v>
      </c>
      <c r="W23" s="60" t="e" cm="1">
        <f t="array" aca="1" ref="W23" ca="1">INDIRECT(ADDRESS($B23,W$3,,,"threshold info"))</f>
        <v>#REF!</v>
      </c>
      <c r="X23" s="27" cm="1">
        <f t="array" aca="1" ref="X23" ca="1">INDIRECT(ADDRESS($C23,X$3,,,"mkt data"))</f>
        <v>0</v>
      </c>
      <c r="Y23" s="48">
        <f t="shared" ca="1" si="18"/>
        <v>0</v>
      </c>
      <c r="Z23" s="27" t="e">
        <f t="shared" ca="1" si="19"/>
        <v>#N/A</v>
      </c>
      <c r="AA23" s="534" t="e">
        <f ca="1">SUM(Z23:Z24)</f>
        <v>#N/A</v>
      </c>
      <c r="AB23" s="462"/>
      <c r="AC23" s="173" t="str">
        <f t="shared" si="20"/>
        <v>BSMR</v>
      </c>
      <c r="AD23" s="33" cm="1">
        <f t="array" aca="1" ref="AD23" ca="1">INDIRECT(ADDRESS($C23,AD$3,,,"mkt data"))</f>
        <v>23.48</v>
      </c>
      <c r="AE23" s="165">
        <f t="shared" ca="1" si="21"/>
        <v>23.325000000000003</v>
      </c>
      <c r="AF23" s="165">
        <f t="shared" ca="1" si="22"/>
        <v>-0.15499999999999758</v>
      </c>
      <c r="AG23" s="165">
        <f t="shared" ca="1" si="10"/>
        <v>0</v>
      </c>
      <c r="AH23" s="522">
        <f ca="1">AG23+AG24</f>
        <v>0</v>
      </c>
      <c r="AI23" s="554"/>
      <c r="AJ23" s="522"/>
    </row>
    <row r="24" spans="1:36" ht="15.75" thickBot="1" x14ac:dyDescent="0.3">
      <c r="A24" s="77" t="e">
        <f>MATCH(G24,SCALARS!D:D,0)</f>
        <v>#N/A</v>
      </c>
      <c r="B24" s="525"/>
      <c r="C24" s="78">
        <f>MATCH(G24,'MKT DATA'!B:B,0)</f>
        <v>121</v>
      </c>
      <c r="D24" s="354"/>
      <c r="E24" s="265" t="e" cm="1">
        <f t="array" aca="1" ref="E24" ca="1">INDIRECT(ADDRESS($A24,E$3,,,"scalars"))</f>
        <v>#N/A</v>
      </c>
      <c r="F24" s="77" t="e" cm="1">
        <f t="array" aca="1" ref="F24" ca="1">INDIRECT(ADDRESS($A24,F$3,,,"scalars"))</f>
        <v>#N/A</v>
      </c>
      <c r="G24" s="195" t="s">
        <v>254</v>
      </c>
      <c r="H24" s="37" cm="1">
        <f t="array" aca="1" ref="H24" ca="1">INDIRECT(ADDRESS($C24,H$3,,,"mkt data"))</f>
        <v>25</v>
      </c>
      <c r="I24" s="38" cm="1">
        <f t="array" aca="1" ref="I24" ca="1">INDIRECT(ADDRESS($C24,I$3,,,"mkt data"))</f>
        <v>25.47</v>
      </c>
      <c r="J24" s="151" t="e" cm="1">
        <f t="array" aca="1" ref="J24" ca="1">INDIRECT(ADDRESS($A24,J$3,,,"SCALARS"))</f>
        <v>#N/A</v>
      </c>
      <c r="K24" s="22" t="e">
        <f t="shared" ca="1" si="15"/>
        <v>#N/A</v>
      </c>
      <c r="L24" s="22" t="e">
        <f t="shared" ca="1" si="16"/>
        <v>#N/A</v>
      </c>
      <c r="M24" s="45" t="e" cm="1">
        <f t="array" aca="1" ref="M24" ca="1">INDIRECT(ADDRESS($A24,M$3,,,"scalars"))</f>
        <v>#N/A</v>
      </c>
      <c r="N24" s="23" t="e">
        <f t="shared" ca="1" si="23"/>
        <v>#N/A</v>
      </c>
      <c r="O24" s="23" t="e">
        <f t="shared" ca="1" si="17"/>
        <v>#N/A</v>
      </c>
      <c r="P24" s="478"/>
      <c r="Q24" s="476"/>
      <c r="R24" s="253" t="e">
        <f ca="1">IF(Q23&gt;R23,TRUE,FALSE)</f>
        <v>#N/A</v>
      </c>
      <c r="S24" s="224" t="e">
        <f ca="1">AND(IF(U23&gt;-S23,TRUE,FALSE),IF(X23&gt;0,TRUE,FALSE))</f>
        <v>#N/A</v>
      </c>
      <c r="T24" s="478"/>
      <c r="U24" s="476"/>
      <c r="V24" s="253" t="e">
        <f ca="1">IF(U23&gt;V23,TRUE,FALSE)</f>
        <v>#N/A</v>
      </c>
      <c r="W24" s="61" t="e">
        <f ca="1">AND(IF(Q23&gt;-W23,TRUE,FALSE),IF(X23&lt;0,TRUE,FALSE))</f>
        <v>#N/A</v>
      </c>
      <c r="X24" s="29" cm="1">
        <f t="array" aca="1" ref="X24" ca="1">INDIRECT(ADDRESS($C24,X$3,,,"mkt data"))</f>
        <v>0</v>
      </c>
      <c r="Y24" s="50">
        <f t="shared" ca="1" si="18"/>
        <v>0</v>
      </c>
      <c r="Z24" s="29" t="e">
        <f t="shared" ca="1" si="19"/>
        <v>#N/A</v>
      </c>
      <c r="AA24" s="535"/>
      <c r="AB24" s="463"/>
      <c r="AC24" s="181" t="str">
        <f t="shared" si="20"/>
        <v>IBMP</v>
      </c>
      <c r="AD24" s="37" cm="1">
        <f t="array" aca="1" ref="AD24" ca="1">INDIRECT(ADDRESS($C24,AD$3,,,"mkt data"))</f>
        <v>25.299999</v>
      </c>
      <c r="AE24" s="167">
        <f t="shared" ca="1" si="21"/>
        <v>25.234999999999999</v>
      </c>
      <c r="AF24" s="167">
        <f t="shared" ca="1" si="22"/>
        <v>-6.4999000000000251E-2</v>
      </c>
      <c r="AG24" s="167">
        <f t="shared" ca="1" si="10"/>
        <v>0</v>
      </c>
      <c r="AH24" s="523"/>
      <c r="AI24" s="555"/>
      <c r="AJ24" s="523"/>
    </row>
    <row r="25" spans="1:36" x14ac:dyDescent="0.25">
      <c r="A25" s="75" t="e">
        <f>MATCH(G25,SCALARS!D:D,0)</f>
        <v>#N/A</v>
      </c>
      <c r="B25" s="524">
        <f>MATCH(G25,'SCALAR INPUTS'!E:E,0)</f>
        <v>57</v>
      </c>
      <c r="C25" s="76">
        <f>MATCH(G25,'MKT DATA'!B:B,0)</f>
        <v>116</v>
      </c>
      <c r="D25" s="353"/>
      <c r="E25" s="264" t="e" cm="1">
        <f t="array" aca="1" ref="E25" ca="1">INDIRECT(ADDRESS($A25,E$3,,,"scalars"))</f>
        <v>#N/A</v>
      </c>
      <c r="F25" s="75" t="e" cm="1">
        <f t="array" aca="1" ref="F25" ca="1">INDIRECT(ADDRESS($A25,F$3,,,"scalars"))</f>
        <v>#N/A</v>
      </c>
      <c r="G25" s="194" t="s">
        <v>255</v>
      </c>
      <c r="H25" s="33" cm="1">
        <f t="array" aca="1" ref="H25" ca="1">INDIRECT(ADDRESS($C25,H$3,,,"mkt data"))</f>
        <v>22.85</v>
      </c>
      <c r="I25" s="34" cm="1">
        <f t="array" aca="1" ref="I25" ca="1">INDIRECT(ADDRESS($C25,I$3,,,"mkt data"))</f>
        <v>23.27</v>
      </c>
      <c r="J25" s="150" t="e" cm="1">
        <f t="array" aca="1" ref="J25" ca="1">INDIRECT(ADDRESS($A25,J$3,,,"SCALARS"))</f>
        <v>#N/A</v>
      </c>
      <c r="K25" s="16" t="e">
        <f t="shared" ca="1" si="15"/>
        <v>#N/A</v>
      </c>
      <c r="L25" s="16" t="e">
        <f t="shared" ca="1" si="16"/>
        <v>#N/A</v>
      </c>
      <c r="M25" s="44" t="e" cm="1">
        <f t="array" aca="1" ref="M25" ca="1">INDIRECT(ADDRESS($A25,M$3,,,"scalars"))</f>
        <v>#N/A</v>
      </c>
      <c r="N25" s="17" t="e">
        <f ca="1">K25*M25</f>
        <v>#N/A</v>
      </c>
      <c r="O25" s="17" t="e">
        <f t="shared" ca="1" si="17"/>
        <v>#N/A</v>
      </c>
      <c r="P25" s="477" t="e">
        <f ca="1">N26-O25</f>
        <v>#N/A</v>
      </c>
      <c r="Q25" s="475" t="e">
        <f ca="1">LN(N26/O25)</f>
        <v>#N/A</v>
      </c>
      <c r="R25" s="252" t="e" cm="1">
        <f t="array" aca="1" ref="R25" ca="1">-INDIRECT(ADDRESS($B25,R$3,,,"threshold info"))</f>
        <v>#REF!</v>
      </c>
      <c r="S25" s="223" t="e" cm="1">
        <f t="array" aca="1" ref="S25" ca="1">-INDIRECT(ADDRESS($B25,S$3,,,"threshold info"))</f>
        <v>#REF!</v>
      </c>
      <c r="T25" s="477" t="e">
        <f ca="1">N25-O26</f>
        <v>#N/A</v>
      </c>
      <c r="U25" s="475" t="e">
        <f ca="1">LN(N25/O26)</f>
        <v>#N/A</v>
      </c>
      <c r="V25" s="252" t="e" cm="1">
        <f t="array" aca="1" ref="V25" ca="1">INDIRECT(ADDRESS($B25,V$3,,,"threshold info"))</f>
        <v>#REF!</v>
      </c>
      <c r="W25" s="60" t="e" cm="1">
        <f t="array" aca="1" ref="W25" ca="1">INDIRECT(ADDRESS($B25,W$3,,,"threshold info"))</f>
        <v>#REF!</v>
      </c>
      <c r="X25" s="27" cm="1">
        <f t="array" aca="1" ref="X25" ca="1">INDIRECT(ADDRESS($C25,X$3,,,"mkt data"))</f>
        <v>0</v>
      </c>
      <c r="Y25" s="48">
        <f t="shared" ca="1" si="18"/>
        <v>0</v>
      </c>
      <c r="Z25" s="27" t="e">
        <f t="shared" ca="1" si="19"/>
        <v>#N/A</v>
      </c>
      <c r="AA25" s="534" t="e">
        <f ca="1">SUM(Z25:Z26)</f>
        <v>#N/A</v>
      </c>
      <c r="AB25" s="462"/>
      <c r="AC25" s="173" t="str">
        <f t="shared" si="20"/>
        <v>BSMS</v>
      </c>
      <c r="AD25" s="33" cm="1">
        <f t="array" aca="1" ref="AD25" ca="1">INDIRECT(ADDRESS($C25,AD$3,,,"mkt data"))</f>
        <v>23.120000999999998</v>
      </c>
      <c r="AE25" s="165">
        <f t="shared" ca="1" si="21"/>
        <v>23.060000000000002</v>
      </c>
      <c r="AF25" s="165">
        <f t="shared" ca="1" si="22"/>
        <v>-6.0000999999996196E-2</v>
      </c>
      <c r="AG25" s="165">
        <f t="shared" ca="1" si="10"/>
        <v>0</v>
      </c>
      <c r="AH25" s="522">
        <f ca="1">AG25+AG26</f>
        <v>0</v>
      </c>
      <c r="AI25" s="554"/>
      <c r="AJ25" s="522"/>
    </row>
    <row r="26" spans="1:36" ht="15.75" thickBot="1" x14ac:dyDescent="0.3">
      <c r="A26" s="77" t="e">
        <f>MATCH(G26,SCALARS!D:D,0)</f>
        <v>#N/A</v>
      </c>
      <c r="B26" s="525"/>
      <c r="C26" s="78">
        <f>MATCH(G26,'MKT DATA'!B:B,0)</f>
        <v>122</v>
      </c>
      <c r="D26" s="354"/>
      <c r="E26" s="265" t="e" cm="1">
        <f t="array" aca="1" ref="E26" ca="1">INDIRECT(ADDRESS($A26,E$3,,,"scalars"))</f>
        <v>#N/A</v>
      </c>
      <c r="F26" s="77" t="e" cm="1">
        <f t="array" aca="1" ref="F26" ca="1">INDIRECT(ADDRESS($A26,F$3,,,"scalars"))</f>
        <v>#N/A</v>
      </c>
      <c r="G26" s="195" t="s">
        <v>256</v>
      </c>
      <c r="H26" s="37" cm="1">
        <f t="array" aca="1" ref="H26" ca="1">INDIRECT(ADDRESS($C26,H$3,,,"mkt data"))</f>
        <v>25.04</v>
      </c>
      <c r="I26" s="38" cm="1">
        <f t="array" aca="1" ref="I26" ca="1">INDIRECT(ADDRESS($C26,I$3,,,"mkt data"))</f>
        <v>25.5</v>
      </c>
      <c r="J26" s="151" t="e" cm="1">
        <f t="array" aca="1" ref="J26" ca="1">INDIRECT(ADDRESS($A26,J$3,,,"SCALARS"))</f>
        <v>#N/A</v>
      </c>
      <c r="K26" s="22" t="e">
        <f t="shared" ca="1" si="15"/>
        <v>#N/A</v>
      </c>
      <c r="L26" s="22" t="e">
        <f t="shared" ca="1" si="16"/>
        <v>#N/A</v>
      </c>
      <c r="M26" s="45" t="e" cm="1">
        <f t="array" aca="1" ref="M26" ca="1">INDIRECT(ADDRESS($A26,M$3,,,"scalars"))</f>
        <v>#N/A</v>
      </c>
      <c r="N26" s="23" t="e">
        <f t="shared" ref="N26:N27" ca="1" si="24">K26*M26</f>
        <v>#N/A</v>
      </c>
      <c r="O26" s="23" t="e">
        <f t="shared" ca="1" si="17"/>
        <v>#N/A</v>
      </c>
      <c r="P26" s="478"/>
      <c r="Q26" s="476"/>
      <c r="R26" s="253" t="e">
        <f ca="1">IF(Q25&gt;R25,TRUE,FALSE)</f>
        <v>#N/A</v>
      </c>
      <c r="S26" s="224" t="e">
        <f ca="1">AND(IF(U25&gt;-S25,TRUE,FALSE),IF(X25&gt;0,TRUE,FALSE))</f>
        <v>#N/A</v>
      </c>
      <c r="T26" s="478"/>
      <c r="U26" s="476"/>
      <c r="V26" s="253" t="e">
        <f ca="1">IF(U25&gt;V25,TRUE,FALSE)</f>
        <v>#N/A</v>
      </c>
      <c r="W26" s="61" t="e">
        <f ca="1">AND(IF(Q25&gt;-W25,TRUE,FALSE),IF(X25&lt;0,TRUE,FALSE))</f>
        <v>#N/A</v>
      </c>
      <c r="X26" s="29" cm="1">
        <f t="array" aca="1" ref="X26" ca="1">INDIRECT(ADDRESS($C26,X$3,,,"mkt data"))</f>
        <v>0</v>
      </c>
      <c r="Y26" s="50">
        <f t="shared" ca="1" si="18"/>
        <v>0</v>
      </c>
      <c r="Z26" s="29" t="e">
        <f t="shared" ca="1" si="19"/>
        <v>#N/A</v>
      </c>
      <c r="AA26" s="535"/>
      <c r="AB26" s="463"/>
      <c r="AC26" s="181" t="str">
        <f t="shared" si="20"/>
        <v>IBMQ</v>
      </c>
      <c r="AD26" s="37" cm="1">
        <f t="array" aca="1" ref="AD26" ca="1">INDIRECT(ADDRESS($C26,AD$3,,,"mkt data"))</f>
        <v>25.379999000000002</v>
      </c>
      <c r="AE26" s="167">
        <f t="shared" ca="1" si="21"/>
        <v>25.27</v>
      </c>
      <c r="AF26" s="167">
        <f t="shared" ca="1" si="22"/>
        <v>-0.10999900000000196</v>
      </c>
      <c r="AG26" s="167">
        <f t="shared" ca="1" si="10"/>
        <v>0</v>
      </c>
      <c r="AH26" s="523"/>
      <c r="AI26" s="555"/>
      <c r="AJ26" s="523"/>
    </row>
    <row r="27" spans="1:36" x14ac:dyDescent="0.25">
      <c r="A27" s="75" t="e">
        <f>MATCH(G27,SCALARS!D:D,0)</f>
        <v>#N/A</v>
      </c>
      <c r="B27" s="524">
        <f>MATCH(G27,'SCALAR INPUTS'!E:E,0)</f>
        <v>62</v>
      </c>
      <c r="C27" s="76">
        <f>MATCH(G27,'MKT DATA'!B:B,0)</f>
        <v>117</v>
      </c>
      <c r="D27" s="353"/>
      <c r="E27" s="264" t="e" cm="1">
        <f t="array" aca="1" ref="E27" ca="1">INDIRECT(ADDRESS($A27,E$3,,,"scalars"))</f>
        <v>#N/A</v>
      </c>
      <c r="F27" s="75" t="e" cm="1">
        <f t="array" aca="1" ref="F27" ca="1">INDIRECT(ADDRESS($A27,F$3,,,"scalars"))</f>
        <v>#N/A</v>
      </c>
      <c r="G27" s="194" t="s">
        <v>257</v>
      </c>
      <c r="H27" s="33" cm="1">
        <f t="array" aca="1" ref="H27" ca="1">INDIRECT(ADDRESS($C27,H$3,,,"mkt data"))</f>
        <v>22.3</v>
      </c>
      <c r="I27" s="34" cm="1">
        <f t="array" aca="1" ref="I27" ca="1">INDIRECT(ADDRESS($C27,I$3,,,"mkt data"))</f>
        <v>22.8</v>
      </c>
      <c r="J27" s="150" t="e" cm="1">
        <f t="array" aca="1" ref="J27" ca="1">INDIRECT(ADDRESS($A27,J$3,,,"SCALARS"))</f>
        <v>#N/A</v>
      </c>
      <c r="K27" s="16" t="e">
        <f t="shared" ca="1" si="15"/>
        <v>#N/A</v>
      </c>
      <c r="L27" s="16" t="e">
        <f t="shared" ca="1" si="16"/>
        <v>#N/A</v>
      </c>
      <c r="M27" s="44" t="e" cm="1">
        <f t="array" aca="1" ref="M27" ca="1">INDIRECT(ADDRESS($A27,M$3,,,"scalars"))</f>
        <v>#N/A</v>
      </c>
      <c r="N27" s="17" t="e">
        <f t="shared" ca="1" si="24"/>
        <v>#N/A</v>
      </c>
      <c r="O27" s="17" t="e">
        <f t="shared" ca="1" si="17"/>
        <v>#N/A</v>
      </c>
      <c r="P27" s="477" t="e">
        <f ca="1">N28-O27</f>
        <v>#N/A</v>
      </c>
      <c r="Q27" s="475" t="e">
        <f ca="1">LN(N28/O27)</f>
        <v>#N/A</v>
      </c>
      <c r="R27" s="252" t="e" cm="1">
        <f t="array" aca="1" ref="R27" ca="1">-INDIRECT(ADDRESS($B27,R$3,,,"threshold info"))</f>
        <v>#REF!</v>
      </c>
      <c r="S27" s="223" t="e" cm="1">
        <f t="array" aca="1" ref="S27" ca="1">-INDIRECT(ADDRESS($B27,S$3,,,"threshold info"))</f>
        <v>#REF!</v>
      </c>
      <c r="T27" s="477" t="e">
        <f ca="1">N27-O28</f>
        <v>#N/A</v>
      </c>
      <c r="U27" s="475" t="e">
        <f ca="1">LN(N27/O28)</f>
        <v>#N/A</v>
      </c>
      <c r="V27" s="252" t="e" cm="1">
        <f t="array" aca="1" ref="V27" ca="1">INDIRECT(ADDRESS($B27,V$3,,,"threshold info"))</f>
        <v>#REF!</v>
      </c>
      <c r="W27" s="60" t="e" cm="1">
        <f t="array" aca="1" ref="W27" ca="1">INDIRECT(ADDRESS($B27,W$3,,,"threshold info"))</f>
        <v>#REF!</v>
      </c>
      <c r="X27" s="27" cm="1">
        <f t="array" aca="1" ref="X27" ca="1">INDIRECT(ADDRESS($C27,X$3,,,"mkt data"))</f>
        <v>0</v>
      </c>
      <c r="Y27" s="48">
        <f t="shared" ca="1" si="18"/>
        <v>0</v>
      </c>
      <c r="Z27" s="27" t="e">
        <f t="shared" ca="1" si="19"/>
        <v>#N/A</v>
      </c>
      <c r="AA27" s="550" t="e">
        <f ca="1">SUM(Z27:Z28)</f>
        <v>#N/A</v>
      </c>
      <c r="AB27" s="462"/>
      <c r="AC27" s="173" t="str">
        <f t="shared" si="20"/>
        <v>BSMT</v>
      </c>
      <c r="AD27" s="33" cm="1">
        <f t="array" aca="1" ref="AD27" ca="1">INDIRECT(ADDRESS($C27,AD$3,,,"mkt data"))</f>
        <v>22.6</v>
      </c>
      <c r="AE27" s="165">
        <f t="shared" ca="1" si="21"/>
        <v>22.55</v>
      </c>
      <c r="AF27" s="165">
        <f t="shared" ca="1" si="22"/>
        <v>-5.0000000000000711E-2</v>
      </c>
      <c r="AG27" s="165">
        <f t="shared" ca="1" si="10"/>
        <v>0</v>
      </c>
      <c r="AH27" s="522">
        <f ca="1">AG27+AG28</f>
        <v>0</v>
      </c>
      <c r="AI27" s="554"/>
      <c r="AJ27" s="522"/>
    </row>
    <row r="28" spans="1:36" ht="15.75" thickBot="1" x14ac:dyDescent="0.3">
      <c r="A28" s="77" t="e">
        <f>MATCH(G28,SCALARS!D:D,0)</f>
        <v>#N/A</v>
      </c>
      <c r="B28" s="525"/>
      <c r="C28" s="78">
        <f>MATCH(G28,'MKT DATA'!B:B,0)</f>
        <v>123</v>
      </c>
      <c r="D28" s="354"/>
      <c r="E28" s="265" t="e" cm="1">
        <f t="array" aca="1" ref="E28" ca="1">INDIRECT(ADDRESS($A28,E$3,,,"scalars"))</f>
        <v>#N/A</v>
      </c>
      <c r="F28" s="77" t="e" cm="1">
        <f t="array" aca="1" ref="F28" ca="1">INDIRECT(ADDRESS($A28,F$3,,,"scalars"))</f>
        <v>#N/A</v>
      </c>
      <c r="G28" s="195" t="s">
        <v>258</v>
      </c>
      <c r="H28" s="37" cm="1">
        <f t="array" aca="1" ref="H28" ca="1">INDIRECT(ADDRESS($C28,H$3,,,"mkt data"))</f>
        <v>24.7</v>
      </c>
      <c r="I28" s="38" cm="1">
        <f t="array" aca="1" ref="I28" ca="1">INDIRECT(ADDRESS($C28,I$3,,,"mkt data"))</f>
        <v>26.32</v>
      </c>
      <c r="J28" s="151" t="e" cm="1">
        <f t="array" aca="1" ref="J28" ca="1">INDIRECT(ADDRESS($A28,J$3,,,"SCALARS"))</f>
        <v>#N/A</v>
      </c>
      <c r="K28" s="22" t="e">
        <f t="shared" ca="1" si="15"/>
        <v>#N/A</v>
      </c>
      <c r="L28" s="22" t="e">
        <f t="shared" ca="1" si="16"/>
        <v>#N/A</v>
      </c>
      <c r="M28" s="45" t="e" cm="1">
        <f t="array" aca="1" ref="M28" ca="1">INDIRECT(ADDRESS($A28,M$3,,,"scalars"))</f>
        <v>#N/A</v>
      </c>
      <c r="N28" s="23" t="e">
        <f ca="1">K28*M28</f>
        <v>#N/A</v>
      </c>
      <c r="O28" s="23" t="e">
        <f t="shared" ca="1" si="17"/>
        <v>#N/A</v>
      </c>
      <c r="P28" s="478"/>
      <c r="Q28" s="476"/>
      <c r="R28" s="253" t="e">
        <f ca="1">IF(Q27&gt;R27,TRUE,FALSE)</f>
        <v>#N/A</v>
      </c>
      <c r="S28" s="224" t="e">
        <f ca="1">AND(IF(U27&gt;-S27,TRUE,FALSE),IF(X27&gt;0,TRUE,FALSE))</f>
        <v>#N/A</v>
      </c>
      <c r="T28" s="478"/>
      <c r="U28" s="476"/>
      <c r="V28" s="253" t="e">
        <f ca="1">IF(U27&gt;V27,TRUE,FALSE)</f>
        <v>#N/A</v>
      </c>
      <c r="W28" s="61" t="e">
        <f ca="1">AND(IF(Q27&gt;-W27,TRUE,FALSE),IF(X27&lt;0,TRUE,FALSE))</f>
        <v>#N/A</v>
      </c>
      <c r="X28" s="29" cm="1">
        <f t="array" aca="1" ref="X28" ca="1">INDIRECT(ADDRESS($C28,X$3,,,"mkt data"))</f>
        <v>0</v>
      </c>
      <c r="Y28" s="50">
        <f t="shared" ca="1" si="18"/>
        <v>0</v>
      </c>
      <c r="Z28" s="29" t="e">
        <f t="shared" ca="1" si="19"/>
        <v>#N/A</v>
      </c>
      <c r="AA28" s="551"/>
      <c r="AB28" s="463"/>
      <c r="AC28" s="181" t="str">
        <f t="shared" si="20"/>
        <v>IBMR</v>
      </c>
      <c r="AD28" s="37" cm="1">
        <f t="array" aca="1" ref="AD28" ca="1">INDIRECT(ADDRESS($C28,AD$3,,,"mkt data"))</f>
        <v>25.094999000000001</v>
      </c>
      <c r="AE28" s="167">
        <f t="shared" ca="1" si="21"/>
        <v>25.509999999999998</v>
      </c>
      <c r="AF28" s="167">
        <f t="shared" ca="1" si="22"/>
        <v>0.41500099999999662</v>
      </c>
      <c r="AG28" s="167">
        <f t="shared" ca="1" si="10"/>
        <v>0</v>
      </c>
      <c r="AH28" s="523"/>
      <c r="AI28" s="555"/>
      <c r="AJ28" s="523"/>
    </row>
    <row r="29" spans="1:36" x14ac:dyDescent="0.25">
      <c r="A29" s="75" t="e">
        <f>MATCH(G29,SCALARS!D:D,0)</f>
        <v>#N/A</v>
      </c>
      <c r="B29" s="524">
        <f>MATCH(G29,'SCALAR INPUTS'!E:E,0)</f>
        <v>65</v>
      </c>
      <c r="C29" s="76">
        <f>MATCH(G29,'MKT DATA'!B:B,0)</f>
        <v>118</v>
      </c>
      <c r="D29" s="353"/>
      <c r="E29" s="264" t="e" cm="1">
        <f t="array" aca="1" ref="E29" ca="1">INDIRECT(ADDRESS($A29,E$3,,,"scalars"))</f>
        <v>#N/A</v>
      </c>
      <c r="F29" s="75" t="e" cm="1">
        <f t="array" aca="1" ref="F29" ca="1">INDIRECT(ADDRESS($A29,F$3,,,"scalars"))</f>
        <v>#N/A</v>
      </c>
      <c r="G29" s="194" t="s">
        <v>259</v>
      </c>
      <c r="H29" s="33" cm="1">
        <f t="array" aca="1" ref="H29" ca="1">INDIRECT(ADDRESS($C29,H$3,,,"mkt data"))</f>
        <v>20.99</v>
      </c>
      <c r="I29" s="34" cm="1">
        <f t="array" aca="1" ref="I29" ca="1">INDIRECT(ADDRESS($C29,I$3,,,"mkt data"))</f>
        <v>21.35</v>
      </c>
      <c r="J29" s="150" t="e" cm="1">
        <f t="array" aca="1" ref="J29" ca="1">INDIRECT(ADDRESS($A29,J$3,,,"SCALARS"))</f>
        <v>#N/A</v>
      </c>
      <c r="K29" s="16" t="e">
        <f t="shared" ca="1" si="15"/>
        <v>#N/A</v>
      </c>
      <c r="L29" s="16" t="e">
        <f t="shared" ca="1" si="16"/>
        <v>#N/A</v>
      </c>
      <c r="M29" s="44" t="e" cm="1">
        <f t="array" aca="1" ref="M29" ca="1">INDIRECT(ADDRESS($A29,M$3,,,"scalars"))</f>
        <v>#N/A</v>
      </c>
      <c r="N29" s="17" t="e">
        <f ca="1">K29*M29</f>
        <v>#N/A</v>
      </c>
      <c r="O29" s="17" t="e">
        <f t="shared" ca="1" si="17"/>
        <v>#N/A</v>
      </c>
      <c r="P29" s="477" t="e">
        <f ca="1">N30-O29</f>
        <v>#N/A</v>
      </c>
      <c r="Q29" s="475" t="e">
        <f t="shared" ref="Q29" ca="1" si="25">LN(N30/O29)</f>
        <v>#N/A</v>
      </c>
      <c r="R29" s="252" t="e" cm="1">
        <f t="array" aca="1" ref="R29" ca="1">-INDIRECT(ADDRESS($B29,R$3,,,"threshold info"))</f>
        <v>#REF!</v>
      </c>
      <c r="S29" s="223" t="e" cm="1">
        <f t="array" aca="1" ref="S29" ca="1">-INDIRECT(ADDRESS($B29,S$3,,,"threshold info"))</f>
        <v>#REF!</v>
      </c>
      <c r="T29" s="477" t="e">
        <f ca="1">N29-O30</f>
        <v>#N/A</v>
      </c>
      <c r="U29" s="475" t="e">
        <f t="shared" ref="U29" ca="1" si="26">LN(N29/O30)</f>
        <v>#N/A</v>
      </c>
      <c r="V29" s="252" t="e" cm="1">
        <f t="array" aca="1" ref="V29" ca="1">INDIRECT(ADDRESS($B29,V$3,,,"threshold info"))</f>
        <v>#REF!</v>
      </c>
      <c r="W29" s="60" t="e" cm="1">
        <f t="array" aca="1" ref="W29" ca="1">INDIRECT(ADDRESS($B29,W$3,,,"threshold info"))</f>
        <v>#REF!</v>
      </c>
      <c r="X29" s="27" cm="1">
        <f t="array" aca="1" ref="X29" ca="1">INDIRECT(ADDRESS($C29,X$3,,,"mkt data"))</f>
        <v>0</v>
      </c>
      <c r="Y29" s="48">
        <f t="shared" ca="1" si="18"/>
        <v>0</v>
      </c>
      <c r="Z29" s="27" t="e">
        <f t="shared" ca="1" si="19"/>
        <v>#N/A</v>
      </c>
      <c r="AA29" s="534" t="e">
        <f ca="1">SUM(Z29:Z30)</f>
        <v>#N/A</v>
      </c>
      <c r="AB29" s="474"/>
      <c r="AC29" s="173" t="str">
        <f t="shared" si="20"/>
        <v>BSMU</v>
      </c>
      <c r="AD29" s="33" cm="1">
        <f t="array" aca="1" ref="AD29" ca="1">INDIRECT(ADDRESS($C29,AD$3,,,"mkt data"))</f>
        <v>21.258699</v>
      </c>
      <c r="AE29" s="165">
        <f t="shared" ca="1" si="21"/>
        <v>21.17</v>
      </c>
      <c r="AF29" s="165">
        <f t="shared" ca="1" si="22"/>
        <v>-8.8698999999998307E-2</v>
      </c>
      <c r="AG29" s="165">
        <f t="shared" ca="1" si="10"/>
        <v>0</v>
      </c>
      <c r="AH29" s="522">
        <f ca="1">AG29+AG30</f>
        <v>0</v>
      </c>
      <c r="AI29" s="554"/>
      <c r="AJ29" s="522"/>
    </row>
    <row r="30" spans="1:36" ht="15.75" thickBot="1" x14ac:dyDescent="0.3">
      <c r="A30" s="77" t="e">
        <f>MATCH(G30,SCALARS!D:D,0)</f>
        <v>#N/A</v>
      </c>
      <c r="B30" s="525"/>
      <c r="C30" s="78">
        <f>MATCH(G30,'MKT DATA'!B:B,0)</f>
        <v>124</v>
      </c>
      <c r="D30" s="354"/>
      <c r="E30" s="265" t="e" cm="1">
        <f t="array" aca="1" ref="E30" ca="1">INDIRECT(ADDRESS($A30,E$3,,,"scalars"))</f>
        <v>#N/A</v>
      </c>
      <c r="F30" s="77" t="e" cm="1">
        <f t="array" aca="1" ref="F30" ca="1">INDIRECT(ADDRESS($A30,F$3,,,"scalars"))</f>
        <v>#N/A</v>
      </c>
      <c r="G30" s="195" t="s">
        <v>260</v>
      </c>
      <c r="H30" s="37" cm="1">
        <f t="array" aca="1" ref="H30" ca="1">INDIRECT(ADDRESS($C30,H$3,,,"mkt data"))</f>
        <v>25.1</v>
      </c>
      <c r="I30" s="38" cm="1">
        <f t="array" aca="1" ref="I30" ca="1">INDIRECT(ADDRESS($C30,I$3,,,"mkt data"))</f>
        <v>26.75</v>
      </c>
      <c r="J30" s="151" t="e" cm="1">
        <f t="array" aca="1" ref="J30" ca="1">INDIRECT(ADDRESS($A30,J$3,,,"SCALARS"))</f>
        <v>#N/A</v>
      </c>
      <c r="K30" s="22" t="e">
        <f t="shared" ca="1" si="15"/>
        <v>#N/A</v>
      </c>
      <c r="L30" s="22" t="e">
        <f t="shared" ca="1" si="16"/>
        <v>#N/A</v>
      </c>
      <c r="M30" s="45" t="e" cm="1">
        <f t="array" aca="1" ref="M30" ca="1">INDIRECT(ADDRESS($A30,M$3,,,"scalars"))</f>
        <v>#N/A</v>
      </c>
      <c r="N30" s="23" t="e">
        <f ca="1">K30*M30</f>
        <v>#N/A</v>
      </c>
      <c r="O30" s="23" t="e">
        <f t="shared" ca="1" si="17"/>
        <v>#N/A</v>
      </c>
      <c r="P30" s="478"/>
      <c r="Q30" s="476"/>
      <c r="R30" s="253" t="e">
        <f ca="1">IF(Q29&gt;R29,TRUE,FALSE)</f>
        <v>#N/A</v>
      </c>
      <c r="S30" s="224" t="e">
        <f ca="1">AND(IF(U29&gt;-S29,TRUE,FALSE),IF(X29&gt;0,TRUE,FALSE))</f>
        <v>#N/A</v>
      </c>
      <c r="T30" s="478"/>
      <c r="U30" s="476"/>
      <c r="V30" s="253" t="e">
        <f ca="1">IF(U29&gt;V29,TRUE,FALSE)</f>
        <v>#N/A</v>
      </c>
      <c r="W30" s="61" t="e">
        <f ca="1">AND(IF(Q29&gt;-W29,TRUE,FALSE),IF(X29&lt;0,TRUE,FALSE))</f>
        <v>#N/A</v>
      </c>
      <c r="X30" s="29" cm="1">
        <f t="array" aca="1" ref="X30" ca="1">INDIRECT(ADDRESS($C30,X$3,,,"mkt data"))</f>
        <v>0</v>
      </c>
      <c r="Y30" s="50">
        <f t="shared" ca="1" si="18"/>
        <v>0</v>
      </c>
      <c r="Z30" s="29" t="e">
        <f t="shared" ca="1" si="19"/>
        <v>#N/A</v>
      </c>
      <c r="AA30" s="535"/>
      <c r="AB30" s="463"/>
      <c r="AC30" s="181" t="str">
        <f t="shared" si="20"/>
        <v>IBMS</v>
      </c>
      <c r="AD30" s="37" cm="1">
        <f t="array" aca="1" ref="AD30" ca="1">INDIRECT(ADDRESS($C30,AD$3,,,"mkt data"))</f>
        <v>25.51</v>
      </c>
      <c r="AE30" s="167">
        <f t="shared" ca="1" si="21"/>
        <v>25.925000000000001</v>
      </c>
      <c r="AF30" s="167">
        <f t="shared" ca="1" si="22"/>
        <v>0.41499999999999915</v>
      </c>
      <c r="AG30" s="167">
        <f t="shared" ca="1" si="10"/>
        <v>0</v>
      </c>
      <c r="AH30" s="523"/>
      <c r="AI30" s="555"/>
      <c r="AJ30" s="523"/>
    </row>
    <row r="31" spans="1:36" x14ac:dyDescent="0.25">
      <c r="A31" s="75" t="e">
        <f>MATCH(G31,SCALARS!D:D,0)</f>
        <v>#N/A</v>
      </c>
      <c r="B31" s="524">
        <f>MATCH(G31,'SCALAR INPUTS'!E:E,0)</f>
        <v>69</v>
      </c>
      <c r="C31" s="76">
        <f>MATCH(G31,'MKT DATA'!B:B,0)</f>
        <v>119</v>
      </c>
      <c r="D31" s="353"/>
      <c r="E31" s="264" t="e" cm="1">
        <f t="array" aca="1" ref="E31" ca="1">INDIRECT(ADDRESS($A31,E$3,,,"scalars"))</f>
        <v>#N/A</v>
      </c>
      <c r="F31" s="75" t="e" cm="1">
        <f t="array" aca="1" ref="F31" ca="1">INDIRECT(ADDRESS($A31,F$3,,,"scalars"))</f>
        <v>#N/A</v>
      </c>
      <c r="G31" s="194" t="s">
        <v>261</v>
      </c>
      <c r="H31" s="33" cm="1">
        <f t="array" aca="1" ref="H31" ca="1">INDIRECT(ADDRESS($C31,H$3,,,"mkt data"))</f>
        <v>20</v>
      </c>
      <c r="I31" s="34" cm="1">
        <f t="array" aca="1" ref="I31" ca="1">INDIRECT(ADDRESS($C31,I$3,,,"mkt data"))</f>
        <v>21.21</v>
      </c>
      <c r="J31" s="150" t="e" cm="1">
        <f t="array" aca="1" ref="J31" ca="1">INDIRECT(ADDRESS($A31,J$3,,,"SCALARS"))</f>
        <v>#N/A</v>
      </c>
      <c r="K31" s="16" t="e">
        <f t="shared" ca="1" si="15"/>
        <v>#N/A</v>
      </c>
      <c r="L31" s="16" t="e">
        <f t="shared" ca="1" si="16"/>
        <v>#N/A</v>
      </c>
      <c r="M31" s="44" t="e" cm="1">
        <f t="array" aca="1" ref="M31" ca="1">INDIRECT(ADDRESS($A31,M$3,,,"scalars"))</f>
        <v>#N/A</v>
      </c>
      <c r="N31" s="17" t="e">
        <f ca="1">K31*M31</f>
        <v>#N/A</v>
      </c>
      <c r="O31" s="17" t="e">
        <f t="shared" ca="1" si="17"/>
        <v>#N/A</v>
      </c>
      <c r="P31" s="477" t="e">
        <f ca="1">N32-O31</f>
        <v>#N/A</v>
      </c>
      <c r="Q31" s="475" t="e">
        <f ca="1">LN(N32/O31)</f>
        <v>#N/A</v>
      </c>
      <c r="R31" s="252" t="e" cm="1">
        <f t="array" aca="1" ref="R31" ca="1">-INDIRECT(ADDRESS($B31,R$3,,,"threshold info"))</f>
        <v>#REF!</v>
      </c>
      <c r="S31" s="223" t="e" cm="1">
        <f t="array" aca="1" ref="S31" ca="1">-INDIRECT(ADDRESS($B31,S$3,,,"threshold info"))</f>
        <v>#REF!</v>
      </c>
      <c r="T31" s="477" t="e">
        <f ca="1">N31-O32</f>
        <v>#N/A</v>
      </c>
      <c r="U31" s="475" t="e">
        <f ca="1">LN(N31/O32)</f>
        <v>#N/A</v>
      </c>
      <c r="V31" s="252" t="e" cm="1">
        <f t="array" aca="1" ref="V31" ca="1">INDIRECT(ADDRESS($B31,V$3,,,"threshold info"))</f>
        <v>#REF!</v>
      </c>
      <c r="W31" s="60" t="e" cm="1">
        <f t="array" aca="1" ref="W31" ca="1">INDIRECT(ADDRESS($B31,W$3,,,"threshold info"))</f>
        <v>#REF!</v>
      </c>
      <c r="X31" s="27" cm="1">
        <f t="array" aca="1" ref="X31" ca="1">INDIRECT(ADDRESS($C31,X$3,,,"mkt data"))</f>
        <v>0</v>
      </c>
      <c r="Y31" s="48">
        <f t="shared" ca="1" si="18"/>
        <v>0</v>
      </c>
      <c r="Z31" s="27" t="e">
        <f t="shared" ca="1" si="19"/>
        <v>#N/A</v>
      </c>
      <c r="AA31" s="485" t="e">
        <f ca="1">SUM(Z31:Z32)</f>
        <v>#N/A</v>
      </c>
      <c r="AB31" s="462"/>
      <c r="AC31" s="173" t="str">
        <f t="shared" si="20"/>
        <v>BSMV</v>
      </c>
      <c r="AD31" s="33" cm="1">
        <f t="array" aca="1" ref="AD31" ca="1">INDIRECT(ADDRESS($C31,AD$3,,,"mkt data"))</f>
        <v>20.224501</v>
      </c>
      <c r="AE31" s="165">
        <f t="shared" ca="1" si="21"/>
        <v>20.605</v>
      </c>
      <c r="AF31" s="165">
        <f t="shared" ca="1" si="22"/>
        <v>0.38049900000000036</v>
      </c>
      <c r="AG31" s="165">
        <f t="shared" ca="1" si="10"/>
        <v>0</v>
      </c>
      <c r="AH31" s="522">
        <f ca="1">AG31+AG32</f>
        <v>0</v>
      </c>
      <c r="AI31" s="554"/>
      <c r="AJ31" s="522"/>
    </row>
    <row r="32" spans="1:36" ht="15.75" thickBot="1" x14ac:dyDescent="0.3">
      <c r="A32" s="77" t="e">
        <f>MATCH(G32,SCALARS!D:D,0)</f>
        <v>#N/A</v>
      </c>
      <c r="B32" s="525"/>
      <c r="C32" s="78">
        <f>MATCH(G32,'MKT DATA'!B:B,0)</f>
        <v>125</v>
      </c>
      <c r="D32" s="354"/>
      <c r="E32" s="265" t="e" cm="1">
        <f t="array" aca="1" ref="E32" ca="1">INDIRECT(ADDRESS($A32,E$3,,,"scalars"))</f>
        <v>#N/A</v>
      </c>
      <c r="F32" s="77" t="e" cm="1">
        <f t="array" aca="1" ref="F32" ca="1">INDIRECT(ADDRESS($A32,F$3,,,"scalars"))</f>
        <v>#N/A</v>
      </c>
      <c r="G32" s="195" t="s">
        <v>262</v>
      </c>
      <c r="H32" s="37" cm="1">
        <f t="array" aca="1" ref="H32" ca="1">INDIRECT(ADDRESS($C32,H$3,,,"mkt data"))</f>
        <v>24.8</v>
      </c>
      <c r="I32" s="38" cm="1">
        <f t="array" aca="1" ref="I32" ca="1">INDIRECT(ADDRESS($C32,I$3,,,"mkt data"))</f>
        <v>26.54</v>
      </c>
      <c r="J32" s="151" t="e" cm="1">
        <f t="array" aca="1" ref="J32" ca="1">INDIRECT(ADDRESS($A32,J$3,,,"SCALARS"))</f>
        <v>#N/A</v>
      </c>
      <c r="K32" s="22" t="e">
        <f t="shared" ca="1" si="15"/>
        <v>#N/A</v>
      </c>
      <c r="L32" s="22" t="e">
        <f t="shared" ca="1" si="16"/>
        <v>#N/A</v>
      </c>
      <c r="M32" s="45" t="e" cm="1">
        <f t="array" aca="1" ref="M32" ca="1">INDIRECT(ADDRESS($A32,M$3,,,"scalars"))</f>
        <v>#N/A</v>
      </c>
      <c r="N32" s="23" t="e">
        <f t="shared" ref="N32" ca="1" si="27">K32*M32</f>
        <v>#N/A</v>
      </c>
      <c r="O32" s="23" t="e">
        <f t="shared" ca="1" si="17"/>
        <v>#N/A</v>
      </c>
      <c r="P32" s="478"/>
      <c r="Q32" s="476"/>
      <c r="R32" s="253" t="e">
        <f ca="1">IF(Q31&gt;R31,TRUE,FALSE)</f>
        <v>#N/A</v>
      </c>
      <c r="S32" s="224" t="e">
        <f ca="1">AND(IF(U31&gt;-S31,TRUE,FALSE),IF(X31&gt;0,TRUE,FALSE))</f>
        <v>#N/A</v>
      </c>
      <c r="T32" s="478"/>
      <c r="U32" s="476"/>
      <c r="V32" s="253" t="e">
        <f ca="1">IF(U31&gt;V31,TRUE,FALSE)</f>
        <v>#N/A</v>
      </c>
      <c r="W32" s="61" t="e">
        <f ca="1">AND(IF(Q31&gt;-W31,TRUE,FALSE),IF(X31&lt;0,TRUE,FALSE))</f>
        <v>#N/A</v>
      </c>
      <c r="X32" s="29" cm="1">
        <f t="array" aca="1" ref="X32" ca="1">INDIRECT(ADDRESS($C32,X$3,,,"mkt data"))</f>
        <v>0</v>
      </c>
      <c r="Y32" s="50">
        <f t="shared" ca="1" si="18"/>
        <v>0</v>
      </c>
      <c r="Z32" s="29" t="e">
        <f t="shared" ca="1" si="19"/>
        <v>#N/A</v>
      </c>
      <c r="AA32" s="486"/>
      <c r="AB32" s="463"/>
      <c r="AC32" s="181" t="str">
        <f t="shared" si="20"/>
        <v>IBMT</v>
      </c>
      <c r="AD32" s="37" cm="1">
        <f t="array" aca="1" ref="AD32" ca="1">INDIRECT(ADDRESS($C32,AD$3,,,"mkt data"))</f>
        <v>25.32</v>
      </c>
      <c r="AE32" s="167">
        <f t="shared" ca="1" si="21"/>
        <v>25.67</v>
      </c>
      <c r="AF32" s="167">
        <f t="shared" ca="1" si="22"/>
        <v>0.35000000000000142</v>
      </c>
      <c r="AG32" s="167">
        <f t="shared" ca="1" si="10"/>
        <v>0</v>
      </c>
      <c r="AH32" s="523"/>
      <c r="AI32" s="555"/>
      <c r="AJ32" s="523"/>
    </row>
    <row r="33" spans="1:36" ht="9.9499999999999993" customHeight="1" thickBot="1" x14ac:dyDescent="0.3">
      <c r="A33" s="196"/>
      <c r="B33" s="196"/>
      <c r="C33" s="196"/>
      <c r="D33" s="196"/>
      <c r="E33" s="196"/>
      <c r="F33" s="198"/>
      <c r="G33" s="199"/>
      <c r="H33" s="200"/>
      <c r="I33" s="200"/>
      <c r="J33" s="201"/>
      <c r="K33" s="202"/>
      <c r="L33" s="202"/>
      <c r="M33" s="203"/>
      <c r="N33" s="204"/>
      <c r="O33" s="204"/>
      <c r="P33" s="205"/>
      <c r="Q33" s="206"/>
      <c r="R33" s="208"/>
      <c r="S33" s="225"/>
      <c r="T33" s="207"/>
      <c r="U33" s="206"/>
      <c r="V33" s="208"/>
      <c r="W33" s="226"/>
      <c r="X33" s="209"/>
      <c r="Y33" s="210"/>
      <c r="Z33" s="209"/>
      <c r="AA33" s="211"/>
      <c r="AB33" s="385"/>
      <c r="AC33" s="212"/>
      <c r="AD33" s="200"/>
      <c r="AE33" s="200"/>
      <c r="AF33" s="200"/>
      <c r="AG33" s="213"/>
      <c r="AH33" s="214"/>
      <c r="AI33" s="214"/>
      <c r="AJ33" s="214"/>
    </row>
    <row r="34" spans="1:36" x14ac:dyDescent="0.25">
      <c r="A34" s="75" t="e">
        <f>MATCH(G34,SCALARS!D:D,0)</f>
        <v>#N/A</v>
      </c>
      <c r="B34" s="524">
        <f>MATCH(G34,'SCALAR INPUTS'!E:E,0)</f>
        <v>48</v>
      </c>
      <c r="C34" s="76">
        <f>MATCH(G34,'MKT DATA'!B:B,0)</f>
        <v>20</v>
      </c>
      <c r="D34" s="353"/>
      <c r="E34" s="264" t="e" cm="1">
        <f t="array" aca="1" ref="E34" ca="1">INDIRECT(ADDRESS($A34,E$3,,,"scalars"))</f>
        <v>#N/A</v>
      </c>
      <c r="F34" s="75" t="e" cm="1">
        <f t="array" aca="1" ref="F34" ca="1">INDIRECT(ADDRESS($A34,F$3,,,"scalars"))</f>
        <v>#N/A</v>
      </c>
      <c r="G34" s="194" t="s">
        <v>184</v>
      </c>
      <c r="H34" s="33" cm="1">
        <f t="array" aca="1" ref="H34" ca="1">INDIRECT(ADDRESS($C34,H$3,,,"mkt data"))</f>
        <v>18.55</v>
      </c>
      <c r="I34" s="34" cm="1">
        <f t="array" aca="1" ref="I34" ca="1">INDIRECT(ADDRESS($C34,I$3,,,"mkt data"))</f>
        <v>19.52</v>
      </c>
      <c r="J34" s="150" t="e" cm="1">
        <f t="array" aca="1" ref="J34" ca="1">INDIRECT(ADDRESS($A34,J$3,,,"SCALARS"))</f>
        <v>#N/A</v>
      </c>
      <c r="K34" s="16" t="e">
        <f t="shared" ref="K34:K53" ca="1" si="28">H34+J34-K$1</f>
        <v>#N/A</v>
      </c>
      <c r="L34" s="16" t="e">
        <f t="shared" ref="L34:L53" ca="1" si="29">I34+J34+K$1</f>
        <v>#N/A</v>
      </c>
      <c r="M34" s="44" t="e" cm="1">
        <f t="array" aca="1" ref="M34" ca="1">INDIRECT(ADDRESS($A34,M$3,,,"scalars"))</f>
        <v>#N/A</v>
      </c>
      <c r="N34" s="17" t="e">
        <f ca="1">K34*M34</f>
        <v>#N/A</v>
      </c>
      <c r="O34" s="17" t="e">
        <f t="shared" ref="O34:O53" ca="1" si="30">M34*L34</f>
        <v>#N/A</v>
      </c>
      <c r="P34" s="477" t="e">
        <f ca="1">N35-O34</f>
        <v>#N/A</v>
      </c>
      <c r="Q34" s="475" t="e">
        <f ca="1">LN(N35/O34)</f>
        <v>#N/A</v>
      </c>
      <c r="R34" s="252" t="e" cm="1">
        <f t="array" aca="1" ref="R34" ca="1">-INDIRECT(ADDRESS($B34,R$3,,,"threshold info"))</f>
        <v>#REF!</v>
      </c>
      <c r="S34" s="223" t="e" cm="1">
        <f t="array" aca="1" ref="S34" ca="1">-INDIRECT(ADDRESS($B34,S$3,,,"threshold info"))</f>
        <v>#REF!</v>
      </c>
      <c r="T34" s="477" t="e">
        <f ca="1">N34-O35</f>
        <v>#N/A</v>
      </c>
      <c r="U34" s="475" t="e">
        <f ca="1">LN(N34/O35)</f>
        <v>#N/A</v>
      </c>
      <c r="V34" s="252" t="e" cm="1">
        <f t="array" aca="1" ref="V34" ca="1">INDIRECT(ADDRESS($B34,V$3,,,"threshold info"))</f>
        <v>#REF!</v>
      </c>
      <c r="W34" s="60" t="e" cm="1">
        <f t="array" aca="1" ref="W34" ca="1">INDIRECT(ADDRESS($B34,W$3,,,"threshold info"))</f>
        <v>#REF!</v>
      </c>
      <c r="X34" s="27" cm="1">
        <f t="array" aca="1" ref="X34" ca="1">INDIRECT(ADDRESS($C34,X$3,,,"mkt data"))</f>
        <v>0</v>
      </c>
      <c r="Y34" s="48">
        <f t="shared" ref="Y34:Y53" ca="1" si="31">X34*AVERAGE(H34:I34)</f>
        <v>0</v>
      </c>
      <c r="Z34" s="27" t="e">
        <f t="shared" ref="Z34:Z53" ca="1" si="32">X34/M34</f>
        <v>#N/A</v>
      </c>
      <c r="AA34" s="485" t="e">
        <f ca="1">SUM(Z34:Z35)</f>
        <v>#N/A</v>
      </c>
      <c r="AB34" s="462"/>
      <c r="AC34" s="173" t="str">
        <f t="shared" ref="AC34:AC53" si="33">G34</f>
        <v>BSCQ</v>
      </c>
      <c r="AD34" s="33" cm="1">
        <f t="array" aca="1" ref="AD34" ca="1">INDIRECT(ADDRESS($C34,AD$3,,,"mkt data"))</f>
        <v>19.5</v>
      </c>
      <c r="AE34" s="165">
        <f t="shared" ref="AE34:AE53" ca="1" si="34">AVERAGE(H34,I34)</f>
        <v>19.035</v>
      </c>
      <c r="AF34" s="165">
        <f t="shared" ref="AF34:AF53" ca="1" si="35">AE34-AD34</f>
        <v>-0.46499999999999986</v>
      </c>
      <c r="AG34" s="165">
        <f t="shared" ca="1" si="10"/>
        <v>0</v>
      </c>
      <c r="AH34" s="522">
        <f ca="1">AG34+AG35</f>
        <v>0</v>
      </c>
      <c r="AI34" s="554"/>
      <c r="AJ34" s="522"/>
    </row>
    <row r="35" spans="1:36" ht="15.75" thickBot="1" x14ac:dyDescent="0.3">
      <c r="A35" s="77" t="e">
        <f>MATCH(G35,SCALARS!D:D,0)</f>
        <v>#N/A</v>
      </c>
      <c r="B35" s="525"/>
      <c r="C35" s="78">
        <f>MATCH(G35,'MKT DATA'!B:B,0)</f>
        <v>31</v>
      </c>
      <c r="D35" s="354"/>
      <c r="E35" s="265" t="e" cm="1">
        <f t="array" aca="1" ref="E35" ca="1">INDIRECT(ADDRESS($A35,E$3,,,"scalars"))</f>
        <v>#N/A</v>
      </c>
      <c r="F35" s="77" t="e" cm="1">
        <f t="array" aca="1" ref="F35" ca="1">INDIRECT(ADDRESS($A35,F$3,,,"scalars"))</f>
        <v>#N/A</v>
      </c>
      <c r="G35" s="195" t="s">
        <v>183</v>
      </c>
      <c r="H35" s="37" cm="1">
        <f t="array" aca="1" ref="H35" ca="1">INDIRECT(ADDRESS($C35,H$3,,,"mkt data"))</f>
        <v>12.11</v>
      </c>
      <c r="I35" s="38" cm="1">
        <f t="array" aca="1" ref="I35" ca="1">INDIRECT(ADDRESS($C35,I$3,,,"mkt data"))</f>
        <v>24.23</v>
      </c>
      <c r="J35" s="151" t="e" cm="1">
        <f t="array" aca="1" ref="J35" ca="1">INDIRECT(ADDRESS($A35,J$3,,,"SCALARS"))</f>
        <v>#N/A</v>
      </c>
      <c r="K35" s="22" t="e">
        <f t="shared" ca="1" si="28"/>
        <v>#N/A</v>
      </c>
      <c r="L35" s="22" t="e">
        <f t="shared" ca="1" si="29"/>
        <v>#N/A</v>
      </c>
      <c r="M35" s="45" t="e" cm="1">
        <f t="array" aca="1" ref="M35" ca="1">INDIRECT(ADDRESS($A35,M$3,,,"scalars"))</f>
        <v>#N/A</v>
      </c>
      <c r="N35" s="23" t="e">
        <f t="shared" ref="N35:N37" ca="1" si="36">K35*M35</f>
        <v>#N/A</v>
      </c>
      <c r="O35" s="23" t="e">
        <f t="shared" ca="1" si="30"/>
        <v>#N/A</v>
      </c>
      <c r="P35" s="478"/>
      <c r="Q35" s="476"/>
      <c r="R35" s="253" t="e">
        <f ca="1">IF(Q34&gt;R34,TRUE,FALSE)</f>
        <v>#N/A</v>
      </c>
      <c r="S35" s="224" t="e">
        <f ca="1">AND(IF(U34&gt;-S34,TRUE,FALSE),IF(X34&gt;0,TRUE,FALSE))</f>
        <v>#N/A</v>
      </c>
      <c r="T35" s="478"/>
      <c r="U35" s="476"/>
      <c r="V35" s="253" t="e">
        <f ca="1">IF(U34&gt;V34,TRUE,FALSE)</f>
        <v>#N/A</v>
      </c>
      <c r="W35" s="61" t="e">
        <f ca="1">AND(IF(Q34&gt;-W34,TRUE,FALSE),IF(X34&lt;0,TRUE,FALSE))</f>
        <v>#N/A</v>
      </c>
      <c r="X35" s="29" cm="1">
        <f t="array" aca="1" ref="X35" ca="1">INDIRECT(ADDRESS($C35,X$3,,,"mkt data"))</f>
        <v>0</v>
      </c>
      <c r="Y35" s="50">
        <f t="shared" ca="1" si="31"/>
        <v>0</v>
      </c>
      <c r="Z35" s="29" t="e">
        <f t="shared" ca="1" si="32"/>
        <v>#N/A</v>
      </c>
      <c r="AA35" s="486"/>
      <c r="AB35" s="463"/>
      <c r="AC35" s="181" t="str">
        <f t="shared" si="33"/>
        <v>IBDR</v>
      </c>
      <c r="AD35" s="37" cm="1">
        <f t="array" aca="1" ref="AD35" ca="1">INDIRECT(ADDRESS($C35,AD$3,,,"mkt data"))</f>
        <v>24.219999000000001</v>
      </c>
      <c r="AE35" s="167">
        <f t="shared" ca="1" si="34"/>
        <v>18.170000000000002</v>
      </c>
      <c r="AF35" s="167">
        <f t="shared" ca="1" si="35"/>
        <v>-6.0499989999999997</v>
      </c>
      <c r="AG35" s="167">
        <f t="shared" ca="1" si="10"/>
        <v>0</v>
      </c>
      <c r="AH35" s="523"/>
      <c r="AI35" s="555"/>
      <c r="AJ35" s="523"/>
    </row>
    <row r="36" spans="1:36" x14ac:dyDescent="0.25">
      <c r="A36" s="75" t="e">
        <f>MATCH(G36,SCALARS!D:D,0)</f>
        <v>#N/A</v>
      </c>
      <c r="B36" s="524">
        <f>MATCH(G36,'SCALAR INPUTS'!E:E,0)</f>
        <v>51</v>
      </c>
      <c r="C36" s="76">
        <f>MATCH(G36,'MKT DATA'!B:B,0)</f>
        <v>21</v>
      </c>
      <c r="D36" s="353"/>
      <c r="E36" s="264" t="e" cm="1">
        <f t="array" aca="1" ref="E36" ca="1">INDIRECT(ADDRESS($A36,E$3,,,"scalars"))</f>
        <v>#N/A</v>
      </c>
      <c r="F36" s="75" t="e" cm="1">
        <f t="array" aca="1" ref="F36" ca="1">INDIRECT(ADDRESS($A36,F$3,,,"scalars"))</f>
        <v>#N/A</v>
      </c>
      <c r="G36" s="194" t="s">
        <v>186</v>
      </c>
      <c r="H36" s="33" cm="1">
        <f t="array" aca="1" ref="H36" ca="1">INDIRECT(ADDRESS($C36,H$3,,,"mkt data"))</f>
        <v>19.54</v>
      </c>
      <c r="I36" s="34" cm="1">
        <f t="array" aca="1" ref="I36" ca="1">INDIRECT(ADDRESS($C36,I$3,,,"mkt data"))</f>
        <v>19.55</v>
      </c>
      <c r="J36" s="150" t="e" cm="1">
        <f t="array" aca="1" ref="J36" ca="1">INDIRECT(ADDRESS($A36,J$3,,,"SCALARS"))</f>
        <v>#N/A</v>
      </c>
      <c r="K36" s="16" t="e">
        <f t="shared" ca="1" si="28"/>
        <v>#N/A</v>
      </c>
      <c r="L36" s="16" t="e">
        <f t="shared" ca="1" si="29"/>
        <v>#N/A</v>
      </c>
      <c r="M36" s="44" t="e" cm="1">
        <f t="array" aca="1" ref="M36" ca="1">INDIRECT(ADDRESS($A36,M$3,,,"scalars"))</f>
        <v>#N/A</v>
      </c>
      <c r="N36" s="17" t="e">
        <f t="shared" ca="1" si="36"/>
        <v>#N/A</v>
      </c>
      <c r="O36" s="17" t="e">
        <f t="shared" ca="1" si="30"/>
        <v>#N/A</v>
      </c>
      <c r="P36" s="477" t="e">
        <f ca="1">N37-O36</f>
        <v>#N/A</v>
      </c>
      <c r="Q36" s="475" t="e">
        <f ca="1">LN(N37/O36)</f>
        <v>#N/A</v>
      </c>
      <c r="R36" s="252" t="e" cm="1">
        <f t="array" aca="1" ref="R36" ca="1">-INDIRECT(ADDRESS($B36,R$3,,,"threshold info"))</f>
        <v>#REF!</v>
      </c>
      <c r="S36" s="223" t="e" cm="1">
        <f t="array" aca="1" ref="S36" ca="1">-INDIRECT(ADDRESS($B36,S$3,,,"threshold info"))</f>
        <v>#REF!</v>
      </c>
      <c r="T36" s="477" t="e">
        <f ca="1">N36-O37</f>
        <v>#N/A</v>
      </c>
      <c r="U36" s="475" t="e">
        <f ca="1">LN(N36/O37)</f>
        <v>#N/A</v>
      </c>
      <c r="V36" s="252" t="e" cm="1">
        <f t="array" aca="1" ref="V36" ca="1">INDIRECT(ADDRESS($B36,V$3,,,"threshold info"))</f>
        <v>#REF!</v>
      </c>
      <c r="W36" s="60" t="e" cm="1">
        <f t="array" aca="1" ref="W36" ca="1">INDIRECT(ADDRESS($B36,W$3,,,"threshold info"))</f>
        <v>#REF!</v>
      </c>
      <c r="X36" s="27" cm="1">
        <f t="array" aca="1" ref="X36" ca="1">INDIRECT(ADDRESS($C36,X$3,,,"mkt data"))</f>
        <v>0</v>
      </c>
      <c r="Y36" s="48">
        <f t="shared" ca="1" si="31"/>
        <v>0</v>
      </c>
      <c r="Z36" s="27" t="e">
        <f t="shared" ca="1" si="32"/>
        <v>#N/A</v>
      </c>
      <c r="AA36" s="534" t="e">
        <f ca="1">SUM(Z36:Z37)</f>
        <v>#N/A</v>
      </c>
      <c r="AB36" s="462"/>
      <c r="AC36" s="173" t="str">
        <f t="shared" si="33"/>
        <v>BSCR</v>
      </c>
      <c r="AD36" s="33" cm="1">
        <f t="array" aca="1" ref="AD36" ca="1">INDIRECT(ADDRESS($C36,AD$3,,,"mkt data"))</f>
        <v>19.530000999999999</v>
      </c>
      <c r="AE36" s="165">
        <f t="shared" ca="1" si="34"/>
        <v>19.545000000000002</v>
      </c>
      <c r="AF36" s="165">
        <f t="shared" ca="1" si="35"/>
        <v>1.4999000000003093E-2</v>
      </c>
      <c r="AG36" s="165">
        <f t="shared" ca="1" si="10"/>
        <v>0</v>
      </c>
      <c r="AH36" s="522">
        <f ca="1">AG36+AG37</f>
        <v>0</v>
      </c>
      <c r="AI36" s="554"/>
      <c r="AJ36" s="522"/>
    </row>
    <row r="37" spans="1:36" ht="15.75" thickBot="1" x14ac:dyDescent="0.3">
      <c r="A37" s="77" t="e">
        <f>MATCH(G37,SCALARS!D:D,0)</f>
        <v>#N/A</v>
      </c>
      <c r="B37" s="525"/>
      <c r="C37" s="78">
        <f>MATCH(G37,'MKT DATA'!B:B,0)</f>
        <v>32</v>
      </c>
      <c r="D37" s="354"/>
      <c r="E37" s="265" t="e" cm="1">
        <f t="array" aca="1" ref="E37" ca="1">INDIRECT(ADDRESS($A37,E$3,,,"scalars"))</f>
        <v>#N/A</v>
      </c>
      <c r="F37" s="77" t="e" cm="1">
        <f t="array" aca="1" ref="F37" ca="1">INDIRECT(ADDRESS($A37,F$3,,,"scalars"))</f>
        <v>#N/A</v>
      </c>
      <c r="G37" s="195" t="s">
        <v>185</v>
      </c>
      <c r="H37" s="37" cm="1">
        <f t="array" aca="1" ref="H37" ca="1">INDIRECT(ADDRESS($C37,H$3,,,"mkt data"))</f>
        <v>24.13</v>
      </c>
      <c r="I37" s="38" cm="1">
        <f t="array" aca="1" ref="I37" ca="1">INDIRECT(ADDRESS($C37,I$3,,,"mkt data"))</f>
        <v>27.05</v>
      </c>
      <c r="J37" s="151" t="e" cm="1">
        <f t="array" aca="1" ref="J37" ca="1">INDIRECT(ADDRESS($A37,J$3,,,"SCALARS"))</f>
        <v>#N/A</v>
      </c>
      <c r="K37" s="22" t="e">
        <f t="shared" ca="1" si="28"/>
        <v>#N/A</v>
      </c>
      <c r="L37" s="22" t="e">
        <f t="shared" ca="1" si="29"/>
        <v>#N/A</v>
      </c>
      <c r="M37" s="45" t="e" cm="1">
        <f t="array" aca="1" ref="M37" ca="1">INDIRECT(ADDRESS($A37,M$3,,,"scalars"))</f>
        <v>#N/A</v>
      </c>
      <c r="N37" s="23" t="e">
        <f t="shared" ca="1" si="36"/>
        <v>#N/A</v>
      </c>
      <c r="O37" s="23" t="e">
        <f t="shared" ca="1" si="30"/>
        <v>#N/A</v>
      </c>
      <c r="P37" s="478"/>
      <c r="Q37" s="476"/>
      <c r="R37" s="253" t="e">
        <f ca="1">IF(Q36&gt;R36,TRUE,FALSE)</f>
        <v>#N/A</v>
      </c>
      <c r="S37" s="224" t="e">
        <f ca="1">AND(IF(U36&gt;-S36,TRUE,FALSE),IF(X36&gt;0,TRUE,FALSE))</f>
        <v>#N/A</v>
      </c>
      <c r="T37" s="478"/>
      <c r="U37" s="476"/>
      <c r="V37" s="253" t="e">
        <f ca="1">IF(U36&gt;V36,TRUE,FALSE)</f>
        <v>#N/A</v>
      </c>
      <c r="W37" s="61" t="e">
        <f ca="1">AND(IF(Q36&gt;-W36,TRUE,FALSE),IF(X36&lt;0,TRUE,FALSE))</f>
        <v>#N/A</v>
      </c>
      <c r="X37" s="29" cm="1">
        <f t="array" aca="1" ref="X37" ca="1">INDIRECT(ADDRESS($C37,X$3,,,"mkt data"))</f>
        <v>0</v>
      </c>
      <c r="Y37" s="50">
        <f t="shared" ca="1" si="31"/>
        <v>0</v>
      </c>
      <c r="Z37" s="29" t="e">
        <f t="shared" ca="1" si="32"/>
        <v>#N/A</v>
      </c>
      <c r="AA37" s="535"/>
      <c r="AB37" s="463"/>
      <c r="AC37" s="181" t="str">
        <f t="shared" si="33"/>
        <v>IBDS</v>
      </c>
      <c r="AD37" s="37" cm="1">
        <f t="array" aca="1" ref="AD37" ca="1">INDIRECT(ADDRESS($C37,AD$3,,,"mkt data"))</f>
        <v>24.129999000000002</v>
      </c>
      <c r="AE37" s="167">
        <f t="shared" ca="1" si="34"/>
        <v>25.59</v>
      </c>
      <c r="AF37" s="167">
        <f t="shared" ca="1" si="35"/>
        <v>1.4600009999999983</v>
      </c>
      <c r="AG37" s="167">
        <f t="shared" ca="1" si="10"/>
        <v>0</v>
      </c>
      <c r="AH37" s="523"/>
      <c r="AI37" s="555"/>
      <c r="AJ37" s="523"/>
    </row>
    <row r="38" spans="1:36" x14ac:dyDescent="0.25">
      <c r="A38" s="75" t="e">
        <f>MATCH(G38,SCALARS!D:D,0)</f>
        <v>#N/A</v>
      </c>
      <c r="B38" s="524">
        <f>MATCH(G38,'SCALAR INPUTS'!E:E,0)</f>
        <v>55</v>
      </c>
      <c r="C38" s="76">
        <f>MATCH(G38,'MKT DATA'!B:B,0)</f>
        <v>22</v>
      </c>
      <c r="D38" s="353"/>
      <c r="E38" s="264" t="e" cm="1">
        <f t="array" aca="1" ref="E38" ca="1">INDIRECT(ADDRESS($A38,E$3,,,"scalars"))</f>
        <v>#N/A</v>
      </c>
      <c r="F38" s="75" t="e" cm="1">
        <f t="array" aca="1" ref="F38" ca="1">INDIRECT(ADDRESS($A38,F$3,,,"scalars"))</f>
        <v>#N/A</v>
      </c>
      <c r="G38" s="194" t="s">
        <v>188</v>
      </c>
      <c r="H38" s="33" cm="1">
        <f t="array" aca="1" ref="H38" ca="1">INDIRECT(ADDRESS($C38,H$3,,,"mkt data"))</f>
        <v>20.09</v>
      </c>
      <c r="I38" s="34" cm="1">
        <f t="array" aca="1" ref="I38" ca="1">INDIRECT(ADDRESS($C38,I$3,,,"mkt data"))</f>
        <v>20.45</v>
      </c>
      <c r="J38" s="150" t="e" cm="1">
        <f t="array" aca="1" ref="J38" ca="1">INDIRECT(ADDRESS($A38,J$3,,,"SCALARS"))</f>
        <v>#N/A</v>
      </c>
      <c r="K38" s="16" t="e">
        <f t="shared" ca="1" si="28"/>
        <v>#N/A</v>
      </c>
      <c r="L38" s="16" t="e">
        <f t="shared" ca="1" si="29"/>
        <v>#N/A</v>
      </c>
      <c r="M38" s="44" t="e" cm="1">
        <f t="array" aca="1" ref="M38" ca="1">INDIRECT(ADDRESS($A38,M$3,,,"scalars"))</f>
        <v>#N/A</v>
      </c>
      <c r="N38" s="17" t="e">
        <f ca="1">K38*M38</f>
        <v>#N/A</v>
      </c>
      <c r="O38" s="17" t="e">
        <f t="shared" ca="1" si="30"/>
        <v>#N/A</v>
      </c>
      <c r="P38" s="477" t="e">
        <f ca="1">N39-O38</f>
        <v>#N/A</v>
      </c>
      <c r="Q38" s="475" t="e">
        <f ca="1">LN(N39/O38)</f>
        <v>#N/A</v>
      </c>
      <c r="R38" s="252" t="e" cm="1">
        <f t="array" aca="1" ref="R38" ca="1">-INDIRECT(ADDRESS($B38,R$3,,,"threshold info"))</f>
        <v>#REF!</v>
      </c>
      <c r="S38" s="223" t="e" cm="1">
        <f t="array" aca="1" ref="S38" ca="1">-INDIRECT(ADDRESS($B38,S$3,,,"threshold info"))</f>
        <v>#REF!</v>
      </c>
      <c r="T38" s="477" t="e">
        <f ca="1">N38-O39</f>
        <v>#N/A</v>
      </c>
      <c r="U38" s="475" t="e">
        <f ca="1">LN(N38/O39)</f>
        <v>#N/A</v>
      </c>
      <c r="V38" s="252" t="e" cm="1">
        <f t="array" aca="1" ref="V38" ca="1">INDIRECT(ADDRESS($B38,V$3,,,"threshold info"))</f>
        <v>#REF!</v>
      </c>
      <c r="W38" s="60" t="e" cm="1">
        <f t="array" aca="1" ref="W38" ca="1">INDIRECT(ADDRESS($B38,W$3,,,"threshold info"))</f>
        <v>#REF!</v>
      </c>
      <c r="X38" s="27" cm="1">
        <f t="array" aca="1" ref="X38" ca="1">INDIRECT(ADDRESS($C38,X$3,,,"mkt data"))</f>
        <v>0</v>
      </c>
      <c r="Y38" s="48">
        <f t="shared" ca="1" si="31"/>
        <v>0</v>
      </c>
      <c r="Z38" s="27" t="e">
        <f t="shared" ca="1" si="32"/>
        <v>#N/A</v>
      </c>
      <c r="AA38" s="534" t="e">
        <f ca="1">SUM(Z38:Z39)</f>
        <v>#N/A</v>
      </c>
      <c r="AB38" s="462"/>
      <c r="AC38" s="173" t="str">
        <f t="shared" si="33"/>
        <v>BSCS</v>
      </c>
      <c r="AD38" s="33" cm="1">
        <f t="array" aca="1" ref="AD38" ca="1">INDIRECT(ADDRESS($C38,AD$3,,,"mkt data"))</f>
        <v>20.16</v>
      </c>
      <c r="AE38" s="165">
        <f t="shared" ca="1" si="34"/>
        <v>20.27</v>
      </c>
      <c r="AF38" s="165">
        <f t="shared" ca="1" si="35"/>
        <v>0.10999999999999943</v>
      </c>
      <c r="AG38" s="165">
        <f t="shared" ca="1" si="10"/>
        <v>0</v>
      </c>
      <c r="AH38" s="522">
        <f ca="1">AG38+AG39</f>
        <v>0</v>
      </c>
      <c r="AI38" s="554"/>
      <c r="AJ38" s="522"/>
    </row>
    <row r="39" spans="1:36" ht="15.75" thickBot="1" x14ac:dyDescent="0.3">
      <c r="A39" s="77" t="e">
        <f>MATCH(G39,SCALARS!D:D,0)</f>
        <v>#N/A</v>
      </c>
      <c r="B39" s="525"/>
      <c r="C39" s="78">
        <f>MATCH(G39,'MKT DATA'!B:B,0)</f>
        <v>33</v>
      </c>
      <c r="D39" s="354"/>
      <c r="E39" s="265" t="e" cm="1">
        <f t="array" aca="1" ref="E39" ca="1">INDIRECT(ADDRESS($A39,E$3,,,"scalars"))</f>
        <v>#N/A</v>
      </c>
      <c r="F39" s="77" t="e" cm="1">
        <f t="array" aca="1" ref="F39" ca="1">INDIRECT(ADDRESS($A39,F$3,,,"scalars"))</f>
        <v>#N/A</v>
      </c>
      <c r="G39" s="195" t="s">
        <v>187</v>
      </c>
      <c r="H39" s="37" cm="1">
        <f t="array" aca="1" ref="H39" ca="1">INDIRECT(ADDRESS($C39,H$3,,,"mkt data"))</f>
        <v>25.01</v>
      </c>
      <c r="I39" s="38" cm="1">
        <f t="array" aca="1" ref="I39" ca="1">INDIRECT(ADDRESS($C39,I$3,,,"mkt data"))</f>
        <v>25.02</v>
      </c>
      <c r="J39" s="151" t="e" cm="1">
        <f t="array" aca="1" ref="J39" ca="1">INDIRECT(ADDRESS($A39,J$3,,,"SCALARS"))</f>
        <v>#N/A</v>
      </c>
      <c r="K39" s="22" t="e">
        <f t="shared" ca="1" si="28"/>
        <v>#N/A</v>
      </c>
      <c r="L39" s="22" t="e">
        <f t="shared" ca="1" si="29"/>
        <v>#N/A</v>
      </c>
      <c r="M39" s="45" t="e" cm="1">
        <f t="array" aca="1" ref="M39" ca="1">INDIRECT(ADDRESS($A39,M$3,,,"scalars"))</f>
        <v>#N/A</v>
      </c>
      <c r="N39" s="23" t="e">
        <f t="shared" ref="N39:N40" ca="1" si="37">K39*M39</f>
        <v>#N/A</v>
      </c>
      <c r="O39" s="23" t="e">
        <f t="shared" ca="1" si="30"/>
        <v>#N/A</v>
      </c>
      <c r="P39" s="478"/>
      <c r="Q39" s="476"/>
      <c r="R39" s="253" t="e">
        <f ca="1">IF(Q38&gt;R38,TRUE,FALSE)</f>
        <v>#N/A</v>
      </c>
      <c r="S39" s="224" t="e">
        <f ca="1">AND(IF(U38&gt;-S38,TRUE,FALSE),IF(X38&gt;0,TRUE,FALSE))</f>
        <v>#N/A</v>
      </c>
      <c r="T39" s="478"/>
      <c r="U39" s="476"/>
      <c r="V39" s="253" t="e">
        <f ca="1">IF(U38&gt;V38,TRUE,FALSE)</f>
        <v>#N/A</v>
      </c>
      <c r="W39" s="61" t="e">
        <f ca="1">AND(IF(Q38&gt;-W38,TRUE,FALSE),IF(X38&lt;0,TRUE,FALSE))</f>
        <v>#N/A</v>
      </c>
      <c r="X39" s="29" cm="1">
        <f t="array" aca="1" ref="X39" ca="1">INDIRECT(ADDRESS($C39,X$3,,,"mkt data"))</f>
        <v>0</v>
      </c>
      <c r="Y39" s="50">
        <f t="shared" ca="1" si="31"/>
        <v>0</v>
      </c>
      <c r="Z39" s="29" t="e">
        <f t="shared" ca="1" si="32"/>
        <v>#N/A</v>
      </c>
      <c r="AA39" s="535"/>
      <c r="AB39" s="463"/>
      <c r="AC39" s="181" t="str">
        <f t="shared" si="33"/>
        <v>IBDT</v>
      </c>
      <c r="AD39" s="37" cm="1">
        <f t="array" aca="1" ref="AD39" ca="1">INDIRECT(ADDRESS($C39,AD$3,,,"mkt data"))</f>
        <v>25.02</v>
      </c>
      <c r="AE39" s="167">
        <f t="shared" ca="1" si="34"/>
        <v>25.015000000000001</v>
      </c>
      <c r="AF39" s="167">
        <f t="shared" ca="1" si="35"/>
        <v>-4.9999999999990052E-3</v>
      </c>
      <c r="AG39" s="167">
        <f t="shared" ca="1" si="10"/>
        <v>0</v>
      </c>
      <c r="AH39" s="523"/>
      <c r="AI39" s="555"/>
      <c r="AJ39" s="523"/>
    </row>
    <row r="40" spans="1:36" x14ac:dyDescent="0.25">
      <c r="A40" s="75" t="e">
        <f>MATCH(G40,SCALARS!D:D,0)</f>
        <v>#N/A</v>
      </c>
      <c r="B40" s="524">
        <f>MATCH(G40,'SCALAR INPUTS'!E:E,0)</f>
        <v>59</v>
      </c>
      <c r="C40" s="76">
        <f>MATCH(G40,'MKT DATA'!B:B,0)</f>
        <v>23</v>
      </c>
      <c r="D40" s="353"/>
      <c r="E40" s="264" t="e" cm="1">
        <f t="array" aca="1" ref="E40" ca="1">INDIRECT(ADDRESS($A40,E$3,,,"scalars"))</f>
        <v>#N/A</v>
      </c>
      <c r="F40" s="75" t="e" cm="1">
        <f t="array" aca="1" ref="F40" ca="1">INDIRECT(ADDRESS($A40,F$3,,,"scalars"))</f>
        <v>#N/A</v>
      </c>
      <c r="G40" s="194" t="s">
        <v>190</v>
      </c>
      <c r="H40" s="33" cm="1">
        <f t="array" aca="1" ref="H40" ca="1">INDIRECT(ADDRESS($C40,H$3,,,"mkt data"))</f>
        <v>18.16</v>
      </c>
      <c r="I40" s="34" cm="1">
        <f t="array" aca="1" ref="I40" ca="1">INDIRECT(ADDRESS($C40,I$3,,,"mkt data"))</f>
        <v>18.41</v>
      </c>
      <c r="J40" s="150" t="e" cm="1">
        <f t="array" aca="1" ref="J40" ca="1">INDIRECT(ADDRESS($A40,J$3,,,"SCALARS"))</f>
        <v>#N/A</v>
      </c>
      <c r="K40" s="16" t="e">
        <f t="shared" ca="1" si="28"/>
        <v>#N/A</v>
      </c>
      <c r="L40" s="16" t="e">
        <f t="shared" ca="1" si="29"/>
        <v>#N/A</v>
      </c>
      <c r="M40" s="44" t="e" cm="1">
        <f t="array" aca="1" ref="M40" ca="1">INDIRECT(ADDRESS($A40,M$3,,,"scalars"))</f>
        <v>#N/A</v>
      </c>
      <c r="N40" s="17" t="e">
        <f t="shared" ca="1" si="37"/>
        <v>#N/A</v>
      </c>
      <c r="O40" s="17" t="e">
        <f t="shared" ca="1" si="30"/>
        <v>#N/A</v>
      </c>
      <c r="P40" s="477" t="e">
        <f ca="1">N41-O40</f>
        <v>#N/A</v>
      </c>
      <c r="Q40" s="475" t="e">
        <f ca="1">LN(N41/O40)</f>
        <v>#N/A</v>
      </c>
      <c r="R40" s="252" t="e" cm="1">
        <f t="array" aca="1" ref="R40" ca="1">-INDIRECT(ADDRESS($B40,R$3,,,"threshold info"))</f>
        <v>#REF!</v>
      </c>
      <c r="S40" s="223" t="e" cm="1">
        <f t="array" aca="1" ref="S40" ca="1">-INDIRECT(ADDRESS($B40,S$3,,,"threshold info"))</f>
        <v>#REF!</v>
      </c>
      <c r="T40" s="477" t="e">
        <f ca="1">N40-O41</f>
        <v>#N/A</v>
      </c>
      <c r="U40" s="475" t="e">
        <f ca="1">LN(N40/O41)</f>
        <v>#N/A</v>
      </c>
      <c r="V40" s="252" t="e" cm="1">
        <f t="array" aca="1" ref="V40" ca="1">INDIRECT(ADDRESS($B40,V$3,,,"threshold info"))</f>
        <v>#REF!</v>
      </c>
      <c r="W40" s="60" t="e" cm="1">
        <f t="array" aca="1" ref="W40" ca="1">INDIRECT(ADDRESS($B40,W$3,,,"threshold info"))</f>
        <v>#REF!</v>
      </c>
      <c r="X40" s="27" cm="1">
        <f t="array" aca="1" ref="X40" ca="1">INDIRECT(ADDRESS($C40,X$3,,,"mkt data"))</f>
        <v>0</v>
      </c>
      <c r="Y40" s="48">
        <f t="shared" ca="1" si="31"/>
        <v>0</v>
      </c>
      <c r="Z40" s="27" t="e">
        <f t="shared" ca="1" si="32"/>
        <v>#N/A</v>
      </c>
      <c r="AA40" s="550" t="e">
        <f ca="1">SUM(Z40:Z41)</f>
        <v>#N/A</v>
      </c>
      <c r="AB40" s="462"/>
      <c r="AC40" s="173" t="str">
        <f t="shared" si="33"/>
        <v>BSCT</v>
      </c>
      <c r="AD40" s="33" cm="1">
        <f t="array" aca="1" ref="AD40" ca="1">INDIRECT(ADDRESS($C40,AD$3,,,"mkt data"))</f>
        <v>18.290001</v>
      </c>
      <c r="AE40" s="165">
        <f t="shared" ca="1" si="34"/>
        <v>18.285</v>
      </c>
      <c r="AF40" s="165">
        <f t="shared" ca="1" si="35"/>
        <v>-5.0010000000000332E-3</v>
      </c>
      <c r="AG40" s="165">
        <f t="shared" ca="1" si="10"/>
        <v>0</v>
      </c>
      <c r="AH40" s="522">
        <f ca="1">AG40+AG41</f>
        <v>0</v>
      </c>
      <c r="AI40" s="554"/>
      <c r="AJ40" s="522"/>
    </row>
    <row r="41" spans="1:36" ht="15.75" thickBot="1" x14ac:dyDescent="0.3">
      <c r="A41" s="77" t="e">
        <f>MATCH(G41,SCALARS!D:D,0)</f>
        <v>#N/A</v>
      </c>
      <c r="B41" s="525"/>
      <c r="C41" s="78">
        <f>MATCH(G41,'MKT DATA'!B:B,0)</f>
        <v>34</v>
      </c>
      <c r="D41" s="354"/>
      <c r="E41" s="265" t="e" cm="1">
        <f t="array" aca="1" ref="E41" ca="1">INDIRECT(ADDRESS($A41,E$3,,,"scalars"))</f>
        <v>#N/A</v>
      </c>
      <c r="F41" s="77" t="e" cm="1">
        <f t="array" aca="1" ref="F41" ca="1">INDIRECT(ADDRESS($A41,F$3,,,"scalars"))</f>
        <v>#N/A</v>
      </c>
      <c r="G41" s="195" t="s">
        <v>189</v>
      </c>
      <c r="H41" s="37" cm="1">
        <f t="array" aca="1" ref="H41" ca="1">INDIRECT(ADDRESS($C41,H$3,,,"mkt data"))</f>
        <v>22.78</v>
      </c>
      <c r="I41" s="38" cm="1">
        <f t="array" aca="1" ref="I41" ca="1">INDIRECT(ADDRESS($C41,I$3,,,"mkt data"))</f>
        <v>22.79</v>
      </c>
      <c r="J41" s="151" t="e" cm="1">
        <f t="array" aca="1" ref="J41" ca="1">INDIRECT(ADDRESS($A41,J$3,,,"SCALARS"))</f>
        <v>#N/A</v>
      </c>
      <c r="K41" s="22" t="e">
        <f t="shared" ca="1" si="28"/>
        <v>#N/A</v>
      </c>
      <c r="L41" s="22" t="e">
        <f t="shared" ca="1" si="29"/>
        <v>#N/A</v>
      </c>
      <c r="M41" s="45" t="e" cm="1">
        <f t="array" aca="1" ref="M41" ca="1">INDIRECT(ADDRESS($A41,M$3,,,"scalars"))</f>
        <v>#N/A</v>
      </c>
      <c r="N41" s="23" t="e">
        <f ca="1">K41*M41</f>
        <v>#N/A</v>
      </c>
      <c r="O41" s="23" t="e">
        <f t="shared" ca="1" si="30"/>
        <v>#N/A</v>
      </c>
      <c r="P41" s="478"/>
      <c r="Q41" s="476"/>
      <c r="R41" s="253" t="e">
        <f ca="1">IF(Q40&gt;R40,TRUE,FALSE)</f>
        <v>#N/A</v>
      </c>
      <c r="S41" s="224" t="e">
        <f ca="1">AND(IF(U40&gt;-S40,TRUE,FALSE),IF(X40&gt;0,TRUE,FALSE))</f>
        <v>#N/A</v>
      </c>
      <c r="T41" s="478"/>
      <c r="U41" s="476"/>
      <c r="V41" s="253" t="e">
        <f ca="1">IF(U40&gt;V40,TRUE,FALSE)</f>
        <v>#N/A</v>
      </c>
      <c r="W41" s="61" t="e">
        <f ca="1">AND(IF(Q40&gt;-W40,TRUE,FALSE),IF(X40&lt;0,TRUE,FALSE))</f>
        <v>#N/A</v>
      </c>
      <c r="X41" s="29" cm="1">
        <f t="array" aca="1" ref="X41" ca="1">INDIRECT(ADDRESS($C41,X$3,,,"mkt data"))</f>
        <v>0</v>
      </c>
      <c r="Y41" s="50">
        <f t="shared" ca="1" si="31"/>
        <v>0</v>
      </c>
      <c r="Z41" s="29" t="e">
        <f t="shared" ca="1" si="32"/>
        <v>#N/A</v>
      </c>
      <c r="AA41" s="551"/>
      <c r="AB41" s="463"/>
      <c r="AC41" s="181" t="str">
        <f t="shared" si="33"/>
        <v>IBDU</v>
      </c>
      <c r="AD41" s="37" cm="1">
        <f t="array" aca="1" ref="AD41" ca="1">INDIRECT(ADDRESS($C41,AD$3,,,"mkt data"))</f>
        <v>22.790001</v>
      </c>
      <c r="AE41" s="167">
        <f t="shared" ca="1" si="34"/>
        <v>22.785</v>
      </c>
      <c r="AF41" s="167">
        <f t="shared" ca="1" si="35"/>
        <v>-5.0010000000000332E-3</v>
      </c>
      <c r="AG41" s="167">
        <f t="shared" ca="1" si="10"/>
        <v>0</v>
      </c>
      <c r="AH41" s="523"/>
      <c r="AI41" s="555"/>
      <c r="AJ41" s="523"/>
    </row>
    <row r="42" spans="1:36" x14ac:dyDescent="0.25">
      <c r="A42" s="75" t="e">
        <f>MATCH(G42,SCALARS!D:D,0)</f>
        <v>#N/A</v>
      </c>
      <c r="B42" s="524">
        <f>MATCH(G42,'SCALAR INPUTS'!E:E,0)</f>
        <v>63</v>
      </c>
      <c r="C42" s="76">
        <f>MATCH(G42,'MKT DATA'!B:B,0)</f>
        <v>24</v>
      </c>
      <c r="D42" s="353"/>
      <c r="E42" s="264" t="e" cm="1">
        <f t="array" aca="1" ref="E42" ca="1">INDIRECT(ADDRESS($A42,E$3,,,"scalars"))</f>
        <v>#N/A</v>
      </c>
      <c r="F42" s="75" t="e" cm="1">
        <f t="array" aca="1" ref="F42" ca="1">INDIRECT(ADDRESS($A42,F$3,,,"scalars"))</f>
        <v>#N/A</v>
      </c>
      <c r="G42" s="194" t="s">
        <v>192</v>
      </c>
      <c r="H42" s="33" cm="1">
        <f t="array" aca="1" ref="H42" ca="1">INDIRECT(ADDRESS($C42,H$3,,,"mkt data"))</f>
        <v>16.09</v>
      </c>
      <c r="I42" s="34" cm="1">
        <f t="array" aca="1" ref="I42" ca="1">INDIRECT(ADDRESS($C42,I$3,,,"mkt data"))</f>
        <v>16.47</v>
      </c>
      <c r="J42" s="150" t="e" cm="1">
        <f t="array" aca="1" ref="J42" ca="1">INDIRECT(ADDRESS($A42,J$3,,,"SCALARS"))</f>
        <v>#N/A</v>
      </c>
      <c r="K42" s="16" t="e">
        <f t="shared" ca="1" si="28"/>
        <v>#N/A</v>
      </c>
      <c r="L42" s="16" t="e">
        <f t="shared" ca="1" si="29"/>
        <v>#N/A</v>
      </c>
      <c r="M42" s="44" t="e" cm="1">
        <f t="array" aca="1" ref="M42" ca="1">INDIRECT(ADDRESS($A42,M$3,,,"scalars"))</f>
        <v>#N/A</v>
      </c>
      <c r="N42" s="17" t="e">
        <f ca="1">K42*M42</f>
        <v>#N/A</v>
      </c>
      <c r="O42" s="17" t="e">
        <f t="shared" ca="1" si="30"/>
        <v>#N/A</v>
      </c>
      <c r="P42" s="477" t="e">
        <f ca="1">N43-O42</f>
        <v>#N/A</v>
      </c>
      <c r="Q42" s="475" t="e">
        <f t="shared" ref="Q42" ca="1" si="38">LN(N43/O42)</f>
        <v>#N/A</v>
      </c>
      <c r="R42" s="252" t="e" cm="1">
        <f t="array" aca="1" ref="R42" ca="1">-INDIRECT(ADDRESS($B42,R$3,,,"threshold info"))</f>
        <v>#REF!</v>
      </c>
      <c r="S42" s="223" t="e" cm="1">
        <f t="array" aca="1" ref="S42" ca="1">-INDIRECT(ADDRESS($B42,S$3,,,"threshold info"))</f>
        <v>#REF!</v>
      </c>
      <c r="T42" s="477" t="e">
        <f ca="1">N42-O43</f>
        <v>#N/A</v>
      </c>
      <c r="U42" s="475" t="e">
        <f t="shared" ref="U42" ca="1" si="39">LN(N42/O43)</f>
        <v>#N/A</v>
      </c>
      <c r="V42" s="252" t="e" cm="1">
        <f t="array" aca="1" ref="V42" ca="1">INDIRECT(ADDRESS($B42,V$3,,,"threshold info"))</f>
        <v>#REF!</v>
      </c>
      <c r="W42" s="60" t="e" cm="1">
        <f t="array" aca="1" ref="W42" ca="1">INDIRECT(ADDRESS($B42,W$3,,,"threshold info"))</f>
        <v>#REF!</v>
      </c>
      <c r="X42" s="27" cm="1">
        <f t="array" aca="1" ref="X42" ca="1">INDIRECT(ADDRESS($C42,X$3,,,"mkt data"))</f>
        <v>0</v>
      </c>
      <c r="Y42" s="48">
        <f t="shared" ca="1" si="31"/>
        <v>0</v>
      </c>
      <c r="Z42" s="27" t="e">
        <f t="shared" ca="1" si="32"/>
        <v>#N/A</v>
      </c>
      <c r="AA42" s="534" t="e">
        <f ca="1">SUM(Z42:Z43)</f>
        <v>#N/A</v>
      </c>
      <c r="AB42" s="474"/>
      <c r="AC42" s="173" t="str">
        <f t="shared" si="33"/>
        <v>BSCU</v>
      </c>
      <c r="AD42" s="33" cm="1">
        <f t="array" aca="1" ref="AD42" ca="1">INDIRECT(ADDRESS($C42,AD$3,,,"mkt data"))</f>
        <v>16.274999999999999</v>
      </c>
      <c r="AE42" s="165">
        <f t="shared" ca="1" si="34"/>
        <v>16.28</v>
      </c>
      <c r="AF42" s="165">
        <f t="shared" ca="1" si="35"/>
        <v>5.000000000002558E-3</v>
      </c>
      <c r="AG42" s="165">
        <f t="shared" ca="1" si="10"/>
        <v>0</v>
      </c>
      <c r="AH42" s="522">
        <f ca="1">AG42+AG43</f>
        <v>0</v>
      </c>
      <c r="AI42" s="554"/>
      <c r="AJ42" s="522"/>
    </row>
    <row r="43" spans="1:36" ht="15.75" thickBot="1" x14ac:dyDescent="0.3">
      <c r="A43" s="77" t="e">
        <f>MATCH(G43,SCALARS!D:D,0)</f>
        <v>#N/A</v>
      </c>
      <c r="B43" s="525"/>
      <c r="C43" s="78">
        <f>MATCH(G43,'MKT DATA'!B:B,0)</f>
        <v>35</v>
      </c>
      <c r="D43" s="354"/>
      <c r="E43" s="265" t="e" cm="1">
        <f t="array" aca="1" ref="E43" ca="1">INDIRECT(ADDRESS($A43,E$3,,,"scalars"))</f>
        <v>#N/A</v>
      </c>
      <c r="F43" s="77" t="e" cm="1">
        <f t="array" aca="1" ref="F43" ca="1">INDIRECT(ADDRESS($A43,F$3,,,"scalars"))</f>
        <v>#N/A</v>
      </c>
      <c r="G43" s="195" t="s">
        <v>191</v>
      </c>
      <c r="H43" s="37" cm="1">
        <f t="array" aca="1" ref="H43" ca="1">INDIRECT(ADDRESS($C43,H$3,,,"mkt data"))</f>
        <v>21</v>
      </c>
      <c r="I43" s="38" cm="1">
        <f t="array" aca="1" ref="I43" ca="1">INDIRECT(ADDRESS($C43,I$3,,,"mkt data"))</f>
        <v>21.35</v>
      </c>
      <c r="J43" s="151" t="e" cm="1">
        <f t="array" aca="1" ref="J43" ca="1">INDIRECT(ADDRESS($A43,J$3,,,"SCALARS"))</f>
        <v>#N/A</v>
      </c>
      <c r="K43" s="22" t="e">
        <f t="shared" ca="1" si="28"/>
        <v>#N/A</v>
      </c>
      <c r="L43" s="22" t="e">
        <f t="shared" ca="1" si="29"/>
        <v>#N/A</v>
      </c>
      <c r="M43" s="45" t="e" cm="1">
        <f t="array" aca="1" ref="M43" ca="1">INDIRECT(ADDRESS($A43,M$3,,,"scalars"))</f>
        <v>#N/A</v>
      </c>
      <c r="N43" s="23" t="e">
        <f ca="1">K43*M43</f>
        <v>#N/A</v>
      </c>
      <c r="O43" s="23" t="e">
        <f t="shared" ca="1" si="30"/>
        <v>#N/A</v>
      </c>
      <c r="P43" s="478"/>
      <c r="Q43" s="476"/>
      <c r="R43" s="253" t="e">
        <f ca="1">IF(Q42&gt;R42,TRUE,FALSE)</f>
        <v>#N/A</v>
      </c>
      <c r="S43" s="224" t="e">
        <f ca="1">AND(IF(U42&gt;-S42,TRUE,FALSE),IF(X42&gt;0,TRUE,FALSE))</f>
        <v>#N/A</v>
      </c>
      <c r="T43" s="478"/>
      <c r="U43" s="476"/>
      <c r="V43" s="253" t="e">
        <f ca="1">IF(U42&gt;V42,TRUE,FALSE)</f>
        <v>#N/A</v>
      </c>
      <c r="W43" s="61" t="e">
        <f ca="1">AND(IF(Q42&gt;-W42,TRUE,FALSE),IF(X42&lt;0,TRUE,FALSE))</f>
        <v>#N/A</v>
      </c>
      <c r="X43" s="29" cm="1">
        <f t="array" aca="1" ref="X43" ca="1">INDIRECT(ADDRESS($C43,X$3,,,"mkt data"))</f>
        <v>0</v>
      </c>
      <c r="Y43" s="50">
        <f t="shared" ca="1" si="31"/>
        <v>0</v>
      </c>
      <c r="Z43" s="29" t="e">
        <f t="shared" ca="1" si="32"/>
        <v>#N/A</v>
      </c>
      <c r="AA43" s="535"/>
      <c r="AB43" s="463"/>
      <c r="AC43" s="181" t="str">
        <f t="shared" si="33"/>
        <v>IBDV</v>
      </c>
      <c r="AD43" s="37" cm="1">
        <f t="array" aca="1" ref="AD43" ca="1">INDIRECT(ADDRESS($C43,AD$3,,,"mkt data"))</f>
        <v>21.32</v>
      </c>
      <c r="AE43" s="167">
        <f t="shared" ca="1" si="34"/>
        <v>21.175000000000001</v>
      </c>
      <c r="AF43" s="167">
        <f t="shared" ca="1" si="35"/>
        <v>-0.14499999999999957</v>
      </c>
      <c r="AG43" s="167">
        <f t="shared" ca="1" si="10"/>
        <v>0</v>
      </c>
      <c r="AH43" s="523"/>
      <c r="AI43" s="555"/>
      <c r="AJ43" s="523"/>
    </row>
    <row r="44" spans="1:36" x14ac:dyDescent="0.25">
      <c r="A44" s="75" t="e">
        <f>MATCH(G44,SCALARS!D:D,0)</f>
        <v>#N/A</v>
      </c>
      <c r="B44" s="524">
        <f>MATCH(G44,'SCALAR INPUTS'!E:E,0)</f>
        <v>67</v>
      </c>
      <c r="C44" s="76">
        <f>MATCH(G44,'MKT DATA'!B:B,0)</f>
        <v>25</v>
      </c>
      <c r="D44" s="353"/>
      <c r="E44" s="264" t="e" cm="1">
        <f t="array" aca="1" ref="E44" ca="1">INDIRECT(ADDRESS($A44,E$3,,,"scalars"))</f>
        <v>#N/A</v>
      </c>
      <c r="F44" s="75" t="e" cm="1">
        <f t="array" aca="1" ref="F44" ca="1">INDIRECT(ADDRESS($A44,F$3,,,"scalars"))</f>
        <v>#N/A</v>
      </c>
      <c r="G44" s="194" t="s">
        <v>194</v>
      </c>
      <c r="H44" s="33" cm="1">
        <f t="array" aca="1" ref="H44" ca="1">INDIRECT(ADDRESS($C44,H$3,,,"mkt data"))</f>
        <v>15.73</v>
      </c>
      <c r="I44" s="34" cm="1">
        <f t="array" aca="1" ref="I44" ca="1">INDIRECT(ADDRESS($C44,I$3,,,"mkt data"))</f>
        <v>15.98</v>
      </c>
      <c r="J44" s="150" t="e" cm="1">
        <f t="array" aca="1" ref="J44" ca="1">INDIRECT(ADDRESS($A44,J$3,,,"SCALARS"))</f>
        <v>#N/A</v>
      </c>
      <c r="K44" s="16" t="e">
        <f t="shared" ca="1" si="28"/>
        <v>#N/A</v>
      </c>
      <c r="L44" s="16" t="e">
        <f t="shared" ca="1" si="29"/>
        <v>#N/A</v>
      </c>
      <c r="M44" s="44" t="e" cm="1">
        <f t="array" aca="1" ref="M44" ca="1">INDIRECT(ADDRESS($A44,M$3,,,"scalars"))</f>
        <v>#N/A</v>
      </c>
      <c r="N44" s="17" t="e">
        <f ca="1">K44*M44</f>
        <v>#N/A</v>
      </c>
      <c r="O44" s="17" t="e">
        <f t="shared" ca="1" si="30"/>
        <v>#N/A</v>
      </c>
      <c r="P44" s="477" t="e">
        <f ca="1">N45-O44</f>
        <v>#N/A</v>
      </c>
      <c r="Q44" s="475" t="e">
        <f ca="1">LN(N45/O44)</f>
        <v>#N/A</v>
      </c>
      <c r="R44" s="252" t="e" cm="1">
        <f t="array" aca="1" ref="R44" ca="1">-INDIRECT(ADDRESS($B44,R$3,,,"threshold info"))</f>
        <v>#REF!</v>
      </c>
      <c r="S44" s="223" t="e" cm="1">
        <f t="array" aca="1" ref="S44" ca="1">-INDIRECT(ADDRESS($B44,S$3,,,"threshold info"))</f>
        <v>#REF!</v>
      </c>
      <c r="T44" s="477" t="e">
        <f ca="1">N44-O45</f>
        <v>#N/A</v>
      </c>
      <c r="U44" s="475" t="e">
        <f ca="1">LN(N44/O45)</f>
        <v>#N/A</v>
      </c>
      <c r="V44" s="252" t="e" cm="1">
        <f t="array" aca="1" ref="V44" ca="1">INDIRECT(ADDRESS($B44,V$3,,,"threshold info"))</f>
        <v>#REF!</v>
      </c>
      <c r="W44" s="60" t="e" cm="1">
        <f t="array" aca="1" ref="W44" ca="1">INDIRECT(ADDRESS($B44,W$3,,,"threshold info"))</f>
        <v>#REF!</v>
      </c>
      <c r="X44" s="27" cm="1">
        <f t="array" aca="1" ref="X44" ca="1">INDIRECT(ADDRESS($C44,X$3,,,"mkt data"))</f>
        <v>0</v>
      </c>
      <c r="Y44" s="48">
        <f t="shared" ca="1" si="31"/>
        <v>0</v>
      </c>
      <c r="Z44" s="27" t="e">
        <f t="shared" ca="1" si="32"/>
        <v>#N/A</v>
      </c>
      <c r="AA44" s="485" t="e">
        <f ca="1">SUM(Z44:Z45)</f>
        <v>#N/A</v>
      </c>
      <c r="AB44" s="462"/>
      <c r="AC44" s="173" t="str">
        <f t="shared" si="33"/>
        <v>BSCV</v>
      </c>
      <c r="AD44" s="33" cm="1">
        <f t="array" aca="1" ref="AD44" ca="1">INDIRECT(ADDRESS($C44,AD$3,,,"mkt data"))</f>
        <v>15.92</v>
      </c>
      <c r="AE44" s="165">
        <f t="shared" ca="1" si="34"/>
        <v>15.855</v>
      </c>
      <c r="AF44" s="165">
        <f t="shared" ca="1" si="35"/>
        <v>-6.4999999999999503E-2</v>
      </c>
      <c r="AG44" s="165">
        <f t="shared" ca="1" si="10"/>
        <v>0</v>
      </c>
      <c r="AH44" s="522">
        <f ca="1">AG44+AG45</f>
        <v>0</v>
      </c>
      <c r="AI44" s="554"/>
      <c r="AJ44" s="522"/>
    </row>
    <row r="45" spans="1:36" ht="15.75" thickBot="1" x14ac:dyDescent="0.3">
      <c r="A45" s="77" t="e">
        <f>MATCH(G45,SCALARS!D:D,0)</f>
        <v>#N/A</v>
      </c>
      <c r="B45" s="525"/>
      <c r="C45" s="78">
        <f>MATCH(G45,'MKT DATA'!B:B,0)</f>
        <v>36</v>
      </c>
      <c r="D45" s="354"/>
      <c r="E45" s="265" t="e" cm="1">
        <f t="array" aca="1" ref="E45" ca="1">INDIRECT(ADDRESS($A45,E$3,,,"scalars"))</f>
        <v>#N/A</v>
      </c>
      <c r="F45" s="77" t="e" cm="1">
        <f t="array" aca="1" ref="F45" ca="1">INDIRECT(ADDRESS($A45,F$3,,,"scalars"))</f>
        <v>#N/A</v>
      </c>
      <c r="G45" s="195" t="s">
        <v>193</v>
      </c>
      <c r="H45" s="37" cm="1">
        <f t="array" aca="1" ref="H45" ca="1">INDIRECT(ADDRESS($C45,H$3,,,"mkt data"))</f>
        <v>19.95</v>
      </c>
      <c r="I45" s="38" cm="1">
        <f t="array" aca="1" ref="I45" ca="1">INDIRECT(ADDRESS($C45,I$3,,,"mkt data"))</f>
        <v>20.39</v>
      </c>
      <c r="J45" s="151" t="e" cm="1">
        <f t="array" aca="1" ref="J45" ca="1">INDIRECT(ADDRESS($A45,J$3,,,"SCALARS"))</f>
        <v>#N/A</v>
      </c>
      <c r="K45" s="22" t="e">
        <f t="shared" ca="1" si="28"/>
        <v>#N/A</v>
      </c>
      <c r="L45" s="22" t="e">
        <f t="shared" ca="1" si="29"/>
        <v>#N/A</v>
      </c>
      <c r="M45" s="45" t="e" cm="1">
        <f t="array" aca="1" ref="M45" ca="1">INDIRECT(ADDRESS($A45,M$3,,,"scalars"))</f>
        <v>#N/A</v>
      </c>
      <c r="N45" s="23" t="e">
        <f t="shared" ref="N45:N47" ca="1" si="40">K45*M45</f>
        <v>#N/A</v>
      </c>
      <c r="O45" s="23" t="e">
        <f t="shared" ca="1" si="30"/>
        <v>#N/A</v>
      </c>
      <c r="P45" s="478"/>
      <c r="Q45" s="476"/>
      <c r="R45" s="253" t="e">
        <f ca="1">IF(Q44&gt;R44,TRUE,FALSE)</f>
        <v>#N/A</v>
      </c>
      <c r="S45" s="224" t="e">
        <f ca="1">AND(IF(U44&gt;-S44,TRUE,FALSE),IF(X44&gt;0,TRUE,FALSE))</f>
        <v>#N/A</v>
      </c>
      <c r="T45" s="478"/>
      <c r="U45" s="476"/>
      <c r="V45" s="253" t="e">
        <f ca="1">IF(U44&gt;V44,TRUE,FALSE)</f>
        <v>#N/A</v>
      </c>
      <c r="W45" s="61" t="e">
        <f ca="1">AND(IF(Q44&gt;-W44,TRUE,FALSE),IF(X44&lt;0,TRUE,FALSE))</f>
        <v>#N/A</v>
      </c>
      <c r="X45" s="29" cm="1">
        <f t="array" aca="1" ref="X45" ca="1">INDIRECT(ADDRESS($C45,X$3,,,"mkt data"))</f>
        <v>0</v>
      </c>
      <c r="Y45" s="50">
        <f t="shared" ca="1" si="31"/>
        <v>0</v>
      </c>
      <c r="Z45" s="29" t="e">
        <f t="shared" ca="1" si="32"/>
        <v>#N/A</v>
      </c>
      <c r="AA45" s="486"/>
      <c r="AB45" s="463"/>
      <c r="AC45" s="181" t="str">
        <f t="shared" si="33"/>
        <v>IBDW</v>
      </c>
      <c r="AD45" s="37" cm="1">
        <f t="array" aca="1" ref="AD45" ca="1">INDIRECT(ADDRESS($C45,AD$3,,,"mkt data"))</f>
        <v>20.260000000000002</v>
      </c>
      <c r="AE45" s="167">
        <f t="shared" ca="1" si="34"/>
        <v>20.170000000000002</v>
      </c>
      <c r="AF45" s="167">
        <f t="shared" ca="1" si="35"/>
        <v>-8.9999999999999858E-2</v>
      </c>
      <c r="AG45" s="167">
        <f t="shared" ca="1" si="10"/>
        <v>0</v>
      </c>
      <c r="AH45" s="523"/>
      <c r="AI45" s="555"/>
      <c r="AJ45" s="523"/>
    </row>
    <row r="46" spans="1:36" x14ac:dyDescent="0.25">
      <c r="A46" s="75" t="e">
        <f>MATCH(G46,SCALARS!D:D,0)</f>
        <v>#N/A</v>
      </c>
      <c r="B46" s="524">
        <f>MATCH(G46,'SCALAR INPUTS'!E:E,0)</f>
        <v>71</v>
      </c>
      <c r="C46" s="76">
        <f>MATCH(G46,'MKT DATA'!B:B,0)</f>
        <v>26</v>
      </c>
      <c r="D46" s="353"/>
      <c r="E46" s="264" t="e" cm="1">
        <f t="array" aca="1" ref="E46" ca="1">INDIRECT(ADDRESS($A46,E$3,,,"scalars"))</f>
        <v>#N/A</v>
      </c>
      <c r="F46" s="75" t="e" cm="1">
        <f t="array" aca="1" ref="F46" ca="1">INDIRECT(ADDRESS($A46,F$3,,,"scalars"))</f>
        <v>#N/A</v>
      </c>
      <c r="G46" s="194" t="s">
        <v>196</v>
      </c>
      <c r="H46" s="33" cm="1">
        <f t="array" aca="1" ref="H46" ca="1">INDIRECT(ADDRESS($C46,H$3,,,"mkt data"))</f>
        <v>19.28</v>
      </c>
      <c r="I46" s="34" cm="1">
        <f t="array" aca="1" ref="I46" ca="1">INDIRECT(ADDRESS($C46,I$3,,,"mkt data"))</f>
        <v>20.29</v>
      </c>
      <c r="J46" s="150" t="e" cm="1">
        <f t="array" aca="1" ref="J46" ca="1">INDIRECT(ADDRESS($A46,J$3,,,"SCALARS"))</f>
        <v>#N/A</v>
      </c>
      <c r="K46" s="16" t="e">
        <f t="shared" ca="1" si="28"/>
        <v>#N/A</v>
      </c>
      <c r="L46" s="16" t="e">
        <f t="shared" ca="1" si="29"/>
        <v>#N/A</v>
      </c>
      <c r="M46" s="44" t="e" cm="1">
        <f t="array" aca="1" ref="M46" ca="1">INDIRECT(ADDRESS($A46,M$3,,,"scalars"))</f>
        <v>#N/A</v>
      </c>
      <c r="N46" s="17" t="e">
        <f t="shared" ca="1" si="40"/>
        <v>#N/A</v>
      </c>
      <c r="O46" s="17" t="e">
        <f t="shared" ca="1" si="30"/>
        <v>#N/A</v>
      </c>
      <c r="P46" s="477" t="e">
        <f ca="1">N47-O46</f>
        <v>#N/A</v>
      </c>
      <c r="Q46" s="475" t="e">
        <f ca="1">LN(N47/O46)</f>
        <v>#N/A</v>
      </c>
      <c r="R46" s="252" t="e" cm="1">
        <f t="array" aca="1" ref="R46" ca="1">-INDIRECT(ADDRESS($B46,R$3,,,"threshold info"))</f>
        <v>#REF!</v>
      </c>
      <c r="S46" s="223" t="e" cm="1">
        <f t="array" aca="1" ref="S46" ca="1">-INDIRECT(ADDRESS($B46,S$3,,,"threshold info"))</f>
        <v>#REF!</v>
      </c>
      <c r="T46" s="477" t="e">
        <f ca="1">N46-O47</f>
        <v>#N/A</v>
      </c>
      <c r="U46" s="475" t="e">
        <f ca="1">LN(N46/O47)</f>
        <v>#N/A</v>
      </c>
      <c r="V46" s="252" t="e" cm="1">
        <f t="array" aca="1" ref="V46" ca="1">INDIRECT(ADDRESS($B46,V$3,,,"threshold info"))</f>
        <v>#REF!</v>
      </c>
      <c r="W46" s="60" t="e" cm="1">
        <f t="array" aca="1" ref="W46" ca="1">INDIRECT(ADDRESS($B46,W$3,,,"threshold info"))</f>
        <v>#REF!</v>
      </c>
      <c r="X46" s="27" cm="1">
        <f t="array" aca="1" ref="X46" ca="1">INDIRECT(ADDRESS($C46,X$3,,,"mkt data"))</f>
        <v>0</v>
      </c>
      <c r="Y46" s="48">
        <f t="shared" ca="1" si="31"/>
        <v>0</v>
      </c>
      <c r="Z46" s="27" t="e">
        <f t="shared" ca="1" si="32"/>
        <v>#N/A</v>
      </c>
      <c r="AA46" s="534" t="e">
        <f ca="1">SUM(Z46:Z47)</f>
        <v>#N/A</v>
      </c>
      <c r="AB46" s="462"/>
      <c r="AC46" s="173" t="str">
        <f t="shared" si="33"/>
        <v>BSCW</v>
      </c>
      <c r="AD46" s="33" cm="1">
        <f t="array" aca="1" ref="AD46" ca="1">INDIRECT(ADDRESS($C46,AD$3,,,"mkt data"))</f>
        <v>19.809999000000001</v>
      </c>
      <c r="AE46" s="165">
        <f t="shared" ca="1" si="34"/>
        <v>19.785</v>
      </c>
      <c r="AF46" s="165">
        <f t="shared" ca="1" si="35"/>
        <v>-2.4999000000001104E-2</v>
      </c>
      <c r="AG46" s="165">
        <f t="shared" ca="1" si="10"/>
        <v>0</v>
      </c>
      <c r="AH46" s="522">
        <f ca="1">AG46+AG47</f>
        <v>0</v>
      </c>
      <c r="AI46" s="554"/>
      <c r="AJ46" s="522"/>
    </row>
    <row r="47" spans="1:36" ht="15.75" thickBot="1" x14ac:dyDescent="0.3">
      <c r="A47" s="77" t="e">
        <f>MATCH(G47,SCALARS!D:D,0)</f>
        <v>#N/A</v>
      </c>
      <c r="B47" s="525"/>
      <c r="C47" s="78">
        <f>MATCH(G47,'MKT DATA'!B:B,0)</f>
        <v>37</v>
      </c>
      <c r="D47" s="354"/>
      <c r="E47" s="265" t="e" cm="1">
        <f t="array" aca="1" ref="E47" ca="1">INDIRECT(ADDRESS($A47,E$3,,,"scalars"))</f>
        <v>#N/A</v>
      </c>
      <c r="F47" s="77" t="e" cm="1">
        <f t="array" aca="1" ref="F47" ca="1">INDIRECT(ADDRESS($A47,F$3,,,"scalars"))</f>
        <v>#N/A</v>
      </c>
      <c r="G47" s="195" t="s">
        <v>195</v>
      </c>
      <c r="H47" s="37" cm="1">
        <f t="array" aca="1" ref="H47" ca="1">INDIRECT(ADDRESS($C47,H$3,,,"mkt data"))</f>
        <v>23.17</v>
      </c>
      <c r="I47" s="38" cm="1">
        <f t="array" aca="1" ref="I47" ca="1">INDIRECT(ADDRESS($C47,I$3,,,"mkt data"))</f>
        <v>24.97</v>
      </c>
      <c r="J47" s="151" t="e" cm="1">
        <f t="array" aca="1" ref="J47" ca="1">INDIRECT(ADDRESS($A47,J$3,,,"SCALARS"))</f>
        <v>#N/A</v>
      </c>
      <c r="K47" s="22" t="e">
        <f t="shared" ca="1" si="28"/>
        <v>#N/A</v>
      </c>
      <c r="L47" s="22" t="e">
        <f t="shared" ca="1" si="29"/>
        <v>#N/A</v>
      </c>
      <c r="M47" s="45" t="e" cm="1">
        <f t="array" aca="1" ref="M47" ca="1">INDIRECT(ADDRESS($A47,M$3,,,"scalars"))</f>
        <v>#N/A</v>
      </c>
      <c r="N47" s="23" t="e">
        <f t="shared" ca="1" si="40"/>
        <v>#N/A</v>
      </c>
      <c r="O47" s="23" t="e">
        <f t="shared" ca="1" si="30"/>
        <v>#N/A</v>
      </c>
      <c r="P47" s="478"/>
      <c r="Q47" s="476"/>
      <c r="R47" s="253" t="e">
        <f ca="1">IF(Q46&gt;R46,TRUE,FALSE)</f>
        <v>#N/A</v>
      </c>
      <c r="S47" s="224" t="e">
        <f ca="1">AND(IF(U46&gt;-S46,TRUE,FALSE),IF(X46&gt;0,TRUE,FALSE))</f>
        <v>#N/A</v>
      </c>
      <c r="T47" s="478"/>
      <c r="U47" s="476"/>
      <c r="V47" s="253" t="e">
        <f ca="1">IF(U46&gt;V46,TRUE,FALSE)</f>
        <v>#N/A</v>
      </c>
      <c r="W47" s="61" t="e">
        <f ca="1">AND(IF(Q46&gt;-W46,TRUE,FALSE),IF(X46&lt;0,TRUE,FALSE))</f>
        <v>#N/A</v>
      </c>
      <c r="X47" s="29" cm="1">
        <f t="array" aca="1" ref="X47" ca="1">INDIRECT(ADDRESS($C47,X$3,,,"mkt data"))</f>
        <v>0</v>
      </c>
      <c r="Y47" s="50">
        <f t="shared" ca="1" si="31"/>
        <v>0</v>
      </c>
      <c r="Z47" s="29" t="e">
        <f t="shared" ca="1" si="32"/>
        <v>#N/A</v>
      </c>
      <c r="AA47" s="535"/>
      <c r="AB47" s="463"/>
      <c r="AC47" s="181" t="str">
        <f t="shared" si="33"/>
        <v>IBDX</v>
      </c>
      <c r="AD47" s="37" cm="1">
        <f t="array" aca="1" ref="AD47" ca="1">INDIRECT(ADDRESS($C47,AD$3,,,"mkt data"))</f>
        <v>24.35</v>
      </c>
      <c r="AE47" s="167">
        <f t="shared" ca="1" si="34"/>
        <v>24.07</v>
      </c>
      <c r="AF47" s="167">
        <f t="shared" ca="1" si="35"/>
        <v>-0.28000000000000114</v>
      </c>
      <c r="AG47" s="167">
        <f t="shared" ca="1" si="10"/>
        <v>0</v>
      </c>
      <c r="AH47" s="523"/>
      <c r="AI47" s="555"/>
      <c r="AJ47" s="523"/>
    </row>
    <row r="48" spans="1:36" x14ac:dyDescent="0.25">
      <c r="A48" s="75" t="e">
        <f>MATCH(G48,SCALARS!D:D,0)</f>
        <v>#N/A</v>
      </c>
      <c r="B48" s="524">
        <f>MATCH(G48,'SCALAR INPUTS'!E:E,0)</f>
        <v>73</v>
      </c>
      <c r="C48" s="76">
        <f>MATCH(G48,'MKT DATA'!B:B,0)</f>
        <v>27</v>
      </c>
      <c r="D48" s="353"/>
      <c r="E48" s="264" t="e" cm="1">
        <f t="array" aca="1" ref="E48" ca="1">INDIRECT(ADDRESS($A48,E$3,,,"scalars"))</f>
        <v>#N/A</v>
      </c>
      <c r="F48" s="75" t="e" cm="1">
        <f t="array" aca="1" ref="F48" ca="1">INDIRECT(ADDRESS($A48,F$3,,,"scalars"))</f>
        <v>#N/A</v>
      </c>
      <c r="G48" s="194" t="s">
        <v>198</v>
      </c>
      <c r="H48" s="33" cm="1">
        <f t="array" aca="1" ref="H48" ca="1">INDIRECT(ADDRESS($C48,H$3,,,"mkt data"))</f>
        <v>19.739999999999998</v>
      </c>
      <c r="I48" s="34" cm="1">
        <f t="array" aca="1" ref="I48" ca="1">INDIRECT(ADDRESS($C48,I$3,,,"mkt data"))</f>
        <v>20.77</v>
      </c>
      <c r="J48" s="150" t="e" cm="1">
        <f t="array" aca="1" ref="J48" ca="1">INDIRECT(ADDRESS($A48,J$3,,,"SCALARS"))</f>
        <v>#N/A</v>
      </c>
      <c r="K48" s="16" t="e">
        <f t="shared" ca="1" si="28"/>
        <v>#N/A</v>
      </c>
      <c r="L48" s="16" t="e">
        <f t="shared" ca="1" si="29"/>
        <v>#N/A</v>
      </c>
      <c r="M48" s="44" t="e" cm="1">
        <f t="array" aca="1" ref="M48" ca="1">INDIRECT(ADDRESS($A48,M$3,,,"scalars"))</f>
        <v>#N/A</v>
      </c>
      <c r="N48" s="17" t="e">
        <f ca="1">K48*M48</f>
        <v>#N/A</v>
      </c>
      <c r="O48" s="17" t="e">
        <f t="shared" ca="1" si="30"/>
        <v>#N/A</v>
      </c>
      <c r="P48" s="477" t="e">
        <f ca="1">N49-O48</f>
        <v>#N/A</v>
      </c>
      <c r="Q48" s="475" t="e">
        <f ca="1">LN(N49/O48)</f>
        <v>#N/A</v>
      </c>
      <c r="R48" s="252" t="e" cm="1">
        <f t="array" aca="1" ref="R48" ca="1">-INDIRECT(ADDRESS($B48,R$3,,,"threshold info"))</f>
        <v>#REF!</v>
      </c>
      <c r="S48" s="223" t="e" cm="1">
        <f t="array" aca="1" ref="S48" ca="1">-INDIRECT(ADDRESS($B48,S$3,,,"threshold info"))</f>
        <v>#REF!</v>
      </c>
      <c r="T48" s="477" t="e">
        <f ca="1">N48-O49</f>
        <v>#N/A</v>
      </c>
      <c r="U48" s="475" t="e">
        <f ca="1">LN(N48/O49)</f>
        <v>#N/A</v>
      </c>
      <c r="V48" s="252" t="e" cm="1">
        <f t="array" aca="1" ref="V48" ca="1">INDIRECT(ADDRESS($B48,V$3,,,"threshold info"))</f>
        <v>#REF!</v>
      </c>
      <c r="W48" s="60" t="e" cm="1">
        <f t="array" aca="1" ref="W48" ca="1">INDIRECT(ADDRESS($B48,W$3,,,"threshold info"))</f>
        <v>#REF!</v>
      </c>
      <c r="X48" s="27" cm="1">
        <f t="array" aca="1" ref="X48" ca="1">INDIRECT(ADDRESS($C48,X$3,,,"mkt data"))</f>
        <v>0</v>
      </c>
      <c r="Y48" s="48">
        <f t="shared" ca="1" si="31"/>
        <v>0</v>
      </c>
      <c r="Z48" s="27" t="e">
        <f t="shared" ca="1" si="32"/>
        <v>#N/A</v>
      </c>
      <c r="AA48" s="534" t="e">
        <f ca="1">SUM(Z48:Z49)</f>
        <v>#N/A</v>
      </c>
      <c r="AB48" s="462"/>
      <c r="AC48" s="173" t="str">
        <f t="shared" si="33"/>
        <v>BSCX</v>
      </c>
      <c r="AD48" s="33" cm="1">
        <f t="array" aca="1" ref="AD48" ca="1">INDIRECT(ADDRESS($C48,AD$3,,,"mkt data"))</f>
        <v>20.309999000000001</v>
      </c>
      <c r="AE48" s="165">
        <f t="shared" ca="1" si="34"/>
        <v>20.254999999999999</v>
      </c>
      <c r="AF48" s="165">
        <f t="shared" ca="1" si="35"/>
        <v>-5.4999000000002241E-2</v>
      </c>
      <c r="AG48" s="165">
        <f t="shared" ca="1" si="10"/>
        <v>0</v>
      </c>
      <c r="AH48" s="522">
        <f ca="1">AG48+AG49</f>
        <v>0</v>
      </c>
      <c r="AI48" s="554"/>
      <c r="AJ48" s="522"/>
    </row>
    <row r="49" spans="1:37" ht="15.75" thickBot="1" x14ac:dyDescent="0.3">
      <c r="A49" s="77" t="e">
        <f>MATCH(G49,SCALARS!D:D,0)</f>
        <v>#N/A</v>
      </c>
      <c r="B49" s="525"/>
      <c r="C49" s="78">
        <f>MATCH(G49,'MKT DATA'!B:B,0)</f>
        <v>38</v>
      </c>
      <c r="D49" s="354"/>
      <c r="E49" s="265" t="e" cm="1">
        <f t="array" aca="1" ref="E49" ca="1">INDIRECT(ADDRESS($A49,E$3,,,"scalars"))</f>
        <v>#N/A</v>
      </c>
      <c r="F49" s="77" t="e" cm="1">
        <f t="array" aca="1" ref="F49" ca="1">INDIRECT(ADDRESS($A49,F$3,,,"scalars"))</f>
        <v>#N/A</v>
      </c>
      <c r="G49" s="195" t="s">
        <v>197</v>
      </c>
      <c r="H49" s="37" cm="1">
        <f t="array" aca="1" ref="H49" ca="1">INDIRECT(ADDRESS($C49,H$3,,,"mkt data"))</f>
        <v>24.49</v>
      </c>
      <c r="I49" s="38" cm="1">
        <f t="array" aca="1" ref="I49" ca="1">INDIRECT(ADDRESS($C49,I$3,,,"mkt data"))</f>
        <v>24.9</v>
      </c>
      <c r="J49" s="151" t="e" cm="1">
        <f t="array" aca="1" ref="J49" ca="1">INDIRECT(ADDRESS($A49,J$3,,,"SCALARS"))</f>
        <v>#N/A</v>
      </c>
      <c r="K49" s="22" t="e">
        <f t="shared" ca="1" si="28"/>
        <v>#N/A</v>
      </c>
      <c r="L49" s="22" t="e">
        <f t="shared" ca="1" si="29"/>
        <v>#N/A</v>
      </c>
      <c r="M49" s="45" t="e" cm="1">
        <f t="array" aca="1" ref="M49" ca="1">INDIRECT(ADDRESS($A49,M$3,,,"scalars"))</f>
        <v>#N/A</v>
      </c>
      <c r="N49" s="23" t="e">
        <f t="shared" ref="N49:N50" ca="1" si="41">K49*M49</f>
        <v>#N/A</v>
      </c>
      <c r="O49" s="23" t="e">
        <f t="shared" ca="1" si="30"/>
        <v>#N/A</v>
      </c>
      <c r="P49" s="478"/>
      <c r="Q49" s="476"/>
      <c r="R49" s="253" t="e">
        <f ca="1">IF(Q48&gt;R48,TRUE,FALSE)</f>
        <v>#N/A</v>
      </c>
      <c r="S49" s="224" t="e">
        <f ca="1">AND(IF(U48&gt;-S48,TRUE,FALSE),IF(X48&gt;0,TRUE,FALSE))</f>
        <v>#N/A</v>
      </c>
      <c r="T49" s="478"/>
      <c r="U49" s="476"/>
      <c r="V49" s="253" t="e">
        <f ca="1">IF(U48&gt;V48,TRUE,FALSE)</f>
        <v>#N/A</v>
      </c>
      <c r="W49" s="61" t="e">
        <f ca="1">AND(IF(Q48&gt;-W48,TRUE,FALSE),IF(X48&lt;0,TRUE,FALSE))</f>
        <v>#N/A</v>
      </c>
      <c r="X49" s="29" cm="1">
        <f t="array" aca="1" ref="X49" ca="1">INDIRECT(ADDRESS($C49,X$3,,,"mkt data"))</f>
        <v>0</v>
      </c>
      <c r="Y49" s="50">
        <f t="shared" ca="1" si="31"/>
        <v>0</v>
      </c>
      <c r="Z49" s="29" t="e">
        <f t="shared" ca="1" si="32"/>
        <v>#N/A</v>
      </c>
      <c r="AA49" s="535"/>
      <c r="AB49" s="463"/>
      <c r="AC49" s="181" t="str">
        <f t="shared" si="33"/>
        <v>IBDY</v>
      </c>
      <c r="AD49" s="37" cm="1">
        <f t="array" aca="1" ref="AD49" ca="1">INDIRECT(ADDRESS($C49,AD$3,,,"mkt data"))</f>
        <v>24.85</v>
      </c>
      <c r="AE49" s="167">
        <f t="shared" ca="1" si="34"/>
        <v>24.695</v>
      </c>
      <c r="AF49" s="167">
        <f t="shared" ca="1" si="35"/>
        <v>-0.15500000000000114</v>
      </c>
      <c r="AG49" s="167">
        <f t="shared" ca="1" si="10"/>
        <v>0</v>
      </c>
      <c r="AH49" s="523"/>
      <c r="AI49" s="555"/>
      <c r="AJ49" s="523"/>
    </row>
    <row r="50" spans="1:37" x14ac:dyDescent="0.25">
      <c r="A50" s="75" t="e">
        <f>MATCH(G50,SCALARS!D:D,0)</f>
        <v>#N/A</v>
      </c>
      <c r="B50" s="524">
        <f>MATCH(G50,'SCALAR INPUTS'!E:E,0)</f>
        <v>74</v>
      </c>
      <c r="C50" s="76">
        <f>MATCH(G50,'MKT DATA'!B:B,0)</f>
        <v>28</v>
      </c>
      <c r="D50" s="353"/>
      <c r="E50" s="264" t="e" cm="1">
        <f t="array" aca="1" ref="E50" ca="1">INDIRECT(ADDRESS($A50,E$3,,,"scalars"))</f>
        <v>#N/A</v>
      </c>
      <c r="F50" s="75" t="e" cm="1">
        <f t="array" aca="1" ref="F50" ca="1">INDIRECT(ADDRESS($A50,F$3,,,"scalars"))</f>
        <v>#N/A</v>
      </c>
      <c r="G50" s="194" t="s">
        <v>200</v>
      </c>
      <c r="H50" s="33" cm="1">
        <f t="array" aca="1" ref="H50" ca="1">INDIRECT(ADDRESS($C50,H$3,,,"mkt data"))</f>
        <v>19.329999999999998</v>
      </c>
      <c r="I50" s="34" cm="1">
        <f t="array" aca="1" ref="I50" ca="1">INDIRECT(ADDRESS($C50,I$3,,,"mkt data"))</f>
        <v>20.32</v>
      </c>
      <c r="J50" s="150" t="e" cm="1">
        <f t="array" aca="1" ref="J50" ca="1">INDIRECT(ADDRESS($A50,J$3,,,"SCALARS"))</f>
        <v>#N/A</v>
      </c>
      <c r="K50" s="16" t="e">
        <f t="shared" ca="1" si="28"/>
        <v>#N/A</v>
      </c>
      <c r="L50" s="16" t="e">
        <f t="shared" ca="1" si="29"/>
        <v>#N/A</v>
      </c>
      <c r="M50" s="44" t="e" cm="1">
        <f t="array" aca="1" ref="M50" ca="1">INDIRECT(ADDRESS($A50,M$3,,,"scalars"))</f>
        <v>#N/A</v>
      </c>
      <c r="N50" s="17" t="e">
        <f t="shared" ca="1" si="41"/>
        <v>#N/A</v>
      </c>
      <c r="O50" s="17" t="e">
        <f t="shared" ca="1" si="30"/>
        <v>#N/A</v>
      </c>
      <c r="P50" s="477" t="e">
        <f ca="1">N51-O50</f>
        <v>#N/A</v>
      </c>
      <c r="Q50" s="475" t="e">
        <f ca="1">LN(N51/O50)</f>
        <v>#N/A</v>
      </c>
      <c r="R50" s="252" t="e" cm="1">
        <f t="array" aca="1" ref="R50" ca="1">-INDIRECT(ADDRESS($B50,R$3,,,"threshold info"))</f>
        <v>#REF!</v>
      </c>
      <c r="S50" s="223" t="e" cm="1">
        <f t="array" aca="1" ref="S50" ca="1">-INDIRECT(ADDRESS($B50,S$3,,,"threshold info"))</f>
        <v>#REF!</v>
      </c>
      <c r="T50" s="477" t="e">
        <f ca="1">N50-O51</f>
        <v>#N/A</v>
      </c>
      <c r="U50" s="475" t="e">
        <f ca="1">LN(N50/O51)</f>
        <v>#N/A</v>
      </c>
      <c r="V50" s="252" t="e" cm="1">
        <f t="array" aca="1" ref="V50" ca="1">INDIRECT(ADDRESS($B50,V$3,,,"threshold info"))</f>
        <v>#REF!</v>
      </c>
      <c r="W50" s="60" t="e" cm="1">
        <f t="array" aca="1" ref="W50" ca="1">INDIRECT(ADDRESS($B50,W$3,,,"threshold info"))</f>
        <v>#REF!</v>
      </c>
      <c r="X50" s="27" cm="1">
        <f t="array" aca="1" ref="X50" ca="1">INDIRECT(ADDRESS($C50,X$3,,,"mkt data"))</f>
        <v>0</v>
      </c>
      <c r="Y50" s="48">
        <f t="shared" ca="1" si="31"/>
        <v>0</v>
      </c>
      <c r="Z50" s="27" t="e">
        <f t="shared" ca="1" si="32"/>
        <v>#N/A</v>
      </c>
      <c r="AA50" s="550" t="e">
        <f ca="1">SUM(Z50:Z51)</f>
        <v>#N/A</v>
      </c>
      <c r="AB50" s="462"/>
      <c r="AC50" s="173" t="str">
        <f t="shared" si="33"/>
        <v>BSCY</v>
      </c>
      <c r="AD50" s="33" cm="1">
        <f t="array" aca="1" ref="AD50" ca="1">INDIRECT(ADDRESS($C50,AD$3,,,"mkt data"))</f>
        <v>19.834999</v>
      </c>
      <c r="AE50" s="165">
        <f t="shared" ca="1" si="34"/>
        <v>19.824999999999999</v>
      </c>
      <c r="AF50" s="165">
        <f t="shared" ca="1" si="35"/>
        <v>-9.9990000000005352E-3</v>
      </c>
      <c r="AG50" s="165">
        <f t="shared" ca="1" si="10"/>
        <v>0</v>
      </c>
      <c r="AH50" s="522">
        <f ca="1">AG50+AG51</f>
        <v>0</v>
      </c>
      <c r="AI50" s="554"/>
      <c r="AJ50" s="522"/>
    </row>
    <row r="51" spans="1:37" ht="15.75" thickBot="1" x14ac:dyDescent="0.3">
      <c r="A51" s="77" t="e">
        <f>MATCH(G51,SCALARS!D:D,0)</f>
        <v>#N/A</v>
      </c>
      <c r="B51" s="525"/>
      <c r="C51" s="78">
        <f>MATCH(G51,'MKT DATA'!B:B,0)</f>
        <v>39</v>
      </c>
      <c r="D51" s="354"/>
      <c r="E51" s="265" t="e" cm="1">
        <f t="array" aca="1" ref="E51" ca="1">INDIRECT(ADDRESS($A51,E$3,,,"scalars"))</f>
        <v>#N/A</v>
      </c>
      <c r="F51" s="77" t="e" cm="1">
        <f t="array" aca="1" ref="F51" ca="1">INDIRECT(ADDRESS($A51,F$3,,,"scalars"))</f>
        <v>#N/A</v>
      </c>
      <c r="G51" s="195" t="s">
        <v>199</v>
      </c>
      <c r="H51" s="37" cm="1">
        <f t="array" aca="1" ref="H51" ca="1">INDIRECT(ADDRESS($C51,H$3,,,"mkt data"))</f>
        <v>24.33</v>
      </c>
      <c r="I51" s="38" cm="1">
        <f t="array" aca="1" ref="I51" ca="1">INDIRECT(ADDRESS($C51,I$3,,,"mkt data"))</f>
        <v>26.5</v>
      </c>
      <c r="J51" s="151" t="e" cm="1">
        <f t="array" aca="1" ref="J51" ca="1">INDIRECT(ADDRESS($A51,J$3,,,"SCALARS"))</f>
        <v>#N/A</v>
      </c>
      <c r="K51" s="22" t="e">
        <f t="shared" ca="1" si="28"/>
        <v>#N/A</v>
      </c>
      <c r="L51" s="22" t="e">
        <f t="shared" ca="1" si="29"/>
        <v>#N/A</v>
      </c>
      <c r="M51" s="45" t="e" cm="1">
        <f t="array" aca="1" ref="M51" ca="1">INDIRECT(ADDRESS($A51,M$3,,,"scalars"))</f>
        <v>#N/A</v>
      </c>
      <c r="N51" s="23" t="e">
        <f ca="1">K51*M51</f>
        <v>#N/A</v>
      </c>
      <c r="O51" s="23" t="e">
        <f t="shared" ca="1" si="30"/>
        <v>#N/A</v>
      </c>
      <c r="P51" s="478"/>
      <c r="Q51" s="476"/>
      <c r="R51" s="253" t="e">
        <f ca="1">IF(Q50&gt;R50,TRUE,FALSE)</f>
        <v>#N/A</v>
      </c>
      <c r="S51" s="224" t="e">
        <f ca="1">AND(IF(U50&gt;-S50,TRUE,FALSE),IF(X50&gt;0,TRUE,FALSE))</f>
        <v>#N/A</v>
      </c>
      <c r="T51" s="478"/>
      <c r="U51" s="476"/>
      <c r="V51" s="253" t="e">
        <f ca="1">IF(U50&gt;V50,TRUE,FALSE)</f>
        <v>#N/A</v>
      </c>
      <c r="W51" s="61" t="e">
        <f ca="1">AND(IF(Q50&gt;-W50,TRUE,FALSE),IF(X50&lt;0,TRUE,FALSE))</f>
        <v>#N/A</v>
      </c>
      <c r="X51" s="29" cm="1">
        <f t="array" aca="1" ref="X51" ca="1">INDIRECT(ADDRESS($C51,X$3,,,"mkt data"))</f>
        <v>0</v>
      </c>
      <c r="Y51" s="50">
        <f t="shared" ca="1" si="31"/>
        <v>0</v>
      </c>
      <c r="Z51" s="29" t="e">
        <f t="shared" ca="1" si="32"/>
        <v>#N/A</v>
      </c>
      <c r="AA51" s="551"/>
      <c r="AB51" s="463"/>
      <c r="AC51" s="181" t="str">
        <f t="shared" si="33"/>
        <v>IBDZ</v>
      </c>
      <c r="AD51" s="37" cm="1">
        <f t="array" aca="1" ref="AD51" ca="1">INDIRECT(ADDRESS($C51,AD$3,,,"mkt data"))</f>
        <v>25.040001</v>
      </c>
      <c r="AE51" s="167">
        <f t="shared" ca="1" si="34"/>
        <v>25.414999999999999</v>
      </c>
      <c r="AF51" s="167">
        <f t="shared" ca="1" si="35"/>
        <v>0.37499899999999897</v>
      </c>
      <c r="AG51" s="167">
        <f t="shared" ca="1" si="10"/>
        <v>0</v>
      </c>
      <c r="AH51" s="523"/>
      <c r="AI51" s="555"/>
      <c r="AJ51" s="523"/>
    </row>
    <row r="52" spans="1:37" x14ac:dyDescent="0.25">
      <c r="A52" s="75" t="e">
        <f>MATCH(G52,SCALARS!D:D,0)</f>
        <v>#N/A</v>
      </c>
      <c r="B52" s="524">
        <f>MATCH(G52,'SCALAR INPUTS'!E:E,0)</f>
        <v>75</v>
      </c>
      <c r="C52" s="76">
        <f>MATCH(G52,'MKT DATA'!B:B,0)</f>
        <v>29</v>
      </c>
      <c r="D52" s="353"/>
      <c r="E52" s="264" t="e" cm="1">
        <f t="array" aca="1" ref="E52" ca="1">INDIRECT(ADDRESS($A52,E$3,,,"scalars"))</f>
        <v>#N/A</v>
      </c>
      <c r="F52" s="75" t="e" cm="1">
        <f t="array" aca="1" ref="F52" ca="1">INDIRECT(ADDRESS($A52,F$3,,,"scalars"))</f>
        <v>#N/A</v>
      </c>
      <c r="G52" s="194" t="s">
        <v>202</v>
      </c>
      <c r="H52" s="33" cm="1">
        <f t="array" aca="1" ref="H52" ca="1">INDIRECT(ADDRESS($C52,H$3,,,"mkt data"))</f>
        <v>18.64</v>
      </c>
      <c r="I52" s="34" cm="1">
        <f t="array" aca="1" ref="I52" ca="1">INDIRECT(ADDRESS($C52,I$3,,,"mkt data"))</f>
        <v>20.54</v>
      </c>
      <c r="J52" s="150" t="e" cm="1">
        <f t="array" aca="1" ref="J52" ca="1">INDIRECT(ADDRESS($A52,J$3,,,"SCALARS"))</f>
        <v>#N/A</v>
      </c>
      <c r="K52" s="16" t="e">
        <f t="shared" ca="1" si="28"/>
        <v>#N/A</v>
      </c>
      <c r="L52" s="16" t="e">
        <f t="shared" ca="1" si="29"/>
        <v>#N/A</v>
      </c>
      <c r="M52" s="44" t="e" cm="1">
        <f t="array" aca="1" ref="M52" ca="1">INDIRECT(ADDRESS($A52,M$3,,,"scalars"))</f>
        <v>#N/A</v>
      </c>
      <c r="N52" s="17" t="e">
        <f ca="1">K52*M52</f>
        <v>#N/A</v>
      </c>
      <c r="O52" s="17" t="e">
        <f t="shared" ca="1" si="30"/>
        <v>#N/A</v>
      </c>
      <c r="P52" s="477" t="e">
        <f ca="1">N53-O52</f>
        <v>#N/A</v>
      </c>
      <c r="Q52" s="475" t="e">
        <f t="shared" ref="Q52" ca="1" si="42">LN(N53/O52)</f>
        <v>#N/A</v>
      </c>
      <c r="R52" s="252" t="e" cm="1">
        <f t="array" aca="1" ref="R52" ca="1">-INDIRECT(ADDRESS($B52,R$3,,,"threshold info"))</f>
        <v>#REF!</v>
      </c>
      <c r="S52" s="223" t="e" cm="1">
        <f t="array" aca="1" ref="S52" ca="1">-INDIRECT(ADDRESS($B52,S$3,,,"threshold info"))</f>
        <v>#REF!</v>
      </c>
      <c r="T52" s="477" t="e">
        <f ca="1">N52-O53</f>
        <v>#N/A</v>
      </c>
      <c r="U52" s="475" t="e">
        <f t="shared" ref="U52" ca="1" si="43">LN(N52/O53)</f>
        <v>#N/A</v>
      </c>
      <c r="V52" s="252" t="e" cm="1">
        <f t="array" aca="1" ref="V52" ca="1">INDIRECT(ADDRESS($B52,V$3,,,"threshold info"))</f>
        <v>#REF!</v>
      </c>
      <c r="W52" s="60" t="e" cm="1">
        <f t="array" aca="1" ref="W52" ca="1">INDIRECT(ADDRESS($B52,W$3,,,"threshold info"))</f>
        <v>#REF!</v>
      </c>
      <c r="X52" s="27" cm="1">
        <f t="array" aca="1" ref="X52" ca="1">INDIRECT(ADDRESS($C52,X$3,,,"mkt data"))</f>
        <v>0</v>
      </c>
      <c r="Y52" s="48">
        <f t="shared" ca="1" si="31"/>
        <v>0</v>
      </c>
      <c r="Z52" s="27" t="e">
        <f t="shared" ca="1" si="32"/>
        <v>#N/A</v>
      </c>
      <c r="AA52" s="534" t="e">
        <f ca="1">SUM(Z52:Z53)</f>
        <v>#N/A</v>
      </c>
      <c r="AB52" s="474"/>
      <c r="AC52" s="173" t="str">
        <f t="shared" si="33"/>
        <v>BSCZ</v>
      </c>
      <c r="AD52" s="33" cm="1">
        <f t="array" aca="1" ref="AD52" ca="1">INDIRECT(ADDRESS($C52,AD$3,,,"mkt data"))</f>
        <v>19.584999</v>
      </c>
      <c r="AE52" s="165">
        <f t="shared" ca="1" si="34"/>
        <v>19.59</v>
      </c>
      <c r="AF52" s="165">
        <f t="shared" ca="1" si="35"/>
        <v>5.0010000000000332E-3</v>
      </c>
      <c r="AG52" s="165">
        <f t="shared" ca="1" si="10"/>
        <v>0</v>
      </c>
      <c r="AH52" s="522">
        <f ca="1">AG52+AG53</f>
        <v>0</v>
      </c>
      <c r="AI52" s="554"/>
      <c r="AJ52" s="522"/>
    </row>
    <row r="53" spans="1:37" ht="15.75" thickBot="1" x14ac:dyDescent="0.3">
      <c r="A53" s="77" t="e">
        <f>MATCH(G53,SCALARS!D:D,0)</f>
        <v>#N/A</v>
      </c>
      <c r="B53" s="525"/>
      <c r="C53" s="78">
        <f>MATCH(G53,'MKT DATA'!B:B,0)</f>
        <v>30</v>
      </c>
      <c r="D53" s="354"/>
      <c r="E53" s="265" t="e" cm="1">
        <f t="array" aca="1" ref="E53" ca="1">INDIRECT(ADDRESS($A53,E$3,,,"scalars"))</f>
        <v>#N/A</v>
      </c>
      <c r="F53" s="77" t="e" cm="1">
        <f t="array" aca="1" ref="F53" ca="1">INDIRECT(ADDRESS($A53,F$3,,,"scalars"))</f>
        <v>#N/A</v>
      </c>
      <c r="G53" s="195" t="s">
        <v>201</v>
      </c>
      <c r="H53" s="37" cm="1">
        <f t="array" aca="1" ref="H53" ca="1">INDIRECT(ADDRESS($C53,H$3,,,"mkt data"))</f>
        <v>23.9</v>
      </c>
      <c r="I53" s="38" cm="1">
        <f t="array" aca="1" ref="I53" ca="1">INDIRECT(ADDRESS($C53,I$3,,,"mkt data"))</f>
        <v>25.71</v>
      </c>
      <c r="J53" s="151" t="e" cm="1">
        <f t="array" aca="1" ref="J53" ca="1">INDIRECT(ADDRESS($A53,J$3,,,"SCALARS"))</f>
        <v>#N/A</v>
      </c>
      <c r="K53" s="22" t="e">
        <f t="shared" ca="1" si="28"/>
        <v>#N/A</v>
      </c>
      <c r="L53" s="22" t="e">
        <f t="shared" ca="1" si="29"/>
        <v>#N/A</v>
      </c>
      <c r="M53" s="45" t="e" cm="1">
        <f t="array" aca="1" ref="M53" ca="1">INDIRECT(ADDRESS($A53,M$3,,,"scalars"))</f>
        <v>#N/A</v>
      </c>
      <c r="N53" s="23" t="e">
        <f ca="1">K53*M53</f>
        <v>#N/A</v>
      </c>
      <c r="O53" s="23" t="e">
        <f t="shared" ca="1" si="30"/>
        <v>#N/A</v>
      </c>
      <c r="P53" s="478"/>
      <c r="Q53" s="476"/>
      <c r="R53" s="253" t="e">
        <f ca="1">IF(Q52&gt;R52,TRUE,FALSE)</f>
        <v>#N/A</v>
      </c>
      <c r="S53" s="224" t="e">
        <f ca="1">AND(IF(U52&gt;-S52,TRUE,FALSE),IF(X52&gt;0,TRUE,FALSE))</f>
        <v>#N/A</v>
      </c>
      <c r="T53" s="478"/>
      <c r="U53" s="476"/>
      <c r="V53" s="253" t="e">
        <f ca="1">IF(U52&gt;V52,TRUE,FALSE)</f>
        <v>#N/A</v>
      </c>
      <c r="W53" s="61" t="e">
        <f ca="1">AND(IF(Q52&gt;-W52,TRUE,FALSE),IF(X52&lt;0,TRUE,FALSE))</f>
        <v>#N/A</v>
      </c>
      <c r="X53" s="29" cm="1">
        <f t="array" aca="1" ref="X53" ca="1">INDIRECT(ADDRESS($C53,X$3,,,"mkt data"))</f>
        <v>0</v>
      </c>
      <c r="Y53" s="50">
        <f t="shared" ca="1" si="31"/>
        <v>0</v>
      </c>
      <c r="Z53" s="29" t="e">
        <f t="shared" ca="1" si="32"/>
        <v>#N/A</v>
      </c>
      <c r="AA53" s="535"/>
      <c r="AB53" s="463"/>
      <c r="AC53" s="181" t="str">
        <f t="shared" si="33"/>
        <v>IBCA</v>
      </c>
      <c r="AD53" s="37" cm="1">
        <f t="array" aca="1" ref="AD53" ca="1">INDIRECT(ADDRESS($C53,AD$3,,,"mkt data"))</f>
        <v>24.52</v>
      </c>
      <c r="AE53" s="167">
        <f t="shared" ca="1" si="34"/>
        <v>24.805</v>
      </c>
      <c r="AF53" s="167">
        <f t="shared" ca="1" si="35"/>
        <v>0.28500000000000014</v>
      </c>
      <c r="AG53" s="167">
        <f t="shared" ca="1" si="10"/>
        <v>0</v>
      </c>
      <c r="AH53" s="523"/>
      <c r="AI53" s="555"/>
      <c r="AJ53" s="523"/>
    </row>
    <row r="54" spans="1:37" ht="9.9499999999999993" customHeight="1" thickBot="1" x14ac:dyDescent="0.3">
      <c r="A54" s="196"/>
      <c r="B54" s="196"/>
      <c r="C54" s="196"/>
      <c r="D54" s="197"/>
      <c r="E54" s="196"/>
      <c r="F54" s="198"/>
      <c r="G54" s="199"/>
      <c r="H54" s="200"/>
      <c r="I54" s="200"/>
      <c r="J54" s="201"/>
      <c r="K54" s="202"/>
      <c r="L54" s="202"/>
      <c r="M54" s="203"/>
      <c r="N54" s="204"/>
      <c r="O54" s="204"/>
      <c r="P54" s="205"/>
      <c r="Q54" s="206"/>
      <c r="R54" s="208"/>
      <c r="S54" s="225"/>
      <c r="T54" s="207"/>
      <c r="U54" s="206"/>
      <c r="V54" s="208"/>
      <c r="W54" s="226"/>
      <c r="X54" s="209"/>
      <c r="Y54" s="210"/>
      <c r="Z54" s="209"/>
      <c r="AA54" s="211"/>
      <c r="AB54" s="385"/>
      <c r="AC54" s="212"/>
      <c r="AD54" s="200"/>
      <c r="AE54" s="200"/>
      <c r="AF54" s="200"/>
      <c r="AG54" s="213"/>
      <c r="AH54" s="214"/>
      <c r="AI54" s="214"/>
      <c r="AJ54" s="214"/>
    </row>
    <row r="55" spans="1:37" s="10" customFormat="1" x14ac:dyDescent="0.25">
      <c r="A55" s="75" t="e">
        <f>MATCH(G55,SCALARS!D:D,0)</f>
        <v>#N/A</v>
      </c>
      <c r="B55" s="524">
        <f>MATCH(G55,'SCALAR INPUTS'!E:E,0)</f>
        <v>52</v>
      </c>
      <c r="C55" s="76">
        <f>MATCH(G55,'MKT DATA'!B:B,0)</f>
        <v>148</v>
      </c>
      <c r="D55" s="353"/>
      <c r="E55" s="264" t="e" cm="1">
        <f t="array" aca="1" ref="E55" ca="1">INDIRECT(ADDRESS($A55,E$3,,,"scalars"))</f>
        <v>#N/A</v>
      </c>
      <c r="F55" s="75" t="e" cm="1">
        <f t="array" aca="1" ref="F55" ca="1">INDIRECT(ADDRESS($A55,F$3,,,"scalars"))</f>
        <v>#N/A</v>
      </c>
      <c r="G55" s="267" t="s">
        <v>263</v>
      </c>
      <c r="H55" s="268" cm="1">
        <f t="array" aca="1" ref="H55" ca="1">INDIRECT(ADDRESS($C55,H$3,,,"mkt data"))</f>
        <v>22.01</v>
      </c>
      <c r="I55" s="269" cm="1">
        <f t="array" aca="1" ref="I55" ca="1">INDIRECT(ADDRESS($C55,I$3,,,"mkt data"))</f>
        <v>31.22</v>
      </c>
      <c r="J55" s="270" t="e" cm="1">
        <f t="array" aca="1" ref="J55" ca="1">INDIRECT(ADDRESS($A55,J$3,,,"SCALARS"))</f>
        <v>#N/A</v>
      </c>
      <c r="K55" s="16" t="e">
        <f t="shared" ref="K55:K64" ca="1" si="44">H55+J55-K$1</f>
        <v>#N/A</v>
      </c>
      <c r="L55" s="16" t="e">
        <f t="shared" ref="L55:L64" ca="1" si="45">I55+J55+K$1</f>
        <v>#N/A</v>
      </c>
      <c r="M55" s="271" t="e" cm="1">
        <f t="array" aca="1" ref="M55" ca="1">INDIRECT(ADDRESS($A55,M$3,,,"scalars"))</f>
        <v>#N/A</v>
      </c>
      <c r="N55" s="16" t="e">
        <f t="shared" ref="N55:N56" ca="1" si="46">K55*M55</f>
        <v>#N/A</v>
      </c>
      <c r="O55" s="16" t="e">
        <f t="shared" ref="O55:O64" ca="1" si="47">M55*L55</f>
        <v>#N/A</v>
      </c>
      <c r="P55" s="559" t="e">
        <f ca="1">N56-O55</f>
        <v>#N/A</v>
      </c>
      <c r="Q55" s="561" t="e">
        <f ca="1">LN(N56/O55)</f>
        <v>#N/A</v>
      </c>
      <c r="R55" s="252" t="e" cm="1">
        <f t="array" aca="1" ref="R55" ca="1">-INDIRECT(ADDRESS($B55,R$3,,,"threshold info"))</f>
        <v>#REF!</v>
      </c>
      <c r="S55" s="223" t="e" cm="1">
        <f t="array" aca="1" ref="S55" ca="1">-INDIRECT(ADDRESS($B55,S$3,,,"threshold info"))</f>
        <v>#REF!</v>
      </c>
      <c r="T55" s="559" t="e">
        <f ca="1">N55-O56</f>
        <v>#N/A</v>
      </c>
      <c r="U55" s="561" t="e">
        <f ca="1">LN(N55/O56)</f>
        <v>#N/A</v>
      </c>
      <c r="V55" s="252" t="e" cm="1">
        <f t="array" aca="1" ref="V55" ca="1">INDIRECT(ADDRESS($B55,V$3,,,"threshold info"))</f>
        <v>#REF!</v>
      </c>
      <c r="W55" s="60" t="e" cm="1">
        <f t="array" aca="1" ref="W55" ca="1">INDIRECT(ADDRESS($B55,W$3,,,"threshold info"))</f>
        <v>#REF!</v>
      </c>
      <c r="X55" s="272" cm="1">
        <f t="array" aca="1" ref="X55" ca="1">INDIRECT(ADDRESS($C55,X$3,,,"mkt data"))</f>
        <v>0</v>
      </c>
      <c r="Y55" s="273">
        <f t="shared" ref="Y55:Y64" ca="1" si="48">X55*AVERAGE(H55:I55)</f>
        <v>0</v>
      </c>
      <c r="Z55" s="272" t="e">
        <f t="shared" ref="Z55:Z64" ca="1" si="49">X55/M55</f>
        <v>#N/A</v>
      </c>
      <c r="AA55" s="563" t="e">
        <f ca="1">SUM(Z55:Z56)</f>
        <v>#N/A</v>
      </c>
      <c r="AB55" s="462"/>
      <c r="AC55" s="274" t="str">
        <f t="shared" ref="AC55:AC64" si="50">G55</f>
        <v>BSGR</v>
      </c>
      <c r="AD55" s="268" cm="1">
        <f t="array" aca="1" ref="AD55" ca="1">INDIRECT(ADDRESS($C55,AD$3,,,"mkt data"))</f>
        <v>24.975000000000001</v>
      </c>
      <c r="AE55" s="275">
        <f t="shared" ref="AE55:AE64" ca="1" si="51">AVERAGE(H55,I55)</f>
        <v>26.615000000000002</v>
      </c>
      <c r="AF55" s="275">
        <f t="shared" ref="AF55:AF64" ca="1" si="52">AE55-AD55</f>
        <v>1.6400000000000006</v>
      </c>
      <c r="AG55" s="275">
        <f t="shared" ca="1" si="10"/>
        <v>0</v>
      </c>
      <c r="AH55" s="458">
        <f ca="1">AG55+AG56</f>
        <v>0</v>
      </c>
      <c r="AI55" s="554"/>
      <c r="AJ55" s="522"/>
      <c r="AK55"/>
    </row>
    <row r="56" spans="1:37" s="10" customFormat="1" ht="15.75" thickBot="1" x14ac:dyDescent="0.3">
      <c r="A56" s="77" t="e">
        <f>MATCH(G56,SCALARS!D:D,0)</f>
        <v>#N/A</v>
      </c>
      <c r="B56" s="525"/>
      <c r="C56" s="78">
        <f>MATCH(G56,'MKT DATA'!B:B,0)</f>
        <v>153</v>
      </c>
      <c r="D56" s="354"/>
      <c r="E56" s="265" t="e" cm="1">
        <f t="array" aca="1" ref="E56" ca="1">INDIRECT(ADDRESS($A56,E$3,,,"scalars"))</f>
        <v>#N/A</v>
      </c>
      <c r="F56" s="77" t="e" cm="1">
        <f t="array" aca="1" ref="F56" ca="1">INDIRECT(ADDRESS($A56,F$3,,,"scalars"))</f>
        <v>#N/A</v>
      </c>
      <c r="G56" s="276" t="s">
        <v>264</v>
      </c>
      <c r="H56" s="277" cm="1">
        <f t="array" aca="1" ref="H56" ca="1">INDIRECT(ADDRESS($C56,H$3,,,"mkt data"))</f>
        <v>22.32</v>
      </c>
      <c r="I56" s="278" cm="1">
        <f t="array" aca="1" ref="I56" ca="1">INDIRECT(ADDRESS($C56,I$3,,,"mkt data"))</f>
        <v>22.33</v>
      </c>
      <c r="J56" s="279" t="e" cm="1">
        <f t="array" aca="1" ref="J56" ca="1">INDIRECT(ADDRESS($A56,J$3,,,"SCALARS"))</f>
        <v>#N/A</v>
      </c>
      <c r="K56" s="22" t="e">
        <f t="shared" ca="1" si="44"/>
        <v>#N/A</v>
      </c>
      <c r="L56" s="22" t="e">
        <f t="shared" ca="1" si="45"/>
        <v>#N/A</v>
      </c>
      <c r="M56" s="280" t="e" cm="1">
        <f t="array" aca="1" ref="M56" ca="1">INDIRECT(ADDRESS($A56,M$3,,,"scalars"))</f>
        <v>#N/A</v>
      </c>
      <c r="N56" s="22" t="e">
        <f t="shared" ca="1" si="46"/>
        <v>#N/A</v>
      </c>
      <c r="O56" s="22" t="e">
        <f t="shared" ca="1" si="47"/>
        <v>#N/A</v>
      </c>
      <c r="P56" s="560"/>
      <c r="Q56" s="562"/>
      <c r="R56" s="281" t="e">
        <f ca="1">IF(Q55&gt;R55,TRUE,FALSE)</f>
        <v>#N/A</v>
      </c>
      <c r="S56" s="282" t="e">
        <f ca="1">AND(IF(U55&gt;-S55,TRUE,FALSE),IF(X55&gt;0,TRUE,FALSE))</f>
        <v>#N/A</v>
      </c>
      <c r="T56" s="560"/>
      <c r="U56" s="562"/>
      <c r="V56" s="281" t="e">
        <f ca="1">IF(U55&gt;V55,TRUE,FALSE)</f>
        <v>#N/A</v>
      </c>
      <c r="W56" s="283" t="e">
        <f ca="1">AND(IF(Q55&gt;-W55,TRUE,FALSE),IF(X55&lt;0,TRUE,FALSE))</f>
        <v>#N/A</v>
      </c>
      <c r="X56" s="284" cm="1">
        <f t="array" aca="1" ref="X56" ca="1">INDIRECT(ADDRESS($C56,X$3,,,"mkt data"))</f>
        <v>0</v>
      </c>
      <c r="Y56" s="285">
        <f t="shared" ca="1" si="48"/>
        <v>0</v>
      </c>
      <c r="Z56" s="284" t="e">
        <f t="shared" ca="1" si="49"/>
        <v>#N/A</v>
      </c>
      <c r="AA56" s="564"/>
      <c r="AB56" s="463"/>
      <c r="AC56" s="286" t="str">
        <f t="shared" si="50"/>
        <v>IBTH</v>
      </c>
      <c r="AD56" s="277" cm="1">
        <f t="array" aca="1" ref="AD56" ca="1">INDIRECT(ADDRESS($C56,AD$3,,,"mkt data"))</f>
        <v>22.33</v>
      </c>
      <c r="AE56" s="287">
        <f t="shared" ca="1" si="51"/>
        <v>22.324999999999999</v>
      </c>
      <c r="AF56" s="287">
        <f t="shared" ca="1" si="52"/>
        <v>-4.9999999999990052E-3</v>
      </c>
      <c r="AG56" s="287">
        <f t="shared" ca="1" si="10"/>
        <v>0</v>
      </c>
      <c r="AH56" s="459"/>
      <c r="AI56" s="555"/>
      <c r="AJ56" s="523"/>
      <c r="AK56"/>
    </row>
    <row r="57" spans="1:37" s="10" customFormat="1" x14ac:dyDescent="0.25">
      <c r="A57" s="75" t="e">
        <f>MATCH(G57,SCALARS!D:D,0)</f>
        <v>#N/A</v>
      </c>
      <c r="B57" s="524">
        <f>MATCH(G57,'SCALAR INPUTS'!E:E,0)</f>
        <v>58</v>
      </c>
      <c r="C57" s="76">
        <f>MATCH(G57,'MKT DATA'!B:B,0)</f>
        <v>150</v>
      </c>
      <c r="D57" s="353"/>
      <c r="E57" s="264" t="e" cm="1">
        <f t="array" aca="1" ref="E57" ca="1">INDIRECT(ADDRESS($A57,E$3,,,"scalars"))</f>
        <v>#N/A</v>
      </c>
      <c r="F57" s="75" t="e" cm="1">
        <f t="array" aca="1" ref="F57" ca="1">INDIRECT(ADDRESS($A57,F$3,,,"scalars"))</f>
        <v>#N/A</v>
      </c>
      <c r="G57" s="267" t="s">
        <v>265</v>
      </c>
      <c r="H57" s="268" cm="1">
        <f t="array" aca="1" ref="H57" ca="1">INDIRECT(ADDRESS($C57,H$3,,,"mkt data"))</f>
        <v>21.77</v>
      </c>
      <c r="I57" s="269" cm="1">
        <f t="array" aca="1" ref="I57" ca="1">INDIRECT(ADDRESS($C57,I$3,,,"mkt data"))</f>
        <v>27.21</v>
      </c>
      <c r="J57" s="270" t="e" cm="1">
        <f t="array" aca="1" ref="J57" ca="1">INDIRECT(ADDRESS($A57,J$3,,,"SCALARS"))</f>
        <v>#N/A</v>
      </c>
      <c r="K57" s="16" t="e">
        <f t="shared" ca="1" si="44"/>
        <v>#N/A</v>
      </c>
      <c r="L57" s="16" t="e">
        <f t="shared" ca="1" si="45"/>
        <v>#N/A</v>
      </c>
      <c r="M57" s="271" t="e" cm="1">
        <f t="array" aca="1" ref="M57" ca="1">INDIRECT(ADDRESS($A57,M$3,,,"scalars"))</f>
        <v>#N/A</v>
      </c>
      <c r="N57" s="16" t="e">
        <f ca="1">K57*M57</f>
        <v>#N/A</v>
      </c>
      <c r="O57" s="16" t="e">
        <f t="shared" ca="1" si="47"/>
        <v>#N/A</v>
      </c>
      <c r="P57" s="559" t="e">
        <f ca="1">N58-O57</f>
        <v>#N/A</v>
      </c>
      <c r="Q57" s="561" t="e">
        <f ca="1">LN(N58/O57)</f>
        <v>#N/A</v>
      </c>
      <c r="R57" s="252" t="e" cm="1">
        <f t="array" aca="1" ref="R57" ca="1">-INDIRECT(ADDRESS($B57,R$3,,,"threshold info"))</f>
        <v>#REF!</v>
      </c>
      <c r="S57" s="223" t="e" cm="1">
        <f t="array" aca="1" ref="S57" ca="1">-INDIRECT(ADDRESS($B57,S$3,,,"threshold info"))</f>
        <v>#REF!</v>
      </c>
      <c r="T57" s="559" t="e">
        <f ca="1">N57-O58</f>
        <v>#N/A</v>
      </c>
      <c r="U57" s="561" t="e">
        <f ca="1">LN(N57/O58)</f>
        <v>#N/A</v>
      </c>
      <c r="V57" s="252" t="e" cm="1">
        <f t="array" aca="1" ref="V57" ca="1">INDIRECT(ADDRESS($B57,V$3,,,"threshold info"))</f>
        <v>#REF!</v>
      </c>
      <c r="W57" s="60" t="e" cm="1">
        <f t="array" aca="1" ref="W57" ca="1">INDIRECT(ADDRESS($B57,W$3,,,"threshold info"))</f>
        <v>#REF!</v>
      </c>
      <c r="X57" s="272" cm="1">
        <f t="array" aca="1" ref="X57" ca="1">INDIRECT(ADDRESS($C57,X$3,,,"mkt data"))</f>
        <v>0</v>
      </c>
      <c r="Y57" s="273">
        <f t="shared" ca="1" si="48"/>
        <v>0</v>
      </c>
      <c r="Z57" s="272" t="e">
        <f t="shared" ca="1" si="49"/>
        <v>#N/A</v>
      </c>
      <c r="AA57" s="563" t="e">
        <f ca="1">SUM(Z57:Z58)</f>
        <v>#N/A</v>
      </c>
      <c r="AB57" s="462"/>
      <c r="AC57" s="274" t="str">
        <f t="shared" si="50"/>
        <v>BSTS</v>
      </c>
      <c r="AD57" s="268" cm="1">
        <f t="array" aca="1" ref="AD57" ca="1">INDIRECT(ADDRESS($C57,AD$3,,,"mkt data"))</f>
        <v>24.866599999999998</v>
      </c>
      <c r="AE57" s="275">
        <f t="shared" ca="1" si="51"/>
        <v>24.490000000000002</v>
      </c>
      <c r="AF57" s="275">
        <f t="shared" ca="1" si="52"/>
        <v>-0.37659999999999627</v>
      </c>
      <c r="AG57" s="275">
        <f t="shared" ca="1" si="10"/>
        <v>0</v>
      </c>
      <c r="AH57" s="458">
        <f ca="1">AG57+AG58</f>
        <v>0</v>
      </c>
      <c r="AI57" s="554"/>
      <c r="AJ57" s="522"/>
      <c r="AK57"/>
    </row>
    <row r="58" spans="1:37" s="10" customFormat="1" ht="15.75" thickBot="1" x14ac:dyDescent="0.3">
      <c r="A58" s="77" t="e">
        <f>MATCH(G58,SCALARS!D:D,0)</f>
        <v>#N/A</v>
      </c>
      <c r="B58" s="525"/>
      <c r="C58" s="78">
        <f>MATCH(G58,'MKT DATA'!B:B,0)</f>
        <v>154</v>
      </c>
      <c r="D58" s="354"/>
      <c r="E58" s="265" t="e" cm="1">
        <f t="array" aca="1" ref="E58" ca="1">INDIRECT(ADDRESS($A58,E$3,,,"scalars"))</f>
        <v>#N/A</v>
      </c>
      <c r="F58" s="77" t="e" cm="1">
        <f t="array" aca="1" ref="F58" ca="1">INDIRECT(ADDRESS($A58,F$3,,,"scalars"))</f>
        <v>#N/A</v>
      </c>
      <c r="G58" s="276" t="s">
        <v>266</v>
      </c>
      <c r="H58" s="277" cm="1">
        <f t="array" aca="1" ref="H58" ca="1">INDIRECT(ADDRESS($C58,H$3,,,"mkt data"))</f>
        <v>21.97</v>
      </c>
      <c r="I58" s="278" cm="1">
        <f t="array" aca="1" ref="I58" ca="1">INDIRECT(ADDRESS($C58,I$3,,,"mkt data"))</f>
        <v>21.98</v>
      </c>
      <c r="J58" s="279" t="e" cm="1">
        <f t="array" aca="1" ref="J58" ca="1">INDIRECT(ADDRESS($A58,J$3,,,"SCALARS"))</f>
        <v>#N/A</v>
      </c>
      <c r="K58" s="22" t="e">
        <f t="shared" ca="1" si="44"/>
        <v>#N/A</v>
      </c>
      <c r="L58" s="22" t="e">
        <f t="shared" ca="1" si="45"/>
        <v>#N/A</v>
      </c>
      <c r="M58" s="280" t="e" cm="1">
        <f t="array" aca="1" ref="M58" ca="1">INDIRECT(ADDRESS($A58,M$3,,,"scalars"))</f>
        <v>#N/A</v>
      </c>
      <c r="N58" s="22" t="e">
        <f t="shared" ref="N58:N59" ca="1" si="53">K58*M58</f>
        <v>#N/A</v>
      </c>
      <c r="O58" s="22" t="e">
        <f t="shared" ca="1" si="47"/>
        <v>#N/A</v>
      </c>
      <c r="P58" s="560"/>
      <c r="Q58" s="562"/>
      <c r="R58" s="281" t="e">
        <f ca="1">IF(Q57&gt;R57,TRUE,FALSE)</f>
        <v>#N/A</v>
      </c>
      <c r="S58" s="282" t="e">
        <f ca="1">AND(IF(U57&gt;-S57,TRUE,FALSE),IF(X57&gt;0,TRUE,FALSE))</f>
        <v>#N/A</v>
      </c>
      <c r="T58" s="560"/>
      <c r="U58" s="562"/>
      <c r="V58" s="281" t="e">
        <f ca="1">IF(U57&gt;V57,TRUE,FALSE)</f>
        <v>#N/A</v>
      </c>
      <c r="W58" s="283" t="e">
        <f ca="1">AND(IF(Q57&gt;-W57,TRUE,FALSE),IF(X57&lt;0,TRUE,FALSE))</f>
        <v>#N/A</v>
      </c>
      <c r="X58" s="284" cm="1">
        <f t="array" aca="1" ref="X58" ca="1">INDIRECT(ADDRESS($C58,X$3,,,"mkt data"))</f>
        <v>0</v>
      </c>
      <c r="Y58" s="285">
        <f t="shared" ca="1" si="48"/>
        <v>0</v>
      </c>
      <c r="Z58" s="284" t="e">
        <f t="shared" ca="1" si="49"/>
        <v>#N/A</v>
      </c>
      <c r="AA58" s="564"/>
      <c r="AB58" s="463"/>
      <c r="AC58" s="286" t="str">
        <f t="shared" si="50"/>
        <v>IBTI</v>
      </c>
      <c r="AD58" s="277" cm="1">
        <f t="array" aca="1" ref="AD58" ca="1">INDIRECT(ADDRESS($C58,AD$3,,,"mkt data"))</f>
        <v>21.98</v>
      </c>
      <c r="AE58" s="287">
        <f t="shared" ca="1" si="51"/>
        <v>21.975000000000001</v>
      </c>
      <c r="AF58" s="287">
        <f t="shared" ca="1" si="52"/>
        <v>-4.9999999999990052E-3</v>
      </c>
      <c r="AG58" s="287">
        <f t="shared" ca="1" si="10"/>
        <v>0</v>
      </c>
      <c r="AH58" s="459"/>
      <c r="AI58" s="555"/>
      <c r="AJ58" s="523"/>
      <c r="AK58"/>
    </row>
    <row r="59" spans="1:37" s="10" customFormat="1" x14ac:dyDescent="0.25">
      <c r="A59" s="75" t="e">
        <f>MATCH(G59,SCALARS!D:D,0)</f>
        <v>#N/A</v>
      </c>
      <c r="B59" s="524">
        <f>MATCH(G59,'SCALAR INPUTS'!E:E,0)</f>
        <v>60</v>
      </c>
      <c r="C59" s="76">
        <f>MATCH(G59,'MKT DATA'!B:B,0)</f>
        <v>149</v>
      </c>
      <c r="D59" s="353"/>
      <c r="E59" s="264" t="e" cm="1">
        <f t="array" aca="1" ref="E59" ca="1">INDIRECT(ADDRESS($A59,E$3,,,"scalars"))</f>
        <v>#N/A</v>
      </c>
      <c r="F59" s="75" t="e" cm="1">
        <f t="array" aca="1" ref="F59" ca="1">INDIRECT(ADDRESS($A59,F$3,,,"scalars"))</f>
        <v>#N/A</v>
      </c>
      <c r="G59" s="267" t="s">
        <v>267</v>
      </c>
      <c r="H59" s="268" cm="1">
        <f t="array" aca="1" ref="H59" ca="1">INDIRECT(ADDRESS($C59,H$3,,,"mkt data"))</f>
        <v>21.76</v>
      </c>
      <c r="I59" s="269" cm="1">
        <f t="array" aca="1" ref="I59" ca="1">INDIRECT(ADDRESS($C59,I$3,,,"mkt data"))</f>
        <v>27.07</v>
      </c>
      <c r="J59" s="270" t="e" cm="1">
        <f t="array" aca="1" ref="J59" ca="1">INDIRECT(ADDRESS($A59,J$3,,,"SCALARS"))</f>
        <v>#N/A</v>
      </c>
      <c r="K59" s="16" t="e">
        <f t="shared" ca="1" si="44"/>
        <v>#N/A</v>
      </c>
      <c r="L59" s="16" t="e">
        <f t="shared" ca="1" si="45"/>
        <v>#N/A</v>
      </c>
      <c r="M59" s="271" t="e" cm="1">
        <f t="array" aca="1" ref="M59" ca="1">INDIRECT(ADDRESS($A59,M$3,,,"scalars"))</f>
        <v>#N/A</v>
      </c>
      <c r="N59" s="16" t="e">
        <f t="shared" ca="1" si="53"/>
        <v>#N/A</v>
      </c>
      <c r="O59" s="16" t="e">
        <f t="shared" ca="1" si="47"/>
        <v>#N/A</v>
      </c>
      <c r="P59" s="559" t="e">
        <f ca="1">N60-O59</f>
        <v>#N/A</v>
      </c>
      <c r="Q59" s="561" t="e">
        <f ca="1">LN(N60/O59)</f>
        <v>#N/A</v>
      </c>
      <c r="R59" s="252" t="e" cm="1">
        <f t="array" aca="1" ref="R59" ca="1">-INDIRECT(ADDRESS($B59,R$3,,,"threshold info"))</f>
        <v>#REF!</v>
      </c>
      <c r="S59" s="223" t="e" cm="1">
        <f t="array" aca="1" ref="S59" ca="1">-INDIRECT(ADDRESS($B59,S$3,,,"threshold info"))</f>
        <v>#REF!</v>
      </c>
      <c r="T59" s="559" t="e">
        <f ca="1">N59-O60</f>
        <v>#N/A</v>
      </c>
      <c r="U59" s="561" t="e">
        <f ca="1">LN(N59/O60)</f>
        <v>#N/A</v>
      </c>
      <c r="V59" s="252" t="e" cm="1">
        <f t="array" aca="1" ref="V59" ca="1">INDIRECT(ADDRESS($B59,V$3,,,"threshold info"))</f>
        <v>#REF!</v>
      </c>
      <c r="W59" s="60" t="e" cm="1">
        <f t="array" aca="1" ref="W59" ca="1">INDIRECT(ADDRESS($B59,W$3,,,"threshold info"))</f>
        <v>#REF!</v>
      </c>
      <c r="X59" s="272" cm="1">
        <f t="array" aca="1" ref="X59" ca="1">INDIRECT(ADDRESS($C59,X$3,,,"mkt data"))</f>
        <v>0</v>
      </c>
      <c r="Y59" s="273">
        <f t="shared" ca="1" si="48"/>
        <v>0</v>
      </c>
      <c r="Z59" s="272" t="e">
        <f t="shared" ca="1" si="49"/>
        <v>#N/A</v>
      </c>
      <c r="AA59" s="565" t="e">
        <f ca="1">SUM(Z59:Z60)</f>
        <v>#N/A</v>
      </c>
      <c r="AB59" s="462"/>
      <c r="AC59" s="274" t="str">
        <f t="shared" si="50"/>
        <v>BSGT</v>
      </c>
      <c r="AD59" s="268" cm="1">
        <f t="array" aca="1" ref="AD59" ca="1">INDIRECT(ADDRESS($C59,AD$3,,,"mkt data"))</f>
        <v>24.725000000000001</v>
      </c>
      <c r="AE59" s="275">
        <f t="shared" ca="1" si="51"/>
        <v>24.414999999999999</v>
      </c>
      <c r="AF59" s="275">
        <f t="shared" ca="1" si="52"/>
        <v>-0.31000000000000227</v>
      </c>
      <c r="AG59" s="275">
        <f t="shared" ca="1" si="10"/>
        <v>0</v>
      </c>
      <c r="AH59" s="458">
        <f ca="1">AG59+AG60</f>
        <v>0</v>
      </c>
      <c r="AI59" s="554"/>
      <c r="AJ59" s="522"/>
      <c r="AK59"/>
    </row>
    <row r="60" spans="1:37" s="10" customFormat="1" ht="15.75" thickBot="1" x14ac:dyDescent="0.3">
      <c r="A60" s="77" t="e">
        <f>MATCH(G60,SCALARS!D:D,0)</f>
        <v>#N/A</v>
      </c>
      <c r="B60" s="525"/>
      <c r="C60" s="78">
        <f>MATCH(G60,'MKT DATA'!B:B,0)</f>
        <v>155</v>
      </c>
      <c r="D60" s="354"/>
      <c r="E60" s="265" t="e" cm="1">
        <f t="array" aca="1" ref="E60" ca="1">INDIRECT(ADDRESS($A60,E$3,,,"scalars"))</f>
        <v>#N/A</v>
      </c>
      <c r="F60" s="77" t="e" cm="1">
        <f t="array" aca="1" ref="F60" ca="1">INDIRECT(ADDRESS($A60,F$3,,,"scalars"))</f>
        <v>#N/A</v>
      </c>
      <c r="G60" s="276" t="s">
        <v>268</v>
      </c>
      <c r="H60" s="277" cm="1">
        <f t="array" aca="1" ref="H60" ca="1">INDIRECT(ADDRESS($C60,H$3,,,"mkt data"))</f>
        <v>21.34</v>
      </c>
      <c r="I60" s="278" cm="1">
        <f t="array" aca="1" ref="I60" ca="1">INDIRECT(ADDRESS($C60,I$3,,,"mkt data"))</f>
        <v>21.35</v>
      </c>
      <c r="J60" s="279" t="e" cm="1">
        <f t="array" aca="1" ref="J60" ca="1">INDIRECT(ADDRESS($A60,J$3,,,"SCALARS"))</f>
        <v>#N/A</v>
      </c>
      <c r="K60" s="22" t="e">
        <f t="shared" ca="1" si="44"/>
        <v>#N/A</v>
      </c>
      <c r="L60" s="22" t="e">
        <f t="shared" ca="1" si="45"/>
        <v>#N/A</v>
      </c>
      <c r="M60" s="280" t="e" cm="1">
        <f t="array" aca="1" ref="M60" ca="1">INDIRECT(ADDRESS($A60,M$3,,,"scalars"))</f>
        <v>#N/A</v>
      </c>
      <c r="N60" s="22" t="e">
        <f ca="1">K60*M60</f>
        <v>#N/A</v>
      </c>
      <c r="O60" s="22" t="e">
        <f t="shared" ca="1" si="47"/>
        <v>#N/A</v>
      </c>
      <c r="P60" s="560"/>
      <c r="Q60" s="562"/>
      <c r="R60" s="281" t="e">
        <f ca="1">IF(Q59&gt;R59,TRUE,FALSE)</f>
        <v>#N/A</v>
      </c>
      <c r="S60" s="282" t="e">
        <f ca="1">AND(IF(U59&gt;-S59,TRUE,FALSE),IF(X59&gt;0,TRUE,FALSE))</f>
        <v>#N/A</v>
      </c>
      <c r="T60" s="560"/>
      <c r="U60" s="562"/>
      <c r="V60" s="281" t="e">
        <f ca="1">IF(U59&gt;V59,TRUE,FALSE)</f>
        <v>#N/A</v>
      </c>
      <c r="W60" s="283" t="e">
        <f ca="1">AND(IF(Q59&gt;-W59,TRUE,FALSE),IF(X59&lt;0,TRUE,FALSE))</f>
        <v>#N/A</v>
      </c>
      <c r="X60" s="284" cm="1">
        <f t="array" aca="1" ref="X60" ca="1">INDIRECT(ADDRESS($C60,X$3,,,"mkt data"))</f>
        <v>0</v>
      </c>
      <c r="Y60" s="285">
        <f t="shared" ca="1" si="48"/>
        <v>0</v>
      </c>
      <c r="Z60" s="284" t="e">
        <f t="shared" ca="1" si="49"/>
        <v>#N/A</v>
      </c>
      <c r="AA60" s="566"/>
      <c r="AB60" s="463"/>
      <c r="AC60" s="286" t="str">
        <f t="shared" si="50"/>
        <v>IBTJ</v>
      </c>
      <c r="AD60" s="277" cm="1">
        <f t="array" aca="1" ref="AD60" ca="1">INDIRECT(ADDRESS($C60,AD$3,,,"mkt data"))</f>
        <v>21.360001</v>
      </c>
      <c r="AE60" s="287">
        <f t="shared" ca="1" si="51"/>
        <v>21.344999999999999</v>
      </c>
      <c r="AF60" s="287">
        <f t="shared" ca="1" si="52"/>
        <v>-1.5001000000001596E-2</v>
      </c>
      <c r="AG60" s="287">
        <f t="shared" ca="1" si="10"/>
        <v>0</v>
      </c>
      <c r="AH60" s="459"/>
      <c r="AI60" s="555"/>
      <c r="AJ60" s="523"/>
      <c r="AK60"/>
    </row>
    <row r="61" spans="1:37" s="10" customFormat="1" x14ac:dyDescent="0.25">
      <c r="A61" s="75" t="e">
        <f>MATCH(G61,SCALARS!D:D,0)</f>
        <v>#N/A</v>
      </c>
      <c r="B61" s="524">
        <f>MATCH(G61,'SCALAR INPUTS'!E:E,0)</f>
        <v>66</v>
      </c>
      <c r="C61" s="76">
        <f>MATCH(G61,'MKT DATA'!B:B,0)</f>
        <v>151</v>
      </c>
      <c r="D61" s="353"/>
      <c r="E61" s="264" t="e" cm="1">
        <f t="array" aca="1" ref="E61" ca="1">INDIRECT(ADDRESS($A61,E$3,,,"scalars"))</f>
        <v>#N/A</v>
      </c>
      <c r="F61" s="75" t="e" cm="1">
        <f t="array" aca="1" ref="F61" ca="1">INDIRECT(ADDRESS($A61,F$3,,,"scalars"))</f>
        <v>#N/A</v>
      </c>
      <c r="G61" s="267" t="s">
        <v>269</v>
      </c>
      <c r="H61" s="268" cm="1">
        <f t="array" aca="1" ref="H61" ca="1">INDIRECT(ADDRESS($C61,H$3,,,"mkt data"))</f>
        <v>21.59</v>
      </c>
      <c r="I61" s="269" cm="1">
        <f t="array" aca="1" ref="I61" ca="1">INDIRECT(ADDRESS($C61,I$3,,,"mkt data"))</f>
        <v>27.59</v>
      </c>
      <c r="J61" s="270" t="e" cm="1">
        <f t="array" aca="1" ref="J61" ca="1">INDIRECT(ADDRESS($A61,J$3,,,"SCALARS"))</f>
        <v>#N/A</v>
      </c>
      <c r="K61" s="16" t="e">
        <f t="shared" ca="1" si="44"/>
        <v>#N/A</v>
      </c>
      <c r="L61" s="16" t="e">
        <f t="shared" ca="1" si="45"/>
        <v>#N/A</v>
      </c>
      <c r="M61" s="271" t="e" cm="1">
        <f t="array" aca="1" ref="M61" ca="1">INDIRECT(ADDRESS($A61,M$3,,,"scalars"))</f>
        <v>#N/A</v>
      </c>
      <c r="N61" s="16" t="e">
        <f ca="1">K61*M61</f>
        <v>#N/A</v>
      </c>
      <c r="O61" s="16" t="e">
        <f t="shared" ca="1" si="47"/>
        <v>#N/A</v>
      </c>
      <c r="P61" s="559" t="e">
        <f ca="1">N62-O61</f>
        <v>#N/A</v>
      </c>
      <c r="Q61" s="561" t="e">
        <f t="shared" ref="Q61" ca="1" si="54">LN(N62/O61)</f>
        <v>#N/A</v>
      </c>
      <c r="R61" s="252" t="e" cm="1">
        <f t="array" aca="1" ref="R61" ca="1">-INDIRECT(ADDRESS($B61,R$3,,,"threshold info"))</f>
        <v>#REF!</v>
      </c>
      <c r="S61" s="223" t="e" cm="1">
        <f t="array" aca="1" ref="S61" ca="1">-INDIRECT(ADDRESS($B61,S$3,,,"threshold info"))</f>
        <v>#REF!</v>
      </c>
      <c r="T61" s="559" t="e">
        <f ca="1">N61-O62</f>
        <v>#N/A</v>
      </c>
      <c r="U61" s="561" t="e">
        <f t="shared" ref="U61" ca="1" si="55">LN(N61/O62)</f>
        <v>#N/A</v>
      </c>
      <c r="V61" s="252" t="e" cm="1">
        <f t="array" aca="1" ref="V61" ca="1">INDIRECT(ADDRESS($B61,V$3,,,"threshold info"))</f>
        <v>#REF!</v>
      </c>
      <c r="W61" s="60" t="e" cm="1">
        <f t="array" aca="1" ref="W61" ca="1">INDIRECT(ADDRESS($B61,W$3,,,"threshold info"))</f>
        <v>#REF!</v>
      </c>
      <c r="X61" s="272" cm="1">
        <f t="array" aca="1" ref="X61" ca="1">INDIRECT(ADDRESS($C61,X$3,,,"mkt data"))</f>
        <v>0</v>
      </c>
      <c r="Y61" s="273">
        <f t="shared" ca="1" si="48"/>
        <v>0</v>
      </c>
      <c r="Z61" s="272" t="e">
        <f t="shared" ca="1" si="49"/>
        <v>#N/A</v>
      </c>
      <c r="AA61" s="563" t="e">
        <f ca="1">SUM(Z61:Z62)</f>
        <v>#N/A</v>
      </c>
      <c r="AB61" s="462"/>
      <c r="AC61" s="274" t="str">
        <f t="shared" si="50"/>
        <v>BSTU</v>
      </c>
      <c r="AD61" s="268" cm="1">
        <f t="array" aca="1" ref="AD61" ca="1">INDIRECT(ADDRESS($C61,AD$3,,,"mkt data"))</f>
        <v>24.605</v>
      </c>
      <c r="AE61" s="275">
        <f t="shared" ca="1" si="51"/>
        <v>24.59</v>
      </c>
      <c r="AF61" s="275">
        <f t="shared" ca="1" si="52"/>
        <v>-1.5000000000000568E-2</v>
      </c>
      <c r="AG61" s="275">
        <f t="shared" ca="1" si="10"/>
        <v>0</v>
      </c>
      <c r="AH61" s="458">
        <f ca="1">AG61+AG62</f>
        <v>0</v>
      </c>
      <c r="AI61" s="554"/>
      <c r="AJ61" s="522"/>
      <c r="AK61"/>
    </row>
    <row r="62" spans="1:37" s="10" customFormat="1" ht="15.75" thickBot="1" x14ac:dyDescent="0.3">
      <c r="A62" s="77" t="e">
        <f>MATCH(G62,SCALARS!D:D,0)</f>
        <v>#N/A</v>
      </c>
      <c r="B62" s="525"/>
      <c r="C62" s="78">
        <f>MATCH(G62,'MKT DATA'!B:B,0)</f>
        <v>156</v>
      </c>
      <c r="D62" s="354"/>
      <c r="E62" s="265" t="e" cm="1">
        <f t="array" aca="1" ref="E62" ca="1">INDIRECT(ADDRESS($A62,E$3,,,"scalars"))</f>
        <v>#N/A</v>
      </c>
      <c r="F62" s="77" t="e" cm="1">
        <f t="array" aca="1" ref="F62" ca="1">INDIRECT(ADDRESS($A62,F$3,,,"scalars"))</f>
        <v>#N/A</v>
      </c>
      <c r="G62" s="276" t="s">
        <v>270</v>
      </c>
      <c r="H62" s="277" cm="1">
        <f t="array" aca="1" ref="H62" ca="1">INDIRECT(ADDRESS($C62,H$3,,,"mkt data"))</f>
        <v>19.14</v>
      </c>
      <c r="I62" s="278" cm="1">
        <f t="array" aca="1" ref="I62" ca="1">INDIRECT(ADDRESS($C62,I$3,,,"mkt data"))</f>
        <v>19.149999999999999</v>
      </c>
      <c r="J62" s="279" t="e" cm="1">
        <f t="array" aca="1" ref="J62" ca="1">INDIRECT(ADDRESS($A62,J$3,,,"SCALARS"))</f>
        <v>#N/A</v>
      </c>
      <c r="K62" s="22" t="e">
        <f t="shared" ca="1" si="44"/>
        <v>#N/A</v>
      </c>
      <c r="L62" s="22" t="e">
        <f t="shared" ca="1" si="45"/>
        <v>#N/A</v>
      </c>
      <c r="M62" s="280" t="e" cm="1">
        <f t="array" aca="1" ref="M62" ca="1">INDIRECT(ADDRESS($A62,M$3,,,"scalars"))</f>
        <v>#N/A</v>
      </c>
      <c r="N62" s="22" t="e">
        <f ca="1">K62*M62</f>
        <v>#N/A</v>
      </c>
      <c r="O62" s="22" t="e">
        <f t="shared" ca="1" si="47"/>
        <v>#N/A</v>
      </c>
      <c r="P62" s="560"/>
      <c r="Q62" s="562"/>
      <c r="R62" s="281" t="e">
        <f ca="1">IF(Q61&gt;R61,TRUE,FALSE)</f>
        <v>#N/A</v>
      </c>
      <c r="S62" s="282" t="e">
        <f ca="1">AND(IF(U61&gt;-S61,TRUE,FALSE),IF(X61&gt;0,TRUE,FALSE))</f>
        <v>#N/A</v>
      </c>
      <c r="T62" s="560"/>
      <c r="U62" s="562"/>
      <c r="V62" s="281" t="e">
        <f ca="1">IF(U61&gt;V61,TRUE,FALSE)</f>
        <v>#N/A</v>
      </c>
      <c r="W62" s="283" t="e">
        <f ca="1">AND(IF(Q61&gt;-W61,TRUE,FALSE),IF(X61&lt;0,TRUE,FALSE))</f>
        <v>#N/A</v>
      </c>
      <c r="X62" s="284" cm="1">
        <f t="array" aca="1" ref="X62" ca="1">INDIRECT(ADDRESS($C62,X$3,,,"mkt data"))</f>
        <v>0</v>
      </c>
      <c r="Y62" s="285">
        <f t="shared" ca="1" si="48"/>
        <v>0</v>
      </c>
      <c r="Z62" s="284" t="e">
        <f t="shared" ca="1" si="49"/>
        <v>#N/A</v>
      </c>
      <c r="AA62" s="564"/>
      <c r="AB62" s="463"/>
      <c r="AC62" s="286" t="str">
        <f t="shared" si="50"/>
        <v>IBTK</v>
      </c>
      <c r="AD62" s="277" cm="1">
        <f t="array" aca="1" ref="AD62" ca="1">INDIRECT(ADDRESS($C62,AD$3,,,"mkt data"))</f>
        <v>19.165001</v>
      </c>
      <c r="AE62" s="287">
        <f t="shared" ca="1" si="51"/>
        <v>19.145</v>
      </c>
      <c r="AF62" s="287">
        <f t="shared" ca="1" si="52"/>
        <v>-2.0001000000000602E-2</v>
      </c>
      <c r="AG62" s="287">
        <f t="shared" ca="1" si="10"/>
        <v>0</v>
      </c>
      <c r="AH62" s="459"/>
      <c r="AI62" s="555"/>
      <c r="AJ62" s="523"/>
      <c r="AK62"/>
    </row>
    <row r="63" spans="1:37" s="10" customFormat="1" x14ac:dyDescent="0.25">
      <c r="A63" s="75" t="e">
        <f>MATCH(G63,SCALARS!D:D,0)</f>
        <v>#N/A</v>
      </c>
      <c r="B63" s="524">
        <f>MATCH(G63,'SCALAR INPUTS'!E:E,0)</f>
        <v>70</v>
      </c>
      <c r="C63" s="76">
        <f>MATCH(G63,'MKT DATA'!B:B,0)</f>
        <v>152</v>
      </c>
      <c r="D63" s="353"/>
      <c r="E63" s="264" t="e" cm="1">
        <f t="array" aca="1" ref="E63" ca="1">INDIRECT(ADDRESS($A63,E$3,,,"scalars"))</f>
        <v>#N/A</v>
      </c>
      <c r="F63" s="75" t="e" cm="1">
        <f t="array" aca="1" ref="F63" ca="1">INDIRECT(ADDRESS($A63,F$3,,,"scalars"))</f>
        <v>#N/A</v>
      </c>
      <c r="G63" s="267" t="s">
        <v>271</v>
      </c>
      <c r="H63" s="268" cm="1">
        <f t="array" aca="1" ref="H63" ca="1">INDIRECT(ADDRESS($C63,H$3,,,"mkt data"))</f>
        <v>21.46</v>
      </c>
      <c r="I63" s="269" cm="1">
        <f t="array" aca="1" ref="I63" ca="1">INDIRECT(ADDRESS($C63,I$3,,,"mkt data"))</f>
        <v>26.79</v>
      </c>
      <c r="J63" s="270" t="e" cm="1">
        <f t="array" aca="1" ref="J63" ca="1">INDIRECT(ADDRESS($A63,J$3,,,"SCALARS"))</f>
        <v>#N/A</v>
      </c>
      <c r="K63" s="16" t="e">
        <f t="shared" ca="1" si="44"/>
        <v>#N/A</v>
      </c>
      <c r="L63" s="16" t="e">
        <f t="shared" ca="1" si="45"/>
        <v>#N/A</v>
      </c>
      <c r="M63" s="271" t="e" cm="1">
        <f t="array" aca="1" ref="M63" ca="1">INDIRECT(ADDRESS($A63,M$3,,,"scalars"))</f>
        <v>#N/A</v>
      </c>
      <c r="N63" s="16" t="e">
        <f ca="1">K63*M63</f>
        <v>#N/A</v>
      </c>
      <c r="O63" s="16" t="e">
        <f t="shared" ca="1" si="47"/>
        <v>#N/A</v>
      </c>
      <c r="P63" s="559" t="e">
        <f ca="1">N64-O63</f>
        <v>#N/A</v>
      </c>
      <c r="Q63" s="561" t="e">
        <f ca="1">LN(N64/O63)</f>
        <v>#N/A</v>
      </c>
      <c r="R63" s="252" t="e" cm="1">
        <f t="array" aca="1" ref="R63" ca="1">-INDIRECT(ADDRESS($B63,R$3,,,"threshold info"))</f>
        <v>#REF!</v>
      </c>
      <c r="S63" s="223" t="e" cm="1">
        <f t="array" aca="1" ref="S63" ca="1">-INDIRECT(ADDRESS($B63,S$3,,,"threshold info"))</f>
        <v>#REF!</v>
      </c>
      <c r="T63" s="559" t="e">
        <f ca="1">N63-O64</f>
        <v>#N/A</v>
      </c>
      <c r="U63" s="561" t="e">
        <f ca="1">LN(N63/O64)</f>
        <v>#N/A</v>
      </c>
      <c r="V63" s="252" t="e" cm="1">
        <f t="array" aca="1" ref="V63" ca="1">INDIRECT(ADDRESS($B63,V$3,,,"threshold info"))</f>
        <v>#REF!</v>
      </c>
      <c r="W63" s="60" t="e" cm="1">
        <f t="array" aca="1" ref="W63" ca="1">INDIRECT(ADDRESS($B63,W$3,,,"threshold info"))</f>
        <v>#REF!</v>
      </c>
      <c r="X63" s="272" cm="1">
        <f t="array" aca="1" ref="X63" ca="1">INDIRECT(ADDRESS($C63,X$3,,,"mkt data"))</f>
        <v>0</v>
      </c>
      <c r="Y63" s="273">
        <f t="shared" ca="1" si="48"/>
        <v>0</v>
      </c>
      <c r="Z63" s="272" t="e">
        <f t="shared" ca="1" si="49"/>
        <v>#N/A</v>
      </c>
      <c r="AA63" s="567" t="e">
        <f ca="1">SUM(Z63:Z64)</f>
        <v>#N/A</v>
      </c>
      <c r="AB63" s="474"/>
      <c r="AC63" s="274" t="str">
        <f t="shared" si="50"/>
        <v>BSTV</v>
      </c>
      <c r="AD63" s="268" cm="1">
        <f t="array" aca="1" ref="AD63" ca="1">INDIRECT(ADDRESS($C63,AD$3,,,"mkt data"))</f>
        <v>24.514999</v>
      </c>
      <c r="AE63" s="275">
        <f t="shared" ca="1" si="51"/>
        <v>24.125</v>
      </c>
      <c r="AF63" s="275">
        <f t="shared" ca="1" si="52"/>
        <v>-0.38999899999999954</v>
      </c>
      <c r="AG63" s="275">
        <f t="shared" ca="1" si="10"/>
        <v>0</v>
      </c>
      <c r="AH63" s="458">
        <f ca="1">AG63+AG64</f>
        <v>0</v>
      </c>
      <c r="AI63" s="554"/>
      <c r="AJ63" s="522"/>
      <c r="AK63"/>
    </row>
    <row r="64" spans="1:37" s="10" customFormat="1" ht="15.75" thickBot="1" x14ac:dyDescent="0.3">
      <c r="A64" s="77" t="e">
        <f>MATCH(G64,SCALARS!D:D,0)</f>
        <v>#N/A</v>
      </c>
      <c r="B64" s="525"/>
      <c r="C64" s="78">
        <f>MATCH(G64,'MKT DATA'!B:B,0)</f>
        <v>157</v>
      </c>
      <c r="D64" s="354"/>
      <c r="E64" s="265" t="e" cm="1">
        <f t="array" aca="1" ref="E64" ca="1">INDIRECT(ADDRESS($A64,E$3,,,"scalars"))</f>
        <v>#N/A</v>
      </c>
      <c r="F64" s="77" t="e" cm="1">
        <f t="array" aca="1" ref="F64" ca="1">INDIRECT(ADDRESS($A64,F$3,,,"scalars"))</f>
        <v>#N/A</v>
      </c>
      <c r="G64" s="276" t="s">
        <v>272</v>
      </c>
      <c r="H64" s="277" cm="1">
        <f t="array" aca="1" ref="H64" ca="1">INDIRECT(ADDRESS($C64,H$3,,,"mkt data"))</f>
        <v>19.670000000000002</v>
      </c>
      <c r="I64" s="278" cm="1">
        <f t="array" aca="1" ref="I64" ca="1">INDIRECT(ADDRESS($C64,I$3,,,"mkt data"))</f>
        <v>19.68</v>
      </c>
      <c r="J64" s="279" t="e" cm="1">
        <f t="array" aca="1" ref="J64" ca="1">INDIRECT(ADDRESS($A64,J$3,,,"SCALARS"))</f>
        <v>#N/A</v>
      </c>
      <c r="K64" s="22" t="e">
        <f t="shared" ca="1" si="44"/>
        <v>#N/A</v>
      </c>
      <c r="L64" s="22" t="e">
        <f t="shared" ca="1" si="45"/>
        <v>#N/A</v>
      </c>
      <c r="M64" s="280" t="e" cm="1">
        <f t="array" aca="1" ref="M64" ca="1">INDIRECT(ADDRESS($A64,M$3,,,"scalars"))</f>
        <v>#N/A</v>
      </c>
      <c r="N64" s="22" t="e">
        <f t="shared" ref="N64" ca="1" si="56">K64*M64</f>
        <v>#N/A</v>
      </c>
      <c r="O64" s="22" t="e">
        <f t="shared" ca="1" si="47"/>
        <v>#N/A</v>
      </c>
      <c r="P64" s="560"/>
      <c r="Q64" s="562"/>
      <c r="R64" s="281" t="e">
        <f ca="1">IF(Q63&gt;R63,TRUE,FALSE)</f>
        <v>#N/A</v>
      </c>
      <c r="S64" s="282" t="e">
        <f ca="1">AND(IF(U63&gt;-S63,TRUE,FALSE),IF(X63&gt;0,TRUE,FALSE))</f>
        <v>#N/A</v>
      </c>
      <c r="T64" s="560"/>
      <c r="U64" s="562"/>
      <c r="V64" s="281" t="e">
        <f ca="1">IF(U63&gt;V63,TRUE,FALSE)</f>
        <v>#N/A</v>
      </c>
      <c r="W64" s="283" t="e">
        <f ca="1">AND(IF(Q63&gt;-W63,TRUE,FALSE),IF(X63&lt;0,TRUE,FALSE))</f>
        <v>#N/A</v>
      </c>
      <c r="X64" s="284" cm="1">
        <f t="array" aca="1" ref="X64" ca="1">INDIRECT(ADDRESS($C64,X$3,,,"mkt data"))</f>
        <v>0</v>
      </c>
      <c r="Y64" s="285">
        <f t="shared" ca="1" si="48"/>
        <v>0</v>
      </c>
      <c r="Z64" s="284" t="e">
        <f t="shared" ca="1" si="49"/>
        <v>#N/A</v>
      </c>
      <c r="AA64" s="568"/>
      <c r="AB64" s="463"/>
      <c r="AC64" s="286" t="str">
        <f t="shared" si="50"/>
        <v>IBTL</v>
      </c>
      <c r="AD64" s="277" cm="1">
        <f t="array" aca="1" ref="AD64" ca="1">INDIRECT(ADDRESS($C64,AD$3,,,"mkt data"))</f>
        <v>19.695</v>
      </c>
      <c r="AE64" s="287">
        <f t="shared" ca="1" si="51"/>
        <v>19.675000000000001</v>
      </c>
      <c r="AF64" s="287">
        <f t="shared" ca="1" si="52"/>
        <v>-1.9999999999999574E-2</v>
      </c>
      <c r="AG64" s="287">
        <f t="shared" ca="1" si="10"/>
        <v>0</v>
      </c>
      <c r="AH64" s="459"/>
      <c r="AI64" s="555"/>
      <c r="AJ64" s="523"/>
      <c r="AK64"/>
    </row>
    <row r="65" spans="3:14" x14ac:dyDescent="0.25">
      <c r="J65" s="8"/>
      <c r="K65" s="10"/>
      <c r="L65" s="8"/>
      <c r="M65" s="10"/>
      <c r="N65" s="2"/>
    </row>
    <row r="66" spans="3:14" x14ac:dyDescent="0.25">
      <c r="J66" s="13"/>
      <c r="K66" s="10"/>
      <c r="L66" s="8"/>
      <c r="M66" s="10"/>
      <c r="N66" s="2"/>
    </row>
    <row r="67" spans="3:14" x14ac:dyDescent="0.25">
      <c r="J67" s="13"/>
      <c r="K67" s="10"/>
      <c r="L67" s="8"/>
      <c r="M67" s="10"/>
      <c r="N67" s="2"/>
    </row>
    <row r="68" spans="3:14" x14ac:dyDescent="0.25">
      <c r="C68" s="8"/>
      <c r="D68" s="2"/>
      <c r="E68" s="2"/>
      <c r="J68" s="13"/>
      <c r="K68" s="10"/>
      <c r="L68" s="8"/>
      <c r="M68" s="10"/>
      <c r="N68" s="2"/>
    </row>
    <row r="69" spans="3:14" x14ac:dyDescent="0.25">
      <c r="C69" s="8"/>
      <c r="D69" s="2"/>
      <c r="E69" s="2"/>
      <c r="J69" s="13"/>
      <c r="K69" s="10"/>
      <c r="L69" s="8"/>
      <c r="M69" s="10"/>
      <c r="N69" s="2"/>
    </row>
    <row r="70" spans="3:14" x14ac:dyDescent="0.25">
      <c r="C70" s="8"/>
      <c r="D70" s="2"/>
      <c r="E70" s="2"/>
      <c r="J70" s="13"/>
      <c r="K70" s="10"/>
      <c r="L70" s="8"/>
      <c r="M70" s="10"/>
      <c r="N70" s="2"/>
    </row>
    <row r="71" spans="3:14" x14ac:dyDescent="0.25">
      <c r="C71" s="26"/>
      <c r="D71" s="2"/>
      <c r="E71" s="26"/>
      <c r="J71" s="13"/>
      <c r="K71" s="10"/>
      <c r="L71" s="8"/>
      <c r="M71" s="10"/>
      <c r="N71" s="2"/>
    </row>
    <row r="72" spans="3:14" x14ac:dyDescent="0.25">
      <c r="C72" s="26"/>
      <c r="D72" s="2"/>
      <c r="E72" s="26"/>
      <c r="J72" s="13"/>
      <c r="K72" s="10"/>
      <c r="L72" s="8"/>
      <c r="M72" s="10"/>
      <c r="N72" s="2"/>
    </row>
    <row r="73" spans="3:14" x14ac:dyDescent="0.25">
      <c r="C73" s="8"/>
      <c r="D73" s="2"/>
      <c r="E73" s="2"/>
      <c r="J73" s="13"/>
      <c r="K73" s="10"/>
      <c r="L73" s="8"/>
      <c r="M73" s="10"/>
      <c r="N73" s="2"/>
    </row>
    <row r="74" spans="3:14" x14ac:dyDescent="0.25">
      <c r="C74" s="8"/>
      <c r="D74" s="2"/>
      <c r="E74" s="2"/>
      <c r="J74" s="13"/>
      <c r="K74" s="10"/>
      <c r="L74" s="8"/>
      <c r="M74" s="10"/>
      <c r="N74" s="2"/>
    </row>
    <row r="75" spans="3:14" x14ac:dyDescent="0.25">
      <c r="C75" s="8"/>
      <c r="D75" s="2"/>
      <c r="E75" s="2"/>
      <c r="J75" s="13"/>
      <c r="K75" s="10"/>
      <c r="L75" s="8"/>
      <c r="M75" s="10"/>
      <c r="N75" s="2"/>
    </row>
    <row r="76" spans="3:14" x14ac:dyDescent="0.25">
      <c r="C76" s="8"/>
      <c r="D76" s="2"/>
      <c r="E76" s="2"/>
      <c r="J76" s="13"/>
      <c r="K76" s="10"/>
      <c r="L76" s="8"/>
      <c r="M76" s="10"/>
      <c r="N76" s="2"/>
    </row>
    <row r="77" spans="3:14" x14ac:dyDescent="0.25">
      <c r="C77" s="8"/>
      <c r="D77" s="2"/>
      <c r="E77" s="2"/>
      <c r="J77" s="13"/>
      <c r="K77" s="10"/>
      <c r="L77" s="8"/>
      <c r="M77" s="10"/>
      <c r="N77" s="2"/>
    </row>
    <row r="78" spans="3:14" x14ac:dyDescent="0.25">
      <c r="C78" s="8"/>
      <c r="D78" s="2"/>
      <c r="E78" s="2"/>
      <c r="J78" s="13"/>
      <c r="K78" s="10"/>
      <c r="L78" s="8"/>
      <c r="M78" s="10"/>
      <c r="N78" s="2"/>
    </row>
    <row r="79" spans="3:14" x14ac:dyDescent="0.25">
      <c r="C79" s="8"/>
      <c r="D79" s="2"/>
      <c r="E79" s="2"/>
      <c r="J79" s="13"/>
      <c r="K79" s="10"/>
      <c r="L79" s="8"/>
      <c r="M79" s="10"/>
      <c r="N79" s="2"/>
    </row>
    <row r="80" spans="3:14" x14ac:dyDescent="0.25">
      <c r="D80" s="2"/>
      <c r="J80" s="13"/>
      <c r="K80" s="10"/>
      <c r="L80" s="8"/>
    </row>
    <row r="81" spans="4:12" x14ac:dyDescent="0.25">
      <c r="D81" s="2"/>
      <c r="J81" s="13"/>
      <c r="K81" s="10"/>
      <c r="L81" s="8"/>
    </row>
    <row r="82" spans="4:12" x14ac:dyDescent="0.25">
      <c r="D82" s="2"/>
      <c r="J82" s="13"/>
      <c r="K82" s="10"/>
      <c r="L82" s="8"/>
    </row>
    <row r="83" spans="4:12" x14ac:dyDescent="0.25">
      <c r="D83" s="2"/>
      <c r="J83" s="13"/>
      <c r="K83" s="10"/>
      <c r="L83" s="8"/>
    </row>
    <row r="84" spans="4:12" x14ac:dyDescent="0.25">
      <c r="D84" s="2"/>
      <c r="J84" s="13"/>
      <c r="K84" s="10"/>
      <c r="L84" s="8"/>
    </row>
  </sheetData>
  <mergeCells count="295">
    <mergeCell ref="B61:B62"/>
    <mergeCell ref="B63:B64"/>
    <mergeCell ref="B42:B43"/>
    <mergeCell ref="B44:B45"/>
    <mergeCell ref="B46:B47"/>
    <mergeCell ref="B48:B49"/>
    <mergeCell ref="B50:B51"/>
    <mergeCell ref="B52:B53"/>
    <mergeCell ref="B55:B56"/>
    <mergeCell ref="B57:B58"/>
    <mergeCell ref="B59:B60"/>
    <mergeCell ref="B25:B26"/>
    <mergeCell ref="B27:B28"/>
    <mergeCell ref="B29:B30"/>
    <mergeCell ref="B31:B32"/>
    <mergeCell ref="B34:B35"/>
    <mergeCell ref="B36:B37"/>
    <mergeCell ref="B38:B39"/>
    <mergeCell ref="B40:B41"/>
    <mergeCell ref="B6:B7"/>
    <mergeCell ref="B8:B9"/>
    <mergeCell ref="B10:B11"/>
    <mergeCell ref="B12:B13"/>
    <mergeCell ref="B14:B15"/>
    <mergeCell ref="B16:B17"/>
    <mergeCell ref="B18:B19"/>
    <mergeCell ref="B21:B22"/>
    <mergeCell ref="B23:B24"/>
    <mergeCell ref="AH1:AH2"/>
    <mergeCell ref="A4:C4"/>
    <mergeCell ref="H4:I4"/>
    <mergeCell ref="K4:L4"/>
    <mergeCell ref="N4:O4"/>
    <mergeCell ref="P4:S4"/>
    <mergeCell ref="K1:L2"/>
    <mergeCell ref="X1:AA2"/>
    <mergeCell ref="AF1:AF2"/>
    <mergeCell ref="AG1:AG2"/>
    <mergeCell ref="AE1:AE2"/>
    <mergeCell ref="AH34:AH35"/>
    <mergeCell ref="P36:P37"/>
    <mergeCell ref="Q36:Q37"/>
    <mergeCell ref="T36:T37"/>
    <mergeCell ref="U36:U37"/>
    <mergeCell ref="AA36:AA37"/>
    <mergeCell ref="AH36:AH37"/>
    <mergeCell ref="T4:W4"/>
    <mergeCell ref="X4:AA4"/>
    <mergeCell ref="P34:P35"/>
    <mergeCell ref="Q34:Q35"/>
    <mergeCell ref="T34:T35"/>
    <mergeCell ref="U34:U35"/>
    <mergeCell ref="AA34:AA35"/>
    <mergeCell ref="AH6:AH7"/>
    <mergeCell ref="P8:P9"/>
    <mergeCell ref="Q8:Q9"/>
    <mergeCell ref="T8:T9"/>
    <mergeCell ref="U8:U9"/>
    <mergeCell ref="AA8:AA9"/>
    <mergeCell ref="AH8:AH9"/>
    <mergeCell ref="P6:P7"/>
    <mergeCell ref="Q6:Q7"/>
    <mergeCell ref="T6:T7"/>
    <mergeCell ref="AH38:AH39"/>
    <mergeCell ref="P40:P41"/>
    <mergeCell ref="Q40:Q41"/>
    <mergeCell ref="T40:T41"/>
    <mergeCell ref="U40:U41"/>
    <mergeCell ref="AA40:AA41"/>
    <mergeCell ref="AH40:AH41"/>
    <mergeCell ref="P38:P39"/>
    <mergeCell ref="Q38:Q39"/>
    <mergeCell ref="T38:T39"/>
    <mergeCell ref="U38:U39"/>
    <mergeCell ref="AA38:AA39"/>
    <mergeCell ref="AH42:AH43"/>
    <mergeCell ref="P44:P45"/>
    <mergeCell ref="Q44:Q45"/>
    <mergeCell ref="T44:T45"/>
    <mergeCell ref="U44:U45"/>
    <mergeCell ref="AA44:AA45"/>
    <mergeCell ref="AH44:AH45"/>
    <mergeCell ref="P42:P43"/>
    <mergeCell ref="Q42:Q43"/>
    <mergeCell ref="T42:T43"/>
    <mergeCell ref="U42:U43"/>
    <mergeCell ref="AA42:AA43"/>
    <mergeCell ref="AH46:AH47"/>
    <mergeCell ref="P48:P49"/>
    <mergeCell ref="Q48:Q49"/>
    <mergeCell ref="T48:T49"/>
    <mergeCell ref="U48:U49"/>
    <mergeCell ref="AA48:AA49"/>
    <mergeCell ref="AH48:AH49"/>
    <mergeCell ref="P46:P47"/>
    <mergeCell ref="Q46:Q47"/>
    <mergeCell ref="T46:T47"/>
    <mergeCell ref="U46:U47"/>
    <mergeCell ref="AA46:AA47"/>
    <mergeCell ref="AB48:AB49"/>
    <mergeCell ref="AH50:AH51"/>
    <mergeCell ref="P52:P53"/>
    <mergeCell ref="Q52:Q53"/>
    <mergeCell ref="T52:T53"/>
    <mergeCell ref="U52:U53"/>
    <mergeCell ref="AA52:AA53"/>
    <mergeCell ref="AH52:AH53"/>
    <mergeCell ref="P50:P51"/>
    <mergeCell ref="Q50:Q51"/>
    <mergeCell ref="T50:T51"/>
    <mergeCell ref="U50:U51"/>
    <mergeCell ref="AA50:AA51"/>
    <mergeCell ref="AB50:AB51"/>
    <mergeCell ref="AB52:AB53"/>
    <mergeCell ref="U6:U7"/>
    <mergeCell ref="AA6:AA7"/>
    <mergeCell ref="AH10:AH11"/>
    <mergeCell ref="P12:P13"/>
    <mergeCell ref="Q12:Q13"/>
    <mergeCell ref="T12:T13"/>
    <mergeCell ref="U12:U13"/>
    <mergeCell ref="AA12:AA13"/>
    <mergeCell ref="AH12:AH13"/>
    <mergeCell ref="P10:P11"/>
    <mergeCell ref="Q10:Q11"/>
    <mergeCell ref="T10:T11"/>
    <mergeCell ref="U10:U11"/>
    <mergeCell ref="AA10:AA11"/>
    <mergeCell ref="AB6:AB7"/>
    <mergeCell ref="AB8:AB9"/>
    <mergeCell ref="AB10:AB11"/>
    <mergeCell ref="AB12:AB13"/>
    <mergeCell ref="AH14:AH15"/>
    <mergeCell ref="P16:P17"/>
    <mergeCell ref="Q16:Q17"/>
    <mergeCell ref="T16:T17"/>
    <mergeCell ref="U16:U17"/>
    <mergeCell ref="AA16:AA17"/>
    <mergeCell ref="AH16:AH17"/>
    <mergeCell ref="P14:P15"/>
    <mergeCell ref="Q14:Q15"/>
    <mergeCell ref="T14:T15"/>
    <mergeCell ref="U14:U15"/>
    <mergeCell ref="AA14:AA15"/>
    <mergeCell ref="AB16:AB17"/>
    <mergeCell ref="AB14:AB15"/>
    <mergeCell ref="AH18:AH19"/>
    <mergeCell ref="P21:P22"/>
    <mergeCell ref="Q21:Q22"/>
    <mergeCell ref="T21:T22"/>
    <mergeCell ref="U21:U22"/>
    <mergeCell ref="AA21:AA22"/>
    <mergeCell ref="AH21:AH22"/>
    <mergeCell ref="P18:P19"/>
    <mergeCell ref="Q18:Q19"/>
    <mergeCell ref="T18:T19"/>
    <mergeCell ref="U18:U19"/>
    <mergeCell ref="AA18:AA19"/>
    <mergeCell ref="AB21:AB22"/>
    <mergeCell ref="AH23:AH24"/>
    <mergeCell ref="P25:P26"/>
    <mergeCell ref="Q25:Q26"/>
    <mergeCell ref="T25:T26"/>
    <mergeCell ref="U25:U26"/>
    <mergeCell ref="AA25:AA26"/>
    <mergeCell ref="AH25:AH26"/>
    <mergeCell ref="P23:P24"/>
    <mergeCell ref="Q23:Q24"/>
    <mergeCell ref="T23:T24"/>
    <mergeCell ref="U23:U24"/>
    <mergeCell ref="AA23:AA24"/>
    <mergeCell ref="AB23:AB24"/>
    <mergeCell ref="AB25:AB26"/>
    <mergeCell ref="AH31:AH32"/>
    <mergeCell ref="P31:P32"/>
    <mergeCell ref="Q31:Q32"/>
    <mergeCell ref="T31:T32"/>
    <mergeCell ref="U31:U32"/>
    <mergeCell ref="AA31:AA32"/>
    <mergeCell ref="AH27:AH28"/>
    <mergeCell ref="P29:P30"/>
    <mergeCell ref="Q29:Q30"/>
    <mergeCell ref="T29:T30"/>
    <mergeCell ref="U29:U30"/>
    <mergeCell ref="AA29:AA30"/>
    <mergeCell ref="AH29:AH30"/>
    <mergeCell ref="P27:P28"/>
    <mergeCell ref="Q27:Q28"/>
    <mergeCell ref="T27:T28"/>
    <mergeCell ref="U27:U28"/>
    <mergeCell ref="AA27:AA28"/>
    <mergeCell ref="AB27:AB28"/>
    <mergeCell ref="AB29:AB30"/>
    <mergeCell ref="AB31:AB32"/>
    <mergeCell ref="AB63:AB64"/>
    <mergeCell ref="AH55:AH56"/>
    <mergeCell ref="P57:P58"/>
    <mergeCell ref="Q57:Q58"/>
    <mergeCell ref="T57:T58"/>
    <mergeCell ref="U57:U58"/>
    <mergeCell ref="AA57:AA58"/>
    <mergeCell ref="AH57:AH58"/>
    <mergeCell ref="P55:P56"/>
    <mergeCell ref="Q55:Q56"/>
    <mergeCell ref="T55:T56"/>
    <mergeCell ref="U55:U56"/>
    <mergeCell ref="AA55:AA56"/>
    <mergeCell ref="AB55:AB56"/>
    <mergeCell ref="AB57:AB58"/>
    <mergeCell ref="AH63:AH64"/>
    <mergeCell ref="P63:P64"/>
    <mergeCell ref="Q63:Q64"/>
    <mergeCell ref="T63:T64"/>
    <mergeCell ref="U63:U64"/>
    <mergeCell ref="AA63:AA64"/>
    <mergeCell ref="AH59:AH60"/>
    <mergeCell ref="P61:P62"/>
    <mergeCell ref="Q61:Q62"/>
    <mergeCell ref="T61:T62"/>
    <mergeCell ref="U61:U62"/>
    <mergeCell ref="AA61:AA62"/>
    <mergeCell ref="AH61:AH62"/>
    <mergeCell ref="P59:P60"/>
    <mergeCell ref="Q59:Q60"/>
    <mergeCell ref="T59:T60"/>
    <mergeCell ref="U59:U60"/>
    <mergeCell ref="AA59:AA60"/>
    <mergeCell ref="AB59:AB60"/>
    <mergeCell ref="AB61:AB62"/>
    <mergeCell ref="AB34:AB35"/>
    <mergeCell ref="AB36:AB37"/>
    <mergeCell ref="AB38:AB39"/>
    <mergeCell ref="AB40:AB41"/>
    <mergeCell ref="AB42:AB43"/>
    <mergeCell ref="AB44:AB45"/>
    <mergeCell ref="AB46:AB47"/>
    <mergeCell ref="AK1:AK2"/>
    <mergeCell ref="AI4:AJ4"/>
    <mergeCell ref="AI6:AI7"/>
    <mergeCell ref="AJ6:AJ7"/>
    <mergeCell ref="AI8:AI9"/>
    <mergeCell ref="AJ8:AJ9"/>
    <mergeCell ref="AI10:AI11"/>
    <mergeCell ref="AJ10:AJ11"/>
    <mergeCell ref="AI12:AI13"/>
    <mergeCell ref="AJ12:AJ13"/>
    <mergeCell ref="AI14:AI15"/>
    <mergeCell ref="AJ14:AJ15"/>
    <mergeCell ref="AI16:AI17"/>
    <mergeCell ref="AJ16:AJ17"/>
    <mergeCell ref="AI18:AI19"/>
    <mergeCell ref="AJ18:AJ19"/>
    <mergeCell ref="AI1:AJ2"/>
    <mergeCell ref="AI42:AI43"/>
    <mergeCell ref="AJ42:AJ43"/>
    <mergeCell ref="AI21:AI22"/>
    <mergeCell ref="AJ21:AJ22"/>
    <mergeCell ref="AI23:AI24"/>
    <mergeCell ref="AJ23:AJ24"/>
    <mergeCell ref="AI25:AI26"/>
    <mergeCell ref="AJ25:AJ26"/>
    <mergeCell ref="AI27:AI28"/>
    <mergeCell ref="AJ27:AJ28"/>
    <mergeCell ref="AI29:AI30"/>
    <mergeCell ref="AJ29:AJ30"/>
    <mergeCell ref="AI31:AI32"/>
    <mergeCell ref="AJ31:AJ32"/>
    <mergeCell ref="AI34:AI35"/>
    <mergeCell ref="AJ34:AJ35"/>
    <mergeCell ref="AI36:AI37"/>
    <mergeCell ref="AJ36:AJ37"/>
    <mergeCell ref="AI38:AI39"/>
    <mergeCell ref="AJ38:AJ39"/>
    <mergeCell ref="AI40:AI41"/>
    <mergeCell ref="AJ40:AJ41"/>
    <mergeCell ref="AI44:AI45"/>
    <mergeCell ref="AJ44:AJ45"/>
    <mergeCell ref="AI46:AI47"/>
    <mergeCell ref="AJ46:AJ47"/>
    <mergeCell ref="AI48:AI49"/>
    <mergeCell ref="AJ48:AJ49"/>
    <mergeCell ref="AI50:AI51"/>
    <mergeCell ref="AJ50:AJ51"/>
    <mergeCell ref="AI52:AI53"/>
    <mergeCell ref="AJ52:AJ53"/>
    <mergeCell ref="AI55:AI56"/>
    <mergeCell ref="AJ55:AJ56"/>
    <mergeCell ref="AI57:AI58"/>
    <mergeCell ref="AJ57:AJ58"/>
    <mergeCell ref="AI59:AI60"/>
    <mergeCell ref="AJ59:AJ60"/>
    <mergeCell ref="AI61:AI62"/>
    <mergeCell ref="AJ61:AJ62"/>
    <mergeCell ref="AI63:AI64"/>
    <mergeCell ref="AJ63:AJ64"/>
  </mergeCells>
  <conditionalFormatting sqref="V22 R35 V35 R7 V7 R22 R9 R11 R13 R15 R17 R19 R24 R26 R28 R30 R32 R37 R39 R41 R43 R45 R47 R49 R51 R53:R54 R56 R58 R60 R62 R64 V9 V11 V13 V15 V17 V19 V24 V26 V28 V30 V32 V37 V39 V41 V43 V45 V47 V49 V51 V53:V54 V56 V58 V60 V62 V64">
    <cfRule type="cellIs" dxfId="106" priority="108" operator="equal">
      <formula>TRUE</formula>
    </cfRule>
  </conditionalFormatting>
  <conditionalFormatting sqref="W22 S35 W35 S7 W7 S22 S9 S11 S13 S15 S17 S19 S24 S26 S28 S30 S32 S37 S39 S41 S43 S45 S47 S49 S51 S53:S54 S56 S58 S60 S62 S64 W9 W11 W13 W15 W17 W19 W24 W26 W28 W30 W32 W37 W39 W41 W43 W45 W47 W49 W51 W53:W54 W56 W58 W60 W62 W64">
    <cfRule type="cellIs" dxfId="105" priority="107" operator="equal">
      <formula>TRUE</formula>
    </cfRule>
  </conditionalFormatting>
  <conditionalFormatting sqref="N40:N41">
    <cfRule type="top10" dxfId="104" priority="100" rank="1"/>
  </conditionalFormatting>
  <conditionalFormatting sqref="O40:O41">
    <cfRule type="top10" dxfId="103" priority="101" bottom="1" rank="1"/>
  </conditionalFormatting>
  <conditionalFormatting sqref="N42:N43">
    <cfRule type="top10" dxfId="102" priority="102" rank="1"/>
  </conditionalFormatting>
  <conditionalFormatting sqref="O42:O43">
    <cfRule type="top10" dxfId="101" priority="103" bottom="1" rank="1"/>
  </conditionalFormatting>
  <conditionalFormatting sqref="N38:N39">
    <cfRule type="top10" dxfId="100" priority="98" rank="1"/>
  </conditionalFormatting>
  <conditionalFormatting sqref="O38:O39">
    <cfRule type="top10" dxfId="99" priority="99" bottom="1" rank="1"/>
  </conditionalFormatting>
  <conditionalFormatting sqref="N34:N35">
    <cfRule type="top10" dxfId="98" priority="94" rank="1"/>
  </conditionalFormatting>
  <conditionalFormatting sqref="O34:O35">
    <cfRule type="top10" dxfId="97" priority="95" bottom="1" rank="1"/>
  </conditionalFormatting>
  <conditionalFormatting sqref="N36:N37">
    <cfRule type="top10" dxfId="96" priority="96" rank="1"/>
  </conditionalFormatting>
  <conditionalFormatting sqref="O36:O37">
    <cfRule type="top10" dxfId="95" priority="97" bottom="1" rank="1"/>
  </conditionalFormatting>
  <conditionalFormatting sqref="N50:N51">
    <cfRule type="top10" dxfId="94" priority="90" rank="1"/>
  </conditionalFormatting>
  <conditionalFormatting sqref="O50:O51">
    <cfRule type="top10" dxfId="93" priority="91" bottom="1" rank="1"/>
  </conditionalFormatting>
  <conditionalFormatting sqref="N52:N53">
    <cfRule type="top10" dxfId="92" priority="92" rank="1"/>
  </conditionalFormatting>
  <conditionalFormatting sqref="O52:O53">
    <cfRule type="top10" dxfId="91" priority="93" bottom="1" rank="1"/>
  </conditionalFormatting>
  <conditionalFormatting sqref="N48:N49">
    <cfRule type="top10" dxfId="90" priority="88" rank="1"/>
  </conditionalFormatting>
  <conditionalFormatting sqref="O48:O49">
    <cfRule type="top10" dxfId="89" priority="89" bottom="1" rank="1"/>
  </conditionalFormatting>
  <conditionalFormatting sqref="N44:N45">
    <cfRule type="top10" dxfId="88" priority="84" rank="1"/>
  </conditionalFormatting>
  <conditionalFormatting sqref="O44:O45">
    <cfRule type="top10" dxfId="87" priority="85" bottom="1" rank="1"/>
  </conditionalFormatting>
  <conditionalFormatting sqref="N46:N47">
    <cfRule type="top10" dxfId="86" priority="86" rank="1"/>
  </conditionalFormatting>
  <conditionalFormatting sqref="O46:O47">
    <cfRule type="top10" dxfId="85" priority="87" bottom="1" rank="1"/>
  </conditionalFormatting>
  <conditionalFormatting sqref="N12:N13">
    <cfRule type="top10" dxfId="84" priority="80" rank="1"/>
  </conditionalFormatting>
  <conditionalFormatting sqref="O12:O13">
    <cfRule type="top10" dxfId="83" priority="81" bottom="1" rank="1"/>
  </conditionalFormatting>
  <conditionalFormatting sqref="N14:N15">
    <cfRule type="top10" dxfId="82" priority="82" rank="1"/>
  </conditionalFormatting>
  <conditionalFormatting sqref="O14:O15">
    <cfRule type="top10" dxfId="81" priority="83" bottom="1" rank="1"/>
  </conditionalFormatting>
  <conditionalFormatting sqref="N10:N11">
    <cfRule type="top10" dxfId="80" priority="78" rank="1"/>
  </conditionalFormatting>
  <conditionalFormatting sqref="O10:O11">
    <cfRule type="top10" dxfId="79" priority="79" bottom="1" rank="1"/>
  </conditionalFormatting>
  <conditionalFormatting sqref="N6:N7">
    <cfRule type="top10" dxfId="78" priority="74" rank="1"/>
  </conditionalFormatting>
  <conditionalFormatting sqref="O6:O7">
    <cfRule type="top10" dxfId="77" priority="75" bottom="1" rank="1"/>
  </conditionalFormatting>
  <conditionalFormatting sqref="N8:N9">
    <cfRule type="top10" dxfId="76" priority="76" rank="1"/>
  </conditionalFormatting>
  <conditionalFormatting sqref="O8:O9">
    <cfRule type="top10" dxfId="75" priority="77" bottom="1" rank="1"/>
  </conditionalFormatting>
  <conditionalFormatting sqref="N16:N17">
    <cfRule type="top10" dxfId="74" priority="70" rank="1"/>
  </conditionalFormatting>
  <conditionalFormatting sqref="O16:O17">
    <cfRule type="top10" dxfId="73" priority="71" bottom="1" rank="1"/>
  </conditionalFormatting>
  <conditionalFormatting sqref="N18:N19">
    <cfRule type="top10" dxfId="72" priority="72" rank="1"/>
  </conditionalFormatting>
  <conditionalFormatting sqref="O18:O19">
    <cfRule type="top10" dxfId="71" priority="73" bottom="1" rank="1"/>
  </conditionalFormatting>
  <conditionalFormatting sqref="N27:N28">
    <cfRule type="top10" dxfId="70" priority="66" rank="1"/>
  </conditionalFormatting>
  <conditionalFormatting sqref="O27:O28">
    <cfRule type="top10" dxfId="69" priority="67" bottom="1" rank="1"/>
  </conditionalFormatting>
  <conditionalFormatting sqref="N29:N30">
    <cfRule type="top10" dxfId="68" priority="68" rank="1"/>
  </conditionalFormatting>
  <conditionalFormatting sqref="O29:O30">
    <cfRule type="top10" dxfId="67" priority="69" bottom="1" rank="1"/>
  </conditionalFormatting>
  <conditionalFormatting sqref="N25:N26">
    <cfRule type="top10" dxfId="66" priority="64" rank="1"/>
  </conditionalFormatting>
  <conditionalFormatting sqref="O25:O26">
    <cfRule type="top10" dxfId="65" priority="65" bottom="1" rank="1"/>
  </conditionalFormatting>
  <conditionalFormatting sqref="N21:N22">
    <cfRule type="top10" dxfId="64" priority="60" rank="1"/>
  </conditionalFormatting>
  <conditionalFormatting sqref="O21:O22">
    <cfRule type="top10" dxfId="63" priority="61" bottom="1" rank="1"/>
  </conditionalFormatting>
  <conditionalFormatting sqref="N23:N24">
    <cfRule type="top10" dxfId="62" priority="62" rank="1"/>
  </conditionalFormatting>
  <conditionalFormatting sqref="O23:O24">
    <cfRule type="top10" dxfId="61" priority="63" bottom="1" rank="1"/>
  </conditionalFormatting>
  <conditionalFormatting sqref="N59:N60">
    <cfRule type="top10" dxfId="60" priority="54" rank="1"/>
  </conditionalFormatting>
  <conditionalFormatting sqref="O59:O60">
    <cfRule type="top10" dxfId="59" priority="55" bottom="1" rank="1"/>
  </conditionalFormatting>
  <conditionalFormatting sqref="N61:N62">
    <cfRule type="top10" dxfId="58" priority="56" rank="1"/>
  </conditionalFormatting>
  <conditionalFormatting sqref="O61:O62">
    <cfRule type="top10" dxfId="57" priority="57" bottom="1" rank="1"/>
  </conditionalFormatting>
  <conditionalFormatting sqref="N57:N58">
    <cfRule type="top10" dxfId="56" priority="52" rank="1"/>
  </conditionalFormatting>
  <conditionalFormatting sqref="O57:O58">
    <cfRule type="top10" dxfId="55" priority="53" bottom="1" rank="1"/>
  </conditionalFormatting>
  <conditionalFormatting sqref="N55:N56">
    <cfRule type="top10" dxfId="54" priority="50" rank="1"/>
  </conditionalFormatting>
  <conditionalFormatting sqref="O55:O56">
    <cfRule type="top10" dxfId="53" priority="51" bottom="1" rank="1"/>
  </conditionalFormatting>
  <conditionalFormatting sqref="N63:N64">
    <cfRule type="top10" dxfId="52" priority="46" rank="1"/>
  </conditionalFormatting>
  <conditionalFormatting sqref="O63:O64">
    <cfRule type="top10" dxfId="51" priority="47" bottom="1" rank="1"/>
  </conditionalFormatting>
  <conditionalFormatting sqref="U20">
    <cfRule type="cellIs" dxfId="50" priority="39" operator="greaterThan">
      <formula>0</formula>
    </cfRule>
  </conditionalFormatting>
  <conditionalFormatting sqref="Q20">
    <cfRule type="cellIs" dxfId="49" priority="38" operator="greaterThan">
      <formula>0</formula>
    </cfRule>
  </conditionalFormatting>
  <conditionalFormatting sqref="R20">
    <cfRule type="cellIs" dxfId="48" priority="37" operator="equal">
      <formula>TRUE</formula>
    </cfRule>
  </conditionalFormatting>
  <conditionalFormatting sqref="S20">
    <cfRule type="cellIs" dxfId="47" priority="36" operator="equal">
      <formula>TRUE</formula>
    </cfRule>
  </conditionalFormatting>
  <conditionalFormatting sqref="V20">
    <cfRule type="cellIs" dxfId="46" priority="35" operator="equal">
      <formula>TRUE</formula>
    </cfRule>
  </conditionalFormatting>
  <conditionalFormatting sqref="W20">
    <cfRule type="cellIs" dxfId="45" priority="34" operator="equal">
      <formula>TRUE</formula>
    </cfRule>
  </conditionalFormatting>
  <conditionalFormatting sqref="U54">
    <cfRule type="cellIs" dxfId="44" priority="33" operator="greaterThan">
      <formula>0</formula>
    </cfRule>
  </conditionalFormatting>
  <conditionalFormatting sqref="Q54">
    <cfRule type="cellIs" dxfId="43" priority="32" operator="greaterThan">
      <formula>0</formula>
    </cfRule>
  </conditionalFormatting>
  <conditionalFormatting sqref="R54">
    <cfRule type="cellIs" dxfId="42" priority="31" operator="equal">
      <formula>TRUE</formula>
    </cfRule>
  </conditionalFormatting>
  <conditionalFormatting sqref="S54">
    <cfRule type="cellIs" dxfId="41" priority="30" operator="equal">
      <formula>TRUE</formula>
    </cfRule>
  </conditionalFormatting>
  <conditionalFormatting sqref="V54">
    <cfRule type="cellIs" dxfId="40" priority="29" operator="equal">
      <formula>TRUE</formula>
    </cfRule>
  </conditionalFormatting>
  <conditionalFormatting sqref="W54">
    <cfRule type="cellIs" dxfId="39" priority="28" operator="equal">
      <formula>TRUE</formula>
    </cfRule>
  </conditionalFormatting>
  <conditionalFormatting sqref="U33">
    <cfRule type="cellIs" dxfId="38" priority="27" operator="greaterThan">
      <formula>0</formula>
    </cfRule>
  </conditionalFormatting>
  <conditionalFormatting sqref="Q33">
    <cfRule type="cellIs" dxfId="37" priority="26" operator="greaterThan">
      <formula>0</formula>
    </cfRule>
  </conditionalFormatting>
  <conditionalFormatting sqref="R33">
    <cfRule type="cellIs" dxfId="36" priority="25" operator="equal">
      <formula>TRUE</formula>
    </cfRule>
  </conditionalFormatting>
  <conditionalFormatting sqref="S33">
    <cfRule type="cellIs" dxfId="35" priority="24" operator="equal">
      <formula>TRUE</formula>
    </cfRule>
  </conditionalFormatting>
  <conditionalFormatting sqref="V33">
    <cfRule type="cellIs" dxfId="34" priority="23" operator="equal">
      <formula>TRUE</formula>
    </cfRule>
  </conditionalFormatting>
  <conditionalFormatting sqref="W33">
    <cfRule type="cellIs" dxfId="33" priority="22" operator="equal">
      <formula>TRUE</formula>
    </cfRule>
  </conditionalFormatting>
  <conditionalFormatting sqref="N31:N32">
    <cfRule type="top10" dxfId="32" priority="288" rank="1"/>
  </conditionalFormatting>
  <conditionalFormatting sqref="O31:O32">
    <cfRule type="top10" dxfId="31" priority="289" bottom="1" rank="1"/>
  </conditionalFormatting>
  <conditionalFormatting sqref="P6:Q67 T6:U67">
    <cfRule type="cellIs" dxfId="30" priority="21" operator="greaterThan">
      <formula>0</formula>
    </cfRule>
  </conditionalFormatting>
  <conditionalFormatting sqref="R6">
    <cfRule type="cellIs" dxfId="29" priority="20" operator="equal">
      <formula>TRUE</formula>
    </cfRule>
  </conditionalFormatting>
  <conditionalFormatting sqref="S6">
    <cfRule type="cellIs" dxfId="28" priority="19" operator="equal">
      <formula>TRUE</formula>
    </cfRule>
  </conditionalFormatting>
  <conditionalFormatting sqref="V6">
    <cfRule type="cellIs" dxfId="27" priority="18" operator="equal">
      <formula>TRUE</formula>
    </cfRule>
  </conditionalFormatting>
  <conditionalFormatting sqref="W6">
    <cfRule type="cellIs" dxfId="26" priority="17" operator="equal">
      <formula>TRUE</formula>
    </cfRule>
  </conditionalFormatting>
  <conditionalFormatting sqref="R18 R16 R14 R12 R10 R8">
    <cfRule type="cellIs" dxfId="25" priority="16" operator="equal">
      <formula>TRUE</formula>
    </cfRule>
  </conditionalFormatting>
  <conditionalFormatting sqref="S18 S16 S14 S12 S10 S8">
    <cfRule type="cellIs" dxfId="24" priority="15" operator="equal">
      <formula>TRUE</formula>
    </cfRule>
  </conditionalFormatting>
  <conditionalFormatting sqref="R31 R29 R27 R25 R23 R21">
    <cfRule type="cellIs" dxfId="23" priority="14" operator="equal">
      <formula>TRUE</formula>
    </cfRule>
  </conditionalFormatting>
  <conditionalFormatting sqref="S31 S29 S27 S25 S23 S21">
    <cfRule type="cellIs" dxfId="22" priority="13" operator="equal">
      <formula>TRUE</formula>
    </cfRule>
  </conditionalFormatting>
  <conditionalFormatting sqref="R52 R50 R48 R46 R44 R42 R40 R38 R36 R34">
    <cfRule type="cellIs" dxfId="21" priority="12" operator="equal">
      <formula>TRUE</formula>
    </cfRule>
  </conditionalFormatting>
  <conditionalFormatting sqref="S52 S50 S48 S46 S44 S42 S40 S38 S36 S34">
    <cfRule type="cellIs" dxfId="20" priority="11" operator="equal">
      <formula>TRUE</formula>
    </cfRule>
  </conditionalFormatting>
  <conditionalFormatting sqref="R63 R61 R59 R57 R55">
    <cfRule type="cellIs" dxfId="19" priority="10" operator="equal">
      <formula>TRUE</formula>
    </cfRule>
  </conditionalFormatting>
  <conditionalFormatting sqref="S63 S61 S59 S57 S55">
    <cfRule type="cellIs" dxfId="18" priority="9" operator="equal">
      <formula>TRUE</formula>
    </cfRule>
  </conditionalFormatting>
  <conditionalFormatting sqref="V18 V16 V14 V12 V10 V8">
    <cfRule type="cellIs" dxfId="17" priority="8" operator="equal">
      <formula>TRUE</formula>
    </cfRule>
  </conditionalFormatting>
  <conditionalFormatting sqref="W18 W16 W14 W12 W10 W8">
    <cfRule type="cellIs" dxfId="16" priority="7" operator="equal">
      <formula>TRUE</formula>
    </cfRule>
  </conditionalFormatting>
  <conditionalFormatting sqref="V31 V29 V27 V25 V23 V21">
    <cfRule type="cellIs" dxfId="15" priority="6" operator="equal">
      <formula>TRUE</formula>
    </cfRule>
  </conditionalFormatting>
  <conditionalFormatting sqref="W31 W29 W27 W25 W23 W21">
    <cfRule type="cellIs" dxfId="14" priority="5" operator="equal">
      <formula>TRUE</formula>
    </cfRule>
  </conditionalFormatting>
  <conditionalFormatting sqref="V52 V50 V48 V46 V44 V42 V40 V38 V36 V34">
    <cfRule type="cellIs" dxfId="13" priority="4" operator="equal">
      <formula>TRUE</formula>
    </cfRule>
  </conditionalFormatting>
  <conditionalFormatting sqref="W52 W50 W48 W46 W44 W42 W40 W38 W36 W34">
    <cfRule type="cellIs" dxfId="12" priority="3" operator="equal">
      <formula>TRUE</formula>
    </cfRule>
  </conditionalFormatting>
  <conditionalFormatting sqref="V63 V61 V59 V57 V55">
    <cfRule type="cellIs" dxfId="11" priority="2" operator="equal">
      <formula>TRUE</formula>
    </cfRule>
  </conditionalFormatting>
  <conditionalFormatting sqref="W63 W61 W59 W57 W55">
    <cfRule type="cellIs" dxfId="10" priority="1" operator="equal">
      <formula>TRUE</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CBC8-B4A0-45E1-90DC-5695E15EDB21}">
  <sheetPr codeName="Sheet11">
    <tabColor theme="6" tint="0.79998168889431442"/>
  </sheetPr>
  <dimension ref="A1:AO40"/>
  <sheetViews>
    <sheetView topLeftCell="G1" zoomScale="85" zoomScaleNormal="85" workbookViewId="0">
      <selection activeCell="V36" sqref="V36"/>
    </sheetView>
  </sheetViews>
  <sheetFormatPr defaultRowHeight="15" x14ac:dyDescent="0.25"/>
  <cols>
    <col min="1" max="2" width="9.28515625" bestFit="1" customWidth="1"/>
    <col min="3" max="3" width="14.85546875" bestFit="1" customWidth="1"/>
    <col min="4" max="4" width="11.7109375" bestFit="1" customWidth="1"/>
    <col min="5" max="5" width="9.28515625" bestFit="1" customWidth="1"/>
    <col min="8" max="10" width="9.28515625" bestFit="1" customWidth="1"/>
    <col min="11" max="12" width="10.85546875" customWidth="1"/>
    <col min="13" max="13" width="9.28515625" bestFit="1" customWidth="1"/>
    <col min="14" max="15" width="12.5703125" bestFit="1" customWidth="1"/>
    <col min="16" max="17" width="10" customWidth="1"/>
    <col min="18" max="18" width="7.42578125" style="1" bestFit="1" customWidth="1"/>
    <col min="19" max="19" width="7.42578125" style="1" customWidth="1"/>
    <col min="20" max="20" width="10" style="1" bestFit="1" customWidth="1"/>
    <col min="21" max="21" width="9.28515625" style="1" bestFit="1" customWidth="1"/>
    <col min="22" max="22" width="9.28515625" style="1" customWidth="1"/>
    <col min="23" max="23" width="7.42578125" style="1" bestFit="1" customWidth="1"/>
    <col min="24" max="24" width="9.28515625" bestFit="1" customWidth="1"/>
    <col min="25" max="25" width="10.7109375" bestFit="1" customWidth="1"/>
    <col min="26" max="27" width="9.28515625" bestFit="1" customWidth="1"/>
    <col min="28" max="28" width="9.140625" style="1"/>
    <col min="29" max="29" width="9.5703125" bestFit="1" customWidth="1"/>
    <col min="30" max="30" width="10.5703125" bestFit="1" customWidth="1"/>
    <col min="31" max="31" width="9" bestFit="1" customWidth="1"/>
    <col min="32" max="32" width="6.140625" bestFit="1" customWidth="1"/>
    <col min="33" max="33" width="8.7109375" bestFit="1" customWidth="1"/>
    <col min="34" max="34" width="11.28515625" bestFit="1" customWidth="1"/>
    <col min="35" max="35" width="10.5703125" bestFit="1" customWidth="1"/>
    <col min="36" max="36" width="12.7109375" customWidth="1"/>
    <col min="37" max="37" width="10.85546875" bestFit="1" customWidth="1"/>
    <col min="38" max="38" width="9.7109375" style="2" bestFit="1" customWidth="1"/>
    <col min="39" max="39" width="11.28515625" style="2" bestFit="1" customWidth="1"/>
    <col min="40" max="40" width="9.28515625" style="2" bestFit="1" customWidth="1"/>
    <col min="41" max="41" width="11.28515625" style="301" bestFit="1" customWidth="1"/>
  </cols>
  <sheetData>
    <row r="1" spans="1:41" x14ac:dyDescent="0.25">
      <c r="A1" s="10"/>
      <c r="B1" s="10"/>
      <c r="C1" s="10"/>
      <c r="D1" s="10"/>
      <c r="E1" s="10"/>
      <c r="F1" s="10"/>
      <c r="G1" s="10"/>
      <c r="H1" s="10"/>
      <c r="I1" s="166"/>
      <c r="J1" s="190"/>
      <c r="K1" s="510">
        <v>5.4999999999999997E-3</v>
      </c>
      <c r="L1" s="510"/>
      <c r="M1" s="191"/>
      <c r="N1" s="19"/>
      <c r="O1" s="19"/>
      <c r="T1" s="243"/>
      <c r="X1" s="495" t="str">
        <f>'MKT DATA'!J2</f>
        <v>2026-10-23_16-00-28</v>
      </c>
      <c r="Y1" s="495"/>
      <c r="Z1" s="495"/>
      <c r="AA1" s="495"/>
      <c r="AB1" s="193"/>
      <c r="AG1" s="479" t="s">
        <v>175</v>
      </c>
      <c r="AH1" s="481">
        <f ca="1">SUM(AH5:AH39)</f>
        <v>0</v>
      </c>
      <c r="AI1" s="483">
        <f ca="1">SUM(AI5:AI39)</f>
        <v>0</v>
      </c>
      <c r="AJ1" s="577">
        <f ca="1">'INITIAL INPUTS'!H11</f>
        <v>1152.46693100006</v>
      </c>
    </row>
    <row r="2" spans="1:41" ht="15.75" thickBot="1" x14ac:dyDescent="0.3">
      <c r="A2" s="10"/>
      <c r="B2" s="10"/>
      <c r="C2" s="10"/>
      <c r="D2" s="10"/>
      <c r="E2" s="10"/>
      <c r="F2" s="10"/>
      <c r="G2" s="10"/>
      <c r="H2" s="10"/>
      <c r="I2" s="2"/>
      <c r="J2" s="145"/>
      <c r="K2" s="511"/>
      <c r="L2" s="511"/>
      <c r="M2" s="7"/>
      <c r="N2" s="7"/>
      <c r="O2" s="7"/>
      <c r="T2" s="244"/>
      <c r="X2" s="496"/>
      <c r="Y2" s="496"/>
      <c r="Z2" s="496"/>
      <c r="AA2" s="496"/>
      <c r="AC2" s="67"/>
      <c r="AD2" s="67"/>
      <c r="AE2" s="67"/>
      <c r="AF2" s="67"/>
      <c r="AG2" s="480"/>
      <c r="AH2" s="482"/>
      <c r="AI2" s="484"/>
      <c r="AJ2" s="578"/>
    </row>
    <row r="3" spans="1:41" s="9" customFormat="1" ht="12" x14ac:dyDescent="0.2">
      <c r="A3" s="497" t="s">
        <v>55</v>
      </c>
      <c r="B3" s="499"/>
      <c r="C3" s="85"/>
      <c r="D3" s="70"/>
      <c r="E3" s="62"/>
      <c r="F3" s="52"/>
      <c r="G3" s="52"/>
      <c r="H3" s="502" t="s">
        <v>57</v>
      </c>
      <c r="I3" s="503"/>
      <c r="J3" s="90"/>
      <c r="K3" s="506" t="s">
        <v>179</v>
      </c>
      <c r="L3" s="507"/>
      <c r="M3" s="39"/>
      <c r="N3" s="490" t="s">
        <v>60</v>
      </c>
      <c r="O3" s="492"/>
      <c r="P3" s="575" t="s">
        <v>52</v>
      </c>
      <c r="Q3" s="576"/>
      <c r="R3" s="241"/>
      <c r="S3" s="242"/>
      <c r="T3" s="247"/>
      <c r="U3" s="248"/>
      <c r="V3" s="241"/>
      <c r="W3" s="242"/>
      <c r="X3" s="500" t="s">
        <v>61</v>
      </c>
      <c r="Y3" s="500"/>
      <c r="Z3" s="500"/>
      <c r="AA3" s="501"/>
      <c r="AB3" s="245"/>
      <c r="AC3" s="41"/>
      <c r="AD3" s="43" t="s">
        <v>174</v>
      </c>
      <c r="AE3" s="43" t="s">
        <v>177</v>
      </c>
      <c r="AF3" s="43"/>
      <c r="AG3" s="43" t="s">
        <v>178</v>
      </c>
      <c r="AH3" s="43"/>
      <c r="AI3" s="42" t="s">
        <v>235</v>
      </c>
      <c r="AL3" s="302"/>
      <c r="AM3" s="302"/>
      <c r="AN3" s="302"/>
      <c r="AO3" s="302"/>
    </row>
    <row r="4" spans="1:41" s="12" customFormat="1" ht="12.75" thickBot="1" x14ac:dyDescent="0.25">
      <c r="A4" s="31" t="s">
        <v>169</v>
      </c>
      <c r="B4" s="32" t="s">
        <v>56</v>
      </c>
      <c r="C4" s="31" t="s">
        <v>105</v>
      </c>
      <c r="D4" s="71" t="s">
        <v>130</v>
      </c>
      <c r="E4" s="63" t="s">
        <v>65</v>
      </c>
      <c r="F4" s="69" t="s">
        <v>76</v>
      </c>
      <c r="G4" s="53" t="s">
        <v>50</v>
      </c>
      <c r="H4" s="54" t="s">
        <v>58</v>
      </c>
      <c r="I4" s="55" t="s">
        <v>59</v>
      </c>
      <c r="J4" s="91" t="s">
        <v>129</v>
      </c>
      <c r="K4" s="188" t="s">
        <v>58</v>
      </c>
      <c r="L4" s="189" t="s">
        <v>59</v>
      </c>
      <c r="M4" s="56" t="s">
        <v>51</v>
      </c>
      <c r="N4" s="57" t="s">
        <v>53</v>
      </c>
      <c r="O4" s="58" t="s">
        <v>54</v>
      </c>
      <c r="P4" s="40" t="s">
        <v>232</v>
      </c>
      <c r="Q4" s="12" t="s">
        <v>233</v>
      </c>
      <c r="R4" s="573" t="s">
        <v>67</v>
      </c>
      <c r="S4" s="574"/>
      <c r="T4" s="40" t="s">
        <v>234</v>
      </c>
      <c r="U4" s="12" t="s">
        <v>233</v>
      </c>
      <c r="V4" s="573" t="s">
        <v>68</v>
      </c>
      <c r="W4" s="574"/>
      <c r="X4" s="131" t="s">
        <v>62</v>
      </c>
      <c r="Y4" s="132" t="s">
        <v>74</v>
      </c>
      <c r="Z4" s="133" t="s">
        <v>73</v>
      </c>
      <c r="AA4" s="134" t="s">
        <v>63</v>
      </c>
      <c r="AB4" s="63" t="str">
        <f t="shared" ref="AB4:AB18" si="0">G4</f>
        <v>symbol</v>
      </c>
      <c r="AC4" s="163" t="s">
        <v>170</v>
      </c>
      <c r="AD4" s="164" t="s">
        <v>176</v>
      </c>
      <c r="AE4" s="164" t="s">
        <v>172</v>
      </c>
      <c r="AF4" s="164" t="s">
        <v>171</v>
      </c>
      <c r="AG4" s="164" t="s">
        <v>172</v>
      </c>
      <c r="AH4" s="168" t="s">
        <v>173</v>
      </c>
      <c r="AI4" s="55" t="s">
        <v>173</v>
      </c>
      <c r="AL4" s="303"/>
      <c r="AM4" s="303"/>
      <c r="AN4" s="303"/>
      <c r="AO4" s="303"/>
    </row>
    <row r="5" spans="1:41" x14ac:dyDescent="0.25">
      <c r="A5" s="79" t="e">
        <f>MATCH(G5,SCALARS!D:D,0)</f>
        <v>#N/A</v>
      </c>
      <c r="B5" s="80">
        <f>MATCH(G5,'MKT DATA'!B:B,0)</f>
        <v>41</v>
      </c>
      <c r="C5" s="126" t="e" cm="1">
        <f t="array" aca="1" ref="C5" ca="1">INDIRECT(ADDRESS($A5,2,,,"scalars"))</f>
        <v>#N/A</v>
      </c>
      <c r="D5" s="142" t="e" cm="1">
        <f t="array" aca="1" ref="D5" ca="1">INDIRECT(ADDRESS($A5,8,,,"SCALARS"))</f>
        <v>#N/A</v>
      </c>
      <c r="E5" s="64">
        <v>0.16500000000000001</v>
      </c>
      <c r="F5" s="14" t="e" cm="1">
        <f t="array" aca="1" ref="F5" ca="1">INDIRECT(ADDRESS($A5,5,,,"scalars"))</f>
        <v>#N/A</v>
      </c>
      <c r="G5" s="15" t="s">
        <v>20</v>
      </c>
      <c r="H5" s="33" cm="1">
        <f t="array" aca="1" ref="H5" ca="1">INDIRECT(ADDRESS($B5,5,,,"mkt data"))</f>
        <v>26.61</v>
      </c>
      <c r="I5" s="34" cm="1">
        <f t="array" aca="1" ref="I5" ca="1">INDIRECT(ADDRESS($B5,6,,,"mkt data"))</f>
        <v>29.33</v>
      </c>
      <c r="J5" s="150" t="e" cm="1">
        <f t="array" aca="1" ref="J5" ca="1">INDIRECT(ADDRESS($A5,7,,,"SCALARS"))</f>
        <v>#N/A</v>
      </c>
      <c r="K5" s="16" t="e">
        <f t="shared" ref="K5:K18" ca="1" si="1">H5+J5-K$1</f>
        <v>#N/A</v>
      </c>
      <c r="L5" s="16" t="e">
        <f t="shared" ref="L5:L18" ca="1" si="2">I5+J5+K$1</f>
        <v>#N/A</v>
      </c>
      <c r="M5" s="44" t="e" cm="1">
        <f t="array" aca="1" ref="M5" ca="1">INDIRECT(ADDRESS($A5,6,,,"scalars"))</f>
        <v>#N/A</v>
      </c>
      <c r="N5" s="17" t="e">
        <f t="shared" ref="N5:N18" ca="1" si="3">K5*M5</f>
        <v>#N/A</v>
      </c>
      <c r="O5" s="17" t="e">
        <f t="shared" ref="O5:O18" ca="1" si="4">M5*L5</f>
        <v>#N/A</v>
      </c>
      <c r="P5" s="237" t="e">
        <f ca="1">MAX(N5:N8)</f>
        <v>#N/A</v>
      </c>
      <c r="Q5" s="249" t="e">
        <f ca="1">P5-P8</f>
        <v>#N/A</v>
      </c>
      <c r="R5" s="569"/>
      <c r="S5" s="571"/>
      <c r="T5" s="258"/>
      <c r="U5" s="259"/>
      <c r="V5" s="569"/>
      <c r="W5" s="571"/>
      <c r="X5" s="27" cm="1">
        <f t="array" aca="1" ref="X5" ca="1">INDIRECT(ADDRESS($B5,9,,,"mkt data"))</f>
        <v>0</v>
      </c>
      <c r="Y5" s="48">
        <f t="shared" ref="Y5:Y18" ca="1" si="5">X5*AVERAGE(H5:I5)</f>
        <v>0</v>
      </c>
      <c r="Z5" s="27" t="e">
        <f t="shared" ref="Z5:Z18" ca="1" si="6">X5/M5</f>
        <v>#N/A</v>
      </c>
      <c r="AA5" s="550" t="e">
        <f ca="1">SUM(Z5:Z8)</f>
        <v>#N/A</v>
      </c>
      <c r="AB5" s="255" t="str">
        <f t="shared" si="0"/>
        <v>SPBO</v>
      </c>
      <c r="AC5" s="35" cm="1">
        <f t="array" aca="1" ref="AC5" ca="1">INDIRECT(ADDRESS($B5,8,,,"mkt data"))</f>
        <v>27.969999000000001</v>
      </c>
      <c r="AD5" s="166">
        <f t="shared" ref="AD5:AD12" ca="1" si="7">AVERAGE(H5,I5)</f>
        <v>27.97</v>
      </c>
      <c r="AE5" s="166">
        <f t="shared" ref="AE5:AE12" ca="1" si="8">AD5-AC5</f>
        <v>9.9999999747524271E-7</v>
      </c>
      <c r="AF5" s="177">
        <v>0</v>
      </c>
      <c r="AG5" s="166">
        <f t="shared" ref="AG5:AG12" ca="1" si="9">AE5+AF5</f>
        <v>9.9999999747524271E-7</v>
      </c>
      <c r="AH5" s="166">
        <f t="shared" ref="AH5:AH12" ca="1" si="10">AG5*X5</f>
        <v>0</v>
      </c>
      <c r="AI5" s="522">
        <f ca="1">SUM(AH5:AH8)</f>
        <v>0</v>
      </c>
    </row>
    <row r="6" spans="1:41" x14ac:dyDescent="0.25">
      <c r="A6" s="83" t="e">
        <f>MATCH(G6,SCALARS!D:D,0)</f>
        <v>#N/A</v>
      </c>
      <c r="B6" s="84">
        <f>MATCH(G6,'MKT DATA'!B:B,0)</f>
        <v>42</v>
      </c>
      <c r="C6" s="74" t="e" cm="1">
        <f t="array" aca="1" ref="C6" ca="1">INDIRECT(ADDRESS($A6,2,,,"scalars"))</f>
        <v>#N/A</v>
      </c>
      <c r="D6" s="143" t="e" cm="1">
        <f t="array" aca="1" ref="D6" ca="1">INDIRECT(ADDRESS($A6,8,,,"SCALARS"))</f>
        <v>#N/A</v>
      </c>
      <c r="E6" s="66">
        <v>0.16500000000000001</v>
      </c>
      <c r="F6" s="10" t="e" cm="1">
        <f t="array" aca="1" ref="F6" ca="1">INDIRECT(ADDRESS($A6,5,,,"scalars"))</f>
        <v>#N/A</v>
      </c>
      <c r="G6" s="8" t="s">
        <v>21</v>
      </c>
      <c r="H6" s="35" cm="1">
        <f t="array" aca="1" ref="H6" ca="1">INDIRECT(ADDRESS($B6,5,,,"mkt data"))</f>
        <v>49.31</v>
      </c>
      <c r="I6" s="36" cm="1">
        <f t="array" aca="1" ref="I6" ca="1">INDIRECT(ADDRESS($B6,6,,,"mkt data"))</f>
        <v>49.38</v>
      </c>
      <c r="J6" s="152" t="e" cm="1">
        <f t="array" aca="1" ref="J6" ca="1">INDIRECT(ADDRESS($A6,7,,,"SCALARS"))</f>
        <v>#N/A</v>
      </c>
      <c r="K6" s="18" t="e">
        <f t="shared" ca="1" si="1"/>
        <v>#N/A</v>
      </c>
      <c r="L6" s="18" t="e">
        <f t="shared" ca="1" si="2"/>
        <v>#N/A</v>
      </c>
      <c r="M6" s="46" t="e" cm="1">
        <f t="array" aca="1" ref="M6" ca="1">INDIRECT(ADDRESS($A6,6,,,"scalars"))</f>
        <v>#N/A</v>
      </c>
      <c r="N6" s="19" t="e">
        <f t="shared" ca="1" si="3"/>
        <v>#N/A</v>
      </c>
      <c r="O6" s="19" t="e">
        <f t="shared" ca="1" si="4"/>
        <v>#N/A</v>
      </c>
      <c r="P6" s="239"/>
      <c r="Q6" s="250"/>
      <c r="R6" s="570"/>
      <c r="S6" s="572"/>
      <c r="T6" s="239" t="e">
        <f ca="1">N5*(X5&gt;0)+N6*(X6&gt;0)+N7*(X7&gt;0)+N8*(X8&gt;0)</f>
        <v>#N/A</v>
      </c>
      <c r="U6" s="250" t="e">
        <f ca="1">T6-T7</f>
        <v>#N/A</v>
      </c>
      <c r="V6" s="570"/>
      <c r="W6" s="572"/>
      <c r="X6" s="28" cm="1">
        <f t="array" aca="1" ref="X6" ca="1">INDIRECT(ADDRESS($B6,9,,,"mkt data"))</f>
        <v>0</v>
      </c>
      <c r="Y6" s="49">
        <f t="shared" ca="1" si="5"/>
        <v>0</v>
      </c>
      <c r="Z6" s="28" t="e">
        <f t="shared" ca="1" si="6"/>
        <v>#N/A</v>
      </c>
      <c r="AA6" s="581"/>
      <c r="AB6" s="255" t="str">
        <f t="shared" si="0"/>
        <v>USIG</v>
      </c>
      <c r="AC6" s="35" cm="1">
        <f t="array" aca="1" ref="AC6" ca="1">INDIRECT(ADDRESS($B6,8,,,"mkt data"))</f>
        <v>49.5</v>
      </c>
      <c r="AD6" s="166">
        <f t="shared" ca="1" si="7"/>
        <v>49.344999999999999</v>
      </c>
      <c r="AE6" s="166">
        <f t="shared" ca="1" si="8"/>
        <v>-0.15500000000000114</v>
      </c>
      <c r="AF6" s="177">
        <v>0</v>
      </c>
      <c r="AG6" s="166">
        <f t="shared" ca="1" si="9"/>
        <v>-0.15500000000000114</v>
      </c>
      <c r="AH6" s="166">
        <f t="shared" ca="1" si="10"/>
        <v>0</v>
      </c>
      <c r="AI6" s="583"/>
    </row>
    <row r="7" spans="1:41" x14ac:dyDescent="0.25">
      <c r="A7" s="83" t="e">
        <f>MATCH(G7,SCALARS!D:D,0)</f>
        <v>#N/A</v>
      </c>
      <c r="B7" s="84">
        <f>MATCH(G7,'MKT DATA'!B:B,0)</f>
        <v>43</v>
      </c>
      <c r="C7" s="74" t="e" cm="1">
        <f t="array" aca="1" ref="C7" ca="1">INDIRECT(ADDRESS($A7,2,,,"scalars"))</f>
        <v>#N/A</v>
      </c>
      <c r="D7" s="143" t="e" cm="1">
        <f t="array" aca="1" ref="D7" ca="1">INDIRECT(ADDRESS($A7,8,,,"SCALARS"))</f>
        <v>#N/A</v>
      </c>
      <c r="E7" s="66">
        <v>0.16500000000000001</v>
      </c>
      <c r="F7" s="10" t="e" cm="1">
        <f t="array" aca="1" ref="F7" ca="1">INDIRECT(ADDRESS($A7,5,,,"scalars"))</f>
        <v>#N/A</v>
      </c>
      <c r="G7" s="8" t="s">
        <v>22</v>
      </c>
      <c r="H7" s="35" cm="1">
        <f t="array" aca="1" ref="H7" ca="1">INDIRECT(ADDRESS($B7,5,,,"mkt data"))</f>
        <v>72</v>
      </c>
      <c r="I7" s="36" cm="1">
        <f t="array" aca="1" ref="I7" ca="1">INDIRECT(ADDRESS($B7,6,,,"mkt data"))</f>
        <v>74.88</v>
      </c>
      <c r="J7" s="152" t="e" cm="1">
        <f t="array" aca="1" ref="J7" ca="1">INDIRECT(ADDRESS($A7,7,,,"SCALARS"))</f>
        <v>#N/A</v>
      </c>
      <c r="K7" s="18" t="e">
        <f t="shared" ca="1" si="1"/>
        <v>#N/A</v>
      </c>
      <c r="L7" s="18" t="e">
        <f t="shared" ca="1" si="2"/>
        <v>#N/A</v>
      </c>
      <c r="M7" s="46" t="e" cm="1">
        <f t="array" aca="1" ref="M7" ca="1">INDIRECT(ADDRESS($A7,6,,,"scalars"))</f>
        <v>#N/A</v>
      </c>
      <c r="N7" s="19" t="e">
        <f t="shared" ca="1" si="3"/>
        <v>#N/A</v>
      </c>
      <c r="O7" s="19" t="e">
        <f t="shared" ca="1" si="4"/>
        <v>#N/A</v>
      </c>
      <c r="P7" s="239"/>
      <c r="Q7" s="250"/>
      <c r="R7" s="570"/>
      <c r="S7" s="572"/>
      <c r="T7" s="239" t="e">
        <f ca="1">O5*(X5&lt;0)+O6*(X6&lt;0)+O7*(X7&lt;0)+O8*(X8&lt;0)</f>
        <v>#N/A</v>
      </c>
      <c r="U7" s="257" t="e">
        <f ca="1">IF(T7&lt;&gt;0,LN(T6/T7),"-")</f>
        <v>#N/A</v>
      </c>
      <c r="V7" s="570"/>
      <c r="W7" s="572"/>
      <c r="X7" s="28" cm="1">
        <f t="array" aca="1" ref="X7" ca="1">INDIRECT(ADDRESS($B7,9,,,"mkt data"))</f>
        <v>0</v>
      </c>
      <c r="Y7" s="49">
        <f t="shared" ca="1" si="5"/>
        <v>0</v>
      </c>
      <c r="Z7" s="28" t="e">
        <f t="shared" ca="1" si="6"/>
        <v>#N/A</v>
      </c>
      <c r="AA7" s="581"/>
      <c r="AB7" s="255" t="str">
        <f t="shared" si="0"/>
        <v>VTC</v>
      </c>
      <c r="AC7" s="35" cm="1">
        <f t="array" aca="1" ref="AC7" ca="1">INDIRECT(ADDRESS($B7,8,,,"mkt data"))</f>
        <v>74.035399999999996</v>
      </c>
      <c r="AD7" s="166">
        <f t="shared" ca="1" si="7"/>
        <v>73.44</v>
      </c>
      <c r="AE7" s="166">
        <f t="shared" ca="1" si="8"/>
        <v>-0.59539999999999793</v>
      </c>
      <c r="AF7" s="177">
        <v>0</v>
      </c>
      <c r="AG7" s="166">
        <f t="shared" ca="1" si="9"/>
        <v>-0.59539999999999793</v>
      </c>
      <c r="AH7" s="166">
        <f t="shared" ca="1" si="10"/>
        <v>0</v>
      </c>
      <c r="AI7" s="583"/>
      <c r="AK7" t="s">
        <v>302</v>
      </c>
      <c r="AL7" s="2">
        <v>-245.71</v>
      </c>
      <c r="AM7" s="2">
        <v>0</v>
      </c>
      <c r="AN7" s="2">
        <v>0</v>
      </c>
      <c r="AO7" s="301">
        <v>-245.71</v>
      </c>
    </row>
    <row r="8" spans="1:41" ht="15.75" thickBot="1" x14ac:dyDescent="0.3">
      <c r="A8" s="81" t="e">
        <f>MATCH(G8,SCALARS!D:D,0)</f>
        <v>#N/A</v>
      </c>
      <c r="B8" s="82">
        <f>MATCH(G8,'MKT DATA'!B:B,0)</f>
        <v>40</v>
      </c>
      <c r="C8" s="127" t="e" cm="1">
        <f t="array" aca="1" ref="C8" ca="1">INDIRECT(ADDRESS($A8,2,,,"scalars"))</f>
        <v>#N/A</v>
      </c>
      <c r="D8" s="144" t="e" cm="1">
        <f t="array" aca="1" ref="D8" ca="1">INDIRECT(ADDRESS($A8,8,,,"SCALARS"))</f>
        <v>#N/A</v>
      </c>
      <c r="E8" s="65">
        <v>0.16500000000000001</v>
      </c>
      <c r="F8" s="20" t="e" cm="1">
        <f t="array" aca="1" ref="F8" ca="1">INDIRECT(ADDRESS($A8,5,,,"scalars"))</f>
        <v>#N/A</v>
      </c>
      <c r="G8" s="21" t="s">
        <v>23</v>
      </c>
      <c r="H8" s="37" cm="1">
        <f t="array" aca="1" ref="H8" ca="1">INDIRECT(ADDRESS($B8,5,,,"mkt data"))</f>
        <v>89.54</v>
      </c>
      <c r="I8" s="38" cm="1">
        <f t="array" aca="1" ref="I8" ca="1">INDIRECT(ADDRESS($B8,6,,,"mkt data"))</f>
        <v>98.35</v>
      </c>
      <c r="J8" s="151" t="e" cm="1">
        <f t="array" aca="1" ref="J8" ca="1">INDIRECT(ADDRESS($A8,7,,,"SCALARS"))</f>
        <v>#N/A</v>
      </c>
      <c r="K8" s="22" t="e">
        <f t="shared" ca="1" si="1"/>
        <v>#N/A</v>
      </c>
      <c r="L8" s="22" t="e">
        <f t="shared" ca="1" si="2"/>
        <v>#N/A</v>
      </c>
      <c r="M8" s="45" t="e" cm="1">
        <f t="array" aca="1" ref="M8" ca="1">INDIRECT(ADDRESS($A8,6,,,"scalars"))</f>
        <v>#N/A</v>
      </c>
      <c r="N8" s="23" t="e">
        <f t="shared" ca="1" si="3"/>
        <v>#N/A</v>
      </c>
      <c r="O8" s="23" t="e">
        <f t="shared" ca="1" si="4"/>
        <v>#N/A</v>
      </c>
      <c r="P8" s="240" t="e">
        <f ca="1">MIN(O5:O8)</f>
        <v>#N/A</v>
      </c>
      <c r="Q8" s="238">
        <v>-7.632700728893973E-3</v>
      </c>
      <c r="R8" s="570"/>
      <c r="S8" s="572"/>
      <c r="T8" s="149"/>
      <c r="U8" s="260"/>
      <c r="V8" s="570"/>
      <c r="W8" s="572"/>
      <c r="X8" s="29" cm="1">
        <f t="array" aca="1" ref="X8" ca="1">INDIRECT(ADDRESS($B8,9,,,"mkt data"))</f>
        <v>0</v>
      </c>
      <c r="Y8" s="50">
        <f t="shared" ca="1" si="5"/>
        <v>0</v>
      </c>
      <c r="Z8" s="29" t="e">
        <f t="shared" ca="1" si="6"/>
        <v>#N/A</v>
      </c>
      <c r="AA8" s="551"/>
      <c r="AB8" s="255" t="str">
        <f t="shared" si="0"/>
        <v>CORP</v>
      </c>
      <c r="AC8" s="35" cm="1">
        <f t="array" aca="1" ref="AC8" ca="1">INDIRECT(ADDRESS($B8,8,,,"mkt data"))</f>
        <v>93.279999000000004</v>
      </c>
      <c r="AD8" s="166">
        <f t="shared" ca="1" si="7"/>
        <v>93.944999999999993</v>
      </c>
      <c r="AE8" s="166">
        <f t="shared" ca="1" si="8"/>
        <v>0.66500099999998952</v>
      </c>
      <c r="AF8" s="177">
        <v>0</v>
      </c>
      <c r="AG8" s="166">
        <f t="shared" ca="1" si="9"/>
        <v>0.66500099999998952</v>
      </c>
      <c r="AH8" s="166">
        <f t="shared" ca="1" si="10"/>
        <v>0</v>
      </c>
      <c r="AI8" s="523"/>
    </row>
    <row r="9" spans="1:41" x14ac:dyDescent="0.25">
      <c r="A9" s="79" t="e">
        <f>MATCH(G9,SCALARS!D:D,0)</f>
        <v>#N/A</v>
      </c>
      <c r="B9" s="80">
        <f>MATCH(G9,'MKT DATA'!B:B,0)</f>
        <v>74</v>
      </c>
      <c r="C9" s="126" t="e" cm="1">
        <f t="array" aca="1" ref="C9" ca="1">INDIRECT(ADDRESS($A9,2,,,"scalars"))</f>
        <v>#N/A</v>
      </c>
      <c r="D9" s="142" t="e" cm="1">
        <f t="array" aca="1" ref="D9" ca="1">INDIRECT(ADDRESS($A9,8,,,"SCALARS"))</f>
        <v>#N/A</v>
      </c>
      <c r="E9" s="64">
        <v>0.27500000000000002</v>
      </c>
      <c r="F9" s="14" t="e" cm="1">
        <f t="array" aca="1" ref="F9" ca="1">INDIRECT(ADDRESS($A9,5,,,"scalars"))</f>
        <v>#N/A</v>
      </c>
      <c r="G9" s="15" t="s">
        <v>11</v>
      </c>
      <c r="H9" s="33" cm="1">
        <f t="array" aca="1" ref="H9" ca="1">INDIRECT(ADDRESS($B9,5,,,"mkt data"))</f>
        <v>22.45</v>
      </c>
      <c r="I9" s="34" cm="1">
        <f t="array" aca="1" ref="I9" ca="1">INDIRECT(ADDRESS($B9,6,,,"mkt data"))</f>
        <v>22.5</v>
      </c>
      <c r="J9" s="150" t="e" cm="1">
        <f t="array" aca="1" ref="J9" ca="1">INDIRECT(ADDRESS($A9,7,,,"SCALARS"))</f>
        <v>#N/A</v>
      </c>
      <c r="K9" s="16" t="e">
        <f t="shared" ca="1" si="1"/>
        <v>#N/A</v>
      </c>
      <c r="L9" s="16" t="e">
        <f t="shared" ca="1" si="2"/>
        <v>#N/A</v>
      </c>
      <c r="M9" s="44" t="e" cm="1">
        <f t="array" aca="1" ref="M9" ca="1">INDIRECT(ADDRESS($A9,6,,,"scalars"))</f>
        <v>#N/A</v>
      </c>
      <c r="N9" s="17" t="e">
        <f t="shared" ca="1" si="3"/>
        <v>#N/A</v>
      </c>
      <c r="O9" s="17" t="e">
        <f t="shared" ca="1" si="4"/>
        <v>#N/A</v>
      </c>
      <c r="P9" s="237" t="e">
        <f ca="1">MAX(N9:N14)</f>
        <v>#N/A</v>
      </c>
      <c r="Q9" s="249" t="e">
        <f ca="1">P9-P14</f>
        <v>#N/A</v>
      </c>
      <c r="R9" s="569"/>
      <c r="S9" s="571"/>
      <c r="V9" s="569"/>
      <c r="W9" s="571"/>
      <c r="X9" s="27" cm="1">
        <f t="array" aca="1" ref="X9" ca="1">INDIRECT(ADDRESS($B9,9,,,"mkt data"))</f>
        <v>0</v>
      </c>
      <c r="Y9" s="48">
        <f t="shared" ca="1" si="5"/>
        <v>0</v>
      </c>
      <c r="Z9" s="27" t="e">
        <f t="shared" ca="1" si="6"/>
        <v>#N/A</v>
      </c>
      <c r="AA9" s="534" t="e">
        <f ca="1">SUM(Z9:Z14)</f>
        <v>#N/A</v>
      </c>
      <c r="AB9" s="254" t="str">
        <f t="shared" si="0"/>
        <v>SPHY</v>
      </c>
      <c r="AC9" s="33" cm="1">
        <f t="array" aca="1" ref="AC9" ca="1">INDIRECT(ADDRESS($B9,8,,,"mkt data"))</f>
        <v>22.5</v>
      </c>
      <c r="AD9" s="165">
        <f t="shared" ca="1" si="7"/>
        <v>22.475000000000001</v>
      </c>
      <c r="AE9" s="165">
        <f t="shared" ca="1" si="8"/>
        <v>-2.4999999999998579E-2</v>
      </c>
      <c r="AF9" s="176">
        <v>0</v>
      </c>
      <c r="AG9" s="165">
        <f t="shared" ca="1" si="9"/>
        <v>-2.4999999999998579E-2</v>
      </c>
      <c r="AH9" s="165">
        <f t="shared" ca="1" si="10"/>
        <v>0</v>
      </c>
      <c r="AI9" s="522">
        <f ca="1">SUM(AH9:AH14)</f>
        <v>0</v>
      </c>
    </row>
    <row r="10" spans="1:41" x14ac:dyDescent="0.25">
      <c r="A10" s="83" t="e">
        <f>MATCH(G10,SCALARS!D:D,0)</f>
        <v>#N/A</v>
      </c>
      <c r="B10" s="84">
        <f>MATCH(G10,'MKT DATA'!B:B,0)</f>
        <v>73</v>
      </c>
      <c r="C10" s="74" t="e" cm="1">
        <f t="array" aca="1" ref="C10" ca="1">INDIRECT(ADDRESS($A10,2,,,"scalars"))</f>
        <v>#N/A</v>
      </c>
      <c r="D10" s="143" t="e" cm="1">
        <f t="array" aca="1" ref="D10" ca="1">INDIRECT(ADDRESS($A10,8,,,"SCALARS"))</f>
        <v>#N/A</v>
      </c>
      <c r="E10" s="66">
        <v>0.27500000000000002</v>
      </c>
      <c r="F10" s="10" t="e" cm="1">
        <f t="array" aca="1" ref="F10" ca="1">INDIRECT(ADDRESS($A10,5,,,"scalars"))</f>
        <v>#N/A</v>
      </c>
      <c r="G10" s="8" t="s">
        <v>12</v>
      </c>
      <c r="H10" s="35" cm="1">
        <f t="array" aca="1" ref="H10" ca="1">INDIRECT(ADDRESS($B10,5,,,"mkt data"))</f>
        <v>25.06</v>
      </c>
      <c r="I10" s="36" cm="1">
        <f t="array" aca="1" ref="I10" ca="1">INDIRECT(ADDRESS($B10,6,,,"mkt data"))</f>
        <v>25.23</v>
      </c>
      <c r="J10" s="152" t="e" cm="1">
        <f t="array" aca="1" ref="J10" ca="1">INDIRECT(ADDRESS($A10,7,,,"SCALARS"))</f>
        <v>#N/A</v>
      </c>
      <c r="K10" s="18" t="e">
        <f t="shared" ca="1" si="1"/>
        <v>#N/A</v>
      </c>
      <c r="L10" s="18" t="e">
        <f t="shared" ca="1" si="2"/>
        <v>#N/A</v>
      </c>
      <c r="M10" s="46" t="e" cm="1">
        <f t="array" aca="1" ref="M10" ca="1">INDIRECT(ADDRESS($A10,6,,,"scalars"))</f>
        <v>#N/A</v>
      </c>
      <c r="N10" s="19" t="e">
        <f t="shared" ca="1" si="3"/>
        <v>#N/A</v>
      </c>
      <c r="O10" s="19" t="e">
        <f t="shared" ca="1" si="4"/>
        <v>#N/A</v>
      </c>
      <c r="P10" s="239"/>
      <c r="Q10" s="250"/>
      <c r="R10" s="570"/>
      <c r="S10" s="572"/>
      <c r="T10" s="239"/>
      <c r="U10" s="250"/>
      <c r="V10" s="570"/>
      <c r="W10" s="572"/>
      <c r="X10" s="28" cm="1">
        <f t="array" aca="1" ref="X10" ca="1">INDIRECT(ADDRESS($B10,9,,,"mkt data"))</f>
        <v>0</v>
      </c>
      <c r="Y10" s="49">
        <f t="shared" ca="1" si="5"/>
        <v>0</v>
      </c>
      <c r="Z10" s="28" t="e">
        <f t="shared" ca="1" si="6"/>
        <v>#N/A</v>
      </c>
      <c r="AA10" s="582"/>
      <c r="AB10" s="255" t="str">
        <f t="shared" si="0"/>
        <v>SCYB</v>
      </c>
      <c r="AC10" s="35" cm="1">
        <f t="array" aca="1" ref="AC10" ca="1">INDIRECT(ADDRESS($B10,8,,,"mkt data"))</f>
        <v>25.15</v>
      </c>
      <c r="AD10" s="166">
        <f t="shared" ca="1" si="7"/>
        <v>25.145</v>
      </c>
      <c r="AE10" s="166">
        <f t="shared" ca="1" si="8"/>
        <v>-4.9999999999990052E-3</v>
      </c>
      <c r="AF10" s="177">
        <v>0</v>
      </c>
      <c r="AG10" s="166">
        <f t="shared" ca="1" si="9"/>
        <v>-4.9999999999990052E-3</v>
      </c>
      <c r="AH10" s="166">
        <f t="shared" ca="1" si="10"/>
        <v>0</v>
      </c>
      <c r="AI10" s="583"/>
    </row>
    <row r="11" spans="1:41" x14ac:dyDescent="0.25">
      <c r="A11" s="83" t="e">
        <f>MATCH(G11,SCALARS!D:D,0)</f>
        <v>#N/A</v>
      </c>
      <c r="B11" s="84">
        <f>MATCH(G11,'MKT DATA'!B:B,0)</f>
        <v>71</v>
      </c>
      <c r="C11" s="74" t="e" cm="1">
        <f t="array" aca="1" ref="C11" ca="1">INDIRECT(ADDRESS($A11,2,,,"scalars"))</f>
        <v>#N/A</v>
      </c>
      <c r="D11" s="143" t="e" cm="1">
        <f t="array" aca="1" ref="D11" ca="1">INDIRECT(ADDRESS($A11,8,,,"SCALARS"))</f>
        <v>#N/A</v>
      </c>
      <c r="E11" s="66">
        <v>0.27500000000000002</v>
      </c>
      <c r="F11" s="10" t="e" cm="1">
        <f t="array" aca="1" ref="F11" ca="1">INDIRECT(ADDRESS($A11,5,,,"scalars"))</f>
        <v>#N/A</v>
      </c>
      <c r="G11" s="8" t="s">
        <v>13</v>
      </c>
      <c r="H11" s="35" cm="1">
        <f t="array" aca="1" ref="H11" ca="1">INDIRECT(ADDRESS($B11,5,,,"mkt data"))</f>
        <v>34.799999999999997</v>
      </c>
      <c r="I11" s="36" cm="1">
        <f t="array" aca="1" ref="I11" ca="1">INDIRECT(ADDRESS($B11,6,,,"mkt data"))</f>
        <v>35.71</v>
      </c>
      <c r="J11" s="152" t="e" cm="1">
        <f t="array" aca="1" ref="J11" ca="1">INDIRECT(ADDRESS($A11,7,,,"SCALARS"))</f>
        <v>#N/A</v>
      </c>
      <c r="K11" s="18" t="e">
        <f t="shared" ca="1" si="1"/>
        <v>#N/A</v>
      </c>
      <c r="L11" s="18" t="e">
        <f t="shared" ca="1" si="2"/>
        <v>#N/A</v>
      </c>
      <c r="M11" s="46" t="e" cm="1">
        <f t="array" aca="1" ref="M11" ca="1">INDIRECT(ADDRESS($A11,6,,,"scalars"))</f>
        <v>#N/A</v>
      </c>
      <c r="N11" s="19" t="e">
        <f t="shared" ca="1" si="3"/>
        <v>#N/A</v>
      </c>
      <c r="O11" s="19" t="e">
        <f t="shared" ca="1" si="4"/>
        <v>#N/A</v>
      </c>
      <c r="P11" s="239"/>
      <c r="Q11" s="250"/>
      <c r="R11" s="570"/>
      <c r="S11" s="572"/>
      <c r="T11" s="239" t="e">
        <f ca="1">N9*(X9&gt;0)+N10*(X10&gt;0)+N11*(X11&gt;0)+N12*(X12&gt;0)+N13*(X13&gt;0)+N14*(X14&gt;0)</f>
        <v>#N/A</v>
      </c>
      <c r="U11" s="250" t="e">
        <f ca="1">T11-T12</f>
        <v>#N/A</v>
      </c>
      <c r="V11" s="570"/>
      <c r="W11" s="572"/>
      <c r="X11" s="28" cm="1">
        <f t="array" aca="1" ref="X11" ca="1">INDIRECT(ADDRESS($B11,9,,,"mkt data"))</f>
        <v>0</v>
      </c>
      <c r="Y11" s="49">
        <f t="shared" ca="1" si="5"/>
        <v>0</v>
      </c>
      <c r="Z11" s="28" t="e">
        <f t="shared" ca="1" si="6"/>
        <v>#N/A</v>
      </c>
      <c r="AA11" s="582"/>
      <c r="AB11" s="255" t="str">
        <f t="shared" si="0"/>
        <v>HYLB</v>
      </c>
      <c r="AC11" s="35" cm="1">
        <f t="array" aca="1" ref="AC11" ca="1">INDIRECT(ADDRESS($B11,8,,,"mkt data"))</f>
        <v>35.150002000000001</v>
      </c>
      <c r="AD11" s="166">
        <f t="shared" ca="1" si="7"/>
        <v>35.254999999999995</v>
      </c>
      <c r="AE11" s="166">
        <f t="shared" ca="1" si="8"/>
        <v>0.10499799999999482</v>
      </c>
      <c r="AF11" s="177">
        <v>0</v>
      </c>
      <c r="AG11" s="166">
        <f t="shared" ca="1" si="9"/>
        <v>0.10499799999999482</v>
      </c>
      <c r="AH11" s="166">
        <f t="shared" ca="1" si="10"/>
        <v>0</v>
      </c>
      <c r="AI11" s="583"/>
    </row>
    <row r="12" spans="1:41" x14ac:dyDescent="0.25">
      <c r="A12" s="83" t="e">
        <f>MATCH(G12,SCALARS!D:D,0)</f>
        <v>#N/A</v>
      </c>
      <c r="B12" s="84">
        <f>MATCH(G12,'MKT DATA'!B:B,0)</f>
        <v>75</v>
      </c>
      <c r="C12" s="74" t="e" cm="1">
        <f t="array" aca="1" ref="C12" ca="1">INDIRECT(ADDRESS($A12,2,,,"scalars"))</f>
        <v>#N/A</v>
      </c>
      <c r="D12" s="143" t="e" cm="1">
        <f t="array" aca="1" ref="D12" ca="1">INDIRECT(ADDRESS($A12,8,,,"SCALARS"))</f>
        <v>#N/A</v>
      </c>
      <c r="E12" s="66">
        <v>0.27500000000000002</v>
      </c>
      <c r="F12" s="10" t="e" cm="1">
        <f t="array" aca="1" ref="F12" ca="1">INDIRECT(ADDRESS($A12,5,,,"scalars"))</f>
        <v>#N/A</v>
      </c>
      <c r="G12" s="8" t="s">
        <v>14</v>
      </c>
      <c r="H12" s="35" cm="1">
        <f t="array" aca="1" ref="H12" ca="1">INDIRECT(ADDRESS($B12,5,,,"mkt data"))</f>
        <v>35.4</v>
      </c>
      <c r="I12" s="36" cm="1">
        <f t="array" aca="1" ref="I12" ca="1">INDIRECT(ADDRESS($B12,6,,,"mkt data"))</f>
        <v>35.78</v>
      </c>
      <c r="J12" s="152" t="e" cm="1">
        <f t="array" aca="1" ref="J12" ca="1">INDIRECT(ADDRESS($A12,7,,,"SCALARS"))</f>
        <v>#N/A</v>
      </c>
      <c r="K12" s="18" t="e">
        <f t="shared" ca="1" si="1"/>
        <v>#N/A</v>
      </c>
      <c r="L12" s="18" t="e">
        <f t="shared" ca="1" si="2"/>
        <v>#N/A</v>
      </c>
      <c r="M12" s="46" t="e" cm="1">
        <f t="array" aca="1" ref="M12" ca="1">INDIRECT(ADDRESS($A12,6,,,"scalars"))</f>
        <v>#N/A</v>
      </c>
      <c r="N12" s="19" t="e">
        <f t="shared" ca="1" si="3"/>
        <v>#N/A</v>
      </c>
      <c r="O12" s="19" t="e">
        <f t="shared" ca="1" si="4"/>
        <v>#N/A</v>
      </c>
      <c r="P12" s="239"/>
      <c r="Q12" s="250"/>
      <c r="R12" s="570"/>
      <c r="S12" s="572"/>
      <c r="T12" s="239" t="e">
        <f ca="1">O9*(X9&lt;0)+O10*(X10&lt;0)+O11*(X11&lt;0)+O12*(X12&lt;0)+O13*(X13&lt;0)+O14*(X14&lt;0)</f>
        <v>#N/A</v>
      </c>
      <c r="U12" s="257" t="e">
        <f ca="1">IF(T12&lt;&gt;0,LN(T11/T12),"-")</f>
        <v>#N/A</v>
      </c>
      <c r="V12" s="570"/>
      <c r="W12" s="572"/>
      <c r="X12" s="28" cm="1">
        <f t="array" aca="1" ref="X12" ca="1">INDIRECT(ADDRESS($B12,9,,,"mkt data"))</f>
        <v>0</v>
      </c>
      <c r="Y12" s="49">
        <f t="shared" ca="1" si="5"/>
        <v>0</v>
      </c>
      <c r="Z12" s="28" t="e">
        <f t="shared" ca="1" si="6"/>
        <v>#N/A</v>
      </c>
      <c r="AA12" s="582"/>
      <c r="AB12" s="255" t="str">
        <f t="shared" si="0"/>
        <v>USHY</v>
      </c>
      <c r="AC12" s="35" cm="1">
        <f t="array" aca="1" ref="AC12" ca="1">INDIRECT(ADDRESS($B12,8,,,"mkt data"))</f>
        <v>35.580002</v>
      </c>
      <c r="AD12" s="166">
        <f t="shared" ca="1" si="7"/>
        <v>35.590000000000003</v>
      </c>
      <c r="AE12" s="166">
        <f t="shared" ca="1" si="8"/>
        <v>9.99800000000306E-3</v>
      </c>
      <c r="AF12" s="177">
        <v>0</v>
      </c>
      <c r="AG12" s="166">
        <f t="shared" ca="1" si="9"/>
        <v>9.99800000000306E-3</v>
      </c>
      <c r="AH12" s="166">
        <f t="shared" ca="1" si="10"/>
        <v>0</v>
      </c>
      <c r="AI12" s="583"/>
    </row>
    <row r="13" spans="1:41" x14ac:dyDescent="0.25">
      <c r="A13" s="83" t="e">
        <f>MATCH(G13,SCALARS!D:D,0)</f>
        <v>#N/A</v>
      </c>
      <c r="B13" s="84">
        <f>MATCH(G13,'MKT DATA'!B:B,0)</f>
        <v>70</v>
      </c>
      <c r="C13" s="74" t="e" cm="1">
        <f t="array" aca="1" ref="C13" ca="1">INDIRECT(ADDRESS($A13,2,,,"scalars"))</f>
        <v>#N/A</v>
      </c>
      <c r="D13" s="143" t="e" cm="1">
        <f t="array" aca="1" ref="D13" ca="1">INDIRECT(ADDRESS($A13,8,,,"SCALARS"))</f>
        <v>#N/A</v>
      </c>
      <c r="E13" s="66">
        <v>0.27500000000000002</v>
      </c>
      <c r="F13" s="10" t="e" cm="1">
        <f t="array" aca="1" ref="F13" ca="1">INDIRECT(ADDRESS($A13,5,,,"scalars"))</f>
        <v>#N/A</v>
      </c>
      <c r="G13" s="8" t="s">
        <v>15</v>
      </c>
      <c r="H13" s="35" cm="1">
        <f t="array" aca="1" ref="H13" ca="1">INDIRECT(ADDRESS($B13,5,,,"mkt data"))</f>
        <v>77.040000000000006</v>
      </c>
      <c r="I13" s="36" cm="1">
        <f t="array" aca="1" ref="I13" ca="1">INDIRECT(ADDRESS($B13,6,,,"mkt data"))</f>
        <v>77.099999999999994</v>
      </c>
      <c r="J13" s="152" t="e" cm="1">
        <f t="array" aca="1" ref="J13" ca="1">INDIRECT(ADDRESS($A13,7,,,"SCALARS"))</f>
        <v>#N/A</v>
      </c>
      <c r="K13" s="18" t="e">
        <f t="shared" ca="1" si="1"/>
        <v>#N/A</v>
      </c>
      <c r="L13" s="18" t="e">
        <f t="shared" ca="1" si="2"/>
        <v>#N/A</v>
      </c>
      <c r="M13" s="46" t="e" cm="1">
        <f t="array" aca="1" ref="M13" ca="1">INDIRECT(ADDRESS($A13,6,,,"scalars"))</f>
        <v>#N/A</v>
      </c>
      <c r="N13" s="19" t="e">
        <f t="shared" ca="1" si="3"/>
        <v>#N/A</v>
      </c>
      <c r="O13" s="19" t="e">
        <f t="shared" ca="1" si="4"/>
        <v>#N/A</v>
      </c>
      <c r="P13" s="239"/>
      <c r="Q13" s="250"/>
      <c r="R13" s="570"/>
      <c r="S13" s="572"/>
      <c r="T13" s="239"/>
      <c r="U13" s="250"/>
      <c r="V13" s="570"/>
      <c r="W13" s="572"/>
      <c r="X13" s="28" cm="1">
        <f t="array" aca="1" ref="X13" ca="1">INDIRECT(ADDRESS($B13,9,,,"mkt data"))</f>
        <v>0</v>
      </c>
      <c r="Y13" s="49">
        <f t="shared" ca="1" si="5"/>
        <v>0</v>
      </c>
      <c r="Z13" s="28" t="e">
        <f t="shared" ca="1" si="6"/>
        <v>#N/A</v>
      </c>
      <c r="AA13" s="582"/>
      <c r="AB13" s="255" t="str">
        <f t="shared" si="0"/>
        <v>HYG</v>
      </c>
      <c r="AC13" s="35" cm="1">
        <f t="array" aca="1" ref="AC13" ca="1">INDIRECT(ADDRESS($B13,8,,,"mkt data"))</f>
        <v>77.099997999999999</v>
      </c>
      <c r="AD13" s="166">
        <f t="shared" ref="AD13:AD18" ca="1" si="11">AVERAGE(H13,I13)</f>
        <v>77.069999999999993</v>
      </c>
      <c r="AE13" s="166">
        <f t="shared" ref="AE13:AE18" ca="1" si="12">AD13-AC13</f>
        <v>-2.9998000000006186E-2</v>
      </c>
      <c r="AF13" s="177">
        <v>0</v>
      </c>
      <c r="AG13" s="166">
        <f t="shared" ref="AG13:AG18" ca="1" si="13">AE13+AF13</f>
        <v>-2.9998000000006186E-2</v>
      </c>
      <c r="AH13" s="166">
        <f t="shared" ref="AH13:AH18" ca="1" si="14">AG13*X13</f>
        <v>0</v>
      </c>
      <c r="AI13" s="583"/>
    </row>
    <row r="14" spans="1:41" ht="15.75" thickBot="1" x14ac:dyDescent="0.3">
      <c r="A14" s="81" t="e">
        <f>MATCH(G14,SCALARS!D:D,0)</f>
        <v>#N/A</v>
      </c>
      <c r="B14" s="82">
        <f>MATCH(G14,'MKT DATA'!B:B,0)</f>
        <v>72</v>
      </c>
      <c r="C14" s="127" t="e" cm="1">
        <f t="array" aca="1" ref="C14" ca="1">INDIRECT(ADDRESS($A14,2,,,"scalars"))</f>
        <v>#N/A</v>
      </c>
      <c r="D14" s="144" t="e" cm="1">
        <f t="array" aca="1" ref="D14" ca="1">INDIRECT(ADDRESS($A14,8,,,"SCALARS"))</f>
        <v>#N/A</v>
      </c>
      <c r="E14" s="65">
        <v>0.27500000000000002</v>
      </c>
      <c r="F14" s="20" t="e" cm="1">
        <f t="array" aca="1" ref="F14" ca="1">INDIRECT(ADDRESS($A14,5,,,"scalars"))</f>
        <v>#N/A</v>
      </c>
      <c r="G14" s="21" t="s">
        <v>16</v>
      </c>
      <c r="H14" s="37" cm="1">
        <f t="array" aca="1" ref="H14" ca="1">INDIRECT(ADDRESS($B14,5,,,"mkt data"))</f>
        <v>92.31</v>
      </c>
      <c r="I14" s="38" cm="1">
        <f t="array" aca="1" ref="I14" ca="1">INDIRECT(ADDRESS($B14,6,,,"mkt data"))</f>
        <v>93.5</v>
      </c>
      <c r="J14" s="151" t="e" cm="1">
        <f t="array" aca="1" ref="J14" ca="1">INDIRECT(ADDRESS($A14,7,,,"SCALARS"))</f>
        <v>#N/A</v>
      </c>
      <c r="K14" s="22" t="e">
        <f t="shared" ca="1" si="1"/>
        <v>#N/A</v>
      </c>
      <c r="L14" s="22" t="e">
        <f t="shared" ca="1" si="2"/>
        <v>#N/A</v>
      </c>
      <c r="M14" s="45" t="e" cm="1">
        <f t="array" aca="1" ref="M14" ca="1">INDIRECT(ADDRESS($A14,6,,,"scalars"))</f>
        <v>#N/A</v>
      </c>
      <c r="N14" s="23" t="e">
        <f t="shared" ca="1" si="3"/>
        <v>#N/A</v>
      </c>
      <c r="O14" s="23" t="e">
        <f t="shared" ca="1" si="4"/>
        <v>#N/A</v>
      </c>
      <c r="P14" s="240" t="e">
        <f ca="1">MIN(O9:O14)</f>
        <v>#N/A</v>
      </c>
      <c r="Q14" s="238">
        <v>-7.632700728893973E-3</v>
      </c>
      <c r="R14" s="579"/>
      <c r="S14" s="580"/>
      <c r="V14" s="579"/>
      <c r="W14" s="580"/>
      <c r="X14" s="29" cm="1">
        <f t="array" aca="1" ref="X14" ca="1">INDIRECT(ADDRESS($B14,9,,,"mkt data"))</f>
        <v>0</v>
      </c>
      <c r="Y14" s="50">
        <f t="shared" ca="1" si="5"/>
        <v>0</v>
      </c>
      <c r="Z14" s="29" t="e">
        <f t="shared" ca="1" si="6"/>
        <v>#N/A</v>
      </c>
      <c r="AA14" s="535"/>
      <c r="AB14" s="256" t="str">
        <f t="shared" si="0"/>
        <v>JNK</v>
      </c>
      <c r="AC14" s="37" cm="1">
        <f t="array" aca="1" ref="AC14" ca="1">INDIRECT(ADDRESS($B14,8,,,"mkt data"))</f>
        <v>92.510002</v>
      </c>
      <c r="AD14" s="167">
        <f t="shared" ca="1" si="11"/>
        <v>92.905000000000001</v>
      </c>
      <c r="AE14" s="167">
        <f t="shared" ca="1" si="12"/>
        <v>0.39499800000000107</v>
      </c>
      <c r="AF14" s="178">
        <v>0</v>
      </c>
      <c r="AG14" s="167">
        <f t="shared" ca="1" si="13"/>
        <v>0.39499800000000107</v>
      </c>
      <c r="AH14" s="167">
        <f t="shared" ca="1" si="14"/>
        <v>0</v>
      </c>
      <c r="AI14" s="523"/>
    </row>
    <row r="15" spans="1:41" x14ac:dyDescent="0.25">
      <c r="A15" s="79" t="e">
        <f>MATCH(G15,SCALARS!D:D,0)</f>
        <v>#N/A</v>
      </c>
      <c r="B15" s="80">
        <f>MATCH(G15,'MKT DATA'!B:B,0)</f>
        <v>6</v>
      </c>
      <c r="C15" s="126" t="e" cm="1">
        <f t="array" aca="1" ref="C15" ca="1">INDIRECT(ADDRESS($A15,2,,,"scalars"))</f>
        <v>#N/A</v>
      </c>
      <c r="D15" s="142" t="e" cm="1">
        <f t="array" aca="1" ref="D15" ca="1">INDIRECT(ADDRESS($A15,8,,,"SCALARS"))</f>
        <v>#N/A</v>
      </c>
      <c r="E15" s="129"/>
      <c r="F15" s="14" t="e" cm="1">
        <f t="array" aca="1" ref="F15" ca="1">INDIRECT(ADDRESS($A15,5,,,"scalars"))</f>
        <v>#N/A</v>
      </c>
      <c r="G15" s="15" t="s">
        <v>4</v>
      </c>
      <c r="H15" s="33" cm="1">
        <f t="array" aca="1" ref="H15" ca="1">INDIRECT(ADDRESS($B15,5,,,"mkt data"))</f>
        <v>22.25</v>
      </c>
      <c r="I15" s="34" cm="1">
        <f t="array" aca="1" ref="I15" ca="1">INDIRECT(ADDRESS($B15,6,,,"mkt data"))</f>
        <v>22.55</v>
      </c>
      <c r="J15" s="150" t="e" cm="1">
        <f t="array" aca="1" ref="J15" ca="1">INDIRECT(ADDRESS($A15,7,,,"SCALARS"))</f>
        <v>#N/A</v>
      </c>
      <c r="K15" s="16" t="e">
        <f t="shared" ca="1" si="1"/>
        <v>#N/A</v>
      </c>
      <c r="L15" s="16" t="e">
        <f t="shared" ca="1" si="2"/>
        <v>#N/A</v>
      </c>
      <c r="M15" s="44" t="e" cm="1">
        <f t="array" aca="1" ref="M15" ca="1">INDIRECT(ADDRESS($A15,6,,,"scalars"))</f>
        <v>#N/A</v>
      </c>
      <c r="N15" s="17" t="e">
        <f t="shared" ca="1" si="3"/>
        <v>#N/A</v>
      </c>
      <c r="O15" s="17" t="e">
        <f t="shared" ca="1" si="4"/>
        <v>#N/A</v>
      </c>
      <c r="P15" s="239" t="e">
        <f ca="1">MAX(N15:N18)</f>
        <v>#N/A</v>
      </c>
      <c r="Q15" s="250" t="e">
        <f ca="1">P15-P18</f>
        <v>#N/A</v>
      </c>
      <c r="R15" s="569"/>
      <c r="S15" s="571"/>
      <c r="T15" s="258"/>
      <c r="U15" s="259"/>
      <c r="V15" s="569"/>
      <c r="W15" s="571"/>
      <c r="X15" s="27" cm="1">
        <f t="array" aca="1" ref="X15" ca="1">INDIRECT(ADDRESS($B15,9,,,"mkt data"))</f>
        <v>0</v>
      </c>
      <c r="Y15" s="48">
        <f t="shared" ca="1" si="5"/>
        <v>0</v>
      </c>
      <c r="Z15" s="27" t="e">
        <f t="shared" ca="1" si="6"/>
        <v>#N/A</v>
      </c>
      <c r="AA15" s="550" t="e">
        <f ca="1">SUM(Z15:Z18)</f>
        <v>#N/A</v>
      </c>
      <c r="AB15" s="255" t="str">
        <f t="shared" si="0"/>
        <v>SCHZ</v>
      </c>
      <c r="AC15" s="35" cm="1">
        <f t="array" aca="1" ref="AC15" ca="1">INDIRECT(ADDRESS($B15,8,,,"mkt data"))</f>
        <v>22.459999</v>
      </c>
      <c r="AD15" s="166">
        <f t="shared" ca="1" si="11"/>
        <v>22.4</v>
      </c>
      <c r="AE15" s="166">
        <f t="shared" ca="1" si="12"/>
        <v>-5.9999000000001246E-2</v>
      </c>
      <c r="AF15" s="177">
        <v>0</v>
      </c>
      <c r="AG15" s="166">
        <f t="shared" ca="1" si="13"/>
        <v>-5.9999000000001246E-2</v>
      </c>
      <c r="AH15" s="166">
        <f t="shared" ca="1" si="14"/>
        <v>0</v>
      </c>
      <c r="AI15" s="522">
        <f ca="1">SUM(AH15:AH18)</f>
        <v>0</v>
      </c>
    </row>
    <row r="16" spans="1:41" x14ac:dyDescent="0.25">
      <c r="A16" s="83" t="e">
        <f>MATCH(G16,SCALARS!D:D,0)</f>
        <v>#N/A</v>
      </c>
      <c r="B16" s="84">
        <f>MATCH(G16,'MKT DATA'!B:B,0)</f>
        <v>7</v>
      </c>
      <c r="C16" s="74" t="e" cm="1">
        <f t="array" aca="1" ref="C16" ca="1">INDIRECT(ADDRESS($A16,2,,,"scalars"))</f>
        <v>#N/A</v>
      </c>
      <c r="D16" s="143" t="e" cm="1">
        <f t="array" aca="1" ref="D16" ca="1">INDIRECT(ADDRESS($A16,8,,,"SCALARS"))</f>
        <v>#N/A</v>
      </c>
      <c r="E16" s="263"/>
      <c r="F16" s="10" t="e" cm="1">
        <f t="array" aca="1" ref="F16" ca="1">INDIRECT(ADDRESS($A16,5,,,"scalars"))</f>
        <v>#N/A</v>
      </c>
      <c r="G16" s="8" t="s">
        <v>5</v>
      </c>
      <c r="H16" s="35" cm="1">
        <f t="array" aca="1" ref="H16" ca="1">INDIRECT(ADDRESS($B16,5,,,"mkt data"))</f>
        <v>24.24</v>
      </c>
      <c r="I16" s="36" cm="1">
        <f t="array" aca="1" ref="I16" ca="1">INDIRECT(ADDRESS($B16,6,,,"mkt data"))</f>
        <v>25.74</v>
      </c>
      <c r="J16" s="152" t="e" cm="1">
        <f t="array" aca="1" ref="J16" ca="1">INDIRECT(ADDRESS($A16,7,,,"SCALARS"))</f>
        <v>#N/A</v>
      </c>
      <c r="K16" s="18" t="e">
        <f t="shared" ca="1" si="1"/>
        <v>#N/A</v>
      </c>
      <c r="L16" s="18" t="e">
        <f t="shared" ca="1" si="2"/>
        <v>#N/A</v>
      </c>
      <c r="M16" s="46" t="e" cm="1">
        <f t="array" aca="1" ref="M16" ca="1">INDIRECT(ADDRESS($A16,6,,,"scalars"))</f>
        <v>#N/A</v>
      </c>
      <c r="N16" s="19" t="e">
        <f t="shared" ca="1" si="3"/>
        <v>#N/A</v>
      </c>
      <c r="O16" s="19" t="e">
        <f t="shared" ca="1" si="4"/>
        <v>#N/A</v>
      </c>
      <c r="P16" s="239"/>
      <c r="Q16" s="250"/>
      <c r="R16" s="570"/>
      <c r="S16" s="572"/>
      <c r="T16" s="239" t="e">
        <f ca="1">N15*(X15&gt;0)+N16*(X16&gt;0)+N17*(X17&gt;0)+N18*(X18&gt;0)</f>
        <v>#N/A</v>
      </c>
      <c r="U16" s="250" t="e">
        <f ca="1">T16-T17</f>
        <v>#N/A</v>
      </c>
      <c r="V16" s="570"/>
      <c r="W16" s="572"/>
      <c r="X16" s="28" cm="1">
        <f t="array" aca="1" ref="X16" ca="1">INDIRECT(ADDRESS($B16,9,,,"mkt data"))</f>
        <v>0</v>
      </c>
      <c r="Y16" s="49">
        <f t="shared" ca="1" si="5"/>
        <v>0</v>
      </c>
      <c r="Z16" s="28" t="e">
        <f t="shared" ca="1" si="6"/>
        <v>#N/A</v>
      </c>
      <c r="AA16" s="581"/>
      <c r="AB16" s="255" t="str">
        <f t="shared" si="0"/>
        <v>SPAB</v>
      </c>
      <c r="AC16" s="35" cm="1">
        <f t="array" aca="1" ref="AC16" ca="1">INDIRECT(ADDRESS($B16,8,,,"mkt data"))</f>
        <v>24.77</v>
      </c>
      <c r="AD16" s="166">
        <f t="shared" ca="1" si="11"/>
        <v>24.99</v>
      </c>
      <c r="AE16" s="166">
        <f t="shared" ca="1" si="12"/>
        <v>0.21999999999999886</v>
      </c>
      <c r="AF16" s="177">
        <v>0</v>
      </c>
      <c r="AG16" s="166">
        <f t="shared" ca="1" si="13"/>
        <v>0.21999999999999886</v>
      </c>
      <c r="AH16" s="166">
        <f t="shared" ca="1" si="14"/>
        <v>0</v>
      </c>
      <c r="AI16" s="583"/>
    </row>
    <row r="17" spans="1:41" x14ac:dyDescent="0.25">
      <c r="A17" s="83" t="e">
        <f>MATCH(G17,SCALARS!D:D,0)</f>
        <v>#N/A</v>
      </c>
      <c r="B17" s="84">
        <f>MATCH(G17,'MKT DATA'!B:B,0)</f>
        <v>5</v>
      </c>
      <c r="C17" s="74" t="e" cm="1">
        <f t="array" aca="1" ref="C17" ca="1">INDIRECT(ADDRESS($A17,2,,,"scalars"))</f>
        <v>#N/A</v>
      </c>
      <c r="D17" s="143" t="e" cm="1">
        <f t="array" aca="1" ref="D17" ca="1">INDIRECT(ADDRESS($A17,8,,,"SCALARS"))</f>
        <v>#N/A</v>
      </c>
      <c r="E17" s="263"/>
      <c r="F17" s="10" t="e" cm="1">
        <f t="array" aca="1" ref="F17" ca="1">INDIRECT(ADDRESS($A17,5,,,"scalars"))</f>
        <v>#N/A</v>
      </c>
      <c r="G17" s="8" t="s">
        <v>6</v>
      </c>
      <c r="H17" s="35" cm="1">
        <f t="array" aca="1" ref="H17" ca="1">INDIRECT(ADDRESS($B17,5,,,"mkt data"))</f>
        <v>71.099999999999994</v>
      </c>
      <c r="I17" s="36" cm="1">
        <f t="array" aca="1" ref="I17" ca="1">INDIRECT(ADDRESS($B17,6,,,"mkt data"))</f>
        <v>71.58</v>
      </c>
      <c r="J17" s="152" t="e" cm="1">
        <f t="array" aca="1" ref="J17" ca="1">INDIRECT(ADDRESS($A17,7,,,"SCALARS"))</f>
        <v>#N/A</v>
      </c>
      <c r="K17" s="18" t="e">
        <f t="shared" ca="1" si="1"/>
        <v>#N/A</v>
      </c>
      <c r="L17" s="18" t="e">
        <f t="shared" ca="1" si="2"/>
        <v>#N/A</v>
      </c>
      <c r="M17" s="46" t="e" cm="1">
        <f t="array" aca="1" ref="M17" ca="1">INDIRECT(ADDRESS($A17,6,,,"scalars"))</f>
        <v>#N/A</v>
      </c>
      <c r="N17" s="19" t="e">
        <f t="shared" ca="1" si="3"/>
        <v>#N/A</v>
      </c>
      <c r="O17" s="19" t="e">
        <f t="shared" ca="1" si="4"/>
        <v>#N/A</v>
      </c>
      <c r="P17" s="239"/>
      <c r="Q17" s="250"/>
      <c r="R17" s="570"/>
      <c r="S17" s="572"/>
      <c r="T17" s="239" t="e">
        <f ca="1">O15*(X15&lt;0)+O16*(X16&lt;0)+O17*(X17&lt;0)+O18*(X18&lt;0)</f>
        <v>#N/A</v>
      </c>
      <c r="U17" s="257" t="e">
        <f ca="1">IF(T17&lt;&gt;0,LN(T16/T17),"-")</f>
        <v>#N/A</v>
      </c>
      <c r="V17" s="570"/>
      <c r="W17" s="572"/>
      <c r="X17" s="28" cm="1">
        <f t="array" aca="1" ref="X17" ca="1">INDIRECT(ADDRESS($B17,9,,,"mkt data"))</f>
        <v>0</v>
      </c>
      <c r="Y17" s="49">
        <f t="shared" ca="1" si="5"/>
        <v>0</v>
      </c>
      <c r="Z17" s="28" t="e">
        <f t="shared" ca="1" si="6"/>
        <v>#N/A</v>
      </c>
      <c r="AA17" s="581"/>
      <c r="AB17" s="255" t="str">
        <f t="shared" si="0"/>
        <v>BND</v>
      </c>
      <c r="AC17" s="35" cm="1">
        <f t="array" aca="1" ref="AC17" ca="1">INDIRECT(ADDRESS($B17,8,,,"mkt data"))</f>
        <v>71.360000999999997</v>
      </c>
      <c r="AD17" s="166">
        <f t="shared" ca="1" si="11"/>
        <v>71.34</v>
      </c>
      <c r="AE17" s="166">
        <f t="shared" ca="1" si="12"/>
        <v>-2.0000999999993496E-2</v>
      </c>
      <c r="AF17" s="177">
        <v>0</v>
      </c>
      <c r="AG17" s="166">
        <f t="shared" ca="1" si="13"/>
        <v>-2.0000999999993496E-2</v>
      </c>
      <c r="AH17" s="166">
        <f t="shared" ca="1" si="14"/>
        <v>0</v>
      </c>
      <c r="AI17" s="583"/>
    </row>
    <row r="18" spans="1:41" ht="15.75" thickBot="1" x14ac:dyDescent="0.3">
      <c r="A18" s="81" t="e">
        <f>MATCH(G18,SCALARS!D:D,0)</f>
        <v>#N/A</v>
      </c>
      <c r="B18" s="82">
        <f>MATCH(G18,'MKT DATA'!B:B,0)</f>
        <v>4</v>
      </c>
      <c r="C18" s="127" t="e" cm="1">
        <f t="array" aca="1" ref="C18" ca="1">INDIRECT(ADDRESS($A18,2,,,"scalars"))</f>
        <v>#N/A</v>
      </c>
      <c r="D18" s="144" t="e" cm="1">
        <f t="array" aca="1" ref="D18" ca="1">INDIRECT(ADDRESS($A18,8,,,"SCALARS"))</f>
        <v>#N/A</v>
      </c>
      <c r="E18" s="130"/>
      <c r="F18" s="20" t="e" cm="1">
        <f t="array" aca="1" ref="F18" ca="1">INDIRECT(ADDRESS($A18,5,,,"scalars"))</f>
        <v>#N/A</v>
      </c>
      <c r="G18" s="21" t="s">
        <v>7</v>
      </c>
      <c r="H18" s="37" cm="1">
        <f t="array" aca="1" ref="H18" ca="1">INDIRECT(ADDRESS($B18,5,,,"mkt data"))</f>
        <v>95.91</v>
      </c>
      <c r="I18" s="38" cm="1">
        <f t="array" aca="1" ref="I18" ca="1">INDIRECT(ADDRESS($B18,6,,,"mkt data"))</f>
        <v>95.95</v>
      </c>
      <c r="J18" s="151" t="e" cm="1">
        <f t="array" aca="1" ref="J18" ca="1">INDIRECT(ADDRESS($A18,7,,,"SCALARS"))</f>
        <v>#N/A</v>
      </c>
      <c r="K18" s="22" t="e">
        <f t="shared" ca="1" si="1"/>
        <v>#N/A</v>
      </c>
      <c r="L18" s="22" t="e">
        <f t="shared" ca="1" si="2"/>
        <v>#N/A</v>
      </c>
      <c r="M18" s="45" t="e" cm="1">
        <f t="array" aca="1" ref="M18" ca="1">INDIRECT(ADDRESS($A18,6,,,"scalars"))</f>
        <v>#N/A</v>
      </c>
      <c r="N18" s="23" t="e">
        <f t="shared" ca="1" si="3"/>
        <v>#N/A</v>
      </c>
      <c r="O18" s="23" t="e">
        <f t="shared" ca="1" si="4"/>
        <v>#N/A</v>
      </c>
      <c r="P18" s="240" t="e">
        <f ca="1">MIN(O15:O18)</f>
        <v>#N/A</v>
      </c>
      <c r="Q18" s="238">
        <v>-7.632700728893973E-3</v>
      </c>
      <c r="R18" s="579"/>
      <c r="S18" s="580"/>
      <c r="T18" s="149"/>
      <c r="U18" s="260"/>
      <c r="V18" s="579"/>
      <c r="W18" s="580"/>
      <c r="X18" s="29" cm="1">
        <f t="array" aca="1" ref="X18" ca="1">INDIRECT(ADDRESS($B18,9,,,"mkt data"))</f>
        <v>0</v>
      </c>
      <c r="Y18" s="50">
        <f t="shared" ca="1" si="5"/>
        <v>0</v>
      </c>
      <c r="Z18" s="29" t="e">
        <f t="shared" ca="1" si="6"/>
        <v>#N/A</v>
      </c>
      <c r="AA18" s="551"/>
      <c r="AB18" s="256" t="str">
        <f t="shared" si="0"/>
        <v>AGG</v>
      </c>
      <c r="AC18" s="37" cm="1">
        <f t="array" aca="1" ref="AC18" ca="1">INDIRECT(ADDRESS($B18,8,,,"mkt data"))</f>
        <v>96.120002999999997</v>
      </c>
      <c r="AD18" s="167">
        <f t="shared" ca="1" si="11"/>
        <v>95.93</v>
      </c>
      <c r="AE18" s="167">
        <f t="shared" ca="1" si="12"/>
        <v>-0.19000299999999015</v>
      </c>
      <c r="AF18" s="178">
        <v>0</v>
      </c>
      <c r="AG18" s="167">
        <f t="shared" ca="1" si="13"/>
        <v>-0.19000299999999015</v>
      </c>
      <c r="AH18" s="167">
        <f t="shared" ca="1" si="14"/>
        <v>0</v>
      </c>
      <c r="AI18" s="523"/>
    </row>
    <row r="19" spans="1:41" x14ac:dyDescent="0.25">
      <c r="A19" s="10"/>
      <c r="B19" s="10"/>
      <c r="C19" s="10"/>
      <c r="D19" s="10"/>
      <c r="E19" s="51"/>
      <c r="F19" s="10"/>
      <c r="G19" s="8"/>
      <c r="H19" s="2"/>
      <c r="I19" s="2"/>
      <c r="J19" s="2"/>
      <c r="K19" s="13"/>
      <c r="L19" s="13"/>
      <c r="M19" s="47"/>
      <c r="N19" s="7"/>
      <c r="O19" s="7"/>
      <c r="R19" s="244"/>
      <c r="S19" s="244"/>
      <c r="T19" s="244"/>
      <c r="U19" s="246"/>
      <c r="V19" s="246"/>
      <c r="W19" s="246"/>
      <c r="X19" s="25"/>
      <c r="Y19" s="1"/>
    </row>
    <row r="20" spans="1:41" x14ac:dyDescent="0.25">
      <c r="AK20" t="s">
        <v>301</v>
      </c>
      <c r="AL20" s="2">
        <v>-201.14</v>
      </c>
      <c r="AM20" s="2">
        <v>0</v>
      </c>
      <c r="AN20" s="2">
        <v>0</v>
      </c>
      <c r="AO20" s="301">
        <v>-201.14</v>
      </c>
    </row>
    <row r="28" spans="1:41" x14ac:dyDescent="0.25">
      <c r="N28" s="266"/>
    </row>
    <row r="40" spans="14:14" x14ac:dyDescent="0.25">
      <c r="N40" s="266"/>
    </row>
  </sheetData>
  <mergeCells count="32">
    <mergeCell ref="AI15:AI18"/>
    <mergeCell ref="AI9:AI14"/>
    <mergeCell ref="AH1:AH2"/>
    <mergeCell ref="AI1:AI2"/>
    <mergeCell ref="AG1:AG2"/>
    <mergeCell ref="AJ1:AJ2"/>
    <mergeCell ref="R15:R18"/>
    <mergeCell ref="S15:S18"/>
    <mergeCell ref="R9:R14"/>
    <mergeCell ref="S9:S14"/>
    <mergeCell ref="AA5:AA8"/>
    <mergeCell ref="AA9:AA14"/>
    <mergeCell ref="V5:V8"/>
    <mergeCell ref="V9:V14"/>
    <mergeCell ref="AA15:AA18"/>
    <mergeCell ref="W5:W8"/>
    <mergeCell ref="W9:W14"/>
    <mergeCell ref="V15:V18"/>
    <mergeCell ref="W15:W18"/>
    <mergeCell ref="AI5:AI8"/>
    <mergeCell ref="R4:S4"/>
    <mergeCell ref="A3:B3"/>
    <mergeCell ref="H3:I3"/>
    <mergeCell ref="K3:L3"/>
    <mergeCell ref="N3:O3"/>
    <mergeCell ref="P3:Q3"/>
    <mergeCell ref="R5:R8"/>
    <mergeCell ref="S5:S8"/>
    <mergeCell ref="K1:L2"/>
    <mergeCell ref="X1:AA2"/>
    <mergeCell ref="X3:AA3"/>
    <mergeCell ref="V4:W4"/>
  </mergeCells>
  <conditionalFormatting sqref="N15:N18">
    <cfRule type="top10" dxfId="9" priority="11" rank="1"/>
  </conditionalFormatting>
  <conditionalFormatting sqref="O15:O18">
    <cfRule type="top10" dxfId="8" priority="10" bottom="1" rank="1"/>
  </conditionalFormatting>
  <conditionalFormatting sqref="N9:N14">
    <cfRule type="top10" dxfId="7" priority="19" rank="1"/>
  </conditionalFormatting>
  <conditionalFormatting sqref="O9:O14">
    <cfRule type="top10" dxfId="6" priority="15" bottom="1" rank="1"/>
  </conditionalFormatting>
  <conditionalFormatting sqref="N5:N8">
    <cfRule type="top10" dxfId="5" priority="20" rank="1"/>
  </conditionalFormatting>
  <conditionalFormatting sqref="O5:O8">
    <cfRule type="top10" dxfId="4" priority="16" bottom="1" rank="1"/>
  </conditionalFormatting>
  <conditionalFormatting sqref="W1:W1048576">
    <cfRule type="cellIs" dxfId="3" priority="8" operator="equal">
      <formula>TRUE</formula>
    </cfRule>
  </conditionalFormatting>
  <conditionalFormatting sqref="T1:T2">
    <cfRule type="cellIs" dxfId="2" priority="6" operator="equal">
      <formula>TRUE</formula>
    </cfRule>
  </conditionalFormatting>
  <conditionalFormatting sqref="S28:S1048576 S1:S23">
    <cfRule type="cellIs" dxfId="1" priority="5" operator="equal">
      <formula>TRUE</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4F17-AF84-46EC-8473-43601FE6F2FF}">
  <sheetPr codeName="Sheet13"/>
  <dimension ref="A3:H14"/>
  <sheetViews>
    <sheetView workbookViewId="0">
      <selection activeCell="R29" sqref="R29"/>
    </sheetView>
  </sheetViews>
  <sheetFormatPr defaultRowHeight="15" x14ac:dyDescent="0.25"/>
  <sheetData>
    <row r="3" spans="1:8" x14ac:dyDescent="0.25">
      <c r="H3" t="s">
        <v>273</v>
      </c>
    </row>
    <row r="5" spans="1:8" x14ac:dyDescent="0.25">
      <c r="H5" t="s">
        <v>274</v>
      </c>
    </row>
    <row r="6" spans="1:8" x14ac:dyDescent="0.25">
      <c r="H6" t="s">
        <v>275</v>
      </c>
    </row>
    <row r="8" spans="1:8" x14ac:dyDescent="0.25">
      <c r="H8" t="s">
        <v>276</v>
      </c>
    </row>
    <row r="10" spans="1:8" x14ac:dyDescent="0.25">
      <c r="A10" t="s">
        <v>236</v>
      </c>
      <c r="H10" t="s">
        <v>277</v>
      </c>
    </row>
    <row r="12" spans="1:8" x14ac:dyDescent="0.25">
      <c r="H12" t="s">
        <v>278</v>
      </c>
    </row>
    <row r="14" spans="1:8" x14ac:dyDescent="0.25">
      <c r="H14" t="s">
        <v>279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77218-1E90-4421-AC04-F05B0720BE2A}">
  <sheetPr codeName="Sheet14"/>
  <dimension ref="A1:A20"/>
  <sheetViews>
    <sheetView workbookViewId="0">
      <selection activeCell="K33" sqref="K33"/>
    </sheetView>
  </sheetViews>
  <sheetFormatPr defaultRowHeight="15" x14ac:dyDescent="0.25"/>
  <sheetData>
    <row r="1" spans="1:1" x14ac:dyDescent="0.25">
      <c r="A1" t="s">
        <v>138</v>
      </c>
    </row>
    <row r="3" spans="1:1" x14ac:dyDescent="0.25">
      <c r="A3" t="s">
        <v>221</v>
      </c>
    </row>
    <row r="5" spans="1:1" x14ac:dyDescent="0.25">
      <c r="A5" t="s">
        <v>222</v>
      </c>
    </row>
    <row r="7" spans="1:1" x14ac:dyDescent="0.25">
      <c r="A7" s="8" t="s">
        <v>223</v>
      </c>
    </row>
    <row r="9" spans="1:1" x14ac:dyDescent="0.25">
      <c r="A9" s="8" t="s">
        <v>224</v>
      </c>
    </row>
    <row r="11" spans="1:1" x14ac:dyDescent="0.25">
      <c r="A11" s="8" t="s">
        <v>225</v>
      </c>
    </row>
    <row r="13" spans="1:1" x14ac:dyDescent="0.25">
      <c r="A13" s="8" t="s">
        <v>226</v>
      </c>
    </row>
    <row r="15" spans="1:1" x14ac:dyDescent="0.25">
      <c r="A15" s="8" t="s">
        <v>227</v>
      </c>
    </row>
    <row r="17" spans="1:1" x14ac:dyDescent="0.25">
      <c r="A17" s="8" t="s">
        <v>228</v>
      </c>
    </row>
    <row r="18" spans="1:1" x14ac:dyDescent="0.25">
      <c r="A18" t="s">
        <v>229</v>
      </c>
    </row>
    <row r="20" spans="1:1" x14ac:dyDescent="0.25">
      <c r="A20" t="s">
        <v>230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FACB9-06CC-446D-AFD6-C70DB69ED8F4}">
  <sheetPr codeName="Sheet7"/>
  <dimension ref="A1:X26"/>
  <sheetViews>
    <sheetView zoomScale="85" zoomScaleNormal="85" workbookViewId="0">
      <pane ySplit="1" topLeftCell="A2" activePane="bottomLeft" state="frozen"/>
      <selection pane="bottomLeft" activeCell="F2" sqref="F2"/>
    </sheetView>
  </sheetViews>
  <sheetFormatPr defaultRowHeight="15" x14ac:dyDescent="0.25"/>
  <cols>
    <col min="1" max="1" width="6.140625" bestFit="1" customWidth="1"/>
    <col min="2" max="2" width="12.140625" style="1" bestFit="1" customWidth="1"/>
    <col min="3" max="3" width="17.85546875" style="1" bestFit="1" customWidth="1"/>
    <col min="4" max="4" width="12.28515625" style="1" bestFit="1" customWidth="1"/>
    <col min="5" max="5" width="7.7109375" style="1" bestFit="1" customWidth="1"/>
    <col min="6" max="6" width="16.85546875" style="1" bestFit="1" customWidth="1"/>
    <col min="7" max="7" width="7.7109375" style="1" bestFit="1" customWidth="1"/>
    <col min="8" max="8" width="9.85546875" style="1" bestFit="1" customWidth="1"/>
    <col min="9" max="9" width="6.85546875" bestFit="1" customWidth="1"/>
    <col min="10" max="10" width="12.85546875" style="1" bestFit="1" customWidth="1"/>
    <col min="11" max="11" width="16" style="1" bestFit="1" customWidth="1"/>
    <col min="12" max="12" width="8.7109375" style="1" bestFit="1" customWidth="1"/>
    <col min="13" max="13" width="10.140625" style="1" bestFit="1" customWidth="1"/>
    <col min="14" max="14" width="8" style="1" bestFit="1" customWidth="1"/>
    <col min="15" max="15" width="11.85546875" style="1" bestFit="1" customWidth="1"/>
    <col min="16" max="16" width="11.7109375" style="299" bestFit="1" customWidth="1"/>
    <col min="17" max="17" width="7" style="1" bestFit="1" customWidth="1"/>
    <col min="18" max="18" width="11" style="8" bestFit="1" customWidth="1"/>
    <col min="19" max="19" width="12" style="8" bestFit="1" customWidth="1"/>
    <col min="20" max="20" width="16.28515625" style="8" bestFit="1" customWidth="1"/>
    <col min="21" max="21" width="7.28515625" style="312" bestFit="1" customWidth="1"/>
    <col min="22" max="22" width="12.42578125" style="304" bestFit="1" customWidth="1"/>
    <col min="24" max="24" width="42.28515625" style="1" bestFit="1" customWidth="1"/>
    <col min="26" max="26" width="30.140625" bestFit="1" customWidth="1"/>
  </cols>
  <sheetData>
    <row r="1" spans="1:24" ht="15.75" thickBot="1" x14ac:dyDescent="0.3">
      <c r="A1" s="309" t="s">
        <v>321</v>
      </c>
      <c r="B1" s="315" t="str">
        <f>SCALARS!A1</f>
        <v>category1</v>
      </c>
      <c r="C1" s="315" t="str">
        <f>SCALARS!B1</f>
        <v>category2</v>
      </c>
      <c r="D1" s="315" t="str">
        <f>SCALARS!C1</f>
        <v>category3</v>
      </c>
      <c r="E1" s="315" t="str">
        <f>SCALARS!E1</f>
        <v>lo_px_sym</v>
      </c>
      <c r="F1" s="315" t="str">
        <f>SCALARS!K1</f>
        <v>hi_div_adj</v>
      </c>
      <c r="G1" s="315" t="str">
        <f>SCALARS!J1</f>
        <v>lo_div_adj</v>
      </c>
      <c r="H1" s="315" t="str">
        <f>SCALARS!I1</f>
        <v>multiplier</v>
      </c>
      <c r="I1" s="330" t="s">
        <v>322</v>
      </c>
      <c r="J1" s="333" t="s">
        <v>326</v>
      </c>
      <c r="K1" s="333" t="s">
        <v>323</v>
      </c>
      <c r="L1" s="339" t="s">
        <v>324</v>
      </c>
      <c r="M1" s="339" t="s">
        <v>325</v>
      </c>
      <c r="N1" s="339" t="s">
        <v>327</v>
      </c>
      <c r="O1" s="310" t="s">
        <v>132</v>
      </c>
      <c r="P1" s="310" t="str">
        <f>SCALARS!D1</f>
        <v>pair_name</v>
      </c>
      <c r="Q1" s="310" t="s">
        <v>304</v>
      </c>
      <c r="R1" s="311" t="s">
        <v>281</v>
      </c>
      <c r="S1" s="311" t="s">
        <v>305</v>
      </c>
      <c r="T1" s="311" t="s">
        <v>306</v>
      </c>
      <c r="U1" s="320" t="s">
        <v>282</v>
      </c>
      <c r="V1" s="321" t="s">
        <v>283</v>
      </c>
    </row>
    <row r="2" spans="1:24" x14ac:dyDescent="0.25">
      <c r="A2" s="305" t="e">
        <f>MATCH(P2,SCALARS!D:D,0)</f>
        <v>#N/A</v>
      </c>
      <c r="B2" s="186" t="e" cm="1">
        <f t="array" aca="1" ref="B2" ca="1">INDIRECT(ADDRESS($A2,1,,,"scalars"))</f>
        <v>#N/A</v>
      </c>
      <c r="C2" s="186" t="e" cm="1">
        <f t="array" aca="1" ref="C2" ca="1">INDIRECT(ADDRESS($A2,2,,,"scalars"))</f>
        <v>#N/A</v>
      </c>
      <c r="D2" s="186" t="e" cm="1">
        <f t="array" aca="1" ref="D2" ca="1">INDIRECT(ADDRESS($A2,3,,,"scalars"))</f>
        <v>#N/A</v>
      </c>
      <c r="E2" s="186" t="e" cm="1">
        <f t="array" aca="1" ref="E2" ca="1">INDIRECT(ADDRESS($A2,5,,,"scalars"))</f>
        <v>#N/A</v>
      </c>
      <c r="F2" s="327" t="e" cm="1">
        <f t="array" aca="1" ref="F2" ca="1">INDIRECT(ADDRESS($A2,11,,,"scalars"))</f>
        <v>#N/A</v>
      </c>
      <c r="G2" s="316" t="e" cm="1">
        <f t="array" aca="1" ref="G2" ca="1">INDIRECT(ADDRESS($A2,10,,,"scalars"))</f>
        <v>#N/A</v>
      </c>
      <c r="H2" s="316" t="e" cm="1">
        <f t="array" aca="1" ref="H2" ca="1">INDIRECT(ADDRESS($A2,9,,,"scalars"))</f>
        <v>#N/A</v>
      </c>
      <c r="I2" s="331">
        <f>MATCH(P2,'MKT DATA'!B:B,0)</f>
        <v>18</v>
      </c>
      <c r="J2" s="345" cm="1">
        <f t="array" aca="1" ref="J2" ca="1">INDIRECT(ADDRESS($I2,8,,,"mkt data"))</f>
        <v>95.150002000000001</v>
      </c>
      <c r="K2" s="334" cm="1">
        <f t="array" aca="1" ref="K2" ca="1">INDIRECT(ADDRESS($I2,9,,,"mkt data"))</f>
        <v>-446</v>
      </c>
      <c r="L2" s="341" t="e">
        <f ca="1">F2*L$26</f>
        <v>#N/A</v>
      </c>
      <c r="M2" s="584" t="e">
        <f ca="1">MROUND(MIN(L2/H2,L3/H3),M$26)</f>
        <v>#N/A</v>
      </c>
      <c r="N2" s="586" t="e">
        <f ca="1">MROUND(M2*J3,N$26)/N$26</f>
        <v>#N/A</v>
      </c>
      <c r="O2" s="306" t="b">
        <v>0</v>
      </c>
      <c r="P2" s="313" t="s">
        <v>37</v>
      </c>
      <c r="Q2" s="338">
        <f t="shared" ref="Q2:Q3" ca="1" si="0">-K2</f>
        <v>446</v>
      </c>
      <c r="R2" s="588">
        <v>2</v>
      </c>
      <c r="S2" s="590"/>
      <c r="T2" s="590">
        <v>0</v>
      </c>
      <c r="U2" s="592">
        <v>0</v>
      </c>
      <c r="V2" s="594" t="s">
        <v>284</v>
      </c>
      <c r="X2" s="318" t="s">
        <v>75</v>
      </c>
    </row>
    <row r="3" spans="1:24" ht="15.75" thickBot="1" x14ac:dyDescent="0.3">
      <c r="A3" s="307" t="e">
        <f>MATCH(P3,SCALARS!D:D,0)</f>
        <v>#N/A</v>
      </c>
      <c r="B3" s="187" t="e" cm="1">
        <f t="array" aca="1" ref="B3" ca="1">INDIRECT(ADDRESS($A3,1,,,"scalars"))</f>
        <v>#N/A</v>
      </c>
      <c r="C3" s="187" t="e" cm="1">
        <f t="array" aca="1" ref="C3" ca="1">INDIRECT(ADDRESS($A3,2,,,"scalars"))</f>
        <v>#N/A</v>
      </c>
      <c r="D3" s="187" t="e" cm="1">
        <f t="array" aca="1" ref="D3" ca="1">INDIRECT(ADDRESS($A3,3,,,"scalars"))</f>
        <v>#N/A</v>
      </c>
      <c r="E3" s="187" t="e" cm="1">
        <f t="array" aca="1" ref="E3" ca="1">INDIRECT(ADDRESS($A3,5,,,"scalars"))</f>
        <v>#N/A</v>
      </c>
      <c r="F3" s="328" t="e" cm="1">
        <f t="array" aca="1" ref="F3" ca="1">INDIRECT(ADDRESS($A3,11,,,"scalars"))</f>
        <v>#N/A</v>
      </c>
      <c r="G3" s="317" t="e" cm="1">
        <f t="array" aca="1" ref="G3" ca="1">INDIRECT(ADDRESS($A3,10,,,"scalars"))</f>
        <v>#N/A</v>
      </c>
      <c r="H3" s="317" t="e" cm="1">
        <f t="array" aca="1" ref="H3" ca="1">INDIRECT(ADDRESS($A3,9,,,"scalars"))</f>
        <v>#N/A</v>
      </c>
      <c r="I3" s="332">
        <f>MATCH(P3,'MKT DATA'!B:B,0)</f>
        <v>19</v>
      </c>
      <c r="J3" s="346" cm="1">
        <f t="array" aca="1" ref="J3" ca="1">INDIRECT(ADDRESS($I3,8,,,"mkt data"))</f>
        <v>105.029999</v>
      </c>
      <c r="K3" s="335" cm="1">
        <f t="array" aca="1" ref="K3" ca="1">INDIRECT(ADDRESS($I3,9,,,"mkt data"))</f>
        <v>400</v>
      </c>
      <c r="L3" s="342" t="e">
        <f t="shared" ref="L3:L25" ca="1" si="1">F3*L$26</f>
        <v>#N/A</v>
      </c>
      <c r="M3" s="585"/>
      <c r="N3" s="587"/>
      <c r="O3" s="308" t="b">
        <v>0</v>
      </c>
      <c r="P3" s="314" t="s">
        <v>41</v>
      </c>
      <c r="Q3" s="337">
        <f t="shared" ca="1" si="0"/>
        <v>-400</v>
      </c>
      <c r="R3" s="589"/>
      <c r="S3" s="591"/>
      <c r="T3" s="591"/>
      <c r="U3" s="593"/>
      <c r="V3" s="595"/>
      <c r="X3" s="319" t="s">
        <v>285</v>
      </c>
    </row>
    <row r="4" spans="1:24" x14ac:dyDescent="0.25">
      <c r="A4" s="305" t="e">
        <f>MATCH(P4,SCALARS!D:D,0)</f>
        <v>#N/A</v>
      </c>
      <c r="B4" s="186" t="e" cm="1">
        <f t="array" aca="1" ref="B4" ca="1">INDIRECT(ADDRESS($A4,1,,,"scalars"))</f>
        <v>#N/A</v>
      </c>
      <c r="C4" s="186" t="e" cm="1">
        <f t="array" aca="1" ref="C4" ca="1">INDIRECT(ADDRESS($A4,2,,,"scalars"))</f>
        <v>#N/A</v>
      </c>
      <c r="D4" s="186" t="e" cm="1">
        <f t="array" aca="1" ref="D4" ca="1">INDIRECT(ADDRESS($A4,3,,,"scalars"))</f>
        <v>#N/A</v>
      </c>
      <c r="E4" s="186" t="e" cm="1">
        <f t="array" aca="1" ref="E4" ca="1">INDIRECT(ADDRESS($A4,5,,,"scalars"))</f>
        <v>#N/A</v>
      </c>
      <c r="F4" s="329" t="e" cm="1">
        <f t="array" aca="1" ref="F4" ca="1">INDIRECT(ADDRESS($A4,11,,,"scalars"))</f>
        <v>#N/A</v>
      </c>
      <c r="G4" s="316" t="e" cm="1">
        <f t="array" aca="1" ref="G4" ca="1">INDIRECT(ADDRESS($A4,10,,,"scalars"))</f>
        <v>#N/A</v>
      </c>
      <c r="H4" s="316" t="e" cm="1">
        <f t="array" aca="1" ref="H4" ca="1">INDIRECT(ADDRESS($A4,9,,,"scalars"))</f>
        <v>#N/A</v>
      </c>
      <c r="I4" s="331" t="e">
        <f>MATCH(P4,'MKT DATA'!B:B,0)</f>
        <v>#N/A</v>
      </c>
      <c r="J4" s="345" t="e" cm="1">
        <f t="array" aca="1" ref="J4" ca="1">INDIRECT(ADDRESS($I4,8,,,"mkt data"))</f>
        <v>#N/A</v>
      </c>
      <c r="K4" s="336" t="e" cm="1">
        <f t="array" aca="1" ref="K4" ca="1">INDIRECT(ADDRESS($I4,9,,,"mkt data"))</f>
        <v>#N/A</v>
      </c>
      <c r="L4" s="343" t="e">
        <f t="shared" ca="1" si="1"/>
        <v>#N/A</v>
      </c>
      <c r="M4" s="584" t="e">
        <f t="shared" ref="M4" ca="1" si="2">MROUND(MIN(L4/H4,L5/H5),M$26)</f>
        <v>#N/A</v>
      </c>
      <c r="N4" s="586" t="e">
        <f t="shared" ref="N4" ca="1" si="3">MROUND(M4*J5,N$26)/N$26</f>
        <v>#N/A</v>
      </c>
      <c r="O4" s="306" t="b">
        <v>0</v>
      </c>
      <c r="P4" s="313"/>
      <c r="Q4" s="338"/>
      <c r="R4" s="588"/>
      <c r="S4" s="590"/>
      <c r="T4" s="590"/>
      <c r="U4" s="592">
        <v>0</v>
      </c>
      <c r="V4" s="594" t="s">
        <v>284</v>
      </c>
    </row>
    <row r="5" spans="1:24" ht="15.75" thickBot="1" x14ac:dyDescent="0.3">
      <c r="A5" s="307" t="e">
        <f>MATCH(P5,SCALARS!D:D,0)</f>
        <v>#N/A</v>
      </c>
      <c r="B5" s="187" t="e" cm="1">
        <f t="array" aca="1" ref="B5" ca="1">INDIRECT(ADDRESS($A5,1,,,"scalars"))</f>
        <v>#N/A</v>
      </c>
      <c r="C5" s="187" t="e" cm="1">
        <f t="array" aca="1" ref="C5" ca="1">INDIRECT(ADDRESS($A5,2,,,"scalars"))</f>
        <v>#N/A</v>
      </c>
      <c r="D5" s="187" t="e" cm="1">
        <f t="array" aca="1" ref="D5" ca="1">INDIRECT(ADDRESS($A5,3,,,"scalars"))</f>
        <v>#N/A</v>
      </c>
      <c r="E5" s="187" t="e" cm="1">
        <f t="array" aca="1" ref="E5" ca="1">INDIRECT(ADDRESS($A5,5,,,"scalars"))</f>
        <v>#N/A</v>
      </c>
      <c r="F5" s="328" t="e" cm="1">
        <f t="array" aca="1" ref="F5" ca="1">INDIRECT(ADDRESS($A5,11,,,"scalars"))</f>
        <v>#N/A</v>
      </c>
      <c r="G5" s="317" t="e" cm="1">
        <f t="array" aca="1" ref="G5" ca="1">INDIRECT(ADDRESS($A5,10,,,"scalars"))</f>
        <v>#N/A</v>
      </c>
      <c r="H5" s="317" t="e" cm="1">
        <f t="array" aca="1" ref="H5" ca="1">INDIRECT(ADDRESS($A5,9,,,"scalars"))</f>
        <v>#N/A</v>
      </c>
      <c r="I5" s="332" t="e">
        <f>MATCH(P5,'MKT DATA'!B:B,0)</f>
        <v>#N/A</v>
      </c>
      <c r="J5" s="346" t="e" cm="1">
        <f t="array" aca="1" ref="J5" ca="1">INDIRECT(ADDRESS($I5,8,,,"mkt data"))</f>
        <v>#N/A</v>
      </c>
      <c r="K5" s="335" t="e" cm="1">
        <f t="array" aca="1" ref="K5" ca="1">INDIRECT(ADDRESS($I5,9,,,"mkt data"))</f>
        <v>#N/A</v>
      </c>
      <c r="L5" s="342" t="e">
        <f t="shared" ca="1" si="1"/>
        <v>#N/A</v>
      </c>
      <c r="M5" s="585"/>
      <c r="N5" s="587"/>
      <c r="O5" s="308" t="b">
        <v>0</v>
      </c>
      <c r="P5" s="314"/>
      <c r="Q5" s="337"/>
      <c r="R5" s="589"/>
      <c r="S5" s="591"/>
      <c r="T5" s="591"/>
      <c r="U5" s="593"/>
      <c r="V5" s="595"/>
    </row>
    <row r="6" spans="1:24" x14ac:dyDescent="0.25">
      <c r="A6" s="305" t="e">
        <f>MATCH(P6,SCALARS!D:D,0)</f>
        <v>#N/A</v>
      </c>
      <c r="B6" s="186" t="e" cm="1">
        <f t="array" aca="1" ref="B6" ca="1">INDIRECT(ADDRESS($A6,1,,,"scalars"))</f>
        <v>#N/A</v>
      </c>
      <c r="C6" s="186" t="e" cm="1">
        <f t="array" aca="1" ref="C6" ca="1">INDIRECT(ADDRESS($A6,2,,,"scalars"))</f>
        <v>#N/A</v>
      </c>
      <c r="D6" s="186" t="e" cm="1">
        <f t="array" aca="1" ref="D6" ca="1">INDIRECT(ADDRESS($A6,3,,,"scalars"))</f>
        <v>#N/A</v>
      </c>
      <c r="E6" s="186" t="e" cm="1">
        <f t="array" aca="1" ref="E6" ca="1">INDIRECT(ADDRESS($A6,5,,,"scalars"))</f>
        <v>#N/A</v>
      </c>
      <c r="F6" s="329" t="e" cm="1">
        <f t="array" aca="1" ref="F6" ca="1">INDIRECT(ADDRESS($A6,11,,,"scalars"))</f>
        <v>#N/A</v>
      </c>
      <c r="G6" s="316" t="e" cm="1">
        <f t="array" aca="1" ref="G6" ca="1">INDIRECT(ADDRESS($A6,10,,,"scalars"))</f>
        <v>#N/A</v>
      </c>
      <c r="H6" s="316" t="e" cm="1">
        <f t="array" aca="1" ref="H6" ca="1">INDIRECT(ADDRESS($A6,9,,,"scalars"))</f>
        <v>#N/A</v>
      </c>
      <c r="I6" s="331" t="e">
        <f>MATCH(P6,'MKT DATA'!B:B,0)</f>
        <v>#N/A</v>
      </c>
      <c r="J6" s="345" t="e" cm="1">
        <f t="array" aca="1" ref="J6" ca="1">INDIRECT(ADDRESS($I6,8,,,"mkt data"))</f>
        <v>#N/A</v>
      </c>
      <c r="K6" s="336" t="e" cm="1">
        <f t="array" aca="1" ref="K6" ca="1">INDIRECT(ADDRESS($I6,9,,,"mkt data"))</f>
        <v>#N/A</v>
      </c>
      <c r="L6" s="343" t="e">
        <f t="shared" ca="1" si="1"/>
        <v>#N/A</v>
      </c>
      <c r="M6" s="584" t="e">
        <f t="shared" ref="M6" ca="1" si="4">MROUND(MIN(L6/H6,L7/H7),M$26)</f>
        <v>#N/A</v>
      </c>
      <c r="N6" s="586" t="e">
        <f t="shared" ref="N6" ca="1" si="5">MROUND(M6*J7,N$26)/N$26</f>
        <v>#N/A</v>
      </c>
      <c r="O6" s="306" t="b">
        <v>0</v>
      </c>
      <c r="P6" s="313"/>
      <c r="Q6" s="338"/>
      <c r="R6" s="588"/>
      <c r="S6" s="590"/>
      <c r="T6" s="590"/>
      <c r="U6" s="592">
        <v>0</v>
      </c>
      <c r="V6" s="594" t="s">
        <v>284</v>
      </c>
      <c r="X6" s="596" t="s">
        <v>303</v>
      </c>
    </row>
    <row r="7" spans="1:24" ht="15.75" thickBot="1" x14ac:dyDescent="0.3">
      <c r="A7" s="307" t="e">
        <f>MATCH(P7,SCALARS!D:D,0)</f>
        <v>#N/A</v>
      </c>
      <c r="B7" s="187" t="e" cm="1">
        <f t="array" aca="1" ref="B7" ca="1">INDIRECT(ADDRESS($A7,1,,,"scalars"))</f>
        <v>#N/A</v>
      </c>
      <c r="C7" s="187" t="e" cm="1">
        <f t="array" aca="1" ref="C7" ca="1">INDIRECT(ADDRESS($A7,2,,,"scalars"))</f>
        <v>#N/A</v>
      </c>
      <c r="D7" s="187" t="e" cm="1">
        <f t="array" aca="1" ref="D7" ca="1">INDIRECT(ADDRESS($A7,3,,,"scalars"))</f>
        <v>#N/A</v>
      </c>
      <c r="E7" s="187" t="e" cm="1">
        <f t="array" aca="1" ref="E7" ca="1">INDIRECT(ADDRESS($A7,5,,,"scalars"))</f>
        <v>#N/A</v>
      </c>
      <c r="F7" s="328" t="e" cm="1">
        <f t="array" aca="1" ref="F7" ca="1">INDIRECT(ADDRESS($A7,11,,,"scalars"))</f>
        <v>#N/A</v>
      </c>
      <c r="G7" s="317" t="e" cm="1">
        <f t="array" aca="1" ref="G7" ca="1">INDIRECT(ADDRESS($A7,10,,,"scalars"))</f>
        <v>#N/A</v>
      </c>
      <c r="H7" s="317" t="e" cm="1">
        <f t="array" aca="1" ref="H7" ca="1">INDIRECT(ADDRESS($A7,9,,,"scalars"))</f>
        <v>#N/A</v>
      </c>
      <c r="I7" s="332" t="e">
        <f>MATCH(P7,'MKT DATA'!B:B,0)</f>
        <v>#N/A</v>
      </c>
      <c r="J7" s="346" t="e" cm="1">
        <f t="array" aca="1" ref="J7" ca="1">INDIRECT(ADDRESS($I7,8,,,"mkt data"))</f>
        <v>#N/A</v>
      </c>
      <c r="K7" s="335" t="e" cm="1">
        <f t="array" aca="1" ref="K7" ca="1">INDIRECT(ADDRESS($I7,9,,,"mkt data"))</f>
        <v>#N/A</v>
      </c>
      <c r="L7" s="342" t="e">
        <f t="shared" ca="1" si="1"/>
        <v>#N/A</v>
      </c>
      <c r="M7" s="585"/>
      <c r="N7" s="587"/>
      <c r="O7" s="308" t="b">
        <v>0</v>
      </c>
      <c r="P7" s="314"/>
      <c r="Q7" s="337"/>
      <c r="R7" s="589"/>
      <c r="S7" s="591"/>
      <c r="T7" s="591"/>
      <c r="U7" s="593"/>
      <c r="V7" s="595"/>
      <c r="X7" s="597"/>
    </row>
    <row r="8" spans="1:24" x14ac:dyDescent="0.25">
      <c r="A8" s="305" t="e">
        <f>MATCH(P8,SCALARS!D:D,0)</f>
        <v>#N/A</v>
      </c>
      <c r="B8" s="186" t="e" cm="1">
        <f t="array" aca="1" ref="B8" ca="1">INDIRECT(ADDRESS($A8,1,,,"scalars"))</f>
        <v>#N/A</v>
      </c>
      <c r="C8" s="186" t="e" cm="1">
        <f t="array" aca="1" ref="C8" ca="1">INDIRECT(ADDRESS($A8,2,,,"scalars"))</f>
        <v>#N/A</v>
      </c>
      <c r="D8" s="186" t="e" cm="1">
        <f t="array" aca="1" ref="D8" ca="1">INDIRECT(ADDRESS($A8,3,,,"scalars"))</f>
        <v>#N/A</v>
      </c>
      <c r="E8" s="186" t="e" cm="1">
        <f t="array" aca="1" ref="E8" ca="1">INDIRECT(ADDRESS($A8,5,,,"scalars"))</f>
        <v>#N/A</v>
      </c>
      <c r="F8" s="329" t="e" cm="1">
        <f t="array" aca="1" ref="F8" ca="1">INDIRECT(ADDRESS($A8,11,,,"scalars"))</f>
        <v>#N/A</v>
      </c>
      <c r="G8" s="316" t="e" cm="1">
        <f t="array" aca="1" ref="G8" ca="1">INDIRECT(ADDRESS($A8,10,,,"scalars"))</f>
        <v>#N/A</v>
      </c>
      <c r="H8" s="316" t="e" cm="1">
        <f t="array" aca="1" ref="H8" ca="1">INDIRECT(ADDRESS($A8,9,,,"scalars"))</f>
        <v>#N/A</v>
      </c>
      <c r="I8" s="331" t="e">
        <f>MATCH(P8,'MKT DATA'!B:B,0)</f>
        <v>#N/A</v>
      </c>
      <c r="J8" s="345" t="e" cm="1">
        <f t="array" aca="1" ref="J8" ca="1">INDIRECT(ADDRESS($I8,8,,,"mkt data"))</f>
        <v>#N/A</v>
      </c>
      <c r="K8" s="336" t="e" cm="1">
        <f t="array" aca="1" ref="K8" ca="1">INDIRECT(ADDRESS($I8,9,,,"mkt data"))</f>
        <v>#N/A</v>
      </c>
      <c r="L8" s="343" t="e">
        <f t="shared" ca="1" si="1"/>
        <v>#N/A</v>
      </c>
      <c r="M8" s="584" t="e">
        <f t="shared" ref="M8" ca="1" si="6">MROUND(MIN(L8/H8,L9/H9),M$26)</f>
        <v>#N/A</v>
      </c>
      <c r="N8" s="586" t="e">
        <f t="shared" ref="N8" ca="1" si="7">MROUND(M8*J9,N$26)/N$26</f>
        <v>#N/A</v>
      </c>
      <c r="O8" s="306" t="b">
        <v>0</v>
      </c>
      <c r="P8" s="313"/>
      <c r="Q8" s="338"/>
      <c r="R8" s="588"/>
      <c r="S8" s="590"/>
      <c r="T8" s="590"/>
      <c r="U8" s="592">
        <v>0</v>
      </c>
      <c r="V8" s="594" t="s">
        <v>284</v>
      </c>
    </row>
    <row r="9" spans="1:24" ht="15.75" thickBot="1" x14ac:dyDescent="0.3">
      <c r="A9" s="307" t="e">
        <f>MATCH(P9,SCALARS!D:D,0)</f>
        <v>#N/A</v>
      </c>
      <c r="B9" s="187" t="e" cm="1">
        <f t="array" aca="1" ref="B9" ca="1">INDIRECT(ADDRESS($A9,1,,,"scalars"))</f>
        <v>#N/A</v>
      </c>
      <c r="C9" s="187" t="e" cm="1">
        <f t="array" aca="1" ref="C9" ca="1">INDIRECT(ADDRESS($A9,2,,,"scalars"))</f>
        <v>#N/A</v>
      </c>
      <c r="D9" s="187" t="e" cm="1">
        <f t="array" aca="1" ref="D9" ca="1">INDIRECT(ADDRESS($A9,3,,,"scalars"))</f>
        <v>#N/A</v>
      </c>
      <c r="E9" s="187" t="e" cm="1">
        <f t="array" aca="1" ref="E9" ca="1">INDIRECT(ADDRESS($A9,5,,,"scalars"))</f>
        <v>#N/A</v>
      </c>
      <c r="F9" s="328" t="e" cm="1">
        <f t="array" aca="1" ref="F9" ca="1">INDIRECT(ADDRESS($A9,11,,,"scalars"))</f>
        <v>#N/A</v>
      </c>
      <c r="G9" s="317" t="e" cm="1">
        <f t="array" aca="1" ref="G9" ca="1">INDIRECT(ADDRESS($A9,10,,,"scalars"))</f>
        <v>#N/A</v>
      </c>
      <c r="H9" s="317" t="e" cm="1">
        <f t="array" aca="1" ref="H9" ca="1">INDIRECT(ADDRESS($A9,9,,,"scalars"))</f>
        <v>#N/A</v>
      </c>
      <c r="I9" s="332" t="e">
        <f>MATCH(P9,'MKT DATA'!B:B,0)</f>
        <v>#N/A</v>
      </c>
      <c r="J9" s="346" t="e" cm="1">
        <f t="array" aca="1" ref="J9" ca="1">INDIRECT(ADDRESS($I9,8,,,"mkt data"))</f>
        <v>#N/A</v>
      </c>
      <c r="K9" s="335" t="e" cm="1">
        <f t="array" aca="1" ref="K9" ca="1">INDIRECT(ADDRESS($I9,9,,,"mkt data"))</f>
        <v>#N/A</v>
      </c>
      <c r="L9" s="342" t="e">
        <f t="shared" ca="1" si="1"/>
        <v>#N/A</v>
      </c>
      <c r="M9" s="585"/>
      <c r="N9" s="587"/>
      <c r="O9" s="308" t="b">
        <v>0</v>
      </c>
      <c r="P9" s="314"/>
      <c r="Q9" s="337"/>
      <c r="R9" s="589"/>
      <c r="S9" s="591"/>
      <c r="T9" s="591"/>
      <c r="U9" s="593"/>
      <c r="V9" s="595"/>
    </row>
    <row r="10" spans="1:24" x14ac:dyDescent="0.25">
      <c r="A10" s="305" t="e">
        <f>MATCH(P10,SCALARS!D:D,0)</f>
        <v>#N/A</v>
      </c>
      <c r="B10" s="186" t="e" cm="1">
        <f t="array" aca="1" ref="B10" ca="1">INDIRECT(ADDRESS($A10,1,,,"scalars"))</f>
        <v>#N/A</v>
      </c>
      <c r="C10" s="186" t="e" cm="1">
        <f t="array" aca="1" ref="C10" ca="1">INDIRECT(ADDRESS($A10,2,,,"scalars"))</f>
        <v>#N/A</v>
      </c>
      <c r="D10" s="186" t="e" cm="1">
        <f t="array" aca="1" ref="D10" ca="1">INDIRECT(ADDRESS($A10,3,,,"scalars"))</f>
        <v>#N/A</v>
      </c>
      <c r="E10" s="186" t="e" cm="1">
        <f t="array" aca="1" ref="E10" ca="1">INDIRECT(ADDRESS($A10,5,,,"scalars"))</f>
        <v>#N/A</v>
      </c>
      <c r="F10" s="329" t="e" cm="1">
        <f t="array" aca="1" ref="F10" ca="1">INDIRECT(ADDRESS($A10,11,,,"scalars"))</f>
        <v>#N/A</v>
      </c>
      <c r="G10" s="316" t="e" cm="1">
        <f t="array" aca="1" ref="G10" ca="1">INDIRECT(ADDRESS($A10,10,,,"scalars"))</f>
        <v>#N/A</v>
      </c>
      <c r="H10" s="316" t="e" cm="1">
        <f t="array" aca="1" ref="H10" ca="1">INDIRECT(ADDRESS($A10,9,,,"scalars"))</f>
        <v>#N/A</v>
      </c>
      <c r="I10" s="331" t="e">
        <f>MATCH(P10,'MKT DATA'!B:B,0)</f>
        <v>#N/A</v>
      </c>
      <c r="J10" s="345" t="e" cm="1">
        <f t="array" aca="1" ref="J10" ca="1">INDIRECT(ADDRESS($I10,8,,,"mkt data"))</f>
        <v>#N/A</v>
      </c>
      <c r="K10" s="336" t="e" cm="1">
        <f t="array" aca="1" ref="K10" ca="1">INDIRECT(ADDRESS($I10,9,,,"mkt data"))</f>
        <v>#N/A</v>
      </c>
      <c r="L10" s="343" t="e">
        <f t="shared" ca="1" si="1"/>
        <v>#N/A</v>
      </c>
      <c r="M10" s="584" t="e">
        <f t="shared" ref="M10" ca="1" si="8">MROUND(MIN(L10/H10,L11/H11),M$26)</f>
        <v>#N/A</v>
      </c>
      <c r="N10" s="586" t="e">
        <f t="shared" ref="N10" ca="1" si="9">MROUND(M10*J11,N$26)/N$26</f>
        <v>#N/A</v>
      </c>
      <c r="O10" s="306" t="b">
        <v>0</v>
      </c>
      <c r="P10" s="313"/>
      <c r="Q10" s="338"/>
      <c r="R10" s="588"/>
      <c r="S10" s="590"/>
      <c r="T10" s="590"/>
      <c r="U10" s="592">
        <v>0</v>
      </c>
      <c r="V10" s="594" t="s">
        <v>284</v>
      </c>
    </row>
    <row r="11" spans="1:24" ht="15.75" thickBot="1" x14ac:dyDescent="0.3">
      <c r="A11" s="307" t="e">
        <f>MATCH(P11,SCALARS!D:D,0)</f>
        <v>#N/A</v>
      </c>
      <c r="B11" s="187" t="e" cm="1">
        <f t="array" aca="1" ref="B11" ca="1">INDIRECT(ADDRESS($A11,1,,,"scalars"))</f>
        <v>#N/A</v>
      </c>
      <c r="C11" s="187" t="e" cm="1">
        <f t="array" aca="1" ref="C11" ca="1">INDIRECT(ADDRESS($A11,2,,,"scalars"))</f>
        <v>#N/A</v>
      </c>
      <c r="D11" s="187" t="e" cm="1">
        <f t="array" aca="1" ref="D11" ca="1">INDIRECT(ADDRESS($A11,3,,,"scalars"))</f>
        <v>#N/A</v>
      </c>
      <c r="E11" s="187" t="e" cm="1">
        <f t="array" aca="1" ref="E11" ca="1">INDIRECT(ADDRESS($A11,5,,,"scalars"))</f>
        <v>#N/A</v>
      </c>
      <c r="F11" s="328" t="e" cm="1">
        <f t="array" aca="1" ref="F11" ca="1">INDIRECT(ADDRESS($A11,11,,,"scalars"))</f>
        <v>#N/A</v>
      </c>
      <c r="G11" s="317" t="e" cm="1">
        <f t="array" aca="1" ref="G11" ca="1">INDIRECT(ADDRESS($A11,10,,,"scalars"))</f>
        <v>#N/A</v>
      </c>
      <c r="H11" s="317" t="e" cm="1">
        <f t="array" aca="1" ref="H11" ca="1">INDIRECT(ADDRESS($A11,9,,,"scalars"))</f>
        <v>#N/A</v>
      </c>
      <c r="I11" s="332" t="e">
        <f>MATCH(P11,'MKT DATA'!B:B,0)</f>
        <v>#N/A</v>
      </c>
      <c r="J11" s="346" t="e" cm="1">
        <f t="array" aca="1" ref="J11" ca="1">INDIRECT(ADDRESS($I11,8,,,"mkt data"))</f>
        <v>#N/A</v>
      </c>
      <c r="K11" s="335" t="e" cm="1">
        <f t="array" aca="1" ref="K11" ca="1">INDIRECT(ADDRESS($I11,9,,,"mkt data"))</f>
        <v>#N/A</v>
      </c>
      <c r="L11" s="342" t="e">
        <f t="shared" ca="1" si="1"/>
        <v>#N/A</v>
      </c>
      <c r="M11" s="585"/>
      <c r="N11" s="587"/>
      <c r="O11" s="308" t="b">
        <v>0</v>
      </c>
      <c r="P11" s="314"/>
      <c r="Q11" s="337"/>
      <c r="R11" s="589"/>
      <c r="S11" s="591"/>
      <c r="T11" s="591"/>
      <c r="U11" s="593"/>
      <c r="V11" s="595"/>
    </row>
    <row r="12" spans="1:24" x14ac:dyDescent="0.25">
      <c r="A12" s="305" t="e">
        <f>MATCH(P12,SCALARS!D:D,0)</f>
        <v>#N/A</v>
      </c>
      <c r="B12" s="186" t="e" cm="1">
        <f t="array" aca="1" ref="B12" ca="1">INDIRECT(ADDRESS($A12,1,,,"scalars"))</f>
        <v>#N/A</v>
      </c>
      <c r="C12" s="186" t="e" cm="1">
        <f t="array" aca="1" ref="C12" ca="1">INDIRECT(ADDRESS($A12,2,,,"scalars"))</f>
        <v>#N/A</v>
      </c>
      <c r="D12" s="186" t="e" cm="1">
        <f t="array" aca="1" ref="D12" ca="1">INDIRECT(ADDRESS($A12,3,,,"scalars"))</f>
        <v>#N/A</v>
      </c>
      <c r="E12" s="186" t="e" cm="1">
        <f t="array" aca="1" ref="E12" ca="1">INDIRECT(ADDRESS($A12,5,,,"scalars"))</f>
        <v>#N/A</v>
      </c>
      <c r="F12" s="329" t="e" cm="1">
        <f t="array" aca="1" ref="F12" ca="1">INDIRECT(ADDRESS($A12,11,,,"scalars"))</f>
        <v>#N/A</v>
      </c>
      <c r="G12" s="316" t="e" cm="1">
        <f t="array" aca="1" ref="G12" ca="1">INDIRECT(ADDRESS($A12,10,,,"scalars"))</f>
        <v>#N/A</v>
      </c>
      <c r="H12" s="316" t="e" cm="1">
        <f t="array" aca="1" ref="H12" ca="1">INDIRECT(ADDRESS($A12,9,,,"scalars"))</f>
        <v>#N/A</v>
      </c>
      <c r="I12" s="331" t="e">
        <f>MATCH(P12,'MKT DATA'!B:B,0)</f>
        <v>#N/A</v>
      </c>
      <c r="J12" s="345" t="e" cm="1">
        <f t="array" aca="1" ref="J12" ca="1">INDIRECT(ADDRESS($I12,8,,,"mkt data"))</f>
        <v>#N/A</v>
      </c>
      <c r="K12" s="336" t="e" cm="1">
        <f t="array" aca="1" ref="K12" ca="1">INDIRECT(ADDRESS($I12,9,,,"mkt data"))</f>
        <v>#N/A</v>
      </c>
      <c r="L12" s="343" t="e">
        <f t="shared" ca="1" si="1"/>
        <v>#N/A</v>
      </c>
      <c r="M12" s="584" t="e">
        <f t="shared" ref="M12" ca="1" si="10">MROUND(MIN(L12/H12,L13/H13),M$26)</f>
        <v>#N/A</v>
      </c>
      <c r="N12" s="586" t="e">
        <f t="shared" ref="N12" ca="1" si="11">MROUND(M12*J13,N$26)/N$26</f>
        <v>#N/A</v>
      </c>
      <c r="O12" s="306" t="b">
        <v>0</v>
      </c>
      <c r="P12" s="313"/>
      <c r="Q12" s="338"/>
      <c r="R12" s="588"/>
      <c r="S12" s="590"/>
      <c r="T12" s="590"/>
      <c r="U12" s="592">
        <v>0</v>
      </c>
      <c r="V12" s="594" t="s">
        <v>284</v>
      </c>
    </row>
    <row r="13" spans="1:24" ht="15.75" thickBot="1" x14ac:dyDescent="0.3">
      <c r="A13" s="307" t="e">
        <f>MATCH(P13,SCALARS!D:D,0)</f>
        <v>#N/A</v>
      </c>
      <c r="B13" s="187" t="e" cm="1">
        <f t="array" aca="1" ref="B13" ca="1">INDIRECT(ADDRESS($A13,1,,,"scalars"))</f>
        <v>#N/A</v>
      </c>
      <c r="C13" s="187" t="e" cm="1">
        <f t="array" aca="1" ref="C13" ca="1">INDIRECT(ADDRESS($A13,2,,,"scalars"))</f>
        <v>#N/A</v>
      </c>
      <c r="D13" s="187" t="e" cm="1">
        <f t="array" aca="1" ref="D13" ca="1">INDIRECT(ADDRESS($A13,3,,,"scalars"))</f>
        <v>#N/A</v>
      </c>
      <c r="E13" s="187" t="e" cm="1">
        <f t="array" aca="1" ref="E13" ca="1">INDIRECT(ADDRESS($A13,5,,,"scalars"))</f>
        <v>#N/A</v>
      </c>
      <c r="F13" s="328" t="e" cm="1">
        <f t="array" aca="1" ref="F13" ca="1">INDIRECT(ADDRESS($A13,11,,,"scalars"))</f>
        <v>#N/A</v>
      </c>
      <c r="G13" s="317" t="e" cm="1">
        <f t="array" aca="1" ref="G13" ca="1">INDIRECT(ADDRESS($A13,10,,,"scalars"))</f>
        <v>#N/A</v>
      </c>
      <c r="H13" s="317" t="e" cm="1">
        <f t="array" aca="1" ref="H13" ca="1">INDIRECT(ADDRESS($A13,9,,,"scalars"))</f>
        <v>#N/A</v>
      </c>
      <c r="I13" s="332" t="e">
        <f>MATCH(P13,'MKT DATA'!B:B,0)</f>
        <v>#N/A</v>
      </c>
      <c r="J13" s="346" t="e" cm="1">
        <f t="array" aca="1" ref="J13" ca="1">INDIRECT(ADDRESS($I13,8,,,"mkt data"))</f>
        <v>#N/A</v>
      </c>
      <c r="K13" s="335" t="e" cm="1">
        <f t="array" aca="1" ref="K13" ca="1">INDIRECT(ADDRESS($I13,9,,,"mkt data"))</f>
        <v>#N/A</v>
      </c>
      <c r="L13" s="342" t="e">
        <f t="shared" ca="1" si="1"/>
        <v>#N/A</v>
      </c>
      <c r="M13" s="585"/>
      <c r="N13" s="587"/>
      <c r="O13" s="308" t="b">
        <v>0</v>
      </c>
      <c r="P13" s="314"/>
      <c r="Q13" s="337"/>
      <c r="R13" s="589"/>
      <c r="S13" s="591"/>
      <c r="T13" s="591"/>
      <c r="U13" s="593"/>
      <c r="V13" s="595"/>
    </row>
    <row r="14" spans="1:24" x14ac:dyDescent="0.25">
      <c r="A14" s="305" t="e">
        <f>MATCH(P14,SCALARS!D:D,0)</f>
        <v>#N/A</v>
      </c>
      <c r="B14" s="186" t="e" cm="1">
        <f t="array" aca="1" ref="B14" ca="1">INDIRECT(ADDRESS($A14,1,,,"scalars"))</f>
        <v>#N/A</v>
      </c>
      <c r="C14" s="186" t="e" cm="1">
        <f t="array" aca="1" ref="C14" ca="1">INDIRECT(ADDRESS($A14,2,,,"scalars"))</f>
        <v>#N/A</v>
      </c>
      <c r="D14" s="186" t="e" cm="1">
        <f t="array" aca="1" ref="D14" ca="1">INDIRECT(ADDRESS($A14,3,,,"scalars"))</f>
        <v>#N/A</v>
      </c>
      <c r="E14" s="186" t="e" cm="1">
        <f t="array" aca="1" ref="E14" ca="1">INDIRECT(ADDRESS($A14,5,,,"scalars"))</f>
        <v>#N/A</v>
      </c>
      <c r="F14" s="329" t="e" cm="1">
        <f t="array" aca="1" ref="F14" ca="1">INDIRECT(ADDRESS($A14,11,,,"scalars"))</f>
        <v>#N/A</v>
      </c>
      <c r="G14" s="316" t="e" cm="1">
        <f t="array" aca="1" ref="G14" ca="1">INDIRECT(ADDRESS($A14,10,,,"scalars"))</f>
        <v>#N/A</v>
      </c>
      <c r="H14" s="316" t="e" cm="1">
        <f t="array" aca="1" ref="H14" ca="1">INDIRECT(ADDRESS($A14,9,,,"scalars"))</f>
        <v>#N/A</v>
      </c>
      <c r="I14" s="331">
        <f>MATCH(P14,'MKT DATA'!B:B,0)</f>
        <v>59</v>
      </c>
      <c r="J14" s="345" cm="1">
        <f t="array" aca="1" ref="J14" ca="1">INDIRECT(ADDRESS($I14,8,,,"mkt data"))</f>
        <v>56.650002000000001</v>
      </c>
      <c r="K14" s="336" cm="1">
        <f t="array" aca="1" ref="K14" ca="1">INDIRECT(ADDRESS($I14,9,,,"mkt data"))</f>
        <v>-8041</v>
      </c>
      <c r="L14" s="343" t="e">
        <f t="shared" ca="1" si="1"/>
        <v>#N/A</v>
      </c>
      <c r="M14" s="584" t="e">
        <f t="shared" ref="M14" ca="1" si="12">MROUND(MIN(L14/H14,L15/H15),M$26)</f>
        <v>#N/A</v>
      </c>
      <c r="N14" s="586" t="e">
        <f t="shared" ref="N14" ca="1" si="13">MROUND(M14*J15,N$26)/N$26</f>
        <v>#N/A</v>
      </c>
      <c r="O14" s="306" t="b">
        <v>0</v>
      </c>
      <c r="P14" s="313" t="s">
        <v>86</v>
      </c>
      <c r="Q14" s="338">
        <f t="shared" ref="Q14:Q23" ca="1" si="14">-K14</f>
        <v>8041</v>
      </c>
      <c r="R14" s="588">
        <v>17</v>
      </c>
      <c r="S14" s="347"/>
      <c r="T14" s="590">
        <v>0</v>
      </c>
      <c r="U14" s="592">
        <v>0</v>
      </c>
      <c r="V14" s="594" t="s">
        <v>284</v>
      </c>
    </row>
    <row r="15" spans="1:24" ht="15.75" thickBot="1" x14ac:dyDescent="0.3">
      <c r="A15" s="307" t="e">
        <f>MATCH(P15,SCALARS!D:D,0)</f>
        <v>#N/A</v>
      </c>
      <c r="B15" s="187" t="e" cm="1">
        <f t="array" aca="1" ref="B15" ca="1">INDIRECT(ADDRESS($A15,1,,,"scalars"))</f>
        <v>#N/A</v>
      </c>
      <c r="C15" s="187" t="e" cm="1">
        <f t="array" aca="1" ref="C15" ca="1">INDIRECT(ADDRESS($A15,2,,,"scalars"))</f>
        <v>#N/A</v>
      </c>
      <c r="D15" s="187" t="e" cm="1">
        <f t="array" aca="1" ref="D15" ca="1">INDIRECT(ADDRESS($A15,3,,,"scalars"))</f>
        <v>#N/A</v>
      </c>
      <c r="E15" s="187" t="e" cm="1">
        <f t="array" aca="1" ref="E15" ca="1">INDIRECT(ADDRESS($A15,5,,,"scalars"))</f>
        <v>#N/A</v>
      </c>
      <c r="F15" s="328" t="e" cm="1">
        <f t="array" aca="1" ref="F15" ca="1">INDIRECT(ADDRESS($A15,11,,,"scalars"))</f>
        <v>#N/A</v>
      </c>
      <c r="G15" s="317" t="e" cm="1">
        <f t="array" aca="1" ref="G15" ca="1">INDIRECT(ADDRESS($A15,10,,,"scalars"))</f>
        <v>#N/A</v>
      </c>
      <c r="H15" s="317" t="e" cm="1">
        <f t="array" aca="1" ref="H15" ca="1">INDIRECT(ADDRESS($A15,9,,,"scalars"))</f>
        <v>#N/A</v>
      </c>
      <c r="I15" s="332">
        <f>MATCH(P15,'MKT DATA'!B:B,0)</f>
        <v>57</v>
      </c>
      <c r="J15" s="346" cm="1">
        <f t="array" aca="1" ref="J15" ca="1">INDIRECT(ADDRESS($I15,8,,,"mkt data"))</f>
        <v>131.71000699999999</v>
      </c>
      <c r="K15" s="335" cm="1">
        <f t="array" aca="1" ref="K15" ca="1">INDIRECT(ADDRESS($I15,9,,,"mkt data"))</f>
        <v>3400</v>
      </c>
      <c r="L15" s="342" t="e">
        <f t="shared" ca="1" si="1"/>
        <v>#N/A</v>
      </c>
      <c r="M15" s="585"/>
      <c r="N15" s="587"/>
      <c r="O15" s="308" t="b">
        <v>0</v>
      </c>
      <c r="P15" s="314" t="s">
        <v>84</v>
      </c>
      <c r="Q15" s="337">
        <f t="shared" ca="1" si="14"/>
        <v>-3400</v>
      </c>
      <c r="R15" s="589"/>
      <c r="S15" s="348"/>
      <c r="T15" s="591"/>
      <c r="U15" s="593"/>
      <c r="V15" s="595"/>
    </row>
    <row r="16" spans="1:24" x14ac:dyDescent="0.25">
      <c r="A16" s="305" t="e">
        <f>MATCH(P16,SCALARS!D:D,0)</f>
        <v>#N/A</v>
      </c>
      <c r="B16" s="186" t="e" cm="1">
        <f t="array" aca="1" ref="B16" ca="1">INDIRECT(ADDRESS($A16,1,,,"scalars"))</f>
        <v>#N/A</v>
      </c>
      <c r="C16" s="186" t="e" cm="1">
        <f t="array" aca="1" ref="C16" ca="1">INDIRECT(ADDRESS($A16,2,,,"scalars"))</f>
        <v>#N/A</v>
      </c>
      <c r="D16" s="186" t="e" cm="1">
        <f t="array" aca="1" ref="D16" ca="1">INDIRECT(ADDRESS($A16,3,,,"scalars"))</f>
        <v>#N/A</v>
      </c>
      <c r="E16" s="186" t="e" cm="1">
        <f t="array" aca="1" ref="E16" ca="1">INDIRECT(ADDRESS($A16,5,,,"scalars"))</f>
        <v>#N/A</v>
      </c>
      <c r="F16" s="329" t="e" cm="1">
        <f t="array" aca="1" ref="F16" ca="1">INDIRECT(ADDRESS($A16,11,,,"scalars"))</f>
        <v>#N/A</v>
      </c>
      <c r="G16" s="316" t="e" cm="1">
        <f t="array" aca="1" ref="G16" ca="1">INDIRECT(ADDRESS($A16,10,,,"scalars"))</f>
        <v>#N/A</v>
      </c>
      <c r="H16" s="316" t="e" cm="1">
        <f t="array" aca="1" ref="H16" ca="1">INDIRECT(ADDRESS($A16,9,,,"scalars"))</f>
        <v>#N/A</v>
      </c>
      <c r="I16" s="331">
        <f>MATCH(P16,'MKT DATA'!B:B,0)</f>
        <v>65</v>
      </c>
      <c r="J16" s="345" cm="1">
        <f t="array" aca="1" ref="J16" ca="1">INDIRECT(ADDRESS($I16,8,,,"mkt data"))</f>
        <v>76.220000999999996</v>
      </c>
      <c r="K16" s="336" cm="1">
        <f t="array" aca="1" ref="K16" ca="1">INDIRECT(ADDRESS($I16,9,,,"mkt data"))</f>
        <v>3304</v>
      </c>
      <c r="L16" s="343" t="e">
        <f t="shared" ca="1" si="1"/>
        <v>#N/A</v>
      </c>
      <c r="M16" s="584" t="e">
        <f t="shared" ref="M16" ca="1" si="15">MROUND(MIN(L16/H16,L17/H17),M$26)</f>
        <v>#N/A</v>
      </c>
      <c r="N16" s="586" t="e">
        <f t="shared" ref="N16" ca="1" si="16">MROUND(M16*J17,N$26)/N$26</f>
        <v>#N/A</v>
      </c>
      <c r="O16" s="306" t="b">
        <v>0</v>
      </c>
      <c r="P16" s="313" t="s">
        <v>88</v>
      </c>
      <c r="Q16" s="338">
        <f t="shared" ca="1" si="14"/>
        <v>-3304</v>
      </c>
      <c r="R16" s="588">
        <v>7</v>
      </c>
      <c r="S16" s="347"/>
      <c r="T16" s="590">
        <v>0</v>
      </c>
      <c r="U16" s="592">
        <v>0</v>
      </c>
      <c r="V16" s="594" t="s">
        <v>284</v>
      </c>
    </row>
    <row r="17" spans="1:22" ht="15.75" thickBot="1" x14ac:dyDescent="0.3">
      <c r="A17" s="307" t="e">
        <f>MATCH(P17,SCALARS!D:D,0)</f>
        <v>#N/A</v>
      </c>
      <c r="B17" s="187" t="e" cm="1">
        <f t="array" aca="1" ref="B17" ca="1">INDIRECT(ADDRESS($A17,1,,,"scalars"))</f>
        <v>#N/A</v>
      </c>
      <c r="C17" s="187" t="e" cm="1">
        <f t="array" aca="1" ref="C17" ca="1">INDIRECT(ADDRESS($A17,2,,,"scalars"))</f>
        <v>#N/A</v>
      </c>
      <c r="D17" s="187" t="e" cm="1">
        <f t="array" aca="1" ref="D17" ca="1">INDIRECT(ADDRESS($A17,3,,,"scalars"))</f>
        <v>#N/A</v>
      </c>
      <c r="E17" s="187" t="e" cm="1">
        <f t="array" aca="1" ref="E17" ca="1">INDIRECT(ADDRESS($A17,5,,,"scalars"))</f>
        <v>#N/A</v>
      </c>
      <c r="F17" s="328" t="e" cm="1">
        <f t="array" aca="1" ref="F17" ca="1">INDIRECT(ADDRESS($A17,11,,,"scalars"))</f>
        <v>#N/A</v>
      </c>
      <c r="G17" s="317" t="e" cm="1">
        <f t="array" aca="1" ref="G17" ca="1">INDIRECT(ADDRESS($A17,10,,,"scalars"))</f>
        <v>#N/A</v>
      </c>
      <c r="H17" s="317" t="e" cm="1">
        <f t="array" aca="1" ref="H17" ca="1">INDIRECT(ADDRESS($A17,9,,,"scalars"))</f>
        <v>#N/A</v>
      </c>
      <c r="I17" s="332">
        <f>MATCH(P17,'MKT DATA'!B:B,0)</f>
        <v>67</v>
      </c>
      <c r="J17" s="346" cm="1">
        <f t="array" aca="1" ref="J17" ca="1">INDIRECT(ADDRESS($I17,8,,,"mkt data"))</f>
        <v>181.300003</v>
      </c>
      <c r="K17" s="335" cm="1">
        <f t="array" aca="1" ref="K17" ca="1">INDIRECT(ADDRESS($I17,9,,,"mkt data"))</f>
        <v>-1400</v>
      </c>
      <c r="L17" s="342" t="e">
        <f t="shared" ca="1" si="1"/>
        <v>#N/A</v>
      </c>
      <c r="M17" s="585"/>
      <c r="N17" s="587"/>
      <c r="O17" s="308" t="b">
        <v>0</v>
      </c>
      <c r="P17" s="314" t="s">
        <v>90</v>
      </c>
      <c r="Q17" s="337">
        <f t="shared" ca="1" si="14"/>
        <v>1400</v>
      </c>
      <c r="R17" s="589"/>
      <c r="S17" s="348"/>
      <c r="T17" s="591"/>
      <c r="U17" s="593"/>
      <c r="V17" s="595"/>
    </row>
    <row r="18" spans="1:22" x14ac:dyDescent="0.25">
      <c r="A18" s="305" t="e">
        <f>MATCH(P18,SCALARS!D:D,0)</f>
        <v>#N/A</v>
      </c>
      <c r="B18" s="186" t="e" cm="1">
        <f t="array" aca="1" ref="B18" ca="1">INDIRECT(ADDRESS($A18,1,,,"scalars"))</f>
        <v>#N/A</v>
      </c>
      <c r="C18" s="186" t="e" cm="1">
        <f t="array" aca="1" ref="C18" ca="1">INDIRECT(ADDRESS($A18,2,,,"scalars"))</f>
        <v>#N/A</v>
      </c>
      <c r="D18" s="186" t="e" cm="1">
        <f t="array" aca="1" ref="D18" ca="1">INDIRECT(ADDRESS($A18,3,,,"scalars"))</f>
        <v>#N/A</v>
      </c>
      <c r="E18" s="186" t="e" cm="1">
        <f t="array" aca="1" ref="E18" ca="1">INDIRECT(ADDRESS($A18,5,,,"scalars"))</f>
        <v>#N/A</v>
      </c>
      <c r="F18" s="329" t="e" cm="1">
        <f t="array" aca="1" ref="F18" ca="1">INDIRECT(ADDRESS($A18,11,,,"scalars"))</f>
        <v>#N/A</v>
      </c>
      <c r="G18" s="316" t="e" cm="1">
        <f t="array" aca="1" ref="G18" ca="1">INDIRECT(ADDRESS($A18,10,,,"scalars"))</f>
        <v>#N/A</v>
      </c>
      <c r="H18" s="316" t="e" cm="1">
        <f t="array" aca="1" ref="H18" ca="1">INDIRECT(ADDRESS($A18,9,,,"scalars"))</f>
        <v>#N/A</v>
      </c>
      <c r="I18" s="331">
        <f>MATCH(P18,'MKT DATA'!B:B,0)</f>
        <v>91</v>
      </c>
      <c r="J18" s="345" cm="1">
        <f t="array" aca="1" ref="J18" ca="1">INDIRECT(ADDRESS($I18,8,,,"mkt data"))</f>
        <v>157.14999399999999</v>
      </c>
      <c r="K18" s="336" cm="1">
        <f t="array" aca="1" ref="K18" ca="1">INDIRECT(ADDRESS($I18,9,,,"mkt data"))</f>
        <v>-1519</v>
      </c>
      <c r="L18" s="343" t="e">
        <f t="shared" ca="1" si="1"/>
        <v>#N/A</v>
      </c>
      <c r="M18" s="584" t="e">
        <f t="shared" ref="M18" ca="1" si="17">MROUND(MIN(L18/H18,L19/H19),M$26)</f>
        <v>#N/A</v>
      </c>
      <c r="N18" s="586" t="e">
        <f t="shared" ref="N18" ca="1" si="18">MROUND(M18*J19,N$26)/N$26</f>
        <v>#N/A</v>
      </c>
      <c r="O18" s="306" t="b">
        <v>0</v>
      </c>
      <c r="P18" s="313" t="s">
        <v>115</v>
      </c>
      <c r="Q18" s="338">
        <f t="shared" ca="1" si="14"/>
        <v>1519</v>
      </c>
      <c r="R18" s="588">
        <v>7</v>
      </c>
      <c r="S18" s="347"/>
      <c r="T18" s="590">
        <v>0</v>
      </c>
      <c r="U18" s="592">
        <v>0</v>
      </c>
      <c r="V18" s="594" t="s">
        <v>284</v>
      </c>
    </row>
    <row r="19" spans="1:22" ht="15.75" thickBot="1" x14ac:dyDescent="0.3">
      <c r="A19" s="307" t="e">
        <f>MATCH(P19,SCALARS!D:D,0)</f>
        <v>#N/A</v>
      </c>
      <c r="B19" s="187" t="e" cm="1">
        <f t="array" aca="1" ref="B19" ca="1">INDIRECT(ADDRESS($A19,1,,,"scalars"))</f>
        <v>#N/A</v>
      </c>
      <c r="C19" s="187" t="e" cm="1">
        <f t="array" aca="1" ref="C19" ca="1">INDIRECT(ADDRESS($A19,2,,,"scalars"))</f>
        <v>#N/A</v>
      </c>
      <c r="D19" s="187" t="e" cm="1">
        <f t="array" aca="1" ref="D19" ca="1">INDIRECT(ADDRESS($A19,3,,,"scalars"))</f>
        <v>#N/A</v>
      </c>
      <c r="E19" s="187" t="e" cm="1">
        <f t="array" aca="1" ref="E19" ca="1">INDIRECT(ADDRESS($A19,5,,,"scalars"))</f>
        <v>#N/A</v>
      </c>
      <c r="F19" s="328" t="e" cm="1">
        <f t="array" aca="1" ref="F19" ca="1">INDIRECT(ADDRESS($A19,11,,,"scalars"))</f>
        <v>#N/A</v>
      </c>
      <c r="G19" s="317" t="e" cm="1">
        <f t="array" aca="1" ref="G19" ca="1">INDIRECT(ADDRESS($A19,10,,,"scalars"))</f>
        <v>#N/A</v>
      </c>
      <c r="H19" s="317" t="e" cm="1">
        <f t="array" aca="1" ref="H19" ca="1">INDIRECT(ADDRESS($A19,9,,,"scalars"))</f>
        <v>#N/A</v>
      </c>
      <c r="I19" s="332">
        <f>MATCH(P19,'MKT DATA'!B:B,0)</f>
        <v>93</v>
      </c>
      <c r="J19" s="346" cm="1">
        <f t="array" aca="1" ref="J19" ca="1">INDIRECT(ADDRESS($I19,8,,,"mkt data"))</f>
        <v>166.729996</v>
      </c>
      <c r="K19" s="335" cm="1">
        <f t="array" aca="1" ref="K19" ca="1">INDIRECT(ADDRESS($I19,9,,,"mkt data"))</f>
        <v>1400</v>
      </c>
      <c r="L19" s="342" t="e">
        <f t="shared" ca="1" si="1"/>
        <v>#N/A</v>
      </c>
      <c r="M19" s="585"/>
      <c r="N19" s="587"/>
      <c r="O19" s="308" t="b">
        <v>0</v>
      </c>
      <c r="P19" s="314" t="s">
        <v>92</v>
      </c>
      <c r="Q19" s="337">
        <f t="shared" ca="1" si="14"/>
        <v>-1400</v>
      </c>
      <c r="R19" s="589"/>
      <c r="S19" s="348"/>
      <c r="T19" s="591"/>
      <c r="U19" s="593"/>
      <c r="V19" s="595"/>
    </row>
    <row r="20" spans="1:22" x14ac:dyDescent="0.25">
      <c r="A20" s="305" t="e">
        <f>MATCH(P20,SCALARS!D:D,0)</f>
        <v>#N/A</v>
      </c>
      <c r="B20" s="186" t="e" cm="1">
        <f t="array" aca="1" ref="B20" ca="1">INDIRECT(ADDRESS($A20,1,,,"scalars"))</f>
        <v>#N/A</v>
      </c>
      <c r="C20" s="186" t="e" cm="1">
        <f t="array" aca="1" ref="C20" ca="1">INDIRECT(ADDRESS($A20,2,,,"scalars"))</f>
        <v>#N/A</v>
      </c>
      <c r="D20" s="186" t="e" cm="1">
        <f t="array" aca="1" ref="D20" ca="1">INDIRECT(ADDRESS($A20,3,,,"scalars"))</f>
        <v>#N/A</v>
      </c>
      <c r="E20" s="186" t="e" cm="1">
        <f t="array" aca="1" ref="E20" ca="1">INDIRECT(ADDRESS($A20,5,,,"scalars"))</f>
        <v>#N/A</v>
      </c>
      <c r="F20" s="329" t="e" cm="1">
        <f t="array" aca="1" ref="F20" ca="1">INDIRECT(ADDRESS($A20,11,,,"scalars"))</f>
        <v>#N/A</v>
      </c>
      <c r="G20" s="316" t="e" cm="1">
        <f t="array" aca="1" ref="G20" ca="1">INDIRECT(ADDRESS($A20,10,,,"scalars"))</f>
        <v>#N/A</v>
      </c>
      <c r="H20" s="316" t="e" cm="1">
        <f t="array" aca="1" ref="H20" ca="1">INDIRECT(ADDRESS($A20,9,,,"scalars"))</f>
        <v>#N/A</v>
      </c>
      <c r="I20" s="331">
        <f>MATCH(P20,'MKT DATA'!B:B,0)</f>
        <v>147</v>
      </c>
      <c r="J20" s="345" cm="1">
        <f t="array" aca="1" ref="J20" ca="1">INDIRECT(ADDRESS($I20,8,,,"mkt data"))</f>
        <v>182.33999600000001</v>
      </c>
      <c r="K20" s="336" cm="1">
        <f t="array" aca="1" ref="K20" ca="1">INDIRECT(ADDRESS($I20,9,,,"mkt data"))</f>
        <v>1355</v>
      </c>
      <c r="L20" s="343" t="e">
        <f t="shared" ca="1" si="1"/>
        <v>#N/A</v>
      </c>
      <c r="M20" s="584" t="e">
        <f t="shared" ref="M20" ca="1" si="19">MROUND(MIN(L20/H20,L21/H21),M$26)</f>
        <v>#N/A</v>
      </c>
      <c r="N20" s="586" t="e">
        <f t="shared" ref="N20" ca="1" si="20">MROUND(M20*J21,N$26)/N$26</f>
        <v>#N/A</v>
      </c>
      <c r="O20" s="306" t="b">
        <v>0</v>
      </c>
      <c r="P20" s="313" t="s">
        <v>100</v>
      </c>
      <c r="Q20" s="338">
        <f t="shared" ca="1" si="14"/>
        <v>-1355</v>
      </c>
      <c r="R20" s="588">
        <v>5</v>
      </c>
      <c r="S20" s="590"/>
      <c r="T20" s="590">
        <v>0</v>
      </c>
      <c r="U20" s="592">
        <v>0</v>
      </c>
      <c r="V20" s="594" t="s">
        <v>284</v>
      </c>
    </row>
    <row r="21" spans="1:22" ht="15.75" thickBot="1" x14ac:dyDescent="0.3">
      <c r="A21" s="307" t="e">
        <f>MATCH(P21,SCALARS!D:D,0)</f>
        <v>#N/A</v>
      </c>
      <c r="B21" s="187" t="e" cm="1">
        <f t="array" aca="1" ref="B21" ca="1">INDIRECT(ADDRESS($A21,1,,,"scalars"))</f>
        <v>#N/A</v>
      </c>
      <c r="C21" s="187" t="e" cm="1">
        <f t="array" aca="1" ref="C21" ca="1">INDIRECT(ADDRESS($A21,2,,,"scalars"))</f>
        <v>#N/A</v>
      </c>
      <c r="D21" s="187" t="e" cm="1">
        <f t="array" aca="1" ref="D21" ca="1">INDIRECT(ADDRESS($A21,3,,,"scalars"))</f>
        <v>#N/A</v>
      </c>
      <c r="E21" s="187" t="e" cm="1">
        <f t="array" aca="1" ref="E21" ca="1">INDIRECT(ADDRESS($A21,5,,,"scalars"))</f>
        <v>#N/A</v>
      </c>
      <c r="F21" s="328" t="e" cm="1">
        <f t="array" aca="1" ref="F21" ca="1">INDIRECT(ADDRESS($A21,11,,,"scalars"))</f>
        <v>#N/A</v>
      </c>
      <c r="G21" s="317" t="e" cm="1">
        <f t="array" aca="1" ref="G21" ca="1">INDIRECT(ADDRESS($A21,10,,,"scalars"))</f>
        <v>#N/A</v>
      </c>
      <c r="H21" s="317" t="e" cm="1">
        <f t="array" aca="1" ref="H21" ca="1">INDIRECT(ADDRESS($A21,9,,,"scalars"))</f>
        <v>#N/A</v>
      </c>
      <c r="I21" s="332">
        <f>MATCH(P21,'MKT DATA'!B:B,0)</f>
        <v>145</v>
      </c>
      <c r="J21" s="346" cm="1">
        <f t="array" aca="1" ref="J21" ca="1">INDIRECT(ADDRESS($I21,8,,,"mkt data"))</f>
        <v>248.96000699999999</v>
      </c>
      <c r="K21" s="335" cm="1">
        <f t="array" aca="1" ref="K21" ca="1">INDIRECT(ADDRESS($I21,9,,,"mkt data"))</f>
        <v>-1000</v>
      </c>
      <c r="L21" s="342" t="e">
        <f t="shared" ca="1" si="1"/>
        <v>#N/A</v>
      </c>
      <c r="M21" s="585"/>
      <c r="N21" s="587"/>
      <c r="O21" s="308" t="b">
        <v>0</v>
      </c>
      <c r="P21" s="314" t="s">
        <v>98</v>
      </c>
      <c r="Q21" s="337">
        <f t="shared" ca="1" si="14"/>
        <v>1000</v>
      </c>
      <c r="R21" s="589"/>
      <c r="S21" s="591"/>
      <c r="T21" s="591"/>
      <c r="U21" s="593"/>
      <c r="V21" s="595"/>
    </row>
    <row r="22" spans="1:22" x14ac:dyDescent="0.25">
      <c r="A22" s="305" t="e">
        <f>MATCH(P22,SCALARS!D:D,0)</f>
        <v>#N/A</v>
      </c>
      <c r="B22" s="186" t="e" cm="1">
        <f t="array" aca="1" ref="B22" ca="1">INDIRECT(ADDRESS($A22,1,,,"scalars"))</f>
        <v>#N/A</v>
      </c>
      <c r="C22" s="186" t="e" cm="1">
        <f t="array" aca="1" ref="C22" ca="1">INDIRECT(ADDRESS($A22,2,,,"scalars"))</f>
        <v>#N/A</v>
      </c>
      <c r="D22" s="186" t="e" cm="1">
        <f t="array" aca="1" ref="D22" ca="1">INDIRECT(ADDRESS($A22,3,,,"scalars"))</f>
        <v>#N/A</v>
      </c>
      <c r="E22" s="186" t="e" cm="1">
        <f t="array" aca="1" ref="E22" ca="1">INDIRECT(ADDRESS($A22,5,,,"scalars"))</f>
        <v>#N/A</v>
      </c>
      <c r="F22" s="329" t="e" cm="1">
        <f t="array" aca="1" ref="F22" ca="1">INDIRECT(ADDRESS($A22,11,,,"scalars"))</f>
        <v>#N/A</v>
      </c>
      <c r="G22" s="316" t="e" cm="1">
        <f t="array" aca="1" ref="G22" ca="1">INDIRECT(ADDRESS($A22,10,,,"scalars"))</f>
        <v>#N/A</v>
      </c>
      <c r="H22" s="316" t="e" cm="1">
        <f t="array" aca="1" ref="H22" ca="1">INDIRECT(ADDRESS($A22,9,,,"scalars"))</f>
        <v>#N/A</v>
      </c>
      <c r="I22" s="331">
        <f>MATCH(P22,'MKT DATA'!B:B,0)</f>
        <v>163</v>
      </c>
      <c r="J22" s="345" cm="1">
        <f t="array" aca="1" ref="J22" ca="1">INDIRECT(ADDRESS($I22,8,,,"mkt data"))</f>
        <v>42.869999</v>
      </c>
      <c r="K22" s="336" cm="1">
        <f t="array" aca="1" ref="K22" ca="1">INDIRECT(ADDRESS($I22,9,,,"mkt data"))</f>
        <v>2555</v>
      </c>
      <c r="L22" s="343" t="e">
        <f t="shared" ca="1" si="1"/>
        <v>#N/A</v>
      </c>
      <c r="M22" s="584" t="e">
        <f t="shared" ref="M22" ca="1" si="21">MROUND(MIN(L22/H22,L23/H23),M$26)</f>
        <v>#N/A</v>
      </c>
      <c r="N22" s="586" t="e">
        <f t="shared" ref="N22" ca="1" si="22">MROUND(M22*J23,N$26)/N$26</f>
        <v>#N/A</v>
      </c>
      <c r="O22" s="306" t="b">
        <v>0</v>
      </c>
      <c r="P22" s="313" t="s">
        <v>104</v>
      </c>
      <c r="Q22" s="338">
        <f t="shared" ca="1" si="14"/>
        <v>-2555</v>
      </c>
      <c r="R22" s="588">
        <v>10</v>
      </c>
      <c r="S22" s="590"/>
      <c r="T22" s="590">
        <v>0.01</v>
      </c>
      <c r="U22" s="592">
        <v>0</v>
      </c>
      <c r="V22" s="594" t="s">
        <v>284</v>
      </c>
    </row>
    <row r="23" spans="1:22" ht="15.75" thickBot="1" x14ac:dyDescent="0.3">
      <c r="A23" s="307" t="e">
        <f>MATCH(P23,SCALARS!D:D,0)</f>
        <v>#N/A</v>
      </c>
      <c r="B23" s="187" t="e" cm="1">
        <f t="array" aca="1" ref="B23" ca="1">INDIRECT(ADDRESS($A23,1,,,"scalars"))</f>
        <v>#N/A</v>
      </c>
      <c r="C23" s="187" t="e" cm="1">
        <f t="array" aca="1" ref="C23" ca="1">INDIRECT(ADDRESS($A23,2,,,"scalars"))</f>
        <v>#N/A</v>
      </c>
      <c r="D23" s="187" t="e" cm="1">
        <f t="array" aca="1" ref="D23" ca="1">INDIRECT(ADDRESS($A23,3,,,"scalars"))</f>
        <v>#N/A</v>
      </c>
      <c r="E23" s="187" t="e" cm="1">
        <f t="array" aca="1" ref="E23" ca="1">INDIRECT(ADDRESS($A23,5,,,"scalars"))</f>
        <v>#N/A</v>
      </c>
      <c r="F23" s="328" t="e" cm="1">
        <f t="array" aca="1" ref="F23" ca="1">INDIRECT(ADDRESS($A23,11,,,"scalars"))</f>
        <v>#N/A</v>
      </c>
      <c r="G23" s="317" t="e" cm="1">
        <f t="array" aca="1" ref="G23" ca="1">INDIRECT(ADDRESS($A23,10,,,"scalars"))</f>
        <v>#N/A</v>
      </c>
      <c r="H23" s="317" t="e" cm="1">
        <f t="array" aca="1" ref="H23" ca="1">INDIRECT(ADDRESS($A23,9,,,"scalars"))</f>
        <v>#N/A</v>
      </c>
      <c r="I23" s="332">
        <f>MATCH(P23,'MKT DATA'!B:B,0)</f>
        <v>161</v>
      </c>
      <c r="J23" s="346" cm="1">
        <f t="array" aca="1" ref="J23" ca="1">INDIRECT(ADDRESS($I23,8,,,"mkt data"))</f>
        <v>109.839996</v>
      </c>
      <c r="K23" s="335" cm="1">
        <f t="array" aca="1" ref="K23" ca="1">INDIRECT(ADDRESS($I23,9,,,"mkt data"))</f>
        <v>-1000</v>
      </c>
      <c r="L23" s="342" t="e">
        <f t="shared" ca="1" si="1"/>
        <v>#N/A</v>
      </c>
      <c r="M23" s="585"/>
      <c r="N23" s="587"/>
      <c r="O23" s="308" t="b">
        <v>0</v>
      </c>
      <c r="P23" s="314" t="s">
        <v>102</v>
      </c>
      <c r="Q23" s="337">
        <f t="shared" ca="1" si="14"/>
        <v>1000</v>
      </c>
      <c r="R23" s="589"/>
      <c r="S23" s="591"/>
      <c r="T23" s="591"/>
      <c r="U23" s="593"/>
      <c r="V23" s="595"/>
    </row>
    <row r="24" spans="1:22" x14ac:dyDescent="0.25">
      <c r="A24" s="305" t="e">
        <f>MATCH(P24,SCALARS!D:D,0)</f>
        <v>#N/A</v>
      </c>
      <c r="B24" s="186" t="e" cm="1">
        <f t="array" aca="1" ref="B24" ca="1">INDIRECT(ADDRESS($A24,1,,,"scalars"))</f>
        <v>#N/A</v>
      </c>
      <c r="C24" s="186" t="e" cm="1">
        <f t="array" aca="1" ref="C24" ca="1">INDIRECT(ADDRESS($A24,2,,,"scalars"))</f>
        <v>#N/A</v>
      </c>
      <c r="D24" s="186" t="e" cm="1">
        <f t="array" aca="1" ref="D24" ca="1">INDIRECT(ADDRESS($A24,3,,,"scalars"))</f>
        <v>#N/A</v>
      </c>
      <c r="E24" s="186" t="e" cm="1">
        <f t="array" aca="1" ref="E24" ca="1">INDIRECT(ADDRESS($A24,5,,,"scalars"))</f>
        <v>#N/A</v>
      </c>
      <c r="F24" s="329" t="e" cm="1">
        <f t="array" aca="1" ref="F24" ca="1">INDIRECT(ADDRESS($A24,11,,,"scalars"))</f>
        <v>#N/A</v>
      </c>
      <c r="G24" s="316" t="e" cm="1">
        <f t="array" aca="1" ref="G24" ca="1">INDIRECT(ADDRESS($A24,10,,,"scalars"))</f>
        <v>#N/A</v>
      </c>
      <c r="H24" s="316" t="e" cm="1">
        <f t="array" aca="1" ref="H24" ca="1">INDIRECT(ADDRESS($A24,9,,,"scalars"))</f>
        <v>#N/A</v>
      </c>
      <c r="I24" s="331" t="e">
        <f>MATCH(P24,'MKT DATA'!B:B,0)</f>
        <v>#N/A</v>
      </c>
      <c r="J24" s="345" t="e" cm="1">
        <f t="array" aca="1" ref="J24" ca="1">INDIRECT(ADDRESS($I24,8,,,"mkt data"))</f>
        <v>#N/A</v>
      </c>
      <c r="K24" s="336" t="e" cm="1">
        <f t="array" aca="1" ref="K24" ca="1">INDIRECT(ADDRESS($I24,9,,,"mkt data"))</f>
        <v>#N/A</v>
      </c>
      <c r="L24" s="343" t="e">
        <f t="shared" ca="1" si="1"/>
        <v>#N/A</v>
      </c>
      <c r="M24" s="584" t="e">
        <f t="shared" ref="M24" ca="1" si="23">MROUND(MIN(L24/H24,L25/H25),M$26)</f>
        <v>#N/A</v>
      </c>
      <c r="N24" s="586" t="e">
        <f t="shared" ref="N24" ca="1" si="24">MROUND(M24*J25,N$26)/N$26</f>
        <v>#N/A</v>
      </c>
      <c r="O24" s="306" t="b">
        <v>0</v>
      </c>
      <c r="P24" s="313"/>
      <c r="Q24" s="338"/>
      <c r="R24" s="588"/>
      <c r="S24" s="590"/>
      <c r="T24" s="590"/>
      <c r="U24" s="592">
        <v>0</v>
      </c>
      <c r="V24" s="594" t="s">
        <v>284</v>
      </c>
    </row>
    <row r="25" spans="1:22" ht="15.75" thickBot="1" x14ac:dyDescent="0.3">
      <c r="A25" s="307" t="e">
        <f>MATCH(P25,SCALARS!D:D,0)</f>
        <v>#N/A</v>
      </c>
      <c r="B25" s="187" t="e" cm="1">
        <f t="array" aca="1" ref="B25" ca="1">INDIRECT(ADDRESS($A25,1,,,"scalars"))</f>
        <v>#N/A</v>
      </c>
      <c r="C25" s="187" t="e" cm="1">
        <f t="array" aca="1" ref="C25" ca="1">INDIRECT(ADDRESS($A25,2,,,"scalars"))</f>
        <v>#N/A</v>
      </c>
      <c r="D25" s="187" t="e" cm="1">
        <f t="array" aca="1" ref="D25" ca="1">INDIRECT(ADDRESS($A25,3,,,"scalars"))</f>
        <v>#N/A</v>
      </c>
      <c r="E25" s="187" t="e" cm="1">
        <f t="array" aca="1" ref="E25" ca="1">INDIRECT(ADDRESS($A25,5,,,"scalars"))</f>
        <v>#N/A</v>
      </c>
      <c r="F25" s="328" t="e" cm="1">
        <f t="array" aca="1" ref="F25" ca="1">INDIRECT(ADDRESS($A25,11,,,"scalars"))</f>
        <v>#N/A</v>
      </c>
      <c r="G25" s="317" t="e" cm="1">
        <f t="array" aca="1" ref="G25" ca="1">INDIRECT(ADDRESS($A25,10,,,"scalars"))</f>
        <v>#N/A</v>
      </c>
      <c r="H25" s="317" t="e" cm="1">
        <f t="array" aca="1" ref="H25" ca="1">INDIRECT(ADDRESS($A25,9,,,"scalars"))</f>
        <v>#N/A</v>
      </c>
      <c r="I25" s="332" t="e">
        <f>MATCH(P25,'MKT DATA'!B:B,0)</f>
        <v>#N/A</v>
      </c>
      <c r="J25" s="346" t="e" cm="1">
        <f t="array" aca="1" ref="J25" ca="1">INDIRECT(ADDRESS($I25,8,,,"mkt data"))</f>
        <v>#N/A</v>
      </c>
      <c r="K25" s="335" t="e" cm="1">
        <f t="array" aca="1" ref="K25" ca="1">INDIRECT(ADDRESS($I25,9,,,"mkt data"))</f>
        <v>#N/A</v>
      </c>
      <c r="L25" s="342" t="e">
        <f t="shared" ca="1" si="1"/>
        <v>#N/A</v>
      </c>
      <c r="M25" s="585"/>
      <c r="N25" s="587"/>
      <c r="O25" s="308" t="b">
        <v>0</v>
      </c>
      <c r="P25" s="314"/>
      <c r="Q25" s="337"/>
      <c r="R25" s="589"/>
      <c r="S25" s="591"/>
      <c r="T25" s="591"/>
      <c r="U25" s="593"/>
      <c r="V25" s="595"/>
    </row>
    <row r="26" spans="1:22" ht="15.75" thickBot="1" x14ac:dyDescent="0.3">
      <c r="L26" s="340">
        <v>0.01</v>
      </c>
      <c r="M26" s="344">
        <v>10</v>
      </c>
      <c r="N26" s="344">
        <v>1000</v>
      </c>
      <c r="T26" s="326" t="s">
        <v>320</v>
      </c>
    </row>
  </sheetData>
  <mergeCells count="82">
    <mergeCell ref="T18:T19"/>
    <mergeCell ref="R12:R13"/>
    <mergeCell ref="S12:S13"/>
    <mergeCell ref="T12:T13"/>
    <mergeCell ref="U2:U3"/>
    <mergeCell ref="S2:S3"/>
    <mergeCell ref="T2:T3"/>
    <mergeCell ref="T10:T11"/>
    <mergeCell ref="R14:R15"/>
    <mergeCell ref="R16:R17"/>
    <mergeCell ref="R18:R19"/>
    <mergeCell ref="V2:V3"/>
    <mergeCell ref="R2:R3"/>
    <mergeCell ref="V18:V19"/>
    <mergeCell ref="V20:V21"/>
    <mergeCell ref="S4:S5"/>
    <mergeCell ref="T4:T5"/>
    <mergeCell ref="U4:U5"/>
    <mergeCell ref="S6:S7"/>
    <mergeCell ref="T6:T7"/>
    <mergeCell ref="U6:U7"/>
    <mergeCell ref="V6:V7"/>
    <mergeCell ref="V8:V9"/>
    <mergeCell ref="V10:V11"/>
    <mergeCell ref="V12:V13"/>
    <mergeCell ref="V14:V15"/>
    <mergeCell ref="V16:V17"/>
    <mergeCell ref="V4:V5"/>
    <mergeCell ref="R4:R5"/>
    <mergeCell ref="R6:R7"/>
    <mergeCell ref="V22:V23"/>
    <mergeCell ref="R20:R21"/>
    <mergeCell ref="S20:S21"/>
    <mergeCell ref="T20:T21"/>
    <mergeCell ref="U20:U21"/>
    <mergeCell ref="R22:R23"/>
    <mergeCell ref="S22:S23"/>
    <mergeCell ref="T22:T23"/>
    <mergeCell ref="U22:U23"/>
    <mergeCell ref="U18:U19"/>
    <mergeCell ref="R8:R9"/>
    <mergeCell ref="R10:R11"/>
    <mergeCell ref="S10:S11"/>
    <mergeCell ref="X6:X7"/>
    <mergeCell ref="U16:U17"/>
    <mergeCell ref="U14:U15"/>
    <mergeCell ref="U12:U13"/>
    <mergeCell ref="S8:S9"/>
    <mergeCell ref="T8:T9"/>
    <mergeCell ref="U8:U9"/>
    <mergeCell ref="U10:U11"/>
    <mergeCell ref="T14:T15"/>
    <mergeCell ref="T16:T17"/>
    <mergeCell ref="R24:R25"/>
    <mergeCell ref="S24:S25"/>
    <mergeCell ref="T24:T25"/>
    <mergeCell ref="U24:U25"/>
    <mergeCell ref="V24:V25"/>
    <mergeCell ref="M16:M17"/>
    <mergeCell ref="M18:M19"/>
    <mergeCell ref="M20:M21"/>
    <mergeCell ref="M2:M3"/>
    <mergeCell ref="M4:M5"/>
    <mergeCell ref="M6:M7"/>
    <mergeCell ref="M8:M9"/>
    <mergeCell ref="M10:M11"/>
    <mergeCell ref="M22:M23"/>
    <mergeCell ref="M24:M25"/>
    <mergeCell ref="N2:N3"/>
    <mergeCell ref="N4:N5"/>
    <mergeCell ref="N6:N7"/>
    <mergeCell ref="N8:N9"/>
    <mergeCell ref="N10:N11"/>
    <mergeCell ref="N12:N13"/>
    <mergeCell ref="N14:N15"/>
    <mergeCell ref="N16:N17"/>
    <mergeCell ref="N18:N19"/>
    <mergeCell ref="N20:N21"/>
    <mergeCell ref="N22:N23"/>
    <mergeCell ref="N24:N25"/>
    <mergeCell ref="M12:M13"/>
    <mergeCell ref="M14:M15"/>
  </mergeCells>
  <phoneticPr fontId="2" type="noConversion"/>
  <conditionalFormatting sqref="R10:V10 R20:V20 R24:V24 R26:V1048576 R12:V12 R1:V2 R8:V8 O1:P1048576 R22:V22 R14:V14 R16:V16 R18:V18 R4:V4 R6:V6">
    <cfRule type="cellIs" dxfId="0" priority="1" operator="equal">
      <formula>TRUE</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INITIAL INPUTS</vt:lpstr>
      <vt:lpstr>SCALAR INPUTS</vt:lpstr>
      <vt:lpstr>SCALARS</vt:lpstr>
      <vt:lpstr>THRESHOLD STATS</vt:lpstr>
      <vt:lpstr>THRESHOLDS</vt:lpstr>
      <vt:lpstr>MKT DATA</vt:lpstr>
      <vt:lpstr>SECTOR2</vt:lpstr>
      <vt:lpstr>INDUSTRY2</vt:lpstr>
      <vt:lpstr>SECTOR</vt:lpstr>
      <vt:lpstr>INDUSTRY</vt:lpstr>
      <vt:lpstr>FIXED INCOME</vt:lpstr>
      <vt:lpstr>CORPS</vt:lpstr>
      <vt:lpstr>TARGETS</vt:lpstr>
      <vt:lpstr>FI GROUP</vt:lpstr>
      <vt:lpstr>CEFS</vt:lpstr>
      <vt:lpstr>ADRS</vt:lpstr>
      <vt:lpstr>TRADING INPUTS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Hyland</dc:creator>
  <cp:lastModifiedBy>Michael Hyland</cp:lastModifiedBy>
  <dcterms:created xsi:type="dcterms:W3CDTF">2026-03-22T14:06:48Z</dcterms:created>
  <dcterms:modified xsi:type="dcterms:W3CDTF">2026-10-25T20:00:38Z</dcterms:modified>
</cp:coreProperties>
</file>