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60279A76-50AA-4A41-94C3-974E7E47D60C}" xr6:coauthVersionLast="47" xr6:coauthVersionMax="47" xr10:uidLastSave="{00000000-0000-0000-0000-000000000000}"/>
  <bookViews>
    <workbookView xWindow="990" yWindow="1935" windowWidth="26145" windowHeight="12885" xr2:uid="{00000000-000D-0000-FFFF-FFFF00000000}"/>
  </bookViews>
  <sheets>
    <sheet name="Pivot summary" sheetId="7" r:id="rId1"/>
    <sheet name="P&amp;L Table" sheetId="5" r:id="rId2"/>
    <sheet name="Pair mapping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6" i="7" l="1"/>
  <c r="V36" i="7"/>
  <c r="P36" i="7"/>
  <c r="J36" i="7"/>
  <c r="D36" i="7"/>
  <c r="AH36" i="7" s="1"/>
  <c r="AB35" i="7"/>
  <c r="V35" i="7"/>
  <c r="P35" i="7"/>
  <c r="J35" i="7"/>
  <c r="D35" i="7"/>
  <c r="AB32" i="7"/>
  <c r="V32" i="7"/>
  <c r="P32" i="7"/>
  <c r="J32" i="7"/>
  <c r="D32" i="7"/>
  <c r="AB31" i="7"/>
  <c r="V31" i="7"/>
  <c r="P31" i="7"/>
  <c r="J31" i="7"/>
  <c r="D31" i="7"/>
  <c r="AH31" i="7" s="1"/>
  <c r="AB30" i="7"/>
  <c r="AB33" i="7" s="1"/>
  <c r="V30" i="7"/>
  <c r="V33" i="7" s="1"/>
  <c r="P30" i="7"/>
  <c r="P33" i="7" s="1"/>
  <c r="J30" i="7"/>
  <c r="J33" i="7" s="1"/>
  <c r="D30" i="7"/>
  <c r="AB27" i="7"/>
  <c r="V27" i="7"/>
  <c r="P27" i="7"/>
  <c r="J27" i="7"/>
  <c r="D27" i="7"/>
  <c r="AB26" i="7"/>
  <c r="V26" i="7"/>
  <c r="P26" i="7"/>
  <c r="J26" i="7"/>
  <c r="D26" i="7"/>
  <c r="AB25" i="7"/>
  <c r="V25" i="7"/>
  <c r="P25" i="7"/>
  <c r="J25" i="7"/>
  <c r="D25" i="7"/>
  <c r="AB23" i="7"/>
  <c r="V23" i="7"/>
  <c r="P23" i="7"/>
  <c r="J23" i="7"/>
  <c r="D23" i="7"/>
  <c r="AH23" i="7" s="1"/>
  <c r="AB22" i="7"/>
  <c r="V22" i="7"/>
  <c r="P22" i="7"/>
  <c r="J22" i="7"/>
  <c r="D22" i="7"/>
  <c r="AB21" i="7"/>
  <c r="V21" i="7"/>
  <c r="P21" i="7"/>
  <c r="J21" i="7"/>
  <c r="D21" i="7"/>
  <c r="AH21" i="7" s="1"/>
  <c r="AB20" i="7"/>
  <c r="V20" i="7"/>
  <c r="P20" i="7"/>
  <c r="J20" i="7"/>
  <c r="D20" i="7"/>
  <c r="AH20" i="7" s="1"/>
  <c r="AB19" i="7"/>
  <c r="V19" i="7"/>
  <c r="P19" i="7"/>
  <c r="J19" i="7"/>
  <c r="D19" i="7"/>
  <c r="AH19" i="7" s="1"/>
  <c r="AB18" i="7"/>
  <c r="V18" i="7"/>
  <c r="P18" i="7"/>
  <c r="J18" i="7"/>
  <c r="D18" i="7"/>
  <c r="AB17" i="7"/>
  <c r="V17" i="7"/>
  <c r="P17" i="7"/>
  <c r="J17" i="7"/>
  <c r="D17" i="7"/>
  <c r="AB16" i="7"/>
  <c r="V16" i="7"/>
  <c r="P16" i="7"/>
  <c r="J16" i="7"/>
  <c r="D16" i="7"/>
  <c r="AB15" i="7"/>
  <c r="V15" i="7"/>
  <c r="P15" i="7"/>
  <c r="J15" i="7"/>
  <c r="D15" i="7"/>
  <c r="AB14" i="7"/>
  <c r="V14" i="7"/>
  <c r="P14" i="7"/>
  <c r="J14" i="7"/>
  <c r="D14" i="7"/>
  <c r="AH14" i="7" s="1"/>
  <c r="AB24" i="7"/>
  <c r="V24" i="7"/>
  <c r="P24" i="7"/>
  <c r="J24" i="7"/>
  <c r="D24" i="7"/>
  <c r="AB13" i="7"/>
  <c r="V13" i="7"/>
  <c r="P13" i="7"/>
  <c r="J13" i="7"/>
  <c r="D13" i="7"/>
  <c r="AB12" i="7"/>
  <c r="V12" i="7"/>
  <c r="P12" i="7"/>
  <c r="J12" i="7"/>
  <c r="D12" i="7"/>
  <c r="AB11" i="7"/>
  <c r="V11" i="7"/>
  <c r="P11" i="7"/>
  <c r="J11" i="7"/>
  <c r="D11" i="7"/>
  <c r="AH11" i="7" s="1"/>
  <c r="AB10" i="7"/>
  <c r="V10" i="7"/>
  <c r="P10" i="7"/>
  <c r="J10" i="7"/>
  <c r="D10" i="7"/>
  <c r="AH10" i="7" s="1"/>
  <c r="AB9" i="7"/>
  <c r="V9" i="7"/>
  <c r="P9" i="7"/>
  <c r="J9" i="7"/>
  <c r="D9" i="7"/>
  <c r="AH9" i="7" s="1"/>
  <c r="AB8" i="7"/>
  <c r="V8" i="7"/>
  <c r="P8" i="7"/>
  <c r="J8" i="7"/>
  <c r="D8" i="7"/>
  <c r="AH8" i="7" s="1"/>
  <c r="AB7" i="7"/>
  <c r="V7" i="7"/>
  <c r="P7" i="7"/>
  <c r="J7" i="7"/>
  <c r="D7" i="7"/>
  <c r="AH7" i="7" s="1"/>
  <c r="AB6" i="7"/>
  <c r="V6" i="7"/>
  <c r="P6" i="7"/>
  <c r="J6" i="7"/>
  <c r="D6" i="7"/>
  <c r="AH6" i="7" s="1"/>
  <c r="AB5" i="7"/>
  <c r="V5" i="7"/>
  <c r="P5" i="7"/>
  <c r="J5" i="7"/>
  <c r="D5" i="7"/>
  <c r="B35" i="7"/>
  <c r="C35" i="7"/>
  <c r="E35" i="7"/>
  <c r="F35" i="7"/>
  <c r="H35" i="7"/>
  <c r="I35" i="7"/>
  <c r="K35" i="7"/>
  <c r="L35" i="7"/>
  <c r="N35" i="7"/>
  <c r="O35" i="7"/>
  <c r="Q35" i="7"/>
  <c r="R35" i="7"/>
  <c r="T35" i="7"/>
  <c r="U35" i="7"/>
  <c r="W35" i="7"/>
  <c r="X35" i="7"/>
  <c r="Z35" i="7"/>
  <c r="AA35" i="7"/>
  <c r="AC35" i="7"/>
  <c r="B36" i="7"/>
  <c r="C36" i="7"/>
  <c r="E36" i="7"/>
  <c r="F36" i="7"/>
  <c r="H36" i="7"/>
  <c r="I36" i="7"/>
  <c r="K36" i="7"/>
  <c r="L36" i="7"/>
  <c r="N36" i="7"/>
  <c r="O36" i="7"/>
  <c r="Q36" i="7"/>
  <c r="R36" i="7"/>
  <c r="T36" i="7"/>
  <c r="U36" i="7"/>
  <c r="W36" i="7"/>
  <c r="X36" i="7"/>
  <c r="Z36" i="7"/>
  <c r="AA36" i="7"/>
  <c r="AC36" i="7"/>
  <c r="AD36" i="7"/>
  <c r="AD24" i="7"/>
  <c r="AC24" i="7"/>
  <c r="AA24" i="7"/>
  <c r="Z24" i="7"/>
  <c r="X24" i="7"/>
  <c r="W24" i="7"/>
  <c r="U24" i="7"/>
  <c r="T24" i="7"/>
  <c r="R24" i="7"/>
  <c r="Q24" i="7"/>
  <c r="O24" i="7"/>
  <c r="N24" i="7"/>
  <c r="L24" i="7"/>
  <c r="K24" i="7"/>
  <c r="I24" i="7"/>
  <c r="H24" i="7"/>
  <c r="F24" i="7"/>
  <c r="E24" i="7"/>
  <c r="C24" i="7"/>
  <c r="B24" i="7"/>
  <c r="AD32" i="7"/>
  <c r="AC32" i="7"/>
  <c r="AA32" i="7"/>
  <c r="Z32" i="7"/>
  <c r="X32" i="7"/>
  <c r="W32" i="7"/>
  <c r="U32" i="7"/>
  <c r="T32" i="7"/>
  <c r="R32" i="7"/>
  <c r="Q32" i="7"/>
  <c r="O32" i="7"/>
  <c r="N32" i="7"/>
  <c r="L32" i="7"/>
  <c r="K32" i="7"/>
  <c r="I32" i="7"/>
  <c r="H32" i="7"/>
  <c r="F32" i="7"/>
  <c r="E32" i="7"/>
  <c r="C32" i="7"/>
  <c r="B32" i="7"/>
  <c r="AD31" i="7"/>
  <c r="AC31" i="7"/>
  <c r="AA31" i="7"/>
  <c r="Z31" i="7"/>
  <c r="X31" i="7"/>
  <c r="W31" i="7"/>
  <c r="U31" i="7"/>
  <c r="T31" i="7"/>
  <c r="R31" i="7"/>
  <c r="Q31" i="7"/>
  <c r="O31" i="7"/>
  <c r="N31" i="7"/>
  <c r="L31" i="7"/>
  <c r="K31" i="7"/>
  <c r="I31" i="7"/>
  <c r="H31" i="7"/>
  <c r="F31" i="7"/>
  <c r="E31" i="7"/>
  <c r="C31" i="7"/>
  <c r="B31" i="7"/>
  <c r="AD30" i="7"/>
  <c r="AC30" i="7"/>
  <c r="AA30" i="7"/>
  <c r="Z30" i="7"/>
  <c r="X30" i="7"/>
  <c r="W30" i="7"/>
  <c r="U30" i="7"/>
  <c r="T30" i="7"/>
  <c r="R30" i="7"/>
  <c r="Q30" i="7"/>
  <c r="O30" i="7"/>
  <c r="N30" i="7"/>
  <c r="L30" i="7"/>
  <c r="K30" i="7"/>
  <c r="I30" i="7"/>
  <c r="H30" i="7"/>
  <c r="F30" i="7"/>
  <c r="E30" i="7"/>
  <c r="C30" i="7"/>
  <c r="B30" i="7"/>
  <c r="AD25" i="7"/>
  <c r="AC25" i="7"/>
  <c r="AA25" i="7"/>
  <c r="Z25" i="7"/>
  <c r="X25" i="7"/>
  <c r="W25" i="7"/>
  <c r="U25" i="7"/>
  <c r="T25" i="7"/>
  <c r="R25" i="7"/>
  <c r="Q25" i="7"/>
  <c r="O25" i="7"/>
  <c r="N25" i="7"/>
  <c r="L25" i="7"/>
  <c r="K25" i="7"/>
  <c r="I25" i="7"/>
  <c r="H25" i="7"/>
  <c r="F25" i="7"/>
  <c r="E25" i="7"/>
  <c r="C25" i="7"/>
  <c r="B25" i="7"/>
  <c r="AD13" i="7"/>
  <c r="AC13" i="7"/>
  <c r="AA13" i="7"/>
  <c r="Z13" i="7"/>
  <c r="X13" i="7"/>
  <c r="W13" i="7"/>
  <c r="U13" i="7"/>
  <c r="T13" i="7"/>
  <c r="R13" i="7"/>
  <c r="Q13" i="7"/>
  <c r="O13" i="7"/>
  <c r="N13" i="7"/>
  <c r="L13" i="7"/>
  <c r="K13" i="7"/>
  <c r="I13" i="7"/>
  <c r="H13" i="7"/>
  <c r="F13" i="7"/>
  <c r="E13" i="7"/>
  <c r="C13" i="7"/>
  <c r="B13" i="7"/>
  <c r="AD27" i="7"/>
  <c r="AC27" i="7"/>
  <c r="AA27" i="7"/>
  <c r="Z27" i="7"/>
  <c r="X27" i="7"/>
  <c r="W27" i="7"/>
  <c r="U27" i="7"/>
  <c r="T27" i="7"/>
  <c r="R27" i="7"/>
  <c r="Q27" i="7"/>
  <c r="O27" i="7"/>
  <c r="N27" i="7"/>
  <c r="L27" i="7"/>
  <c r="K27" i="7"/>
  <c r="I27" i="7"/>
  <c r="H27" i="7"/>
  <c r="F27" i="7"/>
  <c r="E27" i="7"/>
  <c r="C27" i="7"/>
  <c r="B27" i="7"/>
  <c r="AD23" i="7"/>
  <c r="AC23" i="7"/>
  <c r="AA23" i="7"/>
  <c r="Z23" i="7"/>
  <c r="X23" i="7"/>
  <c r="W23" i="7"/>
  <c r="U23" i="7"/>
  <c r="T23" i="7"/>
  <c r="R23" i="7"/>
  <c r="Q23" i="7"/>
  <c r="O23" i="7"/>
  <c r="N23" i="7"/>
  <c r="L23" i="7"/>
  <c r="K23" i="7"/>
  <c r="I23" i="7"/>
  <c r="H23" i="7"/>
  <c r="F23" i="7"/>
  <c r="E23" i="7"/>
  <c r="C23" i="7"/>
  <c r="B23" i="7"/>
  <c r="AD20" i="7"/>
  <c r="AC20" i="7"/>
  <c r="AA20" i="7"/>
  <c r="Z20" i="7"/>
  <c r="X20" i="7"/>
  <c r="W20" i="7"/>
  <c r="U20" i="7"/>
  <c r="T20" i="7"/>
  <c r="R20" i="7"/>
  <c r="Q20" i="7"/>
  <c r="O20" i="7"/>
  <c r="N20" i="7"/>
  <c r="L20" i="7"/>
  <c r="K20" i="7"/>
  <c r="I20" i="7"/>
  <c r="H20" i="7"/>
  <c r="F20" i="7"/>
  <c r="E20" i="7"/>
  <c r="C20" i="7"/>
  <c r="B20" i="7"/>
  <c r="AD21" i="7"/>
  <c r="AC21" i="7"/>
  <c r="AA21" i="7"/>
  <c r="Z21" i="7"/>
  <c r="X21" i="7"/>
  <c r="W21" i="7"/>
  <c r="U21" i="7"/>
  <c r="T21" i="7"/>
  <c r="R21" i="7"/>
  <c r="Q21" i="7"/>
  <c r="O21" i="7"/>
  <c r="N21" i="7"/>
  <c r="L21" i="7"/>
  <c r="K21" i="7"/>
  <c r="I21" i="7"/>
  <c r="H21" i="7"/>
  <c r="F21" i="7"/>
  <c r="E21" i="7"/>
  <c r="C21" i="7"/>
  <c r="B21" i="7"/>
  <c r="AD19" i="7"/>
  <c r="AC19" i="7"/>
  <c r="AA19" i="7"/>
  <c r="Z19" i="7"/>
  <c r="X19" i="7"/>
  <c r="W19" i="7"/>
  <c r="U19" i="7"/>
  <c r="T19" i="7"/>
  <c r="R19" i="7"/>
  <c r="Q19" i="7"/>
  <c r="O19" i="7"/>
  <c r="N19" i="7"/>
  <c r="L19" i="7"/>
  <c r="K19" i="7"/>
  <c r="I19" i="7"/>
  <c r="H19" i="7"/>
  <c r="F19" i="7"/>
  <c r="E19" i="7"/>
  <c r="C19" i="7"/>
  <c r="B19" i="7"/>
  <c r="AD17" i="7"/>
  <c r="AC17" i="7"/>
  <c r="AA17" i="7"/>
  <c r="Z17" i="7"/>
  <c r="X17" i="7"/>
  <c r="W17" i="7"/>
  <c r="U17" i="7"/>
  <c r="T17" i="7"/>
  <c r="R17" i="7"/>
  <c r="Q17" i="7"/>
  <c r="O17" i="7"/>
  <c r="N17" i="7"/>
  <c r="L17" i="7"/>
  <c r="K17" i="7"/>
  <c r="I17" i="7"/>
  <c r="H17" i="7"/>
  <c r="F17" i="7"/>
  <c r="E17" i="7"/>
  <c r="C17" i="7"/>
  <c r="B17" i="7"/>
  <c r="AD18" i="7"/>
  <c r="AC18" i="7"/>
  <c r="AA18" i="7"/>
  <c r="Z18" i="7"/>
  <c r="X18" i="7"/>
  <c r="W18" i="7"/>
  <c r="U18" i="7"/>
  <c r="T18" i="7"/>
  <c r="R18" i="7"/>
  <c r="Q18" i="7"/>
  <c r="O18" i="7"/>
  <c r="N18" i="7"/>
  <c r="L18" i="7"/>
  <c r="K18" i="7"/>
  <c r="I18" i="7"/>
  <c r="H18" i="7"/>
  <c r="F18" i="7"/>
  <c r="E18" i="7"/>
  <c r="C18" i="7"/>
  <c r="B18" i="7"/>
  <c r="AD16" i="7"/>
  <c r="AC16" i="7"/>
  <c r="AA16" i="7"/>
  <c r="Z16" i="7"/>
  <c r="X16" i="7"/>
  <c r="W16" i="7"/>
  <c r="U16" i="7"/>
  <c r="T16" i="7"/>
  <c r="R16" i="7"/>
  <c r="Q16" i="7"/>
  <c r="O16" i="7"/>
  <c r="N16" i="7"/>
  <c r="L16" i="7"/>
  <c r="K16" i="7"/>
  <c r="I16" i="7"/>
  <c r="H16" i="7"/>
  <c r="F16" i="7"/>
  <c r="E16" i="7"/>
  <c r="C16" i="7"/>
  <c r="B16" i="7"/>
  <c r="AD14" i="7"/>
  <c r="AC14" i="7"/>
  <c r="AA14" i="7"/>
  <c r="Z14" i="7"/>
  <c r="X14" i="7"/>
  <c r="W14" i="7"/>
  <c r="U14" i="7"/>
  <c r="T14" i="7"/>
  <c r="R14" i="7"/>
  <c r="Q14" i="7"/>
  <c r="O14" i="7"/>
  <c r="N14" i="7"/>
  <c r="L14" i="7"/>
  <c r="K14" i="7"/>
  <c r="I14" i="7"/>
  <c r="H14" i="7"/>
  <c r="F14" i="7"/>
  <c r="E14" i="7"/>
  <c r="C14" i="7"/>
  <c r="B14" i="7"/>
  <c r="AD12" i="7"/>
  <c r="AC12" i="7"/>
  <c r="AA12" i="7"/>
  <c r="Z12" i="7"/>
  <c r="X12" i="7"/>
  <c r="W12" i="7"/>
  <c r="U12" i="7"/>
  <c r="T12" i="7"/>
  <c r="R12" i="7"/>
  <c r="Q12" i="7"/>
  <c r="O12" i="7"/>
  <c r="N12" i="7"/>
  <c r="L12" i="7"/>
  <c r="K12" i="7"/>
  <c r="I12" i="7"/>
  <c r="H12" i="7"/>
  <c r="F12" i="7"/>
  <c r="E12" i="7"/>
  <c r="C12" i="7"/>
  <c r="B12" i="7"/>
  <c r="AD26" i="7"/>
  <c r="AC26" i="7"/>
  <c r="AA26" i="7"/>
  <c r="Z26" i="7"/>
  <c r="X26" i="7"/>
  <c r="W26" i="7"/>
  <c r="U26" i="7"/>
  <c r="T26" i="7"/>
  <c r="R26" i="7"/>
  <c r="Q26" i="7"/>
  <c r="O26" i="7"/>
  <c r="N26" i="7"/>
  <c r="L26" i="7"/>
  <c r="K26" i="7"/>
  <c r="I26" i="7"/>
  <c r="H26" i="7"/>
  <c r="F26" i="7"/>
  <c r="E26" i="7"/>
  <c r="C26" i="7"/>
  <c r="B26" i="7"/>
  <c r="AD8" i="7"/>
  <c r="AC8" i="7"/>
  <c r="AA8" i="7"/>
  <c r="Z8" i="7"/>
  <c r="X8" i="7"/>
  <c r="W8" i="7"/>
  <c r="U8" i="7"/>
  <c r="T8" i="7"/>
  <c r="R8" i="7"/>
  <c r="Q8" i="7"/>
  <c r="O8" i="7"/>
  <c r="N8" i="7"/>
  <c r="L8" i="7"/>
  <c r="K8" i="7"/>
  <c r="I8" i="7"/>
  <c r="H8" i="7"/>
  <c r="F8" i="7"/>
  <c r="E8" i="7"/>
  <c r="C8" i="7"/>
  <c r="B8" i="7"/>
  <c r="AD9" i="7"/>
  <c r="AC9" i="7"/>
  <c r="AA9" i="7"/>
  <c r="Z9" i="7"/>
  <c r="X9" i="7"/>
  <c r="W9" i="7"/>
  <c r="U9" i="7"/>
  <c r="T9" i="7"/>
  <c r="R9" i="7"/>
  <c r="Q9" i="7"/>
  <c r="O9" i="7"/>
  <c r="N9" i="7"/>
  <c r="L9" i="7"/>
  <c r="K9" i="7"/>
  <c r="I9" i="7"/>
  <c r="H9" i="7"/>
  <c r="F9" i="7"/>
  <c r="E9" i="7"/>
  <c r="C9" i="7"/>
  <c r="B9" i="7"/>
  <c r="AD10" i="7"/>
  <c r="AC10" i="7"/>
  <c r="AA10" i="7"/>
  <c r="Z10" i="7"/>
  <c r="X10" i="7"/>
  <c r="W10" i="7"/>
  <c r="U10" i="7"/>
  <c r="T10" i="7"/>
  <c r="R10" i="7"/>
  <c r="Q10" i="7"/>
  <c r="O10" i="7"/>
  <c r="N10" i="7"/>
  <c r="L10" i="7"/>
  <c r="K10" i="7"/>
  <c r="I10" i="7"/>
  <c r="H10" i="7"/>
  <c r="F10" i="7"/>
  <c r="E10" i="7"/>
  <c r="C10" i="7"/>
  <c r="B10" i="7"/>
  <c r="AD22" i="7"/>
  <c r="AC22" i="7"/>
  <c r="AA22" i="7"/>
  <c r="Z22" i="7"/>
  <c r="X22" i="7"/>
  <c r="W22" i="7"/>
  <c r="U22" i="7"/>
  <c r="T22" i="7"/>
  <c r="R22" i="7"/>
  <c r="Q22" i="7"/>
  <c r="O22" i="7"/>
  <c r="N22" i="7"/>
  <c r="L22" i="7"/>
  <c r="K22" i="7"/>
  <c r="I22" i="7"/>
  <c r="H22" i="7"/>
  <c r="F22" i="7"/>
  <c r="E22" i="7"/>
  <c r="C22" i="7"/>
  <c r="B22" i="7"/>
  <c r="AD11" i="7"/>
  <c r="AC11" i="7"/>
  <c r="AA11" i="7"/>
  <c r="Z11" i="7"/>
  <c r="X11" i="7"/>
  <c r="W11" i="7"/>
  <c r="U11" i="7"/>
  <c r="T11" i="7"/>
  <c r="R11" i="7"/>
  <c r="Q11" i="7"/>
  <c r="O11" i="7"/>
  <c r="N11" i="7"/>
  <c r="L11" i="7"/>
  <c r="K11" i="7"/>
  <c r="I11" i="7"/>
  <c r="H11" i="7"/>
  <c r="F11" i="7"/>
  <c r="E11" i="7"/>
  <c r="C11" i="7"/>
  <c r="B11" i="7"/>
  <c r="AD7" i="7"/>
  <c r="AC7" i="7"/>
  <c r="AA7" i="7"/>
  <c r="Z7" i="7"/>
  <c r="X7" i="7"/>
  <c r="W7" i="7"/>
  <c r="U7" i="7"/>
  <c r="T7" i="7"/>
  <c r="R7" i="7"/>
  <c r="Q7" i="7"/>
  <c r="O7" i="7"/>
  <c r="N7" i="7"/>
  <c r="L7" i="7"/>
  <c r="K7" i="7"/>
  <c r="I7" i="7"/>
  <c r="H7" i="7"/>
  <c r="F7" i="7"/>
  <c r="E7" i="7"/>
  <c r="C7" i="7"/>
  <c r="B7" i="7"/>
  <c r="AD6" i="7"/>
  <c r="AC6" i="7"/>
  <c r="AA6" i="7"/>
  <c r="Z6" i="7"/>
  <c r="X6" i="7"/>
  <c r="W6" i="7"/>
  <c r="U6" i="7"/>
  <c r="T6" i="7"/>
  <c r="R6" i="7"/>
  <c r="Q6" i="7"/>
  <c r="O6" i="7"/>
  <c r="N6" i="7"/>
  <c r="L6" i="7"/>
  <c r="K6" i="7"/>
  <c r="I6" i="7"/>
  <c r="H6" i="7"/>
  <c r="F6" i="7"/>
  <c r="E6" i="7"/>
  <c r="C6" i="7"/>
  <c r="B6" i="7"/>
  <c r="AD5" i="7"/>
  <c r="AC5" i="7"/>
  <c r="AA5" i="7"/>
  <c r="Z5" i="7"/>
  <c r="X5" i="7"/>
  <c r="W5" i="7"/>
  <c r="U5" i="7"/>
  <c r="T5" i="7"/>
  <c r="R5" i="7"/>
  <c r="Q5" i="7"/>
  <c r="O5" i="7"/>
  <c r="N5" i="7"/>
  <c r="L5" i="7"/>
  <c r="K5" i="7"/>
  <c r="I5" i="7"/>
  <c r="H5" i="7"/>
  <c r="F5" i="7"/>
  <c r="E5" i="7"/>
  <c r="C5" i="7"/>
  <c r="B5" i="7"/>
  <c r="AD15" i="7"/>
  <c r="AC15" i="7"/>
  <c r="AA15" i="7"/>
  <c r="Z15" i="7"/>
  <c r="X15" i="7"/>
  <c r="W15" i="7"/>
  <c r="U15" i="7"/>
  <c r="T15" i="7"/>
  <c r="R15" i="7"/>
  <c r="Q15" i="7"/>
  <c r="O15" i="7"/>
  <c r="N15" i="7"/>
  <c r="L15" i="7"/>
  <c r="K15" i="7"/>
  <c r="I15" i="7"/>
  <c r="H15" i="7"/>
  <c r="F15" i="7"/>
  <c r="E15" i="7"/>
  <c r="C15" i="7"/>
  <c r="B15" i="7"/>
  <c r="AG35" i="7"/>
  <c r="AI35" i="7"/>
  <c r="AG36" i="7"/>
  <c r="AI36" i="7"/>
  <c r="AJ36" i="7"/>
  <c r="AG8" i="7"/>
  <c r="AI24" i="7"/>
  <c r="AJ32" i="7"/>
  <c r="AI32" i="7"/>
  <c r="AI31" i="7"/>
  <c r="AG31" i="7"/>
  <c r="AD33" i="7"/>
  <c r="AC33" i="7"/>
  <c r="AA33" i="7"/>
  <c r="X33" i="7"/>
  <c r="W33" i="7"/>
  <c r="U33" i="7"/>
  <c r="Q33" i="7"/>
  <c r="O33" i="7"/>
  <c r="L33" i="7"/>
  <c r="K33" i="7"/>
  <c r="I33" i="7"/>
  <c r="AJ13" i="7"/>
  <c r="AI23" i="7"/>
  <c r="AG23" i="7"/>
  <c r="AG20" i="7"/>
  <c r="AJ21" i="7"/>
  <c r="AI21" i="7"/>
  <c r="AG21" i="7"/>
  <c r="AJ19" i="7"/>
  <c r="AI19" i="7"/>
  <c r="AJ17" i="7"/>
  <c r="AI17" i="7"/>
  <c r="AG17" i="7"/>
  <c r="AJ18" i="7"/>
  <c r="AI18" i="7"/>
  <c r="AG18" i="7"/>
  <c r="AI14" i="7"/>
  <c r="AJ26" i="7"/>
  <c r="AI26" i="7"/>
  <c r="AG26" i="7"/>
  <c r="AJ8" i="7"/>
  <c r="AI8" i="7"/>
  <c r="AI9" i="7"/>
  <c r="AG9" i="7"/>
  <c r="AJ10" i="7"/>
  <c r="AI10" i="7"/>
  <c r="AG10" i="7"/>
  <c r="AJ11" i="7"/>
  <c r="AG11" i="7"/>
  <c r="AJ7" i="7"/>
  <c r="AI7" i="7"/>
  <c r="AJ6" i="7"/>
  <c r="AI6" i="7"/>
  <c r="AG6" i="7"/>
  <c r="AG15" i="7"/>
  <c r="M21" i="7" l="1"/>
  <c r="M31" i="7"/>
  <c r="AH18" i="7"/>
  <c r="Y15" i="7"/>
  <c r="M24" i="7"/>
  <c r="Y6" i="7"/>
  <c r="AE31" i="7"/>
  <c r="Y23" i="7"/>
  <c r="S22" i="7"/>
  <c r="AE21" i="7"/>
  <c r="Y20" i="7"/>
  <c r="Y18" i="7"/>
  <c r="S17" i="7"/>
  <c r="AE24" i="7"/>
  <c r="AH13" i="7"/>
  <c r="M12" i="7"/>
  <c r="M11" i="7"/>
  <c r="M10" i="7"/>
  <c r="S8" i="7"/>
  <c r="AE7" i="7"/>
  <c r="M6" i="7"/>
  <c r="AE26" i="7"/>
  <c r="S25" i="7"/>
  <c r="AE23" i="7"/>
  <c r="Y21" i="7"/>
  <c r="S20" i="7"/>
  <c r="Y19" i="7"/>
  <c r="Y17" i="7"/>
  <c r="AH24" i="7"/>
  <c r="S13" i="7"/>
  <c r="Y11" i="7"/>
  <c r="S10" i="7"/>
  <c r="AE9" i="7"/>
  <c r="M8" i="7"/>
  <c r="AE6" i="7"/>
  <c r="Y31" i="7"/>
  <c r="S26" i="7"/>
  <c r="S23" i="7"/>
  <c r="AE22" i="7"/>
  <c r="AE12" i="7"/>
  <c r="Y9" i="7"/>
  <c r="Y7" i="7"/>
  <c r="S6" i="7"/>
  <c r="AH26" i="7"/>
  <c r="AH25" i="7"/>
  <c r="M19" i="7"/>
  <c r="M18" i="7"/>
  <c r="AH17" i="7"/>
  <c r="Y13" i="7"/>
  <c r="G12" i="7"/>
  <c r="G35" i="7"/>
  <c r="AH35" i="7"/>
  <c r="AG7" i="7"/>
  <c r="S7" i="7"/>
  <c r="S35" i="7"/>
  <c r="Y35" i="7"/>
  <c r="S36" i="7"/>
  <c r="M36" i="7"/>
  <c r="M35" i="7"/>
  <c r="Y36" i="7"/>
  <c r="G36" i="7"/>
  <c r="AF35" i="7"/>
  <c r="AE36" i="7"/>
  <c r="AK36" i="7" s="1"/>
  <c r="AF36" i="7"/>
  <c r="AE20" i="7"/>
  <c r="AJ20" i="7"/>
  <c r="AI15" i="7"/>
  <c r="S15" i="7"/>
  <c r="AJ31" i="7"/>
  <c r="AG32" i="7"/>
  <c r="AE13" i="7"/>
  <c r="AI13" i="7"/>
  <c r="AG14" i="7"/>
  <c r="S32" i="7"/>
  <c r="S31" i="7"/>
  <c r="AE11" i="7"/>
  <c r="R33" i="7"/>
  <c r="AH32" i="7"/>
  <c r="AJ14" i="7"/>
  <c r="M32" i="7"/>
  <c r="AE27" i="7"/>
  <c r="M22" i="7"/>
  <c r="M17" i="7"/>
  <c r="AJ23" i="7"/>
  <c r="AG19" i="7"/>
  <c r="AE19" i="7"/>
  <c r="M7" i="7"/>
  <c r="S19" i="7"/>
  <c r="M23" i="7"/>
  <c r="S24" i="7"/>
  <c r="AJ24" i="7"/>
  <c r="AJ9" i="7"/>
  <c r="AG24" i="7"/>
  <c r="Y24" i="7"/>
  <c r="AF24" i="7"/>
  <c r="G24" i="7"/>
  <c r="Y32" i="7"/>
  <c r="Y26" i="7"/>
  <c r="S9" i="7"/>
  <c r="AH15" i="7"/>
  <c r="AE10" i="7"/>
  <c r="AI20" i="7"/>
  <c r="M20" i="7"/>
  <c r="AE14" i="7"/>
  <c r="AE8" i="7"/>
  <c r="M25" i="7"/>
  <c r="M14" i="7"/>
  <c r="M26" i="7"/>
  <c r="S14" i="7"/>
  <c r="Y8" i="7"/>
  <c r="AI11" i="7"/>
  <c r="M15" i="7"/>
  <c r="S11" i="7"/>
  <c r="AJ15" i="7"/>
  <c r="M16" i="7"/>
  <c r="M9" i="7"/>
  <c r="Y14" i="7"/>
  <c r="AI25" i="7"/>
  <c r="AJ25" i="7"/>
  <c r="AG25" i="7"/>
  <c r="Y27" i="7"/>
  <c r="AE25" i="7"/>
  <c r="AE16" i="7"/>
  <c r="Y10" i="7"/>
  <c r="Y25" i="7"/>
  <c r="S18" i="7"/>
  <c r="AE15" i="7"/>
  <c r="AE32" i="7"/>
  <c r="S27" i="7"/>
  <c r="Y16" i="7"/>
  <c r="S21" i="7"/>
  <c r="AG13" i="7"/>
  <c r="AC28" i="7"/>
  <c r="AC37" i="7" s="1"/>
  <c r="U28" i="7"/>
  <c r="U37" i="7" s="1"/>
  <c r="L28" i="7"/>
  <c r="L37" i="7" s="1"/>
  <c r="M27" i="7"/>
  <c r="AJ27" i="7"/>
  <c r="AI27" i="7"/>
  <c r="AH27" i="7"/>
  <c r="AG27" i="7"/>
  <c r="W28" i="7"/>
  <c r="W37" i="7" s="1"/>
  <c r="O28" i="7"/>
  <c r="O37" i="7" s="1"/>
  <c r="S16" i="7"/>
  <c r="AJ16" i="7"/>
  <c r="AI16" i="7"/>
  <c r="AH16" i="7"/>
  <c r="AG16" i="7"/>
  <c r="AI12" i="7"/>
  <c r="AH12" i="7"/>
  <c r="AG12" i="7"/>
  <c r="AD28" i="7"/>
  <c r="V28" i="7"/>
  <c r="V37" i="7" s="1"/>
  <c r="Y22" i="7"/>
  <c r="AJ22" i="7"/>
  <c r="AI22" i="7"/>
  <c r="AH22" i="7"/>
  <c r="AG22" i="7"/>
  <c r="R28" i="7"/>
  <c r="R37" i="7" s="1"/>
  <c r="J28" i="7"/>
  <c r="J37" i="7" s="1"/>
  <c r="AB28" i="7"/>
  <c r="AB37" i="7" s="1"/>
  <c r="AD35" i="7" s="1"/>
  <c r="K28" i="7"/>
  <c r="K37" i="7" s="1"/>
  <c r="AE18" i="7"/>
  <c r="X28" i="7"/>
  <c r="X37" i="7" s="1"/>
  <c r="P28" i="7"/>
  <c r="P37" i="7" s="1"/>
  <c r="M13" i="7"/>
  <c r="AE17" i="7"/>
  <c r="AA28" i="7"/>
  <c r="AA37" i="7" s="1"/>
  <c r="Q28" i="7"/>
  <c r="Q37" i="7" s="1"/>
  <c r="I28" i="7"/>
  <c r="I37" i="7" s="1"/>
  <c r="AF32" i="7"/>
  <c r="G32" i="7"/>
  <c r="G31" i="7"/>
  <c r="AF31" i="7"/>
  <c r="AE30" i="7"/>
  <c r="Z33" i="7"/>
  <c r="T33" i="7"/>
  <c r="Y30" i="7"/>
  <c r="S30" i="7"/>
  <c r="N33" i="7"/>
  <c r="M30" i="7"/>
  <c r="H33" i="7"/>
  <c r="AJ30" i="7"/>
  <c r="F33" i="7"/>
  <c r="E33" i="7"/>
  <c r="AI30" i="7"/>
  <c r="AI33" i="7" s="1"/>
  <c r="AH30" i="7"/>
  <c r="D33" i="7"/>
  <c r="C33" i="7"/>
  <c r="AG30" i="7"/>
  <c r="AG33" i="7" s="1"/>
  <c r="B33" i="7"/>
  <c r="G30" i="7"/>
  <c r="AF30" i="7"/>
  <c r="G25" i="7"/>
  <c r="AF25" i="7"/>
  <c r="G13" i="7"/>
  <c r="AF13" i="7"/>
  <c r="G27" i="7"/>
  <c r="AF27" i="7"/>
  <c r="AF23" i="7"/>
  <c r="G23" i="7"/>
  <c r="AF20" i="7"/>
  <c r="G20" i="7"/>
  <c r="AF21" i="7"/>
  <c r="G21" i="7"/>
  <c r="G19" i="7"/>
  <c r="AF19" i="7"/>
  <c r="AF17" i="7"/>
  <c r="G17" i="7"/>
  <c r="AF18" i="7"/>
  <c r="G18" i="7"/>
  <c r="AF16" i="7"/>
  <c r="G16" i="7"/>
  <c r="G14" i="7"/>
  <c r="AF14" i="7"/>
  <c r="Y12" i="7"/>
  <c r="AF12" i="7"/>
  <c r="S12" i="7"/>
  <c r="AK12" i="7" s="1"/>
  <c r="AJ12" i="7"/>
  <c r="AF26" i="7"/>
  <c r="G26" i="7"/>
  <c r="G8" i="7"/>
  <c r="AF8" i="7"/>
  <c r="G9" i="7"/>
  <c r="AF9" i="7"/>
  <c r="AF10" i="7"/>
  <c r="G10" i="7"/>
  <c r="G22" i="7"/>
  <c r="AF22" i="7"/>
  <c r="G11" i="7"/>
  <c r="AF11" i="7"/>
  <c r="G7" i="7"/>
  <c r="AK7" i="7" s="1"/>
  <c r="AF7" i="7"/>
  <c r="G6" i="7"/>
  <c r="AK6" i="7" s="1"/>
  <c r="AF6" i="7"/>
  <c r="Z28" i="7"/>
  <c r="AE5" i="7"/>
  <c r="T28" i="7"/>
  <c r="Y5" i="7"/>
  <c r="S5" i="7"/>
  <c r="N28" i="7"/>
  <c r="M5" i="7"/>
  <c r="H28" i="7"/>
  <c r="F28" i="7"/>
  <c r="AJ5" i="7"/>
  <c r="AI5" i="7"/>
  <c r="E28" i="7"/>
  <c r="D28" i="7"/>
  <c r="AH5" i="7"/>
  <c r="C28" i="7"/>
  <c r="AG5" i="7"/>
  <c r="B28" i="7"/>
  <c r="AF5" i="7"/>
  <c r="G5" i="7"/>
  <c r="G15" i="7"/>
  <c r="AF15" i="7"/>
  <c r="AK31" i="7" l="1"/>
  <c r="AK9" i="7"/>
  <c r="AK11" i="7"/>
  <c r="Y33" i="7"/>
  <c r="AH33" i="7"/>
  <c r="AK23" i="7"/>
  <c r="AK20" i="7"/>
  <c r="AK19" i="7"/>
  <c r="AK14" i="7"/>
  <c r="AK26" i="7"/>
  <c r="AK8" i="7"/>
  <c r="AK10" i="7"/>
  <c r="AJ33" i="7"/>
  <c r="S33" i="7"/>
  <c r="Z37" i="7"/>
  <c r="H37" i="7"/>
  <c r="F37" i="7"/>
  <c r="E37" i="7"/>
  <c r="D37" i="7"/>
  <c r="C37" i="7"/>
  <c r="B37" i="7"/>
  <c r="M33" i="7"/>
  <c r="T37" i="7"/>
  <c r="N37" i="7"/>
  <c r="AD37" i="7"/>
  <c r="AE35" i="7"/>
  <c r="AK35" i="7" s="1"/>
  <c r="AJ35" i="7"/>
  <c r="AK24" i="7"/>
  <c r="AK25" i="7"/>
  <c r="AK32" i="7"/>
  <c r="AE33" i="7"/>
  <c r="AF33" i="7"/>
  <c r="AK13" i="7"/>
  <c r="AK27" i="7"/>
  <c r="AK21" i="7"/>
  <c r="AK17" i="7"/>
  <c r="AK18" i="7"/>
  <c r="AK16" i="7"/>
  <c r="AK22" i="7"/>
  <c r="AE28" i="7"/>
  <c r="M28" i="7"/>
  <c r="AJ28" i="7"/>
  <c r="AI28" i="7"/>
  <c r="AI37" i="7" s="1"/>
  <c r="AH28" i="7"/>
  <c r="AG28" i="7"/>
  <c r="AG37" i="7" s="1"/>
  <c r="AK30" i="7"/>
  <c r="G33" i="7"/>
  <c r="AK15" i="7"/>
  <c r="G28" i="7"/>
  <c r="G37" i="7" s="1"/>
  <c r="Y28" i="7"/>
  <c r="S28" i="7"/>
  <c r="AK5" i="7"/>
  <c r="AF28" i="7"/>
  <c r="AF37" i="7" s="1"/>
  <c r="AH37" i="7" l="1"/>
  <c r="AK33" i="7"/>
  <c r="Y37" i="7"/>
  <c r="AE37" i="7"/>
  <c r="M37" i="7"/>
  <c r="AJ37" i="7"/>
  <c r="S37" i="7"/>
  <c r="AK28" i="7"/>
  <c r="AK37" i="7" s="1"/>
</calcChain>
</file>

<file path=xl/sharedStrings.xml><?xml version="1.0" encoding="utf-8"?>
<sst xmlns="http://schemas.openxmlformats.org/spreadsheetml/2006/main" count="2071" uniqueCount="130">
  <si>
    <t>Pair / Group</t>
  </si>
  <si>
    <t>June 2026</t>
  </si>
  <si>
    <t>July 2026</t>
  </si>
  <si>
    <t>August 2026</t>
  </si>
  <si>
    <t>September 2026</t>
  </si>
  <si>
    <t>MTM P&amp;L</t>
  </si>
  <si>
    <t>Commissions</t>
  </si>
  <si>
    <t>Dividends / PIL</t>
  </si>
  <si>
    <t>Net P&amp;L</t>
  </si>
  <si>
    <t>BTCW / IBIT</t>
  </si>
  <si>
    <t>BTC futures</t>
  </si>
  <si>
    <t>ETH futures</t>
  </si>
  <si>
    <t>Fed funds futures</t>
  </si>
  <si>
    <t>IYW / XLK</t>
  </si>
  <si>
    <t>KBE / KBWB</t>
  </si>
  <si>
    <t>IYK / XLP</t>
  </si>
  <si>
    <t>CWB / ICVT</t>
  </si>
  <si>
    <t>IYH / XLV</t>
  </si>
  <si>
    <t>IDU / XLU</t>
  </si>
  <si>
    <t>CMF / VTEC</t>
  </si>
  <si>
    <t>FWONA / FWONK</t>
  </si>
  <si>
    <t>IYJ / XLI</t>
  </si>
  <si>
    <t>EMB / VWOB</t>
  </si>
  <si>
    <t>LBTYA / LBTYK</t>
  </si>
  <si>
    <t>TLT / VGLT</t>
  </si>
  <si>
    <t>ANGL / FALN</t>
  </si>
  <si>
    <t>MUB / VTEB</t>
  </si>
  <si>
    <t>PFF / PFFD</t>
  </si>
  <si>
    <t>MUB / TFI</t>
  </si>
  <si>
    <t>CORP / LQD / VTC</t>
  </si>
  <si>
    <t>BWX / IGOV</t>
  </si>
  <si>
    <t>IYF / XLF</t>
  </si>
  <si>
    <t>IYE / XLE</t>
  </si>
  <si>
    <t>GRAND TOTAL</t>
  </si>
  <si>
    <t>Month</t>
  </si>
  <si>
    <t>Symbol</t>
  </si>
  <si>
    <t>Asset class</t>
  </si>
  <si>
    <t>June</t>
  </si>
  <si>
    <t>BTCW</t>
  </si>
  <si>
    <t>Stocks</t>
  </si>
  <si>
    <t>U3308264_202606_202606.pdf; MTM Performance Summary / Borrow Fee Details</t>
  </si>
  <si>
    <t>IBIT</t>
  </si>
  <si>
    <t>BTCM6</t>
  </si>
  <si>
    <t>Futures</t>
  </si>
  <si>
    <t>BTCN6</t>
  </si>
  <si>
    <t>BTCQ6</t>
  </si>
  <si>
    <t>BTCU6</t>
  </si>
  <si>
    <t>BTCV6</t>
  </si>
  <si>
    <t>ETHM6</t>
  </si>
  <si>
    <t>ETHN6</t>
  </si>
  <si>
    <t>ETHQ6</t>
  </si>
  <si>
    <t>ETHU6</t>
  </si>
  <si>
    <t>MBTM6</t>
  </si>
  <si>
    <t>ZQN6</t>
  </si>
  <si>
    <t>July</t>
  </si>
  <si>
    <t>ANGL</t>
  </si>
  <si>
    <t>U3308264_202607_202607.pdf; MTM Performance Summary / Borrow Fee Details</t>
  </si>
  <si>
    <t>BWX</t>
  </si>
  <si>
    <t>CORP</t>
  </si>
  <si>
    <t>CWB</t>
  </si>
  <si>
    <t>EMB</t>
  </si>
  <si>
    <t>EMLC</t>
  </si>
  <si>
    <t>EMLC / PCY</t>
  </si>
  <si>
    <t>FALN</t>
  </si>
  <si>
    <t>ICVT</t>
  </si>
  <si>
    <t>IGOV</t>
  </si>
  <si>
    <t>LQD</t>
  </si>
  <si>
    <t>MUB</t>
  </si>
  <si>
    <t>PCY</t>
  </si>
  <si>
    <t>TLT</t>
  </si>
  <si>
    <t>VGLT</t>
  </si>
  <si>
    <t>VTEB</t>
  </si>
  <si>
    <t>VWOB</t>
  </si>
  <si>
    <t>ZQQ6</t>
  </si>
  <si>
    <t>August</t>
  </si>
  <si>
    <t>U3308264_202608_202608(1).pdf; MTM Performance Summary / Borrow Fee Details</t>
  </si>
  <si>
    <t>PFF</t>
  </si>
  <si>
    <t>PFFD</t>
  </si>
  <si>
    <t>VTC</t>
  </si>
  <si>
    <t>September</t>
  </si>
  <si>
    <t>U3308264_202609_202609 (1).pdf; MTM Performance Summary / Borrow Fee Details</t>
  </si>
  <si>
    <t>CMF</t>
  </si>
  <si>
    <t>IDU</t>
  </si>
  <si>
    <t>IYE</t>
  </si>
  <si>
    <t>IYF</t>
  </si>
  <si>
    <t>IYJ</t>
  </si>
  <si>
    <t>IYK</t>
  </si>
  <si>
    <t>IYW</t>
  </si>
  <si>
    <t>KBE</t>
  </si>
  <si>
    <t>KBWB</t>
  </si>
  <si>
    <t>TFI</t>
  </si>
  <si>
    <t>VTEC</t>
  </si>
  <si>
    <t>XLE</t>
  </si>
  <si>
    <t>XLF</t>
  </si>
  <si>
    <t>XLI</t>
  </si>
  <si>
    <t>XLK</t>
  </si>
  <si>
    <t>XLP</t>
  </si>
  <si>
    <t>XLU</t>
  </si>
  <si>
    <t>ZQU6</t>
  </si>
  <si>
    <t>October</t>
  </si>
  <si>
    <t>U3308264_20261001_20261016.pdf; MTM Performance Summary / Borrow Fee Details</t>
  </si>
  <si>
    <t>FWONA</t>
  </si>
  <si>
    <t>FWONK</t>
  </si>
  <si>
    <t>IYH</t>
  </si>
  <si>
    <t>LBTYA</t>
  </si>
  <si>
    <t>LBTYK</t>
  </si>
  <si>
    <t>LEMB</t>
  </si>
  <si>
    <t>XLV</t>
  </si>
  <si>
    <t>BTCX6</t>
  </si>
  <si>
    <t>U3308264_20261001_20261016.pdf; Borrow Fee Details</t>
  </si>
  <si>
    <t>Source report</t>
  </si>
  <si>
    <t>Other</t>
  </si>
  <si>
    <t>BTCZ6</t>
  </si>
  <si>
    <t>P&amp;L category</t>
  </si>
  <si>
    <t>Amount (USD)</t>
  </si>
  <si>
    <t>P&amp;L by Pair — normalized source summary (USD)</t>
  </si>
  <si>
    <t>Asset class / Pair</t>
  </si>
  <si>
    <t>October 2026</t>
  </si>
  <si>
    <t>Grand total</t>
  </si>
  <si>
    <t>EQUITIES</t>
  </si>
  <si>
    <t>Equities subtotal</t>
  </si>
  <si>
    <t>FUTURES</t>
  </si>
  <si>
    <t>Futures subtotal</t>
  </si>
  <si>
    <t>Source: P&amp;L facts table; update the table and refresh/recalculate this SUMIFS-based summary. Original Monthly P&amp;L retained for audit.</t>
  </si>
  <si>
    <t>EMLC / LEMB</t>
  </si>
  <si>
    <t>Interest</t>
  </si>
  <si>
    <t>Mike</t>
  </si>
  <si>
    <t>Fees</t>
  </si>
  <si>
    <t>OTHER</t>
  </si>
  <si>
    <t>Borrow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</si>
</sst>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;[Red]\(#,##0.00\);\-"/>
  </numFmts>
  <fonts count="15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1"/>
      <name val="Carlito"/>
    </font>
    <font>
      <sz val="10"/>
      <color theme="1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  <font>
      <strike/>
      <sz val="10"/>
      <color rgb="FF0070C0"/>
      <name val="Arial"/>
      <family val="2"/>
    </font>
    <font>
      <sz val="10"/>
      <color rgb="FF0070C0"/>
      <name val="Arial"/>
      <family val="2"/>
    </font>
    <font>
      <strike/>
      <sz val="10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u/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5"/>
      </patternFill>
    </fill>
    <fill>
      <patternFill patternType="solid">
        <fgColor rgb="FFB8CFE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0" fontId="3" fillId="4" borderId="2" xfId="0" applyFont="1" applyFill="1" applyBorder="1"/>
    <xf numFmtId="0" fontId="3" fillId="4" borderId="3" xfId="0" applyFont="1" applyFill="1" applyBorder="1"/>
    <xf numFmtId="164" fontId="2" fillId="2" borderId="5" xfId="0" applyNumberFormat="1" applyFont="1" applyFill="1" applyBorder="1"/>
    <xf numFmtId="164" fontId="2" fillId="2" borderId="1" xfId="0" applyNumberFormat="1" applyFont="1" applyFill="1" applyBorder="1"/>
    <xf numFmtId="164" fontId="1" fillId="0" borderId="5" xfId="0" applyNumberFormat="1" applyFont="1" applyBorder="1"/>
    <xf numFmtId="164" fontId="1" fillId="0" borderId="1" xfId="0" applyNumberFormat="1" applyFont="1" applyBorder="1"/>
    <xf numFmtId="164" fontId="3" fillId="3" borderId="5" xfId="0" applyNumberFormat="1" applyFont="1" applyFill="1" applyBorder="1"/>
    <xf numFmtId="164" fontId="3" fillId="3" borderId="1" xfId="0" applyNumberFormat="1" applyFont="1" applyFill="1" applyBorder="1"/>
    <xf numFmtId="164" fontId="2" fillId="2" borderId="7" xfId="0" applyNumberFormat="1" applyFont="1" applyFill="1" applyBorder="1"/>
    <xf numFmtId="0" fontId="3" fillId="4" borderId="8" xfId="0" applyFont="1" applyFill="1" applyBorder="1"/>
    <xf numFmtId="0" fontId="3" fillId="3" borderId="9" xfId="0" applyFont="1" applyFill="1" applyBorder="1"/>
    <xf numFmtId="0" fontId="2" fillId="2" borderId="9" xfId="0" applyFont="1" applyFill="1" applyBorder="1"/>
    <xf numFmtId="0" fontId="1" fillId="0" borderId="9" xfId="0" applyFont="1" applyBorder="1"/>
    <xf numFmtId="0" fontId="2" fillId="2" borderId="10" xfId="0" applyFont="1" applyFill="1" applyBorder="1"/>
    <xf numFmtId="0" fontId="0" fillId="0" borderId="1" xfId="0" applyBorder="1"/>
    <xf numFmtId="0" fontId="5" fillId="0" borderId="1" xfId="0" applyFont="1" applyBorder="1"/>
    <xf numFmtId="164" fontId="5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3" fillId="4" borderId="4" xfId="0" applyFont="1" applyFill="1" applyBorder="1"/>
    <xf numFmtId="164" fontId="2" fillId="2" borderId="6" xfId="0" applyNumberFormat="1" applyFont="1" applyFill="1" applyBorder="1"/>
    <xf numFmtId="164" fontId="3" fillId="0" borderId="6" xfId="0" applyNumberFormat="1" applyFont="1" applyBorder="1"/>
    <xf numFmtId="164" fontId="3" fillId="3" borderId="6" xfId="0" applyNumberFormat="1" applyFont="1" applyFill="1" applyBorder="1"/>
    <xf numFmtId="164" fontId="3" fillId="0" borderId="0" xfId="0" applyNumberFormat="1" applyFont="1"/>
    <xf numFmtId="44" fontId="1" fillId="0" borderId="0" xfId="1" applyFont="1"/>
    <xf numFmtId="44" fontId="1" fillId="0" borderId="0" xfId="0" applyNumberFormat="1" applyFont="1"/>
    <xf numFmtId="0" fontId="6" fillId="0" borderId="9" xfId="0" applyFont="1" applyBorder="1"/>
    <xf numFmtId="164" fontId="7" fillId="0" borderId="6" xfId="0" applyNumberFormat="1" applyFont="1" applyBorder="1"/>
    <xf numFmtId="164" fontId="6" fillId="0" borderId="5" xfId="0" applyNumberFormat="1" applyFont="1" applyBorder="1"/>
    <xf numFmtId="164" fontId="6" fillId="0" borderId="1" xfId="0" applyNumberFormat="1" applyFont="1" applyBorder="1"/>
    <xf numFmtId="0" fontId="6" fillId="0" borderId="0" xfId="0" applyFont="1"/>
    <xf numFmtId="44" fontId="8" fillId="0" borderId="0" xfId="0" applyNumberFormat="1" applyFont="1"/>
    <xf numFmtId="0" fontId="8" fillId="0" borderId="0" xfId="0" applyFont="1"/>
    <xf numFmtId="44" fontId="9" fillId="0" borderId="0" xfId="0" applyNumberFormat="1" applyFont="1"/>
    <xf numFmtId="0" fontId="9" fillId="0" borderId="0" xfId="0" applyFont="1"/>
    <xf numFmtId="44" fontId="10" fillId="0" borderId="0" xfId="0" applyNumberFormat="1" applyFont="1"/>
    <xf numFmtId="0" fontId="10" fillId="0" borderId="0" xfId="0" applyFont="1"/>
    <xf numFmtId="44" fontId="11" fillId="0" borderId="0" xfId="0" applyNumberFormat="1" applyFont="1"/>
    <xf numFmtId="0" fontId="11" fillId="0" borderId="0" xfId="0" applyFont="1"/>
    <xf numFmtId="44" fontId="3" fillId="0" borderId="0" xfId="0" applyNumberFormat="1" applyFont="1"/>
    <xf numFmtId="0" fontId="3" fillId="0" borderId="0" xfId="0" applyFont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1" xfId="0" applyNumberFormat="1" applyFont="1" applyBorder="1"/>
    <xf numFmtId="44" fontId="3" fillId="0" borderId="0" xfId="1" applyFont="1"/>
    <xf numFmtId="0" fontId="12" fillId="0" borderId="9" xfId="0" applyFont="1" applyBorder="1"/>
    <xf numFmtId="164" fontId="12" fillId="0" borderId="5" xfId="0" applyNumberFormat="1" applyFont="1" applyBorder="1"/>
    <xf numFmtId="164" fontId="12" fillId="0" borderId="1" xfId="0" applyNumberFormat="1" applyFont="1" applyBorder="1"/>
    <xf numFmtId="164" fontId="13" fillId="0" borderId="6" xfId="0" applyNumberFormat="1" applyFont="1" applyBorder="1"/>
    <xf numFmtId="0" fontId="12" fillId="0" borderId="0" xfId="0" applyFont="1"/>
    <xf numFmtId="44" fontId="12" fillId="0" borderId="0" xfId="1" applyFont="1"/>
    <xf numFmtId="44" fontId="14" fillId="0" borderId="0" xfId="0" applyNumberFormat="1" applyFont="1"/>
    <xf numFmtId="0" fontId="14" fillId="0" borderId="0" xfId="0" applyFont="1"/>
    <xf numFmtId="0" fontId="3" fillId="3" borderId="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4" fontId="1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;[Red]\(#,##0.00\);\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BE29E-6A3E-482D-A1B5-52FDD3A4CC7F}" name="Table1" displayName="Table1" ref="A1:G303" totalsRowShown="0" headerRowDxfId="8" dataDxfId="7">
  <autoFilter ref="A1:G303" xr:uid="{356BE29E-6A3E-482D-A1B5-52FDD3A4CC7F}"/>
  <sortState xmlns:xlrd2="http://schemas.microsoft.com/office/spreadsheetml/2017/richdata2" ref="A2:G303">
    <sortCondition ref="A1:A303"/>
  </sortState>
  <tableColumns count="7">
    <tableColumn id="1" xr3:uid="{BEED7D3B-46EE-4F2C-9A95-433D267B8607}" name="Month" dataDxfId="6"/>
    <tableColumn id="2" xr3:uid="{3F6C4B87-24E5-46A2-9DDB-861CF58749ED}" name="Symbol" dataDxfId="5"/>
    <tableColumn id="3" xr3:uid="{56335FCC-D939-4C8B-A1D7-9B1388C2F209}" name="Pair / Group" dataDxfId="4"/>
    <tableColumn id="4" xr3:uid="{64A7AE73-502F-44ED-A62E-3957392C8D4C}" name="Asset class" dataDxfId="3"/>
    <tableColumn id="5" xr3:uid="{3F7376B7-8D3F-417F-B824-F6BD1FBB9B26}" name="P&amp;L category" dataDxfId="2"/>
    <tableColumn id="6" xr3:uid="{D9C37CCE-9BDE-46BE-88BE-0FB8AFD73D7A}" name="Amount (USD)" dataDxfId="1"/>
    <tableColumn id="7" xr3:uid="{C94DD2A8-B956-4454-BADE-087734F721CB}" name="Source repor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ymbolPairMapping" displayName="SymbolPairMapping" ref="A1:C61" totalsRowShown="0">
  <sortState xmlns:xlrd2="http://schemas.microsoft.com/office/spreadsheetml/2017/richdata2" ref="A2:C61">
    <sortCondition ref="B1:B61"/>
  </sortState>
  <tableColumns count="3">
    <tableColumn id="1" xr3:uid="{00000000-0010-0000-0100-000001000000}" name="Symbol"/>
    <tableColumn id="2" xr3:uid="{00000000-0010-0000-0100-000002000000}" name="Pair / Group"/>
    <tableColumn id="3" xr3:uid="{00000000-0010-0000-0100-000003000000}" name="Asset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42"/>
  <sheetViews>
    <sheetView tabSelected="1" workbookViewId="0">
      <pane xSplit="1" ySplit="3" topLeftCell="X4" activePane="bottomRight" state="frozen"/>
      <selection pane="topRight" activeCell="B1" sqref="B1"/>
      <selection pane="bottomLeft" activeCell="A4" sqref="A4"/>
      <selection pane="bottomRight" activeCell="AN11" sqref="AN11"/>
    </sheetView>
  </sheetViews>
  <sheetFormatPr defaultColWidth="17.5" defaultRowHeight="12.75"/>
  <cols>
    <col min="1" max="1" width="16.25" style="1" customWidth="1"/>
    <col min="2" max="2" width="8.75" style="1" bestFit="1" customWidth="1"/>
    <col min="3" max="3" width="11.25" style="1" bestFit="1" customWidth="1"/>
    <col min="4" max="4" width="10.25" style="1" bestFit="1" customWidth="1"/>
    <col min="5" max="5" width="12.75" style="1" bestFit="1" customWidth="1"/>
    <col min="6" max="6" width="5.75" style="1" bestFit="1" customWidth="1"/>
    <col min="7" max="7" width="8" style="45" bestFit="1" customWidth="1"/>
    <col min="8" max="8" width="8.375" style="1" bestFit="1" customWidth="1"/>
    <col min="9" max="9" width="11.25" style="1" bestFit="1" customWidth="1"/>
    <col min="10" max="10" width="10.25" style="1" bestFit="1" customWidth="1"/>
    <col min="11" max="11" width="12.75" style="1" bestFit="1" customWidth="1"/>
    <col min="12" max="12" width="5.75" style="1" bestFit="1" customWidth="1"/>
    <col min="13" max="13" width="8.125" style="45" bestFit="1" customWidth="1"/>
    <col min="14" max="14" width="10.25" style="1" bestFit="1" customWidth="1"/>
    <col min="15" max="15" width="11.25" style="1" bestFit="1" customWidth="1"/>
    <col min="16" max="16" width="10.25" style="1" bestFit="1" customWidth="1"/>
    <col min="17" max="17" width="12.75" style="1" bestFit="1" customWidth="1"/>
    <col min="18" max="18" width="5.75" style="1" bestFit="1" customWidth="1"/>
    <col min="19" max="19" width="7.25" style="45" bestFit="1" customWidth="1"/>
    <col min="20" max="20" width="13.75" style="1" bestFit="1" customWidth="1"/>
    <col min="21" max="21" width="11.25" style="1" bestFit="1" customWidth="1"/>
    <col min="22" max="22" width="10.25" style="1" bestFit="1" customWidth="1"/>
    <col min="23" max="23" width="12.75" style="1" bestFit="1" customWidth="1"/>
    <col min="24" max="24" width="8.125" style="1" bestFit="1" customWidth="1"/>
    <col min="25" max="25" width="8.125" style="45" bestFit="1" customWidth="1"/>
    <col min="26" max="26" width="11.125" style="1" bestFit="1" customWidth="1"/>
    <col min="27" max="27" width="11.25" style="1" bestFit="1" customWidth="1"/>
    <col min="28" max="28" width="10.25" style="1" bestFit="1" customWidth="1"/>
    <col min="29" max="29" width="12.75" style="1" bestFit="1" customWidth="1"/>
    <col min="30" max="30" width="6.75" style="1" bestFit="1" customWidth="1"/>
    <col min="31" max="31" width="8.125" style="45" bestFit="1" customWidth="1"/>
    <col min="32" max="32" width="9.75" style="1" bestFit="1" customWidth="1"/>
    <col min="33" max="33" width="11.25" style="1" bestFit="1" customWidth="1"/>
    <col min="34" max="34" width="10.25" style="1" bestFit="1" customWidth="1"/>
    <col min="35" max="35" width="12.75" style="1" bestFit="1" customWidth="1"/>
    <col min="36" max="36" width="6.75" style="1" bestFit="1" customWidth="1"/>
    <col min="37" max="37" width="8.125" style="45" bestFit="1" customWidth="1"/>
    <col min="38" max="38" width="5.5" style="1" bestFit="1" customWidth="1"/>
    <col min="39" max="39" width="17.5" style="29"/>
    <col min="40" max="16384" width="17.5" style="1"/>
  </cols>
  <sheetData>
    <row r="1" spans="1:42" ht="15" customHeight="1" thickBot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42" ht="15" customHeight="1">
      <c r="A2" s="13" t="s">
        <v>116</v>
      </c>
      <c r="B2" s="4" t="s">
        <v>1</v>
      </c>
      <c r="C2" s="5"/>
      <c r="D2" s="5"/>
      <c r="E2" s="5"/>
      <c r="F2" s="5"/>
      <c r="G2" s="24"/>
      <c r="H2" s="4" t="s">
        <v>2</v>
      </c>
      <c r="I2" s="5"/>
      <c r="J2" s="5"/>
      <c r="K2" s="5"/>
      <c r="L2" s="5"/>
      <c r="M2" s="24"/>
      <c r="N2" s="4" t="s">
        <v>3</v>
      </c>
      <c r="O2" s="5"/>
      <c r="P2" s="5"/>
      <c r="Q2" s="5"/>
      <c r="R2" s="5"/>
      <c r="S2" s="24"/>
      <c r="T2" s="4" t="s">
        <v>4</v>
      </c>
      <c r="U2" s="5"/>
      <c r="V2" s="5"/>
      <c r="W2" s="5"/>
      <c r="X2" s="5"/>
      <c r="Y2" s="24"/>
      <c r="Z2" s="4" t="s">
        <v>117</v>
      </c>
      <c r="AA2" s="5"/>
      <c r="AB2" s="5"/>
      <c r="AC2" s="5"/>
      <c r="AD2" s="5"/>
      <c r="AE2" s="24"/>
      <c r="AF2" s="4" t="s">
        <v>118</v>
      </c>
      <c r="AG2" s="5"/>
      <c r="AH2" s="5"/>
      <c r="AI2" s="5"/>
      <c r="AJ2" s="5"/>
      <c r="AK2" s="24"/>
    </row>
    <row r="3" spans="1:42" s="62" customFormat="1" ht="15" customHeight="1">
      <c r="A3" s="58"/>
      <c r="B3" s="59" t="s">
        <v>5</v>
      </c>
      <c r="C3" s="60" t="s">
        <v>6</v>
      </c>
      <c r="D3" s="60" t="s">
        <v>129</v>
      </c>
      <c r="E3" s="60" t="s">
        <v>7</v>
      </c>
      <c r="F3" s="60" t="s">
        <v>111</v>
      </c>
      <c r="G3" s="61" t="s">
        <v>8</v>
      </c>
      <c r="H3" s="59" t="s">
        <v>5</v>
      </c>
      <c r="I3" s="60" t="s">
        <v>6</v>
      </c>
      <c r="J3" s="60" t="s">
        <v>129</v>
      </c>
      <c r="K3" s="60" t="s">
        <v>7</v>
      </c>
      <c r="L3" s="60" t="s">
        <v>111</v>
      </c>
      <c r="M3" s="61" t="s">
        <v>8</v>
      </c>
      <c r="N3" s="59" t="s">
        <v>5</v>
      </c>
      <c r="O3" s="60" t="s">
        <v>6</v>
      </c>
      <c r="P3" s="60" t="s">
        <v>129</v>
      </c>
      <c r="Q3" s="60" t="s">
        <v>7</v>
      </c>
      <c r="R3" s="60" t="s">
        <v>111</v>
      </c>
      <c r="S3" s="61" t="s">
        <v>8</v>
      </c>
      <c r="T3" s="59" t="s">
        <v>5</v>
      </c>
      <c r="U3" s="60" t="s">
        <v>6</v>
      </c>
      <c r="V3" s="60" t="s">
        <v>129</v>
      </c>
      <c r="W3" s="60" t="s">
        <v>7</v>
      </c>
      <c r="X3" s="60" t="s">
        <v>111</v>
      </c>
      <c r="Y3" s="61" t="s">
        <v>8</v>
      </c>
      <c r="Z3" s="59" t="s">
        <v>5</v>
      </c>
      <c r="AA3" s="60" t="s">
        <v>6</v>
      </c>
      <c r="AB3" s="60" t="s">
        <v>129</v>
      </c>
      <c r="AC3" s="60" t="s">
        <v>7</v>
      </c>
      <c r="AD3" s="60" t="s">
        <v>111</v>
      </c>
      <c r="AE3" s="61" t="s">
        <v>8</v>
      </c>
      <c r="AF3" s="59" t="s">
        <v>5</v>
      </c>
      <c r="AG3" s="60" t="s">
        <v>6</v>
      </c>
      <c r="AH3" s="60" t="s">
        <v>129</v>
      </c>
      <c r="AI3" s="60" t="s">
        <v>7</v>
      </c>
      <c r="AJ3" s="60" t="s">
        <v>111</v>
      </c>
      <c r="AK3" s="61" t="s">
        <v>8</v>
      </c>
      <c r="AM3" s="63"/>
    </row>
    <row r="4" spans="1:42" ht="15" customHeight="1">
      <c r="A4" s="15" t="s">
        <v>119</v>
      </c>
      <c r="B4" s="6"/>
      <c r="C4" s="7"/>
      <c r="D4" s="7"/>
      <c r="E4" s="7"/>
      <c r="F4" s="7"/>
      <c r="G4" s="25"/>
      <c r="H4" s="6"/>
      <c r="I4" s="7"/>
      <c r="J4" s="7"/>
      <c r="K4" s="7"/>
      <c r="L4" s="7"/>
      <c r="M4" s="25"/>
      <c r="N4" s="6"/>
      <c r="O4" s="7"/>
      <c r="P4" s="7"/>
      <c r="Q4" s="7"/>
      <c r="R4" s="7"/>
      <c r="S4" s="25"/>
      <c r="T4" s="6"/>
      <c r="U4" s="7"/>
      <c r="V4" s="7"/>
      <c r="W4" s="7"/>
      <c r="X4" s="7"/>
      <c r="Y4" s="25"/>
      <c r="Z4" s="6"/>
      <c r="AA4" s="7"/>
      <c r="AB4" s="7"/>
      <c r="AC4" s="7"/>
      <c r="AD4" s="7"/>
      <c r="AE4" s="25"/>
      <c r="AF4" s="6"/>
      <c r="AG4" s="7"/>
      <c r="AH4" s="7"/>
      <c r="AI4" s="7"/>
      <c r="AJ4" s="7"/>
      <c r="AK4" s="25"/>
    </row>
    <row r="5" spans="1:42" ht="15" customHeight="1">
      <c r="A5" s="16" t="s">
        <v>13</v>
      </c>
      <c r="B5" s="8">
        <f>SUMIFS('P&amp;L Table'!$F$2:$F$303,'P&amp;L Table'!$A$2:$A$303,"June",'P&amp;L Table'!$C$2:$C$303,$A5,'P&amp;L Table'!$E$2:$E$303,"MTM P&amp;L")</f>
        <v>0</v>
      </c>
      <c r="C5" s="9">
        <f>SUMIFS('P&amp;L Table'!$F$2:$F$303,'P&amp;L Table'!$A$2:$A$303,"June",'P&amp;L Table'!$C$2:$C$303,$A5,'P&amp;L Table'!$E$2:$E$303,"Commissions")</f>
        <v>0</v>
      </c>
      <c r="D5" s="9">
        <f>SUMIFS('P&amp;L Table'!$F$2:$F$303,'P&amp;L Table'!$A$2:$A$303,"June",'P&amp;L Table'!$C$2:$C$303,$A5,'P&amp;L Table'!$E$2:$E$303,"Borrow")</f>
        <v>0</v>
      </c>
      <c r="E5" s="9">
        <f>SUMIFS('P&amp;L Table'!$F$2:$F$303,'P&amp;L Table'!$A$2:$A$303,"June",'P&amp;L Table'!$C$2:$C$303,$A5,'P&amp;L Table'!$E$2:$E$303,"Dividends / PIL")</f>
        <v>0</v>
      </c>
      <c r="F5" s="9">
        <f>SUMIFS('P&amp;L Table'!$F$2:$F$303,'P&amp;L Table'!$A$2:$A$303,"June",'P&amp;L Table'!$C$2:$C$303,$A5,'P&amp;L Table'!$E$2:$E$303,"Other")</f>
        <v>0</v>
      </c>
      <c r="G5" s="26">
        <f t="shared" ref="G5:G27" si="0">SUM(B5:F5)</f>
        <v>0</v>
      </c>
      <c r="H5" s="8">
        <f>SUMIFS('P&amp;L Table'!$F$2:$F$303,'P&amp;L Table'!$A$2:$A$303,"July",'P&amp;L Table'!$C$2:$C$303,$A5,'P&amp;L Table'!$E$2:$E$303,"MTM P&amp;L")</f>
        <v>0</v>
      </c>
      <c r="I5" s="9">
        <f>SUMIFS('P&amp;L Table'!$F$2:$F$303,'P&amp;L Table'!$A$2:$A$303,"July",'P&amp;L Table'!$C$2:$C$303,$A5,'P&amp;L Table'!$E$2:$E$303,"Commissions")</f>
        <v>0</v>
      </c>
      <c r="J5" s="9">
        <f>SUMIFS('P&amp;L Table'!$F$2:$F$303,'P&amp;L Table'!$A$2:$A$303,"July",'P&amp;L Table'!$C$2:$C$303,$A5,'P&amp;L Table'!$E$2:$E$303,"Borrow")</f>
        <v>0</v>
      </c>
      <c r="K5" s="9">
        <f>SUMIFS('P&amp;L Table'!$F$2:$F$303,'P&amp;L Table'!$A$2:$A$303,"July",'P&amp;L Table'!$C$2:$C$303,$A5,'P&amp;L Table'!$E$2:$E$303,"Dividends / PIL")</f>
        <v>0</v>
      </c>
      <c r="L5" s="9">
        <f>SUMIFS('P&amp;L Table'!$F$2:$F$303,'P&amp;L Table'!$A$2:$A$303,"July",'P&amp;L Table'!$C$2:$C$303,$A5,'P&amp;L Table'!$E$2:$E$303,"Other")</f>
        <v>0</v>
      </c>
      <c r="M5" s="26">
        <f t="shared" ref="M5:M27" si="1">SUM(H5:L5)</f>
        <v>0</v>
      </c>
      <c r="N5" s="8">
        <f>SUMIFS('P&amp;L Table'!$F$2:$F$303,'P&amp;L Table'!$A$2:$A$303,"August",'P&amp;L Table'!$C$2:$C$303,$A5,'P&amp;L Table'!$E$2:$E$303,"MTM P&amp;L")</f>
        <v>0</v>
      </c>
      <c r="O5" s="9">
        <f>SUMIFS('P&amp;L Table'!$F$2:$F$303,'P&amp;L Table'!$A$2:$A$303,"August",'P&amp;L Table'!$C$2:$C$303,$A5,'P&amp;L Table'!$E$2:$E$303,"Commissions")</f>
        <v>0</v>
      </c>
      <c r="P5" s="9">
        <f>SUMIFS('P&amp;L Table'!$F$2:$F$303,'P&amp;L Table'!$A$2:$A$303,"August",'P&amp;L Table'!$C$2:$C$303,$A5,'P&amp;L Table'!$E$2:$E$303,"Borrow")</f>
        <v>0</v>
      </c>
      <c r="Q5" s="9">
        <f>SUMIFS('P&amp;L Table'!$F$2:$F$303,'P&amp;L Table'!$A$2:$A$303,"August",'P&amp;L Table'!$C$2:$C$303,$A5,'P&amp;L Table'!$E$2:$E$303,"Dividends / PIL")</f>
        <v>0</v>
      </c>
      <c r="R5" s="9">
        <f>SUMIFS('P&amp;L Table'!$F$2:$F$303,'P&amp;L Table'!$A$2:$A$303,"August",'P&amp;L Table'!$C$2:$C$303,$A5,'P&amp;L Table'!$E$2:$E$303,"Other")</f>
        <v>0</v>
      </c>
      <c r="S5" s="26">
        <f t="shared" ref="S5:S27" si="2">SUM(N5:R5)</f>
        <v>0</v>
      </c>
      <c r="T5" s="8">
        <f>SUMIFS('P&amp;L Table'!$F$2:$F$303,'P&amp;L Table'!$A$2:$A$303,"September",'P&amp;L Table'!$C$2:$C$303,$A5,'P&amp;L Table'!$E$2:$E$303,"MTM P&amp;L")</f>
        <v>10454.020000000004</v>
      </c>
      <c r="U5" s="9">
        <f>SUMIFS('P&amp;L Table'!$F$2:$F$303,'P&amp;L Table'!$A$2:$A$303,"September",'P&amp;L Table'!$C$2:$C$303,$A5,'P&amp;L Table'!$E$2:$E$303,"Commissions")</f>
        <v>-321.5</v>
      </c>
      <c r="V5" s="9">
        <f>SUMIFS('P&amp;L Table'!$F$2:$F$303,'P&amp;L Table'!$A$2:$A$303,"September",'P&amp;L Table'!$C$2:$C$303,$A5,'P&amp;L Table'!$E$2:$E$303,"Borrow")</f>
        <v>-250.87</v>
      </c>
      <c r="W5" s="9">
        <f>SUMIFS('P&amp;L Table'!$F$2:$F$303,'P&amp;L Table'!$A$2:$A$303,"September",'P&amp;L Table'!$C$2:$C$303,$A5,'P&amp;L Table'!$E$2:$E$303,"Dividends / PIL")</f>
        <v>1025.4499999999998</v>
      </c>
      <c r="X5" s="9">
        <f>SUMIFS('P&amp;L Table'!$F$2:$F$303,'P&amp;L Table'!$A$2:$A$303,"September",'P&amp;L Table'!$C$2:$C$303,$A5,'P&amp;L Table'!$E$2:$E$303,"Other")</f>
        <v>0</v>
      </c>
      <c r="Y5" s="26">
        <f t="shared" ref="Y5:Y27" si="3">SUM(T5:X5)</f>
        <v>10907.100000000002</v>
      </c>
      <c r="Z5" s="8">
        <f>SUMIFS('P&amp;L Table'!$F$2:$F$303,'P&amp;L Table'!$A$2:$A$303,"October",'P&amp;L Table'!$C$2:$C$303,$A5,'P&amp;L Table'!$E$2:$E$303,"MTM P&amp;L")</f>
        <v>1367.8199999999997</v>
      </c>
      <c r="AA5" s="9">
        <f>SUMIFS('P&amp;L Table'!$F$2:$F$303,'P&amp;L Table'!$A$2:$A$303,"October",'P&amp;L Table'!$C$2:$C$303,$A5,'P&amp;L Table'!$E$2:$E$303,"Commissions")</f>
        <v>-149.45999999999998</v>
      </c>
      <c r="AB5" s="9">
        <f>SUMIFS('P&amp;L Table'!$F$2:$F$303,'P&amp;L Table'!$A$2:$A$303,"October",'P&amp;L Table'!$C$2:$C$303,$A5,'P&amp;L Table'!$E$2:$E$303,"Borrow")</f>
        <v>-53.06</v>
      </c>
      <c r="AC5" s="9">
        <f>SUMIFS('P&amp;L Table'!$F$2:$F$303,'P&amp;L Table'!$A$2:$A$303,"October",'P&amp;L Table'!$C$2:$C$303,$A5,'P&amp;L Table'!$E$2:$E$303,"Dividends / PIL")</f>
        <v>0</v>
      </c>
      <c r="AD5" s="9">
        <f>SUMIFS('P&amp;L Table'!$F$2:$F$303,'P&amp;L Table'!$A$2:$A$303,"October",'P&amp;L Table'!$C$2:$C$303,$A5,'P&amp;L Table'!$E$2:$E$303,"Other")</f>
        <v>0</v>
      </c>
      <c r="AE5" s="26">
        <f t="shared" ref="AE5:AE27" si="4">SUM(Z5:AD5)</f>
        <v>1165.2999999999997</v>
      </c>
      <c r="AF5" s="8">
        <f t="shared" ref="AF5:AF27" si="5">SUM(B5,H5,N5,T5,Z5)</f>
        <v>11821.840000000004</v>
      </c>
      <c r="AG5" s="9">
        <f t="shared" ref="AG5:AG27" si="6">SUM(C5,I5,O5,U5,AA5)</f>
        <v>-470.96</v>
      </c>
      <c r="AH5" s="9">
        <f t="shared" ref="AH5:AH27" si="7">SUM(D5,J5,P5,V5,AB5)</f>
        <v>-303.93</v>
      </c>
      <c r="AI5" s="9">
        <f t="shared" ref="AI5:AI27" si="8">SUM(E5,K5,Q5,W5,AC5)</f>
        <v>1025.4499999999998</v>
      </c>
      <c r="AJ5" s="9">
        <f t="shared" ref="AJ5:AJ27" si="9">SUM(F5,L5,R5,X5,AD5)</f>
        <v>0</v>
      </c>
      <c r="AK5" s="26">
        <f t="shared" ref="AK5:AK27" si="10">SUM(G5,M5,S5,Y5,AE5)</f>
        <v>12072.400000000001</v>
      </c>
      <c r="AO5" s="30"/>
    </row>
    <row r="6" spans="1:42" s="35" customFormat="1" ht="15" customHeight="1">
      <c r="A6" s="31" t="s">
        <v>14</v>
      </c>
      <c r="B6" s="8">
        <f>SUMIFS('P&amp;L Table'!$F$2:$F$303,'P&amp;L Table'!$A$2:$A$303,"June",'P&amp;L Table'!$C$2:$C$303,$A6,'P&amp;L Table'!$E$2:$E$303,"MTM P&amp;L")</f>
        <v>0</v>
      </c>
      <c r="C6" s="9">
        <f>SUMIFS('P&amp;L Table'!$F$2:$F$303,'P&amp;L Table'!$A$2:$A$303,"June",'P&amp;L Table'!$C$2:$C$303,$A6,'P&amp;L Table'!$E$2:$E$303,"Commissions")</f>
        <v>0</v>
      </c>
      <c r="D6" s="9">
        <f>SUMIFS('P&amp;L Table'!$F$2:$F$303,'P&amp;L Table'!$A$2:$A$303,"June",'P&amp;L Table'!$C$2:$C$303,$A6,'P&amp;L Table'!$E$2:$E$303,"Borrow")</f>
        <v>0</v>
      </c>
      <c r="E6" s="9">
        <f>SUMIFS('P&amp;L Table'!$F$2:$F$303,'P&amp;L Table'!$A$2:$A$303,"June",'P&amp;L Table'!$C$2:$C$303,$A6,'P&amp;L Table'!$E$2:$E$303,"Dividends / PIL")</f>
        <v>0</v>
      </c>
      <c r="F6" s="9">
        <f>SUMIFS('P&amp;L Table'!$F$2:$F$303,'P&amp;L Table'!$A$2:$A$303,"June",'P&amp;L Table'!$C$2:$C$303,$A6,'P&amp;L Table'!$E$2:$E$303,"Other")</f>
        <v>0</v>
      </c>
      <c r="G6" s="32">
        <f t="shared" si="0"/>
        <v>0</v>
      </c>
      <c r="H6" s="8">
        <f>SUMIFS('P&amp;L Table'!$F$2:$F$303,'P&amp;L Table'!$A$2:$A$303,"July",'P&amp;L Table'!$C$2:$C$303,$A6,'P&amp;L Table'!$E$2:$E$303,"MTM P&amp;L")</f>
        <v>0</v>
      </c>
      <c r="I6" s="9">
        <f>SUMIFS('P&amp;L Table'!$F$2:$F$303,'P&amp;L Table'!$A$2:$A$303,"July",'P&amp;L Table'!$C$2:$C$303,$A6,'P&amp;L Table'!$E$2:$E$303,"Commissions")</f>
        <v>0</v>
      </c>
      <c r="J6" s="9">
        <f>SUMIFS('P&amp;L Table'!$F$2:$F$303,'P&amp;L Table'!$A$2:$A$303,"July",'P&amp;L Table'!$C$2:$C$303,$A6,'P&amp;L Table'!$E$2:$E$303,"Borrow")</f>
        <v>0</v>
      </c>
      <c r="K6" s="9">
        <f>SUMIFS('P&amp;L Table'!$F$2:$F$303,'P&amp;L Table'!$A$2:$A$303,"July",'P&amp;L Table'!$C$2:$C$303,$A6,'P&amp;L Table'!$E$2:$E$303,"Dividends / PIL")</f>
        <v>0</v>
      </c>
      <c r="L6" s="9">
        <f>SUMIFS('P&amp;L Table'!$F$2:$F$303,'P&amp;L Table'!$A$2:$A$303,"July",'P&amp;L Table'!$C$2:$C$303,$A6,'P&amp;L Table'!$E$2:$E$303,"Other")</f>
        <v>0</v>
      </c>
      <c r="M6" s="32">
        <f t="shared" si="1"/>
        <v>0</v>
      </c>
      <c r="N6" s="8">
        <f>SUMIFS('P&amp;L Table'!$F$2:$F$303,'P&amp;L Table'!$A$2:$A$303,"August",'P&amp;L Table'!$C$2:$C$303,$A6,'P&amp;L Table'!$E$2:$E$303,"MTM P&amp;L")</f>
        <v>0</v>
      </c>
      <c r="O6" s="9">
        <f>SUMIFS('P&amp;L Table'!$F$2:$F$303,'P&amp;L Table'!$A$2:$A$303,"August",'P&amp;L Table'!$C$2:$C$303,$A6,'P&amp;L Table'!$E$2:$E$303,"Commissions")</f>
        <v>0</v>
      </c>
      <c r="P6" s="9">
        <f>SUMIFS('P&amp;L Table'!$F$2:$F$303,'P&amp;L Table'!$A$2:$A$303,"August",'P&amp;L Table'!$C$2:$C$303,$A6,'P&amp;L Table'!$E$2:$E$303,"Borrow")</f>
        <v>0</v>
      </c>
      <c r="Q6" s="9">
        <f>SUMIFS('P&amp;L Table'!$F$2:$F$303,'P&amp;L Table'!$A$2:$A$303,"August",'P&amp;L Table'!$C$2:$C$303,$A6,'P&amp;L Table'!$E$2:$E$303,"Dividends / PIL")</f>
        <v>0</v>
      </c>
      <c r="R6" s="9">
        <f>SUMIFS('P&amp;L Table'!$F$2:$F$303,'P&amp;L Table'!$A$2:$A$303,"August",'P&amp;L Table'!$C$2:$C$303,$A6,'P&amp;L Table'!$E$2:$E$303,"Other")</f>
        <v>0</v>
      </c>
      <c r="S6" s="32">
        <f t="shared" si="2"/>
        <v>0</v>
      </c>
      <c r="T6" s="8">
        <f>SUMIFS('P&amp;L Table'!$F$2:$F$303,'P&amp;L Table'!$A$2:$A$303,"September",'P&amp;L Table'!$C$2:$C$303,$A6,'P&amp;L Table'!$E$2:$E$303,"MTM P&amp;L")</f>
        <v>1483</v>
      </c>
      <c r="U6" s="9">
        <f>SUMIFS('P&amp;L Table'!$F$2:$F$303,'P&amp;L Table'!$A$2:$A$303,"September",'P&amp;L Table'!$C$2:$C$303,$A6,'P&amp;L Table'!$E$2:$E$303,"Commissions")</f>
        <v>-50.5</v>
      </c>
      <c r="V6" s="9">
        <f>SUMIFS('P&amp;L Table'!$F$2:$F$303,'P&amp;L Table'!$A$2:$A$303,"September",'P&amp;L Table'!$C$2:$C$303,$A6,'P&amp;L Table'!$E$2:$E$303,"Borrow")</f>
        <v>-128.32</v>
      </c>
      <c r="W6" s="9">
        <f>SUMIFS('P&amp;L Table'!$F$2:$F$303,'P&amp;L Table'!$A$2:$A$303,"September",'P&amp;L Table'!$C$2:$C$303,$A6,'P&amp;L Table'!$E$2:$E$303,"Dividends / PIL")</f>
        <v>0</v>
      </c>
      <c r="X6" s="9">
        <f>SUMIFS('P&amp;L Table'!$F$2:$F$303,'P&amp;L Table'!$A$2:$A$303,"September",'P&amp;L Table'!$C$2:$C$303,$A6,'P&amp;L Table'!$E$2:$E$303,"Other")</f>
        <v>0</v>
      </c>
      <c r="Y6" s="32">
        <f t="shared" si="3"/>
        <v>1304.18</v>
      </c>
      <c r="Z6" s="8">
        <f>SUMIFS('P&amp;L Table'!$F$2:$F$303,'P&amp;L Table'!$A$2:$A$303,"October",'P&amp;L Table'!$C$2:$C$303,$A6,'P&amp;L Table'!$E$2:$E$303,"MTM P&amp;L")</f>
        <v>853.9799999999999</v>
      </c>
      <c r="AA6" s="9">
        <f>SUMIFS('P&amp;L Table'!$F$2:$F$303,'P&amp;L Table'!$A$2:$A$303,"October",'P&amp;L Table'!$C$2:$C$303,$A6,'P&amp;L Table'!$E$2:$E$303,"Commissions")</f>
        <v>-98.37</v>
      </c>
      <c r="AB6" s="9">
        <f>SUMIFS('P&amp;L Table'!$F$2:$F$303,'P&amp;L Table'!$A$2:$A$303,"October",'P&amp;L Table'!$C$2:$C$303,$A6,'P&amp;L Table'!$E$2:$E$303,"Borrow")</f>
        <v>-322.73</v>
      </c>
      <c r="AC6" s="9">
        <f>SUMIFS('P&amp;L Table'!$F$2:$F$303,'P&amp;L Table'!$A$2:$A$303,"October",'P&amp;L Table'!$C$2:$C$303,$A6,'P&amp;L Table'!$E$2:$E$303,"Dividends / PIL")</f>
        <v>0</v>
      </c>
      <c r="AD6" s="9">
        <f>SUMIFS('P&amp;L Table'!$F$2:$F$303,'P&amp;L Table'!$A$2:$A$303,"October",'P&amp;L Table'!$C$2:$C$303,$A6,'P&amp;L Table'!$E$2:$E$303,"Other")</f>
        <v>0</v>
      </c>
      <c r="AE6" s="32">
        <f t="shared" si="4"/>
        <v>432.87999999999988</v>
      </c>
      <c r="AF6" s="33">
        <f t="shared" si="5"/>
        <v>2336.98</v>
      </c>
      <c r="AG6" s="34">
        <f t="shared" si="6"/>
        <v>-148.87</v>
      </c>
      <c r="AH6" s="34">
        <f t="shared" si="7"/>
        <v>-451.05</v>
      </c>
      <c r="AI6" s="34">
        <f t="shared" si="8"/>
        <v>0</v>
      </c>
      <c r="AJ6" s="34">
        <f t="shared" si="9"/>
        <v>0</v>
      </c>
      <c r="AK6" s="32">
        <f t="shared" si="10"/>
        <v>1737.06</v>
      </c>
      <c r="AM6" s="29"/>
      <c r="AN6" s="1"/>
      <c r="AO6" s="36"/>
      <c r="AP6" s="37"/>
    </row>
    <row r="7" spans="1:42" ht="15" customHeight="1">
      <c r="A7" s="16" t="s">
        <v>15</v>
      </c>
      <c r="B7" s="8">
        <f>SUMIFS('P&amp;L Table'!$F$2:$F$303,'P&amp;L Table'!$A$2:$A$303,"June",'P&amp;L Table'!$C$2:$C$303,$A7,'P&amp;L Table'!$E$2:$E$303,"MTM P&amp;L")</f>
        <v>0</v>
      </c>
      <c r="C7" s="9">
        <f>SUMIFS('P&amp;L Table'!$F$2:$F$303,'P&amp;L Table'!$A$2:$A$303,"June",'P&amp;L Table'!$C$2:$C$303,$A7,'P&amp;L Table'!$E$2:$E$303,"Commissions")</f>
        <v>0</v>
      </c>
      <c r="D7" s="9">
        <f>SUMIFS('P&amp;L Table'!$F$2:$F$303,'P&amp;L Table'!$A$2:$A$303,"June",'P&amp;L Table'!$C$2:$C$303,$A7,'P&amp;L Table'!$E$2:$E$303,"Borrow")</f>
        <v>0</v>
      </c>
      <c r="E7" s="9">
        <f>SUMIFS('P&amp;L Table'!$F$2:$F$303,'P&amp;L Table'!$A$2:$A$303,"June",'P&amp;L Table'!$C$2:$C$303,$A7,'P&amp;L Table'!$E$2:$E$303,"Dividends / PIL")</f>
        <v>0</v>
      </c>
      <c r="F7" s="9">
        <f>SUMIFS('P&amp;L Table'!$F$2:$F$303,'P&amp;L Table'!$A$2:$A$303,"June",'P&amp;L Table'!$C$2:$C$303,$A7,'P&amp;L Table'!$E$2:$E$303,"Other")</f>
        <v>0</v>
      </c>
      <c r="G7" s="26">
        <f t="shared" si="0"/>
        <v>0</v>
      </c>
      <c r="H7" s="8">
        <f>SUMIFS('P&amp;L Table'!$F$2:$F$303,'P&amp;L Table'!$A$2:$A$303,"July",'P&amp;L Table'!$C$2:$C$303,$A7,'P&amp;L Table'!$E$2:$E$303,"MTM P&amp;L")</f>
        <v>0</v>
      </c>
      <c r="I7" s="9">
        <f>SUMIFS('P&amp;L Table'!$F$2:$F$303,'P&amp;L Table'!$A$2:$A$303,"July",'P&amp;L Table'!$C$2:$C$303,$A7,'P&amp;L Table'!$E$2:$E$303,"Commissions")</f>
        <v>0</v>
      </c>
      <c r="J7" s="9">
        <f>SUMIFS('P&amp;L Table'!$F$2:$F$303,'P&amp;L Table'!$A$2:$A$303,"July",'P&amp;L Table'!$C$2:$C$303,$A7,'P&amp;L Table'!$E$2:$E$303,"Borrow")</f>
        <v>0</v>
      </c>
      <c r="K7" s="9">
        <f>SUMIFS('P&amp;L Table'!$F$2:$F$303,'P&amp;L Table'!$A$2:$A$303,"July",'P&amp;L Table'!$C$2:$C$303,$A7,'P&amp;L Table'!$E$2:$E$303,"Dividends / PIL")</f>
        <v>0</v>
      </c>
      <c r="L7" s="9">
        <f>SUMIFS('P&amp;L Table'!$F$2:$F$303,'P&amp;L Table'!$A$2:$A$303,"July",'P&amp;L Table'!$C$2:$C$303,$A7,'P&amp;L Table'!$E$2:$E$303,"Other")</f>
        <v>0</v>
      </c>
      <c r="M7" s="26">
        <f t="shared" si="1"/>
        <v>0</v>
      </c>
      <c r="N7" s="8">
        <f>SUMIFS('P&amp;L Table'!$F$2:$F$303,'P&amp;L Table'!$A$2:$A$303,"August",'P&amp;L Table'!$C$2:$C$303,$A7,'P&amp;L Table'!$E$2:$E$303,"MTM P&amp;L")</f>
        <v>0</v>
      </c>
      <c r="O7" s="9">
        <f>SUMIFS('P&amp;L Table'!$F$2:$F$303,'P&amp;L Table'!$A$2:$A$303,"August",'P&amp;L Table'!$C$2:$C$303,$A7,'P&amp;L Table'!$E$2:$E$303,"Commissions")</f>
        <v>0</v>
      </c>
      <c r="P7" s="9">
        <f>SUMIFS('P&amp;L Table'!$F$2:$F$303,'P&amp;L Table'!$A$2:$A$303,"August",'P&amp;L Table'!$C$2:$C$303,$A7,'P&amp;L Table'!$E$2:$E$303,"Borrow")</f>
        <v>0</v>
      </c>
      <c r="Q7" s="9">
        <f>SUMIFS('P&amp;L Table'!$F$2:$F$303,'P&amp;L Table'!$A$2:$A$303,"August",'P&amp;L Table'!$C$2:$C$303,$A7,'P&amp;L Table'!$E$2:$E$303,"Dividends / PIL")</f>
        <v>0</v>
      </c>
      <c r="R7" s="9">
        <f>SUMIFS('P&amp;L Table'!$F$2:$F$303,'P&amp;L Table'!$A$2:$A$303,"August",'P&amp;L Table'!$C$2:$C$303,$A7,'P&amp;L Table'!$E$2:$E$303,"Other")</f>
        <v>0</v>
      </c>
      <c r="S7" s="26">
        <f t="shared" si="2"/>
        <v>0</v>
      </c>
      <c r="T7" s="8">
        <f>SUMIFS('P&amp;L Table'!$F$2:$F$303,'P&amp;L Table'!$A$2:$A$303,"September",'P&amp;L Table'!$C$2:$C$303,$A7,'P&amp;L Table'!$E$2:$E$303,"MTM P&amp;L")</f>
        <v>2006.1000000000001</v>
      </c>
      <c r="U7" s="9">
        <f>SUMIFS('P&amp;L Table'!$F$2:$F$303,'P&amp;L Table'!$A$2:$A$303,"September",'P&amp;L Table'!$C$2:$C$303,$A7,'P&amp;L Table'!$E$2:$E$303,"Commissions")</f>
        <v>-113.77000000000001</v>
      </c>
      <c r="V7" s="9">
        <f>SUMIFS('P&amp;L Table'!$F$2:$F$303,'P&amp;L Table'!$A$2:$A$303,"September",'P&amp;L Table'!$C$2:$C$303,$A7,'P&amp;L Table'!$E$2:$E$303,"Borrow")</f>
        <v>-530.92999999999995</v>
      </c>
      <c r="W7" s="9">
        <f>SUMIFS('P&amp;L Table'!$F$2:$F$303,'P&amp;L Table'!$A$2:$A$303,"September",'P&amp;L Table'!$C$2:$C$303,$A7,'P&amp;L Table'!$E$2:$E$303,"Dividends / PIL")</f>
        <v>-960.31</v>
      </c>
      <c r="X7" s="9">
        <f>SUMIFS('P&amp;L Table'!$F$2:$F$303,'P&amp;L Table'!$A$2:$A$303,"September",'P&amp;L Table'!$C$2:$C$303,$A7,'P&amp;L Table'!$E$2:$E$303,"Other")</f>
        <v>0</v>
      </c>
      <c r="Y7" s="26">
        <f t="shared" si="3"/>
        <v>401.09000000000015</v>
      </c>
      <c r="Z7" s="8">
        <f>SUMIFS('P&amp;L Table'!$F$2:$F$303,'P&amp;L Table'!$A$2:$A$303,"October",'P&amp;L Table'!$C$2:$C$303,$A7,'P&amp;L Table'!$E$2:$E$303,"MTM P&amp;L")</f>
        <v>0</v>
      </c>
      <c r="AA7" s="9">
        <f>SUMIFS('P&amp;L Table'!$F$2:$F$303,'P&amp;L Table'!$A$2:$A$303,"October",'P&amp;L Table'!$C$2:$C$303,$A7,'P&amp;L Table'!$E$2:$E$303,"Commissions")</f>
        <v>0</v>
      </c>
      <c r="AB7" s="9">
        <f>SUMIFS('P&amp;L Table'!$F$2:$F$303,'P&amp;L Table'!$A$2:$A$303,"October",'P&amp;L Table'!$C$2:$C$303,$A7,'P&amp;L Table'!$E$2:$E$303,"Borrow")</f>
        <v>-2.44</v>
      </c>
      <c r="AC7" s="9">
        <f>SUMIFS('P&amp;L Table'!$F$2:$F$303,'P&amp;L Table'!$A$2:$A$303,"October",'P&amp;L Table'!$C$2:$C$303,$A7,'P&amp;L Table'!$E$2:$E$303,"Dividends / PIL")</f>
        <v>0</v>
      </c>
      <c r="AD7" s="9">
        <f>SUMIFS('P&amp;L Table'!$F$2:$F$303,'P&amp;L Table'!$A$2:$A$303,"October",'P&amp;L Table'!$C$2:$C$303,$A7,'P&amp;L Table'!$E$2:$E$303,"Other")</f>
        <v>0</v>
      </c>
      <c r="AE7" s="26">
        <f t="shared" si="4"/>
        <v>-2.44</v>
      </c>
      <c r="AF7" s="8">
        <f t="shared" si="5"/>
        <v>2006.1000000000001</v>
      </c>
      <c r="AG7" s="9">
        <f t="shared" si="6"/>
        <v>-113.77000000000001</v>
      </c>
      <c r="AH7" s="9">
        <f t="shared" si="7"/>
        <v>-533.37</v>
      </c>
      <c r="AI7" s="9">
        <f t="shared" si="8"/>
        <v>-960.31</v>
      </c>
      <c r="AJ7" s="9">
        <f t="shared" si="9"/>
        <v>0</v>
      </c>
      <c r="AK7" s="26">
        <f t="shared" si="10"/>
        <v>398.65000000000015</v>
      </c>
      <c r="AO7" s="30"/>
    </row>
    <row r="8" spans="1:42" ht="15" customHeight="1">
      <c r="A8" s="16" t="s">
        <v>20</v>
      </c>
      <c r="B8" s="8">
        <f>SUMIFS('P&amp;L Table'!$F$2:$F$303,'P&amp;L Table'!$A$2:$A$303,"June",'P&amp;L Table'!$C$2:$C$303,$A8,'P&amp;L Table'!$E$2:$E$303,"MTM P&amp;L")</f>
        <v>0</v>
      </c>
      <c r="C8" s="9">
        <f>SUMIFS('P&amp;L Table'!$F$2:$F$303,'P&amp;L Table'!$A$2:$A$303,"June",'P&amp;L Table'!$C$2:$C$303,$A8,'P&amp;L Table'!$E$2:$E$303,"Commissions")</f>
        <v>0</v>
      </c>
      <c r="D8" s="9">
        <f>SUMIFS('P&amp;L Table'!$F$2:$F$303,'P&amp;L Table'!$A$2:$A$303,"June",'P&amp;L Table'!$C$2:$C$303,$A8,'P&amp;L Table'!$E$2:$E$303,"Borrow")</f>
        <v>0</v>
      </c>
      <c r="E8" s="9">
        <f>SUMIFS('P&amp;L Table'!$F$2:$F$303,'P&amp;L Table'!$A$2:$A$303,"June",'P&amp;L Table'!$C$2:$C$303,$A8,'P&amp;L Table'!$E$2:$E$303,"Dividends / PIL")</f>
        <v>0</v>
      </c>
      <c r="F8" s="9">
        <f>SUMIFS('P&amp;L Table'!$F$2:$F$303,'P&amp;L Table'!$A$2:$A$303,"June",'P&amp;L Table'!$C$2:$C$303,$A8,'P&amp;L Table'!$E$2:$E$303,"Other")</f>
        <v>0</v>
      </c>
      <c r="G8" s="26">
        <f t="shared" si="0"/>
        <v>0</v>
      </c>
      <c r="H8" s="8">
        <f>SUMIFS('P&amp;L Table'!$F$2:$F$303,'P&amp;L Table'!$A$2:$A$303,"July",'P&amp;L Table'!$C$2:$C$303,$A8,'P&amp;L Table'!$E$2:$E$303,"MTM P&amp;L")</f>
        <v>0</v>
      </c>
      <c r="I8" s="9">
        <f>SUMIFS('P&amp;L Table'!$F$2:$F$303,'P&amp;L Table'!$A$2:$A$303,"July",'P&amp;L Table'!$C$2:$C$303,$A8,'P&amp;L Table'!$E$2:$E$303,"Commissions")</f>
        <v>0</v>
      </c>
      <c r="J8" s="9">
        <f>SUMIFS('P&amp;L Table'!$F$2:$F$303,'P&amp;L Table'!$A$2:$A$303,"July",'P&amp;L Table'!$C$2:$C$303,$A8,'P&amp;L Table'!$E$2:$E$303,"Borrow")</f>
        <v>0</v>
      </c>
      <c r="K8" s="9">
        <f>SUMIFS('P&amp;L Table'!$F$2:$F$303,'P&amp;L Table'!$A$2:$A$303,"July",'P&amp;L Table'!$C$2:$C$303,$A8,'P&amp;L Table'!$E$2:$E$303,"Dividends / PIL")</f>
        <v>0</v>
      </c>
      <c r="L8" s="9">
        <f>SUMIFS('P&amp;L Table'!$F$2:$F$303,'P&amp;L Table'!$A$2:$A$303,"July",'P&amp;L Table'!$C$2:$C$303,$A8,'P&amp;L Table'!$E$2:$E$303,"Other")</f>
        <v>0</v>
      </c>
      <c r="M8" s="26">
        <f t="shared" si="1"/>
        <v>0</v>
      </c>
      <c r="N8" s="8">
        <f>SUMIFS('P&amp;L Table'!$F$2:$F$303,'P&amp;L Table'!$A$2:$A$303,"August",'P&amp;L Table'!$C$2:$C$303,$A8,'P&amp;L Table'!$E$2:$E$303,"MTM P&amp;L")</f>
        <v>0</v>
      </c>
      <c r="O8" s="9">
        <f>SUMIFS('P&amp;L Table'!$F$2:$F$303,'P&amp;L Table'!$A$2:$A$303,"August",'P&amp;L Table'!$C$2:$C$303,$A8,'P&amp;L Table'!$E$2:$E$303,"Commissions")</f>
        <v>0</v>
      </c>
      <c r="P8" s="9">
        <f>SUMIFS('P&amp;L Table'!$F$2:$F$303,'P&amp;L Table'!$A$2:$A$303,"August",'P&amp;L Table'!$C$2:$C$303,$A8,'P&amp;L Table'!$E$2:$E$303,"Borrow")</f>
        <v>0</v>
      </c>
      <c r="Q8" s="9">
        <f>SUMIFS('P&amp;L Table'!$F$2:$F$303,'P&amp;L Table'!$A$2:$A$303,"August",'P&amp;L Table'!$C$2:$C$303,$A8,'P&amp;L Table'!$E$2:$E$303,"Dividends / PIL")</f>
        <v>0</v>
      </c>
      <c r="R8" s="9">
        <f>SUMIFS('P&amp;L Table'!$F$2:$F$303,'P&amp;L Table'!$A$2:$A$303,"August",'P&amp;L Table'!$C$2:$C$303,$A8,'P&amp;L Table'!$E$2:$E$303,"Other")</f>
        <v>0</v>
      </c>
      <c r="S8" s="26">
        <f t="shared" si="2"/>
        <v>0</v>
      </c>
      <c r="T8" s="8">
        <f>SUMIFS('P&amp;L Table'!$F$2:$F$303,'P&amp;L Table'!$A$2:$A$303,"September",'P&amp;L Table'!$C$2:$C$303,$A8,'P&amp;L Table'!$E$2:$E$303,"MTM P&amp;L")</f>
        <v>0</v>
      </c>
      <c r="U8" s="9">
        <f>SUMIFS('P&amp;L Table'!$F$2:$F$303,'P&amp;L Table'!$A$2:$A$303,"September",'P&amp;L Table'!$C$2:$C$303,$A8,'P&amp;L Table'!$E$2:$E$303,"Commissions")</f>
        <v>0</v>
      </c>
      <c r="V8" s="9">
        <f>SUMIFS('P&amp;L Table'!$F$2:$F$303,'P&amp;L Table'!$A$2:$A$303,"September",'P&amp;L Table'!$C$2:$C$303,$A8,'P&amp;L Table'!$E$2:$E$303,"Borrow")</f>
        <v>0</v>
      </c>
      <c r="W8" s="9">
        <f>SUMIFS('P&amp;L Table'!$F$2:$F$303,'P&amp;L Table'!$A$2:$A$303,"September",'P&amp;L Table'!$C$2:$C$303,$A8,'P&amp;L Table'!$E$2:$E$303,"Dividends / PIL")</f>
        <v>0</v>
      </c>
      <c r="X8" s="9">
        <f>SUMIFS('P&amp;L Table'!$F$2:$F$303,'P&amp;L Table'!$A$2:$A$303,"September",'P&amp;L Table'!$C$2:$C$303,$A8,'P&amp;L Table'!$E$2:$E$303,"Other")</f>
        <v>0</v>
      </c>
      <c r="Y8" s="26">
        <f t="shared" si="3"/>
        <v>0</v>
      </c>
      <c r="Z8" s="8">
        <f>SUMIFS('P&amp;L Table'!$F$2:$F$303,'P&amp;L Table'!$A$2:$A$303,"October",'P&amp;L Table'!$C$2:$C$303,$A8,'P&amp;L Table'!$E$2:$E$303,"MTM P&amp;L")</f>
        <v>231.71000000000004</v>
      </c>
      <c r="AA8" s="9">
        <f>SUMIFS('P&amp;L Table'!$F$2:$F$303,'P&amp;L Table'!$A$2:$A$303,"October",'P&amp;L Table'!$C$2:$C$303,$A8,'P&amp;L Table'!$E$2:$E$303,"Commissions")</f>
        <v>-15.67</v>
      </c>
      <c r="AB8" s="9">
        <f>SUMIFS('P&amp;L Table'!$F$2:$F$303,'P&amp;L Table'!$A$2:$A$303,"October",'P&amp;L Table'!$C$2:$C$303,$A8,'P&amp;L Table'!$E$2:$E$303,"Borrow")</f>
        <v>-1.85</v>
      </c>
      <c r="AC8" s="9">
        <f>SUMIFS('P&amp;L Table'!$F$2:$F$303,'P&amp;L Table'!$A$2:$A$303,"October",'P&amp;L Table'!$C$2:$C$303,$A8,'P&amp;L Table'!$E$2:$E$303,"Dividends / PIL")</f>
        <v>0</v>
      </c>
      <c r="AD8" s="9">
        <f>SUMIFS('P&amp;L Table'!$F$2:$F$303,'P&amp;L Table'!$A$2:$A$303,"October",'P&amp;L Table'!$C$2:$C$303,$A8,'P&amp;L Table'!$E$2:$E$303,"Other")</f>
        <v>0</v>
      </c>
      <c r="AE8" s="26">
        <f t="shared" si="4"/>
        <v>214.19000000000005</v>
      </c>
      <c r="AF8" s="8">
        <f t="shared" si="5"/>
        <v>231.71000000000004</v>
      </c>
      <c r="AG8" s="9">
        <f t="shared" si="6"/>
        <v>-15.67</v>
      </c>
      <c r="AH8" s="9">
        <f t="shared" si="7"/>
        <v>-1.85</v>
      </c>
      <c r="AI8" s="9">
        <f t="shared" si="8"/>
        <v>0</v>
      </c>
      <c r="AJ8" s="9">
        <f t="shared" si="9"/>
        <v>0</v>
      </c>
      <c r="AK8" s="26">
        <f t="shared" si="10"/>
        <v>214.19000000000005</v>
      </c>
      <c r="AO8" s="30"/>
    </row>
    <row r="9" spans="1:42" ht="15" customHeight="1">
      <c r="A9" s="16" t="s">
        <v>19</v>
      </c>
      <c r="B9" s="8">
        <f>SUMIFS('P&amp;L Table'!$F$2:$F$303,'P&amp;L Table'!$A$2:$A$303,"June",'P&amp;L Table'!$C$2:$C$303,$A9,'P&amp;L Table'!$E$2:$E$303,"MTM P&amp;L")</f>
        <v>0</v>
      </c>
      <c r="C9" s="9">
        <f>SUMIFS('P&amp;L Table'!$F$2:$F$303,'P&amp;L Table'!$A$2:$A$303,"June",'P&amp;L Table'!$C$2:$C$303,$A9,'P&amp;L Table'!$E$2:$E$303,"Commissions")</f>
        <v>0</v>
      </c>
      <c r="D9" s="9">
        <f>SUMIFS('P&amp;L Table'!$F$2:$F$303,'P&amp;L Table'!$A$2:$A$303,"June",'P&amp;L Table'!$C$2:$C$303,$A9,'P&amp;L Table'!$E$2:$E$303,"Borrow")</f>
        <v>0</v>
      </c>
      <c r="E9" s="9">
        <f>SUMIFS('P&amp;L Table'!$F$2:$F$303,'P&amp;L Table'!$A$2:$A$303,"June",'P&amp;L Table'!$C$2:$C$303,$A9,'P&amp;L Table'!$E$2:$E$303,"Dividends / PIL")</f>
        <v>0</v>
      </c>
      <c r="F9" s="9">
        <f>SUMIFS('P&amp;L Table'!$F$2:$F$303,'P&amp;L Table'!$A$2:$A$303,"June",'P&amp;L Table'!$C$2:$C$303,$A9,'P&amp;L Table'!$E$2:$E$303,"Other")</f>
        <v>0</v>
      </c>
      <c r="G9" s="26">
        <f t="shared" si="0"/>
        <v>0</v>
      </c>
      <c r="H9" s="8">
        <f>SUMIFS('P&amp;L Table'!$F$2:$F$303,'P&amp;L Table'!$A$2:$A$303,"July",'P&amp;L Table'!$C$2:$C$303,$A9,'P&amp;L Table'!$E$2:$E$303,"MTM P&amp;L")</f>
        <v>0</v>
      </c>
      <c r="I9" s="9">
        <f>SUMIFS('P&amp;L Table'!$F$2:$F$303,'P&amp;L Table'!$A$2:$A$303,"July",'P&amp;L Table'!$C$2:$C$303,$A9,'P&amp;L Table'!$E$2:$E$303,"Commissions")</f>
        <v>0</v>
      </c>
      <c r="J9" s="9">
        <f>SUMIFS('P&amp;L Table'!$F$2:$F$303,'P&amp;L Table'!$A$2:$A$303,"July",'P&amp;L Table'!$C$2:$C$303,$A9,'P&amp;L Table'!$E$2:$E$303,"Borrow")</f>
        <v>0</v>
      </c>
      <c r="K9" s="9">
        <f>SUMIFS('P&amp;L Table'!$F$2:$F$303,'P&amp;L Table'!$A$2:$A$303,"July",'P&amp;L Table'!$C$2:$C$303,$A9,'P&amp;L Table'!$E$2:$E$303,"Dividends / PIL")</f>
        <v>0</v>
      </c>
      <c r="L9" s="9">
        <f>SUMIFS('P&amp;L Table'!$F$2:$F$303,'P&amp;L Table'!$A$2:$A$303,"July",'P&amp;L Table'!$C$2:$C$303,$A9,'P&amp;L Table'!$E$2:$E$303,"Other")</f>
        <v>0</v>
      </c>
      <c r="M9" s="26">
        <f t="shared" si="1"/>
        <v>0</v>
      </c>
      <c r="N9" s="8">
        <f>SUMIFS('P&amp;L Table'!$F$2:$F$303,'P&amp;L Table'!$A$2:$A$303,"August",'P&amp;L Table'!$C$2:$C$303,$A9,'P&amp;L Table'!$E$2:$E$303,"MTM P&amp;L")</f>
        <v>0</v>
      </c>
      <c r="O9" s="9">
        <f>SUMIFS('P&amp;L Table'!$F$2:$F$303,'P&amp;L Table'!$A$2:$A$303,"August",'P&amp;L Table'!$C$2:$C$303,$A9,'P&amp;L Table'!$E$2:$E$303,"Commissions")</f>
        <v>0</v>
      </c>
      <c r="P9" s="9">
        <f>SUMIFS('P&amp;L Table'!$F$2:$F$303,'P&amp;L Table'!$A$2:$A$303,"August",'P&amp;L Table'!$C$2:$C$303,$A9,'P&amp;L Table'!$E$2:$E$303,"Borrow")</f>
        <v>0</v>
      </c>
      <c r="Q9" s="9">
        <f>SUMIFS('P&amp;L Table'!$F$2:$F$303,'P&amp;L Table'!$A$2:$A$303,"August",'P&amp;L Table'!$C$2:$C$303,$A9,'P&amp;L Table'!$E$2:$E$303,"Dividends / PIL")</f>
        <v>0</v>
      </c>
      <c r="R9" s="9">
        <f>SUMIFS('P&amp;L Table'!$F$2:$F$303,'P&amp;L Table'!$A$2:$A$303,"August",'P&amp;L Table'!$C$2:$C$303,$A9,'P&amp;L Table'!$E$2:$E$303,"Other")</f>
        <v>0</v>
      </c>
      <c r="S9" s="26">
        <f t="shared" si="2"/>
        <v>0</v>
      </c>
      <c r="T9" s="8">
        <f>SUMIFS('P&amp;L Table'!$F$2:$F$303,'P&amp;L Table'!$A$2:$A$303,"September",'P&amp;L Table'!$C$2:$C$303,$A9,'P&amp;L Table'!$E$2:$E$303,"MTM P&amp;L")</f>
        <v>171.40000000000009</v>
      </c>
      <c r="U9" s="9">
        <f>SUMIFS('P&amp;L Table'!$F$2:$F$303,'P&amp;L Table'!$A$2:$A$303,"September",'P&amp;L Table'!$C$2:$C$303,$A9,'P&amp;L Table'!$E$2:$E$303,"Commissions")</f>
        <v>-79.64</v>
      </c>
      <c r="V9" s="9">
        <f>SUMIFS('P&amp;L Table'!$F$2:$F$303,'P&amp;L Table'!$A$2:$A$303,"September",'P&amp;L Table'!$C$2:$C$303,$A9,'P&amp;L Table'!$E$2:$E$303,"Borrow")</f>
        <v>-58.18</v>
      </c>
      <c r="W9" s="9">
        <f>SUMIFS('P&amp;L Table'!$F$2:$F$303,'P&amp;L Table'!$A$2:$A$303,"September",'P&amp;L Table'!$C$2:$C$303,$A9,'P&amp;L Table'!$E$2:$E$303,"Dividends / PIL")</f>
        <v>0</v>
      </c>
      <c r="X9" s="9">
        <f>SUMIFS('P&amp;L Table'!$F$2:$F$303,'P&amp;L Table'!$A$2:$A$303,"September",'P&amp;L Table'!$C$2:$C$303,$A9,'P&amp;L Table'!$E$2:$E$303,"Other")</f>
        <v>0</v>
      </c>
      <c r="Y9" s="26">
        <f t="shared" si="3"/>
        <v>33.580000000000091</v>
      </c>
      <c r="Z9" s="8">
        <f>SUMIFS('P&amp;L Table'!$F$2:$F$303,'P&amp;L Table'!$A$2:$A$303,"October",'P&amp;L Table'!$C$2:$C$303,$A9,'P&amp;L Table'!$E$2:$E$303,"MTM P&amp;L")</f>
        <v>520.88999999999987</v>
      </c>
      <c r="AA9" s="9">
        <f>SUMIFS('P&amp;L Table'!$F$2:$F$303,'P&amp;L Table'!$A$2:$A$303,"October",'P&amp;L Table'!$C$2:$C$303,$A9,'P&amp;L Table'!$E$2:$E$303,"Commissions")</f>
        <v>-120.98</v>
      </c>
      <c r="AB9" s="9">
        <f>SUMIFS('P&amp;L Table'!$F$2:$F$303,'P&amp;L Table'!$A$2:$A$303,"October",'P&amp;L Table'!$C$2:$C$303,$A9,'P&amp;L Table'!$E$2:$E$303,"Borrow")</f>
        <v>-247.13</v>
      </c>
      <c r="AC9" s="9">
        <f>SUMIFS('P&amp;L Table'!$F$2:$F$303,'P&amp;L Table'!$A$2:$A$303,"October",'P&amp;L Table'!$C$2:$C$303,$A9,'P&amp;L Table'!$E$2:$E$303,"Dividends / PIL")</f>
        <v>0</v>
      </c>
      <c r="AD9" s="9">
        <f>SUMIFS('P&amp;L Table'!$F$2:$F$303,'P&amp;L Table'!$A$2:$A$303,"October",'P&amp;L Table'!$C$2:$C$303,$A9,'P&amp;L Table'!$E$2:$E$303,"Other")</f>
        <v>0</v>
      </c>
      <c r="AE9" s="26">
        <f t="shared" si="4"/>
        <v>152.77999999999986</v>
      </c>
      <c r="AF9" s="8">
        <f t="shared" si="5"/>
        <v>692.29</v>
      </c>
      <c r="AG9" s="9">
        <f t="shared" si="6"/>
        <v>-200.62</v>
      </c>
      <c r="AH9" s="9">
        <f t="shared" si="7"/>
        <v>-305.31</v>
      </c>
      <c r="AI9" s="9">
        <f t="shared" si="8"/>
        <v>0</v>
      </c>
      <c r="AJ9" s="9">
        <f t="shared" si="9"/>
        <v>0</v>
      </c>
      <c r="AK9" s="26">
        <f t="shared" si="10"/>
        <v>186.35999999999996</v>
      </c>
      <c r="AO9" s="38"/>
      <c r="AP9" s="39"/>
    </row>
    <row r="10" spans="1:42" ht="15" customHeight="1">
      <c r="A10" s="16" t="s">
        <v>18</v>
      </c>
      <c r="B10" s="8">
        <f>SUMIFS('P&amp;L Table'!$F$2:$F$303,'P&amp;L Table'!$A$2:$A$303,"June",'P&amp;L Table'!$C$2:$C$303,$A10,'P&amp;L Table'!$E$2:$E$303,"MTM P&amp;L")</f>
        <v>0</v>
      </c>
      <c r="C10" s="9">
        <f>SUMIFS('P&amp;L Table'!$F$2:$F$303,'P&amp;L Table'!$A$2:$A$303,"June",'P&amp;L Table'!$C$2:$C$303,$A10,'P&amp;L Table'!$E$2:$E$303,"Commissions")</f>
        <v>0</v>
      </c>
      <c r="D10" s="9">
        <f>SUMIFS('P&amp;L Table'!$F$2:$F$303,'P&amp;L Table'!$A$2:$A$303,"June",'P&amp;L Table'!$C$2:$C$303,$A10,'P&amp;L Table'!$E$2:$E$303,"Borrow")</f>
        <v>0</v>
      </c>
      <c r="E10" s="9">
        <f>SUMIFS('P&amp;L Table'!$F$2:$F$303,'P&amp;L Table'!$A$2:$A$303,"June",'P&amp;L Table'!$C$2:$C$303,$A10,'P&amp;L Table'!$E$2:$E$303,"Dividends / PIL")</f>
        <v>0</v>
      </c>
      <c r="F10" s="9">
        <f>SUMIFS('P&amp;L Table'!$F$2:$F$303,'P&amp;L Table'!$A$2:$A$303,"June",'P&amp;L Table'!$C$2:$C$303,$A10,'P&amp;L Table'!$E$2:$E$303,"Other")</f>
        <v>0</v>
      </c>
      <c r="G10" s="26">
        <f t="shared" si="0"/>
        <v>0</v>
      </c>
      <c r="H10" s="8">
        <f>SUMIFS('P&amp;L Table'!$F$2:$F$303,'P&amp;L Table'!$A$2:$A$303,"July",'P&amp;L Table'!$C$2:$C$303,$A10,'P&amp;L Table'!$E$2:$E$303,"MTM P&amp;L")</f>
        <v>0</v>
      </c>
      <c r="I10" s="9">
        <f>SUMIFS('P&amp;L Table'!$F$2:$F$303,'P&amp;L Table'!$A$2:$A$303,"July",'P&amp;L Table'!$C$2:$C$303,$A10,'P&amp;L Table'!$E$2:$E$303,"Commissions")</f>
        <v>0</v>
      </c>
      <c r="J10" s="9">
        <f>SUMIFS('P&amp;L Table'!$F$2:$F$303,'P&amp;L Table'!$A$2:$A$303,"July",'P&amp;L Table'!$C$2:$C$303,$A10,'P&amp;L Table'!$E$2:$E$303,"Borrow")</f>
        <v>0</v>
      </c>
      <c r="K10" s="9">
        <f>SUMIFS('P&amp;L Table'!$F$2:$F$303,'P&amp;L Table'!$A$2:$A$303,"July",'P&amp;L Table'!$C$2:$C$303,$A10,'P&amp;L Table'!$E$2:$E$303,"Dividends / PIL")</f>
        <v>0</v>
      </c>
      <c r="L10" s="9">
        <f>SUMIFS('P&amp;L Table'!$F$2:$F$303,'P&amp;L Table'!$A$2:$A$303,"July",'P&amp;L Table'!$C$2:$C$303,$A10,'P&amp;L Table'!$E$2:$E$303,"Other")</f>
        <v>0</v>
      </c>
      <c r="M10" s="26">
        <f t="shared" si="1"/>
        <v>0</v>
      </c>
      <c r="N10" s="8">
        <f>SUMIFS('P&amp;L Table'!$F$2:$F$303,'P&amp;L Table'!$A$2:$A$303,"August",'P&amp;L Table'!$C$2:$C$303,$A10,'P&amp;L Table'!$E$2:$E$303,"MTM P&amp;L")</f>
        <v>0</v>
      </c>
      <c r="O10" s="9">
        <f>SUMIFS('P&amp;L Table'!$F$2:$F$303,'P&amp;L Table'!$A$2:$A$303,"August",'P&amp;L Table'!$C$2:$C$303,$A10,'P&amp;L Table'!$E$2:$E$303,"Commissions")</f>
        <v>0</v>
      </c>
      <c r="P10" s="9">
        <f>SUMIFS('P&amp;L Table'!$F$2:$F$303,'P&amp;L Table'!$A$2:$A$303,"August",'P&amp;L Table'!$C$2:$C$303,$A10,'P&amp;L Table'!$E$2:$E$303,"Borrow")</f>
        <v>0</v>
      </c>
      <c r="Q10" s="9">
        <f>SUMIFS('P&amp;L Table'!$F$2:$F$303,'P&amp;L Table'!$A$2:$A$303,"August",'P&amp;L Table'!$C$2:$C$303,$A10,'P&amp;L Table'!$E$2:$E$303,"Dividends / PIL")</f>
        <v>0</v>
      </c>
      <c r="R10" s="9">
        <f>SUMIFS('P&amp;L Table'!$F$2:$F$303,'P&amp;L Table'!$A$2:$A$303,"August",'P&amp;L Table'!$C$2:$C$303,$A10,'P&amp;L Table'!$E$2:$E$303,"Other")</f>
        <v>0</v>
      </c>
      <c r="S10" s="26">
        <f t="shared" si="2"/>
        <v>0</v>
      </c>
      <c r="T10" s="8">
        <f>SUMIFS('P&amp;L Table'!$F$2:$F$303,'P&amp;L Table'!$A$2:$A$303,"September",'P&amp;L Table'!$C$2:$C$303,$A10,'P&amp;L Table'!$E$2:$E$303,"MTM P&amp;L")</f>
        <v>-560.18000000000006</v>
      </c>
      <c r="U10" s="9">
        <f>SUMIFS('P&amp;L Table'!$F$2:$F$303,'P&amp;L Table'!$A$2:$A$303,"September",'P&amp;L Table'!$C$2:$C$303,$A10,'P&amp;L Table'!$E$2:$E$303,"Commissions")</f>
        <v>-74.27</v>
      </c>
      <c r="V10" s="9">
        <f>SUMIFS('P&amp;L Table'!$F$2:$F$303,'P&amp;L Table'!$A$2:$A$303,"September",'P&amp;L Table'!$C$2:$C$303,$A10,'P&amp;L Table'!$E$2:$E$303,"Borrow")</f>
        <v>-198.87</v>
      </c>
      <c r="W10" s="9">
        <f>SUMIFS('P&amp;L Table'!$F$2:$F$303,'P&amp;L Table'!$A$2:$A$303,"September",'P&amp;L Table'!$C$2:$C$303,$A10,'P&amp;L Table'!$E$2:$E$303,"Dividends / PIL")</f>
        <v>856.07</v>
      </c>
      <c r="X10" s="9">
        <f>SUMIFS('P&amp;L Table'!$F$2:$F$303,'P&amp;L Table'!$A$2:$A$303,"September",'P&amp;L Table'!$C$2:$C$303,$A10,'P&amp;L Table'!$E$2:$E$303,"Other")</f>
        <v>0</v>
      </c>
      <c r="Y10" s="26">
        <f t="shared" si="3"/>
        <v>22.75</v>
      </c>
      <c r="Z10" s="8">
        <f>SUMIFS('P&amp;L Table'!$F$2:$F$303,'P&amp;L Table'!$A$2:$A$303,"October",'P&amp;L Table'!$C$2:$C$303,$A10,'P&amp;L Table'!$E$2:$E$303,"MTM P&amp;L")</f>
        <v>166.5</v>
      </c>
      <c r="AA10" s="9">
        <f>SUMIFS('P&amp;L Table'!$F$2:$F$303,'P&amp;L Table'!$A$2:$A$303,"October",'P&amp;L Table'!$C$2:$C$303,$A10,'P&amp;L Table'!$E$2:$E$303,"Commissions")</f>
        <v>-22.22</v>
      </c>
      <c r="AB10" s="9">
        <f>SUMIFS('P&amp;L Table'!$F$2:$F$303,'P&amp;L Table'!$A$2:$A$303,"October",'P&amp;L Table'!$C$2:$C$303,$A10,'P&amp;L Table'!$E$2:$E$303,"Borrow")</f>
        <v>-22.18</v>
      </c>
      <c r="AC10" s="9">
        <f>SUMIFS('P&amp;L Table'!$F$2:$F$303,'P&amp;L Table'!$A$2:$A$303,"October",'P&amp;L Table'!$C$2:$C$303,$A10,'P&amp;L Table'!$E$2:$E$303,"Dividends / PIL")</f>
        <v>0</v>
      </c>
      <c r="AD10" s="9">
        <f>SUMIFS('P&amp;L Table'!$F$2:$F$303,'P&amp;L Table'!$A$2:$A$303,"October",'P&amp;L Table'!$C$2:$C$303,$A10,'P&amp;L Table'!$E$2:$E$303,"Other")</f>
        <v>0</v>
      </c>
      <c r="AE10" s="26">
        <f t="shared" si="4"/>
        <v>122.1</v>
      </c>
      <c r="AF10" s="8">
        <f t="shared" si="5"/>
        <v>-393.68000000000006</v>
      </c>
      <c r="AG10" s="9">
        <f t="shared" si="6"/>
        <v>-96.49</v>
      </c>
      <c r="AH10" s="9">
        <f t="shared" si="7"/>
        <v>-221.05</v>
      </c>
      <c r="AI10" s="9">
        <f t="shared" si="8"/>
        <v>856.07</v>
      </c>
      <c r="AJ10" s="9">
        <f t="shared" si="9"/>
        <v>0</v>
      </c>
      <c r="AK10" s="26">
        <f t="shared" si="10"/>
        <v>144.85</v>
      </c>
      <c r="AO10" s="30"/>
    </row>
    <row r="11" spans="1:42" ht="15" customHeight="1">
      <c r="A11" s="16" t="s">
        <v>16</v>
      </c>
      <c r="B11" s="8">
        <f>SUMIFS('P&amp;L Table'!$F$2:$F$303,'P&amp;L Table'!$A$2:$A$303,"June",'P&amp;L Table'!$C$2:$C$303,$A11,'P&amp;L Table'!$E$2:$E$303,"MTM P&amp;L")</f>
        <v>0</v>
      </c>
      <c r="C11" s="9">
        <f>SUMIFS('P&amp;L Table'!$F$2:$F$303,'P&amp;L Table'!$A$2:$A$303,"June",'P&amp;L Table'!$C$2:$C$303,$A11,'P&amp;L Table'!$E$2:$E$303,"Commissions")</f>
        <v>0</v>
      </c>
      <c r="D11" s="9">
        <f>SUMIFS('P&amp;L Table'!$F$2:$F$303,'P&amp;L Table'!$A$2:$A$303,"June",'P&amp;L Table'!$C$2:$C$303,$A11,'P&amp;L Table'!$E$2:$E$303,"Borrow")</f>
        <v>0</v>
      </c>
      <c r="E11" s="9">
        <f>SUMIFS('P&amp;L Table'!$F$2:$F$303,'P&amp;L Table'!$A$2:$A$303,"June",'P&amp;L Table'!$C$2:$C$303,$A11,'P&amp;L Table'!$E$2:$E$303,"Dividends / PIL")</f>
        <v>0</v>
      </c>
      <c r="F11" s="9">
        <f>SUMIFS('P&amp;L Table'!$F$2:$F$303,'P&amp;L Table'!$A$2:$A$303,"June",'P&amp;L Table'!$C$2:$C$303,$A11,'P&amp;L Table'!$E$2:$E$303,"Other")</f>
        <v>0</v>
      </c>
      <c r="G11" s="26">
        <f t="shared" si="0"/>
        <v>0</v>
      </c>
      <c r="H11" s="8">
        <f>SUMIFS('P&amp;L Table'!$F$2:$F$303,'P&amp;L Table'!$A$2:$A$303,"July",'P&amp;L Table'!$C$2:$C$303,$A11,'P&amp;L Table'!$E$2:$E$303,"MTM P&amp;L")</f>
        <v>-196.20000000000073</v>
      </c>
      <c r="I11" s="9">
        <f>SUMIFS('P&amp;L Table'!$F$2:$F$303,'P&amp;L Table'!$A$2:$A$303,"July",'P&amp;L Table'!$C$2:$C$303,$A11,'P&amp;L Table'!$E$2:$E$303,"Commissions")</f>
        <v>-56.57</v>
      </c>
      <c r="J11" s="9">
        <f>SUMIFS('P&amp;L Table'!$F$2:$F$303,'P&amp;L Table'!$A$2:$A$303,"July",'P&amp;L Table'!$C$2:$C$303,$A11,'P&amp;L Table'!$E$2:$E$303,"Borrow")</f>
        <v>-31.96</v>
      </c>
      <c r="K11" s="9">
        <f>SUMIFS('P&amp;L Table'!$F$2:$F$303,'P&amp;L Table'!$A$2:$A$303,"July",'P&amp;L Table'!$C$2:$C$303,$A11,'P&amp;L Table'!$E$2:$E$303,"Dividends / PIL")</f>
        <v>0</v>
      </c>
      <c r="L11" s="9">
        <f>SUMIFS('P&amp;L Table'!$F$2:$F$303,'P&amp;L Table'!$A$2:$A$303,"July",'P&amp;L Table'!$C$2:$C$303,$A11,'P&amp;L Table'!$E$2:$E$303,"Other")</f>
        <v>0</v>
      </c>
      <c r="M11" s="26">
        <f t="shared" si="1"/>
        <v>-284.7300000000007</v>
      </c>
      <c r="N11" s="8">
        <f>SUMIFS('P&amp;L Table'!$F$2:$F$303,'P&amp;L Table'!$A$2:$A$303,"August",'P&amp;L Table'!$C$2:$C$303,$A11,'P&amp;L Table'!$E$2:$E$303,"MTM P&amp;L")</f>
        <v>881.22000000000025</v>
      </c>
      <c r="O11" s="9">
        <f>SUMIFS('P&amp;L Table'!$F$2:$F$303,'P&amp;L Table'!$A$2:$A$303,"August",'P&amp;L Table'!$C$2:$C$303,$A11,'P&amp;L Table'!$E$2:$E$303,"Commissions")</f>
        <v>-28.47</v>
      </c>
      <c r="P11" s="9">
        <f>SUMIFS('P&amp;L Table'!$F$2:$F$303,'P&amp;L Table'!$A$2:$A$303,"August",'P&amp;L Table'!$C$2:$C$303,$A11,'P&amp;L Table'!$E$2:$E$303,"Borrow")</f>
        <v>-112.45</v>
      </c>
      <c r="Q11" s="9">
        <f>SUMIFS('P&amp;L Table'!$F$2:$F$303,'P&amp;L Table'!$A$2:$A$303,"August",'P&amp;L Table'!$C$2:$C$303,$A11,'P&amp;L Table'!$E$2:$E$303,"Dividends / PIL")</f>
        <v>-153.01999999999998</v>
      </c>
      <c r="R11" s="9">
        <f>SUMIFS('P&amp;L Table'!$F$2:$F$303,'P&amp;L Table'!$A$2:$A$303,"August",'P&amp;L Table'!$C$2:$C$303,$A11,'P&amp;L Table'!$E$2:$E$303,"Other")</f>
        <v>0</v>
      </c>
      <c r="S11" s="26">
        <f t="shared" si="2"/>
        <v>587.2800000000002</v>
      </c>
      <c r="T11" s="8">
        <f>SUMIFS('P&amp;L Table'!$F$2:$F$303,'P&amp;L Table'!$A$2:$A$303,"September",'P&amp;L Table'!$C$2:$C$303,$A11,'P&amp;L Table'!$E$2:$E$303,"MTM P&amp;L")</f>
        <v>0</v>
      </c>
      <c r="U11" s="9">
        <f>SUMIFS('P&amp;L Table'!$F$2:$F$303,'P&amp;L Table'!$A$2:$A$303,"September",'P&amp;L Table'!$C$2:$C$303,$A11,'P&amp;L Table'!$E$2:$E$303,"Commissions")</f>
        <v>0</v>
      </c>
      <c r="V11" s="9">
        <f>SUMIFS('P&amp;L Table'!$F$2:$F$303,'P&amp;L Table'!$A$2:$A$303,"September",'P&amp;L Table'!$C$2:$C$303,$A11,'P&amp;L Table'!$E$2:$E$303,"Borrow")</f>
        <v>0</v>
      </c>
      <c r="W11" s="9">
        <f>SUMIFS('P&amp;L Table'!$F$2:$F$303,'P&amp;L Table'!$A$2:$A$303,"September",'P&amp;L Table'!$C$2:$C$303,$A11,'P&amp;L Table'!$E$2:$E$303,"Dividends / PIL")</f>
        <v>0</v>
      </c>
      <c r="X11" s="9">
        <f>SUMIFS('P&amp;L Table'!$F$2:$F$303,'P&amp;L Table'!$A$2:$A$303,"September",'P&amp;L Table'!$C$2:$C$303,$A11,'P&amp;L Table'!$E$2:$E$303,"Other")</f>
        <v>0</v>
      </c>
      <c r="Y11" s="26">
        <f t="shared" si="3"/>
        <v>0</v>
      </c>
      <c r="Z11" s="8">
        <f>SUMIFS('P&amp;L Table'!$F$2:$F$303,'P&amp;L Table'!$A$2:$A$303,"October",'P&amp;L Table'!$C$2:$C$303,$A11,'P&amp;L Table'!$E$2:$E$303,"MTM P&amp;L")</f>
        <v>-179.5300000000002</v>
      </c>
      <c r="AA11" s="9">
        <f>SUMIFS('P&amp;L Table'!$F$2:$F$303,'P&amp;L Table'!$A$2:$A$303,"October",'P&amp;L Table'!$C$2:$C$303,$A11,'P&amp;L Table'!$E$2:$E$303,"Commissions")</f>
        <v>-5.16</v>
      </c>
      <c r="AB11" s="9">
        <f>SUMIFS('P&amp;L Table'!$F$2:$F$303,'P&amp;L Table'!$A$2:$A$303,"October",'P&amp;L Table'!$C$2:$C$303,$A11,'P&amp;L Table'!$E$2:$E$303,"Borrow")</f>
        <v>-7.05</v>
      </c>
      <c r="AC11" s="9">
        <f>SUMIFS('P&amp;L Table'!$F$2:$F$303,'P&amp;L Table'!$A$2:$A$303,"October",'P&amp;L Table'!$C$2:$C$303,$A11,'P&amp;L Table'!$E$2:$E$303,"Dividends / PIL")</f>
        <v>0</v>
      </c>
      <c r="AD11" s="9">
        <f>SUMIFS('P&amp;L Table'!$F$2:$F$303,'P&amp;L Table'!$A$2:$A$303,"October",'P&amp;L Table'!$C$2:$C$303,$A11,'P&amp;L Table'!$E$2:$E$303,"Other")</f>
        <v>0</v>
      </c>
      <c r="AE11" s="26">
        <f t="shared" si="4"/>
        <v>-191.74000000000021</v>
      </c>
      <c r="AF11" s="8">
        <f t="shared" si="5"/>
        <v>505.48999999999933</v>
      </c>
      <c r="AG11" s="9">
        <f t="shared" si="6"/>
        <v>-90.199999999999989</v>
      </c>
      <c r="AH11" s="9">
        <f t="shared" si="7"/>
        <v>-151.46</v>
      </c>
      <c r="AI11" s="9">
        <f t="shared" si="8"/>
        <v>-153.01999999999998</v>
      </c>
      <c r="AJ11" s="9">
        <f t="shared" si="9"/>
        <v>0</v>
      </c>
      <c r="AK11" s="26">
        <f t="shared" si="10"/>
        <v>110.80999999999929</v>
      </c>
      <c r="AO11" s="30"/>
    </row>
    <row r="12" spans="1:42" ht="15" customHeight="1">
      <c r="A12" s="16" t="s">
        <v>22</v>
      </c>
      <c r="B12" s="8">
        <f>SUMIFS('P&amp;L Table'!$F$2:$F$303,'P&amp;L Table'!$A$2:$A$303,"June",'P&amp;L Table'!$C$2:$C$303,$A12,'P&amp;L Table'!$E$2:$E$303,"MTM P&amp;L")</f>
        <v>0</v>
      </c>
      <c r="C12" s="9">
        <f>SUMIFS('P&amp;L Table'!$F$2:$F$303,'P&amp;L Table'!$A$2:$A$303,"June",'P&amp;L Table'!$C$2:$C$303,$A12,'P&amp;L Table'!$E$2:$E$303,"Commissions")</f>
        <v>0</v>
      </c>
      <c r="D12" s="9">
        <f>SUMIFS('P&amp;L Table'!$F$2:$F$303,'P&amp;L Table'!$A$2:$A$303,"June",'P&amp;L Table'!$C$2:$C$303,$A12,'P&amp;L Table'!$E$2:$E$303,"Borrow")</f>
        <v>0</v>
      </c>
      <c r="E12" s="9">
        <f>SUMIFS('P&amp;L Table'!$F$2:$F$303,'P&amp;L Table'!$A$2:$A$303,"June",'P&amp;L Table'!$C$2:$C$303,$A12,'P&amp;L Table'!$E$2:$E$303,"Dividends / PIL")</f>
        <v>0</v>
      </c>
      <c r="F12" s="9">
        <f>SUMIFS('P&amp;L Table'!$F$2:$F$303,'P&amp;L Table'!$A$2:$A$303,"June",'P&amp;L Table'!$C$2:$C$303,$A12,'P&amp;L Table'!$E$2:$E$303,"Other")</f>
        <v>0</v>
      </c>
      <c r="G12" s="26">
        <f t="shared" si="0"/>
        <v>0</v>
      </c>
      <c r="H12" s="8">
        <f>SUMIFS('P&amp;L Table'!$F$2:$F$303,'P&amp;L Table'!$A$2:$A$303,"July",'P&amp;L Table'!$C$2:$C$303,$A12,'P&amp;L Table'!$E$2:$E$303,"MTM P&amp;L")</f>
        <v>90.200000000000045</v>
      </c>
      <c r="I12" s="9">
        <f>SUMIFS('P&amp;L Table'!$F$2:$F$303,'P&amp;L Table'!$A$2:$A$303,"July",'P&amp;L Table'!$C$2:$C$303,$A12,'P&amp;L Table'!$E$2:$E$303,"Commissions")</f>
        <v>-29.990000000000002</v>
      </c>
      <c r="J12" s="9">
        <f>SUMIFS('P&amp;L Table'!$F$2:$F$303,'P&amp;L Table'!$A$2:$A$303,"July",'P&amp;L Table'!$C$2:$C$303,$A12,'P&amp;L Table'!$E$2:$E$303,"Borrow")</f>
        <v>-9.2200000000000006</v>
      </c>
      <c r="K12" s="9">
        <f>SUMIFS('P&amp;L Table'!$F$2:$F$303,'P&amp;L Table'!$A$2:$A$303,"July",'P&amp;L Table'!$C$2:$C$303,$A12,'P&amp;L Table'!$E$2:$E$303,"Dividends / PIL")</f>
        <v>0</v>
      </c>
      <c r="L12" s="9">
        <f>SUMIFS('P&amp;L Table'!$F$2:$F$303,'P&amp;L Table'!$A$2:$A$303,"July",'P&amp;L Table'!$C$2:$C$303,$A12,'P&amp;L Table'!$E$2:$E$303,"Other")</f>
        <v>0</v>
      </c>
      <c r="M12" s="26">
        <f t="shared" si="1"/>
        <v>50.990000000000045</v>
      </c>
      <c r="N12" s="8">
        <f>SUMIFS('P&amp;L Table'!$F$2:$F$303,'P&amp;L Table'!$A$2:$A$303,"August",'P&amp;L Table'!$C$2:$C$303,$A12,'P&amp;L Table'!$E$2:$E$303,"MTM P&amp;L")</f>
        <v>0</v>
      </c>
      <c r="O12" s="9">
        <f>SUMIFS('P&amp;L Table'!$F$2:$F$303,'P&amp;L Table'!$A$2:$A$303,"August",'P&amp;L Table'!$C$2:$C$303,$A12,'P&amp;L Table'!$E$2:$E$303,"Commissions")</f>
        <v>0</v>
      </c>
      <c r="P12" s="9">
        <f>SUMIFS('P&amp;L Table'!$F$2:$F$303,'P&amp;L Table'!$A$2:$A$303,"August",'P&amp;L Table'!$C$2:$C$303,$A12,'P&amp;L Table'!$E$2:$E$303,"Borrow")</f>
        <v>-6.5</v>
      </c>
      <c r="Q12" s="9">
        <f>SUMIFS('P&amp;L Table'!$F$2:$F$303,'P&amp;L Table'!$A$2:$A$303,"August",'P&amp;L Table'!$C$2:$C$303,$A12,'P&amp;L Table'!$E$2:$E$303,"Dividends / PIL")</f>
        <v>0</v>
      </c>
      <c r="R12" s="9">
        <f>SUMIFS('P&amp;L Table'!$F$2:$F$303,'P&amp;L Table'!$A$2:$A$303,"August",'P&amp;L Table'!$C$2:$C$303,$A12,'P&amp;L Table'!$E$2:$E$303,"Other")</f>
        <v>0</v>
      </c>
      <c r="S12" s="26">
        <f t="shared" si="2"/>
        <v>-6.5</v>
      </c>
      <c r="T12" s="8">
        <f>SUMIFS('P&amp;L Table'!$F$2:$F$303,'P&amp;L Table'!$A$2:$A$303,"September",'P&amp;L Table'!$C$2:$C$303,$A12,'P&amp;L Table'!$E$2:$E$303,"MTM P&amp;L")</f>
        <v>0</v>
      </c>
      <c r="U12" s="9">
        <f>SUMIFS('P&amp;L Table'!$F$2:$F$303,'P&amp;L Table'!$A$2:$A$303,"September",'P&amp;L Table'!$C$2:$C$303,$A12,'P&amp;L Table'!$E$2:$E$303,"Commissions")</f>
        <v>0</v>
      </c>
      <c r="V12" s="9">
        <f>SUMIFS('P&amp;L Table'!$F$2:$F$303,'P&amp;L Table'!$A$2:$A$303,"September",'P&amp;L Table'!$C$2:$C$303,$A12,'P&amp;L Table'!$E$2:$E$303,"Borrow")</f>
        <v>0</v>
      </c>
      <c r="W12" s="9">
        <f>SUMIFS('P&amp;L Table'!$F$2:$F$303,'P&amp;L Table'!$A$2:$A$303,"September",'P&amp;L Table'!$C$2:$C$303,$A12,'P&amp;L Table'!$E$2:$E$303,"Dividends / PIL")</f>
        <v>0</v>
      </c>
      <c r="X12" s="9">
        <f>SUMIFS('P&amp;L Table'!$F$2:$F$303,'P&amp;L Table'!$A$2:$A$303,"September",'P&amp;L Table'!$C$2:$C$303,$A12,'P&amp;L Table'!$E$2:$E$303,"Other")</f>
        <v>0</v>
      </c>
      <c r="Y12" s="26">
        <f t="shared" si="3"/>
        <v>0</v>
      </c>
      <c r="Z12" s="8">
        <f>SUMIFS('P&amp;L Table'!$F$2:$F$303,'P&amp;L Table'!$A$2:$A$303,"October",'P&amp;L Table'!$C$2:$C$303,$A12,'P&amp;L Table'!$E$2:$E$303,"MTM P&amp;L")</f>
        <v>0</v>
      </c>
      <c r="AA12" s="9">
        <f>SUMIFS('P&amp;L Table'!$F$2:$F$303,'P&amp;L Table'!$A$2:$A$303,"October",'P&amp;L Table'!$C$2:$C$303,$A12,'P&amp;L Table'!$E$2:$E$303,"Commissions")</f>
        <v>0</v>
      </c>
      <c r="AB12" s="9">
        <f>SUMIFS('P&amp;L Table'!$F$2:$F$303,'P&amp;L Table'!$A$2:$A$303,"October",'P&amp;L Table'!$C$2:$C$303,$A12,'P&amp;L Table'!$E$2:$E$303,"Borrow")</f>
        <v>0</v>
      </c>
      <c r="AC12" s="9">
        <f>SUMIFS('P&amp;L Table'!$F$2:$F$303,'P&amp;L Table'!$A$2:$A$303,"October",'P&amp;L Table'!$C$2:$C$303,$A12,'P&amp;L Table'!$E$2:$E$303,"Dividends / PIL")</f>
        <v>0</v>
      </c>
      <c r="AD12" s="9">
        <f>SUMIFS('P&amp;L Table'!$F$2:$F$303,'P&amp;L Table'!$A$2:$A$303,"October",'P&amp;L Table'!$C$2:$C$303,$A12,'P&amp;L Table'!$E$2:$E$303,"Other")</f>
        <v>0</v>
      </c>
      <c r="AE12" s="26">
        <f t="shared" si="4"/>
        <v>0</v>
      </c>
      <c r="AF12" s="8">
        <f t="shared" si="5"/>
        <v>90.200000000000045</v>
      </c>
      <c r="AG12" s="9">
        <f t="shared" si="6"/>
        <v>-29.990000000000002</v>
      </c>
      <c r="AH12" s="9">
        <f t="shared" si="7"/>
        <v>-15.72</v>
      </c>
      <c r="AI12" s="9">
        <f t="shared" si="8"/>
        <v>0</v>
      </c>
      <c r="AJ12" s="9">
        <f t="shared" si="9"/>
        <v>0</v>
      </c>
      <c r="AK12" s="26">
        <f t="shared" si="10"/>
        <v>44.490000000000045</v>
      </c>
      <c r="AO12" s="38"/>
      <c r="AP12" s="39"/>
    </row>
    <row r="13" spans="1:42" ht="15" customHeight="1">
      <c r="A13" s="16" t="s">
        <v>124</v>
      </c>
      <c r="B13" s="8">
        <f>SUMIFS('P&amp;L Table'!$F$2:$F$303,'P&amp;L Table'!$A$2:$A$303,"June",'P&amp;L Table'!$C$2:$C$303,$A13,'P&amp;L Table'!$E$2:$E$303,"MTM P&amp;L")</f>
        <v>0</v>
      </c>
      <c r="C13" s="9">
        <f>SUMIFS('P&amp;L Table'!$F$2:$F$303,'P&amp;L Table'!$A$2:$A$303,"June",'P&amp;L Table'!$C$2:$C$303,$A13,'P&amp;L Table'!$E$2:$E$303,"Commissions")</f>
        <v>0</v>
      </c>
      <c r="D13" s="9">
        <f>SUMIFS('P&amp;L Table'!$F$2:$F$303,'P&amp;L Table'!$A$2:$A$303,"June",'P&amp;L Table'!$C$2:$C$303,$A13,'P&amp;L Table'!$E$2:$E$303,"Borrow")</f>
        <v>0</v>
      </c>
      <c r="E13" s="9">
        <f>SUMIFS('P&amp;L Table'!$F$2:$F$303,'P&amp;L Table'!$A$2:$A$303,"June",'P&amp;L Table'!$C$2:$C$303,$A13,'P&amp;L Table'!$E$2:$E$303,"Dividends / PIL")</f>
        <v>0</v>
      </c>
      <c r="F13" s="9">
        <f>SUMIFS('P&amp;L Table'!$F$2:$F$303,'P&amp;L Table'!$A$2:$A$303,"June",'P&amp;L Table'!$C$2:$C$303,$A13,'P&amp;L Table'!$E$2:$E$303,"Other")</f>
        <v>0</v>
      </c>
      <c r="G13" s="26">
        <f t="shared" si="0"/>
        <v>0</v>
      </c>
      <c r="H13" s="8">
        <f>SUMIFS('P&amp;L Table'!$F$2:$F$303,'P&amp;L Table'!$A$2:$A$303,"July",'P&amp;L Table'!$C$2:$C$303,$A13,'P&amp;L Table'!$E$2:$E$303,"MTM P&amp;L")</f>
        <v>0</v>
      </c>
      <c r="I13" s="9">
        <f>SUMIFS('P&amp;L Table'!$F$2:$F$303,'P&amp;L Table'!$A$2:$A$303,"July",'P&amp;L Table'!$C$2:$C$303,$A13,'P&amp;L Table'!$E$2:$E$303,"Commissions")</f>
        <v>0</v>
      </c>
      <c r="J13" s="9">
        <f>SUMIFS('P&amp;L Table'!$F$2:$F$303,'P&amp;L Table'!$A$2:$A$303,"July",'P&amp;L Table'!$C$2:$C$303,$A13,'P&amp;L Table'!$E$2:$E$303,"Borrow")</f>
        <v>0</v>
      </c>
      <c r="K13" s="9">
        <f>SUMIFS('P&amp;L Table'!$F$2:$F$303,'P&amp;L Table'!$A$2:$A$303,"July",'P&amp;L Table'!$C$2:$C$303,$A13,'P&amp;L Table'!$E$2:$E$303,"Dividends / PIL")</f>
        <v>0</v>
      </c>
      <c r="L13" s="9">
        <f>SUMIFS('P&amp;L Table'!$F$2:$F$303,'P&amp;L Table'!$A$2:$A$303,"July",'P&amp;L Table'!$C$2:$C$303,$A13,'P&amp;L Table'!$E$2:$E$303,"Other")</f>
        <v>0</v>
      </c>
      <c r="M13" s="26">
        <f t="shared" si="1"/>
        <v>0</v>
      </c>
      <c r="N13" s="8">
        <f>SUMIFS('P&amp;L Table'!$F$2:$F$303,'P&amp;L Table'!$A$2:$A$303,"August",'P&amp;L Table'!$C$2:$C$303,$A13,'P&amp;L Table'!$E$2:$E$303,"MTM P&amp;L")</f>
        <v>0</v>
      </c>
      <c r="O13" s="9">
        <f>SUMIFS('P&amp;L Table'!$F$2:$F$303,'P&amp;L Table'!$A$2:$A$303,"August",'P&amp;L Table'!$C$2:$C$303,$A13,'P&amp;L Table'!$E$2:$E$303,"Commissions")</f>
        <v>0</v>
      </c>
      <c r="P13" s="9">
        <f>SUMIFS('P&amp;L Table'!$F$2:$F$303,'P&amp;L Table'!$A$2:$A$303,"August",'P&amp;L Table'!$C$2:$C$303,$A13,'P&amp;L Table'!$E$2:$E$303,"Borrow")</f>
        <v>0</v>
      </c>
      <c r="Q13" s="9">
        <f>SUMIFS('P&amp;L Table'!$F$2:$F$303,'P&amp;L Table'!$A$2:$A$303,"August",'P&amp;L Table'!$C$2:$C$303,$A13,'P&amp;L Table'!$E$2:$E$303,"Dividends / PIL")</f>
        <v>0</v>
      </c>
      <c r="R13" s="9">
        <f>SUMIFS('P&amp;L Table'!$F$2:$F$303,'P&amp;L Table'!$A$2:$A$303,"August",'P&amp;L Table'!$C$2:$C$303,$A13,'P&amp;L Table'!$E$2:$E$303,"Other")</f>
        <v>0</v>
      </c>
      <c r="S13" s="26">
        <f t="shared" si="2"/>
        <v>0</v>
      </c>
      <c r="T13" s="8">
        <f>SUMIFS('P&amp;L Table'!$F$2:$F$303,'P&amp;L Table'!$A$2:$A$303,"September",'P&amp;L Table'!$C$2:$C$303,$A13,'P&amp;L Table'!$E$2:$E$303,"MTM P&amp;L")</f>
        <v>0</v>
      </c>
      <c r="U13" s="9">
        <f>SUMIFS('P&amp;L Table'!$F$2:$F$303,'P&amp;L Table'!$A$2:$A$303,"September",'P&amp;L Table'!$C$2:$C$303,$A13,'P&amp;L Table'!$E$2:$E$303,"Commissions")</f>
        <v>0</v>
      </c>
      <c r="V13" s="9">
        <f>SUMIFS('P&amp;L Table'!$F$2:$F$303,'P&amp;L Table'!$A$2:$A$303,"September",'P&amp;L Table'!$C$2:$C$303,$A13,'P&amp;L Table'!$E$2:$E$303,"Borrow")</f>
        <v>0</v>
      </c>
      <c r="W13" s="9">
        <f>SUMIFS('P&amp;L Table'!$F$2:$F$303,'P&amp;L Table'!$A$2:$A$303,"September",'P&amp;L Table'!$C$2:$C$303,$A13,'P&amp;L Table'!$E$2:$E$303,"Dividends / PIL")</f>
        <v>0</v>
      </c>
      <c r="X13" s="9">
        <f>SUMIFS('P&amp;L Table'!$F$2:$F$303,'P&amp;L Table'!$A$2:$A$303,"September",'P&amp;L Table'!$C$2:$C$303,$A13,'P&amp;L Table'!$E$2:$E$303,"Other")</f>
        <v>0</v>
      </c>
      <c r="Y13" s="26">
        <f t="shared" si="3"/>
        <v>0</v>
      </c>
      <c r="Z13" s="8">
        <f>SUMIFS('P&amp;L Table'!$F$2:$F$303,'P&amp;L Table'!$A$2:$A$303,"October",'P&amp;L Table'!$C$2:$C$303,$A13,'P&amp;L Table'!$E$2:$E$303,"MTM P&amp;L")</f>
        <v>52.45</v>
      </c>
      <c r="AA13" s="9">
        <f>SUMIFS('P&amp;L Table'!$F$2:$F$303,'P&amp;L Table'!$A$2:$A$303,"October",'P&amp;L Table'!$C$2:$C$303,$A13,'P&amp;L Table'!$E$2:$E$303,"Commissions")</f>
        <v>-16.46</v>
      </c>
      <c r="AB13" s="9">
        <f>SUMIFS('P&amp;L Table'!$F$2:$F$303,'P&amp;L Table'!$A$2:$A$303,"October",'P&amp;L Table'!$C$2:$C$303,$A13,'P&amp;L Table'!$E$2:$E$303,"Borrow")</f>
        <v>-0.46</v>
      </c>
      <c r="AC13" s="9">
        <f>SUMIFS('P&amp;L Table'!$F$2:$F$303,'P&amp;L Table'!$A$2:$A$303,"October",'P&amp;L Table'!$C$2:$C$303,$A13,'P&amp;L Table'!$E$2:$E$303,"Dividends / PIL")</f>
        <v>0</v>
      </c>
      <c r="AD13" s="9">
        <f>SUMIFS('P&amp;L Table'!$F$2:$F$303,'P&amp;L Table'!$A$2:$A$303,"October",'P&amp;L Table'!$C$2:$C$303,$A13,'P&amp;L Table'!$E$2:$E$303,"Other")</f>
        <v>0</v>
      </c>
      <c r="AE13" s="26">
        <f t="shared" si="4"/>
        <v>35.53</v>
      </c>
      <c r="AF13" s="8">
        <f t="shared" si="5"/>
        <v>52.45</v>
      </c>
      <c r="AG13" s="9">
        <f t="shared" si="6"/>
        <v>-16.46</v>
      </c>
      <c r="AH13" s="9">
        <f t="shared" si="7"/>
        <v>-0.46</v>
      </c>
      <c r="AI13" s="9">
        <f t="shared" si="8"/>
        <v>0</v>
      </c>
      <c r="AJ13" s="9">
        <f t="shared" si="9"/>
        <v>0</v>
      </c>
      <c r="AK13" s="26">
        <f t="shared" si="10"/>
        <v>35.53</v>
      </c>
      <c r="AO13" s="38"/>
      <c r="AP13" s="39"/>
    </row>
    <row r="14" spans="1:42" s="35" customFormat="1" ht="15" customHeight="1">
      <c r="A14" s="16" t="s">
        <v>23</v>
      </c>
      <c r="B14" s="8">
        <f>SUMIFS('P&amp;L Table'!$F$2:$F$303,'P&amp;L Table'!$A$2:$A$303,"June",'P&amp;L Table'!$C$2:$C$303,$A14,'P&amp;L Table'!$E$2:$E$303,"MTM P&amp;L")</f>
        <v>0</v>
      </c>
      <c r="C14" s="9">
        <f>SUMIFS('P&amp;L Table'!$F$2:$F$303,'P&amp;L Table'!$A$2:$A$303,"June",'P&amp;L Table'!$C$2:$C$303,$A14,'P&amp;L Table'!$E$2:$E$303,"Commissions")</f>
        <v>0</v>
      </c>
      <c r="D14" s="9">
        <f>SUMIFS('P&amp;L Table'!$F$2:$F$303,'P&amp;L Table'!$A$2:$A$303,"June",'P&amp;L Table'!$C$2:$C$303,$A14,'P&amp;L Table'!$E$2:$E$303,"Borrow")</f>
        <v>0</v>
      </c>
      <c r="E14" s="9">
        <f>SUMIFS('P&amp;L Table'!$F$2:$F$303,'P&amp;L Table'!$A$2:$A$303,"June",'P&amp;L Table'!$C$2:$C$303,$A14,'P&amp;L Table'!$E$2:$E$303,"Dividends / PIL")</f>
        <v>0</v>
      </c>
      <c r="F14" s="9">
        <f>SUMIFS('P&amp;L Table'!$F$2:$F$303,'P&amp;L Table'!$A$2:$A$303,"June",'P&amp;L Table'!$C$2:$C$303,$A14,'P&amp;L Table'!$E$2:$E$303,"Other")</f>
        <v>0</v>
      </c>
      <c r="G14" s="26">
        <f t="shared" si="0"/>
        <v>0</v>
      </c>
      <c r="H14" s="8">
        <f>SUMIFS('P&amp;L Table'!$F$2:$F$303,'P&amp;L Table'!$A$2:$A$303,"July",'P&amp;L Table'!$C$2:$C$303,$A14,'P&amp;L Table'!$E$2:$E$303,"MTM P&amp;L")</f>
        <v>0</v>
      </c>
      <c r="I14" s="9">
        <f>SUMIFS('P&amp;L Table'!$F$2:$F$303,'P&amp;L Table'!$A$2:$A$303,"July",'P&amp;L Table'!$C$2:$C$303,$A14,'P&amp;L Table'!$E$2:$E$303,"Commissions")</f>
        <v>0</v>
      </c>
      <c r="J14" s="9">
        <f>SUMIFS('P&amp;L Table'!$F$2:$F$303,'P&amp;L Table'!$A$2:$A$303,"July",'P&amp;L Table'!$C$2:$C$303,$A14,'P&amp;L Table'!$E$2:$E$303,"Borrow")</f>
        <v>0</v>
      </c>
      <c r="K14" s="9">
        <f>SUMIFS('P&amp;L Table'!$F$2:$F$303,'P&amp;L Table'!$A$2:$A$303,"July",'P&amp;L Table'!$C$2:$C$303,$A14,'P&amp;L Table'!$E$2:$E$303,"Dividends / PIL")</f>
        <v>0</v>
      </c>
      <c r="L14" s="9">
        <f>SUMIFS('P&amp;L Table'!$F$2:$F$303,'P&amp;L Table'!$A$2:$A$303,"July",'P&amp;L Table'!$C$2:$C$303,$A14,'P&amp;L Table'!$E$2:$E$303,"Other")</f>
        <v>0</v>
      </c>
      <c r="M14" s="26">
        <f t="shared" si="1"/>
        <v>0</v>
      </c>
      <c r="N14" s="8">
        <f>SUMIFS('P&amp;L Table'!$F$2:$F$303,'P&amp;L Table'!$A$2:$A$303,"August",'P&amp;L Table'!$C$2:$C$303,$A14,'P&amp;L Table'!$E$2:$E$303,"MTM P&amp;L")</f>
        <v>0</v>
      </c>
      <c r="O14" s="9">
        <f>SUMIFS('P&amp;L Table'!$F$2:$F$303,'P&amp;L Table'!$A$2:$A$303,"August",'P&amp;L Table'!$C$2:$C$303,$A14,'P&amp;L Table'!$E$2:$E$303,"Commissions")</f>
        <v>0</v>
      </c>
      <c r="P14" s="9">
        <f>SUMIFS('P&amp;L Table'!$F$2:$F$303,'P&amp;L Table'!$A$2:$A$303,"August",'P&amp;L Table'!$C$2:$C$303,$A14,'P&amp;L Table'!$E$2:$E$303,"Borrow")</f>
        <v>0</v>
      </c>
      <c r="Q14" s="9">
        <f>SUMIFS('P&amp;L Table'!$F$2:$F$303,'P&amp;L Table'!$A$2:$A$303,"August",'P&amp;L Table'!$C$2:$C$303,$A14,'P&amp;L Table'!$E$2:$E$303,"Dividends / PIL")</f>
        <v>0</v>
      </c>
      <c r="R14" s="9">
        <f>SUMIFS('P&amp;L Table'!$F$2:$F$303,'P&amp;L Table'!$A$2:$A$303,"August",'P&amp;L Table'!$C$2:$C$303,$A14,'P&amp;L Table'!$E$2:$E$303,"Other")</f>
        <v>0</v>
      </c>
      <c r="S14" s="26">
        <f t="shared" si="2"/>
        <v>0</v>
      </c>
      <c r="T14" s="8">
        <f>SUMIFS('P&amp;L Table'!$F$2:$F$303,'P&amp;L Table'!$A$2:$A$303,"September",'P&amp;L Table'!$C$2:$C$303,$A14,'P&amp;L Table'!$E$2:$E$303,"MTM P&amp;L")</f>
        <v>0</v>
      </c>
      <c r="U14" s="9">
        <f>SUMIFS('P&amp;L Table'!$F$2:$F$303,'P&amp;L Table'!$A$2:$A$303,"September",'P&amp;L Table'!$C$2:$C$303,$A14,'P&amp;L Table'!$E$2:$E$303,"Commissions")</f>
        <v>0</v>
      </c>
      <c r="V14" s="9">
        <f>SUMIFS('P&amp;L Table'!$F$2:$F$303,'P&amp;L Table'!$A$2:$A$303,"September",'P&amp;L Table'!$C$2:$C$303,$A14,'P&amp;L Table'!$E$2:$E$303,"Borrow")</f>
        <v>0</v>
      </c>
      <c r="W14" s="9">
        <f>SUMIFS('P&amp;L Table'!$F$2:$F$303,'P&amp;L Table'!$A$2:$A$303,"September",'P&amp;L Table'!$C$2:$C$303,$A14,'P&amp;L Table'!$E$2:$E$303,"Dividends / PIL")</f>
        <v>0</v>
      </c>
      <c r="X14" s="9">
        <f>SUMIFS('P&amp;L Table'!$F$2:$F$303,'P&amp;L Table'!$A$2:$A$303,"September",'P&amp;L Table'!$C$2:$C$303,$A14,'P&amp;L Table'!$E$2:$E$303,"Other")</f>
        <v>0</v>
      </c>
      <c r="Y14" s="26">
        <f t="shared" si="3"/>
        <v>0</v>
      </c>
      <c r="Z14" s="8">
        <f>SUMIFS('P&amp;L Table'!$F$2:$F$303,'P&amp;L Table'!$A$2:$A$303,"October",'P&amp;L Table'!$C$2:$C$303,$A14,'P&amp;L Table'!$E$2:$E$303,"MTM P&amp;L")</f>
        <v>-11.459999999999994</v>
      </c>
      <c r="AA14" s="9">
        <f>SUMIFS('P&amp;L Table'!$F$2:$F$303,'P&amp;L Table'!$A$2:$A$303,"October",'P&amp;L Table'!$C$2:$C$303,$A14,'P&amp;L Table'!$E$2:$E$303,"Commissions")</f>
        <v>-10.33</v>
      </c>
      <c r="AB14" s="9">
        <f>SUMIFS('P&amp;L Table'!$F$2:$F$303,'P&amp;L Table'!$A$2:$A$303,"October",'P&amp;L Table'!$C$2:$C$303,$A14,'P&amp;L Table'!$E$2:$E$303,"Borrow")</f>
        <v>-0.12</v>
      </c>
      <c r="AC14" s="9">
        <f>SUMIFS('P&amp;L Table'!$F$2:$F$303,'P&amp;L Table'!$A$2:$A$303,"October",'P&amp;L Table'!$C$2:$C$303,$A14,'P&amp;L Table'!$E$2:$E$303,"Dividends / PIL")</f>
        <v>0</v>
      </c>
      <c r="AD14" s="9">
        <f>SUMIFS('P&amp;L Table'!$F$2:$F$303,'P&amp;L Table'!$A$2:$A$303,"October",'P&amp;L Table'!$C$2:$C$303,$A14,'P&amp;L Table'!$E$2:$E$303,"Other")</f>
        <v>0</v>
      </c>
      <c r="AE14" s="26">
        <f t="shared" si="4"/>
        <v>-21.909999999999993</v>
      </c>
      <c r="AF14" s="8">
        <f t="shared" si="5"/>
        <v>-11.459999999999994</v>
      </c>
      <c r="AG14" s="9">
        <f t="shared" si="6"/>
        <v>-10.33</v>
      </c>
      <c r="AH14" s="9">
        <f t="shared" si="7"/>
        <v>-0.12</v>
      </c>
      <c r="AI14" s="9">
        <f t="shared" si="8"/>
        <v>0</v>
      </c>
      <c r="AJ14" s="9">
        <f t="shared" si="9"/>
        <v>0</v>
      </c>
      <c r="AK14" s="26">
        <f t="shared" si="10"/>
        <v>-21.909999999999993</v>
      </c>
      <c r="AL14" s="1"/>
      <c r="AM14" s="29"/>
      <c r="AN14" s="1"/>
      <c r="AO14" s="38"/>
      <c r="AP14" s="39"/>
    </row>
    <row r="15" spans="1:42" ht="15" customHeight="1">
      <c r="A15" s="16" t="s">
        <v>9</v>
      </c>
      <c r="B15" s="8">
        <f>SUMIFS('P&amp;L Table'!$F$2:$F$303,'P&amp;L Table'!$A$2:$A$303,"June",'P&amp;L Table'!$C$2:$C$303,$A15,'P&amp;L Table'!$E$2:$E$303,"MTM P&amp;L")</f>
        <v>-62.989999999999995</v>
      </c>
      <c r="C15" s="9">
        <f>SUMIFS('P&amp;L Table'!$F$2:$F$303,'P&amp;L Table'!$A$2:$A$303,"June",'P&amp;L Table'!$C$2:$C$303,$A15,'P&amp;L Table'!$E$2:$E$303,"Commissions")</f>
        <v>-18.12</v>
      </c>
      <c r="D15" s="9">
        <f>SUMIFS('P&amp;L Table'!$F$2:$F$303,'P&amp;L Table'!$A$2:$A$303,"June",'P&amp;L Table'!$C$2:$C$303,$A15,'P&amp;L Table'!$E$2:$E$303,"Borrow")</f>
        <v>0</v>
      </c>
      <c r="E15" s="9">
        <f>SUMIFS('P&amp;L Table'!$F$2:$F$303,'P&amp;L Table'!$A$2:$A$303,"June",'P&amp;L Table'!$C$2:$C$303,$A15,'P&amp;L Table'!$E$2:$E$303,"Dividends / PIL")</f>
        <v>0</v>
      </c>
      <c r="F15" s="9">
        <f>SUMIFS('P&amp;L Table'!$F$2:$F$303,'P&amp;L Table'!$A$2:$A$303,"June",'P&amp;L Table'!$C$2:$C$303,$A15,'P&amp;L Table'!$E$2:$E$303,"Other")</f>
        <v>0</v>
      </c>
      <c r="G15" s="26">
        <f t="shared" si="0"/>
        <v>-81.11</v>
      </c>
      <c r="H15" s="8">
        <f>SUMIFS('P&amp;L Table'!$F$2:$F$303,'P&amp;L Table'!$A$2:$A$303,"July",'P&amp;L Table'!$C$2:$C$303,$A15,'P&amp;L Table'!$E$2:$E$303,"MTM P&amp;L")</f>
        <v>7.2000000000000028</v>
      </c>
      <c r="I15" s="9">
        <f>SUMIFS('P&amp;L Table'!$F$2:$F$303,'P&amp;L Table'!$A$2:$A$303,"July",'P&amp;L Table'!$C$2:$C$303,$A15,'P&amp;L Table'!$E$2:$E$303,"Commissions")</f>
        <v>-14.209999999999999</v>
      </c>
      <c r="J15" s="9">
        <f>SUMIFS('P&amp;L Table'!$F$2:$F$303,'P&amp;L Table'!$A$2:$A$303,"July",'P&amp;L Table'!$C$2:$C$303,$A15,'P&amp;L Table'!$E$2:$E$303,"Borrow")</f>
        <v>-1.26</v>
      </c>
      <c r="K15" s="9">
        <f>SUMIFS('P&amp;L Table'!$F$2:$F$303,'P&amp;L Table'!$A$2:$A$303,"July",'P&amp;L Table'!$C$2:$C$303,$A15,'P&amp;L Table'!$E$2:$E$303,"Dividends / PIL")</f>
        <v>0</v>
      </c>
      <c r="L15" s="9">
        <f>SUMIFS('P&amp;L Table'!$F$2:$F$303,'P&amp;L Table'!$A$2:$A$303,"July",'P&amp;L Table'!$C$2:$C$303,$A15,'P&amp;L Table'!$E$2:$E$303,"Other")</f>
        <v>0</v>
      </c>
      <c r="M15" s="26">
        <f t="shared" si="1"/>
        <v>-8.269999999999996</v>
      </c>
      <c r="N15" s="8">
        <f>SUMIFS('P&amp;L Table'!$F$2:$F$303,'P&amp;L Table'!$A$2:$A$303,"August",'P&amp;L Table'!$C$2:$C$303,$A15,'P&amp;L Table'!$E$2:$E$303,"MTM P&amp;L")</f>
        <v>0</v>
      </c>
      <c r="O15" s="9">
        <f>SUMIFS('P&amp;L Table'!$F$2:$F$303,'P&amp;L Table'!$A$2:$A$303,"August",'P&amp;L Table'!$C$2:$C$303,$A15,'P&amp;L Table'!$E$2:$E$303,"Commissions")</f>
        <v>0</v>
      </c>
      <c r="P15" s="9">
        <f>SUMIFS('P&amp;L Table'!$F$2:$F$303,'P&amp;L Table'!$A$2:$A$303,"August",'P&amp;L Table'!$C$2:$C$303,$A15,'P&amp;L Table'!$E$2:$E$303,"Borrow")</f>
        <v>0</v>
      </c>
      <c r="Q15" s="9">
        <f>SUMIFS('P&amp;L Table'!$F$2:$F$303,'P&amp;L Table'!$A$2:$A$303,"August",'P&amp;L Table'!$C$2:$C$303,$A15,'P&amp;L Table'!$E$2:$E$303,"Dividends / PIL")</f>
        <v>0</v>
      </c>
      <c r="R15" s="9">
        <f>SUMIFS('P&amp;L Table'!$F$2:$F$303,'P&amp;L Table'!$A$2:$A$303,"August",'P&amp;L Table'!$C$2:$C$303,$A15,'P&amp;L Table'!$E$2:$E$303,"Other")</f>
        <v>0</v>
      </c>
      <c r="S15" s="26">
        <f t="shared" si="2"/>
        <v>0</v>
      </c>
      <c r="T15" s="8">
        <f>SUMIFS('P&amp;L Table'!$F$2:$F$303,'P&amp;L Table'!$A$2:$A$303,"September",'P&amp;L Table'!$C$2:$C$303,$A15,'P&amp;L Table'!$E$2:$E$303,"MTM P&amp;L")</f>
        <v>0</v>
      </c>
      <c r="U15" s="9">
        <f>SUMIFS('P&amp;L Table'!$F$2:$F$303,'P&amp;L Table'!$A$2:$A$303,"September",'P&amp;L Table'!$C$2:$C$303,$A15,'P&amp;L Table'!$E$2:$E$303,"Commissions")</f>
        <v>0</v>
      </c>
      <c r="V15" s="9">
        <f>SUMIFS('P&amp;L Table'!$F$2:$F$303,'P&amp;L Table'!$A$2:$A$303,"September",'P&amp;L Table'!$C$2:$C$303,$A15,'P&amp;L Table'!$E$2:$E$303,"Borrow")</f>
        <v>0</v>
      </c>
      <c r="W15" s="9">
        <f>SUMIFS('P&amp;L Table'!$F$2:$F$303,'P&amp;L Table'!$A$2:$A$303,"September",'P&amp;L Table'!$C$2:$C$303,$A15,'P&amp;L Table'!$E$2:$E$303,"Dividends / PIL")</f>
        <v>0</v>
      </c>
      <c r="X15" s="9">
        <f>SUMIFS('P&amp;L Table'!$F$2:$F$303,'P&amp;L Table'!$A$2:$A$303,"September",'P&amp;L Table'!$C$2:$C$303,$A15,'P&amp;L Table'!$E$2:$E$303,"Other")</f>
        <v>0</v>
      </c>
      <c r="Y15" s="26">
        <f t="shared" si="3"/>
        <v>0</v>
      </c>
      <c r="Z15" s="8">
        <f>SUMIFS('P&amp;L Table'!$F$2:$F$303,'P&amp;L Table'!$A$2:$A$303,"October",'P&amp;L Table'!$C$2:$C$303,$A15,'P&amp;L Table'!$E$2:$E$303,"MTM P&amp;L")</f>
        <v>0</v>
      </c>
      <c r="AA15" s="9">
        <f>SUMIFS('P&amp;L Table'!$F$2:$F$303,'P&amp;L Table'!$A$2:$A$303,"October",'P&amp;L Table'!$C$2:$C$303,$A15,'P&amp;L Table'!$E$2:$E$303,"Commissions")</f>
        <v>0</v>
      </c>
      <c r="AB15" s="9">
        <f>SUMIFS('P&amp;L Table'!$F$2:$F$303,'P&amp;L Table'!$A$2:$A$303,"October",'P&amp;L Table'!$C$2:$C$303,$A15,'P&amp;L Table'!$E$2:$E$303,"Borrow")</f>
        <v>0</v>
      </c>
      <c r="AC15" s="9">
        <f>SUMIFS('P&amp;L Table'!$F$2:$F$303,'P&amp;L Table'!$A$2:$A$303,"October",'P&amp;L Table'!$C$2:$C$303,$A15,'P&amp;L Table'!$E$2:$E$303,"Dividends / PIL")</f>
        <v>0</v>
      </c>
      <c r="AD15" s="9">
        <f>SUMIFS('P&amp;L Table'!$F$2:$F$303,'P&amp;L Table'!$A$2:$A$303,"October",'P&amp;L Table'!$C$2:$C$303,$A15,'P&amp;L Table'!$E$2:$E$303,"Other")</f>
        <v>0</v>
      </c>
      <c r="AE15" s="26">
        <f t="shared" si="4"/>
        <v>0</v>
      </c>
      <c r="AF15" s="8">
        <f t="shared" si="5"/>
        <v>-55.789999999999992</v>
      </c>
      <c r="AG15" s="9">
        <f t="shared" si="6"/>
        <v>-32.33</v>
      </c>
      <c r="AH15" s="9">
        <f t="shared" si="7"/>
        <v>-1.26</v>
      </c>
      <c r="AI15" s="9">
        <f t="shared" si="8"/>
        <v>0</v>
      </c>
      <c r="AJ15" s="9">
        <f t="shared" si="9"/>
        <v>0</v>
      </c>
      <c r="AK15" s="26">
        <f t="shared" si="10"/>
        <v>-89.38</v>
      </c>
      <c r="AO15" s="30"/>
    </row>
    <row r="16" spans="1:42" ht="15" customHeight="1">
      <c r="A16" s="31" t="s">
        <v>24</v>
      </c>
      <c r="B16" s="8">
        <f>SUMIFS('P&amp;L Table'!$F$2:$F$303,'P&amp;L Table'!$A$2:$A$303,"June",'P&amp;L Table'!$C$2:$C$303,$A16,'P&amp;L Table'!$E$2:$E$303,"MTM P&amp;L")</f>
        <v>0</v>
      </c>
      <c r="C16" s="9">
        <f>SUMIFS('P&amp;L Table'!$F$2:$F$303,'P&amp;L Table'!$A$2:$A$303,"June",'P&amp;L Table'!$C$2:$C$303,$A16,'P&amp;L Table'!$E$2:$E$303,"Commissions")</f>
        <v>0</v>
      </c>
      <c r="D16" s="9">
        <f>SUMIFS('P&amp;L Table'!$F$2:$F$303,'P&amp;L Table'!$A$2:$A$303,"June",'P&amp;L Table'!$C$2:$C$303,$A16,'P&amp;L Table'!$E$2:$E$303,"Borrow")</f>
        <v>0</v>
      </c>
      <c r="E16" s="9">
        <f>SUMIFS('P&amp;L Table'!$F$2:$F$303,'P&amp;L Table'!$A$2:$A$303,"June",'P&amp;L Table'!$C$2:$C$303,$A16,'P&amp;L Table'!$E$2:$E$303,"Dividends / PIL")</f>
        <v>0</v>
      </c>
      <c r="F16" s="9">
        <f>SUMIFS('P&amp;L Table'!$F$2:$F$303,'P&amp;L Table'!$A$2:$A$303,"June",'P&amp;L Table'!$C$2:$C$303,$A16,'P&amp;L Table'!$E$2:$E$303,"Other")</f>
        <v>0</v>
      </c>
      <c r="G16" s="32">
        <f t="shared" si="0"/>
        <v>0</v>
      </c>
      <c r="H16" s="8">
        <f>SUMIFS('P&amp;L Table'!$F$2:$F$303,'P&amp;L Table'!$A$2:$A$303,"July",'P&amp;L Table'!$C$2:$C$303,$A16,'P&amp;L Table'!$E$2:$E$303,"MTM P&amp;L")</f>
        <v>-45.960000000000036</v>
      </c>
      <c r="I16" s="9">
        <f>SUMIFS('P&amp;L Table'!$F$2:$F$303,'P&amp;L Table'!$A$2:$A$303,"July",'P&amp;L Table'!$C$2:$C$303,$A16,'P&amp;L Table'!$E$2:$E$303,"Commissions")</f>
        <v>-51.56</v>
      </c>
      <c r="J16" s="9">
        <f>SUMIFS('P&amp;L Table'!$F$2:$F$303,'P&amp;L Table'!$A$2:$A$303,"July",'P&amp;L Table'!$C$2:$C$303,$A16,'P&amp;L Table'!$E$2:$E$303,"Borrow")</f>
        <v>-16.170000000000002</v>
      </c>
      <c r="K16" s="9">
        <f>SUMIFS('P&amp;L Table'!$F$2:$F$303,'P&amp;L Table'!$A$2:$A$303,"July",'P&amp;L Table'!$C$2:$C$303,$A16,'P&amp;L Table'!$E$2:$E$303,"Dividends / PIL")</f>
        <v>0</v>
      </c>
      <c r="L16" s="9">
        <f>SUMIFS('P&amp;L Table'!$F$2:$F$303,'P&amp;L Table'!$A$2:$A$303,"July",'P&amp;L Table'!$C$2:$C$303,$A16,'P&amp;L Table'!$E$2:$E$303,"Other")</f>
        <v>0</v>
      </c>
      <c r="M16" s="32">
        <f t="shared" si="1"/>
        <v>-113.69000000000004</v>
      </c>
      <c r="N16" s="8">
        <f>SUMIFS('P&amp;L Table'!$F$2:$F$303,'P&amp;L Table'!$A$2:$A$303,"August",'P&amp;L Table'!$C$2:$C$303,$A16,'P&amp;L Table'!$E$2:$E$303,"MTM P&amp;L")</f>
        <v>-47.819999999999709</v>
      </c>
      <c r="O16" s="9">
        <f>SUMIFS('P&amp;L Table'!$F$2:$F$303,'P&amp;L Table'!$A$2:$A$303,"August",'P&amp;L Table'!$C$2:$C$303,$A16,'P&amp;L Table'!$E$2:$E$303,"Commissions")</f>
        <v>-35.51</v>
      </c>
      <c r="P16" s="9">
        <f>SUMIFS('P&amp;L Table'!$F$2:$F$303,'P&amp;L Table'!$A$2:$A$303,"August",'P&amp;L Table'!$C$2:$C$303,$A16,'P&amp;L Table'!$E$2:$E$303,"Borrow")</f>
        <v>-104.22</v>
      </c>
      <c r="Q16" s="9">
        <f>SUMIFS('P&amp;L Table'!$F$2:$F$303,'P&amp;L Table'!$A$2:$A$303,"August",'P&amp;L Table'!$C$2:$C$303,$A16,'P&amp;L Table'!$E$2:$E$303,"Dividends / PIL")</f>
        <v>-9.6699999999999591</v>
      </c>
      <c r="R16" s="9">
        <f>SUMIFS('P&amp;L Table'!$F$2:$F$303,'P&amp;L Table'!$A$2:$A$303,"August",'P&amp;L Table'!$C$2:$C$303,$A16,'P&amp;L Table'!$E$2:$E$303,"Other")</f>
        <v>0</v>
      </c>
      <c r="S16" s="32">
        <f t="shared" si="2"/>
        <v>-197.21999999999966</v>
      </c>
      <c r="T16" s="8">
        <f>SUMIFS('P&amp;L Table'!$F$2:$F$303,'P&amp;L Table'!$A$2:$A$303,"September",'P&amp;L Table'!$C$2:$C$303,$A16,'P&amp;L Table'!$E$2:$E$303,"MTM P&amp;L")</f>
        <v>0</v>
      </c>
      <c r="U16" s="9">
        <f>SUMIFS('P&amp;L Table'!$F$2:$F$303,'P&amp;L Table'!$A$2:$A$303,"September",'P&amp;L Table'!$C$2:$C$303,$A16,'P&amp;L Table'!$E$2:$E$303,"Commissions")</f>
        <v>0</v>
      </c>
      <c r="V16" s="9">
        <f>SUMIFS('P&amp;L Table'!$F$2:$F$303,'P&amp;L Table'!$A$2:$A$303,"September",'P&amp;L Table'!$C$2:$C$303,$A16,'P&amp;L Table'!$E$2:$E$303,"Borrow")</f>
        <v>0</v>
      </c>
      <c r="W16" s="9">
        <f>SUMIFS('P&amp;L Table'!$F$2:$F$303,'P&amp;L Table'!$A$2:$A$303,"September",'P&amp;L Table'!$C$2:$C$303,$A16,'P&amp;L Table'!$E$2:$E$303,"Dividends / PIL")</f>
        <v>0</v>
      </c>
      <c r="X16" s="9">
        <f>SUMIFS('P&amp;L Table'!$F$2:$F$303,'P&amp;L Table'!$A$2:$A$303,"September",'P&amp;L Table'!$C$2:$C$303,$A16,'P&amp;L Table'!$E$2:$E$303,"Other")</f>
        <v>0</v>
      </c>
      <c r="Y16" s="32">
        <f t="shared" si="3"/>
        <v>0</v>
      </c>
      <c r="Z16" s="8">
        <f>SUMIFS('P&amp;L Table'!$F$2:$F$303,'P&amp;L Table'!$A$2:$A$303,"October",'P&amp;L Table'!$C$2:$C$303,$A16,'P&amp;L Table'!$E$2:$E$303,"MTM P&amp;L")</f>
        <v>0</v>
      </c>
      <c r="AA16" s="9">
        <f>SUMIFS('P&amp;L Table'!$F$2:$F$303,'P&amp;L Table'!$A$2:$A$303,"October",'P&amp;L Table'!$C$2:$C$303,$A16,'P&amp;L Table'!$E$2:$E$303,"Commissions")</f>
        <v>0</v>
      </c>
      <c r="AB16" s="9">
        <f>SUMIFS('P&amp;L Table'!$F$2:$F$303,'P&amp;L Table'!$A$2:$A$303,"October",'P&amp;L Table'!$C$2:$C$303,$A16,'P&amp;L Table'!$E$2:$E$303,"Borrow")</f>
        <v>0</v>
      </c>
      <c r="AC16" s="9">
        <f>SUMIFS('P&amp;L Table'!$F$2:$F$303,'P&amp;L Table'!$A$2:$A$303,"October",'P&amp;L Table'!$C$2:$C$303,$A16,'P&amp;L Table'!$E$2:$E$303,"Dividends / PIL")</f>
        <v>0</v>
      </c>
      <c r="AD16" s="9">
        <f>SUMIFS('P&amp;L Table'!$F$2:$F$303,'P&amp;L Table'!$A$2:$A$303,"October",'P&amp;L Table'!$C$2:$C$303,$A16,'P&amp;L Table'!$E$2:$E$303,"Other")</f>
        <v>0</v>
      </c>
      <c r="AE16" s="32">
        <f t="shared" si="4"/>
        <v>0</v>
      </c>
      <c r="AF16" s="33">
        <f t="shared" si="5"/>
        <v>-93.779999999999745</v>
      </c>
      <c r="AG16" s="34">
        <f t="shared" si="6"/>
        <v>-87.07</v>
      </c>
      <c r="AH16" s="34">
        <f t="shared" si="7"/>
        <v>-120.39</v>
      </c>
      <c r="AI16" s="34">
        <f t="shared" si="8"/>
        <v>-9.6699999999999591</v>
      </c>
      <c r="AJ16" s="34">
        <f t="shared" si="9"/>
        <v>0</v>
      </c>
      <c r="AK16" s="32">
        <f t="shared" si="10"/>
        <v>-310.90999999999968</v>
      </c>
      <c r="AL16" s="35"/>
      <c r="AO16" s="36"/>
      <c r="AP16" s="37"/>
    </row>
    <row r="17" spans="1:42" s="35" customFormat="1" ht="15" customHeight="1">
      <c r="A17" s="31" t="s">
        <v>26</v>
      </c>
      <c r="B17" s="8">
        <f>SUMIFS('P&amp;L Table'!$F$2:$F$303,'P&amp;L Table'!$A$2:$A$303,"June",'P&amp;L Table'!$C$2:$C$303,$A17,'P&amp;L Table'!$E$2:$E$303,"MTM P&amp;L")</f>
        <v>0</v>
      </c>
      <c r="C17" s="9">
        <f>SUMIFS('P&amp;L Table'!$F$2:$F$303,'P&amp;L Table'!$A$2:$A$303,"June",'P&amp;L Table'!$C$2:$C$303,$A17,'P&amp;L Table'!$E$2:$E$303,"Commissions")</f>
        <v>0</v>
      </c>
      <c r="D17" s="9">
        <f>SUMIFS('P&amp;L Table'!$F$2:$F$303,'P&amp;L Table'!$A$2:$A$303,"June",'P&amp;L Table'!$C$2:$C$303,$A17,'P&amp;L Table'!$E$2:$E$303,"Borrow")</f>
        <v>0</v>
      </c>
      <c r="E17" s="9">
        <f>SUMIFS('P&amp;L Table'!$F$2:$F$303,'P&amp;L Table'!$A$2:$A$303,"June",'P&amp;L Table'!$C$2:$C$303,$A17,'P&amp;L Table'!$E$2:$E$303,"Dividends / PIL")</f>
        <v>0</v>
      </c>
      <c r="F17" s="9">
        <f>SUMIFS('P&amp;L Table'!$F$2:$F$303,'P&amp;L Table'!$A$2:$A$303,"June",'P&amp;L Table'!$C$2:$C$303,$A17,'P&amp;L Table'!$E$2:$E$303,"Other")</f>
        <v>0</v>
      </c>
      <c r="G17" s="32">
        <f t="shared" si="0"/>
        <v>0</v>
      </c>
      <c r="H17" s="8">
        <f>SUMIFS('P&amp;L Table'!$F$2:$F$303,'P&amp;L Table'!$A$2:$A$303,"July",'P&amp;L Table'!$C$2:$C$303,$A17,'P&amp;L Table'!$E$2:$E$303,"MTM P&amp;L")</f>
        <v>27.829999999999984</v>
      </c>
      <c r="I17" s="9">
        <f>SUMIFS('P&amp;L Table'!$F$2:$F$303,'P&amp;L Table'!$A$2:$A$303,"July",'P&amp;L Table'!$C$2:$C$303,$A17,'P&amp;L Table'!$E$2:$E$303,"Commissions")</f>
        <v>-68.67</v>
      </c>
      <c r="J17" s="9">
        <f>SUMIFS('P&amp;L Table'!$F$2:$F$303,'P&amp;L Table'!$A$2:$A$303,"July",'P&amp;L Table'!$C$2:$C$303,$A17,'P&amp;L Table'!$E$2:$E$303,"Borrow")</f>
        <v>-44.16</v>
      </c>
      <c r="K17" s="9">
        <f>SUMIFS('P&amp;L Table'!$F$2:$F$303,'P&amp;L Table'!$A$2:$A$303,"July",'P&amp;L Table'!$C$2:$C$303,$A17,'P&amp;L Table'!$E$2:$E$303,"Dividends / PIL")</f>
        <v>0</v>
      </c>
      <c r="L17" s="9">
        <f>SUMIFS('P&amp;L Table'!$F$2:$F$303,'P&amp;L Table'!$A$2:$A$303,"July",'P&amp;L Table'!$C$2:$C$303,$A17,'P&amp;L Table'!$E$2:$E$303,"Other")</f>
        <v>0</v>
      </c>
      <c r="M17" s="32">
        <f t="shared" si="1"/>
        <v>-85.000000000000014</v>
      </c>
      <c r="N17" s="8">
        <f>SUMIFS('P&amp;L Table'!$F$2:$F$303,'P&amp;L Table'!$A$2:$A$303,"August",'P&amp;L Table'!$C$2:$C$303,$A17,'P&amp;L Table'!$E$2:$E$303,"MTM P&amp;L")</f>
        <v>43.600000000000023</v>
      </c>
      <c r="O17" s="9">
        <f>SUMIFS('P&amp;L Table'!$F$2:$F$303,'P&amp;L Table'!$A$2:$A$303,"August",'P&amp;L Table'!$C$2:$C$303,$A17,'P&amp;L Table'!$E$2:$E$303,"Commissions")</f>
        <v>-72.539999999999992</v>
      </c>
      <c r="P17" s="9">
        <f>SUMIFS('P&amp;L Table'!$F$2:$F$303,'P&amp;L Table'!$A$2:$A$303,"August",'P&amp;L Table'!$C$2:$C$303,$A17,'P&amp;L Table'!$E$2:$E$303,"Borrow")</f>
        <v>-234.7</v>
      </c>
      <c r="Q17" s="9">
        <f>SUMIFS('P&amp;L Table'!$F$2:$F$303,'P&amp;L Table'!$A$2:$A$303,"August",'P&amp;L Table'!$C$2:$C$303,$A17,'P&amp;L Table'!$E$2:$E$303,"Dividends / PIL")</f>
        <v>0</v>
      </c>
      <c r="R17" s="9">
        <f>SUMIFS('P&amp;L Table'!$F$2:$F$303,'P&amp;L Table'!$A$2:$A$303,"August",'P&amp;L Table'!$C$2:$C$303,$A17,'P&amp;L Table'!$E$2:$E$303,"Other")</f>
        <v>0</v>
      </c>
      <c r="S17" s="32">
        <f t="shared" si="2"/>
        <v>-263.64</v>
      </c>
      <c r="T17" s="8">
        <f>SUMIFS('P&amp;L Table'!$F$2:$F$303,'P&amp;L Table'!$A$2:$A$303,"September",'P&amp;L Table'!$C$2:$C$303,$A17,'P&amp;L Table'!$E$2:$E$303,"MTM P&amp;L")</f>
        <v>0</v>
      </c>
      <c r="U17" s="9">
        <f>SUMIFS('P&amp;L Table'!$F$2:$F$303,'P&amp;L Table'!$A$2:$A$303,"September",'P&amp;L Table'!$C$2:$C$303,$A17,'P&amp;L Table'!$E$2:$E$303,"Commissions")</f>
        <v>0</v>
      </c>
      <c r="V17" s="9">
        <f>SUMIFS('P&amp;L Table'!$F$2:$F$303,'P&amp;L Table'!$A$2:$A$303,"September",'P&amp;L Table'!$C$2:$C$303,$A17,'P&amp;L Table'!$E$2:$E$303,"Borrow")</f>
        <v>0</v>
      </c>
      <c r="W17" s="9">
        <f>SUMIFS('P&amp;L Table'!$F$2:$F$303,'P&amp;L Table'!$A$2:$A$303,"September",'P&amp;L Table'!$C$2:$C$303,$A17,'P&amp;L Table'!$E$2:$E$303,"Dividends / PIL")</f>
        <v>0</v>
      </c>
      <c r="X17" s="9">
        <f>SUMIFS('P&amp;L Table'!$F$2:$F$303,'P&amp;L Table'!$A$2:$A$303,"September",'P&amp;L Table'!$C$2:$C$303,$A17,'P&amp;L Table'!$E$2:$E$303,"Other")</f>
        <v>0</v>
      </c>
      <c r="Y17" s="32">
        <f t="shared" si="3"/>
        <v>0</v>
      </c>
      <c r="Z17" s="8">
        <f>SUMIFS('P&amp;L Table'!$F$2:$F$303,'P&amp;L Table'!$A$2:$A$303,"October",'P&amp;L Table'!$C$2:$C$303,$A17,'P&amp;L Table'!$E$2:$E$303,"MTM P&amp;L")</f>
        <v>0</v>
      </c>
      <c r="AA17" s="9">
        <f>SUMIFS('P&amp;L Table'!$F$2:$F$303,'P&amp;L Table'!$A$2:$A$303,"October",'P&amp;L Table'!$C$2:$C$303,$A17,'P&amp;L Table'!$E$2:$E$303,"Commissions")</f>
        <v>0</v>
      </c>
      <c r="AB17" s="9">
        <f>SUMIFS('P&amp;L Table'!$F$2:$F$303,'P&amp;L Table'!$A$2:$A$303,"October",'P&amp;L Table'!$C$2:$C$303,$A17,'P&amp;L Table'!$E$2:$E$303,"Borrow")</f>
        <v>0</v>
      </c>
      <c r="AC17" s="9">
        <f>SUMIFS('P&amp;L Table'!$F$2:$F$303,'P&amp;L Table'!$A$2:$A$303,"October",'P&amp;L Table'!$C$2:$C$303,$A17,'P&amp;L Table'!$E$2:$E$303,"Dividends / PIL")</f>
        <v>0</v>
      </c>
      <c r="AD17" s="9">
        <f>SUMIFS('P&amp;L Table'!$F$2:$F$303,'P&amp;L Table'!$A$2:$A$303,"October",'P&amp;L Table'!$C$2:$C$303,$A17,'P&amp;L Table'!$E$2:$E$303,"Other")</f>
        <v>0</v>
      </c>
      <c r="AE17" s="32">
        <f t="shared" si="4"/>
        <v>0</v>
      </c>
      <c r="AF17" s="33">
        <f t="shared" si="5"/>
        <v>71.430000000000007</v>
      </c>
      <c r="AG17" s="34">
        <f t="shared" si="6"/>
        <v>-141.20999999999998</v>
      </c>
      <c r="AH17" s="34">
        <f t="shared" si="7"/>
        <v>-278.86</v>
      </c>
      <c r="AI17" s="34">
        <f t="shared" si="8"/>
        <v>0</v>
      </c>
      <c r="AJ17" s="34">
        <f t="shared" si="9"/>
        <v>0</v>
      </c>
      <c r="AK17" s="32">
        <f t="shared" si="10"/>
        <v>-348.64</v>
      </c>
      <c r="AM17" s="29"/>
      <c r="AN17" s="1"/>
      <c r="AO17" s="40"/>
      <c r="AP17" s="41"/>
    </row>
    <row r="18" spans="1:42" s="35" customFormat="1" ht="15" customHeight="1">
      <c r="A18" s="16" t="s">
        <v>25</v>
      </c>
      <c r="B18" s="8">
        <f>SUMIFS('P&amp;L Table'!$F$2:$F$303,'P&amp;L Table'!$A$2:$A$303,"June",'P&amp;L Table'!$C$2:$C$303,$A18,'P&amp;L Table'!$E$2:$E$303,"MTM P&amp;L")</f>
        <v>0</v>
      </c>
      <c r="C18" s="9">
        <f>SUMIFS('P&amp;L Table'!$F$2:$F$303,'P&amp;L Table'!$A$2:$A$303,"June",'P&amp;L Table'!$C$2:$C$303,$A18,'P&amp;L Table'!$E$2:$E$303,"Commissions")</f>
        <v>0</v>
      </c>
      <c r="D18" s="9">
        <f>SUMIFS('P&amp;L Table'!$F$2:$F$303,'P&amp;L Table'!$A$2:$A$303,"June",'P&amp;L Table'!$C$2:$C$303,$A18,'P&amp;L Table'!$E$2:$E$303,"Borrow")</f>
        <v>0</v>
      </c>
      <c r="E18" s="9">
        <f>SUMIFS('P&amp;L Table'!$F$2:$F$303,'P&amp;L Table'!$A$2:$A$303,"June",'P&amp;L Table'!$C$2:$C$303,$A18,'P&amp;L Table'!$E$2:$E$303,"Dividends / PIL")</f>
        <v>0</v>
      </c>
      <c r="F18" s="9">
        <f>SUMIFS('P&amp;L Table'!$F$2:$F$303,'P&amp;L Table'!$A$2:$A$303,"June",'P&amp;L Table'!$C$2:$C$303,$A18,'P&amp;L Table'!$E$2:$E$303,"Other")</f>
        <v>0</v>
      </c>
      <c r="G18" s="26">
        <f t="shared" si="0"/>
        <v>0</v>
      </c>
      <c r="H18" s="8">
        <f>SUMIFS('P&amp;L Table'!$F$2:$F$303,'P&amp;L Table'!$A$2:$A$303,"July",'P&amp;L Table'!$C$2:$C$303,$A18,'P&amp;L Table'!$E$2:$E$303,"MTM P&amp;L")</f>
        <v>9.0900000000000034</v>
      </c>
      <c r="I18" s="9">
        <f>SUMIFS('P&amp;L Table'!$F$2:$F$303,'P&amp;L Table'!$A$2:$A$303,"July",'P&amp;L Table'!$C$2:$C$303,$A18,'P&amp;L Table'!$E$2:$E$303,"Commissions")</f>
        <v>-11.010000000000002</v>
      </c>
      <c r="J18" s="9">
        <f>SUMIFS('P&amp;L Table'!$F$2:$F$303,'P&amp;L Table'!$A$2:$A$303,"July",'P&amp;L Table'!$C$2:$C$303,$A18,'P&amp;L Table'!$E$2:$E$303,"Borrow")</f>
        <v>-10.81</v>
      </c>
      <c r="K18" s="9">
        <f>SUMIFS('P&amp;L Table'!$F$2:$F$303,'P&amp;L Table'!$A$2:$A$303,"July",'P&amp;L Table'!$C$2:$C$303,$A18,'P&amp;L Table'!$E$2:$E$303,"Dividends / PIL")</f>
        <v>0</v>
      </c>
      <c r="L18" s="9">
        <f>SUMIFS('P&amp;L Table'!$F$2:$F$303,'P&amp;L Table'!$A$2:$A$303,"July",'P&amp;L Table'!$C$2:$C$303,$A18,'P&amp;L Table'!$E$2:$E$303,"Other")</f>
        <v>0</v>
      </c>
      <c r="M18" s="26">
        <f t="shared" si="1"/>
        <v>-12.729999999999999</v>
      </c>
      <c r="N18" s="8">
        <f>SUMIFS('P&amp;L Table'!$F$2:$F$303,'P&amp;L Table'!$A$2:$A$303,"August",'P&amp;L Table'!$C$2:$C$303,$A18,'P&amp;L Table'!$E$2:$E$303,"MTM P&amp;L")</f>
        <v>0</v>
      </c>
      <c r="O18" s="9">
        <f>SUMIFS('P&amp;L Table'!$F$2:$F$303,'P&amp;L Table'!$A$2:$A$303,"August",'P&amp;L Table'!$C$2:$C$303,$A18,'P&amp;L Table'!$E$2:$E$303,"Commissions")</f>
        <v>0</v>
      </c>
      <c r="P18" s="9">
        <f>SUMIFS('P&amp;L Table'!$F$2:$F$303,'P&amp;L Table'!$A$2:$A$303,"August",'P&amp;L Table'!$C$2:$C$303,$A18,'P&amp;L Table'!$E$2:$E$303,"Borrow")</f>
        <v>0</v>
      </c>
      <c r="Q18" s="9">
        <f>SUMIFS('P&amp;L Table'!$F$2:$F$303,'P&amp;L Table'!$A$2:$A$303,"August",'P&amp;L Table'!$C$2:$C$303,$A18,'P&amp;L Table'!$E$2:$E$303,"Dividends / PIL")</f>
        <v>0</v>
      </c>
      <c r="R18" s="9">
        <f>SUMIFS('P&amp;L Table'!$F$2:$F$303,'P&amp;L Table'!$A$2:$A$303,"August",'P&amp;L Table'!$C$2:$C$303,$A18,'P&amp;L Table'!$E$2:$E$303,"Other")</f>
        <v>0</v>
      </c>
      <c r="S18" s="26">
        <f t="shared" si="2"/>
        <v>0</v>
      </c>
      <c r="T18" s="8">
        <f>SUMIFS('P&amp;L Table'!$F$2:$F$303,'P&amp;L Table'!$A$2:$A$303,"September",'P&amp;L Table'!$C$2:$C$303,$A18,'P&amp;L Table'!$E$2:$E$303,"MTM P&amp;L")</f>
        <v>0</v>
      </c>
      <c r="U18" s="9">
        <f>SUMIFS('P&amp;L Table'!$F$2:$F$303,'P&amp;L Table'!$A$2:$A$303,"September",'P&amp;L Table'!$C$2:$C$303,$A18,'P&amp;L Table'!$E$2:$E$303,"Commissions")</f>
        <v>0</v>
      </c>
      <c r="V18" s="9">
        <f>SUMIFS('P&amp;L Table'!$F$2:$F$303,'P&amp;L Table'!$A$2:$A$303,"September",'P&amp;L Table'!$C$2:$C$303,$A18,'P&amp;L Table'!$E$2:$E$303,"Borrow")</f>
        <v>0</v>
      </c>
      <c r="W18" s="9">
        <f>SUMIFS('P&amp;L Table'!$F$2:$F$303,'P&amp;L Table'!$A$2:$A$303,"September",'P&amp;L Table'!$C$2:$C$303,$A18,'P&amp;L Table'!$E$2:$E$303,"Dividends / PIL")</f>
        <v>0</v>
      </c>
      <c r="X18" s="9">
        <f>SUMIFS('P&amp;L Table'!$F$2:$F$303,'P&amp;L Table'!$A$2:$A$303,"September",'P&amp;L Table'!$C$2:$C$303,$A18,'P&amp;L Table'!$E$2:$E$303,"Other")</f>
        <v>0</v>
      </c>
      <c r="Y18" s="26">
        <f t="shared" si="3"/>
        <v>0</v>
      </c>
      <c r="Z18" s="8">
        <f>SUMIFS('P&amp;L Table'!$F$2:$F$303,'P&amp;L Table'!$A$2:$A$303,"October",'P&amp;L Table'!$C$2:$C$303,$A18,'P&amp;L Table'!$E$2:$E$303,"MTM P&amp;L")</f>
        <v>-500</v>
      </c>
      <c r="AA18" s="9">
        <f>SUMIFS('P&amp;L Table'!$F$2:$F$303,'P&amp;L Table'!$A$2:$A$303,"October",'P&amp;L Table'!$C$2:$C$303,$A18,'P&amp;L Table'!$E$2:$E$303,"Commissions")</f>
        <v>-48.19</v>
      </c>
      <c r="AB18" s="9">
        <f>SUMIFS('P&amp;L Table'!$F$2:$F$303,'P&amp;L Table'!$A$2:$A$303,"October",'P&amp;L Table'!$C$2:$C$303,$A18,'P&amp;L Table'!$E$2:$E$303,"Borrow")</f>
        <v>-146.62</v>
      </c>
      <c r="AC18" s="9">
        <f>SUMIFS('P&amp;L Table'!$F$2:$F$303,'P&amp;L Table'!$A$2:$A$303,"October",'P&amp;L Table'!$C$2:$C$303,$A18,'P&amp;L Table'!$E$2:$E$303,"Dividends / PIL")</f>
        <v>0</v>
      </c>
      <c r="AD18" s="9">
        <f>SUMIFS('P&amp;L Table'!$F$2:$F$303,'P&amp;L Table'!$A$2:$A$303,"October",'P&amp;L Table'!$C$2:$C$303,$A18,'P&amp;L Table'!$E$2:$E$303,"Other")</f>
        <v>0</v>
      </c>
      <c r="AE18" s="26">
        <f t="shared" si="4"/>
        <v>-694.81000000000006</v>
      </c>
      <c r="AF18" s="8">
        <f t="shared" si="5"/>
        <v>-490.90999999999997</v>
      </c>
      <c r="AG18" s="9">
        <f t="shared" si="6"/>
        <v>-59.2</v>
      </c>
      <c r="AH18" s="9">
        <f t="shared" si="7"/>
        <v>-157.43</v>
      </c>
      <c r="AI18" s="9">
        <f t="shared" si="8"/>
        <v>0</v>
      </c>
      <c r="AJ18" s="9">
        <f t="shared" si="9"/>
        <v>0</v>
      </c>
      <c r="AK18" s="26">
        <f t="shared" si="10"/>
        <v>-707.54000000000008</v>
      </c>
      <c r="AL18" s="1"/>
      <c r="AM18" s="29"/>
      <c r="AN18" s="1"/>
      <c r="AO18" s="42"/>
      <c r="AP18" s="43"/>
    </row>
    <row r="19" spans="1:42" ht="15" customHeight="1">
      <c r="A19" s="16" t="s">
        <v>27</v>
      </c>
      <c r="B19" s="8">
        <f>SUMIFS('P&amp;L Table'!$F$2:$F$303,'P&amp;L Table'!$A$2:$A$303,"June",'P&amp;L Table'!$C$2:$C$303,$A19,'P&amp;L Table'!$E$2:$E$303,"MTM P&amp;L")</f>
        <v>0</v>
      </c>
      <c r="C19" s="9">
        <f>SUMIFS('P&amp;L Table'!$F$2:$F$303,'P&amp;L Table'!$A$2:$A$303,"June",'P&amp;L Table'!$C$2:$C$303,$A19,'P&amp;L Table'!$E$2:$E$303,"Commissions")</f>
        <v>0</v>
      </c>
      <c r="D19" s="9">
        <f>SUMIFS('P&amp;L Table'!$F$2:$F$303,'P&amp;L Table'!$A$2:$A$303,"June",'P&amp;L Table'!$C$2:$C$303,$A19,'P&amp;L Table'!$E$2:$E$303,"Borrow")</f>
        <v>0</v>
      </c>
      <c r="E19" s="9">
        <f>SUMIFS('P&amp;L Table'!$F$2:$F$303,'P&amp;L Table'!$A$2:$A$303,"June",'P&amp;L Table'!$C$2:$C$303,$A19,'P&amp;L Table'!$E$2:$E$303,"Dividends / PIL")</f>
        <v>0</v>
      </c>
      <c r="F19" s="9">
        <f>SUMIFS('P&amp;L Table'!$F$2:$F$303,'P&amp;L Table'!$A$2:$A$303,"June",'P&amp;L Table'!$C$2:$C$303,$A19,'P&amp;L Table'!$E$2:$E$303,"Other")</f>
        <v>0</v>
      </c>
      <c r="G19" s="26">
        <f t="shared" si="0"/>
        <v>0</v>
      </c>
      <c r="H19" s="8">
        <f>SUMIFS('P&amp;L Table'!$F$2:$F$303,'P&amp;L Table'!$A$2:$A$303,"July",'P&amp;L Table'!$C$2:$C$303,$A19,'P&amp;L Table'!$E$2:$E$303,"MTM P&amp;L")</f>
        <v>0</v>
      </c>
      <c r="I19" s="9">
        <f>SUMIFS('P&amp;L Table'!$F$2:$F$303,'P&amp;L Table'!$A$2:$A$303,"July",'P&amp;L Table'!$C$2:$C$303,$A19,'P&amp;L Table'!$E$2:$E$303,"Commissions")</f>
        <v>0</v>
      </c>
      <c r="J19" s="9">
        <f>SUMIFS('P&amp;L Table'!$F$2:$F$303,'P&amp;L Table'!$A$2:$A$303,"July",'P&amp;L Table'!$C$2:$C$303,$A19,'P&amp;L Table'!$E$2:$E$303,"Borrow")</f>
        <v>0</v>
      </c>
      <c r="K19" s="9">
        <f>SUMIFS('P&amp;L Table'!$F$2:$F$303,'P&amp;L Table'!$A$2:$A$303,"July",'P&amp;L Table'!$C$2:$C$303,$A19,'P&amp;L Table'!$E$2:$E$303,"Dividends / PIL")</f>
        <v>0</v>
      </c>
      <c r="L19" s="9">
        <f>SUMIFS('P&amp;L Table'!$F$2:$F$303,'P&amp;L Table'!$A$2:$A$303,"July",'P&amp;L Table'!$C$2:$C$303,$A19,'P&amp;L Table'!$E$2:$E$303,"Other")</f>
        <v>0</v>
      </c>
      <c r="M19" s="26">
        <f t="shared" si="1"/>
        <v>0</v>
      </c>
      <c r="N19" s="8">
        <f>SUMIFS('P&amp;L Table'!$F$2:$F$303,'P&amp;L Table'!$A$2:$A$303,"August",'P&amp;L Table'!$C$2:$C$303,$A19,'P&amp;L Table'!$E$2:$E$303,"MTM P&amp;L")</f>
        <v>-521.54</v>
      </c>
      <c r="O19" s="9">
        <f>SUMIFS('P&amp;L Table'!$F$2:$F$303,'P&amp;L Table'!$A$2:$A$303,"August",'P&amp;L Table'!$C$2:$C$303,$A19,'P&amp;L Table'!$E$2:$E$303,"Commissions")</f>
        <v>-254.66</v>
      </c>
      <c r="P19" s="9">
        <f>SUMIFS('P&amp;L Table'!$F$2:$F$303,'P&amp;L Table'!$A$2:$A$303,"August",'P&amp;L Table'!$C$2:$C$303,$A19,'P&amp;L Table'!$E$2:$E$303,"Borrow")</f>
        <v>-61.34</v>
      </c>
      <c r="Q19" s="9">
        <f>SUMIFS('P&amp;L Table'!$F$2:$F$303,'P&amp;L Table'!$A$2:$A$303,"August",'P&amp;L Table'!$C$2:$C$303,$A19,'P&amp;L Table'!$E$2:$E$303,"Dividends / PIL")</f>
        <v>0</v>
      </c>
      <c r="R19" s="9">
        <f>SUMIFS('P&amp;L Table'!$F$2:$F$303,'P&amp;L Table'!$A$2:$A$303,"August",'P&amp;L Table'!$C$2:$C$303,$A19,'P&amp;L Table'!$E$2:$E$303,"Other")</f>
        <v>0</v>
      </c>
      <c r="S19" s="26">
        <f t="shared" si="2"/>
        <v>-837.54</v>
      </c>
      <c r="T19" s="8">
        <f>SUMIFS('P&amp;L Table'!$F$2:$F$303,'P&amp;L Table'!$A$2:$A$303,"September",'P&amp;L Table'!$C$2:$C$303,$A19,'P&amp;L Table'!$E$2:$E$303,"MTM P&amp;L")</f>
        <v>-10.200000000000003</v>
      </c>
      <c r="U19" s="9">
        <f>SUMIFS('P&amp;L Table'!$F$2:$F$303,'P&amp;L Table'!$A$2:$A$303,"September",'P&amp;L Table'!$C$2:$C$303,$A19,'P&amp;L Table'!$E$2:$E$303,"Commissions")</f>
        <v>-48.01</v>
      </c>
      <c r="V19" s="9">
        <f>SUMIFS('P&amp;L Table'!$F$2:$F$303,'P&amp;L Table'!$A$2:$A$303,"September",'P&amp;L Table'!$C$2:$C$303,$A19,'P&amp;L Table'!$E$2:$E$303,"Borrow")</f>
        <v>-5.86</v>
      </c>
      <c r="W19" s="9">
        <f>SUMIFS('P&amp;L Table'!$F$2:$F$303,'P&amp;L Table'!$A$2:$A$303,"September",'P&amp;L Table'!$C$2:$C$303,$A19,'P&amp;L Table'!$E$2:$E$303,"Dividends / PIL")</f>
        <v>0</v>
      </c>
      <c r="X19" s="9">
        <f>SUMIFS('P&amp;L Table'!$F$2:$F$303,'P&amp;L Table'!$A$2:$A$303,"September",'P&amp;L Table'!$C$2:$C$303,$A19,'P&amp;L Table'!$E$2:$E$303,"Other")</f>
        <v>0</v>
      </c>
      <c r="Y19" s="26">
        <f t="shared" si="3"/>
        <v>-64.070000000000007</v>
      </c>
      <c r="Z19" s="8">
        <f>SUMIFS('P&amp;L Table'!$F$2:$F$303,'P&amp;L Table'!$A$2:$A$303,"October",'P&amp;L Table'!$C$2:$C$303,$A19,'P&amp;L Table'!$E$2:$E$303,"MTM P&amp;L")</f>
        <v>116.85999999999996</v>
      </c>
      <c r="AA19" s="9">
        <f>SUMIFS('P&amp;L Table'!$F$2:$F$303,'P&amp;L Table'!$A$2:$A$303,"October",'P&amp;L Table'!$C$2:$C$303,$A19,'P&amp;L Table'!$E$2:$E$303,"Commissions")</f>
        <v>-33.25</v>
      </c>
      <c r="AB19" s="9">
        <f>SUMIFS('P&amp;L Table'!$F$2:$F$303,'P&amp;L Table'!$A$2:$A$303,"October",'P&amp;L Table'!$C$2:$C$303,$A19,'P&amp;L Table'!$E$2:$E$303,"Borrow")</f>
        <v>-17.920000000000002</v>
      </c>
      <c r="AC19" s="9">
        <f>SUMIFS('P&amp;L Table'!$F$2:$F$303,'P&amp;L Table'!$A$2:$A$303,"October",'P&amp;L Table'!$C$2:$C$303,$A19,'P&amp;L Table'!$E$2:$E$303,"Dividends / PIL")</f>
        <v>0</v>
      </c>
      <c r="AD19" s="9">
        <f>SUMIFS('P&amp;L Table'!$F$2:$F$303,'P&amp;L Table'!$A$2:$A$303,"October",'P&amp;L Table'!$C$2:$C$303,$A19,'P&amp;L Table'!$E$2:$E$303,"Other")</f>
        <v>0</v>
      </c>
      <c r="AE19" s="26">
        <f t="shared" si="4"/>
        <v>65.689999999999955</v>
      </c>
      <c r="AF19" s="8">
        <f t="shared" si="5"/>
        <v>-414.88000000000005</v>
      </c>
      <c r="AG19" s="9">
        <f t="shared" si="6"/>
        <v>-335.92</v>
      </c>
      <c r="AH19" s="9">
        <f t="shared" si="7"/>
        <v>-85.12</v>
      </c>
      <c r="AI19" s="9">
        <f t="shared" si="8"/>
        <v>0</v>
      </c>
      <c r="AJ19" s="9">
        <f t="shared" si="9"/>
        <v>0</v>
      </c>
      <c r="AK19" s="26">
        <f t="shared" si="10"/>
        <v>-835.92000000000007</v>
      </c>
      <c r="AO19" s="42"/>
      <c r="AP19" s="43"/>
    </row>
    <row r="20" spans="1:42" ht="15" customHeight="1">
      <c r="A20" s="31" t="s">
        <v>29</v>
      </c>
      <c r="B20" s="8">
        <f>SUMIFS('P&amp;L Table'!$F$2:$F$303,'P&amp;L Table'!$A$2:$A$303,"June",'P&amp;L Table'!$C$2:$C$303,$A20,'P&amp;L Table'!$E$2:$E$303,"MTM P&amp;L")</f>
        <v>0</v>
      </c>
      <c r="C20" s="9">
        <f>SUMIFS('P&amp;L Table'!$F$2:$F$303,'P&amp;L Table'!$A$2:$A$303,"June",'P&amp;L Table'!$C$2:$C$303,$A20,'P&amp;L Table'!$E$2:$E$303,"Commissions")</f>
        <v>0</v>
      </c>
      <c r="D20" s="9">
        <f>SUMIFS('P&amp;L Table'!$F$2:$F$303,'P&amp;L Table'!$A$2:$A$303,"June",'P&amp;L Table'!$C$2:$C$303,$A20,'P&amp;L Table'!$E$2:$E$303,"Borrow")</f>
        <v>0</v>
      </c>
      <c r="E20" s="9">
        <f>SUMIFS('P&amp;L Table'!$F$2:$F$303,'P&amp;L Table'!$A$2:$A$303,"June",'P&amp;L Table'!$C$2:$C$303,$A20,'P&amp;L Table'!$E$2:$E$303,"Dividends / PIL")</f>
        <v>0</v>
      </c>
      <c r="F20" s="9">
        <f>SUMIFS('P&amp;L Table'!$F$2:$F$303,'P&amp;L Table'!$A$2:$A$303,"June",'P&amp;L Table'!$C$2:$C$303,$A20,'P&amp;L Table'!$E$2:$E$303,"Other")</f>
        <v>0</v>
      </c>
      <c r="G20" s="32">
        <f t="shared" si="0"/>
        <v>0</v>
      </c>
      <c r="H20" s="8">
        <f>SUMIFS('P&amp;L Table'!$F$2:$F$303,'P&amp;L Table'!$A$2:$A$303,"July",'P&amp;L Table'!$C$2:$C$303,$A20,'P&amp;L Table'!$E$2:$E$303,"MTM P&amp;L")</f>
        <v>-593.29999999999995</v>
      </c>
      <c r="I20" s="9">
        <f>SUMIFS('P&amp;L Table'!$F$2:$F$303,'P&amp;L Table'!$A$2:$A$303,"July",'P&amp;L Table'!$C$2:$C$303,$A20,'P&amp;L Table'!$E$2:$E$303,"Commissions")</f>
        <v>-48.24</v>
      </c>
      <c r="J20" s="9">
        <f>SUMIFS('P&amp;L Table'!$F$2:$F$303,'P&amp;L Table'!$A$2:$A$303,"July",'P&amp;L Table'!$C$2:$C$303,$A20,'P&amp;L Table'!$E$2:$E$303,"Borrow")</f>
        <v>-261.58999999999997</v>
      </c>
      <c r="K20" s="9">
        <f>SUMIFS('P&amp;L Table'!$F$2:$F$303,'P&amp;L Table'!$A$2:$A$303,"July",'P&amp;L Table'!$C$2:$C$303,$A20,'P&amp;L Table'!$E$2:$E$303,"Dividends / PIL")</f>
        <v>0</v>
      </c>
      <c r="L20" s="9">
        <f>SUMIFS('P&amp;L Table'!$F$2:$F$303,'P&amp;L Table'!$A$2:$A$303,"July",'P&amp;L Table'!$C$2:$C$303,$A20,'P&amp;L Table'!$E$2:$E$303,"Other")</f>
        <v>0</v>
      </c>
      <c r="M20" s="32">
        <f t="shared" si="1"/>
        <v>-903.12999999999988</v>
      </c>
      <c r="N20" s="8">
        <f>SUMIFS('P&amp;L Table'!$F$2:$F$303,'P&amp;L Table'!$A$2:$A$303,"August",'P&amp;L Table'!$C$2:$C$303,$A20,'P&amp;L Table'!$E$2:$E$303,"MTM P&amp;L")</f>
        <v>10.59</v>
      </c>
      <c r="O20" s="9">
        <f>SUMIFS('P&amp;L Table'!$F$2:$F$303,'P&amp;L Table'!$A$2:$A$303,"August",'P&amp;L Table'!$C$2:$C$303,$A20,'P&amp;L Table'!$E$2:$E$303,"Commissions")</f>
        <v>-6.1400000000000006</v>
      </c>
      <c r="P20" s="9">
        <f>SUMIFS('P&amp;L Table'!$F$2:$F$303,'P&amp;L Table'!$A$2:$A$303,"August",'P&amp;L Table'!$C$2:$C$303,$A20,'P&amp;L Table'!$E$2:$E$303,"Borrow")</f>
        <v>-184.7</v>
      </c>
      <c r="Q20" s="9">
        <f>SUMIFS('P&amp;L Table'!$F$2:$F$303,'P&amp;L Table'!$A$2:$A$303,"August",'P&amp;L Table'!$C$2:$C$303,$A20,'P&amp;L Table'!$E$2:$E$303,"Dividends / PIL")</f>
        <v>0</v>
      </c>
      <c r="R20" s="9">
        <f>SUMIFS('P&amp;L Table'!$F$2:$F$303,'P&amp;L Table'!$A$2:$A$303,"August",'P&amp;L Table'!$C$2:$C$303,$A20,'P&amp;L Table'!$E$2:$E$303,"Other")</f>
        <v>0</v>
      </c>
      <c r="S20" s="32">
        <f t="shared" si="2"/>
        <v>-180.25</v>
      </c>
      <c r="T20" s="8">
        <f>SUMIFS('P&amp;L Table'!$F$2:$F$303,'P&amp;L Table'!$A$2:$A$303,"September",'P&amp;L Table'!$C$2:$C$303,$A20,'P&amp;L Table'!$E$2:$E$303,"MTM P&amp;L")</f>
        <v>0</v>
      </c>
      <c r="U20" s="9">
        <f>SUMIFS('P&amp;L Table'!$F$2:$F$303,'P&amp;L Table'!$A$2:$A$303,"September",'P&amp;L Table'!$C$2:$C$303,$A20,'P&amp;L Table'!$E$2:$E$303,"Commissions")</f>
        <v>0</v>
      </c>
      <c r="V20" s="9">
        <f>SUMIFS('P&amp;L Table'!$F$2:$F$303,'P&amp;L Table'!$A$2:$A$303,"September",'P&amp;L Table'!$C$2:$C$303,$A20,'P&amp;L Table'!$E$2:$E$303,"Borrow")</f>
        <v>0</v>
      </c>
      <c r="W20" s="9">
        <f>SUMIFS('P&amp;L Table'!$F$2:$F$303,'P&amp;L Table'!$A$2:$A$303,"September",'P&amp;L Table'!$C$2:$C$303,$A20,'P&amp;L Table'!$E$2:$E$303,"Dividends / PIL")</f>
        <v>0</v>
      </c>
      <c r="X20" s="9">
        <f>SUMIFS('P&amp;L Table'!$F$2:$F$303,'P&amp;L Table'!$A$2:$A$303,"September",'P&amp;L Table'!$C$2:$C$303,$A20,'P&amp;L Table'!$E$2:$E$303,"Other")</f>
        <v>0</v>
      </c>
      <c r="Y20" s="32">
        <f t="shared" si="3"/>
        <v>0</v>
      </c>
      <c r="Z20" s="8">
        <f>SUMIFS('P&amp;L Table'!$F$2:$F$303,'P&amp;L Table'!$A$2:$A$303,"October",'P&amp;L Table'!$C$2:$C$303,$A20,'P&amp;L Table'!$E$2:$E$303,"MTM P&amp;L")</f>
        <v>0</v>
      </c>
      <c r="AA20" s="9">
        <f>SUMIFS('P&amp;L Table'!$F$2:$F$303,'P&amp;L Table'!$A$2:$A$303,"October",'P&amp;L Table'!$C$2:$C$303,$A20,'P&amp;L Table'!$E$2:$E$303,"Commissions")</f>
        <v>0</v>
      </c>
      <c r="AB20" s="9">
        <f>SUMIFS('P&amp;L Table'!$F$2:$F$303,'P&amp;L Table'!$A$2:$A$303,"October",'P&amp;L Table'!$C$2:$C$303,$A20,'P&amp;L Table'!$E$2:$E$303,"Borrow")</f>
        <v>0</v>
      </c>
      <c r="AC20" s="9">
        <f>SUMIFS('P&amp;L Table'!$F$2:$F$303,'P&amp;L Table'!$A$2:$A$303,"October",'P&amp;L Table'!$C$2:$C$303,$A20,'P&amp;L Table'!$E$2:$E$303,"Dividends / PIL")</f>
        <v>0</v>
      </c>
      <c r="AD20" s="9">
        <f>SUMIFS('P&amp;L Table'!$F$2:$F$303,'P&amp;L Table'!$A$2:$A$303,"October",'P&amp;L Table'!$C$2:$C$303,$A20,'P&amp;L Table'!$E$2:$E$303,"Other")</f>
        <v>0</v>
      </c>
      <c r="AE20" s="32">
        <f t="shared" si="4"/>
        <v>0</v>
      </c>
      <c r="AF20" s="33">
        <f t="shared" si="5"/>
        <v>-582.70999999999992</v>
      </c>
      <c r="AG20" s="34">
        <f t="shared" si="6"/>
        <v>-54.38</v>
      </c>
      <c r="AH20" s="34">
        <f t="shared" si="7"/>
        <v>-446.28999999999996</v>
      </c>
      <c r="AI20" s="34">
        <f t="shared" si="8"/>
        <v>0</v>
      </c>
      <c r="AJ20" s="34">
        <f t="shared" si="9"/>
        <v>0</v>
      </c>
      <c r="AK20" s="32">
        <f t="shared" si="10"/>
        <v>-1083.3799999999999</v>
      </c>
      <c r="AL20" s="35"/>
      <c r="AO20" s="36"/>
      <c r="AP20" s="37"/>
    </row>
    <row r="21" spans="1:42" s="35" customFormat="1" ht="15" customHeight="1">
      <c r="A21" s="16" t="s">
        <v>28</v>
      </c>
      <c r="B21" s="8">
        <f>SUMIFS('P&amp;L Table'!$F$2:$F$303,'P&amp;L Table'!$A$2:$A$303,"June",'P&amp;L Table'!$C$2:$C$303,$A21,'P&amp;L Table'!$E$2:$E$303,"MTM P&amp;L")</f>
        <v>0</v>
      </c>
      <c r="C21" s="9">
        <f>SUMIFS('P&amp;L Table'!$F$2:$F$303,'P&amp;L Table'!$A$2:$A$303,"June",'P&amp;L Table'!$C$2:$C$303,$A21,'P&amp;L Table'!$E$2:$E$303,"Commissions")</f>
        <v>0</v>
      </c>
      <c r="D21" s="9">
        <f>SUMIFS('P&amp;L Table'!$F$2:$F$303,'P&amp;L Table'!$A$2:$A$303,"June",'P&amp;L Table'!$C$2:$C$303,$A21,'P&amp;L Table'!$E$2:$E$303,"Borrow")</f>
        <v>0</v>
      </c>
      <c r="E21" s="9">
        <f>SUMIFS('P&amp;L Table'!$F$2:$F$303,'P&amp;L Table'!$A$2:$A$303,"June",'P&amp;L Table'!$C$2:$C$303,$A21,'P&amp;L Table'!$E$2:$E$303,"Dividends / PIL")</f>
        <v>0</v>
      </c>
      <c r="F21" s="9">
        <f>SUMIFS('P&amp;L Table'!$F$2:$F$303,'P&amp;L Table'!$A$2:$A$303,"June",'P&amp;L Table'!$C$2:$C$303,$A21,'P&amp;L Table'!$E$2:$E$303,"Other")</f>
        <v>0</v>
      </c>
      <c r="G21" s="26">
        <f t="shared" si="0"/>
        <v>0</v>
      </c>
      <c r="H21" s="8">
        <f>SUMIFS('P&amp;L Table'!$F$2:$F$303,'P&amp;L Table'!$A$2:$A$303,"July",'P&amp;L Table'!$C$2:$C$303,$A21,'P&amp;L Table'!$E$2:$E$303,"MTM P&amp;L")</f>
        <v>0</v>
      </c>
      <c r="I21" s="9">
        <f>SUMIFS('P&amp;L Table'!$F$2:$F$303,'P&amp;L Table'!$A$2:$A$303,"July",'P&amp;L Table'!$C$2:$C$303,$A21,'P&amp;L Table'!$E$2:$E$303,"Commissions")</f>
        <v>0</v>
      </c>
      <c r="J21" s="9">
        <f>SUMIFS('P&amp;L Table'!$F$2:$F$303,'P&amp;L Table'!$A$2:$A$303,"July",'P&amp;L Table'!$C$2:$C$303,$A21,'P&amp;L Table'!$E$2:$E$303,"Borrow")</f>
        <v>0</v>
      </c>
      <c r="K21" s="9">
        <f>SUMIFS('P&amp;L Table'!$F$2:$F$303,'P&amp;L Table'!$A$2:$A$303,"July",'P&amp;L Table'!$C$2:$C$303,$A21,'P&amp;L Table'!$E$2:$E$303,"Dividends / PIL")</f>
        <v>0</v>
      </c>
      <c r="L21" s="9">
        <f>SUMIFS('P&amp;L Table'!$F$2:$F$303,'P&amp;L Table'!$A$2:$A$303,"July",'P&amp;L Table'!$C$2:$C$303,$A21,'P&amp;L Table'!$E$2:$E$303,"Other")</f>
        <v>0</v>
      </c>
      <c r="M21" s="26">
        <f t="shared" si="1"/>
        <v>0</v>
      </c>
      <c r="N21" s="8">
        <f>SUMIFS('P&amp;L Table'!$F$2:$F$303,'P&amp;L Table'!$A$2:$A$303,"August",'P&amp;L Table'!$C$2:$C$303,$A21,'P&amp;L Table'!$E$2:$E$303,"MTM P&amp;L")</f>
        <v>0</v>
      </c>
      <c r="O21" s="9">
        <f>SUMIFS('P&amp;L Table'!$F$2:$F$303,'P&amp;L Table'!$A$2:$A$303,"August",'P&amp;L Table'!$C$2:$C$303,$A21,'P&amp;L Table'!$E$2:$E$303,"Commissions")</f>
        <v>0</v>
      </c>
      <c r="P21" s="9">
        <f>SUMIFS('P&amp;L Table'!$F$2:$F$303,'P&amp;L Table'!$A$2:$A$303,"August",'P&amp;L Table'!$C$2:$C$303,$A21,'P&amp;L Table'!$E$2:$E$303,"Borrow")</f>
        <v>0</v>
      </c>
      <c r="Q21" s="9">
        <f>SUMIFS('P&amp;L Table'!$F$2:$F$303,'P&amp;L Table'!$A$2:$A$303,"August",'P&amp;L Table'!$C$2:$C$303,$A21,'P&amp;L Table'!$E$2:$E$303,"Dividends / PIL")</f>
        <v>0</v>
      </c>
      <c r="R21" s="9">
        <f>SUMIFS('P&amp;L Table'!$F$2:$F$303,'P&amp;L Table'!$A$2:$A$303,"August",'P&amp;L Table'!$C$2:$C$303,$A21,'P&amp;L Table'!$E$2:$E$303,"Other")</f>
        <v>0</v>
      </c>
      <c r="S21" s="26">
        <f t="shared" si="2"/>
        <v>0</v>
      </c>
      <c r="T21" s="8">
        <f>SUMIFS('P&amp;L Table'!$F$2:$F$303,'P&amp;L Table'!$A$2:$A$303,"September",'P&amp;L Table'!$C$2:$C$303,$A21,'P&amp;L Table'!$E$2:$E$303,"MTM P&amp;L")</f>
        <v>-426.5</v>
      </c>
      <c r="U21" s="9">
        <f>SUMIFS('P&amp;L Table'!$F$2:$F$303,'P&amp;L Table'!$A$2:$A$303,"September",'P&amp;L Table'!$C$2:$C$303,$A21,'P&amp;L Table'!$E$2:$E$303,"Commissions")</f>
        <v>-76.740000000000009</v>
      </c>
      <c r="V21" s="9">
        <f>SUMIFS('P&amp;L Table'!$F$2:$F$303,'P&amp;L Table'!$A$2:$A$303,"September",'P&amp;L Table'!$C$2:$C$303,$A21,'P&amp;L Table'!$E$2:$E$303,"Borrow")</f>
        <v>-530.97</v>
      </c>
      <c r="W21" s="9">
        <f>SUMIFS('P&amp;L Table'!$F$2:$F$303,'P&amp;L Table'!$A$2:$A$303,"September",'P&amp;L Table'!$C$2:$C$303,$A21,'P&amp;L Table'!$E$2:$E$303,"Dividends / PIL")</f>
        <v>0</v>
      </c>
      <c r="X21" s="9">
        <f>SUMIFS('P&amp;L Table'!$F$2:$F$303,'P&amp;L Table'!$A$2:$A$303,"September",'P&amp;L Table'!$C$2:$C$303,$A21,'P&amp;L Table'!$E$2:$E$303,"Other")</f>
        <v>0</v>
      </c>
      <c r="Y21" s="26">
        <f t="shared" si="3"/>
        <v>-1034.21</v>
      </c>
      <c r="Z21" s="8">
        <f>SUMIFS('P&amp;L Table'!$F$2:$F$303,'P&amp;L Table'!$A$2:$A$303,"October",'P&amp;L Table'!$C$2:$C$303,$A21,'P&amp;L Table'!$E$2:$E$303,"MTM P&amp;L")</f>
        <v>0</v>
      </c>
      <c r="AA21" s="9">
        <f>SUMIFS('P&amp;L Table'!$F$2:$F$303,'P&amp;L Table'!$A$2:$A$303,"October",'P&amp;L Table'!$C$2:$C$303,$A21,'P&amp;L Table'!$E$2:$E$303,"Commissions")</f>
        <v>0</v>
      </c>
      <c r="AB21" s="9">
        <f>SUMIFS('P&amp;L Table'!$F$2:$F$303,'P&amp;L Table'!$A$2:$A$303,"October",'P&amp;L Table'!$C$2:$C$303,$A21,'P&amp;L Table'!$E$2:$E$303,"Borrow")</f>
        <v>-63.2</v>
      </c>
      <c r="AC21" s="9">
        <f>SUMIFS('P&amp;L Table'!$F$2:$F$303,'P&amp;L Table'!$A$2:$A$303,"October",'P&amp;L Table'!$C$2:$C$303,$A21,'P&amp;L Table'!$E$2:$E$303,"Dividends / PIL")</f>
        <v>0</v>
      </c>
      <c r="AD21" s="9">
        <f>SUMIFS('P&amp;L Table'!$F$2:$F$303,'P&amp;L Table'!$A$2:$A$303,"October",'P&amp;L Table'!$C$2:$C$303,$A21,'P&amp;L Table'!$E$2:$E$303,"Other")</f>
        <v>0</v>
      </c>
      <c r="AE21" s="26">
        <f t="shared" si="4"/>
        <v>-63.2</v>
      </c>
      <c r="AF21" s="8">
        <f t="shared" si="5"/>
        <v>-426.5</v>
      </c>
      <c r="AG21" s="9">
        <f t="shared" si="6"/>
        <v>-76.740000000000009</v>
      </c>
      <c r="AH21" s="9">
        <f t="shared" si="7"/>
        <v>-594.17000000000007</v>
      </c>
      <c r="AI21" s="9">
        <f t="shared" si="8"/>
        <v>0</v>
      </c>
      <c r="AJ21" s="9">
        <f t="shared" si="9"/>
        <v>0</v>
      </c>
      <c r="AK21" s="26">
        <f t="shared" si="10"/>
        <v>-1097.4100000000001</v>
      </c>
      <c r="AL21" s="1"/>
      <c r="AM21" s="29"/>
      <c r="AN21" s="1"/>
      <c r="AO21" s="44"/>
      <c r="AP21" s="45"/>
    </row>
    <row r="22" spans="1:42" ht="15" customHeight="1">
      <c r="A22" s="16" t="s">
        <v>17</v>
      </c>
      <c r="B22" s="8">
        <f>SUMIFS('P&amp;L Table'!$F$2:$F$303,'P&amp;L Table'!$A$2:$A$303,"June",'P&amp;L Table'!$C$2:$C$303,$A22,'P&amp;L Table'!$E$2:$E$303,"MTM P&amp;L")</f>
        <v>0</v>
      </c>
      <c r="C22" s="9">
        <f>SUMIFS('P&amp;L Table'!$F$2:$F$303,'P&amp;L Table'!$A$2:$A$303,"June",'P&amp;L Table'!$C$2:$C$303,$A22,'P&amp;L Table'!$E$2:$E$303,"Commissions")</f>
        <v>0</v>
      </c>
      <c r="D22" s="9">
        <f>SUMIFS('P&amp;L Table'!$F$2:$F$303,'P&amp;L Table'!$A$2:$A$303,"June",'P&amp;L Table'!$C$2:$C$303,$A22,'P&amp;L Table'!$E$2:$E$303,"Borrow")</f>
        <v>0</v>
      </c>
      <c r="E22" s="9">
        <f>SUMIFS('P&amp;L Table'!$F$2:$F$303,'P&amp;L Table'!$A$2:$A$303,"June",'P&amp;L Table'!$C$2:$C$303,$A22,'P&amp;L Table'!$E$2:$E$303,"Dividends / PIL")</f>
        <v>0</v>
      </c>
      <c r="F22" s="9">
        <f>SUMIFS('P&amp;L Table'!$F$2:$F$303,'P&amp;L Table'!$A$2:$A$303,"June",'P&amp;L Table'!$C$2:$C$303,$A22,'P&amp;L Table'!$E$2:$E$303,"Other")</f>
        <v>0</v>
      </c>
      <c r="G22" s="26">
        <f t="shared" si="0"/>
        <v>0</v>
      </c>
      <c r="H22" s="8">
        <f>SUMIFS('P&amp;L Table'!$F$2:$F$303,'P&amp;L Table'!$A$2:$A$303,"July",'P&amp;L Table'!$C$2:$C$303,$A22,'P&amp;L Table'!$E$2:$E$303,"MTM P&amp;L")</f>
        <v>0</v>
      </c>
      <c r="I22" s="9">
        <f>SUMIFS('P&amp;L Table'!$F$2:$F$303,'P&amp;L Table'!$A$2:$A$303,"July",'P&amp;L Table'!$C$2:$C$303,$A22,'P&amp;L Table'!$E$2:$E$303,"Commissions")</f>
        <v>0</v>
      </c>
      <c r="J22" s="9">
        <f>SUMIFS('P&amp;L Table'!$F$2:$F$303,'P&amp;L Table'!$A$2:$A$303,"July",'P&amp;L Table'!$C$2:$C$303,$A22,'P&amp;L Table'!$E$2:$E$303,"Borrow")</f>
        <v>0</v>
      </c>
      <c r="K22" s="9">
        <f>SUMIFS('P&amp;L Table'!$F$2:$F$303,'P&amp;L Table'!$A$2:$A$303,"July",'P&amp;L Table'!$C$2:$C$303,$A22,'P&amp;L Table'!$E$2:$E$303,"Dividends / PIL")</f>
        <v>0</v>
      </c>
      <c r="L22" s="9">
        <f>SUMIFS('P&amp;L Table'!$F$2:$F$303,'P&amp;L Table'!$A$2:$A$303,"July",'P&amp;L Table'!$C$2:$C$303,$A22,'P&amp;L Table'!$E$2:$E$303,"Other")</f>
        <v>0</v>
      </c>
      <c r="M22" s="26">
        <f t="shared" si="1"/>
        <v>0</v>
      </c>
      <c r="N22" s="8">
        <f>SUMIFS('P&amp;L Table'!$F$2:$F$303,'P&amp;L Table'!$A$2:$A$303,"August",'P&amp;L Table'!$C$2:$C$303,$A22,'P&amp;L Table'!$E$2:$E$303,"MTM P&amp;L")</f>
        <v>0</v>
      </c>
      <c r="O22" s="9">
        <f>SUMIFS('P&amp;L Table'!$F$2:$F$303,'P&amp;L Table'!$A$2:$A$303,"August",'P&amp;L Table'!$C$2:$C$303,$A22,'P&amp;L Table'!$E$2:$E$303,"Commissions")</f>
        <v>0</v>
      </c>
      <c r="P22" s="9">
        <f>SUMIFS('P&amp;L Table'!$F$2:$F$303,'P&amp;L Table'!$A$2:$A$303,"August",'P&amp;L Table'!$C$2:$C$303,$A22,'P&amp;L Table'!$E$2:$E$303,"Borrow")</f>
        <v>0</v>
      </c>
      <c r="Q22" s="9">
        <f>SUMIFS('P&amp;L Table'!$F$2:$F$303,'P&amp;L Table'!$A$2:$A$303,"August",'P&amp;L Table'!$C$2:$C$303,$A22,'P&amp;L Table'!$E$2:$E$303,"Dividends / PIL")</f>
        <v>0</v>
      </c>
      <c r="R22" s="9">
        <f>SUMIFS('P&amp;L Table'!$F$2:$F$303,'P&amp;L Table'!$A$2:$A$303,"August",'P&amp;L Table'!$C$2:$C$303,$A22,'P&amp;L Table'!$E$2:$E$303,"Other")</f>
        <v>0</v>
      </c>
      <c r="S22" s="26">
        <f t="shared" si="2"/>
        <v>0</v>
      </c>
      <c r="T22" s="8">
        <f>SUMIFS('P&amp;L Table'!$F$2:$F$303,'P&amp;L Table'!$A$2:$A$303,"September",'P&amp;L Table'!$C$2:$C$303,$A22,'P&amp;L Table'!$E$2:$E$303,"MTM P&amp;L")</f>
        <v>0</v>
      </c>
      <c r="U22" s="9">
        <f>SUMIFS('P&amp;L Table'!$F$2:$F$303,'P&amp;L Table'!$A$2:$A$303,"September",'P&amp;L Table'!$C$2:$C$303,$A22,'P&amp;L Table'!$E$2:$E$303,"Commissions")</f>
        <v>0</v>
      </c>
      <c r="V22" s="9">
        <f>SUMIFS('P&amp;L Table'!$F$2:$F$303,'P&amp;L Table'!$A$2:$A$303,"September",'P&amp;L Table'!$C$2:$C$303,$A22,'P&amp;L Table'!$E$2:$E$303,"Borrow")</f>
        <v>0</v>
      </c>
      <c r="W22" s="9">
        <f>SUMIFS('P&amp;L Table'!$F$2:$F$303,'P&amp;L Table'!$A$2:$A$303,"September",'P&amp;L Table'!$C$2:$C$303,$A22,'P&amp;L Table'!$E$2:$E$303,"Dividends / PIL")</f>
        <v>0</v>
      </c>
      <c r="X22" s="9">
        <f>SUMIFS('P&amp;L Table'!$F$2:$F$303,'P&amp;L Table'!$A$2:$A$303,"September",'P&amp;L Table'!$C$2:$C$303,$A22,'P&amp;L Table'!$E$2:$E$303,"Other")</f>
        <v>0</v>
      </c>
      <c r="Y22" s="26">
        <f t="shared" si="3"/>
        <v>0</v>
      </c>
      <c r="Z22" s="8">
        <f>SUMIFS('P&amp;L Table'!$F$2:$F$303,'P&amp;L Table'!$A$2:$A$303,"October",'P&amp;L Table'!$C$2:$C$303,$A22,'P&amp;L Table'!$E$2:$E$303,"MTM P&amp;L")</f>
        <v>-1164.1599999999999</v>
      </c>
      <c r="AA22" s="9">
        <f>SUMIFS('P&amp;L Table'!$F$2:$F$303,'P&amp;L Table'!$A$2:$A$303,"October",'P&amp;L Table'!$C$2:$C$303,$A22,'P&amp;L Table'!$E$2:$E$303,"Commissions")</f>
        <v>-28.380000000000003</v>
      </c>
      <c r="AB22" s="9">
        <f>SUMIFS('P&amp;L Table'!$F$2:$F$303,'P&amp;L Table'!$A$2:$A$303,"October",'P&amp;L Table'!$C$2:$C$303,$A22,'P&amp;L Table'!$E$2:$E$303,"Borrow")</f>
        <v>-23.19</v>
      </c>
      <c r="AC22" s="9">
        <f>SUMIFS('P&amp;L Table'!$F$2:$F$303,'P&amp;L Table'!$A$2:$A$303,"October",'P&amp;L Table'!$C$2:$C$303,$A22,'P&amp;L Table'!$E$2:$E$303,"Dividends / PIL")</f>
        <v>0</v>
      </c>
      <c r="AD22" s="9">
        <f>SUMIFS('P&amp;L Table'!$F$2:$F$303,'P&amp;L Table'!$A$2:$A$303,"October",'P&amp;L Table'!$C$2:$C$303,$A22,'P&amp;L Table'!$E$2:$E$303,"Other")</f>
        <v>0</v>
      </c>
      <c r="AE22" s="26">
        <f t="shared" si="4"/>
        <v>-1215.73</v>
      </c>
      <c r="AF22" s="8">
        <f t="shared" si="5"/>
        <v>-1164.1599999999999</v>
      </c>
      <c r="AG22" s="9">
        <f t="shared" si="6"/>
        <v>-28.380000000000003</v>
      </c>
      <c r="AH22" s="9">
        <f t="shared" si="7"/>
        <v>-23.19</v>
      </c>
      <c r="AI22" s="9">
        <f t="shared" si="8"/>
        <v>0</v>
      </c>
      <c r="AJ22" s="9">
        <f t="shared" si="9"/>
        <v>0</v>
      </c>
      <c r="AK22" s="26">
        <f t="shared" si="10"/>
        <v>-1215.73</v>
      </c>
      <c r="AO22" s="38"/>
      <c r="AP22" s="39"/>
    </row>
    <row r="23" spans="1:42" ht="15" customHeight="1">
      <c r="A23" s="16" t="s">
        <v>30</v>
      </c>
      <c r="B23" s="8">
        <f>SUMIFS('P&amp;L Table'!$F$2:$F$303,'P&amp;L Table'!$A$2:$A$303,"June",'P&amp;L Table'!$C$2:$C$303,$A23,'P&amp;L Table'!$E$2:$E$303,"MTM P&amp;L")</f>
        <v>0</v>
      </c>
      <c r="C23" s="9">
        <f>SUMIFS('P&amp;L Table'!$F$2:$F$303,'P&amp;L Table'!$A$2:$A$303,"June",'P&amp;L Table'!$C$2:$C$303,$A23,'P&amp;L Table'!$E$2:$E$303,"Commissions")</f>
        <v>0</v>
      </c>
      <c r="D23" s="9">
        <f>SUMIFS('P&amp;L Table'!$F$2:$F$303,'P&amp;L Table'!$A$2:$A$303,"June",'P&amp;L Table'!$C$2:$C$303,$A23,'P&amp;L Table'!$E$2:$E$303,"Borrow")</f>
        <v>0</v>
      </c>
      <c r="E23" s="9">
        <f>SUMIFS('P&amp;L Table'!$F$2:$F$303,'P&amp;L Table'!$A$2:$A$303,"June",'P&amp;L Table'!$C$2:$C$303,$A23,'P&amp;L Table'!$E$2:$E$303,"Dividends / PIL")</f>
        <v>0</v>
      </c>
      <c r="F23" s="9">
        <f>SUMIFS('P&amp;L Table'!$F$2:$F$303,'P&amp;L Table'!$A$2:$A$303,"June",'P&amp;L Table'!$C$2:$C$303,$A23,'P&amp;L Table'!$E$2:$E$303,"Other")</f>
        <v>0</v>
      </c>
      <c r="G23" s="26">
        <f t="shared" si="0"/>
        <v>0</v>
      </c>
      <c r="H23" s="8">
        <f>SUMIFS('P&amp;L Table'!$F$2:$F$303,'P&amp;L Table'!$A$2:$A$303,"July",'P&amp;L Table'!$C$2:$C$303,$A23,'P&amp;L Table'!$E$2:$E$303,"MTM P&amp;L")</f>
        <v>-472.17999999999995</v>
      </c>
      <c r="I23" s="9">
        <f>SUMIFS('P&amp;L Table'!$F$2:$F$303,'P&amp;L Table'!$A$2:$A$303,"July",'P&amp;L Table'!$C$2:$C$303,$A23,'P&amp;L Table'!$E$2:$E$303,"Commissions")</f>
        <v>-33.97</v>
      </c>
      <c r="J23" s="9">
        <f>SUMIFS('P&amp;L Table'!$F$2:$F$303,'P&amp;L Table'!$A$2:$A$303,"July",'P&amp;L Table'!$C$2:$C$303,$A23,'P&amp;L Table'!$E$2:$E$303,"Borrow")</f>
        <v>0</v>
      </c>
      <c r="K23" s="9">
        <f>SUMIFS('P&amp;L Table'!$F$2:$F$303,'P&amp;L Table'!$A$2:$A$303,"July",'P&amp;L Table'!$C$2:$C$303,$A23,'P&amp;L Table'!$E$2:$E$303,"Dividends / PIL")</f>
        <v>0</v>
      </c>
      <c r="L23" s="9">
        <f>SUMIFS('P&amp;L Table'!$F$2:$F$303,'P&amp;L Table'!$A$2:$A$303,"July",'P&amp;L Table'!$C$2:$C$303,$A23,'P&amp;L Table'!$E$2:$E$303,"Other")</f>
        <v>0</v>
      </c>
      <c r="M23" s="26">
        <f t="shared" si="1"/>
        <v>-506.15</v>
      </c>
      <c r="N23" s="8">
        <f>SUMIFS('P&amp;L Table'!$F$2:$F$303,'P&amp;L Table'!$A$2:$A$303,"August",'P&amp;L Table'!$C$2:$C$303,$A23,'P&amp;L Table'!$E$2:$E$303,"MTM P&amp;L")</f>
        <v>125.59000000000003</v>
      </c>
      <c r="O23" s="9">
        <f>SUMIFS('P&amp;L Table'!$F$2:$F$303,'P&amp;L Table'!$A$2:$A$303,"August",'P&amp;L Table'!$C$2:$C$303,$A23,'P&amp;L Table'!$E$2:$E$303,"Commissions")</f>
        <v>-19.810000000000002</v>
      </c>
      <c r="P23" s="9">
        <f>SUMIFS('P&amp;L Table'!$F$2:$F$303,'P&amp;L Table'!$A$2:$A$303,"August",'P&amp;L Table'!$C$2:$C$303,$A23,'P&amp;L Table'!$E$2:$E$303,"Borrow")</f>
        <v>-169.12</v>
      </c>
      <c r="Q23" s="9">
        <f>SUMIFS('P&amp;L Table'!$F$2:$F$303,'P&amp;L Table'!$A$2:$A$303,"August",'P&amp;L Table'!$C$2:$C$303,$A23,'P&amp;L Table'!$E$2:$E$303,"Dividends / PIL")</f>
        <v>-109.77</v>
      </c>
      <c r="R23" s="9">
        <f>SUMIFS('P&amp;L Table'!$F$2:$F$303,'P&amp;L Table'!$A$2:$A$303,"August",'P&amp;L Table'!$C$2:$C$303,$A23,'P&amp;L Table'!$E$2:$E$303,"Other")</f>
        <v>0</v>
      </c>
      <c r="S23" s="26">
        <f t="shared" si="2"/>
        <v>-173.10999999999996</v>
      </c>
      <c r="T23" s="8">
        <f>SUMIFS('P&amp;L Table'!$F$2:$F$303,'P&amp;L Table'!$A$2:$A$303,"September",'P&amp;L Table'!$C$2:$C$303,$A23,'P&amp;L Table'!$E$2:$E$303,"MTM P&amp;L")</f>
        <v>-189.44999999999982</v>
      </c>
      <c r="U23" s="9">
        <f>SUMIFS('P&amp;L Table'!$F$2:$F$303,'P&amp;L Table'!$A$2:$A$303,"September",'P&amp;L Table'!$C$2:$C$303,$A23,'P&amp;L Table'!$E$2:$E$303,"Commissions")</f>
        <v>-75.789999999999992</v>
      </c>
      <c r="V23" s="9">
        <f>SUMIFS('P&amp;L Table'!$F$2:$F$303,'P&amp;L Table'!$A$2:$A$303,"September",'P&amp;L Table'!$C$2:$C$303,$A23,'P&amp;L Table'!$E$2:$E$303,"Borrow")</f>
        <v>-288.58</v>
      </c>
      <c r="W23" s="9">
        <f>SUMIFS('P&amp;L Table'!$F$2:$F$303,'P&amp;L Table'!$A$2:$A$303,"September",'P&amp;L Table'!$C$2:$C$303,$A23,'P&amp;L Table'!$E$2:$E$303,"Dividends / PIL")</f>
        <v>0</v>
      </c>
      <c r="X23" s="9">
        <f>SUMIFS('P&amp;L Table'!$F$2:$F$303,'P&amp;L Table'!$A$2:$A$303,"September",'P&amp;L Table'!$C$2:$C$303,$A23,'P&amp;L Table'!$E$2:$E$303,"Other")</f>
        <v>0</v>
      </c>
      <c r="Y23" s="26">
        <f t="shared" si="3"/>
        <v>-553.81999999999971</v>
      </c>
      <c r="Z23" s="8">
        <f>SUMIFS('P&amp;L Table'!$F$2:$F$303,'P&amp;L Table'!$A$2:$A$303,"October",'P&amp;L Table'!$C$2:$C$303,$A23,'P&amp;L Table'!$E$2:$E$303,"MTM P&amp;L")</f>
        <v>46.699999999999989</v>
      </c>
      <c r="AA23" s="9">
        <f>SUMIFS('P&amp;L Table'!$F$2:$F$303,'P&amp;L Table'!$A$2:$A$303,"October",'P&amp;L Table'!$C$2:$C$303,$A23,'P&amp;L Table'!$E$2:$E$303,"Commissions")</f>
        <v>-24.1</v>
      </c>
      <c r="AB23" s="9">
        <f>SUMIFS('P&amp;L Table'!$F$2:$F$303,'P&amp;L Table'!$A$2:$A$303,"October",'P&amp;L Table'!$C$2:$C$303,$A23,'P&amp;L Table'!$E$2:$E$303,"Borrow")</f>
        <v>-71.89</v>
      </c>
      <c r="AC23" s="9">
        <f>SUMIFS('P&amp;L Table'!$F$2:$F$303,'P&amp;L Table'!$A$2:$A$303,"October",'P&amp;L Table'!$C$2:$C$303,$A23,'P&amp;L Table'!$E$2:$E$303,"Dividends / PIL")</f>
        <v>0</v>
      </c>
      <c r="AD23" s="9">
        <f>SUMIFS('P&amp;L Table'!$F$2:$F$303,'P&amp;L Table'!$A$2:$A$303,"October",'P&amp;L Table'!$C$2:$C$303,$A23,'P&amp;L Table'!$E$2:$E$303,"Other")</f>
        <v>0</v>
      </c>
      <c r="AE23" s="26">
        <f t="shared" si="4"/>
        <v>-49.290000000000013</v>
      </c>
      <c r="AF23" s="8">
        <f t="shared" si="5"/>
        <v>-489.33999999999975</v>
      </c>
      <c r="AG23" s="9">
        <f t="shared" si="6"/>
        <v>-153.66999999999999</v>
      </c>
      <c r="AH23" s="9">
        <f t="shared" si="7"/>
        <v>-529.59</v>
      </c>
      <c r="AI23" s="9">
        <f t="shared" si="8"/>
        <v>-109.77</v>
      </c>
      <c r="AJ23" s="9">
        <f t="shared" si="9"/>
        <v>0</v>
      </c>
      <c r="AK23" s="26">
        <f t="shared" si="10"/>
        <v>-1282.3699999999997</v>
      </c>
      <c r="AO23" s="42"/>
      <c r="AP23" s="43"/>
    </row>
    <row r="24" spans="1:42" ht="15" customHeight="1">
      <c r="A24" s="31" t="s">
        <v>62</v>
      </c>
      <c r="B24" s="33">
        <f>SUMIFS('P&amp;L Table'!$F$2:$F$303,'P&amp;L Table'!$A$2:$A$303,"June",'P&amp;L Table'!$C$2:$C$303,$A24,'P&amp;L Table'!$E$2:$E$303,"MTM P&amp;L")</f>
        <v>0</v>
      </c>
      <c r="C24" s="34">
        <f>SUMIFS('P&amp;L Table'!$F$2:$F$303,'P&amp;L Table'!$A$2:$A$303,"June",'P&amp;L Table'!$C$2:$C$303,$A24,'P&amp;L Table'!$E$2:$E$303,"Commissions")</f>
        <v>0</v>
      </c>
      <c r="D24" s="34">
        <f>SUMIFS('P&amp;L Table'!$F$2:$F$303,'P&amp;L Table'!$A$2:$A$303,"June",'P&amp;L Table'!$C$2:$C$303,$A24,'P&amp;L Table'!$E$2:$E$303,"Borrow")</f>
        <v>0</v>
      </c>
      <c r="E24" s="34">
        <f>SUMIFS('P&amp;L Table'!$F$2:$F$303,'P&amp;L Table'!$A$2:$A$303,"June",'P&amp;L Table'!$C$2:$C$303,$A24,'P&amp;L Table'!$E$2:$E$303,"Dividends / PIL")</f>
        <v>0</v>
      </c>
      <c r="F24" s="34">
        <f>SUMIFS('P&amp;L Table'!$F$2:$F$303,'P&amp;L Table'!$A$2:$A$303,"June",'P&amp;L Table'!$C$2:$C$303,$A24,'P&amp;L Table'!$E$2:$E$303,"Other")</f>
        <v>0</v>
      </c>
      <c r="G24" s="32">
        <f t="shared" si="0"/>
        <v>0</v>
      </c>
      <c r="H24" s="33">
        <f>SUMIFS('P&amp;L Table'!$F$2:$F$303,'P&amp;L Table'!$A$2:$A$303,"July",'P&amp;L Table'!$C$2:$C$303,$A24,'P&amp;L Table'!$E$2:$E$303,"MTM P&amp;L")</f>
        <v>-2378.0299999999997</v>
      </c>
      <c r="I24" s="34">
        <f>SUMIFS('P&amp;L Table'!$F$2:$F$303,'P&amp;L Table'!$A$2:$A$303,"July",'P&amp;L Table'!$C$2:$C$303,$A24,'P&amp;L Table'!$E$2:$E$303,"Commissions")</f>
        <v>-141.44999999999999</v>
      </c>
      <c r="J24" s="34">
        <f>SUMIFS('P&amp;L Table'!$F$2:$F$303,'P&amp;L Table'!$A$2:$A$303,"July",'P&amp;L Table'!$C$2:$C$303,$A24,'P&amp;L Table'!$E$2:$E$303,"Borrow")</f>
        <v>-22.79</v>
      </c>
      <c r="K24" s="34">
        <f>SUMIFS('P&amp;L Table'!$F$2:$F$303,'P&amp;L Table'!$A$2:$A$303,"July",'P&amp;L Table'!$C$2:$C$303,$A24,'P&amp;L Table'!$E$2:$E$303,"Dividends / PIL")</f>
        <v>0</v>
      </c>
      <c r="L24" s="34">
        <f>SUMIFS('P&amp;L Table'!$F$2:$F$303,'P&amp;L Table'!$A$2:$A$303,"July",'P&amp;L Table'!$C$2:$C$303,$A24,'P&amp;L Table'!$E$2:$E$303,"Other")</f>
        <v>0</v>
      </c>
      <c r="M24" s="32">
        <f t="shared" si="1"/>
        <v>-2542.2699999999995</v>
      </c>
      <c r="N24" s="33">
        <f>SUMIFS('P&amp;L Table'!$F$2:$F$303,'P&amp;L Table'!$A$2:$A$303,"August",'P&amp;L Table'!$C$2:$C$303,$A24,'P&amp;L Table'!$E$2:$E$303,"MTM P&amp;L")</f>
        <v>2503.77</v>
      </c>
      <c r="O24" s="34">
        <f>SUMIFS('P&amp;L Table'!$F$2:$F$303,'P&amp;L Table'!$A$2:$A$303,"August",'P&amp;L Table'!$C$2:$C$303,$A24,'P&amp;L Table'!$E$2:$E$303,"Commissions")</f>
        <v>-140.86000000000001</v>
      </c>
      <c r="P24" s="34">
        <f>SUMIFS('P&amp;L Table'!$F$2:$F$303,'P&amp;L Table'!$A$2:$A$303,"August",'P&amp;L Table'!$C$2:$C$303,$A24,'P&amp;L Table'!$E$2:$E$303,"Borrow")</f>
        <v>-16.55</v>
      </c>
      <c r="Q24" s="34">
        <f>SUMIFS('P&amp;L Table'!$F$2:$F$303,'P&amp;L Table'!$A$2:$A$303,"August",'P&amp;L Table'!$C$2:$C$303,$A24,'P&amp;L Table'!$E$2:$E$303,"Dividends / PIL")</f>
        <v>-1556.46</v>
      </c>
      <c r="R24" s="34">
        <f>SUMIFS('P&amp;L Table'!$F$2:$F$303,'P&amp;L Table'!$A$2:$A$303,"August",'P&amp;L Table'!$C$2:$C$303,$A24,'P&amp;L Table'!$E$2:$E$303,"Other")</f>
        <v>0</v>
      </c>
      <c r="S24" s="32">
        <f t="shared" si="2"/>
        <v>789.89999999999964</v>
      </c>
      <c r="T24" s="33">
        <f>SUMIFS('P&amp;L Table'!$F$2:$F$303,'P&amp;L Table'!$A$2:$A$303,"September",'P&amp;L Table'!$C$2:$C$303,$A24,'P&amp;L Table'!$E$2:$E$303,"MTM P&amp;L")</f>
        <v>0</v>
      </c>
      <c r="U24" s="34">
        <f>SUMIFS('P&amp;L Table'!$F$2:$F$303,'P&amp;L Table'!$A$2:$A$303,"September",'P&amp;L Table'!$C$2:$C$303,$A24,'P&amp;L Table'!$E$2:$E$303,"Commissions")</f>
        <v>0</v>
      </c>
      <c r="V24" s="34">
        <f>SUMIFS('P&amp;L Table'!$F$2:$F$303,'P&amp;L Table'!$A$2:$A$303,"September",'P&amp;L Table'!$C$2:$C$303,$A24,'P&amp;L Table'!$E$2:$E$303,"Borrow")</f>
        <v>0</v>
      </c>
      <c r="W24" s="34">
        <f>SUMIFS('P&amp;L Table'!$F$2:$F$303,'P&amp;L Table'!$A$2:$A$303,"September",'P&amp;L Table'!$C$2:$C$303,$A24,'P&amp;L Table'!$E$2:$E$303,"Dividends / PIL")</f>
        <v>0</v>
      </c>
      <c r="X24" s="34">
        <f>SUMIFS('P&amp;L Table'!$F$2:$F$303,'P&amp;L Table'!$A$2:$A$303,"September",'P&amp;L Table'!$C$2:$C$303,$A24,'P&amp;L Table'!$E$2:$E$303,"Other")</f>
        <v>0</v>
      </c>
      <c r="Y24" s="32">
        <f t="shared" si="3"/>
        <v>0</v>
      </c>
      <c r="Z24" s="33">
        <f>SUMIFS('P&amp;L Table'!$F$2:$F$303,'P&amp;L Table'!$A$2:$A$303,"October",'P&amp;L Table'!$C$2:$C$303,$A24,'P&amp;L Table'!$E$2:$E$303,"MTM P&amp;L")</f>
        <v>0</v>
      </c>
      <c r="AA24" s="34">
        <f>SUMIFS('P&amp;L Table'!$F$2:$F$303,'P&amp;L Table'!$A$2:$A$303,"October",'P&amp;L Table'!$C$2:$C$303,$A24,'P&amp;L Table'!$E$2:$E$303,"Commissions")</f>
        <v>0</v>
      </c>
      <c r="AB24" s="34">
        <f>SUMIFS('P&amp;L Table'!$F$2:$F$303,'P&amp;L Table'!$A$2:$A$303,"October",'P&amp;L Table'!$C$2:$C$303,$A24,'P&amp;L Table'!$E$2:$E$303,"Borrow")</f>
        <v>0</v>
      </c>
      <c r="AC24" s="34">
        <f>SUMIFS('P&amp;L Table'!$F$2:$F$303,'P&amp;L Table'!$A$2:$A$303,"October",'P&amp;L Table'!$C$2:$C$303,$A24,'P&amp;L Table'!$E$2:$E$303,"Dividends / PIL")</f>
        <v>0</v>
      </c>
      <c r="AD24" s="34">
        <f>SUMIFS('P&amp;L Table'!$F$2:$F$303,'P&amp;L Table'!$A$2:$A$303,"October",'P&amp;L Table'!$C$2:$C$303,$A24,'P&amp;L Table'!$E$2:$E$303,"Other")</f>
        <v>0</v>
      </c>
      <c r="AE24" s="32">
        <f t="shared" si="4"/>
        <v>0</v>
      </c>
      <c r="AF24" s="33">
        <f t="shared" si="5"/>
        <v>125.74000000000024</v>
      </c>
      <c r="AG24" s="34">
        <f t="shared" si="6"/>
        <v>-282.31</v>
      </c>
      <c r="AH24" s="34">
        <f t="shared" si="7"/>
        <v>-39.340000000000003</v>
      </c>
      <c r="AI24" s="34">
        <f t="shared" si="8"/>
        <v>-1556.46</v>
      </c>
      <c r="AJ24" s="34">
        <f t="shared" si="9"/>
        <v>0</v>
      </c>
      <c r="AK24" s="32">
        <f t="shared" si="10"/>
        <v>-1752.37</v>
      </c>
      <c r="AL24" s="35"/>
      <c r="AO24" s="36"/>
      <c r="AP24" s="37"/>
    </row>
    <row r="25" spans="1:42" ht="15" customHeight="1">
      <c r="A25" s="16" t="s">
        <v>32</v>
      </c>
      <c r="B25" s="8">
        <f>SUMIFS('P&amp;L Table'!$F$2:$F$303,'P&amp;L Table'!$A$2:$A$303,"June",'P&amp;L Table'!$C$2:$C$303,$A25,'P&amp;L Table'!$E$2:$E$303,"MTM P&amp;L")</f>
        <v>0</v>
      </c>
      <c r="C25" s="9">
        <f>SUMIFS('P&amp;L Table'!$F$2:$F$303,'P&amp;L Table'!$A$2:$A$303,"June",'P&amp;L Table'!$C$2:$C$303,$A25,'P&amp;L Table'!$E$2:$E$303,"Commissions")</f>
        <v>0</v>
      </c>
      <c r="D25" s="9">
        <f>SUMIFS('P&amp;L Table'!$F$2:$F$303,'P&amp;L Table'!$A$2:$A$303,"June",'P&amp;L Table'!$C$2:$C$303,$A25,'P&amp;L Table'!$E$2:$E$303,"Borrow")</f>
        <v>0</v>
      </c>
      <c r="E25" s="9">
        <f>SUMIFS('P&amp;L Table'!$F$2:$F$303,'P&amp;L Table'!$A$2:$A$303,"June",'P&amp;L Table'!$C$2:$C$303,$A25,'P&amp;L Table'!$E$2:$E$303,"Dividends / PIL")</f>
        <v>0</v>
      </c>
      <c r="F25" s="9">
        <f>SUMIFS('P&amp;L Table'!$F$2:$F$303,'P&amp;L Table'!$A$2:$A$303,"June",'P&amp;L Table'!$C$2:$C$303,$A25,'P&amp;L Table'!$E$2:$E$303,"Other")</f>
        <v>0</v>
      </c>
      <c r="G25" s="26">
        <f t="shared" si="0"/>
        <v>0</v>
      </c>
      <c r="H25" s="8">
        <f>SUMIFS('P&amp;L Table'!$F$2:$F$303,'P&amp;L Table'!$A$2:$A$303,"July",'P&amp;L Table'!$C$2:$C$303,$A25,'P&amp;L Table'!$E$2:$E$303,"MTM P&amp;L")</f>
        <v>0</v>
      </c>
      <c r="I25" s="9">
        <f>SUMIFS('P&amp;L Table'!$F$2:$F$303,'P&amp;L Table'!$A$2:$A$303,"July",'P&amp;L Table'!$C$2:$C$303,$A25,'P&amp;L Table'!$E$2:$E$303,"Commissions")</f>
        <v>0</v>
      </c>
      <c r="J25" s="9">
        <f>SUMIFS('P&amp;L Table'!$F$2:$F$303,'P&amp;L Table'!$A$2:$A$303,"July",'P&amp;L Table'!$C$2:$C$303,$A25,'P&amp;L Table'!$E$2:$E$303,"Borrow")</f>
        <v>0</v>
      </c>
      <c r="K25" s="9">
        <f>SUMIFS('P&amp;L Table'!$F$2:$F$303,'P&amp;L Table'!$A$2:$A$303,"July",'P&amp;L Table'!$C$2:$C$303,$A25,'P&amp;L Table'!$E$2:$E$303,"Dividends / PIL")</f>
        <v>0</v>
      </c>
      <c r="L25" s="9">
        <f>SUMIFS('P&amp;L Table'!$F$2:$F$303,'P&amp;L Table'!$A$2:$A$303,"July",'P&amp;L Table'!$C$2:$C$303,$A25,'P&amp;L Table'!$E$2:$E$303,"Other")</f>
        <v>0</v>
      </c>
      <c r="M25" s="26">
        <f t="shared" si="1"/>
        <v>0</v>
      </c>
      <c r="N25" s="8">
        <f>SUMIFS('P&amp;L Table'!$F$2:$F$303,'P&amp;L Table'!$A$2:$A$303,"August",'P&amp;L Table'!$C$2:$C$303,$A25,'P&amp;L Table'!$E$2:$E$303,"MTM P&amp;L")</f>
        <v>0</v>
      </c>
      <c r="O25" s="9">
        <f>SUMIFS('P&amp;L Table'!$F$2:$F$303,'P&amp;L Table'!$A$2:$A$303,"August",'P&amp;L Table'!$C$2:$C$303,$A25,'P&amp;L Table'!$E$2:$E$303,"Commissions")</f>
        <v>0</v>
      </c>
      <c r="P25" s="9">
        <f>SUMIFS('P&amp;L Table'!$F$2:$F$303,'P&amp;L Table'!$A$2:$A$303,"August",'P&amp;L Table'!$C$2:$C$303,$A25,'P&amp;L Table'!$E$2:$E$303,"Borrow")</f>
        <v>0</v>
      </c>
      <c r="Q25" s="9">
        <f>SUMIFS('P&amp;L Table'!$F$2:$F$303,'P&amp;L Table'!$A$2:$A$303,"August",'P&amp;L Table'!$C$2:$C$303,$A25,'P&amp;L Table'!$E$2:$E$303,"Dividends / PIL")</f>
        <v>0</v>
      </c>
      <c r="R25" s="9">
        <f>SUMIFS('P&amp;L Table'!$F$2:$F$303,'P&amp;L Table'!$A$2:$A$303,"August",'P&amp;L Table'!$C$2:$C$303,$A25,'P&amp;L Table'!$E$2:$E$303,"Other")</f>
        <v>0</v>
      </c>
      <c r="S25" s="26">
        <f t="shared" si="2"/>
        <v>0</v>
      </c>
      <c r="T25" s="8">
        <f>SUMIFS('P&amp;L Table'!$F$2:$F$303,'P&amp;L Table'!$A$2:$A$303,"September",'P&amp;L Table'!$C$2:$C$303,$A25,'P&amp;L Table'!$E$2:$E$303,"MTM P&amp;L")</f>
        <v>-1317.4700000000012</v>
      </c>
      <c r="U25" s="9">
        <f>SUMIFS('P&amp;L Table'!$F$2:$F$303,'P&amp;L Table'!$A$2:$A$303,"September",'P&amp;L Table'!$C$2:$C$303,$A25,'P&amp;L Table'!$E$2:$E$303,"Commissions")</f>
        <v>-170.79</v>
      </c>
      <c r="V25" s="9">
        <f>SUMIFS('P&amp;L Table'!$F$2:$F$303,'P&amp;L Table'!$A$2:$A$303,"September",'P&amp;L Table'!$C$2:$C$303,$A25,'P&amp;L Table'!$E$2:$E$303,"Borrow")</f>
        <v>-152.88</v>
      </c>
      <c r="W25" s="9">
        <f>SUMIFS('P&amp;L Table'!$F$2:$F$303,'P&amp;L Table'!$A$2:$A$303,"September",'P&amp;L Table'!$C$2:$C$303,$A25,'P&amp;L Table'!$E$2:$E$303,"Dividends / PIL")</f>
        <v>-79.849999999999909</v>
      </c>
      <c r="X25" s="9">
        <f>SUMIFS('P&amp;L Table'!$F$2:$F$303,'P&amp;L Table'!$A$2:$A$303,"September",'P&amp;L Table'!$C$2:$C$303,$A25,'P&amp;L Table'!$E$2:$E$303,"Other")</f>
        <v>0</v>
      </c>
      <c r="Y25" s="26">
        <f t="shared" si="3"/>
        <v>-1720.9900000000011</v>
      </c>
      <c r="Z25" s="8">
        <f>SUMIFS('P&amp;L Table'!$F$2:$F$303,'P&amp;L Table'!$A$2:$A$303,"October",'P&amp;L Table'!$C$2:$C$303,$A25,'P&amp;L Table'!$E$2:$E$303,"MTM P&amp;L")</f>
        <v>-30.480000000000473</v>
      </c>
      <c r="AA25" s="9">
        <f>SUMIFS('P&amp;L Table'!$F$2:$F$303,'P&amp;L Table'!$A$2:$A$303,"October",'P&amp;L Table'!$C$2:$C$303,$A25,'P&amp;L Table'!$E$2:$E$303,"Commissions")</f>
        <v>-54.29</v>
      </c>
      <c r="AB25" s="9">
        <f>SUMIFS('P&amp;L Table'!$F$2:$F$303,'P&amp;L Table'!$A$2:$A$303,"October",'P&amp;L Table'!$C$2:$C$303,$A25,'P&amp;L Table'!$E$2:$E$303,"Borrow")</f>
        <v>-19.79</v>
      </c>
      <c r="AC25" s="9">
        <f>SUMIFS('P&amp;L Table'!$F$2:$F$303,'P&amp;L Table'!$A$2:$A$303,"October",'P&amp;L Table'!$C$2:$C$303,$A25,'P&amp;L Table'!$E$2:$E$303,"Dividends / PIL")</f>
        <v>0</v>
      </c>
      <c r="AD25" s="9">
        <f>SUMIFS('P&amp;L Table'!$F$2:$F$303,'P&amp;L Table'!$A$2:$A$303,"October",'P&amp;L Table'!$C$2:$C$303,$A25,'P&amp;L Table'!$E$2:$E$303,"Other")</f>
        <v>0</v>
      </c>
      <c r="AE25" s="26">
        <f t="shared" si="4"/>
        <v>-104.56000000000046</v>
      </c>
      <c r="AF25" s="8">
        <f t="shared" si="5"/>
        <v>-1347.9500000000016</v>
      </c>
      <c r="AG25" s="9">
        <f t="shared" si="6"/>
        <v>-225.07999999999998</v>
      </c>
      <c r="AH25" s="9">
        <f t="shared" si="7"/>
        <v>-172.67</v>
      </c>
      <c r="AI25" s="9">
        <f t="shared" si="8"/>
        <v>-79.849999999999909</v>
      </c>
      <c r="AJ25" s="9">
        <f t="shared" si="9"/>
        <v>0</v>
      </c>
      <c r="AK25" s="26">
        <f t="shared" si="10"/>
        <v>-1825.5500000000015</v>
      </c>
      <c r="AO25" s="44"/>
      <c r="AP25" s="45"/>
    </row>
    <row r="26" spans="1:42" ht="15" customHeight="1">
      <c r="A26" s="16" t="s">
        <v>21</v>
      </c>
      <c r="B26" s="8">
        <f>SUMIFS('P&amp;L Table'!$F$2:$F$303,'P&amp;L Table'!$A$2:$A$303,"June",'P&amp;L Table'!$C$2:$C$303,$A26,'P&amp;L Table'!$E$2:$E$303,"MTM P&amp;L")</f>
        <v>0</v>
      </c>
      <c r="C26" s="9">
        <f>SUMIFS('P&amp;L Table'!$F$2:$F$303,'P&amp;L Table'!$A$2:$A$303,"June",'P&amp;L Table'!$C$2:$C$303,$A26,'P&amp;L Table'!$E$2:$E$303,"Commissions")</f>
        <v>0</v>
      </c>
      <c r="D26" s="9">
        <f>SUMIFS('P&amp;L Table'!$F$2:$F$303,'P&amp;L Table'!$A$2:$A$303,"June",'P&amp;L Table'!$C$2:$C$303,$A26,'P&amp;L Table'!$E$2:$E$303,"Borrow")</f>
        <v>0</v>
      </c>
      <c r="E26" s="9">
        <f>SUMIFS('P&amp;L Table'!$F$2:$F$303,'P&amp;L Table'!$A$2:$A$303,"June",'P&amp;L Table'!$C$2:$C$303,$A26,'P&amp;L Table'!$E$2:$E$303,"Dividends / PIL")</f>
        <v>0</v>
      </c>
      <c r="F26" s="9">
        <f>SUMIFS('P&amp;L Table'!$F$2:$F$303,'P&amp;L Table'!$A$2:$A$303,"June",'P&amp;L Table'!$C$2:$C$303,$A26,'P&amp;L Table'!$E$2:$E$303,"Other")</f>
        <v>0</v>
      </c>
      <c r="G26" s="26">
        <f t="shared" si="0"/>
        <v>0</v>
      </c>
      <c r="H26" s="8">
        <f>SUMIFS('P&amp;L Table'!$F$2:$F$303,'P&amp;L Table'!$A$2:$A$303,"July",'P&amp;L Table'!$C$2:$C$303,$A26,'P&amp;L Table'!$E$2:$E$303,"MTM P&amp;L")</f>
        <v>0</v>
      </c>
      <c r="I26" s="9">
        <f>SUMIFS('P&amp;L Table'!$F$2:$F$303,'P&amp;L Table'!$A$2:$A$303,"July",'P&amp;L Table'!$C$2:$C$303,$A26,'P&amp;L Table'!$E$2:$E$303,"Commissions")</f>
        <v>0</v>
      </c>
      <c r="J26" s="9">
        <f>SUMIFS('P&amp;L Table'!$F$2:$F$303,'P&amp;L Table'!$A$2:$A$303,"July",'P&amp;L Table'!$C$2:$C$303,$A26,'P&amp;L Table'!$E$2:$E$303,"Borrow")</f>
        <v>0</v>
      </c>
      <c r="K26" s="9">
        <f>SUMIFS('P&amp;L Table'!$F$2:$F$303,'P&amp;L Table'!$A$2:$A$303,"July",'P&amp;L Table'!$C$2:$C$303,$A26,'P&amp;L Table'!$E$2:$E$303,"Dividends / PIL")</f>
        <v>0</v>
      </c>
      <c r="L26" s="9">
        <f>SUMIFS('P&amp;L Table'!$F$2:$F$303,'P&amp;L Table'!$A$2:$A$303,"July",'P&amp;L Table'!$C$2:$C$303,$A26,'P&amp;L Table'!$E$2:$E$303,"Other")</f>
        <v>0</v>
      </c>
      <c r="M26" s="26">
        <f t="shared" si="1"/>
        <v>0</v>
      </c>
      <c r="N26" s="8">
        <f>SUMIFS('P&amp;L Table'!$F$2:$F$303,'P&amp;L Table'!$A$2:$A$303,"August",'P&amp;L Table'!$C$2:$C$303,$A26,'P&amp;L Table'!$E$2:$E$303,"MTM P&amp;L")</f>
        <v>0</v>
      </c>
      <c r="O26" s="9">
        <f>SUMIFS('P&amp;L Table'!$F$2:$F$303,'P&amp;L Table'!$A$2:$A$303,"August",'P&amp;L Table'!$C$2:$C$303,$A26,'P&amp;L Table'!$E$2:$E$303,"Commissions")</f>
        <v>0</v>
      </c>
      <c r="P26" s="9">
        <f>SUMIFS('P&amp;L Table'!$F$2:$F$303,'P&amp;L Table'!$A$2:$A$303,"August",'P&amp;L Table'!$C$2:$C$303,$A26,'P&amp;L Table'!$E$2:$E$303,"Borrow")</f>
        <v>0</v>
      </c>
      <c r="Q26" s="9">
        <f>SUMIFS('P&amp;L Table'!$F$2:$F$303,'P&amp;L Table'!$A$2:$A$303,"August",'P&amp;L Table'!$C$2:$C$303,$A26,'P&amp;L Table'!$E$2:$E$303,"Dividends / PIL")</f>
        <v>0</v>
      </c>
      <c r="R26" s="9">
        <f>SUMIFS('P&amp;L Table'!$F$2:$F$303,'P&amp;L Table'!$A$2:$A$303,"August",'P&amp;L Table'!$C$2:$C$303,$A26,'P&amp;L Table'!$E$2:$E$303,"Other")</f>
        <v>0</v>
      </c>
      <c r="S26" s="26">
        <f t="shared" si="2"/>
        <v>0</v>
      </c>
      <c r="T26" s="8">
        <f>SUMIFS('P&amp;L Table'!$F$2:$F$303,'P&amp;L Table'!$A$2:$A$303,"September",'P&amp;L Table'!$C$2:$C$303,$A26,'P&amp;L Table'!$E$2:$E$303,"MTM P&amp;L")</f>
        <v>779.90000000000009</v>
      </c>
      <c r="U26" s="9">
        <f>SUMIFS('P&amp;L Table'!$F$2:$F$303,'P&amp;L Table'!$A$2:$A$303,"September",'P&amp;L Table'!$C$2:$C$303,$A26,'P&amp;L Table'!$E$2:$E$303,"Commissions")</f>
        <v>-21.740000000000002</v>
      </c>
      <c r="V26" s="9">
        <f>SUMIFS('P&amp;L Table'!$F$2:$F$303,'P&amp;L Table'!$A$2:$A$303,"September",'P&amp;L Table'!$C$2:$C$303,$A26,'P&amp;L Table'!$E$2:$E$303,"Borrow")</f>
        <v>-154.43</v>
      </c>
      <c r="W26" s="9">
        <f>SUMIFS('P&amp;L Table'!$F$2:$F$303,'P&amp;L Table'!$A$2:$A$303,"September",'P&amp;L Table'!$C$2:$C$303,$A26,'P&amp;L Table'!$E$2:$E$303,"Dividends / PIL")</f>
        <v>-251.34</v>
      </c>
      <c r="X26" s="9">
        <f>SUMIFS('P&amp;L Table'!$F$2:$F$303,'P&amp;L Table'!$A$2:$A$303,"September",'P&amp;L Table'!$C$2:$C$303,$A26,'P&amp;L Table'!$E$2:$E$303,"Other")</f>
        <v>0</v>
      </c>
      <c r="Y26" s="26">
        <f t="shared" si="3"/>
        <v>352.39</v>
      </c>
      <c r="Z26" s="8">
        <f>SUMIFS('P&amp;L Table'!$F$2:$F$303,'P&amp;L Table'!$A$2:$A$303,"October",'P&amp;L Table'!$C$2:$C$303,$A26,'P&amp;L Table'!$E$2:$E$303,"MTM P&amp;L")</f>
        <v>-2449.83</v>
      </c>
      <c r="AA26" s="9">
        <f>SUMIFS('P&amp;L Table'!$F$2:$F$303,'P&amp;L Table'!$A$2:$A$303,"October",'P&amp;L Table'!$C$2:$C$303,$A26,'P&amp;L Table'!$E$2:$E$303,"Commissions")</f>
        <v>-19.490000000000002</v>
      </c>
      <c r="AB26" s="9">
        <f>SUMIFS('P&amp;L Table'!$F$2:$F$303,'P&amp;L Table'!$A$2:$A$303,"October",'P&amp;L Table'!$C$2:$C$303,$A26,'P&amp;L Table'!$E$2:$E$303,"Borrow")</f>
        <v>-44.62</v>
      </c>
      <c r="AC26" s="9">
        <f>SUMIFS('P&amp;L Table'!$F$2:$F$303,'P&amp;L Table'!$A$2:$A$303,"October",'P&amp;L Table'!$C$2:$C$303,$A26,'P&amp;L Table'!$E$2:$E$303,"Dividends / PIL")</f>
        <v>0</v>
      </c>
      <c r="AD26" s="9">
        <f>SUMIFS('P&amp;L Table'!$F$2:$F$303,'P&amp;L Table'!$A$2:$A$303,"October",'P&amp;L Table'!$C$2:$C$303,$A26,'P&amp;L Table'!$E$2:$E$303,"Other")</f>
        <v>0</v>
      </c>
      <c r="AE26" s="26">
        <f t="shared" si="4"/>
        <v>-2513.9399999999996</v>
      </c>
      <c r="AF26" s="8">
        <f t="shared" si="5"/>
        <v>-1669.9299999999998</v>
      </c>
      <c r="AG26" s="9">
        <f t="shared" si="6"/>
        <v>-41.230000000000004</v>
      </c>
      <c r="AH26" s="9">
        <f t="shared" si="7"/>
        <v>-199.05</v>
      </c>
      <c r="AI26" s="9">
        <f t="shared" si="8"/>
        <v>-251.34</v>
      </c>
      <c r="AJ26" s="9">
        <f t="shared" si="9"/>
        <v>0</v>
      </c>
      <c r="AK26" s="26">
        <f t="shared" si="10"/>
        <v>-2161.5499999999997</v>
      </c>
      <c r="AO26" s="38"/>
      <c r="AP26" s="39"/>
    </row>
    <row r="27" spans="1:42" s="54" customFormat="1" ht="15" customHeight="1">
      <c r="A27" s="50" t="s">
        <v>31</v>
      </c>
      <c r="B27" s="51">
        <f>SUMIFS('P&amp;L Table'!$F$2:$F$303,'P&amp;L Table'!$A$2:$A$303,"June",'P&amp;L Table'!$C$2:$C$303,$A27,'P&amp;L Table'!$E$2:$E$303,"MTM P&amp;L")</f>
        <v>0</v>
      </c>
      <c r="C27" s="52">
        <f>SUMIFS('P&amp;L Table'!$F$2:$F$303,'P&amp;L Table'!$A$2:$A$303,"June",'P&amp;L Table'!$C$2:$C$303,$A27,'P&amp;L Table'!$E$2:$E$303,"Commissions")</f>
        <v>0</v>
      </c>
      <c r="D27" s="52">
        <f>SUMIFS('P&amp;L Table'!$F$2:$F$303,'P&amp;L Table'!$A$2:$A$303,"June",'P&amp;L Table'!$C$2:$C$303,$A27,'P&amp;L Table'!$E$2:$E$303,"Borrow")</f>
        <v>0</v>
      </c>
      <c r="E27" s="52">
        <f>SUMIFS('P&amp;L Table'!$F$2:$F$303,'P&amp;L Table'!$A$2:$A$303,"June",'P&amp;L Table'!$C$2:$C$303,$A27,'P&amp;L Table'!$E$2:$E$303,"Dividends / PIL")</f>
        <v>0</v>
      </c>
      <c r="F27" s="52">
        <f>SUMIFS('P&amp;L Table'!$F$2:$F$303,'P&amp;L Table'!$A$2:$A$303,"June",'P&amp;L Table'!$C$2:$C$303,$A27,'P&amp;L Table'!$E$2:$E$303,"Other")</f>
        <v>0</v>
      </c>
      <c r="G27" s="53">
        <f t="shared" si="0"/>
        <v>0</v>
      </c>
      <c r="H27" s="51">
        <f>SUMIFS('P&amp;L Table'!$F$2:$F$303,'P&amp;L Table'!$A$2:$A$303,"July",'P&amp;L Table'!$C$2:$C$303,$A27,'P&amp;L Table'!$E$2:$E$303,"MTM P&amp;L")</f>
        <v>0</v>
      </c>
      <c r="I27" s="52">
        <f>SUMIFS('P&amp;L Table'!$F$2:$F$303,'P&amp;L Table'!$A$2:$A$303,"July",'P&amp;L Table'!$C$2:$C$303,$A27,'P&amp;L Table'!$E$2:$E$303,"Commissions")</f>
        <v>0</v>
      </c>
      <c r="J27" s="52">
        <f>SUMIFS('P&amp;L Table'!$F$2:$F$303,'P&amp;L Table'!$A$2:$A$303,"July",'P&amp;L Table'!$C$2:$C$303,$A27,'P&amp;L Table'!$E$2:$E$303,"Borrow")</f>
        <v>0</v>
      </c>
      <c r="K27" s="52">
        <f>SUMIFS('P&amp;L Table'!$F$2:$F$303,'P&amp;L Table'!$A$2:$A$303,"July",'P&amp;L Table'!$C$2:$C$303,$A27,'P&amp;L Table'!$E$2:$E$303,"Dividends / PIL")</f>
        <v>0</v>
      </c>
      <c r="L27" s="52">
        <f>SUMIFS('P&amp;L Table'!$F$2:$F$303,'P&amp;L Table'!$A$2:$A$303,"July",'P&amp;L Table'!$C$2:$C$303,$A27,'P&amp;L Table'!$E$2:$E$303,"Other")</f>
        <v>0</v>
      </c>
      <c r="M27" s="53">
        <f t="shared" si="1"/>
        <v>0</v>
      </c>
      <c r="N27" s="51">
        <f>SUMIFS('P&amp;L Table'!$F$2:$F$303,'P&amp;L Table'!$A$2:$A$303,"August",'P&amp;L Table'!$C$2:$C$303,$A27,'P&amp;L Table'!$E$2:$E$303,"MTM P&amp;L")</f>
        <v>0</v>
      </c>
      <c r="O27" s="52">
        <f>SUMIFS('P&amp;L Table'!$F$2:$F$303,'P&amp;L Table'!$A$2:$A$303,"August",'P&amp;L Table'!$C$2:$C$303,$A27,'P&amp;L Table'!$E$2:$E$303,"Commissions")</f>
        <v>0</v>
      </c>
      <c r="P27" s="52">
        <f>SUMIFS('P&amp;L Table'!$F$2:$F$303,'P&amp;L Table'!$A$2:$A$303,"August",'P&amp;L Table'!$C$2:$C$303,$A27,'P&amp;L Table'!$E$2:$E$303,"Borrow")</f>
        <v>0</v>
      </c>
      <c r="Q27" s="52">
        <f>SUMIFS('P&amp;L Table'!$F$2:$F$303,'P&amp;L Table'!$A$2:$A$303,"August",'P&amp;L Table'!$C$2:$C$303,$A27,'P&amp;L Table'!$E$2:$E$303,"Dividends / PIL")</f>
        <v>0</v>
      </c>
      <c r="R27" s="52">
        <f>SUMIFS('P&amp;L Table'!$F$2:$F$303,'P&amp;L Table'!$A$2:$A$303,"August",'P&amp;L Table'!$C$2:$C$303,$A27,'P&amp;L Table'!$E$2:$E$303,"Other")</f>
        <v>0</v>
      </c>
      <c r="S27" s="53">
        <f t="shared" si="2"/>
        <v>0</v>
      </c>
      <c r="T27" s="51">
        <f>SUMIFS('P&amp;L Table'!$F$2:$F$303,'P&amp;L Table'!$A$2:$A$303,"September",'P&amp;L Table'!$C$2:$C$303,$A27,'P&amp;L Table'!$E$2:$E$303,"MTM P&amp;L")</f>
        <v>475.30000000000018</v>
      </c>
      <c r="U27" s="52">
        <f>SUMIFS('P&amp;L Table'!$F$2:$F$303,'P&amp;L Table'!$A$2:$A$303,"September",'P&amp;L Table'!$C$2:$C$303,$A27,'P&amp;L Table'!$E$2:$E$303,"Commissions")</f>
        <v>-79.73</v>
      </c>
      <c r="V27" s="52">
        <f>SUMIFS('P&amp;L Table'!$F$2:$F$303,'P&amp;L Table'!$A$2:$A$303,"September",'P&amp;L Table'!$C$2:$C$303,$A27,'P&amp;L Table'!$E$2:$E$303,"Borrow")</f>
        <v>-9.0500000000000007</v>
      </c>
      <c r="W27" s="52">
        <f>SUMIFS('P&amp;L Table'!$F$2:$F$303,'P&amp;L Table'!$A$2:$A$303,"September",'P&amp;L Table'!$C$2:$C$303,$A27,'P&amp;L Table'!$E$2:$E$303,"Dividends / PIL")</f>
        <v>0</v>
      </c>
      <c r="X27" s="52">
        <f>SUMIFS('P&amp;L Table'!$F$2:$F$303,'P&amp;L Table'!$A$2:$A$303,"September",'P&amp;L Table'!$C$2:$C$303,$A27,'P&amp;L Table'!$E$2:$E$303,"Other")</f>
        <v>0</v>
      </c>
      <c r="Y27" s="53">
        <f t="shared" si="3"/>
        <v>386.52000000000015</v>
      </c>
      <c r="Z27" s="51">
        <f>SUMIFS('P&amp;L Table'!$F$2:$F$303,'P&amp;L Table'!$A$2:$A$303,"October",'P&amp;L Table'!$C$2:$C$303,$A27,'P&amp;L Table'!$E$2:$E$303,"MTM P&amp;L")</f>
        <v>-5420.4700000000012</v>
      </c>
      <c r="AA27" s="52">
        <f>SUMIFS('P&amp;L Table'!$F$2:$F$303,'P&amp;L Table'!$A$2:$A$303,"October",'P&amp;L Table'!$C$2:$C$303,$A27,'P&amp;L Table'!$E$2:$E$303,"Commissions")</f>
        <v>-11.67</v>
      </c>
      <c r="AB27" s="52">
        <f>SUMIFS('P&amp;L Table'!$F$2:$F$303,'P&amp;L Table'!$A$2:$A$303,"October",'P&amp;L Table'!$C$2:$C$303,$A27,'P&amp;L Table'!$E$2:$E$303,"Borrow")</f>
        <v>-83.51</v>
      </c>
      <c r="AC27" s="52">
        <f>SUMIFS('P&amp;L Table'!$F$2:$F$303,'P&amp;L Table'!$A$2:$A$303,"October",'P&amp;L Table'!$C$2:$C$303,$A27,'P&amp;L Table'!$E$2:$E$303,"Dividends / PIL")</f>
        <v>0</v>
      </c>
      <c r="AD27" s="52">
        <f>SUMIFS('P&amp;L Table'!$F$2:$F$303,'P&amp;L Table'!$A$2:$A$303,"October",'P&amp;L Table'!$C$2:$C$303,$A27,'P&amp;L Table'!$E$2:$E$303,"Other")</f>
        <v>0</v>
      </c>
      <c r="AE27" s="53">
        <f t="shared" si="4"/>
        <v>-5515.6500000000015</v>
      </c>
      <c r="AF27" s="51">
        <f t="shared" si="5"/>
        <v>-4945.170000000001</v>
      </c>
      <c r="AG27" s="52">
        <f t="shared" si="6"/>
        <v>-91.4</v>
      </c>
      <c r="AH27" s="52">
        <f t="shared" si="7"/>
        <v>-92.56</v>
      </c>
      <c r="AI27" s="52">
        <f t="shared" si="8"/>
        <v>0</v>
      </c>
      <c r="AJ27" s="52">
        <f t="shared" si="9"/>
        <v>0</v>
      </c>
      <c r="AK27" s="53">
        <f t="shared" si="10"/>
        <v>-5129.130000000001</v>
      </c>
      <c r="AM27" s="29"/>
      <c r="AN27" s="1"/>
      <c r="AO27" s="56"/>
      <c r="AP27" s="57"/>
    </row>
    <row r="28" spans="1:42" ht="15" customHeight="1">
      <c r="A28" s="14" t="s">
        <v>120</v>
      </c>
      <c r="B28" s="10">
        <f t="shared" ref="B28:AK28" si="11">SUM(B5:B27)</f>
        <v>-62.989999999999995</v>
      </c>
      <c r="C28" s="11">
        <f t="shared" si="11"/>
        <v>-18.12</v>
      </c>
      <c r="D28" s="11">
        <f t="shared" si="11"/>
        <v>0</v>
      </c>
      <c r="E28" s="11">
        <f t="shared" si="11"/>
        <v>0</v>
      </c>
      <c r="F28" s="11">
        <f t="shared" si="11"/>
        <v>0</v>
      </c>
      <c r="G28" s="27">
        <f t="shared" si="11"/>
        <v>-81.11</v>
      </c>
      <c r="H28" s="10">
        <f t="shared" si="11"/>
        <v>-3551.3500000000004</v>
      </c>
      <c r="I28" s="11">
        <f t="shared" si="11"/>
        <v>-455.67</v>
      </c>
      <c r="J28" s="11">
        <f t="shared" si="11"/>
        <v>-397.96</v>
      </c>
      <c r="K28" s="11">
        <f t="shared" si="11"/>
        <v>0</v>
      </c>
      <c r="L28" s="11">
        <f t="shared" si="11"/>
        <v>0</v>
      </c>
      <c r="M28" s="27">
        <f t="shared" si="11"/>
        <v>-4404.9799999999996</v>
      </c>
      <c r="N28" s="10">
        <f t="shared" si="11"/>
        <v>2995.4100000000008</v>
      </c>
      <c r="O28" s="11">
        <f t="shared" si="11"/>
        <v>-557.99</v>
      </c>
      <c r="P28" s="11">
        <f t="shared" si="11"/>
        <v>-889.58</v>
      </c>
      <c r="Q28" s="11">
        <f t="shared" si="11"/>
        <v>-1828.92</v>
      </c>
      <c r="R28" s="11">
        <f t="shared" si="11"/>
        <v>0</v>
      </c>
      <c r="S28" s="27">
        <f t="shared" si="11"/>
        <v>-281.0799999999997</v>
      </c>
      <c r="T28" s="10">
        <f t="shared" si="11"/>
        <v>12865.920000000002</v>
      </c>
      <c r="U28" s="11">
        <f t="shared" si="11"/>
        <v>-1112.4799999999998</v>
      </c>
      <c r="V28" s="11">
        <f t="shared" si="11"/>
        <v>-2308.9399999999996</v>
      </c>
      <c r="W28" s="11">
        <f t="shared" si="11"/>
        <v>590.02</v>
      </c>
      <c r="X28" s="11">
        <f t="shared" si="11"/>
        <v>0</v>
      </c>
      <c r="Y28" s="27">
        <f t="shared" si="11"/>
        <v>10034.52</v>
      </c>
      <c r="Z28" s="10">
        <f t="shared" si="11"/>
        <v>-6399.0200000000023</v>
      </c>
      <c r="AA28" s="11">
        <f t="shared" si="11"/>
        <v>-658.02</v>
      </c>
      <c r="AB28" s="11">
        <f t="shared" si="11"/>
        <v>-1127.76</v>
      </c>
      <c r="AC28" s="11">
        <f t="shared" si="11"/>
        <v>0</v>
      </c>
      <c r="AD28" s="11">
        <f t="shared" si="11"/>
        <v>0</v>
      </c>
      <c r="AE28" s="27">
        <f t="shared" si="11"/>
        <v>-8184.8000000000029</v>
      </c>
      <c r="AF28" s="10">
        <f t="shared" si="11"/>
        <v>5847.9700000000057</v>
      </c>
      <c r="AG28" s="11">
        <f t="shared" si="11"/>
        <v>-2802.28</v>
      </c>
      <c r="AH28" s="11">
        <f t="shared" si="11"/>
        <v>-4724.2400000000007</v>
      </c>
      <c r="AI28" s="11">
        <f t="shared" si="11"/>
        <v>-1238.8999999999999</v>
      </c>
      <c r="AJ28" s="11">
        <f t="shared" si="11"/>
        <v>0</v>
      </c>
      <c r="AK28" s="27">
        <f t="shared" si="11"/>
        <v>-2917.4499999999975</v>
      </c>
    </row>
    <row r="29" spans="1:42" ht="15" customHeight="1">
      <c r="A29" s="15" t="s">
        <v>121</v>
      </c>
      <c r="B29" s="6"/>
      <c r="C29" s="7"/>
      <c r="D29" s="7"/>
      <c r="E29" s="7"/>
      <c r="F29" s="7"/>
      <c r="G29" s="25"/>
      <c r="H29" s="6"/>
      <c r="I29" s="7"/>
      <c r="J29" s="7"/>
      <c r="K29" s="7"/>
      <c r="L29" s="7"/>
      <c r="M29" s="25"/>
      <c r="N29" s="6"/>
      <c r="O29" s="7"/>
      <c r="P29" s="7"/>
      <c r="Q29" s="7"/>
      <c r="R29" s="7"/>
      <c r="S29" s="25"/>
      <c r="T29" s="6"/>
      <c r="U29" s="7"/>
      <c r="V29" s="7"/>
      <c r="W29" s="7"/>
      <c r="X29" s="7"/>
      <c r="Y29" s="25"/>
      <c r="Z29" s="6"/>
      <c r="AA29" s="7"/>
      <c r="AB29" s="7"/>
      <c r="AC29" s="7"/>
      <c r="AD29" s="7"/>
      <c r="AE29" s="25"/>
      <c r="AF29" s="6"/>
      <c r="AG29" s="7"/>
      <c r="AH29" s="7"/>
      <c r="AI29" s="7"/>
      <c r="AJ29" s="7"/>
      <c r="AK29" s="25"/>
    </row>
    <row r="30" spans="1:42" ht="15" customHeight="1">
      <c r="A30" s="16" t="s">
        <v>10</v>
      </c>
      <c r="B30" s="8">
        <f>SUMIFS('P&amp;L Table'!$F$2:$F$303,'P&amp;L Table'!$A$2:$A$303,"June",'P&amp;L Table'!$C$2:$C$303,$A30,'P&amp;L Table'!$E$2:$E$303,"MTM P&amp;L")</f>
        <v>10378</v>
      </c>
      <c r="C30" s="9">
        <f>SUMIFS('P&amp;L Table'!$F$2:$F$303,'P&amp;L Table'!$A$2:$A$303,"June",'P&amp;L Table'!$C$2:$C$303,$A30,'P&amp;L Table'!$E$2:$E$303,"Commissions")</f>
        <v>-1982.1999999999998</v>
      </c>
      <c r="D30" s="9">
        <f>SUMIFS('P&amp;L Table'!$F$2:$F$303,'P&amp;L Table'!$A$2:$A$303,"June",'P&amp;L Table'!$C$2:$C$303,$A30,'P&amp;L Table'!$E$2:$E$303,"Borrow")</f>
        <v>0</v>
      </c>
      <c r="E30" s="9">
        <f>SUMIFS('P&amp;L Table'!$F$2:$F$303,'P&amp;L Table'!$A$2:$A$303,"June",'P&amp;L Table'!$C$2:$C$303,$A30,'P&amp;L Table'!$E$2:$E$303,"Dividends / PIL")</f>
        <v>0</v>
      </c>
      <c r="F30" s="9">
        <f>SUMIFS('P&amp;L Table'!$F$2:$F$303,'P&amp;L Table'!$A$2:$A$303,"June",'P&amp;L Table'!$C$2:$C$303,$A30,'P&amp;L Table'!$E$2:$E$303,"Other")</f>
        <v>0</v>
      </c>
      <c r="G30" s="26">
        <f>SUM(B30:F30)</f>
        <v>8395.7999999999993</v>
      </c>
      <c r="H30" s="8">
        <f>SUMIFS('P&amp;L Table'!$F$2:$F$303,'P&amp;L Table'!$A$2:$A$303,"July",'P&amp;L Table'!$C$2:$C$303,$A30,'P&amp;L Table'!$E$2:$E$303,"MTM P&amp;L")</f>
        <v>1180</v>
      </c>
      <c r="I30" s="9">
        <f>SUMIFS('P&amp;L Table'!$F$2:$F$303,'P&amp;L Table'!$A$2:$A$303,"July",'P&amp;L Table'!$C$2:$C$303,$A30,'P&amp;L Table'!$E$2:$E$303,"Commissions")</f>
        <v>-600.52</v>
      </c>
      <c r="J30" s="9">
        <f>SUMIFS('P&amp;L Table'!$F$2:$F$303,'P&amp;L Table'!$A$2:$A$303,"July",'P&amp;L Table'!$C$2:$C$303,$A30,'P&amp;L Table'!$E$2:$E$303,"Borrow")</f>
        <v>0</v>
      </c>
      <c r="K30" s="9">
        <f>SUMIFS('P&amp;L Table'!$F$2:$F$303,'P&amp;L Table'!$A$2:$A$303,"July",'P&amp;L Table'!$C$2:$C$303,$A30,'P&amp;L Table'!$E$2:$E$303,"Dividends / PIL")</f>
        <v>0</v>
      </c>
      <c r="L30" s="9">
        <f>SUMIFS('P&amp;L Table'!$F$2:$F$303,'P&amp;L Table'!$A$2:$A$303,"July",'P&amp;L Table'!$C$2:$C$303,$A30,'P&amp;L Table'!$E$2:$E$303,"Other")</f>
        <v>0</v>
      </c>
      <c r="M30" s="26">
        <f>SUM(H30:L30)</f>
        <v>579.48</v>
      </c>
      <c r="N30" s="8">
        <f>SUMIFS('P&amp;L Table'!$F$2:$F$303,'P&amp;L Table'!$A$2:$A$303,"August",'P&amp;L Table'!$C$2:$C$303,$A30,'P&amp;L Table'!$E$2:$E$303,"MTM P&amp;L")</f>
        <v>1275</v>
      </c>
      <c r="O30" s="9">
        <f>SUMIFS('P&amp;L Table'!$F$2:$F$303,'P&amp;L Table'!$A$2:$A$303,"August",'P&amp;L Table'!$C$2:$C$303,$A30,'P&amp;L Table'!$E$2:$E$303,"Commissions")</f>
        <v>-250.2</v>
      </c>
      <c r="P30" s="9">
        <f>SUMIFS('P&amp;L Table'!$F$2:$F$303,'P&amp;L Table'!$A$2:$A$303,"August",'P&amp;L Table'!$C$2:$C$303,$A30,'P&amp;L Table'!$E$2:$E$303,"Borrow")</f>
        <v>0</v>
      </c>
      <c r="Q30" s="9">
        <f>SUMIFS('P&amp;L Table'!$F$2:$F$303,'P&amp;L Table'!$A$2:$A$303,"August",'P&amp;L Table'!$C$2:$C$303,$A30,'P&amp;L Table'!$E$2:$E$303,"Dividends / PIL")</f>
        <v>0</v>
      </c>
      <c r="R30" s="9">
        <f>SUMIFS('P&amp;L Table'!$F$2:$F$303,'P&amp;L Table'!$A$2:$A$303,"August",'P&amp;L Table'!$C$2:$C$303,$A30,'P&amp;L Table'!$E$2:$E$303,"Other")</f>
        <v>0</v>
      </c>
      <c r="S30" s="26">
        <f>SUM(N30:R30)</f>
        <v>1024.8</v>
      </c>
      <c r="T30" s="8">
        <f>SUMIFS('P&amp;L Table'!$F$2:$F$303,'P&amp;L Table'!$A$2:$A$303,"September",'P&amp;L Table'!$C$2:$C$303,$A30,'P&amp;L Table'!$E$2:$E$303,"MTM P&amp;L")</f>
        <v>890</v>
      </c>
      <c r="U30" s="9">
        <f>SUMIFS('P&amp;L Table'!$F$2:$F$303,'P&amp;L Table'!$A$2:$A$303,"September",'P&amp;L Table'!$C$2:$C$303,$A30,'P&amp;L Table'!$E$2:$E$303,"Commissions")</f>
        <v>-475.38</v>
      </c>
      <c r="V30" s="9">
        <f>SUMIFS('P&amp;L Table'!$F$2:$F$303,'P&amp;L Table'!$A$2:$A$303,"September",'P&amp;L Table'!$C$2:$C$303,$A30,'P&amp;L Table'!$E$2:$E$303,"Borrow")</f>
        <v>0</v>
      </c>
      <c r="W30" s="9">
        <f>SUMIFS('P&amp;L Table'!$F$2:$F$303,'P&amp;L Table'!$A$2:$A$303,"September",'P&amp;L Table'!$C$2:$C$303,$A30,'P&amp;L Table'!$E$2:$E$303,"Dividends / PIL")</f>
        <v>0</v>
      </c>
      <c r="X30" s="9">
        <f>SUMIFS('P&amp;L Table'!$F$2:$F$303,'P&amp;L Table'!$A$2:$A$303,"September",'P&amp;L Table'!$C$2:$C$303,$A30,'P&amp;L Table'!$E$2:$E$303,"Other")</f>
        <v>0</v>
      </c>
      <c r="Y30" s="26">
        <f>SUM(T30:X30)</f>
        <v>414.62</v>
      </c>
      <c r="Z30" s="8">
        <f>SUMIFS('P&amp;L Table'!$F$2:$F$303,'P&amp;L Table'!$A$2:$A$303,"October",'P&amp;L Table'!$C$2:$C$303,$A30,'P&amp;L Table'!$E$2:$E$303,"MTM P&amp;L")</f>
        <v>760</v>
      </c>
      <c r="AA30" s="9">
        <f>SUMIFS('P&amp;L Table'!$F$2:$F$303,'P&amp;L Table'!$A$2:$A$303,"October",'P&amp;L Table'!$C$2:$C$303,$A30,'P&amp;L Table'!$E$2:$E$303,"Commissions")</f>
        <v>-238.68</v>
      </c>
      <c r="AB30" s="9">
        <f>SUMIFS('P&amp;L Table'!$F$2:$F$303,'P&amp;L Table'!$A$2:$A$303,"October",'P&amp;L Table'!$C$2:$C$303,$A30,'P&amp;L Table'!$E$2:$E$303,"Borrow")</f>
        <v>0</v>
      </c>
      <c r="AC30" s="9">
        <f>SUMIFS('P&amp;L Table'!$F$2:$F$303,'P&amp;L Table'!$A$2:$A$303,"October",'P&amp;L Table'!$C$2:$C$303,$A30,'P&amp;L Table'!$E$2:$E$303,"Dividends / PIL")</f>
        <v>0</v>
      </c>
      <c r="AD30" s="9">
        <f>SUMIFS('P&amp;L Table'!$F$2:$F$303,'P&amp;L Table'!$A$2:$A$303,"October",'P&amp;L Table'!$C$2:$C$303,$A30,'P&amp;L Table'!$E$2:$E$303,"Other")</f>
        <v>0</v>
      </c>
      <c r="AE30" s="26">
        <f>SUM(Z30:AD30)</f>
        <v>521.31999999999994</v>
      </c>
      <c r="AF30" s="8">
        <f t="shared" ref="AF30:AK32" si="12">SUM(B30,H30,N30,T30,Z30)</f>
        <v>14483</v>
      </c>
      <c r="AG30" s="9">
        <f t="shared" si="12"/>
        <v>-3546.9799999999996</v>
      </c>
      <c r="AH30" s="9">
        <f t="shared" si="12"/>
        <v>0</v>
      </c>
      <c r="AI30" s="9">
        <f t="shared" si="12"/>
        <v>0</v>
      </c>
      <c r="AJ30" s="9">
        <f t="shared" si="12"/>
        <v>0</v>
      </c>
      <c r="AK30" s="26">
        <f t="shared" si="12"/>
        <v>10936.019999999999</v>
      </c>
    </row>
    <row r="31" spans="1:42" ht="15" customHeight="1">
      <c r="A31" s="16" t="s">
        <v>11</v>
      </c>
      <c r="B31" s="8">
        <f>SUMIFS('P&amp;L Table'!$F$2:$F$303,'P&amp;L Table'!$A$2:$A$303,"June",'P&amp;L Table'!$C$2:$C$303,$A31,'P&amp;L Table'!$E$2:$E$303,"MTM P&amp;L")</f>
        <v>1195</v>
      </c>
      <c r="C31" s="9">
        <f>SUMIFS('P&amp;L Table'!$F$2:$F$303,'P&amp;L Table'!$A$2:$A$303,"June",'P&amp;L Table'!$C$2:$C$303,$A31,'P&amp;L Table'!$E$2:$E$303,"Commissions")</f>
        <v>-170.39999999999998</v>
      </c>
      <c r="D31" s="9">
        <f>SUMIFS('P&amp;L Table'!$F$2:$F$303,'P&amp;L Table'!$A$2:$A$303,"June",'P&amp;L Table'!$C$2:$C$303,$A31,'P&amp;L Table'!$E$2:$E$303,"Borrow")</f>
        <v>0</v>
      </c>
      <c r="E31" s="9">
        <f>SUMIFS('P&amp;L Table'!$F$2:$F$303,'P&amp;L Table'!$A$2:$A$303,"June",'P&amp;L Table'!$C$2:$C$303,$A31,'P&amp;L Table'!$E$2:$E$303,"Dividends / PIL")</f>
        <v>0</v>
      </c>
      <c r="F31" s="9">
        <f>SUMIFS('P&amp;L Table'!$F$2:$F$303,'P&amp;L Table'!$A$2:$A$303,"June",'P&amp;L Table'!$C$2:$C$303,$A31,'P&amp;L Table'!$E$2:$E$303,"Other")</f>
        <v>0</v>
      </c>
      <c r="G31" s="26">
        <f>SUM(B31:F31)</f>
        <v>1024.5999999999999</v>
      </c>
      <c r="H31" s="8">
        <f>SUMIFS('P&amp;L Table'!$F$2:$F$303,'P&amp;L Table'!$A$2:$A$303,"July",'P&amp;L Table'!$C$2:$C$303,$A31,'P&amp;L Table'!$E$2:$E$303,"MTM P&amp;L")</f>
        <v>275</v>
      </c>
      <c r="I31" s="9">
        <f>SUMIFS('P&amp;L Table'!$F$2:$F$303,'P&amp;L Table'!$A$2:$A$303,"July",'P&amp;L Table'!$C$2:$C$303,$A31,'P&amp;L Table'!$E$2:$E$303,"Commissions")</f>
        <v>-85.12</v>
      </c>
      <c r="J31" s="9">
        <f>SUMIFS('P&amp;L Table'!$F$2:$F$303,'P&amp;L Table'!$A$2:$A$303,"July",'P&amp;L Table'!$C$2:$C$303,$A31,'P&amp;L Table'!$E$2:$E$303,"Borrow")</f>
        <v>0</v>
      </c>
      <c r="K31" s="9">
        <f>SUMIFS('P&amp;L Table'!$F$2:$F$303,'P&amp;L Table'!$A$2:$A$303,"July",'P&amp;L Table'!$C$2:$C$303,$A31,'P&amp;L Table'!$E$2:$E$303,"Dividends / PIL")</f>
        <v>0</v>
      </c>
      <c r="L31" s="9">
        <f>SUMIFS('P&amp;L Table'!$F$2:$F$303,'P&amp;L Table'!$A$2:$A$303,"July",'P&amp;L Table'!$C$2:$C$303,$A31,'P&amp;L Table'!$E$2:$E$303,"Other")</f>
        <v>0</v>
      </c>
      <c r="M31" s="26">
        <f>SUM(H31:L31)</f>
        <v>189.88</v>
      </c>
      <c r="N31" s="8">
        <f>SUMIFS('P&amp;L Table'!$F$2:$F$303,'P&amp;L Table'!$A$2:$A$303,"August",'P&amp;L Table'!$C$2:$C$303,$A31,'P&amp;L Table'!$E$2:$E$303,"MTM P&amp;L")</f>
        <v>0</v>
      </c>
      <c r="O31" s="9">
        <f>SUMIFS('P&amp;L Table'!$F$2:$F$303,'P&amp;L Table'!$A$2:$A$303,"August",'P&amp;L Table'!$C$2:$C$303,$A31,'P&amp;L Table'!$E$2:$E$303,"Commissions")</f>
        <v>0</v>
      </c>
      <c r="P31" s="9">
        <f>SUMIFS('P&amp;L Table'!$F$2:$F$303,'P&amp;L Table'!$A$2:$A$303,"August",'P&amp;L Table'!$C$2:$C$303,$A31,'P&amp;L Table'!$E$2:$E$303,"Borrow")</f>
        <v>0</v>
      </c>
      <c r="Q31" s="9">
        <f>SUMIFS('P&amp;L Table'!$F$2:$F$303,'P&amp;L Table'!$A$2:$A$303,"August",'P&amp;L Table'!$C$2:$C$303,$A31,'P&amp;L Table'!$E$2:$E$303,"Dividends / PIL")</f>
        <v>0</v>
      </c>
      <c r="R31" s="9">
        <f>SUMIFS('P&amp;L Table'!$F$2:$F$303,'P&amp;L Table'!$A$2:$A$303,"August",'P&amp;L Table'!$C$2:$C$303,$A31,'P&amp;L Table'!$E$2:$E$303,"Other")</f>
        <v>0</v>
      </c>
      <c r="S31" s="26">
        <f>SUM(N31:R31)</f>
        <v>0</v>
      </c>
      <c r="T31" s="8">
        <f>SUMIFS('P&amp;L Table'!$F$2:$F$303,'P&amp;L Table'!$A$2:$A$303,"September",'P&amp;L Table'!$C$2:$C$303,$A31,'P&amp;L Table'!$E$2:$E$303,"MTM P&amp;L")</f>
        <v>0</v>
      </c>
      <c r="U31" s="9">
        <f>SUMIFS('P&amp;L Table'!$F$2:$F$303,'P&amp;L Table'!$A$2:$A$303,"September",'P&amp;L Table'!$C$2:$C$303,$A31,'P&amp;L Table'!$E$2:$E$303,"Commissions")</f>
        <v>0</v>
      </c>
      <c r="V31" s="9">
        <f>SUMIFS('P&amp;L Table'!$F$2:$F$303,'P&amp;L Table'!$A$2:$A$303,"September",'P&amp;L Table'!$C$2:$C$303,$A31,'P&amp;L Table'!$E$2:$E$303,"Borrow")</f>
        <v>0</v>
      </c>
      <c r="W31" s="9">
        <f>SUMIFS('P&amp;L Table'!$F$2:$F$303,'P&amp;L Table'!$A$2:$A$303,"September",'P&amp;L Table'!$C$2:$C$303,$A31,'P&amp;L Table'!$E$2:$E$303,"Dividends / PIL")</f>
        <v>0</v>
      </c>
      <c r="X31" s="9">
        <f>SUMIFS('P&amp;L Table'!$F$2:$F$303,'P&amp;L Table'!$A$2:$A$303,"September",'P&amp;L Table'!$C$2:$C$303,$A31,'P&amp;L Table'!$E$2:$E$303,"Other")</f>
        <v>0</v>
      </c>
      <c r="Y31" s="26">
        <f>SUM(T31:X31)</f>
        <v>0</v>
      </c>
      <c r="Z31" s="8">
        <f>SUMIFS('P&amp;L Table'!$F$2:$F$303,'P&amp;L Table'!$A$2:$A$303,"October",'P&amp;L Table'!$C$2:$C$303,$A31,'P&amp;L Table'!$E$2:$E$303,"MTM P&amp;L")</f>
        <v>0</v>
      </c>
      <c r="AA31" s="9">
        <f>SUMIFS('P&amp;L Table'!$F$2:$F$303,'P&amp;L Table'!$A$2:$A$303,"October",'P&amp;L Table'!$C$2:$C$303,$A31,'P&amp;L Table'!$E$2:$E$303,"Commissions")</f>
        <v>0</v>
      </c>
      <c r="AB31" s="9">
        <f>SUMIFS('P&amp;L Table'!$F$2:$F$303,'P&amp;L Table'!$A$2:$A$303,"October",'P&amp;L Table'!$C$2:$C$303,$A31,'P&amp;L Table'!$E$2:$E$303,"Borrow")</f>
        <v>0</v>
      </c>
      <c r="AC31" s="9">
        <f>SUMIFS('P&amp;L Table'!$F$2:$F$303,'P&amp;L Table'!$A$2:$A$303,"October",'P&amp;L Table'!$C$2:$C$303,$A31,'P&amp;L Table'!$E$2:$E$303,"Dividends / PIL")</f>
        <v>0</v>
      </c>
      <c r="AD31" s="9">
        <f>SUMIFS('P&amp;L Table'!$F$2:$F$303,'P&amp;L Table'!$A$2:$A$303,"October",'P&amp;L Table'!$C$2:$C$303,$A31,'P&amp;L Table'!$E$2:$E$303,"Other")</f>
        <v>0</v>
      </c>
      <c r="AE31" s="26">
        <f>SUM(Z31:AD31)</f>
        <v>0</v>
      </c>
      <c r="AF31" s="8">
        <f t="shared" si="12"/>
        <v>1470</v>
      </c>
      <c r="AG31" s="9">
        <f t="shared" si="12"/>
        <v>-255.51999999999998</v>
      </c>
      <c r="AH31" s="9">
        <f t="shared" si="12"/>
        <v>0</v>
      </c>
      <c r="AI31" s="9">
        <f t="shared" si="12"/>
        <v>0</v>
      </c>
      <c r="AJ31" s="9">
        <f t="shared" si="12"/>
        <v>0</v>
      </c>
      <c r="AK31" s="26">
        <f t="shared" si="12"/>
        <v>1214.48</v>
      </c>
    </row>
    <row r="32" spans="1:42" s="54" customFormat="1" ht="15" customHeight="1">
      <c r="A32" s="50" t="s">
        <v>12</v>
      </c>
      <c r="B32" s="51">
        <f>SUMIFS('P&amp;L Table'!$F$2:$F$303,'P&amp;L Table'!$A$2:$A$303,"June",'P&amp;L Table'!$C$2:$C$303,$A32,'P&amp;L Table'!$E$2:$E$303,"MTM P&amp;L")</f>
        <v>31.25</v>
      </c>
      <c r="C32" s="52">
        <f>SUMIFS('P&amp;L Table'!$F$2:$F$303,'P&amp;L Table'!$A$2:$A$303,"June",'P&amp;L Table'!$C$2:$C$303,$A32,'P&amp;L Table'!$E$2:$E$303,"Commissions")</f>
        <v>-1.83</v>
      </c>
      <c r="D32" s="52">
        <f>SUMIFS('P&amp;L Table'!$F$2:$F$303,'P&amp;L Table'!$A$2:$A$303,"June",'P&amp;L Table'!$C$2:$C$303,$A32,'P&amp;L Table'!$E$2:$E$303,"Borrow")</f>
        <v>0</v>
      </c>
      <c r="E32" s="52">
        <f>SUMIFS('P&amp;L Table'!$F$2:$F$303,'P&amp;L Table'!$A$2:$A$303,"June",'P&amp;L Table'!$C$2:$C$303,$A32,'P&amp;L Table'!$E$2:$E$303,"Dividends / PIL")</f>
        <v>0</v>
      </c>
      <c r="F32" s="52">
        <f>SUMIFS('P&amp;L Table'!$F$2:$F$303,'P&amp;L Table'!$A$2:$A$303,"June",'P&amp;L Table'!$C$2:$C$303,$A32,'P&amp;L Table'!$E$2:$E$303,"Other")</f>
        <v>0</v>
      </c>
      <c r="G32" s="53">
        <f>SUM(B32:F32)</f>
        <v>29.42</v>
      </c>
      <c r="H32" s="51">
        <f>SUMIFS('P&amp;L Table'!$F$2:$F$303,'P&amp;L Table'!$A$2:$A$303,"July",'P&amp;L Table'!$C$2:$C$303,$A32,'P&amp;L Table'!$E$2:$E$303,"MTM P&amp;L")</f>
        <v>41.68</v>
      </c>
      <c r="I32" s="52">
        <f>SUMIFS('P&amp;L Table'!$F$2:$F$303,'P&amp;L Table'!$A$2:$A$303,"July",'P&amp;L Table'!$C$2:$C$303,$A32,'P&amp;L Table'!$E$2:$E$303,"Commissions")</f>
        <v>-1.82</v>
      </c>
      <c r="J32" s="52">
        <f>SUMIFS('P&amp;L Table'!$F$2:$F$303,'P&amp;L Table'!$A$2:$A$303,"July",'P&amp;L Table'!$C$2:$C$303,$A32,'P&amp;L Table'!$E$2:$E$303,"Borrow")</f>
        <v>0</v>
      </c>
      <c r="K32" s="52">
        <f>SUMIFS('P&amp;L Table'!$F$2:$F$303,'P&amp;L Table'!$A$2:$A$303,"July",'P&amp;L Table'!$C$2:$C$303,$A32,'P&amp;L Table'!$E$2:$E$303,"Dividends / PIL")</f>
        <v>0</v>
      </c>
      <c r="L32" s="52">
        <f>SUMIFS('P&amp;L Table'!$F$2:$F$303,'P&amp;L Table'!$A$2:$A$303,"July",'P&amp;L Table'!$C$2:$C$303,$A32,'P&amp;L Table'!$E$2:$E$303,"Other")</f>
        <v>0</v>
      </c>
      <c r="M32" s="53">
        <f>SUM(H32:L32)</f>
        <v>39.86</v>
      </c>
      <c r="N32" s="51">
        <f>SUMIFS('P&amp;L Table'!$F$2:$F$303,'P&amp;L Table'!$A$2:$A$303,"August",'P&amp;L Table'!$C$2:$C$303,$A32,'P&amp;L Table'!$E$2:$E$303,"MTM P&amp;L")</f>
        <v>-2.08</v>
      </c>
      <c r="O32" s="52">
        <f>SUMIFS('P&amp;L Table'!$F$2:$F$303,'P&amp;L Table'!$A$2:$A$303,"August",'P&amp;L Table'!$C$2:$C$303,$A32,'P&amp;L Table'!$E$2:$E$303,"Commissions")</f>
        <v>-1.82</v>
      </c>
      <c r="P32" s="52">
        <f>SUMIFS('P&amp;L Table'!$F$2:$F$303,'P&amp;L Table'!$A$2:$A$303,"August",'P&amp;L Table'!$C$2:$C$303,$A32,'P&amp;L Table'!$E$2:$E$303,"Borrow")</f>
        <v>0</v>
      </c>
      <c r="Q32" s="52">
        <f>SUMIFS('P&amp;L Table'!$F$2:$F$303,'P&amp;L Table'!$A$2:$A$303,"August",'P&amp;L Table'!$C$2:$C$303,$A32,'P&amp;L Table'!$E$2:$E$303,"Dividends / PIL")</f>
        <v>0</v>
      </c>
      <c r="R32" s="52">
        <f>SUMIFS('P&amp;L Table'!$F$2:$F$303,'P&amp;L Table'!$A$2:$A$303,"August",'P&amp;L Table'!$C$2:$C$303,$A32,'P&amp;L Table'!$E$2:$E$303,"Other")</f>
        <v>0</v>
      </c>
      <c r="S32" s="53">
        <f>SUM(N32:R32)</f>
        <v>-3.9000000000000004</v>
      </c>
      <c r="T32" s="51">
        <f>SUMIFS('P&amp;L Table'!$F$2:$F$303,'P&amp;L Table'!$A$2:$A$303,"September",'P&amp;L Table'!$C$2:$C$303,$A32,'P&amp;L Table'!$E$2:$E$303,"MTM P&amp;L")</f>
        <v>-20.84</v>
      </c>
      <c r="U32" s="52">
        <f>SUMIFS('P&amp;L Table'!$F$2:$F$303,'P&amp;L Table'!$A$2:$A$303,"September",'P&amp;L Table'!$C$2:$C$303,$A32,'P&amp;L Table'!$E$2:$E$303,"Commissions")</f>
        <v>-5.46</v>
      </c>
      <c r="V32" s="52">
        <f>SUMIFS('P&amp;L Table'!$F$2:$F$303,'P&amp;L Table'!$A$2:$A$303,"September",'P&amp;L Table'!$C$2:$C$303,$A32,'P&amp;L Table'!$E$2:$E$303,"Borrow")</f>
        <v>0</v>
      </c>
      <c r="W32" s="52">
        <f>SUMIFS('P&amp;L Table'!$F$2:$F$303,'P&amp;L Table'!$A$2:$A$303,"September",'P&amp;L Table'!$C$2:$C$303,$A32,'P&amp;L Table'!$E$2:$E$303,"Dividends / PIL")</f>
        <v>0</v>
      </c>
      <c r="X32" s="52">
        <f>SUMIFS('P&amp;L Table'!$F$2:$F$303,'P&amp;L Table'!$A$2:$A$303,"September",'P&amp;L Table'!$C$2:$C$303,$A32,'P&amp;L Table'!$E$2:$E$303,"Other")</f>
        <v>0</v>
      </c>
      <c r="Y32" s="53">
        <f>SUM(T32:X32)</f>
        <v>-26.3</v>
      </c>
      <c r="Z32" s="51">
        <f>SUMIFS('P&amp;L Table'!$F$2:$F$303,'P&amp;L Table'!$A$2:$A$303,"October",'P&amp;L Table'!$C$2:$C$303,$A32,'P&amp;L Table'!$E$2:$E$303,"MTM P&amp;L")</f>
        <v>4.17</v>
      </c>
      <c r="AA32" s="52">
        <f>SUMIFS('P&amp;L Table'!$F$2:$F$303,'P&amp;L Table'!$A$2:$A$303,"October",'P&amp;L Table'!$C$2:$C$303,$A32,'P&amp;L Table'!$E$2:$E$303,"Commissions")</f>
        <v>-3.64</v>
      </c>
      <c r="AB32" s="52">
        <f>SUMIFS('P&amp;L Table'!$F$2:$F$303,'P&amp;L Table'!$A$2:$A$303,"October",'P&amp;L Table'!$C$2:$C$303,$A32,'P&amp;L Table'!$E$2:$E$303,"Borrow")</f>
        <v>0</v>
      </c>
      <c r="AC32" s="52">
        <f>SUMIFS('P&amp;L Table'!$F$2:$F$303,'P&amp;L Table'!$A$2:$A$303,"October",'P&amp;L Table'!$C$2:$C$303,$A32,'P&amp;L Table'!$E$2:$E$303,"Dividends / PIL")</f>
        <v>0</v>
      </c>
      <c r="AD32" s="52">
        <f>SUMIFS('P&amp;L Table'!$F$2:$F$303,'P&amp;L Table'!$A$2:$A$303,"October",'P&amp;L Table'!$C$2:$C$303,$A32,'P&amp;L Table'!$E$2:$E$303,"Other")</f>
        <v>0</v>
      </c>
      <c r="AE32" s="53">
        <f>SUM(Z32:AD32)</f>
        <v>0.5299999999999998</v>
      </c>
      <c r="AF32" s="51">
        <f t="shared" si="12"/>
        <v>54.180000000000007</v>
      </c>
      <c r="AG32" s="52">
        <f t="shared" si="12"/>
        <v>-14.57</v>
      </c>
      <c r="AH32" s="52">
        <f t="shared" si="12"/>
        <v>0</v>
      </c>
      <c r="AI32" s="52">
        <f t="shared" si="12"/>
        <v>0</v>
      </c>
      <c r="AJ32" s="52">
        <f t="shared" si="12"/>
        <v>0</v>
      </c>
      <c r="AK32" s="53">
        <f t="shared" si="12"/>
        <v>39.61</v>
      </c>
      <c r="AM32" s="55"/>
    </row>
    <row r="33" spans="1:39" ht="15" customHeight="1">
      <c r="A33" s="14" t="s">
        <v>122</v>
      </c>
      <c r="B33" s="10">
        <f t="shared" ref="B33:AK33" si="13">SUM(B30:B32)</f>
        <v>11604.25</v>
      </c>
      <c r="C33" s="11">
        <f t="shared" si="13"/>
        <v>-2154.4299999999998</v>
      </c>
      <c r="D33" s="11">
        <f t="shared" si="13"/>
        <v>0</v>
      </c>
      <c r="E33" s="11">
        <f t="shared" si="13"/>
        <v>0</v>
      </c>
      <c r="F33" s="11">
        <f t="shared" si="13"/>
        <v>0</v>
      </c>
      <c r="G33" s="27">
        <f t="shared" si="13"/>
        <v>9449.82</v>
      </c>
      <c r="H33" s="10">
        <f t="shared" si="13"/>
        <v>1496.68</v>
      </c>
      <c r="I33" s="11">
        <f t="shared" si="13"/>
        <v>-687.46</v>
      </c>
      <c r="J33" s="11">
        <f t="shared" si="13"/>
        <v>0</v>
      </c>
      <c r="K33" s="11">
        <f t="shared" si="13"/>
        <v>0</v>
      </c>
      <c r="L33" s="11">
        <f t="shared" si="13"/>
        <v>0</v>
      </c>
      <c r="M33" s="27">
        <f t="shared" si="13"/>
        <v>809.22</v>
      </c>
      <c r="N33" s="10">
        <f t="shared" si="13"/>
        <v>1272.92</v>
      </c>
      <c r="O33" s="11">
        <f t="shared" si="13"/>
        <v>-252.01999999999998</v>
      </c>
      <c r="P33" s="11">
        <f t="shared" si="13"/>
        <v>0</v>
      </c>
      <c r="Q33" s="11">
        <f t="shared" si="13"/>
        <v>0</v>
      </c>
      <c r="R33" s="11">
        <f t="shared" si="13"/>
        <v>0</v>
      </c>
      <c r="S33" s="27">
        <f t="shared" si="13"/>
        <v>1020.9</v>
      </c>
      <c r="T33" s="10">
        <f t="shared" si="13"/>
        <v>869.16</v>
      </c>
      <c r="U33" s="11">
        <f t="shared" si="13"/>
        <v>-480.84</v>
      </c>
      <c r="V33" s="11">
        <f t="shared" si="13"/>
        <v>0</v>
      </c>
      <c r="W33" s="11">
        <f t="shared" si="13"/>
        <v>0</v>
      </c>
      <c r="X33" s="11">
        <f t="shared" si="13"/>
        <v>0</v>
      </c>
      <c r="Y33" s="27">
        <f t="shared" si="13"/>
        <v>388.32</v>
      </c>
      <c r="Z33" s="10">
        <f t="shared" si="13"/>
        <v>764.17</v>
      </c>
      <c r="AA33" s="11">
        <f t="shared" si="13"/>
        <v>-242.32</v>
      </c>
      <c r="AB33" s="11">
        <f t="shared" si="13"/>
        <v>0</v>
      </c>
      <c r="AC33" s="11">
        <f t="shared" si="13"/>
        <v>0</v>
      </c>
      <c r="AD33" s="11">
        <f t="shared" si="13"/>
        <v>0</v>
      </c>
      <c r="AE33" s="27">
        <f t="shared" si="13"/>
        <v>521.84999999999991</v>
      </c>
      <c r="AF33" s="10">
        <f t="shared" si="13"/>
        <v>16007.18</v>
      </c>
      <c r="AG33" s="11">
        <f t="shared" si="13"/>
        <v>-3817.0699999999997</v>
      </c>
      <c r="AH33" s="11">
        <f t="shared" si="13"/>
        <v>0</v>
      </c>
      <c r="AI33" s="11">
        <f t="shared" si="13"/>
        <v>0</v>
      </c>
      <c r="AJ33" s="11">
        <f t="shared" si="13"/>
        <v>0</v>
      </c>
      <c r="AK33" s="27">
        <f t="shared" si="13"/>
        <v>12190.109999999999</v>
      </c>
    </row>
    <row r="34" spans="1:39" ht="15" customHeight="1">
      <c r="A34" s="15" t="s">
        <v>128</v>
      </c>
      <c r="B34" s="6"/>
      <c r="C34" s="7"/>
      <c r="D34" s="7"/>
      <c r="E34" s="7"/>
      <c r="F34" s="7"/>
      <c r="G34" s="25"/>
      <c r="H34" s="6"/>
      <c r="I34" s="7"/>
      <c r="J34" s="7"/>
      <c r="K34" s="7"/>
      <c r="L34" s="7"/>
      <c r="M34" s="25"/>
      <c r="N34" s="6"/>
      <c r="O34" s="7"/>
      <c r="P34" s="7"/>
      <c r="Q34" s="7"/>
      <c r="R34" s="7"/>
      <c r="S34" s="25"/>
      <c r="T34" s="6"/>
      <c r="U34" s="7"/>
      <c r="V34" s="7"/>
      <c r="W34" s="7"/>
      <c r="X34" s="7"/>
      <c r="Y34" s="25"/>
      <c r="Z34" s="6"/>
      <c r="AA34" s="7"/>
      <c r="AB34" s="7"/>
      <c r="AC34" s="7"/>
      <c r="AD34" s="7"/>
      <c r="AE34" s="25"/>
      <c r="AF34" s="6"/>
      <c r="AG34" s="7"/>
      <c r="AH34" s="7"/>
      <c r="AI34" s="7"/>
      <c r="AJ34" s="7"/>
      <c r="AK34" s="25"/>
    </row>
    <row r="35" spans="1:39" s="45" customFormat="1" ht="15" customHeight="1">
      <c r="A35" s="46" t="s">
        <v>125</v>
      </c>
      <c r="B35" s="47">
        <f>SUMIFS('P&amp;L Table'!$F$2:$F$303,'P&amp;L Table'!$A$2:$A$303,"June",'P&amp;L Table'!$C$2:$C$303,$A35,'P&amp;L Table'!$E$2:$E$303,"MTM P&amp;L")</f>
        <v>0</v>
      </c>
      <c r="C35" s="48">
        <f>SUMIFS('P&amp;L Table'!$F$2:$F$303,'P&amp;L Table'!$A$2:$A$303,"June",'P&amp;L Table'!$C$2:$C$303,$A35,'P&amp;L Table'!$E$2:$E$303,"Commissions")</f>
        <v>0</v>
      </c>
      <c r="D35" s="48">
        <f>SUMIFS('P&amp;L Table'!$F$2:$F$303,'P&amp;L Table'!$A$2:$A$303,"June",'P&amp;L Table'!$C$2:$C$303,$A35,'P&amp;L Table'!$E$2:$E$303,"Borrow")</f>
        <v>0</v>
      </c>
      <c r="E35" s="48">
        <f>SUMIFS('P&amp;L Table'!$F$2:$F$303,'P&amp;L Table'!$A$2:$A$303,"June",'P&amp;L Table'!$C$2:$C$303,$A35,'P&amp;L Table'!$E$2:$E$303,"Dividends / PIL")</f>
        <v>0</v>
      </c>
      <c r="F35" s="48">
        <f>SUMIFS('P&amp;L Table'!$F$2:$F$303,'P&amp;L Table'!$A$2:$A$303,"June",'P&amp;L Table'!$C$2:$C$303,$A35,'P&amp;L Table'!$E$2:$E$303,"Other")</f>
        <v>907.03</v>
      </c>
      <c r="G35" s="26">
        <f>SUM(B35:F35)</f>
        <v>907.03</v>
      </c>
      <c r="H35" s="47">
        <f>SUMIFS('P&amp;L Table'!$F$2:$F$303,'P&amp;L Table'!$A$2:$A$303,"July",'P&amp;L Table'!$C$2:$C$303,$A35,'P&amp;L Table'!$E$2:$E$303,"MTM P&amp;L")</f>
        <v>0</v>
      </c>
      <c r="I35" s="48">
        <f>SUMIFS('P&amp;L Table'!$F$2:$F$303,'P&amp;L Table'!$A$2:$A$303,"July",'P&amp;L Table'!$C$2:$C$303,$A35,'P&amp;L Table'!$E$2:$E$303,"Commissions")</f>
        <v>0</v>
      </c>
      <c r="J35" s="48">
        <f>SUMIFS('P&amp;L Table'!$F$2:$F$303,'P&amp;L Table'!$A$2:$A$303,"July",'P&amp;L Table'!$C$2:$C$303,$A35,'P&amp;L Table'!$E$2:$E$303,"Borrow")</f>
        <v>0</v>
      </c>
      <c r="K35" s="48">
        <f>SUMIFS('P&amp;L Table'!$F$2:$F$303,'P&amp;L Table'!$A$2:$A$303,"July",'P&amp;L Table'!$C$2:$C$303,$A35,'P&amp;L Table'!$E$2:$E$303,"Dividends / PIL")</f>
        <v>0</v>
      </c>
      <c r="L35" s="48">
        <f>SUMIFS('P&amp;L Table'!$F$2:$F$303,'P&amp;L Table'!$A$2:$A$303,"July",'P&amp;L Table'!$C$2:$C$303,$A35,'P&amp;L Table'!$E$2:$E$303,"Other")</f>
        <v>686.95</v>
      </c>
      <c r="M35" s="26">
        <f>SUM(H35:L35)</f>
        <v>686.95</v>
      </c>
      <c r="N35" s="47">
        <f>SUMIFS('P&amp;L Table'!$F$2:$F$303,'P&amp;L Table'!$A$2:$A$303,"August",'P&amp;L Table'!$C$2:$C$303,$A35,'P&amp;L Table'!$E$2:$E$303,"MTM P&amp;L")</f>
        <v>0</v>
      </c>
      <c r="O35" s="48">
        <f>SUMIFS('P&amp;L Table'!$F$2:$F$303,'P&amp;L Table'!$A$2:$A$303,"August",'P&amp;L Table'!$C$2:$C$303,$A35,'P&amp;L Table'!$E$2:$E$303,"Commissions")</f>
        <v>0</v>
      </c>
      <c r="P35" s="48">
        <f>SUMIFS('P&amp;L Table'!$F$2:$F$303,'P&amp;L Table'!$A$2:$A$303,"August",'P&amp;L Table'!$C$2:$C$303,$A35,'P&amp;L Table'!$E$2:$E$303,"Borrow")</f>
        <v>0</v>
      </c>
      <c r="Q35" s="48">
        <f>SUMIFS('P&amp;L Table'!$F$2:$F$303,'P&amp;L Table'!$A$2:$A$303,"August",'P&amp;L Table'!$C$2:$C$303,$A35,'P&amp;L Table'!$E$2:$E$303,"Dividends / PIL")</f>
        <v>0</v>
      </c>
      <c r="R35" s="48">
        <f>SUMIFS('P&amp;L Table'!$F$2:$F$303,'P&amp;L Table'!$A$2:$A$303,"August",'P&amp;L Table'!$C$2:$C$303,$A35,'P&amp;L Table'!$E$2:$E$303,"Other")</f>
        <v>259.36</v>
      </c>
      <c r="S35" s="26">
        <f>SUM(N35:R35)</f>
        <v>259.36</v>
      </c>
      <c r="T35" s="47">
        <f>SUMIFS('P&amp;L Table'!$F$2:$F$303,'P&amp;L Table'!$A$2:$A$303,"September",'P&amp;L Table'!$C$2:$C$303,$A35,'P&amp;L Table'!$E$2:$E$303,"MTM P&amp;L")</f>
        <v>0</v>
      </c>
      <c r="U35" s="48">
        <f>SUMIFS('P&amp;L Table'!$F$2:$F$303,'P&amp;L Table'!$A$2:$A$303,"September",'P&amp;L Table'!$C$2:$C$303,$A35,'P&amp;L Table'!$E$2:$E$303,"Commissions")</f>
        <v>0</v>
      </c>
      <c r="V35" s="48">
        <f>SUMIFS('P&amp;L Table'!$F$2:$F$303,'P&amp;L Table'!$A$2:$A$303,"September",'P&amp;L Table'!$C$2:$C$303,$A35,'P&amp;L Table'!$E$2:$E$303,"Borrow")</f>
        <v>0</v>
      </c>
      <c r="W35" s="48">
        <f>SUMIFS('P&amp;L Table'!$F$2:$F$303,'P&amp;L Table'!$A$2:$A$303,"September",'P&amp;L Table'!$C$2:$C$303,$A35,'P&amp;L Table'!$E$2:$E$303,"Dividends / PIL")</f>
        <v>0</v>
      </c>
      <c r="X35" s="48">
        <f>SUMIFS('P&amp;L Table'!$F$2:$F$303,'P&amp;L Table'!$A$2:$A$303,"September",'P&amp;L Table'!$C$2:$C$303,$A35,'P&amp;L Table'!$E$2:$E$303,"Other")</f>
        <v>-1177.3500000000004</v>
      </c>
      <c r="Y35" s="26">
        <f>SUM(T35:X35)</f>
        <v>-1177.3500000000004</v>
      </c>
      <c r="Z35" s="47">
        <f>SUMIFS('P&amp;L Table'!$F$2:$F$303,'P&amp;L Table'!$A$2:$A$303,"October",'P&amp;L Table'!$C$2:$C$303,$A35,'P&amp;L Table'!$E$2:$E$303,"MTM P&amp;L")</f>
        <v>0</v>
      </c>
      <c r="AA35" s="48">
        <f>SUMIFS('P&amp;L Table'!$F$2:$F$303,'P&amp;L Table'!$A$2:$A$303,"October",'P&amp;L Table'!$C$2:$C$303,$A35,'P&amp;L Table'!$E$2:$E$303,"Commissions")</f>
        <v>0</v>
      </c>
      <c r="AB35" s="48">
        <f>SUMIFS('P&amp;L Table'!$F$2:$F$303,'P&amp;L Table'!$A$2:$A$303,"October",'P&amp;L Table'!$C$2:$C$303,$A35,'P&amp;L Table'!$E$2:$E$303,"Borrow")</f>
        <v>0</v>
      </c>
      <c r="AC35" s="48">
        <f>SUMIFS('P&amp;L Table'!$F$2:$F$303,'P&amp;L Table'!$A$2:$A$303,"October",'P&amp;L Table'!$C$2:$C$303,$A35,'P&amp;L Table'!$E$2:$E$303,"Dividends / PIL")</f>
        <v>0</v>
      </c>
      <c r="AD35" s="48">
        <f>SUMIFS('P&amp;L Table'!$F$2:$F$303,'P&amp;L Table'!$A$2:$A$303,"October",'P&amp;L Table'!$C$2:$C$303,$A35,'P&amp;L Table'!$E$2:$E$303,"Other")</f>
        <v>-761.26</v>
      </c>
      <c r="AE35" s="26">
        <f>SUM(Z35:AD35)</f>
        <v>-761.26</v>
      </c>
      <c r="AF35" s="47">
        <f t="shared" ref="AF35" si="14">SUM(B35,H35,N35,T35,Z35)</f>
        <v>0</v>
      </c>
      <c r="AG35" s="48">
        <f t="shared" ref="AG35" si="15">SUM(C35,I35,O35,U35,AA35)</f>
        <v>0</v>
      </c>
      <c r="AH35" s="48">
        <f t="shared" ref="AH35" si="16">SUM(D35,J35,P35,V35,AB35)</f>
        <v>0</v>
      </c>
      <c r="AI35" s="48">
        <f t="shared" ref="AI35" si="17">SUM(E35,K35,Q35,W35,AC35)</f>
        <v>0</v>
      </c>
      <c r="AJ35" s="48">
        <f t="shared" ref="AJ35" si="18">SUM(F35,L35,R35,X35,AD35)</f>
        <v>-85.270000000000209</v>
      </c>
      <c r="AK35" s="26">
        <f t="shared" ref="AK35" si="19">SUM(G35,M35,S35,Y35,AE35)</f>
        <v>-85.270000000000209</v>
      </c>
      <c r="AM35" s="49"/>
    </row>
    <row r="36" spans="1:39" s="45" customFormat="1" ht="15" customHeight="1">
      <c r="A36" s="46" t="s">
        <v>127</v>
      </c>
      <c r="B36" s="47">
        <f>SUMIFS('P&amp;L Table'!$F$2:$F$303,'P&amp;L Table'!$A$2:$A$303,"June",'P&amp;L Table'!$C$2:$C$303,$A36,'P&amp;L Table'!$E$2:$E$303,"MTM P&amp;L")</f>
        <v>0</v>
      </c>
      <c r="C36" s="48">
        <f>SUMIFS('P&amp;L Table'!$F$2:$F$303,'P&amp;L Table'!$A$2:$A$303,"June",'P&amp;L Table'!$C$2:$C$303,$A36,'P&amp;L Table'!$E$2:$E$303,"Commissions")</f>
        <v>0</v>
      </c>
      <c r="D36" s="48">
        <f>SUMIFS('P&amp;L Table'!$F$2:$F$303,'P&amp;L Table'!$A$2:$A$303,"June",'P&amp;L Table'!$C$2:$C$303,$A36,'P&amp;L Table'!$E$2:$E$303,"Borrow")</f>
        <v>0</v>
      </c>
      <c r="E36" s="48">
        <f>SUMIFS('P&amp;L Table'!$F$2:$F$303,'P&amp;L Table'!$A$2:$A$303,"June",'P&amp;L Table'!$C$2:$C$303,$A36,'P&amp;L Table'!$E$2:$E$303,"Dividends / PIL")</f>
        <v>0</v>
      </c>
      <c r="F36" s="48">
        <f>SUMIFS('P&amp;L Table'!$F$2:$F$303,'P&amp;L Table'!$A$2:$A$303,"June",'P&amp;L Table'!$C$2:$C$303,$A36,'P&amp;L Table'!$E$2:$E$303,"Other")</f>
        <v>-9.5</v>
      </c>
      <c r="G36" s="26">
        <f>SUM(B36:F36)</f>
        <v>-9.5</v>
      </c>
      <c r="H36" s="47">
        <f>SUMIFS('P&amp;L Table'!$F$2:$F$303,'P&amp;L Table'!$A$2:$A$303,"July",'P&amp;L Table'!$C$2:$C$303,$A36,'P&amp;L Table'!$E$2:$E$303,"MTM P&amp;L")</f>
        <v>0</v>
      </c>
      <c r="I36" s="48">
        <f>SUMIFS('P&amp;L Table'!$F$2:$F$303,'P&amp;L Table'!$A$2:$A$303,"July",'P&amp;L Table'!$C$2:$C$303,$A36,'P&amp;L Table'!$E$2:$E$303,"Commissions")</f>
        <v>0</v>
      </c>
      <c r="J36" s="48">
        <f>SUMIFS('P&amp;L Table'!$F$2:$F$303,'P&amp;L Table'!$A$2:$A$303,"July",'P&amp;L Table'!$C$2:$C$303,$A36,'P&amp;L Table'!$E$2:$E$303,"Borrow")</f>
        <v>0</v>
      </c>
      <c r="K36" s="48">
        <f>SUMIFS('P&amp;L Table'!$F$2:$F$303,'P&amp;L Table'!$A$2:$A$303,"July",'P&amp;L Table'!$C$2:$C$303,$A36,'P&amp;L Table'!$E$2:$E$303,"Dividends / PIL")</f>
        <v>0</v>
      </c>
      <c r="L36" s="48">
        <f>SUMIFS('P&amp;L Table'!$F$2:$F$303,'P&amp;L Table'!$A$2:$A$303,"July",'P&amp;L Table'!$C$2:$C$303,$A36,'P&amp;L Table'!$E$2:$E$303,"Other")</f>
        <v>-9.5</v>
      </c>
      <c r="M36" s="26">
        <f>SUM(H36:L36)</f>
        <v>-9.5</v>
      </c>
      <c r="N36" s="47">
        <f>SUMIFS('P&amp;L Table'!$F$2:$F$303,'P&amp;L Table'!$A$2:$A$303,"August",'P&amp;L Table'!$C$2:$C$303,$A36,'P&amp;L Table'!$E$2:$E$303,"MTM P&amp;L")</f>
        <v>0</v>
      </c>
      <c r="O36" s="48">
        <f>SUMIFS('P&amp;L Table'!$F$2:$F$303,'P&amp;L Table'!$A$2:$A$303,"August",'P&amp;L Table'!$C$2:$C$303,$A36,'P&amp;L Table'!$E$2:$E$303,"Commissions")</f>
        <v>0</v>
      </c>
      <c r="P36" s="48">
        <f>SUMIFS('P&amp;L Table'!$F$2:$F$303,'P&amp;L Table'!$A$2:$A$303,"August",'P&amp;L Table'!$C$2:$C$303,$A36,'P&amp;L Table'!$E$2:$E$303,"Borrow")</f>
        <v>0</v>
      </c>
      <c r="Q36" s="48">
        <f>SUMIFS('P&amp;L Table'!$F$2:$F$303,'P&amp;L Table'!$A$2:$A$303,"August",'P&amp;L Table'!$C$2:$C$303,$A36,'P&amp;L Table'!$E$2:$E$303,"Dividends / PIL")</f>
        <v>0</v>
      </c>
      <c r="R36" s="48">
        <f>SUMIFS('P&amp;L Table'!$F$2:$F$303,'P&amp;L Table'!$A$2:$A$303,"August",'P&amp;L Table'!$C$2:$C$303,$A36,'P&amp;L Table'!$E$2:$E$303,"Other")</f>
        <v>-9.5</v>
      </c>
      <c r="S36" s="26">
        <f>SUM(N36:R36)</f>
        <v>-9.5</v>
      </c>
      <c r="T36" s="47">
        <f>SUMIFS('P&amp;L Table'!$F$2:$F$303,'P&amp;L Table'!$A$2:$A$303,"September",'P&amp;L Table'!$C$2:$C$303,$A36,'P&amp;L Table'!$E$2:$E$303,"MTM P&amp;L")</f>
        <v>0</v>
      </c>
      <c r="U36" s="48">
        <f>SUMIFS('P&amp;L Table'!$F$2:$F$303,'P&amp;L Table'!$A$2:$A$303,"September",'P&amp;L Table'!$C$2:$C$303,$A36,'P&amp;L Table'!$E$2:$E$303,"Commissions")</f>
        <v>0</v>
      </c>
      <c r="V36" s="48">
        <f>SUMIFS('P&amp;L Table'!$F$2:$F$303,'P&amp;L Table'!$A$2:$A$303,"September",'P&amp;L Table'!$C$2:$C$303,$A36,'P&amp;L Table'!$E$2:$E$303,"Borrow")</f>
        <v>0</v>
      </c>
      <c r="W36" s="48">
        <f>SUMIFS('P&amp;L Table'!$F$2:$F$303,'P&amp;L Table'!$A$2:$A$303,"September",'P&amp;L Table'!$C$2:$C$303,$A36,'P&amp;L Table'!$E$2:$E$303,"Dividends / PIL")</f>
        <v>0</v>
      </c>
      <c r="X36" s="48">
        <f>SUMIFS('P&amp;L Table'!$F$2:$F$303,'P&amp;L Table'!$A$2:$A$303,"September",'P&amp;L Table'!$C$2:$C$303,$A36,'P&amp;L Table'!$E$2:$E$303,"Other")</f>
        <v>-9.5</v>
      </c>
      <c r="Y36" s="26">
        <f>SUM(T36:X36)</f>
        <v>-9.5</v>
      </c>
      <c r="Z36" s="47">
        <f>SUMIFS('P&amp;L Table'!$F$2:$F$303,'P&amp;L Table'!$A$2:$A$303,"October",'P&amp;L Table'!$C$2:$C$303,$A36,'P&amp;L Table'!$E$2:$E$303,"MTM P&amp;L")</f>
        <v>0</v>
      </c>
      <c r="AA36" s="48">
        <f>SUMIFS('P&amp;L Table'!$F$2:$F$303,'P&amp;L Table'!$A$2:$A$303,"October",'P&amp;L Table'!$C$2:$C$303,$A36,'P&amp;L Table'!$E$2:$E$303,"Commissions")</f>
        <v>0</v>
      </c>
      <c r="AB36" s="48">
        <f>SUMIFS('P&amp;L Table'!$F$2:$F$303,'P&amp;L Table'!$A$2:$A$303,"October",'P&amp;L Table'!$C$2:$C$303,$A36,'P&amp;L Table'!$E$2:$E$303,"Borrow")</f>
        <v>0</v>
      </c>
      <c r="AC36" s="48">
        <f>SUMIFS('P&amp;L Table'!$F$2:$F$303,'P&amp;L Table'!$A$2:$A$303,"October",'P&amp;L Table'!$C$2:$C$303,$A36,'P&amp;L Table'!$E$2:$E$303,"Dividends / PIL")</f>
        <v>0</v>
      </c>
      <c r="AD36" s="48">
        <f>SUMIFS('P&amp;L Table'!$F$2:$F$303,'P&amp;L Table'!$A$2:$A$303,"October",'P&amp;L Table'!$C$2:$C$303,$A36,'P&amp;L Table'!$E$2:$E$303,"Other")</f>
        <v>-38.5</v>
      </c>
      <c r="AE36" s="26">
        <f>SUM(Z36:AD36)</f>
        <v>-38.5</v>
      </c>
      <c r="AF36" s="47">
        <f t="shared" ref="AF36:AK36" si="20">SUM(B36,H36,N36,T36,Z36)</f>
        <v>0</v>
      </c>
      <c r="AG36" s="48">
        <f t="shared" si="20"/>
        <v>0</v>
      </c>
      <c r="AH36" s="48">
        <f t="shared" si="20"/>
        <v>0</v>
      </c>
      <c r="AI36" s="48">
        <f t="shared" si="20"/>
        <v>0</v>
      </c>
      <c r="AJ36" s="48">
        <f t="shared" si="20"/>
        <v>-76.5</v>
      </c>
      <c r="AK36" s="26">
        <f t="shared" si="20"/>
        <v>-76.5</v>
      </c>
      <c r="AM36" s="49"/>
    </row>
    <row r="37" spans="1:39" ht="15" customHeight="1" thickBot="1">
      <c r="A37" s="17" t="s">
        <v>33</v>
      </c>
      <c r="B37" s="12">
        <f>SUM(B28,B33,B35,B36)</f>
        <v>11541.26</v>
      </c>
      <c r="C37" s="12">
        <f t="shared" ref="C37:AK37" si="21">SUM(C28,C33,C35,C36)</f>
        <v>-2172.5499999999997</v>
      </c>
      <c r="D37" s="12">
        <f t="shared" si="21"/>
        <v>0</v>
      </c>
      <c r="E37" s="12">
        <f t="shared" si="21"/>
        <v>0</v>
      </c>
      <c r="F37" s="12">
        <f t="shared" si="21"/>
        <v>897.53</v>
      </c>
      <c r="G37" s="12">
        <f t="shared" si="21"/>
        <v>10266.24</v>
      </c>
      <c r="H37" s="12">
        <f t="shared" si="21"/>
        <v>-2054.67</v>
      </c>
      <c r="I37" s="12">
        <f t="shared" si="21"/>
        <v>-1143.1300000000001</v>
      </c>
      <c r="J37" s="12">
        <f t="shared" si="21"/>
        <v>-397.96</v>
      </c>
      <c r="K37" s="12">
        <f t="shared" si="21"/>
        <v>0</v>
      </c>
      <c r="L37" s="12">
        <f t="shared" si="21"/>
        <v>677.45</v>
      </c>
      <c r="M37" s="12">
        <f t="shared" si="21"/>
        <v>-2918.3099999999995</v>
      </c>
      <c r="N37" s="12">
        <f t="shared" si="21"/>
        <v>4268.3300000000008</v>
      </c>
      <c r="O37" s="12">
        <f t="shared" si="21"/>
        <v>-810.01</v>
      </c>
      <c r="P37" s="12">
        <f t="shared" si="21"/>
        <v>-889.58</v>
      </c>
      <c r="Q37" s="12">
        <f t="shared" si="21"/>
        <v>-1828.92</v>
      </c>
      <c r="R37" s="12">
        <f t="shared" si="21"/>
        <v>249.86</v>
      </c>
      <c r="S37" s="12">
        <f t="shared" si="21"/>
        <v>989.68000000000029</v>
      </c>
      <c r="T37" s="12">
        <f t="shared" si="21"/>
        <v>13735.080000000002</v>
      </c>
      <c r="U37" s="12">
        <f t="shared" si="21"/>
        <v>-1593.3199999999997</v>
      </c>
      <c r="V37" s="12">
        <f t="shared" si="21"/>
        <v>-2308.9399999999996</v>
      </c>
      <c r="W37" s="12">
        <f t="shared" si="21"/>
        <v>590.02</v>
      </c>
      <c r="X37" s="12">
        <f t="shared" si="21"/>
        <v>-1186.8500000000004</v>
      </c>
      <c r="Y37" s="12">
        <f t="shared" si="21"/>
        <v>9235.99</v>
      </c>
      <c r="Z37" s="12">
        <f t="shared" si="21"/>
        <v>-5634.8500000000022</v>
      </c>
      <c r="AA37" s="12">
        <f t="shared" si="21"/>
        <v>-900.33999999999992</v>
      </c>
      <c r="AB37" s="12">
        <f t="shared" si="21"/>
        <v>-1127.76</v>
      </c>
      <c r="AC37" s="12">
        <f t="shared" si="21"/>
        <v>0</v>
      </c>
      <c r="AD37" s="12">
        <f t="shared" si="21"/>
        <v>-799.76</v>
      </c>
      <c r="AE37" s="12">
        <f t="shared" si="21"/>
        <v>-8462.7100000000028</v>
      </c>
      <c r="AF37" s="12">
        <f t="shared" si="21"/>
        <v>21855.150000000005</v>
      </c>
      <c r="AG37" s="12">
        <f t="shared" si="21"/>
        <v>-6619.35</v>
      </c>
      <c r="AH37" s="12">
        <f t="shared" si="21"/>
        <v>-4724.2400000000007</v>
      </c>
      <c r="AI37" s="12">
        <f t="shared" si="21"/>
        <v>-1238.8999999999999</v>
      </c>
      <c r="AJ37" s="12">
        <f t="shared" si="21"/>
        <v>-161.77000000000021</v>
      </c>
      <c r="AK37" s="12">
        <f t="shared" si="21"/>
        <v>9110.8900000000012</v>
      </c>
    </row>
    <row r="38" spans="1:39" ht="15" customHeight="1">
      <c r="B38" s="3"/>
      <c r="C38" s="3"/>
      <c r="D38" s="3"/>
      <c r="E38" s="3"/>
      <c r="F38" s="3"/>
      <c r="G38" s="28"/>
      <c r="H38" s="3"/>
      <c r="I38" s="3"/>
      <c r="J38" s="3"/>
      <c r="K38" s="3"/>
      <c r="L38" s="3"/>
      <c r="N38" s="3"/>
      <c r="O38" s="3"/>
      <c r="P38" s="3"/>
      <c r="Q38" s="3"/>
      <c r="R38" s="3"/>
      <c r="T38" s="3"/>
      <c r="U38" s="3"/>
      <c r="V38" s="3"/>
      <c r="W38" s="3"/>
      <c r="X38" s="3"/>
      <c r="Y38" s="28"/>
      <c r="Z38" s="3"/>
      <c r="AA38" s="3"/>
      <c r="AB38" s="3"/>
      <c r="AC38" s="3"/>
      <c r="AD38" s="3"/>
      <c r="AE38" s="28"/>
      <c r="AF38" s="3"/>
      <c r="AG38" s="3"/>
      <c r="AH38" s="3"/>
      <c r="AI38" s="3"/>
      <c r="AJ38" s="3"/>
      <c r="AK38" s="28"/>
    </row>
    <row r="39" spans="1:39" ht="15" customHeight="1">
      <c r="B39" s="3"/>
      <c r="C39" s="3"/>
      <c r="D39" s="3"/>
      <c r="E39" s="3"/>
      <c r="F39" s="3"/>
      <c r="G39" s="28"/>
      <c r="H39" s="3"/>
      <c r="I39" s="3"/>
      <c r="J39" s="3"/>
      <c r="K39" s="3"/>
      <c r="L39" s="3"/>
      <c r="M39" s="28"/>
      <c r="N39" s="3"/>
      <c r="O39" s="3"/>
      <c r="P39" s="3"/>
      <c r="Q39" s="3"/>
      <c r="R39" s="3"/>
      <c r="S39" s="28"/>
      <c r="T39" s="3"/>
      <c r="U39" s="3"/>
      <c r="V39" s="3"/>
      <c r="W39" s="3"/>
      <c r="X39" s="3"/>
      <c r="Y39" s="28"/>
      <c r="Z39" s="3"/>
      <c r="AA39" s="3"/>
      <c r="AB39" s="3"/>
      <c r="AC39" s="3"/>
      <c r="AD39" s="3"/>
      <c r="AE39" s="28"/>
      <c r="AF39" s="3"/>
      <c r="AG39" s="3"/>
      <c r="AH39" s="3"/>
      <c r="AI39" s="3"/>
      <c r="AJ39" s="3"/>
      <c r="AK39" s="28"/>
    </row>
    <row r="40" spans="1:39" ht="15" customHeight="1">
      <c r="B40" s="3"/>
      <c r="C40" s="3"/>
      <c r="D40" s="3"/>
      <c r="E40" s="3"/>
      <c r="F40" s="3"/>
      <c r="G40" s="28"/>
      <c r="H40" s="3"/>
      <c r="I40" s="3"/>
      <c r="J40" s="3"/>
      <c r="K40" s="3"/>
      <c r="L40" s="3"/>
      <c r="M40" s="28"/>
      <c r="N40" s="3"/>
      <c r="O40" s="3"/>
      <c r="P40" s="3"/>
      <c r="Q40" s="3"/>
      <c r="R40" s="3"/>
      <c r="S40" s="28"/>
      <c r="T40" s="3"/>
      <c r="U40" s="3"/>
      <c r="V40" s="3"/>
      <c r="W40" s="3"/>
      <c r="X40" s="3"/>
      <c r="Y40" s="28"/>
      <c r="Z40" s="3"/>
      <c r="AA40" s="3"/>
      <c r="AB40" s="3"/>
      <c r="AC40" s="3"/>
      <c r="AD40" s="3"/>
      <c r="AE40" s="28"/>
      <c r="AF40" s="3"/>
      <c r="AG40" s="3"/>
      <c r="AH40" s="3"/>
      <c r="AI40" s="3"/>
      <c r="AJ40" s="3"/>
      <c r="AK40" s="28"/>
    </row>
    <row r="41" spans="1:39">
      <c r="M41" s="1"/>
      <c r="S41" s="1"/>
    </row>
    <row r="42" spans="1:39">
      <c r="A42" s="1" t="s">
        <v>123</v>
      </c>
      <c r="M42" s="28"/>
      <c r="S42" s="28"/>
    </row>
  </sheetData>
  <sortState xmlns:xlrd2="http://schemas.microsoft.com/office/spreadsheetml/2017/richdata2" ref="A5:AP27">
    <sortCondition descending="1" ref="AK5:AK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1"/>
  <sheetViews>
    <sheetView workbookViewId="0">
      <pane ySplit="1" topLeftCell="A166" activePane="bottomLeft" state="frozen"/>
      <selection pane="bottomLeft" activeCell="F230" sqref="F230"/>
    </sheetView>
  </sheetViews>
  <sheetFormatPr defaultRowHeight="14.25"/>
  <cols>
    <col min="1" max="1" width="8.75" bestFit="1" customWidth="1"/>
    <col min="2" max="2" width="8.75" customWidth="1"/>
    <col min="3" max="3" width="21.875" bestFit="1" customWidth="1"/>
    <col min="4" max="4" width="11.25" customWidth="1"/>
    <col min="5" max="5" width="13.375" customWidth="1"/>
    <col min="6" max="6" width="13.75" customWidth="1"/>
    <col min="7" max="7" width="76.5" bestFit="1" customWidth="1"/>
  </cols>
  <sheetData>
    <row r="1" spans="1:7" s="18" customFormat="1" ht="15" customHeight="1">
      <c r="A1" s="21" t="s">
        <v>34</v>
      </c>
      <c r="B1" s="21" t="s">
        <v>35</v>
      </c>
      <c r="C1" s="21" t="s">
        <v>0</v>
      </c>
      <c r="D1" s="21" t="s">
        <v>36</v>
      </c>
      <c r="E1" s="21" t="s">
        <v>113</v>
      </c>
      <c r="F1" s="21" t="s">
        <v>114</v>
      </c>
      <c r="G1" s="21" t="s">
        <v>110</v>
      </c>
    </row>
    <row r="2" spans="1:7" s="18" customFormat="1" ht="15" customHeight="1">
      <c r="A2" s="19" t="s">
        <v>74</v>
      </c>
      <c r="B2" s="19" t="s">
        <v>45</v>
      </c>
      <c r="C2" s="19" t="s">
        <v>10</v>
      </c>
      <c r="D2" s="19" t="s">
        <v>43</v>
      </c>
      <c r="E2" s="19" t="s">
        <v>5</v>
      </c>
      <c r="F2" s="20">
        <v>7875</v>
      </c>
      <c r="G2" s="19" t="s">
        <v>75</v>
      </c>
    </row>
    <row r="3" spans="1:7" s="18" customFormat="1" ht="15" customHeight="1">
      <c r="A3" s="19" t="s">
        <v>74</v>
      </c>
      <c r="B3" s="19" t="s">
        <v>45</v>
      </c>
      <c r="C3" s="19" t="s">
        <v>10</v>
      </c>
      <c r="D3" s="19" t="s">
        <v>43</v>
      </c>
      <c r="E3" s="19" t="s">
        <v>6</v>
      </c>
      <c r="F3" s="20">
        <v>-125.1</v>
      </c>
      <c r="G3" s="19" t="s">
        <v>75</v>
      </c>
    </row>
    <row r="4" spans="1:7" s="18" customFormat="1" ht="15" customHeight="1">
      <c r="A4" s="19" t="s">
        <v>74</v>
      </c>
      <c r="B4" s="19" t="s">
        <v>46</v>
      </c>
      <c r="C4" s="19" t="s">
        <v>10</v>
      </c>
      <c r="D4" s="19" t="s">
        <v>43</v>
      </c>
      <c r="E4" s="19" t="s">
        <v>5</v>
      </c>
      <c r="F4" s="20">
        <v>-6600</v>
      </c>
      <c r="G4" s="19" t="s">
        <v>75</v>
      </c>
    </row>
    <row r="5" spans="1:7" s="18" customFormat="1" ht="15" customHeight="1">
      <c r="A5" s="19" t="s">
        <v>74</v>
      </c>
      <c r="B5" s="19" t="s">
        <v>46</v>
      </c>
      <c r="C5" s="19" t="s">
        <v>10</v>
      </c>
      <c r="D5" s="19" t="s">
        <v>43</v>
      </c>
      <c r="E5" s="19" t="s">
        <v>6</v>
      </c>
      <c r="F5" s="20">
        <v>-125.1</v>
      </c>
      <c r="G5" s="19" t="s">
        <v>75</v>
      </c>
    </row>
    <row r="6" spans="1:7" s="18" customFormat="1" ht="15" customHeight="1">
      <c r="A6" s="19" t="s">
        <v>74</v>
      </c>
      <c r="B6" s="19" t="s">
        <v>57</v>
      </c>
      <c r="C6" s="19" t="s">
        <v>30</v>
      </c>
      <c r="D6" s="19" t="s">
        <v>39</v>
      </c>
      <c r="E6" s="19" t="s">
        <v>5</v>
      </c>
      <c r="F6" s="20">
        <v>-713.16</v>
      </c>
      <c r="G6" s="19" t="s">
        <v>75</v>
      </c>
    </row>
    <row r="7" spans="1:7" s="18" customFormat="1" ht="15" customHeight="1">
      <c r="A7" s="19" t="s">
        <v>74</v>
      </c>
      <c r="B7" s="19" t="s">
        <v>57</v>
      </c>
      <c r="C7" s="19" t="s">
        <v>30</v>
      </c>
      <c r="D7" s="19" t="s">
        <v>39</v>
      </c>
      <c r="E7" s="19" t="s">
        <v>6</v>
      </c>
      <c r="F7" s="20">
        <v>-12.08</v>
      </c>
      <c r="G7" s="19" t="s">
        <v>75</v>
      </c>
    </row>
    <row r="8" spans="1:7" s="18" customFormat="1" ht="15" customHeight="1">
      <c r="A8" s="19" t="s">
        <v>74</v>
      </c>
      <c r="B8" s="19" t="s">
        <v>57</v>
      </c>
      <c r="C8" s="19" t="s">
        <v>30</v>
      </c>
      <c r="D8" s="19" t="s">
        <v>39</v>
      </c>
      <c r="E8" s="19" t="s">
        <v>129</v>
      </c>
      <c r="F8" s="20">
        <v>-169.12</v>
      </c>
      <c r="G8" s="19" t="s">
        <v>75</v>
      </c>
    </row>
    <row r="9" spans="1:7" s="18" customFormat="1" ht="15" customHeight="1">
      <c r="A9" s="19" t="s">
        <v>74</v>
      </c>
      <c r="B9" s="19" t="s">
        <v>57</v>
      </c>
      <c r="C9" s="19" t="s">
        <v>30</v>
      </c>
      <c r="D9" s="19" t="s">
        <v>39</v>
      </c>
      <c r="E9" s="19" t="s">
        <v>7</v>
      </c>
      <c r="F9" s="20">
        <v>-109.77</v>
      </c>
      <c r="G9" s="19" t="s">
        <v>75</v>
      </c>
    </row>
    <row r="10" spans="1:7" s="18" customFormat="1" ht="15" customHeight="1">
      <c r="A10" s="19" t="s">
        <v>74</v>
      </c>
      <c r="B10" s="19" t="s">
        <v>58</v>
      </c>
      <c r="C10" s="19" t="s">
        <v>29</v>
      </c>
      <c r="D10" s="19" t="s">
        <v>39</v>
      </c>
      <c r="E10" s="19" t="s">
        <v>5</v>
      </c>
      <c r="F10" s="20">
        <v>3</v>
      </c>
      <c r="G10" s="19" t="s">
        <v>75</v>
      </c>
    </row>
    <row r="11" spans="1:7" s="18" customFormat="1" ht="15" customHeight="1">
      <c r="A11" s="19" t="s">
        <v>74</v>
      </c>
      <c r="B11" s="19" t="s">
        <v>58</v>
      </c>
      <c r="C11" s="19" t="s">
        <v>29</v>
      </c>
      <c r="D11" s="19" t="s">
        <v>39</v>
      </c>
      <c r="E11" s="19" t="s">
        <v>6</v>
      </c>
      <c r="F11" s="20">
        <v>-2.4300000000000002</v>
      </c>
      <c r="G11" s="19" t="s">
        <v>75</v>
      </c>
    </row>
    <row r="12" spans="1:7" s="18" customFormat="1" ht="15" customHeight="1">
      <c r="A12" s="19" t="s">
        <v>74</v>
      </c>
      <c r="B12" s="19" t="s">
        <v>58</v>
      </c>
      <c r="C12" s="19" t="s">
        <v>29</v>
      </c>
      <c r="D12" s="19" t="s">
        <v>39</v>
      </c>
      <c r="E12" s="19" t="s">
        <v>129</v>
      </c>
      <c r="F12" s="20">
        <v>-184.7</v>
      </c>
      <c r="G12" s="19" t="s">
        <v>75</v>
      </c>
    </row>
    <row r="13" spans="1:7" s="18" customFormat="1" ht="15" customHeight="1">
      <c r="A13" s="19" t="s">
        <v>74</v>
      </c>
      <c r="B13" s="19" t="s">
        <v>59</v>
      </c>
      <c r="C13" s="19" t="s">
        <v>16</v>
      </c>
      <c r="D13" s="19" t="s">
        <v>39</v>
      </c>
      <c r="E13" s="19" t="s">
        <v>5</v>
      </c>
      <c r="F13" s="20">
        <v>-4775.84</v>
      </c>
      <c r="G13" s="19" t="s">
        <v>75</v>
      </c>
    </row>
    <row r="14" spans="1:7" s="18" customFormat="1" ht="15" customHeight="1">
      <c r="A14" s="19" t="s">
        <v>74</v>
      </c>
      <c r="B14" s="19" t="s">
        <v>59</v>
      </c>
      <c r="C14" s="19" t="s">
        <v>16</v>
      </c>
      <c r="D14" s="19" t="s">
        <v>39</v>
      </c>
      <c r="E14" s="19" t="s">
        <v>6</v>
      </c>
      <c r="F14" s="20">
        <v>-12.47</v>
      </c>
      <c r="G14" s="19" t="s">
        <v>75</v>
      </c>
    </row>
    <row r="15" spans="1:7" s="18" customFormat="1" ht="15" customHeight="1">
      <c r="A15" s="19" t="s">
        <v>74</v>
      </c>
      <c r="B15" s="19" t="s">
        <v>59</v>
      </c>
      <c r="C15" s="19" t="s">
        <v>16</v>
      </c>
      <c r="D15" s="19" t="s">
        <v>39</v>
      </c>
      <c r="E15" s="19" t="s">
        <v>129</v>
      </c>
      <c r="F15" s="20">
        <v>-111.02</v>
      </c>
      <c r="G15" s="19" t="s">
        <v>75</v>
      </c>
    </row>
    <row r="16" spans="1:7" s="18" customFormat="1" ht="15" customHeight="1">
      <c r="A16" s="19" t="s">
        <v>74</v>
      </c>
      <c r="B16" s="19" t="s">
        <v>59</v>
      </c>
      <c r="C16" s="19" t="s">
        <v>16</v>
      </c>
      <c r="D16" s="19" t="s">
        <v>39</v>
      </c>
      <c r="E16" s="19" t="s">
        <v>7</v>
      </c>
      <c r="F16" s="20">
        <v>-372.02</v>
      </c>
      <c r="G16" s="19" t="s">
        <v>75</v>
      </c>
    </row>
    <row r="17" spans="1:7" s="18" customFormat="1" ht="15" customHeight="1">
      <c r="A17" s="19" t="s">
        <v>74</v>
      </c>
      <c r="B17" s="19" t="s">
        <v>60</v>
      </c>
      <c r="C17" s="19" t="s">
        <v>22</v>
      </c>
      <c r="D17" s="19" t="s">
        <v>39</v>
      </c>
      <c r="E17" s="19" t="s">
        <v>129</v>
      </c>
      <c r="F17" s="20">
        <v>-6.5</v>
      </c>
      <c r="G17" s="19" t="s">
        <v>75</v>
      </c>
    </row>
    <row r="18" spans="1:7" s="18" customFormat="1" ht="15" customHeight="1">
      <c r="A18" s="19" t="s">
        <v>74</v>
      </c>
      <c r="B18" s="19" t="s">
        <v>61</v>
      </c>
      <c r="C18" s="19" t="s">
        <v>62</v>
      </c>
      <c r="D18" s="19" t="s">
        <v>39</v>
      </c>
      <c r="E18" s="19" t="s">
        <v>5</v>
      </c>
      <c r="F18" s="20">
        <v>-601.02</v>
      </c>
      <c r="G18" s="19" t="s">
        <v>75</v>
      </c>
    </row>
    <row r="19" spans="1:7" s="18" customFormat="1" ht="15" customHeight="1">
      <c r="A19" s="19" t="s">
        <v>74</v>
      </c>
      <c r="B19" s="19" t="s">
        <v>61</v>
      </c>
      <c r="C19" s="19" t="s">
        <v>62</v>
      </c>
      <c r="D19" s="19" t="s">
        <v>39</v>
      </c>
      <c r="E19" s="19" t="s">
        <v>6</v>
      </c>
      <c r="F19" s="20">
        <v>-60.13</v>
      </c>
      <c r="G19" s="19" t="s">
        <v>75</v>
      </c>
    </row>
    <row r="20" spans="1:7" s="18" customFormat="1" ht="15" customHeight="1">
      <c r="A20" s="19" t="s">
        <v>74</v>
      </c>
      <c r="B20" s="19" t="s">
        <v>61</v>
      </c>
      <c r="C20" s="19" t="s">
        <v>62</v>
      </c>
      <c r="D20" s="19" t="s">
        <v>39</v>
      </c>
      <c r="E20" s="19" t="s">
        <v>129</v>
      </c>
      <c r="F20" s="20">
        <v>-16.55</v>
      </c>
      <c r="G20" s="19" t="s">
        <v>75</v>
      </c>
    </row>
    <row r="21" spans="1:7" s="18" customFormat="1" ht="15" customHeight="1">
      <c r="A21" s="19" t="s">
        <v>74</v>
      </c>
      <c r="B21" s="19" t="s">
        <v>61</v>
      </c>
      <c r="C21" s="19" t="s">
        <v>62</v>
      </c>
      <c r="D21" s="19" t="s">
        <v>39</v>
      </c>
      <c r="E21" s="19" t="s">
        <v>7</v>
      </c>
      <c r="F21" s="20">
        <v>-1556.46</v>
      </c>
      <c r="G21" s="19" t="s">
        <v>75</v>
      </c>
    </row>
    <row r="22" spans="1:7" s="18" customFormat="1" ht="15" customHeight="1">
      <c r="A22" s="19" t="s">
        <v>74</v>
      </c>
      <c r="B22" s="19" t="s">
        <v>64</v>
      </c>
      <c r="C22" s="19" t="s">
        <v>16</v>
      </c>
      <c r="D22" s="19" t="s">
        <v>39</v>
      </c>
      <c r="E22" s="19" t="s">
        <v>5</v>
      </c>
      <c r="F22" s="20">
        <v>5657.06</v>
      </c>
      <c r="G22" s="19" t="s">
        <v>75</v>
      </c>
    </row>
    <row r="23" spans="1:7" s="18" customFormat="1" ht="15" customHeight="1">
      <c r="A23" s="19" t="s">
        <v>74</v>
      </c>
      <c r="B23" s="19" t="s">
        <v>64</v>
      </c>
      <c r="C23" s="19" t="s">
        <v>16</v>
      </c>
      <c r="D23" s="19" t="s">
        <v>39</v>
      </c>
      <c r="E23" s="19" t="s">
        <v>6</v>
      </c>
      <c r="F23" s="20">
        <v>-16</v>
      </c>
      <c r="G23" s="19" t="s">
        <v>75</v>
      </c>
    </row>
    <row r="24" spans="1:7" s="18" customFormat="1" ht="15" customHeight="1">
      <c r="A24" s="19" t="s">
        <v>74</v>
      </c>
      <c r="B24" s="19" t="s">
        <v>64</v>
      </c>
      <c r="C24" s="19" t="s">
        <v>16</v>
      </c>
      <c r="D24" s="19" t="s">
        <v>39</v>
      </c>
      <c r="E24" s="19" t="s">
        <v>129</v>
      </c>
      <c r="F24" s="20">
        <v>-1.43</v>
      </c>
      <c r="G24" s="19" t="s">
        <v>75</v>
      </c>
    </row>
    <row r="25" spans="1:7" s="18" customFormat="1" ht="15" customHeight="1">
      <c r="A25" s="19" t="s">
        <v>74</v>
      </c>
      <c r="B25" s="19" t="s">
        <v>64</v>
      </c>
      <c r="C25" s="19" t="s">
        <v>16</v>
      </c>
      <c r="D25" s="19" t="s">
        <v>39</v>
      </c>
      <c r="E25" s="19" t="s">
        <v>7</v>
      </c>
      <c r="F25" s="20">
        <v>219</v>
      </c>
      <c r="G25" s="19" t="s">
        <v>75</v>
      </c>
    </row>
    <row r="26" spans="1:7" s="18" customFormat="1" ht="15" customHeight="1">
      <c r="A26" s="19" t="s">
        <v>74</v>
      </c>
      <c r="B26" s="19" t="s">
        <v>65</v>
      </c>
      <c r="C26" s="19" t="s">
        <v>30</v>
      </c>
      <c r="D26" s="19" t="s">
        <v>39</v>
      </c>
      <c r="E26" s="19" t="s">
        <v>5</v>
      </c>
      <c r="F26" s="20">
        <v>838.75</v>
      </c>
      <c r="G26" s="19" t="s">
        <v>75</v>
      </c>
    </row>
    <row r="27" spans="1:7" s="18" customFormat="1" ht="15" customHeight="1">
      <c r="A27" s="19" t="s">
        <v>74</v>
      </c>
      <c r="B27" s="19" t="s">
        <v>65</v>
      </c>
      <c r="C27" s="19" t="s">
        <v>30</v>
      </c>
      <c r="D27" s="19" t="s">
        <v>39</v>
      </c>
      <c r="E27" s="19" t="s">
        <v>6</v>
      </c>
      <c r="F27" s="20">
        <v>-7.73</v>
      </c>
      <c r="G27" s="19" t="s">
        <v>75</v>
      </c>
    </row>
    <row r="28" spans="1:7" s="18" customFormat="1" ht="15" customHeight="1">
      <c r="A28" s="19" t="s">
        <v>74</v>
      </c>
      <c r="B28" s="19" t="s">
        <v>67</v>
      </c>
      <c r="C28" s="19" t="s">
        <v>26</v>
      </c>
      <c r="D28" s="19" t="s">
        <v>39</v>
      </c>
      <c r="E28" s="19" t="s">
        <v>5</v>
      </c>
      <c r="F28" s="20">
        <v>640</v>
      </c>
      <c r="G28" s="19" t="s">
        <v>75</v>
      </c>
    </row>
    <row r="29" spans="1:7" s="18" customFormat="1" ht="15" customHeight="1">
      <c r="A29" s="19" t="s">
        <v>74</v>
      </c>
      <c r="B29" s="19" t="s">
        <v>67</v>
      </c>
      <c r="C29" s="19" t="s">
        <v>26</v>
      </c>
      <c r="D29" s="19" t="s">
        <v>39</v>
      </c>
      <c r="E29" s="19" t="s">
        <v>6</v>
      </c>
      <c r="F29" s="20">
        <v>-24.75</v>
      </c>
      <c r="G29" s="19" t="s">
        <v>75</v>
      </c>
    </row>
    <row r="30" spans="1:7" s="18" customFormat="1" ht="15" customHeight="1">
      <c r="A30" s="19" t="s">
        <v>74</v>
      </c>
      <c r="B30" s="19" t="s">
        <v>67</v>
      </c>
      <c r="C30" s="19" t="s">
        <v>26</v>
      </c>
      <c r="D30" s="19" t="s">
        <v>39</v>
      </c>
      <c r="E30" s="19" t="s">
        <v>129</v>
      </c>
      <c r="F30" s="20">
        <v>-234.7</v>
      </c>
      <c r="G30" s="19" t="s">
        <v>75</v>
      </c>
    </row>
    <row r="31" spans="1:7" s="18" customFormat="1" ht="15" customHeight="1">
      <c r="A31" s="19" t="s">
        <v>74</v>
      </c>
      <c r="B31" s="19" t="s">
        <v>68</v>
      </c>
      <c r="C31" s="19" t="s">
        <v>62</v>
      </c>
      <c r="D31" s="19" t="s">
        <v>39</v>
      </c>
      <c r="E31" s="19" t="s">
        <v>5</v>
      </c>
      <c r="F31" s="20">
        <v>3104.79</v>
      </c>
      <c r="G31" s="19" t="s">
        <v>75</v>
      </c>
    </row>
    <row r="32" spans="1:7" s="18" customFormat="1" ht="15" customHeight="1">
      <c r="A32" s="19" t="s">
        <v>74</v>
      </c>
      <c r="B32" s="19" t="s">
        <v>68</v>
      </c>
      <c r="C32" s="19" t="s">
        <v>62</v>
      </c>
      <c r="D32" s="19" t="s">
        <v>39</v>
      </c>
      <c r="E32" s="19" t="s">
        <v>6</v>
      </c>
      <c r="F32" s="20">
        <v>-80.73</v>
      </c>
      <c r="G32" s="19" t="s">
        <v>75</v>
      </c>
    </row>
    <row r="33" spans="1:7" s="18" customFormat="1" ht="15" customHeight="1">
      <c r="A33" s="19" t="s">
        <v>74</v>
      </c>
      <c r="B33" s="19" t="s">
        <v>76</v>
      </c>
      <c r="C33" s="19" t="s">
        <v>27</v>
      </c>
      <c r="D33" s="19" t="s">
        <v>39</v>
      </c>
      <c r="E33" s="19" t="s">
        <v>5</v>
      </c>
      <c r="F33" s="20">
        <v>1040.5</v>
      </c>
      <c r="G33" s="19" t="s">
        <v>75</v>
      </c>
    </row>
    <row r="34" spans="1:7" s="18" customFormat="1" ht="15" customHeight="1">
      <c r="A34" s="19" t="s">
        <v>74</v>
      </c>
      <c r="B34" s="19" t="s">
        <v>76</v>
      </c>
      <c r="C34" s="19" t="s">
        <v>27</v>
      </c>
      <c r="D34" s="19" t="s">
        <v>39</v>
      </c>
      <c r="E34" s="19" t="s">
        <v>6</v>
      </c>
      <c r="F34" s="20">
        <v>-97.47</v>
      </c>
      <c r="G34" s="19" t="s">
        <v>75</v>
      </c>
    </row>
    <row r="35" spans="1:7" s="18" customFormat="1" ht="15" customHeight="1">
      <c r="A35" s="19" t="s">
        <v>74</v>
      </c>
      <c r="B35" s="19" t="s">
        <v>76</v>
      </c>
      <c r="C35" s="19" t="s">
        <v>27</v>
      </c>
      <c r="D35" s="19" t="s">
        <v>39</v>
      </c>
      <c r="E35" s="19" t="s">
        <v>129</v>
      </c>
      <c r="F35" s="20">
        <v>-61.34</v>
      </c>
      <c r="G35" s="19" t="s">
        <v>75</v>
      </c>
    </row>
    <row r="36" spans="1:7" s="18" customFormat="1" ht="15" customHeight="1">
      <c r="A36" s="19" t="s">
        <v>74</v>
      </c>
      <c r="B36" s="19" t="s">
        <v>77</v>
      </c>
      <c r="C36" s="19" t="s">
        <v>27</v>
      </c>
      <c r="D36" s="19" t="s">
        <v>39</v>
      </c>
      <c r="E36" s="19" t="s">
        <v>5</v>
      </c>
      <c r="F36" s="20">
        <v>-1562.04</v>
      </c>
      <c r="G36" s="19" t="s">
        <v>75</v>
      </c>
    </row>
    <row r="37" spans="1:7" s="18" customFormat="1" ht="15" customHeight="1">
      <c r="A37" s="19" t="s">
        <v>74</v>
      </c>
      <c r="B37" s="19" t="s">
        <v>77</v>
      </c>
      <c r="C37" s="19" t="s">
        <v>27</v>
      </c>
      <c r="D37" s="19" t="s">
        <v>39</v>
      </c>
      <c r="E37" s="19" t="s">
        <v>6</v>
      </c>
      <c r="F37" s="20">
        <v>-157.19</v>
      </c>
      <c r="G37" s="19" t="s">
        <v>75</v>
      </c>
    </row>
    <row r="38" spans="1:7" s="18" customFormat="1" ht="15" customHeight="1">
      <c r="A38" s="19" t="s">
        <v>74</v>
      </c>
      <c r="B38" s="19" t="s">
        <v>69</v>
      </c>
      <c r="C38" s="19" t="s">
        <v>24</v>
      </c>
      <c r="D38" s="19" t="s">
        <v>39</v>
      </c>
      <c r="E38" s="19" t="s">
        <v>5</v>
      </c>
      <c r="F38" s="20">
        <v>2060.17</v>
      </c>
      <c r="G38" s="19" t="s">
        <v>75</v>
      </c>
    </row>
    <row r="39" spans="1:7" s="18" customFormat="1" ht="15" customHeight="1">
      <c r="A39" s="19" t="s">
        <v>74</v>
      </c>
      <c r="B39" s="19" t="s">
        <v>69</v>
      </c>
      <c r="C39" s="19" t="s">
        <v>24</v>
      </c>
      <c r="D39" s="19" t="s">
        <v>39</v>
      </c>
      <c r="E39" s="19" t="s">
        <v>6</v>
      </c>
      <c r="F39" s="20">
        <v>-16.68</v>
      </c>
      <c r="G39" s="19" t="s">
        <v>75</v>
      </c>
    </row>
    <row r="40" spans="1:7" s="18" customFormat="1" ht="15" customHeight="1">
      <c r="A40" s="19" t="s">
        <v>74</v>
      </c>
      <c r="B40" s="19" t="s">
        <v>69</v>
      </c>
      <c r="C40" s="19" t="s">
        <v>24</v>
      </c>
      <c r="D40" s="19" t="s">
        <v>39</v>
      </c>
      <c r="E40" s="19" t="s">
        <v>7</v>
      </c>
      <c r="F40" s="20">
        <v>797.71</v>
      </c>
      <c r="G40" s="19" t="s">
        <v>75</v>
      </c>
    </row>
    <row r="41" spans="1:7" s="18" customFormat="1" ht="15" customHeight="1">
      <c r="A41" s="19" t="s">
        <v>74</v>
      </c>
      <c r="B41" s="19" t="s">
        <v>70</v>
      </c>
      <c r="C41" s="19" t="s">
        <v>24</v>
      </c>
      <c r="D41" s="19" t="s">
        <v>39</v>
      </c>
      <c r="E41" s="19" t="s">
        <v>5</v>
      </c>
      <c r="F41" s="20">
        <v>-2107.9899999999998</v>
      </c>
      <c r="G41" s="19" t="s">
        <v>75</v>
      </c>
    </row>
    <row r="42" spans="1:7" s="18" customFormat="1" ht="15" customHeight="1">
      <c r="A42" s="19" t="s">
        <v>74</v>
      </c>
      <c r="B42" s="19" t="s">
        <v>70</v>
      </c>
      <c r="C42" s="19" t="s">
        <v>24</v>
      </c>
      <c r="D42" s="19" t="s">
        <v>39</v>
      </c>
      <c r="E42" s="19" t="s">
        <v>6</v>
      </c>
      <c r="F42" s="20">
        <v>-18.829999999999998</v>
      </c>
      <c r="G42" s="19" t="s">
        <v>75</v>
      </c>
    </row>
    <row r="43" spans="1:7" s="18" customFormat="1" ht="15" customHeight="1">
      <c r="A43" s="19" t="s">
        <v>74</v>
      </c>
      <c r="B43" s="19" t="s">
        <v>70</v>
      </c>
      <c r="C43" s="19" t="s">
        <v>24</v>
      </c>
      <c r="D43" s="19" t="s">
        <v>39</v>
      </c>
      <c r="E43" s="19" t="s">
        <v>129</v>
      </c>
      <c r="F43" s="20">
        <v>-104.22</v>
      </c>
      <c r="G43" s="19" t="s">
        <v>75</v>
      </c>
    </row>
    <row r="44" spans="1:7" s="18" customFormat="1" ht="15" customHeight="1">
      <c r="A44" s="19" t="s">
        <v>74</v>
      </c>
      <c r="B44" s="19" t="s">
        <v>70</v>
      </c>
      <c r="C44" s="19" t="s">
        <v>24</v>
      </c>
      <c r="D44" s="19" t="s">
        <v>39</v>
      </c>
      <c r="E44" s="19" t="s">
        <v>7</v>
      </c>
      <c r="F44" s="20">
        <v>-807.38</v>
      </c>
      <c r="G44" s="19" t="s">
        <v>75</v>
      </c>
    </row>
    <row r="45" spans="1:7" s="18" customFormat="1" ht="15" customHeight="1">
      <c r="A45" s="19" t="s">
        <v>74</v>
      </c>
      <c r="B45" s="19" t="s">
        <v>78</v>
      </c>
      <c r="C45" s="19" t="s">
        <v>29</v>
      </c>
      <c r="D45" s="19" t="s">
        <v>39</v>
      </c>
      <c r="E45" s="19" t="s">
        <v>5</v>
      </c>
      <c r="F45" s="20">
        <v>7.59</v>
      </c>
      <c r="G45" s="19" t="s">
        <v>75</v>
      </c>
    </row>
    <row r="46" spans="1:7" s="18" customFormat="1" ht="15" customHeight="1">
      <c r="A46" s="19" t="s">
        <v>74</v>
      </c>
      <c r="B46" s="19" t="s">
        <v>78</v>
      </c>
      <c r="C46" s="19" t="s">
        <v>29</v>
      </c>
      <c r="D46" s="19" t="s">
        <v>39</v>
      </c>
      <c r="E46" s="19" t="s">
        <v>6</v>
      </c>
      <c r="F46" s="20">
        <v>-3.71</v>
      </c>
      <c r="G46" s="19" t="s">
        <v>75</v>
      </c>
    </row>
    <row r="47" spans="1:7" s="18" customFormat="1" ht="15" customHeight="1">
      <c r="A47" s="19" t="s">
        <v>74</v>
      </c>
      <c r="B47" s="19" t="s">
        <v>71</v>
      </c>
      <c r="C47" s="19" t="s">
        <v>26</v>
      </c>
      <c r="D47" s="19" t="s">
        <v>39</v>
      </c>
      <c r="E47" s="19" t="s">
        <v>5</v>
      </c>
      <c r="F47" s="20">
        <v>-596.4</v>
      </c>
      <c r="G47" s="19" t="s">
        <v>75</v>
      </c>
    </row>
    <row r="48" spans="1:7" s="18" customFormat="1" ht="15" customHeight="1">
      <c r="A48" s="19" t="s">
        <v>74</v>
      </c>
      <c r="B48" s="19" t="s">
        <v>71</v>
      </c>
      <c r="C48" s="19" t="s">
        <v>26</v>
      </c>
      <c r="D48" s="19" t="s">
        <v>39</v>
      </c>
      <c r="E48" s="19" t="s">
        <v>6</v>
      </c>
      <c r="F48" s="20">
        <v>-47.79</v>
      </c>
      <c r="G48" s="19" t="s">
        <v>75</v>
      </c>
    </row>
    <row r="49" spans="1:7" s="18" customFormat="1" ht="15" customHeight="1">
      <c r="A49" s="19" t="s">
        <v>74</v>
      </c>
      <c r="B49" s="19" t="s">
        <v>53</v>
      </c>
      <c r="C49" s="19" t="s">
        <v>12</v>
      </c>
      <c r="D49" s="19" t="s">
        <v>43</v>
      </c>
      <c r="E49" s="19" t="s">
        <v>5</v>
      </c>
      <c r="F49" s="20">
        <v>-2.08</v>
      </c>
      <c r="G49" s="19" t="s">
        <v>75</v>
      </c>
    </row>
    <row r="50" spans="1:7" s="18" customFormat="1" ht="15" customHeight="1">
      <c r="A50" s="19" t="s">
        <v>74</v>
      </c>
      <c r="B50" s="19" t="s">
        <v>53</v>
      </c>
      <c r="C50" s="19" t="s">
        <v>12</v>
      </c>
      <c r="D50" s="19" t="s">
        <v>43</v>
      </c>
      <c r="E50" s="19" t="s">
        <v>6</v>
      </c>
      <c r="F50" s="20">
        <v>-1.82</v>
      </c>
      <c r="G50" s="19" t="s">
        <v>75</v>
      </c>
    </row>
    <row r="51" spans="1:7" s="18" customFormat="1" ht="15" customHeight="1">
      <c r="A51" s="19" t="s">
        <v>74</v>
      </c>
      <c r="B51" s="19"/>
      <c r="C51" s="19" t="s">
        <v>125</v>
      </c>
      <c r="D51" s="19" t="s">
        <v>111</v>
      </c>
      <c r="E51" s="19" t="s">
        <v>111</v>
      </c>
      <c r="F51" s="20">
        <v>259.36</v>
      </c>
      <c r="G51" s="19" t="s">
        <v>126</v>
      </c>
    </row>
    <row r="52" spans="1:7" s="18" customFormat="1" ht="15" customHeight="1">
      <c r="A52" s="19" t="s">
        <v>74</v>
      </c>
      <c r="B52" s="19"/>
      <c r="C52" s="19" t="s">
        <v>127</v>
      </c>
      <c r="D52" s="19" t="s">
        <v>111</v>
      </c>
      <c r="E52" s="19" t="s">
        <v>111</v>
      </c>
      <c r="F52" s="20">
        <v>-9.5</v>
      </c>
      <c r="G52" s="19" t="s">
        <v>126</v>
      </c>
    </row>
    <row r="53" spans="1:7" s="18" customFormat="1" ht="15" customHeight="1">
      <c r="A53" s="19" t="s">
        <v>54</v>
      </c>
      <c r="B53" s="19" t="s">
        <v>55</v>
      </c>
      <c r="C53" s="19" t="s">
        <v>25</v>
      </c>
      <c r="D53" s="19" t="s">
        <v>39</v>
      </c>
      <c r="E53" s="19" t="s">
        <v>5</v>
      </c>
      <c r="F53" s="20">
        <v>-40</v>
      </c>
      <c r="G53" s="19" t="s">
        <v>56</v>
      </c>
    </row>
    <row r="54" spans="1:7" s="18" customFormat="1" ht="15" customHeight="1">
      <c r="A54" s="19" t="s">
        <v>54</v>
      </c>
      <c r="B54" s="19" t="s">
        <v>55</v>
      </c>
      <c r="C54" s="19" t="s">
        <v>25</v>
      </c>
      <c r="D54" s="19" t="s">
        <v>39</v>
      </c>
      <c r="E54" s="19" t="s">
        <v>6</v>
      </c>
      <c r="F54" s="20">
        <v>-4.82</v>
      </c>
      <c r="G54" s="19" t="s">
        <v>56</v>
      </c>
    </row>
    <row r="55" spans="1:7" s="18" customFormat="1" ht="15" customHeight="1">
      <c r="A55" s="19" t="s">
        <v>54</v>
      </c>
      <c r="B55" s="19" t="s">
        <v>44</v>
      </c>
      <c r="C55" s="19" t="s">
        <v>10</v>
      </c>
      <c r="D55" s="19" t="s">
        <v>43</v>
      </c>
      <c r="E55" s="19" t="s">
        <v>5</v>
      </c>
      <c r="F55" s="20">
        <v>261975</v>
      </c>
      <c r="G55" s="19" t="s">
        <v>56</v>
      </c>
    </row>
    <row r="56" spans="1:7" s="18" customFormat="1" ht="15" customHeight="1">
      <c r="A56" s="19" t="s">
        <v>54</v>
      </c>
      <c r="B56" s="19" t="s">
        <v>44</v>
      </c>
      <c r="C56" s="19" t="s">
        <v>10</v>
      </c>
      <c r="D56" s="19" t="s">
        <v>43</v>
      </c>
      <c r="E56" s="19" t="s">
        <v>6</v>
      </c>
      <c r="F56" s="20">
        <v>-162.63999999999999</v>
      </c>
      <c r="G56" s="19" t="s">
        <v>56</v>
      </c>
    </row>
    <row r="57" spans="1:7" s="18" customFormat="1" ht="15" customHeight="1">
      <c r="A57" s="19" t="s">
        <v>54</v>
      </c>
      <c r="B57" s="19" t="s">
        <v>45</v>
      </c>
      <c r="C57" s="19" t="s">
        <v>10</v>
      </c>
      <c r="D57" s="19" t="s">
        <v>43</v>
      </c>
      <c r="E57" s="19" t="s">
        <v>5</v>
      </c>
      <c r="F57" s="20">
        <v>-340945</v>
      </c>
      <c r="G57" s="19" t="s">
        <v>56</v>
      </c>
    </row>
    <row r="58" spans="1:7" s="18" customFormat="1" ht="15" customHeight="1">
      <c r="A58" s="19" t="s">
        <v>54</v>
      </c>
      <c r="B58" s="19" t="s">
        <v>45</v>
      </c>
      <c r="C58" s="19" t="s">
        <v>10</v>
      </c>
      <c r="D58" s="19" t="s">
        <v>43</v>
      </c>
      <c r="E58" s="19" t="s">
        <v>6</v>
      </c>
      <c r="F58" s="20">
        <v>-225.2</v>
      </c>
      <c r="G58" s="19" t="s">
        <v>56</v>
      </c>
    </row>
    <row r="59" spans="1:7" s="18" customFormat="1" ht="15" customHeight="1">
      <c r="A59" s="19" t="s">
        <v>54</v>
      </c>
      <c r="B59" s="19" t="s">
        <v>46</v>
      </c>
      <c r="C59" s="19" t="s">
        <v>10</v>
      </c>
      <c r="D59" s="19" t="s">
        <v>43</v>
      </c>
      <c r="E59" s="19" t="s">
        <v>5</v>
      </c>
      <c r="F59" s="20">
        <v>-96140</v>
      </c>
      <c r="G59" s="19" t="s">
        <v>56</v>
      </c>
    </row>
    <row r="60" spans="1:7" s="18" customFormat="1" ht="15" customHeight="1">
      <c r="A60" s="19" t="s">
        <v>54</v>
      </c>
      <c r="B60" s="19" t="s">
        <v>46</v>
      </c>
      <c r="C60" s="19" t="s">
        <v>10</v>
      </c>
      <c r="D60" s="19" t="s">
        <v>43</v>
      </c>
      <c r="E60" s="19" t="s">
        <v>6</v>
      </c>
      <c r="F60" s="20">
        <v>-137.62</v>
      </c>
      <c r="G60" s="19" t="s">
        <v>56</v>
      </c>
    </row>
    <row r="61" spans="1:7" s="18" customFormat="1" ht="15" customHeight="1">
      <c r="A61" s="19" t="s">
        <v>54</v>
      </c>
      <c r="B61" s="19" t="s">
        <v>47</v>
      </c>
      <c r="C61" s="19" t="s">
        <v>10</v>
      </c>
      <c r="D61" s="19" t="s">
        <v>43</v>
      </c>
      <c r="E61" s="19" t="s">
        <v>5</v>
      </c>
      <c r="F61" s="20">
        <v>176290</v>
      </c>
      <c r="G61" s="19" t="s">
        <v>56</v>
      </c>
    </row>
    <row r="62" spans="1:7" s="18" customFormat="1" ht="15" customHeight="1">
      <c r="A62" s="19" t="s">
        <v>54</v>
      </c>
      <c r="B62" s="19" t="s">
        <v>47</v>
      </c>
      <c r="C62" s="19" t="s">
        <v>10</v>
      </c>
      <c r="D62" s="19" t="s">
        <v>43</v>
      </c>
      <c r="E62" s="19" t="s">
        <v>6</v>
      </c>
      <c r="F62" s="20">
        <v>-75.06</v>
      </c>
      <c r="G62" s="19" t="s">
        <v>56</v>
      </c>
    </row>
    <row r="63" spans="1:7" s="18" customFormat="1" ht="15" customHeight="1">
      <c r="A63" s="19" t="s">
        <v>54</v>
      </c>
      <c r="B63" s="19" t="s">
        <v>38</v>
      </c>
      <c r="C63" s="19" t="s">
        <v>9</v>
      </c>
      <c r="D63" s="19" t="s">
        <v>39</v>
      </c>
      <c r="E63" s="19" t="s">
        <v>5</v>
      </c>
      <c r="F63" s="20">
        <v>58.46</v>
      </c>
      <c r="G63" s="19" t="s">
        <v>56</v>
      </c>
    </row>
    <row r="64" spans="1:7" s="18" customFormat="1" ht="15" customHeight="1">
      <c r="A64" s="19" t="s">
        <v>54</v>
      </c>
      <c r="B64" s="19" t="s">
        <v>38</v>
      </c>
      <c r="C64" s="19" t="s">
        <v>9</v>
      </c>
      <c r="D64" s="19" t="s">
        <v>39</v>
      </c>
      <c r="E64" s="19" t="s">
        <v>6</v>
      </c>
      <c r="F64" s="20">
        <v>-5.59</v>
      </c>
      <c r="G64" s="19" t="s">
        <v>56</v>
      </c>
    </row>
    <row r="65" spans="1:7" s="18" customFormat="1" ht="15" customHeight="1">
      <c r="A65" s="19" t="s">
        <v>54</v>
      </c>
      <c r="B65" s="19" t="s">
        <v>57</v>
      </c>
      <c r="C65" s="19" t="s">
        <v>30</v>
      </c>
      <c r="D65" s="19" t="s">
        <v>39</v>
      </c>
      <c r="E65" s="19" t="s">
        <v>5</v>
      </c>
      <c r="F65" s="20">
        <v>-62.9</v>
      </c>
      <c r="G65" s="19" t="s">
        <v>56</v>
      </c>
    </row>
    <row r="66" spans="1:7" s="18" customFormat="1" ht="15" customHeight="1">
      <c r="A66" s="19" t="s">
        <v>54</v>
      </c>
      <c r="B66" s="19" t="s">
        <v>57</v>
      </c>
      <c r="C66" s="19" t="s">
        <v>30</v>
      </c>
      <c r="D66" s="19" t="s">
        <v>39</v>
      </c>
      <c r="E66" s="19" t="s">
        <v>6</v>
      </c>
      <c r="F66" s="20">
        <v>-14.38</v>
      </c>
      <c r="G66" s="19" t="s">
        <v>56</v>
      </c>
    </row>
    <row r="67" spans="1:7" s="18" customFormat="1" ht="15" customHeight="1">
      <c r="A67" s="19" t="s">
        <v>54</v>
      </c>
      <c r="B67" s="19" t="s">
        <v>58</v>
      </c>
      <c r="C67" s="19" t="s">
        <v>29</v>
      </c>
      <c r="D67" s="19" t="s">
        <v>39</v>
      </c>
      <c r="E67" s="19" t="s">
        <v>5</v>
      </c>
      <c r="F67" s="20">
        <v>1135.45</v>
      </c>
      <c r="G67" s="19" t="s">
        <v>56</v>
      </c>
    </row>
    <row r="68" spans="1:7" s="18" customFormat="1" ht="15" customHeight="1">
      <c r="A68" s="19" t="s">
        <v>54</v>
      </c>
      <c r="B68" s="19" t="s">
        <v>58</v>
      </c>
      <c r="C68" s="19" t="s">
        <v>29</v>
      </c>
      <c r="D68" s="19" t="s">
        <v>39</v>
      </c>
      <c r="E68" s="19" t="s">
        <v>6</v>
      </c>
      <c r="F68" s="20">
        <v>-25.32</v>
      </c>
      <c r="G68" s="19" t="s">
        <v>56</v>
      </c>
    </row>
    <row r="69" spans="1:7" s="18" customFormat="1" ht="15" customHeight="1">
      <c r="A69" s="19" t="s">
        <v>54</v>
      </c>
      <c r="B69" s="19" t="s">
        <v>58</v>
      </c>
      <c r="C69" s="19" t="s">
        <v>29</v>
      </c>
      <c r="D69" s="19" t="s">
        <v>39</v>
      </c>
      <c r="E69" s="19" t="s">
        <v>129</v>
      </c>
      <c r="F69" s="20">
        <v>-261.58999999999997</v>
      </c>
      <c r="G69" s="19" t="s">
        <v>56</v>
      </c>
    </row>
    <row r="70" spans="1:7" s="18" customFormat="1" ht="15" customHeight="1">
      <c r="A70" s="19" t="s">
        <v>54</v>
      </c>
      <c r="B70" s="19" t="s">
        <v>59</v>
      </c>
      <c r="C70" s="19" t="s">
        <v>16</v>
      </c>
      <c r="D70" s="19" t="s">
        <v>39</v>
      </c>
      <c r="E70" s="19" t="s">
        <v>5</v>
      </c>
      <c r="F70" s="20">
        <v>-4501.0200000000004</v>
      </c>
      <c r="G70" s="19" t="s">
        <v>56</v>
      </c>
    </row>
    <row r="71" spans="1:7" s="18" customFormat="1" ht="15" customHeight="1">
      <c r="A71" s="19" t="s">
        <v>54</v>
      </c>
      <c r="B71" s="19" t="s">
        <v>59</v>
      </c>
      <c r="C71" s="19" t="s">
        <v>16</v>
      </c>
      <c r="D71" s="19" t="s">
        <v>39</v>
      </c>
      <c r="E71" s="19" t="s">
        <v>6</v>
      </c>
      <c r="F71" s="20">
        <v>-30.7</v>
      </c>
      <c r="G71" s="19" t="s">
        <v>56</v>
      </c>
    </row>
    <row r="72" spans="1:7" s="18" customFormat="1" ht="15" customHeight="1">
      <c r="A72" s="19" t="s">
        <v>54</v>
      </c>
      <c r="B72" s="19" t="s">
        <v>59</v>
      </c>
      <c r="C72" s="19" t="s">
        <v>16</v>
      </c>
      <c r="D72" s="19" t="s">
        <v>39</v>
      </c>
      <c r="E72" s="19" t="s">
        <v>129</v>
      </c>
      <c r="F72" s="20">
        <v>-31.96</v>
      </c>
      <c r="G72" s="19" t="s">
        <v>56</v>
      </c>
    </row>
    <row r="73" spans="1:7" s="18" customFormat="1" ht="15" customHeight="1">
      <c r="A73" s="19" t="s">
        <v>54</v>
      </c>
      <c r="B73" s="19" t="s">
        <v>60</v>
      </c>
      <c r="C73" s="19" t="s">
        <v>22</v>
      </c>
      <c r="D73" s="19" t="s">
        <v>39</v>
      </c>
      <c r="E73" s="19" t="s">
        <v>5</v>
      </c>
      <c r="F73" s="20">
        <v>525.20000000000005</v>
      </c>
      <c r="G73" s="19" t="s">
        <v>56</v>
      </c>
    </row>
    <row r="74" spans="1:7" s="18" customFormat="1" ht="15" customHeight="1">
      <c r="A74" s="19" t="s">
        <v>54</v>
      </c>
      <c r="B74" s="19" t="s">
        <v>60</v>
      </c>
      <c r="C74" s="19" t="s">
        <v>22</v>
      </c>
      <c r="D74" s="19" t="s">
        <v>39</v>
      </c>
      <c r="E74" s="19" t="s">
        <v>6</v>
      </c>
      <c r="F74" s="20">
        <v>-12.65</v>
      </c>
      <c r="G74" s="19" t="s">
        <v>56</v>
      </c>
    </row>
    <row r="75" spans="1:7" s="18" customFormat="1" ht="15" customHeight="1">
      <c r="A75" s="19" t="s">
        <v>54</v>
      </c>
      <c r="B75" s="19" t="s">
        <v>60</v>
      </c>
      <c r="C75" s="19" t="s">
        <v>22</v>
      </c>
      <c r="D75" s="19" t="s">
        <v>39</v>
      </c>
      <c r="E75" s="19" t="s">
        <v>129</v>
      </c>
      <c r="F75" s="20">
        <v>-9.2200000000000006</v>
      </c>
      <c r="G75" s="19" t="s">
        <v>56</v>
      </c>
    </row>
    <row r="76" spans="1:7" s="18" customFormat="1" ht="15" customHeight="1">
      <c r="A76" s="19" t="s">
        <v>54</v>
      </c>
      <c r="B76" s="19" t="s">
        <v>61</v>
      </c>
      <c r="C76" s="19" t="s">
        <v>62</v>
      </c>
      <c r="D76" s="19" t="s">
        <v>39</v>
      </c>
      <c r="E76" s="19" t="s">
        <v>5</v>
      </c>
      <c r="F76" s="20">
        <v>-1207.24</v>
      </c>
      <c r="G76" s="19" t="s">
        <v>56</v>
      </c>
    </row>
    <row r="77" spans="1:7" s="18" customFormat="1" ht="15" customHeight="1">
      <c r="A77" s="19" t="s">
        <v>54</v>
      </c>
      <c r="B77" s="19" t="s">
        <v>61</v>
      </c>
      <c r="C77" s="19" t="s">
        <v>62</v>
      </c>
      <c r="D77" s="19" t="s">
        <v>39</v>
      </c>
      <c r="E77" s="19" t="s">
        <v>6</v>
      </c>
      <c r="F77" s="20">
        <v>-69.260000000000005</v>
      </c>
      <c r="G77" s="19" t="s">
        <v>56</v>
      </c>
    </row>
    <row r="78" spans="1:7" s="18" customFormat="1" ht="15" customHeight="1">
      <c r="A78" s="19" t="s">
        <v>54</v>
      </c>
      <c r="B78" s="19" t="s">
        <v>61</v>
      </c>
      <c r="C78" s="19" t="s">
        <v>62</v>
      </c>
      <c r="D78" s="19" t="s">
        <v>39</v>
      </c>
      <c r="E78" s="19" t="s">
        <v>129</v>
      </c>
      <c r="F78" s="20">
        <v>-22.79</v>
      </c>
      <c r="G78" s="19" t="s">
        <v>56</v>
      </c>
    </row>
    <row r="79" spans="1:7" s="18" customFormat="1" ht="15" customHeight="1">
      <c r="A79" s="19" t="s">
        <v>54</v>
      </c>
      <c r="B79" s="19" t="s">
        <v>49</v>
      </c>
      <c r="C79" s="19" t="s">
        <v>11</v>
      </c>
      <c r="D79" s="19" t="s">
        <v>43</v>
      </c>
      <c r="E79" s="19" t="s">
        <v>5</v>
      </c>
      <c r="F79" s="20">
        <v>-8200</v>
      </c>
      <c r="G79" s="19" t="s">
        <v>56</v>
      </c>
    </row>
    <row r="80" spans="1:7" s="18" customFormat="1" ht="15" customHeight="1">
      <c r="A80" s="19" t="s">
        <v>54</v>
      </c>
      <c r="B80" s="19" t="s">
        <v>49</v>
      </c>
      <c r="C80" s="19" t="s">
        <v>11</v>
      </c>
      <c r="D80" s="19" t="s">
        <v>43</v>
      </c>
      <c r="E80" s="19" t="s">
        <v>6</v>
      </c>
      <c r="F80" s="20">
        <v>-8.52</v>
      </c>
      <c r="G80" s="19" t="s">
        <v>56</v>
      </c>
    </row>
    <row r="81" spans="1:7" s="18" customFormat="1" ht="15" customHeight="1">
      <c r="A81" s="19" t="s">
        <v>54</v>
      </c>
      <c r="B81" s="19" t="s">
        <v>50</v>
      </c>
      <c r="C81" s="19" t="s">
        <v>11</v>
      </c>
      <c r="D81" s="19" t="s">
        <v>43</v>
      </c>
      <c r="E81" s="19" t="s">
        <v>5</v>
      </c>
      <c r="F81" s="20">
        <v>-57050</v>
      </c>
      <c r="G81" s="19" t="s">
        <v>56</v>
      </c>
    </row>
    <row r="82" spans="1:7" s="18" customFormat="1" ht="15" customHeight="1">
      <c r="A82" s="19" t="s">
        <v>54</v>
      </c>
      <c r="B82" s="19" t="s">
        <v>50</v>
      </c>
      <c r="C82" s="19" t="s">
        <v>11</v>
      </c>
      <c r="D82" s="19" t="s">
        <v>43</v>
      </c>
      <c r="E82" s="19" t="s">
        <v>6</v>
      </c>
      <c r="F82" s="20">
        <v>-42.56</v>
      </c>
      <c r="G82" s="19" t="s">
        <v>56</v>
      </c>
    </row>
    <row r="83" spans="1:7" s="18" customFormat="1" ht="15" customHeight="1">
      <c r="A83" s="19" t="s">
        <v>54</v>
      </c>
      <c r="B83" s="19" t="s">
        <v>51</v>
      </c>
      <c r="C83" s="19" t="s">
        <v>11</v>
      </c>
      <c r="D83" s="19" t="s">
        <v>43</v>
      </c>
      <c r="E83" s="19" t="s">
        <v>5</v>
      </c>
      <c r="F83" s="20">
        <v>65525</v>
      </c>
      <c r="G83" s="19" t="s">
        <v>56</v>
      </c>
    </row>
    <row r="84" spans="1:7" s="18" customFormat="1" ht="15" customHeight="1">
      <c r="A84" s="19" t="s">
        <v>54</v>
      </c>
      <c r="B84" s="19" t="s">
        <v>51</v>
      </c>
      <c r="C84" s="19" t="s">
        <v>11</v>
      </c>
      <c r="D84" s="19" t="s">
        <v>43</v>
      </c>
      <c r="E84" s="19" t="s">
        <v>6</v>
      </c>
      <c r="F84" s="20">
        <v>-34.04</v>
      </c>
      <c r="G84" s="19" t="s">
        <v>56</v>
      </c>
    </row>
    <row r="85" spans="1:7" s="18" customFormat="1" ht="15" customHeight="1">
      <c r="A85" s="19" t="s">
        <v>54</v>
      </c>
      <c r="B85" s="19" t="s">
        <v>63</v>
      </c>
      <c r="C85" s="19" t="s">
        <v>25</v>
      </c>
      <c r="D85" s="19" t="s">
        <v>39</v>
      </c>
      <c r="E85" s="19" t="s">
        <v>5</v>
      </c>
      <c r="F85" s="20">
        <v>49.09</v>
      </c>
      <c r="G85" s="19" t="s">
        <v>56</v>
      </c>
    </row>
    <row r="86" spans="1:7" s="18" customFormat="1" ht="15" customHeight="1">
      <c r="A86" s="19" t="s">
        <v>54</v>
      </c>
      <c r="B86" s="19" t="s">
        <v>63</v>
      </c>
      <c r="C86" s="19" t="s">
        <v>25</v>
      </c>
      <c r="D86" s="19" t="s">
        <v>39</v>
      </c>
      <c r="E86" s="19" t="s">
        <v>6</v>
      </c>
      <c r="F86" s="20">
        <v>-6.19</v>
      </c>
      <c r="G86" s="19" t="s">
        <v>56</v>
      </c>
    </row>
    <row r="87" spans="1:7" s="18" customFormat="1" ht="15" customHeight="1">
      <c r="A87" s="19" t="s">
        <v>54</v>
      </c>
      <c r="B87" s="19" t="s">
        <v>63</v>
      </c>
      <c r="C87" s="19" t="s">
        <v>25</v>
      </c>
      <c r="D87" s="19" t="s">
        <v>39</v>
      </c>
      <c r="E87" s="19" t="s">
        <v>129</v>
      </c>
      <c r="F87" s="20">
        <v>-10.81</v>
      </c>
      <c r="G87" s="19" t="s">
        <v>56</v>
      </c>
    </row>
    <row r="88" spans="1:7" s="18" customFormat="1" ht="15" customHeight="1">
      <c r="A88" s="19" t="s">
        <v>54</v>
      </c>
      <c r="B88" s="19" t="s">
        <v>41</v>
      </c>
      <c r="C88" s="19" t="s">
        <v>9</v>
      </c>
      <c r="D88" s="19" t="s">
        <v>39</v>
      </c>
      <c r="E88" s="19" t="s">
        <v>5</v>
      </c>
      <c r="F88" s="20">
        <v>-51.26</v>
      </c>
      <c r="G88" s="19" t="s">
        <v>56</v>
      </c>
    </row>
    <row r="89" spans="1:7" s="18" customFormat="1" ht="15" customHeight="1">
      <c r="A89" s="19" t="s">
        <v>54</v>
      </c>
      <c r="B89" s="19" t="s">
        <v>41</v>
      </c>
      <c r="C89" s="19" t="s">
        <v>9</v>
      </c>
      <c r="D89" s="19" t="s">
        <v>39</v>
      </c>
      <c r="E89" s="19" t="s">
        <v>6</v>
      </c>
      <c r="F89" s="20">
        <v>-8.6199999999999992</v>
      </c>
      <c r="G89" s="19" t="s">
        <v>56</v>
      </c>
    </row>
    <row r="90" spans="1:7" s="18" customFormat="1" ht="15" customHeight="1">
      <c r="A90" s="19" t="s">
        <v>54</v>
      </c>
      <c r="B90" s="19" t="s">
        <v>41</v>
      </c>
      <c r="C90" s="19" t="s">
        <v>9</v>
      </c>
      <c r="D90" s="19" t="s">
        <v>39</v>
      </c>
      <c r="E90" s="19" t="s">
        <v>129</v>
      </c>
      <c r="F90" s="20">
        <v>-1.26</v>
      </c>
      <c r="G90" s="19" t="s">
        <v>56</v>
      </c>
    </row>
    <row r="91" spans="1:7" s="18" customFormat="1" ht="15" customHeight="1">
      <c r="A91" s="19" t="s">
        <v>54</v>
      </c>
      <c r="B91" s="19" t="s">
        <v>64</v>
      </c>
      <c r="C91" s="19" t="s">
        <v>16</v>
      </c>
      <c r="D91" s="19" t="s">
        <v>39</v>
      </c>
      <c r="E91" s="19" t="s">
        <v>5</v>
      </c>
      <c r="F91" s="20">
        <v>4304.82</v>
      </c>
      <c r="G91" s="19" t="s">
        <v>56</v>
      </c>
    </row>
    <row r="92" spans="1:7" s="18" customFormat="1" ht="15" customHeight="1">
      <c r="A92" s="19" t="s">
        <v>54</v>
      </c>
      <c r="B92" s="19" t="s">
        <v>64</v>
      </c>
      <c r="C92" s="19" t="s">
        <v>16</v>
      </c>
      <c r="D92" s="19" t="s">
        <v>39</v>
      </c>
      <c r="E92" s="19" t="s">
        <v>6</v>
      </c>
      <c r="F92" s="20">
        <v>-25.87</v>
      </c>
      <c r="G92" s="19" t="s">
        <v>56</v>
      </c>
    </row>
    <row r="93" spans="1:7" s="18" customFormat="1" ht="15" customHeight="1">
      <c r="A93" s="19" t="s">
        <v>54</v>
      </c>
      <c r="B93" s="19" t="s">
        <v>65</v>
      </c>
      <c r="C93" s="19" t="s">
        <v>30</v>
      </c>
      <c r="D93" s="19" t="s">
        <v>39</v>
      </c>
      <c r="E93" s="19" t="s">
        <v>5</v>
      </c>
      <c r="F93" s="20">
        <v>-409.28</v>
      </c>
      <c r="G93" s="19" t="s">
        <v>56</v>
      </c>
    </row>
    <row r="94" spans="1:7" s="18" customFormat="1" ht="15" customHeight="1">
      <c r="A94" s="19" t="s">
        <v>54</v>
      </c>
      <c r="B94" s="19" t="s">
        <v>65</v>
      </c>
      <c r="C94" s="19" t="s">
        <v>30</v>
      </c>
      <c r="D94" s="19" t="s">
        <v>39</v>
      </c>
      <c r="E94" s="19" t="s">
        <v>6</v>
      </c>
      <c r="F94" s="20">
        <v>-19.59</v>
      </c>
      <c r="G94" s="19" t="s">
        <v>56</v>
      </c>
    </row>
    <row r="95" spans="1:7" s="18" customFormat="1" ht="15" customHeight="1">
      <c r="A95" s="19" t="s">
        <v>54</v>
      </c>
      <c r="B95" s="19" t="s">
        <v>66</v>
      </c>
      <c r="C95" s="19" t="s">
        <v>29</v>
      </c>
      <c r="D95" s="19" t="s">
        <v>39</v>
      </c>
      <c r="E95" s="19" t="s">
        <v>5</v>
      </c>
      <c r="F95" s="20">
        <v>-1728.75</v>
      </c>
      <c r="G95" s="19" t="s">
        <v>56</v>
      </c>
    </row>
    <row r="96" spans="1:7" s="18" customFormat="1" ht="15" customHeight="1">
      <c r="A96" s="19" t="s">
        <v>54</v>
      </c>
      <c r="B96" s="19" t="s">
        <v>66</v>
      </c>
      <c r="C96" s="19" t="s">
        <v>29</v>
      </c>
      <c r="D96" s="19" t="s">
        <v>39</v>
      </c>
      <c r="E96" s="19" t="s">
        <v>6</v>
      </c>
      <c r="F96" s="20">
        <v>-22.92</v>
      </c>
      <c r="G96" s="19" t="s">
        <v>56</v>
      </c>
    </row>
    <row r="97" spans="1:7" s="18" customFormat="1" ht="15" customHeight="1">
      <c r="A97" s="19" t="s">
        <v>54</v>
      </c>
      <c r="B97" s="19" t="s">
        <v>67</v>
      </c>
      <c r="C97" s="19" t="s">
        <v>26</v>
      </c>
      <c r="D97" s="19" t="s">
        <v>39</v>
      </c>
      <c r="E97" s="19" t="s">
        <v>5</v>
      </c>
      <c r="F97" s="20">
        <v>331.28</v>
      </c>
      <c r="G97" s="19" t="s">
        <v>56</v>
      </c>
    </row>
    <row r="98" spans="1:7" s="18" customFormat="1" ht="15" customHeight="1">
      <c r="A98" s="19" t="s">
        <v>54</v>
      </c>
      <c r="B98" s="19" t="s">
        <v>67</v>
      </c>
      <c r="C98" s="19" t="s">
        <v>26</v>
      </c>
      <c r="D98" s="19" t="s">
        <v>39</v>
      </c>
      <c r="E98" s="19" t="s">
        <v>6</v>
      </c>
      <c r="F98" s="20">
        <v>-23.45</v>
      </c>
      <c r="G98" s="19" t="s">
        <v>56</v>
      </c>
    </row>
    <row r="99" spans="1:7" s="18" customFormat="1" ht="15" customHeight="1">
      <c r="A99" s="19" t="s">
        <v>54</v>
      </c>
      <c r="B99" s="19" t="s">
        <v>67</v>
      </c>
      <c r="C99" s="19" t="s">
        <v>26</v>
      </c>
      <c r="D99" s="19" t="s">
        <v>39</v>
      </c>
      <c r="E99" s="19" t="s">
        <v>129</v>
      </c>
      <c r="F99" s="20">
        <v>-44.16</v>
      </c>
      <c r="G99" s="19" t="s">
        <v>56</v>
      </c>
    </row>
    <row r="100" spans="1:7" s="18" customFormat="1" ht="15" customHeight="1">
      <c r="A100" s="19" t="s">
        <v>54</v>
      </c>
      <c r="B100" s="19" t="s">
        <v>68</v>
      </c>
      <c r="C100" s="19" t="s">
        <v>62</v>
      </c>
      <c r="D100" s="19" t="s">
        <v>39</v>
      </c>
      <c r="E100" s="19" t="s">
        <v>5</v>
      </c>
      <c r="F100" s="20">
        <v>-1170.79</v>
      </c>
      <c r="G100" s="19" t="s">
        <v>56</v>
      </c>
    </row>
    <row r="101" spans="1:7" s="18" customFormat="1" ht="15" customHeight="1">
      <c r="A101" s="19" t="s">
        <v>54</v>
      </c>
      <c r="B101" s="19" t="s">
        <v>68</v>
      </c>
      <c r="C101" s="19" t="s">
        <v>62</v>
      </c>
      <c r="D101" s="19" t="s">
        <v>39</v>
      </c>
      <c r="E101" s="19" t="s">
        <v>6</v>
      </c>
      <c r="F101" s="20">
        <v>-72.19</v>
      </c>
      <c r="G101" s="19" t="s">
        <v>56</v>
      </c>
    </row>
    <row r="102" spans="1:7" s="18" customFormat="1" ht="15" customHeight="1">
      <c r="A102" s="19" t="s">
        <v>54</v>
      </c>
      <c r="B102" s="19" t="s">
        <v>69</v>
      </c>
      <c r="C102" s="19" t="s">
        <v>24</v>
      </c>
      <c r="D102" s="19" t="s">
        <v>39</v>
      </c>
      <c r="E102" s="19" t="s">
        <v>5</v>
      </c>
      <c r="F102" s="20">
        <v>-1268.4000000000001</v>
      </c>
      <c r="G102" s="19" t="s">
        <v>56</v>
      </c>
    </row>
    <row r="103" spans="1:7" s="18" customFormat="1" ht="15" customHeight="1">
      <c r="A103" s="19" t="s">
        <v>54</v>
      </c>
      <c r="B103" s="19" t="s">
        <v>69</v>
      </c>
      <c r="C103" s="19" t="s">
        <v>24</v>
      </c>
      <c r="D103" s="19" t="s">
        <v>39</v>
      </c>
      <c r="E103" s="19" t="s">
        <v>6</v>
      </c>
      <c r="F103" s="20">
        <v>-18.55</v>
      </c>
      <c r="G103" s="19" t="s">
        <v>56</v>
      </c>
    </row>
    <row r="104" spans="1:7" s="18" customFormat="1" ht="15" customHeight="1">
      <c r="A104" s="19" t="s">
        <v>54</v>
      </c>
      <c r="B104" s="19" t="s">
        <v>70</v>
      </c>
      <c r="C104" s="19" t="s">
        <v>24</v>
      </c>
      <c r="D104" s="19" t="s">
        <v>39</v>
      </c>
      <c r="E104" s="19" t="s">
        <v>5</v>
      </c>
      <c r="F104" s="20">
        <v>1222.44</v>
      </c>
      <c r="G104" s="19" t="s">
        <v>56</v>
      </c>
    </row>
    <row r="105" spans="1:7" s="18" customFormat="1" ht="15" customHeight="1">
      <c r="A105" s="19" t="s">
        <v>54</v>
      </c>
      <c r="B105" s="19" t="s">
        <v>70</v>
      </c>
      <c r="C105" s="19" t="s">
        <v>24</v>
      </c>
      <c r="D105" s="19" t="s">
        <v>39</v>
      </c>
      <c r="E105" s="19" t="s">
        <v>6</v>
      </c>
      <c r="F105" s="20">
        <v>-33.01</v>
      </c>
      <c r="G105" s="19" t="s">
        <v>56</v>
      </c>
    </row>
    <row r="106" spans="1:7" s="18" customFormat="1" ht="15" customHeight="1">
      <c r="A106" s="19" t="s">
        <v>54</v>
      </c>
      <c r="B106" s="19" t="s">
        <v>70</v>
      </c>
      <c r="C106" s="19" t="s">
        <v>24</v>
      </c>
      <c r="D106" s="19" t="s">
        <v>39</v>
      </c>
      <c r="E106" s="19" t="s">
        <v>129</v>
      </c>
      <c r="F106" s="20">
        <v>-16.170000000000002</v>
      </c>
      <c r="G106" s="19" t="s">
        <v>56</v>
      </c>
    </row>
    <row r="107" spans="1:7" s="18" customFormat="1" ht="15" customHeight="1">
      <c r="A107" s="19" t="s">
        <v>54</v>
      </c>
      <c r="B107" s="19" t="s">
        <v>71</v>
      </c>
      <c r="C107" s="19" t="s">
        <v>26</v>
      </c>
      <c r="D107" s="19" t="s">
        <v>39</v>
      </c>
      <c r="E107" s="19" t="s">
        <v>5</v>
      </c>
      <c r="F107" s="20">
        <v>-303.45</v>
      </c>
      <c r="G107" s="19" t="s">
        <v>56</v>
      </c>
    </row>
    <row r="108" spans="1:7" s="18" customFormat="1" ht="15" customHeight="1">
      <c r="A108" s="19" t="s">
        <v>54</v>
      </c>
      <c r="B108" s="19" t="s">
        <v>71</v>
      </c>
      <c r="C108" s="19" t="s">
        <v>26</v>
      </c>
      <c r="D108" s="19" t="s">
        <v>39</v>
      </c>
      <c r="E108" s="19" t="s">
        <v>6</v>
      </c>
      <c r="F108" s="20">
        <v>-45.22</v>
      </c>
      <c r="G108" s="19" t="s">
        <v>56</v>
      </c>
    </row>
    <row r="109" spans="1:7" s="18" customFormat="1" ht="15" customHeight="1">
      <c r="A109" s="19" t="s">
        <v>54</v>
      </c>
      <c r="B109" s="19" t="s">
        <v>72</v>
      </c>
      <c r="C109" s="19" t="s">
        <v>22</v>
      </c>
      <c r="D109" s="19" t="s">
        <v>39</v>
      </c>
      <c r="E109" s="19" t="s">
        <v>5</v>
      </c>
      <c r="F109" s="20">
        <v>-435</v>
      </c>
      <c r="G109" s="19" t="s">
        <v>56</v>
      </c>
    </row>
    <row r="110" spans="1:7" s="18" customFormat="1" ht="15" customHeight="1">
      <c r="A110" s="19" t="s">
        <v>54</v>
      </c>
      <c r="B110" s="19" t="s">
        <v>72</v>
      </c>
      <c r="C110" s="19" t="s">
        <v>22</v>
      </c>
      <c r="D110" s="19" t="s">
        <v>39</v>
      </c>
      <c r="E110" s="19" t="s">
        <v>6</v>
      </c>
      <c r="F110" s="20">
        <v>-17.34</v>
      </c>
      <c r="G110" s="19" t="s">
        <v>56</v>
      </c>
    </row>
    <row r="111" spans="1:7" s="18" customFormat="1" ht="15" customHeight="1">
      <c r="A111" s="19" t="s">
        <v>54</v>
      </c>
      <c r="B111" s="19" t="s">
        <v>53</v>
      </c>
      <c r="C111" s="19" t="s">
        <v>12</v>
      </c>
      <c r="D111" s="19" t="s">
        <v>43</v>
      </c>
      <c r="E111" s="19" t="s">
        <v>5</v>
      </c>
      <c r="F111" s="20">
        <v>20.84</v>
      </c>
      <c r="G111" s="19" t="s">
        <v>56</v>
      </c>
    </row>
    <row r="112" spans="1:7" s="18" customFormat="1" ht="15" customHeight="1">
      <c r="A112" s="19" t="s">
        <v>54</v>
      </c>
      <c r="B112" s="19" t="s">
        <v>73</v>
      </c>
      <c r="C112" s="19" t="s">
        <v>12</v>
      </c>
      <c r="D112" s="19" t="s">
        <v>43</v>
      </c>
      <c r="E112" s="19" t="s">
        <v>5</v>
      </c>
      <c r="F112" s="20">
        <v>20.84</v>
      </c>
      <c r="G112" s="19" t="s">
        <v>56</v>
      </c>
    </row>
    <row r="113" spans="1:7" s="18" customFormat="1" ht="15" customHeight="1">
      <c r="A113" s="19" t="s">
        <v>54</v>
      </c>
      <c r="B113" s="19" t="s">
        <v>73</v>
      </c>
      <c r="C113" s="19" t="s">
        <v>12</v>
      </c>
      <c r="D113" s="19" t="s">
        <v>43</v>
      </c>
      <c r="E113" s="19" t="s">
        <v>6</v>
      </c>
      <c r="F113" s="20">
        <v>-1.82</v>
      </c>
      <c r="G113" s="19" t="s">
        <v>56</v>
      </c>
    </row>
    <row r="114" spans="1:7" s="18" customFormat="1" ht="15" customHeight="1">
      <c r="A114" s="19" t="s">
        <v>54</v>
      </c>
      <c r="B114" s="19"/>
      <c r="C114" s="19" t="s">
        <v>125</v>
      </c>
      <c r="D114" s="19" t="s">
        <v>111</v>
      </c>
      <c r="E114" s="19" t="s">
        <v>111</v>
      </c>
      <c r="F114" s="20">
        <v>686.95</v>
      </c>
      <c r="G114" s="19" t="s">
        <v>126</v>
      </c>
    </row>
    <row r="115" spans="1:7" s="18" customFormat="1" ht="15" customHeight="1">
      <c r="A115" s="19" t="s">
        <v>54</v>
      </c>
      <c r="B115" s="19"/>
      <c r="C115" s="19" t="s">
        <v>127</v>
      </c>
      <c r="D115" s="19" t="s">
        <v>111</v>
      </c>
      <c r="E115" s="19" t="s">
        <v>111</v>
      </c>
      <c r="F115" s="20">
        <v>-9.5</v>
      </c>
      <c r="G115" s="19" t="s">
        <v>126</v>
      </c>
    </row>
    <row r="116" spans="1:7" s="18" customFormat="1" ht="15" customHeight="1">
      <c r="A116" s="19" t="s">
        <v>37</v>
      </c>
      <c r="B116" s="19" t="s">
        <v>42</v>
      </c>
      <c r="C116" s="19" t="s">
        <v>10</v>
      </c>
      <c r="D116" s="19" t="s">
        <v>43</v>
      </c>
      <c r="E116" s="19" t="s">
        <v>5</v>
      </c>
      <c r="F116" s="20">
        <v>362750</v>
      </c>
      <c r="G116" s="19" t="s">
        <v>40</v>
      </c>
    </row>
    <row r="117" spans="1:7" s="18" customFormat="1" ht="15" customHeight="1">
      <c r="A117" s="19" t="s">
        <v>37</v>
      </c>
      <c r="B117" s="19" t="s">
        <v>42</v>
      </c>
      <c r="C117" s="19" t="s">
        <v>10</v>
      </c>
      <c r="D117" s="19" t="s">
        <v>43</v>
      </c>
      <c r="E117" s="19" t="s">
        <v>6</v>
      </c>
      <c r="F117" s="20">
        <v>-538.36</v>
      </c>
      <c r="G117" s="19" t="s">
        <v>40</v>
      </c>
    </row>
    <row r="118" spans="1:7" s="18" customFormat="1" ht="15" customHeight="1">
      <c r="A118" s="19" t="s">
        <v>37</v>
      </c>
      <c r="B118" s="19" t="s">
        <v>44</v>
      </c>
      <c r="C118" s="19" t="s">
        <v>10</v>
      </c>
      <c r="D118" s="19" t="s">
        <v>43</v>
      </c>
      <c r="E118" s="19" t="s">
        <v>5</v>
      </c>
      <c r="F118" s="20">
        <v>-775010</v>
      </c>
      <c r="G118" s="19" t="s">
        <v>40</v>
      </c>
    </row>
    <row r="119" spans="1:7" s="18" customFormat="1" ht="15" customHeight="1">
      <c r="A119" s="19" t="s">
        <v>37</v>
      </c>
      <c r="B119" s="19" t="s">
        <v>44</v>
      </c>
      <c r="C119" s="19" t="s">
        <v>10</v>
      </c>
      <c r="D119" s="19" t="s">
        <v>43</v>
      </c>
      <c r="E119" s="19" t="s">
        <v>6</v>
      </c>
      <c r="F119" s="20">
        <v>-801.28</v>
      </c>
      <c r="G119" s="19" t="s">
        <v>40</v>
      </c>
    </row>
    <row r="120" spans="1:7" s="18" customFormat="1" ht="15" customHeight="1">
      <c r="A120" s="19" t="s">
        <v>37</v>
      </c>
      <c r="B120" s="19" t="s">
        <v>45</v>
      </c>
      <c r="C120" s="19" t="s">
        <v>10</v>
      </c>
      <c r="D120" s="19" t="s">
        <v>43</v>
      </c>
      <c r="E120" s="19" t="s">
        <v>5</v>
      </c>
      <c r="F120" s="20">
        <v>273230</v>
      </c>
      <c r="G120" s="19" t="s">
        <v>40</v>
      </c>
    </row>
    <row r="121" spans="1:7" s="18" customFormat="1" ht="15" customHeight="1">
      <c r="A121" s="19" t="s">
        <v>37</v>
      </c>
      <c r="B121" s="19" t="s">
        <v>45</v>
      </c>
      <c r="C121" s="19" t="s">
        <v>10</v>
      </c>
      <c r="D121" s="19" t="s">
        <v>43</v>
      </c>
      <c r="E121" s="19" t="s">
        <v>6</v>
      </c>
      <c r="F121" s="20">
        <v>-375.6</v>
      </c>
      <c r="G121" s="19" t="s">
        <v>40</v>
      </c>
    </row>
    <row r="122" spans="1:7" s="18" customFormat="1" ht="15" customHeight="1">
      <c r="A122" s="19" t="s">
        <v>37</v>
      </c>
      <c r="B122" s="19" t="s">
        <v>46</v>
      </c>
      <c r="C122" s="19" t="s">
        <v>10</v>
      </c>
      <c r="D122" s="19" t="s">
        <v>43</v>
      </c>
      <c r="E122" s="19" t="s">
        <v>5</v>
      </c>
      <c r="F122" s="20">
        <v>166260</v>
      </c>
      <c r="G122" s="19" t="s">
        <v>40</v>
      </c>
    </row>
    <row r="123" spans="1:7" s="18" customFormat="1" ht="15" customHeight="1">
      <c r="A123" s="19" t="s">
        <v>37</v>
      </c>
      <c r="B123" s="19" t="s">
        <v>46</v>
      </c>
      <c r="C123" s="19" t="s">
        <v>10</v>
      </c>
      <c r="D123" s="19" t="s">
        <v>43</v>
      </c>
      <c r="E123" s="19" t="s">
        <v>6</v>
      </c>
      <c r="F123" s="20">
        <v>-187.8</v>
      </c>
      <c r="G123" s="19" t="s">
        <v>40</v>
      </c>
    </row>
    <row r="124" spans="1:7" s="18" customFormat="1" ht="15" customHeight="1">
      <c r="A124" s="19" t="s">
        <v>37</v>
      </c>
      <c r="B124" s="19" t="s">
        <v>47</v>
      </c>
      <c r="C124" s="19" t="s">
        <v>10</v>
      </c>
      <c r="D124" s="19" t="s">
        <v>43</v>
      </c>
      <c r="E124" s="19" t="s">
        <v>5</v>
      </c>
      <c r="F124" s="20">
        <v>-16930</v>
      </c>
      <c r="G124" s="19" t="s">
        <v>40</v>
      </c>
    </row>
    <row r="125" spans="1:7" s="18" customFormat="1" ht="15" customHeight="1">
      <c r="A125" s="19" t="s">
        <v>37</v>
      </c>
      <c r="B125" s="19" t="s">
        <v>47</v>
      </c>
      <c r="C125" s="19" t="s">
        <v>10</v>
      </c>
      <c r="D125" s="19" t="s">
        <v>43</v>
      </c>
      <c r="E125" s="19" t="s">
        <v>6</v>
      </c>
      <c r="F125" s="20">
        <v>-75.12</v>
      </c>
      <c r="G125" s="19" t="s">
        <v>40</v>
      </c>
    </row>
    <row r="126" spans="1:7" s="18" customFormat="1" ht="15" customHeight="1">
      <c r="A126" s="19" t="s">
        <v>37</v>
      </c>
      <c r="B126" s="19" t="s">
        <v>38</v>
      </c>
      <c r="C126" s="19" t="s">
        <v>9</v>
      </c>
      <c r="D126" s="19" t="s">
        <v>39</v>
      </c>
      <c r="E126" s="19" t="s">
        <v>5</v>
      </c>
      <c r="F126" s="20">
        <v>-25.99</v>
      </c>
      <c r="G126" s="19" t="s">
        <v>40</v>
      </c>
    </row>
    <row r="127" spans="1:7" s="18" customFormat="1" ht="15" customHeight="1">
      <c r="A127" s="19" t="s">
        <v>37</v>
      </c>
      <c r="B127" s="19" t="s">
        <v>38</v>
      </c>
      <c r="C127" s="19" t="s">
        <v>9</v>
      </c>
      <c r="D127" s="19" t="s">
        <v>39</v>
      </c>
      <c r="E127" s="19" t="s">
        <v>6</v>
      </c>
      <c r="F127" s="20">
        <v>-10.49</v>
      </c>
      <c r="G127" s="19" t="s">
        <v>40</v>
      </c>
    </row>
    <row r="128" spans="1:7" s="18" customFormat="1" ht="15" customHeight="1">
      <c r="A128" s="19" t="s">
        <v>37</v>
      </c>
      <c r="B128" s="19" t="s">
        <v>48</v>
      </c>
      <c r="C128" s="19" t="s">
        <v>11</v>
      </c>
      <c r="D128" s="19" t="s">
        <v>43</v>
      </c>
      <c r="E128" s="19" t="s">
        <v>5</v>
      </c>
      <c r="F128" s="20">
        <v>42525</v>
      </c>
      <c r="G128" s="19" t="s">
        <v>40</v>
      </c>
    </row>
    <row r="129" spans="1:7" s="18" customFormat="1" ht="15" customHeight="1">
      <c r="A129" s="19" t="s">
        <v>37</v>
      </c>
      <c r="B129" s="19" t="s">
        <v>48</v>
      </c>
      <c r="C129" s="19" t="s">
        <v>11</v>
      </c>
      <c r="D129" s="19" t="s">
        <v>43</v>
      </c>
      <c r="E129" s="19" t="s">
        <v>6</v>
      </c>
      <c r="F129" s="20">
        <v>-25.56</v>
      </c>
      <c r="G129" s="19" t="s">
        <v>40</v>
      </c>
    </row>
    <row r="130" spans="1:7" s="18" customFormat="1" ht="15" customHeight="1">
      <c r="A130" s="19" t="s">
        <v>37</v>
      </c>
      <c r="B130" s="19" t="s">
        <v>49</v>
      </c>
      <c r="C130" s="19" t="s">
        <v>11</v>
      </c>
      <c r="D130" s="19" t="s">
        <v>43</v>
      </c>
      <c r="E130" s="19" t="s">
        <v>5</v>
      </c>
      <c r="F130" s="20">
        <v>-50800</v>
      </c>
      <c r="G130" s="19" t="s">
        <v>40</v>
      </c>
    </row>
    <row r="131" spans="1:7" s="18" customFormat="1" ht="15" customHeight="1">
      <c r="A131" s="19" t="s">
        <v>37</v>
      </c>
      <c r="B131" s="19" t="s">
        <v>49</v>
      </c>
      <c r="C131" s="19" t="s">
        <v>11</v>
      </c>
      <c r="D131" s="19" t="s">
        <v>43</v>
      </c>
      <c r="E131" s="19" t="s">
        <v>6</v>
      </c>
      <c r="F131" s="20">
        <v>-51.12</v>
      </c>
      <c r="G131" s="19" t="s">
        <v>40</v>
      </c>
    </row>
    <row r="132" spans="1:7" s="18" customFormat="1" ht="15" customHeight="1">
      <c r="A132" s="19" t="s">
        <v>37</v>
      </c>
      <c r="B132" s="19" t="s">
        <v>50</v>
      </c>
      <c r="C132" s="19" t="s">
        <v>11</v>
      </c>
      <c r="D132" s="19" t="s">
        <v>43</v>
      </c>
      <c r="E132" s="19" t="s">
        <v>5</v>
      </c>
      <c r="F132" s="20">
        <v>4667.5</v>
      </c>
      <c r="G132" s="19" t="s">
        <v>40</v>
      </c>
    </row>
    <row r="133" spans="1:7" s="18" customFormat="1" ht="15" customHeight="1">
      <c r="A133" s="19" t="s">
        <v>37</v>
      </c>
      <c r="B133" s="19" t="s">
        <v>50</v>
      </c>
      <c r="C133" s="19" t="s">
        <v>11</v>
      </c>
      <c r="D133" s="19" t="s">
        <v>43</v>
      </c>
      <c r="E133" s="19" t="s">
        <v>6</v>
      </c>
      <c r="F133" s="20">
        <v>-59.64</v>
      </c>
      <c r="G133" s="19" t="s">
        <v>40</v>
      </c>
    </row>
    <row r="134" spans="1:7" s="18" customFormat="1" ht="15" customHeight="1">
      <c r="A134" s="19" t="s">
        <v>37</v>
      </c>
      <c r="B134" s="19" t="s">
        <v>51</v>
      </c>
      <c r="C134" s="19" t="s">
        <v>11</v>
      </c>
      <c r="D134" s="19" t="s">
        <v>43</v>
      </c>
      <c r="E134" s="19" t="s">
        <v>5</v>
      </c>
      <c r="F134" s="20">
        <v>4802.5</v>
      </c>
      <c r="G134" s="19" t="s">
        <v>40</v>
      </c>
    </row>
    <row r="135" spans="1:7" s="18" customFormat="1" ht="15" customHeight="1">
      <c r="A135" s="19" t="s">
        <v>37</v>
      </c>
      <c r="B135" s="19" t="s">
        <v>51</v>
      </c>
      <c r="C135" s="19" t="s">
        <v>11</v>
      </c>
      <c r="D135" s="19" t="s">
        <v>43</v>
      </c>
      <c r="E135" s="19" t="s">
        <v>6</v>
      </c>
      <c r="F135" s="20">
        <v>-34.08</v>
      </c>
      <c r="G135" s="19" t="s">
        <v>40</v>
      </c>
    </row>
    <row r="136" spans="1:7" s="18" customFormat="1" ht="15" customHeight="1">
      <c r="A136" s="19" t="s">
        <v>37</v>
      </c>
      <c r="B136" s="19" t="s">
        <v>41</v>
      </c>
      <c r="C136" s="19" t="s">
        <v>9</v>
      </c>
      <c r="D136" s="19" t="s">
        <v>39</v>
      </c>
      <c r="E136" s="19" t="s">
        <v>5</v>
      </c>
      <c r="F136" s="20">
        <v>-37</v>
      </c>
      <c r="G136" s="19" t="s">
        <v>40</v>
      </c>
    </row>
    <row r="137" spans="1:7" s="18" customFormat="1" ht="15" customHeight="1">
      <c r="A137" s="19" t="s">
        <v>37</v>
      </c>
      <c r="B137" s="19" t="s">
        <v>41</v>
      </c>
      <c r="C137" s="19" t="s">
        <v>9</v>
      </c>
      <c r="D137" s="19" t="s">
        <v>39</v>
      </c>
      <c r="E137" s="19" t="s">
        <v>6</v>
      </c>
      <c r="F137" s="20">
        <v>-7.63</v>
      </c>
      <c r="G137" s="19" t="s">
        <v>40</v>
      </c>
    </row>
    <row r="138" spans="1:7" s="18" customFormat="1" ht="15" customHeight="1">
      <c r="A138" s="19" t="s">
        <v>37</v>
      </c>
      <c r="B138" s="19" t="s">
        <v>52</v>
      </c>
      <c r="C138" s="19" t="s">
        <v>10</v>
      </c>
      <c r="D138" s="19" t="s">
        <v>43</v>
      </c>
      <c r="E138" s="19" t="s">
        <v>5</v>
      </c>
      <c r="F138" s="20">
        <v>78</v>
      </c>
      <c r="G138" s="19" t="s">
        <v>40</v>
      </c>
    </row>
    <row r="139" spans="1:7" s="18" customFormat="1" ht="15" customHeight="1">
      <c r="A139" s="19" t="s">
        <v>37</v>
      </c>
      <c r="B139" s="19" t="s">
        <v>52</v>
      </c>
      <c r="C139" s="19" t="s">
        <v>10</v>
      </c>
      <c r="D139" s="19" t="s">
        <v>43</v>
      </c>
      <c r="E139" s="19" t="s">
        <v>6</v>
      </c>
      <c r="F139" s="20">
        <v>-4.04</v>
      </c>
      <c r="G139" s="19" t="s">
        <v>40</v>
      </c>
    </row>
    <row r="140" spans="1:7" s="18" customFormat="1" ht="15" customHeight="1">
      <c r="A140" s="19" t="s">
        <v>37</v>
      </c>
      <c r="B140" s="19" t="s">
        <v>53</v>
      </c>
      <c r="C140" s="19" t="s">
        <v>12</v>
      </c>
      <c r="D140" s="19" t="s">
        <v>43</v>
      </c>
      <c r="E140" s="19" t="s">
        <v>5</v>
      </c>
      <c r="F140" s="20">
        <v>31.25</v>
      </c>
      <c r="G140" s="19" t="s">
        <v>40</v>
      </c>
    </row>
    <row r="141" spans="1:7" s="18" customFormat="1" ht="15" customHeight="1">
      <c r="A141" s="19" t="s">
        <v>37</v>
      </c>
      <c r="B141" s="19" t="s">
        <v>53</v>
      </c>
      <c r="C141" s="19" t="s">
        <v>12</v>
      </c>
      <c r="D141" s="19" t="s">
        <v>43</v>
      </c>
      <c r="E141" s="19" t="s">
        <v>6</v>
      </c>
      <c r="F141" s="20">
        <v>-1.83</v>
      </c>
      <c r="G141" s="19" t="s">
        <v>40</v>
      </c>
    </row>
    <row r="142" spans="1:7" s="18" customFormat="1" ht="15" customHeight="1">
      <c r="A142" s="19" t="s">
        <v>37</v>
      </c>
      <c r="B142" s="19"/>
      <c r="C142" s="19" t="s">
        <v>125</v>
      </c>
      <c r="D142" s="19" t="s">
        <v>111</v>
      </c>
      <c r="E142" s="19" t="s">
        <v>111</v>
      </c>
      <c r="F142" s="20">
        <v>907.03</v>
      </c>
      <c r="G142" s="19" t="s">
        <v>126</v>
      </c>
    </row>
    <row r="143" spans="1:7" s="18" customFormat="1" ht="15" customHeight="1">
      <c r="A143" s="19" t="s">
        <v>37</v>
      </c>
      <c r="B143" s="19"/>
      <c r="C143" s="19" t="s">
        <v>127</v>
      </c>
      <c r="D143" s="19" t="s">
        <v>111</v>
      </c>
      <c r="E143" s="19" t="s">
        <v>111</v>
      </c>
      <c r="F143" s="20">
        <v>-9.5</v>
      </c>
      <c r="G143" s="19" t="s">
        <v>126</v>
      </c>
    </row>
    <row r="144" spans="1:7" s="18" customFormat="1" ht="15" customHeight="1">
      <c r="A144" s="19" t="s">
        <v>99</v>
      </c>
      <c r="B144" s="19" t="s">
        <v>55</v>
      </c>
      <c r="C144" s="19" t="s">
        <v>25</v>
      </c>
      <c r="D144" s="19" t="s">
        <v>39</v>
      </c>
      <c r="E144" s="19" t="s">
        <v>5</v>
      </c>
      <c r="F144" s="20">
        <v>-921.62</v>
      </c>
      <c r="G144" s="19" t="s">
        <v>100</v>
      </c>
    </row>
    <row r="145" spans="1:7" s="18" customFormat="1" ht="15" customHeight="1">
      <c r="A145" s="19" t="s">
        <v>99</v>
      </c>
      <c r="B145" s="19" t="s">
        <v>55</v>
      </c>
      <c r="C145" s="19" t="s">
        <v>25</v>
      </c>
      <c r="D145" s="19" t="s">
        <v>39</v>
      </c>
      <c r="E145" s="19" t="s">
        <v>6</v>
      </c>
      <c r="F145" s="20">
        <v>-22.01</v>
      </c>
      <c r="G145" s="19" t="s">
        <v>100</v>
      </c>
    </row>
    <row r="146" spans="1:7" s="18" customFormat="1" ht="15" customHeight="1">
      <c r="A146" s="19" t="s">
        <v>99</v>
      </c>
      <c r="B146" s="19" t="s">
        <v>47</v>
      </c>
      <c r="C146" s="19" t="s">
        <v>10</v>
      </c>
      <c r="D146" s="19" t="s">
        <v>43</v>
      </c>
      <c r="E146" s="19" t="s">
        <v>5</v>
      </c>
      <c r="F146" s="20">
        <v>6050</v>
      </c>
      <c r="G146" s="19" t="s">
        <v>100</v>
      </c>
    </row>
    <row r="147" spans="1:7" s="18" customFormat="1" ht="15" customHeight="1">
      <c r="A147" s="19" t="s">
        <v>99</v>
      </c>
      <c r="B147" s="19" t="s">
        <v>47</v>
      </c>
      <c r="C147" s="19" t="s">
        <v>10</v>
      </c>
      <c r="D147" s="19" t="s">
        <v>43</v>
      </c>
      <c r="E147" s="19" t="s">
        <v>6</v>
      </c>
      <c r="F147" s="20">
        <v>-53.04</v>
      </c>
      <c r="G147" s="19" t="s">
        <v>100</v>
      </c>
    </row>
    <row r="148" spans="1:7" s="18" customFormat="1" ht="15" customHeight="1">
      <c r="A148" s="19" t="s">
        <v>99</v>
      </c>
      <c r="B148" s="19" t="s">
        <v>108</v>
      </c>
      <c r="C148" s="19" t="s">
        <v>10</v>
      </c>
      <c r="D148" s="19" t="s">
        <v>43</v>
      </c>
      <c r="E148" s="19" t="s">
        <v>5</v>
      </c>
      <c r="F148" s="20">
        <v>-215</v>
      </c>
      <c r="G148" s="19" t="s">
        <v>100</v>
      </c>
    </row>
    <row r="149" spans="1:7" s="18" customFormat="1" ht="15" customHeight="1">
      <c r="A149" s="19" t="s">
        <v>99</v>
      </c>
      <c r="B149" s="19" t="s">
        <v>108</v>
      </c>
      <c r="C149" s="19" t="s">
        <v>10</v>
      </c>
      <c r="D149" s="19" t="s">
        <v>43</v>
      </c>
      <c r="E149" s="19" t="s">
        <v>6</v>
      </c>
      <c r="F149" s="20">
        <v>-119.34</v>
      </c>
      <c r="G149" s="19" t="s">
        <v>100</v>
      </c>
    </row>
    <row r="150" spans="1:7" s="18" customFormat="1" ht="15" customHeight="1">
      <c r="A150" s="19" t="s">
        <v>99</v>
      </c>
      <c r="B150" s="19" t="s">
        <v>112</v>
      </c>
      <c r="C150" s="19" t="s">
        <v>10</v>
      </c>
      <c r="D150" s="19" t="s">
        <v>43</v>
      </c>
      <c r="E150" s="19" t="s">
        <v>5</v>
      </c>
      <c r="F150" s="20">
        <v>-5075</v>
      </c>
      <c r="G150" s="19" t="s">
        <v>100</v>
      </c>
    </row>
    <row r="151" spans="1:7" s="18" customFormat="1" ht="15" customHeight="1">
      <c r="A151" s="19" t="s">
        <v>99</v>
      </c>
      <c r="B151" s="19" t="s">
        <v>112</v>
      </c>
      <c r="C151" s="19" t="s">
        <v>10</v>
      </c>
      <c r="D151" s="19" t="s">
        <v>43</v>
      </c>
      <c r="E151" s="19" t="s">
        <v>6</v>
      </c>
      <c r="F151" s="20">
        <v>-66.3</v>
      </c>
      <c r="G151" s="19" t="s">
        <v>100</v>
      </c>
    </row>
    <row r="152" spans="1:7" s="18" customFormat="1" ht="15" customHeight="1">
      <c r="A152" s="19" t="s">
        <v>99</v>
      </c>
      <c r="B152" s="19" t="s">
        <v>57</v>
      </c>
      <c r="C152" s="19" t="s">
        <v>30</v>
      </c>
      <c r="D152" s="19" t="s">
        <v>39</v>
      </c>
      <c r="E152" s="19" t="s">
        <v>5</v>
      </c>
      <c r="F152" s="20">
        <v>-477.3</v>
      </c>
      <c r="G152" s="19" t="s">
        <v>100</v>
      </c>
    </row>
    <row r="153" spans="1:7" s="18" customFormat="1" ht="15" customHeight="1">
      <c r="A153" s="19" t="s">
        <v>99</v>
      </c>
      <c r="B153" s="19" t="s">
        <v>57</v>
      </c>
      <c r="C153" s="19" t="s">
        <v>30</v>
      </c>
      <c r="D153" s="19" t="s">
        <v>39</v>
      </c>
      <c r="E153" s="19" t="s">
        <v>6</v>
      </c>
      <c r="F153" s="20">
        <v>-16.100000000000001</v>
      </c>
      <c r="G153" s="19" t="s">
        <v>100</v>
      </c>
    </row>
    <row r="154" spans="1:7" s="18" customFormat="1" ht="15" customHeight="1">
      <c r="A154" s="19" t="s">
        <v>99</v>
      </c>
      <c r="B154" s="19" t="s">
        <v>57</v>
      </c>
      <c r="C154" s="19" t="s">
        <v>30</v>
      </c>
      <c r="D154" s="19" t="s">
        <v>39</v>
      </c>
      <c r="E154" s="19" t="s">
        <v>129</v>
      </c>
      <c r="F154" s="20">
        <v>-71.89</v>
      </c>
      <c r="G154" s="19" t="s">
        <v>100</v>
      </c>
    </row>
    <row r="155" spans="1:7" s="18" customFormat="1" ht="15" customHeight="1">
      <c r="A155" s="19" t="s">
        <v>99</v>
      </c>
      <c r="B155" s="19" t="s">
        <v>81</v>
      </c>
      <c r="C155" s="19" t="s">
        <v>19</v>
      </c>
      <c r="D155" s="19" t="s">
        <v>39</v>
      </c>
      <c r="E155" s="19" t="s">
        <v>5</v>
      </c>
      <c r="F155" s="20">
        <v>-1785.46</v>
      </c>
      <c r="G155" s="19" t="s">
        <v>100</v>
      </c>
    </row>
    <row r="156" spans="1:7" s="18" customFormat="1" ht="15" customHeight="1">
      <c r="A156" s="19" t="s">
        <v>99</v>
      </c>
      <c r="B156" s="19" t="s">
        <v>81</v>
      </c>
      <c r="C156" s="19" t="s">
        <v>19</v>
      </c>
      <c r="D156" s="19" t="s">
        <v>39</v>
      </c>
      <c r="E156" s="19" t="s">
        <v>6</v>
      </c>
      <c r="F156" s="20">
        <v>-73.59</v>
      </c>
      <c r="G156" s="19" t="s">
        <v>100</v>
      </c>
    </row>
    <row r="157" spans="1:7" s="18" customFormat="1" ht="15" customHeight="1">
      <c r="A157" s="19" t="s">
        <v>99</v>
      </c>
      <c r="B157" s="19" t="s">
        <v>81</v>
      </c>
      <c r="C157" s="19" t="s">
        <v>19</v>
      </c>
      <c r="D157" s="19" t="s">
        <v>39</v>
      </c>
      <c r="E157" s="19" t="s">
        <v>129</v>
      </c>
      <c r="F157" s="20">
        <v>-247.13</v>
      </c>
      <c r="G157" s="19" t="s">
        <v>100</v>
      </c>
    </row>
    <row r="158" spans="1:7" s="18" customFormat="1" ht="15" customHeight="1">
      <c r="A158" s="19" t="s">
        <v>99</v>
      </c>
      <c r="B158" s="19" t="s">
        <v>59</v>
      </c>
      <c r="C158" s="19" t="s">
        <v>16</v>
      </c>
      <c r="D158" s="19" t="s">
        <v>39</v>
      </c>
      <c r="E158" s="19" t="s">
        <v>5</v>
      </c>
      <c r="F158" s="20">
        <v>2874.47</v>
      </c>
      <c r="G158" s="19" t="s">
        <v>100</v>
      </c>
    </row>
    <row r="159" spans="1:7" s="18" customFormat="1" ht="15" customHeight="1">
      <c r="A159" s="19" t="s">
        <v>99</v>
      </c>
      <c r="B159" s="19" t="s">
        <v>59</v>
      </c>
      <c r="C159" s="19" t="s">
        <v>16</v>
      </c>
      <c r="D159" s="19" t="s">
        <v>39</v>
      </c>
      <c r="E159" s="19" t="s">
        <v>6</v>
      </c>
      <c r="F159" s="20">
        <v>-3.16</v>
      </c>
      <c r="G159" s="19" t="s">
        <v>100</v>
      </c>
    </row>
    <row r="160" spans="1:7" s="18" customFormat="1" ht="15" customHeight="1">
      <c r="A160" s="19" t="s">
        <v>99</v>
      </c>
      <c r="B160" s="19" t="s">
        <v>59</v>
      </c>
      <c r="C160" s="19" t="s">
        <v>16</v>
      </c>
      <c r="D160" s="19" t="s">
        <v>39</v>
      </c>
      <c r="E160" s="19" t="s">
        <v>129</v>
      </c>
      <c r="F160" s="20">
        <v>-7.05</v>
      </c>
      <c r="G160" s="19" t="s">
        <v>100</v>
      </c>
    </row>
    <row r="161" spans="1:7" s="18" customFormat="1" ht="15" customHeight="1">
      <c r="A161" s="19" t="s">
        <v>99</v>
      </c>
      <c r="B161" s="19" t="s">
        <v>61</v>
      </c>
      <c r="C161" s="19" t="s">
        <v>124</v>
      </c>
      <c r="D161" s="19" t="s">
        <v>39</v>
      </c>
      <c r="E161" s="19" t="s">
        <v>5</v>
      </c>
      <c r="F161" s="20">
        <v>-95.55</v>
      </c>
      <c r="G161" s="19" t="s">
        <v>100</v>
      </c>
    </row>
    <row r="162" spans="1:7" s="18" customFormat="1" ht="15" customHeight="1">
      <c r="A162" s="19" t="s">
        <v>99</v>
      </c>
      <c r="B162" s="19" t="s">
        <v>61</v>
      </c>
      <c r="C162" s="19" t="s">
        <v>124</v>
      </c>
      <c r="D162" s="19" t="s">
        <v>39</v>
      </c>
      <c r="E162" s="19" t="s">
        <v>6</v>
      </c>
      <c r="F162" s="20">
        <v>-9.4600000000000009</v>
      </c>
      <c r="G162" s="19" t="s">
        <v>100</v>
      </c>
    </row>
    <row r="163" spans="1:7" s="18" customFormat="1" ht="15" customHeight="1">
      <c r="A163" s="19" t="s">
        <v>99</v>
      </c>
      <c r="B163" s="19" t="s">
        <v>61</v>
      </c>
      <c r="C163" s="19" t="s">
        <v>124</v>
      </c>
      <c r="D163" s="19" t="s">
        <v>39</v>
      </c>
      <c r="E163" s="19" t="s">
        <v>129</v>
      </c>
      <c r="F163" s="20">
        <v>-0.46</v>
      </c>
      <c r="G163" s="19" t="s">
        <v>100</v>
      </c>
    </row>
    <row r="164" spans="1:7" s="18" customFormat="1" ht="15" customHeight="1">
      <c r="A164" s="19" t="s">
        <v>99</v>
      </c>
      <c r="B164" s="19" t="s">
        <v>63</v>
      </c>
      <c r="C164" s="19" t="s">
        <v>25</v>
      </c>
      <c r="D164" s="19" t="s">
        <v>39</v>
      </c>
      <c r="E164" s="19" t="s">
        <v>5</v>
      </c>
      <c r="F164" s="20">
        <v>421.62</v>
      </c>
      <c r="G164" s="19" t="s">
        <v>100</v>
      </c>
    </row>
    <row r="165" spans="1:7" s="18" customFormat="1" ht="15" customHeight="1">
      <c r="A165" s="19" t="s">
        <v>99</v>
      </c>
      <c r="B165" s="19" t="s">
        <v>63</v>
      </c>
      <c r="C165" s="19" t="s">
        <v>25</v>
      </c>
      <c r="D165" s="19" t="s">
        <v>39</v>
      </c>
      <c r="E165" s="19" t="s">
        <v>6</v>
      </c>
      <c r="F165" s="20">
        <v>-26.18</v>
      </c>
      <c r="G165" s="19" t="s">
        <v>100</v>
      </c>
    </row>
    <row r="166" spans="1:7" s="18" customFormat="1" ht="15" customHeight="1">
      <c r="A166" s="19" t="s">
        <v>99</v>
      </c>
      <c r="B166" s="19" t="s">
        <v>63</v>
      </c>
      <c r="C166" s="19" t="s">
        <v>25</v>
      </c>
      <c r="D166" s="19" t="s">
        <v>39</v>
      </c>
      <c r="E166" s="19" t="s">
        <v>129</v>
      </c>
      <c r="F166" s="20">
        <v>-146.62</v>
      </c>
      <c r="G166" s="19" t="s">
        <v>100</v>
      </c>
    </row>
    <row r="167" spans="1:7" s="18" customFormat="1" ht="15" customHeight="1">
      <c r="A167" s="19" t="s">
        <v>99</v>
      </c>
      <c r="B167" s="19" t="s">
        <v>101</v>
      </c>
      <c r="C167" s="19" t="s">
        <v>20</v>
      </c>
      <c r="D167" s="19" t="s">
        <v>39</v>
      </c>
      <c r="E167" s="19" t="s">
        <v>5</v>
      </c>
      <c r="F167" s="20">
        <v>1299</v>
      </c>
      <c r="G167" s="19" t="s">
        <v>100</v>
      </c>
    </row>
    <row r="168" spans="1:7" s="18" customFormat="1" ht="15" customHeight="1">
      <c r="A168" s="19" t="s">
        <v>99</v>
      </c>
      <c r="B168" s="19" t="s">
        <v>101</v>
      </c>
      <c r="C168" s="19" t="s">
        <v>20</v>
      </c>
      <c r="D168" s="19" t="s">
        <v>39</v>
      </c>
      <c r="E168" s="19" t="s">
        <v>6</v>
      </c>
      <c r="F168" s="20">
        <v>-7.9</v>
      </c>
      <c r="G168" s="19" t="s">
        <v>100</v>
      </c>
    </row>
    <row r="169" spans="1:7" s="18" customFormat="1" ht="15" customHeight="1">
      <c r="A169" s="19" t="s">
        <v>99</v>
      </c>
      <c r="B169" s="19" t="s">
        <v>101</v>
      </c>
      <c r="C169" s="19" t="s">
        <v>20</v>
      </c>
      <c r="D169" s="19" t="s">
        <v>39</v>
      </c>
      <c r="E169" s="19" t="s">
        <v>129</v>
      </c>
      <c r="F169" s="20">
        <v>-1.85</v>
      </c>
      <c r="G169" s="19" t="s">
        <v>100</v>
      </c>
    </row>
    <row r="170" spans="1:7" s="18" customFormat="1" ht="15" customHeight="1">
      <c r="A170" s="19" t="s">
        <v>99</v>
      </c>
      <c r="B170" s="19" t="s">
        <v>102</v>
      </c>
      <c r="C170" s="19" t="s">
        <v>20</v>
      </c>
      <c r="D170" s="19" t="s">
        <v>39</v>
      </c>
      <c r="E170" s="19" t="s">
        <v>5</v>
      </c>
      <c r="F170" s="20">
        <v>-1067.29</v>
      </c>
      <c r="G170" s="19" t="s">
        <v>100</v>
      </c>
    </row>
    <row r="171" spans="1:7" s="18" customFormat="1" ht="15" customHeight="1">
      <c r="A171" s="19" t="s">
        <v>99</v>
      </c>
      <c r="B171" s="19" t="s">
        <v>102</v>
      </c>
      <c r="C171" s="19" t="s">
        <v>20</v>
      </c>
      <c r="D171" s="19" t="s">
        <v>39</v>
      </c>
      <c r="E171" s="19" t="s">
        <v>6</v>
      </c>
      <c r="F171" s="20">
        <v>-7.77</v>
      </c>
      <c r="G171" s="19" t="s">
        <v>100</v>
      </c>
    </row>
    <row r="172" spans="1:7" s="18" customFormat="1" ht="15" customHeight="1">
      <c r="A172" s="19" t="s">
        <v>99</v>
      </c>
      <c r="B172" s="19" t="s">
        <v>64</v>
      </c>
      <c r="C172" s="19" t="s">
        <v>16</v>
      </c>
      <c r="D172" s="19" t="s">
        <v>39</v>
      </c>
      <c r="E172" s="19" t="s">
        <v>5</v>
      </c>
      <c r="F172" s="20">
        <v>-3054</v>
      </c>
      <c r="G172" s="19" t="s">
        <v>100</v>
      </c>
    </row>
    <row r="173" spans="1:7" s="18" customFormat="1" ht="15" customHeight="1">
      <c r="A173" s="19" t="s">
        <v>99</v>
      </c>
      <c r="B173" s="19" t="s">
        <v>64</v>
      </c>
      <c r="C173" s="19" t="s">
        <v>16</v>
      </c>
      <c r="D173" s="19" t="s">
        <v>39</v>
      </c>
      <c r="E173" s="19" t="s">
        <v>6</v>
      </c>
      <c r="F173" s="20">
        <v>-2</v>
      </c>
      <c r="G173" s="19" t="s">
        <v>100</v>
      </c>
    </row>
    <row r="174" spans="1:7" s="18" customFormat="1" ht="15" customHeight="1">
      <c r="A174" s="19" t="s">
        <v>99</v>
      </c>
      <c r="B174" s="19" t="s">
        <v>82</v>
      </c>
      <c r="C174" s="19" t="s">
        <v>18</v>
      </c>
      <c r="D174" s="19" t="s">
        <v>39</v>
      </c>
      <c r="E174" s="19" t="s">
        <v>5</v>
      </c>
      <c r="F174" s="20">
        <v>-517.5</v>
      </c>
      <c r="G174" s="19" t="s">
        <v>100</v>
      </c>
    </row>
    <row r="175" spans="1:7" s="18" customFormat="1" ht="15" customHeight="1">
      <c r="A175" s="19" t="s">
        <v>99</v>
      </c>
      <c r="B175" s="19" t="s">
        <v>82</v>
      </c>
      <c r="C175" s="19" t="s">
        <v>18</v>
      </c>
      <c r="D175" s="19" t="s">
        <v>39</v>
      </c>
      <c r="E175" s="19" t="s">
        <v>6</v>
      </c>
      <c r="F175" s="20">
        <v>-5.63</v>
      </c>
      <c r="G175" s="19" t="s">
        <v>100</v>
      </c>
    </row>
    <row r="176" spans="1:7" s="18" customFormat="1" ht="15" customHeight="1">
      <c r="A176" s="19" t="s">
        <v>99</v>
      </c>
      <c r="B176" s="19" t="s">
        <v>82</v>
      </c>
      <c r="C176" s="19" t="s">
        <v>18</v>
      </c>
      <c r="D176" s="19" t="s">
        <v>39</v>
      </c>
      <c r="E176" s="19" t="s">
        <v>129</v>
      </c>
      <c r="F176" s="20">
        <v>-22.18</v>
      </c>
      <c r="G176" s="19" t="s">
        <v>100</v>
      </c>
    </row>
    <row r="177" spans="1:7" s="18" customFormat="1" ht="15" customHeight="1">
      <c r="A177" s="19" t="s">
        <v>99</v>
      </c>
      <c r="B177" s="19" t="s">
        <v>65</v>
      </c>
      <c r="C177" s="19" t="s">
        <v>30</v>
      </c>
      <c r="D177" s="19" t="s">
        <v>39</v>
      </c>
      <c r="E177" s="19" t="s">
        <v>5</v>
      </c>
      <c r="F177" s="20">
        <v>524</v>
      </c>
      <c r="G177" s="19" t="s">
        <v>100</v>
      </c>
    </row>
    <row r="178" spans="1:7" s="18" customFormat="1" ht="15" customHeight="1">
      <c r="A178" s="19" t="s">
        <v>99</v>
      </c>
      <c r="B178" s="19" t="s">
        <v>65</v>
      </c>
      <c r="C178" s="19" t="s">
        <v>30</v>
      </c>
      <c r="D178" s="19" t="s">
        <v>39</v>
      </c>
      <c r="E178" s="19" t="s">
        <v>6</v>
      </c>
      <c r="F178" s="20">
        <v>-8</v>
      </c>
      <c r="G178" s="19" t="s">
        <v>100</v>
      </c>
    </row>
    <row r="179" spans="1:7" s="18" customFormat="1" ht="15" customHeight="1">
      <c r="A179" s="19" t="s">
        <v>99</v>
      </c>
      <c r="B179" s="19" t="s">
        <v>83</v>
      </c>
      <c r="C179" s="19" t="s">
        <v>32</v>
      </c>
      <c r="D179" s="19" t="s">
        <v>39</v>
      </c>
      <c r="E179" s="19" t="s">
        <v>5</v>
      </c>
      <c r="F179" s="20">
        <v>6119.45</v>
      </c>
      <c r="G179" s="19" t="s">
        <v>100</v>
      </c>
    </row>
    <row r="180" spans="1:7" s="18" customFormat="1" ht="15" customHeight="1">
      <c r="A180" s="19" t="s">
        <v>99</v>
      </c>
      <c r="B180" s="19" t="s">
        <v>83</v>
      </c>
      <c r="C180" s="19" t="s">
        <v>32</v>
      </c>
      <c r="D180" s="19" t="s">
        <v>39</v>
      </c>
      <c r="E180" s="19" t="s">
        <v>6</v>
      </c>
      <c r="F180" s="20">
        <v>-30.5</v>
      </c>
      <c r="G180" s="19" t="s">
        <v>100</v>
      </c>
    </row>
    <row r="181" spans="1:7" s="18" customFormat="1" ht="15" customHeight="1">
      <c r="A181" s="19" t="s">
        <v>99</v>
      </c>
      <c r="B181" s="19" t="s">
        <v>84</v>
      </c>
      <c r="C181" s="19" t="s">
        <v>31</v>
      </c>
      <c r="D181" s="19" t="s">
        <v>39</v>
      </c>
      <c r="E181" s="19" t="s">
        <v>5</v>
      </c>
      <c r="F181" s="20">
        <v>11878</v>
      </c>
      <c r="G181" s="19" t="s">
        <v>100</v>
      </c>
    </row>
    <row r="182" spans="1:7" s="18" customFormat="1" ht="15" customHeight="1">
      <c r="A182" s="19" t="s">
        <v>99</v>
      </c>
      <c r="B182" s="19" t="s">
        <v>84</v>
      </c>
      <c r="C182" s="19" t="s">
        <v>31</v>
      </c>
      <c r="D182" s="19" t="s">
        <v>39</v>
      </c>
      <c r="E182" s="19" t="s">
        <v>6</v>
      </c>
      <c r="F182" s="20">
        <v>-4.57</v>
      </c>
      <c r="G182" s="19" t="s">
        <v>100</v>
      </c>
    </row>
    <row r="183" spans="1:7" s="18" customFormat="1" ht="15" customHeight="1">
      <c r="A183" s="19" t="s">
        <v>99</v>
      </c>
      <c r="B183" s="19" t="s">
        <v>103</v>
      </c>
      <c r="C183" s="19" t="s">
        <v>17</v>
      </c>
      <c r="D183" s="19" t="s">
        <v>39</v>
      </c>
      <c r="E183" s="19" t="s">
        <v>5</v>
      </c>
      <c r="F183" s="20">
        <v>11077.84</v>
      </c>
      <c r="G183" s="19" t="s">
        <v>100</v>
      </c>
    </row>
    <row r="184" spans="1:7" s="18" customFormat="1" ht="15" customHeight="1">
      <c r="A184" s="19" t="s">
        <v>99</v>
      </c>
      <c r="B184" s="19" t="s">
        <v>103</v>
      </c>
      <c r="C184" s="19" t="s">
        <v>17</v>
      </c>
      <c r="D184" s="19" t="s">
        <v>39</v>
      </c>
      <c r="E184" s="19" t="s">
        <v>6</v>
      </c>
      <c r="F184" s="20">
        <v>-16.53</v>
      </c>
      <c r="G184" s="19" t="s">
        <v>100</v>
      </c>
    </row>
    <row r="185" spans="1:7" s="18" customFormat="1" ht="15" customHeight="1">
      <c r="A185" s="19" t="s">
        <v>99</v>
      </c>
      <c r="B185" s="19" t="s">
        <v>85</v>
      </c>
      <c r="C185" s="19" t="s">
        <v>21</v>
      </c>
      <c r="D185" s="19" t="s">
        <v>39</v>
      </c>
      <c r="E185" s="19" t="s">
        <v>5</v>
      </c>
      <c r="F185" s="20">
        <v>-1126.23</v>
      </c>
      <c r="G185" s="19" t="s">
        <v>100</v>
      </c>
    </row>
    <row r="186" spans="1:7" s="18" customFormat="1" ht="15" customHeight="1">
      <c r="A186" s="19" t="s">
        <v>99</v>
      </c>
      <c r="B186" s="19" t="s">
        <v>85</v>
      </c>
      <c r="C186" s="19" t="s">
        <v>21</v>
      </c>
      <c r="D186" s="19" t="s">
        <v>39</v>
      </c>
      <c r="E186" s="19" t="s">
        <v>6</v>
      </c>
      <c r="F186" s="20">
        <v>-12.49</v>
      </c>
      <c r="G186" s="19" t="s">
        <v>100</v>
      </c>
    </row>
    <row r="187" spans="1:7" s="18" customFormat="1" ht="15" customHeight="1">
      <c r="A187" s="19" t="s">
        <v>99</v>
      </c>
      <c r="B187" s="19" t="s">
        <v>85</v>
      </c>
      <c r="C187" s="19" t="s">
        <v>21</v>
      </c>
      <c r="D187" s="19" t="s">
        <v>39</v>
      </c>
      <c r="E187" s="19" t="s">
        <v>129</v>
      </c>
      <c r="F187" s="20">
        <v>-44.62</v>
      </c>
      <c r="G187" s="19" t="s">
        <v>100</v>
      </c>
    </row>
    <row r="188" spans="1:7" s="18" customFormat="1" ht="15" customHeight="1">
      <c r="A188" s="19" t="s">
        <v>99</v>
      </c>
      <c r="B188" s="19" t="s">
        <v>87</v>
      </c>
      <c r="C188" s="19" t="s">
        <v>13</v>
      </c>
      <c r="D188" s="19" t="s">
        <v>39</v>
      </c>
      <c r="E188" s="19" t="s">
        <v>5</v>
      </c>
      <c r="F188" s="20">
        <v>11516.77</v>
      </c>
      <c r="G188" s="19" t="s">
        <v>100</v>
      </c>
    </row>
    <row r="189" spans="1:7" s="18" customFormat="1" ht="15" customHeight="1">
      <c r="A189" s="19" t="s">
        <v>99</v>
      </c>
      <c r="B189" s="19" t="s">
        <v>87</v>
      </c>
      <c r="C189" s="19" t="s">
        <v>13</v>
      </c>
      <c r="D189" s="19" t="s">
        <v>39</v>
      </c>
      <c r="E189" s="19" t="s">
        <v>6</v>
      </c>
      <c r="F189" s="20">
        <v>-74.11</v>
      </c>
      <c r="G189" s="19" t="s">
        <v>100</v>
      </c>
    </row>
    <row r="190" spans="1:7" s="18" customFormat="1" ht="15" customHeight="1">
      <c r="A190" s="19" t="s">
        <v>99</v>
      </c>
      <c r="B190" s="19" t="s">
        <v>87</v>
      </c>
      <c r="C190" s="19" t="s">
        <v>13</v>
      </c>
      <c r="D190" s="19" t="s">
        <v>39</v>
      </c>
      <c r="E190" s="19" t="s">
        <v>129</v>
      </c>
      <c r="F190" s="20">
        <v>-5.24</v>
      </c>
      <c r="G190" s="19" t="s">
        <v>100</v>
      </c>
    </row>
    <row r="191" spans="1:7" s="18" customFormat="1" ht="15" customHeight="1">
      <c r="A191" s="19" t="s">
        <v>99</v>
      </c>
      <c r="B191" s="19" t="s">
        <v>88</v>
      </c>
      <c r="C191" s="19" t="s">
        <v>14</v>
      </c>
      <c r="D191" s="19" t="s">
        <v>39</v>
      </c>
      <c r="E191" s="19" t="s">
        <v>5</v>
      </c>
      <c r="F191" s="20">
        <v>1563.11</v>
      </c>
      <c r="G191" s="19" t="s">
        <v>100</v>
      </c>
    </row>
    <row r="192" spans="1:7" s="18" customFormat="1" ht="15" customHeight="1">
      <c r="A192" s="19" t="s">
        <v>99</v>
      </c>
      <c r="B192" s="19" t="s">
        <v>88</v>
      </c>
      <c r="C192" s="19" t="s">
        <v>14</v>
      </c>
      <c r="D192" s="19" t="s">
        <v>39</v>
      </c>
      <c r="E192" s="19" t="s">
        <v>6</v>
      </c>
      <c r="F192" s="20">
        <v>-48.03</v>
      </c>
      <c r="G192" s="19" t="s">
        <v>100</v>
      </c>
    </row>
    <row r="193" spans="1:7" s="18" customFormat="1" ht="15" customHeight="1">
      <c r="A193" s="19" t="s">
        <v>99</v>
      </c>
      <c r="B193" s="19" t="s">
        <v>88</v>
      </c>
      <c r="C193" s="19" t="s">
        <v>14</v>
      </c>
      <c r="D193" s="19" t="s">
        <v>39</v>
      </c>
      <c r="E193" s="19" t="s">
        <v>129</v>
      </c>
      <c r="F193" s="20">
        <v>-322.73</v>
      </c>
      <c r="G193" s="19" t="s">
        <v>100</v>
      </c>
    </row>
    <row r="194" spans="1:7" s="18" customFormat="1" ht="15" customHeight="1">
      <c r="A194" s="19" t="s">
        <v>99</v>
      </c>
      <c r="B194" s="19" t="s">
        <v>89</v>
      </c>
      <c r="C194" s="19" t="s">
        <v>14</v>
      </c>
      <c r="D194" s="19" t="s">
        <v>39</v>
      </c>
      <c r="E194" s="19" t="s">
        <v>5</v>
      </c>
      <c r="F194" s="20">
        <v>-709.13</v>
      </c>
      <c r="G194" s="19" t="s">
        <v>100</v>
      </c>
    </row>
    <row r="195" spans="1:7" s="18" customFormat="1" ht="15" customHeight="1">
      <c r="A195" s="19" t="s">
        <v>99</v>
      </c>
      <c r="B195" s="19" t="s">
        <v>89</v>
      </c>
      <c r="C195" s="19" t="s">
        <v>14</v>
      </c>
      <c r="D195" s="19" t="s">
        <v>39</v>
      </c>
      <c r="E195" s="19" t="s">
        <v>6</v>
      </c>
      <c r="F195" s="20">
        <v>-50.34</v>
      </c>
      <c r="G195" s="19" t="s">
        <v>100</v>
      </c>
    </row>
    <row r="196" spans="1:7" s="18" customFormat="1" ht="15" customHeight="1">
      <c r="A196" s="19" t="s">
        <v>99</v>
      </c>
      <c r="B196" s="19" t="s">
        <v>104</v>
      </c>
      <c r="C196" s="19" t="s">
        <v>23</v>
      </c>
      <c r="D196" s="19" t="s">
        <v>39</v>
      </c>
      <c r="E196" s="19" t="s">
        <v>5</v>
      </c>
      <c r="F196" s="20">
        <v>-116</v>
      </c>
      <c r="G196" s="19" t="s">
        <v>100</v>
      </c>
    </row>
    <row r="197" spans="1:7" s="18" customFormat="1" ht="15" customHeight="1">
      <c r="A197" s="19" t="s">
        <v>99</v>
      </c>
      <c r="B197" s="19" t="s">
        <v>104</v>
      </c>
      <c r="C197" s="19" t="s">
        <v>23</v>
      </c>
      <c r="D197" s="19" t="s">
        <v>39</v>
      </c>
      <c r="E197" s="19" t="s">
        <v>6</v>
      </c>
      <c r="F197" s="20">
        <v>-4.07</v>
      </c>
      <c r="G197" s="19" t="s">
        <v>100</v>
      </c>
    </row>
    <row r="198" spans="1:7" s="18" customFormat="1" ht="15" customHeight="1">
      <c r="A198" s="19" t="s">
        <v>99</v>
      </c>
      <c r="B198" s="19" t="s">
        <v>105</v>
      </c>
      <c r="C198" s="19" t="s">
        <v>23</v>
      </c>
      <c r="D198" s="19" t="s">
        <v>39</v>
      </c>
      <c r="E198" s="19" t="s">
        <v>5</v>
      </c>
      <c r="F198" s="20">
        <v>104.54</v>
      </c>
      <c r="G198" s="19" t="s">
        <v>100</v>
      </c>
    </row>
    <row r="199" spans="1:7" s="18" customFormat="1" ht="15" customHeight="1">
      <c r="A199" s="19" t="s">
        <v>99</v>
      </c>
      <c r="B199" s="19" t="s">
        <v>105</v>
      </c>
      <c r="C199" s="19" t="s">
        <v>23</v>
      </c>
      <c r="D199" s="19" t="s">
        <v>39</v>
      </c>
      <c r="E199" s="19" t="s">
        <v>6</v>
      </c>
      <c r="F199" s="20">
        <v>-6.26</v>
      </c>
      <c r="G199" s="19" t="s">
        <v>100</v>
      </c>
    </row>
    <row r="200" spans="1:7" s="18" customFormat="1" ht="15" customHeight="1">
      <c r="A200" s="19" t="s">
        <v>99</v>
      </c>
      <c r="B200" s="19" t="s">
        <v>105</v>
      </c>
      <c r="C200" s="19" t="s">
        <v>23</v>
      </c>
      <c r="D200" s="19" t="s">
        <v>39</v>
      </c>
      <c r="E200" s="19" t="s">
        <v>129</v>
      </c>
      <c r="F200" s="20">
        <v>-0.12</v>
      </c>
      <c r="G200" s="19" t="s">
        <v>100</v>
      </c>
    </row>
    <row r="201" spans="1:7" s="18" customFormat="1" ht="15" customHeight="1">
      <c r="A201" s="19" t="s">
        <v>99</v>
      </c>
      <c r="B201" s="19" t="s">
        <v>106</v>
      </c>
      <c r="C201" s="19" t="s">
        <v>124</v>
      </c>
      <c r="D201" s="19" t="s">
        <v>39</v>
      </c>
      <c r="E201" s="19" t="s">
        <v>5</v>
      </c>
      <c r="F201" s="20">
        <v>148</v>
      </c>
      <c r="G201" s="19" t="s">
        <v>100</v>
      </c>
    </row>
    <row r="202" spans="1:7" s="18" customFormat="1" ht="15" customHeight="1">
      <c r="A202" s="19" t="s">
        <v>99</v>
      </c>
      <c r="B202" s="19" t="s">
        <v>106</v>
      </c>
      <c r="C202" s="19" t="s">
        <v>124</v>
      </c>
      <c r="D202" s="19" t="s">
        <v>39</v>
      </c>
      <c r="E202" s="19" t="s">
        <v>6</v>
      </c>
      <c r="F202" s="20">
        <v>-7</v>
      </c>
      <c r="G202" s="19" t="s">
        <v>100</v>
      </c>
    </row>
    <row r="203" spans="1:7" s="18" customFormat="1" ht="15" customHeight="1">
      <c r="A203" s="19" t="s">
        <v>99</v>
      </c>
      <c r="B203" s="19" t="s">
        <v>67</v>
      </c>
      <c r="C203" s="19" t="s">
        <v>28</v>
      </c>
      <c r="D203" s="19" t="s">
        <v>39</v>
      </c>
      <c r="E203" s="19" t="s">
        <v>129</v>
      </c>
      <c r="F203" s="20">
        <v>-63.2</v>
      </c>
      <c r="G203" s="19" t="s">
        <v>109</v>
      </c>
    </row>
    <row r="204" spans="1:7" s="18" customFormat="1" ht="15" customHeight="1">
      <c r="A204" s="19" t="s">
        <v>99</v>
      </c>
      <c r="B204" s="19" t="s">
        <v>76</v>
      </c>
      <c r="C204" s="19" t="s">
        <v>27</v>
      </c>
      <c r="D204" s="19" t="s">
        <v>39</v>
      </c>
      <c r="E204" s="19" t="s">
        <v>5</v>
      </c>
      <c r="F204" s="20">
        <v>475.4</v>
      </c>
      <c r="G204" s="19" t="s">
        <v>100</v>
      </c>
    </row>
    <row r="205" spans="1:7" s="18" customFormat="1" ht="15" customHeight="1">
      <c r="A205" s="19" t="s">
        <v>99</v>
      </c>
      <c r="B205" s="19" t="s">
        <v>76</v>
      </c>
      <c r="C205" s="19" t="s">
        <v>27</v>
      </c>
      <c r="D205" s="19" t="s">
        <v>39</v>
      </c>
      <c r="E205" s="19" t="s">
        <v>6</v>
      </c>
      <c r="F205" s="20">
        <v>-12.73</v>
      </c>
      <c r="G205" s="19" t="s">
        <v>100</v>
      </c>
    </row>
    <row r="206" spans="1:7" s="18" customFormat="1" ht="15" customHeight="1">
      <c r="A206" s="19" t="s">
        <v>99</v>
      </c>
      <c r="B206" s="19" t="s">
        <v>76</v>
      </c>
      <c r="C206" s="19" t="s">
        <v>27</v>
      </c>
      <c r="D206" s="19" t="s">
        <v>39</v>
      </c>
      <c r="E206" s="19" t="s">
        <v>129</v>
      </c>
      <c r="F206" s="20">
        <v>-17.920000000000002</v>
      </c>
      <c r="G206" s="19" t="s">
        <v>100</v>
      </c>
    </row>
    <row r="207" spans="1:7" s="18" customFormat="1" ht="15" customHeight="1">
      <c r="A207" s="19" t="s">
        <v>99</v>
      </c>
      <c r="B207" s="19" t="s">
        <v>77</v>
      </c>
      <c r="C207" s="19" t="s">
        <v>27</v>
      </c>
      <c r="D207" s="19" t="s">
        <v>39</v>
      </c>
      <c r="E207" s="19" t="s">
        <v>5</v>
      </c>
      <c r="F207" s="20">
        <v>-358.54</v>
      </c>
      <c r="G207" s="19" t="s">
        <v>100</v>
      </c>
    </row>
    <row r="208" spans="1:7" s="18" customFormat="1" ht="15" customHeight="1">
      <c r="A208" s="19" t="s">
        <v>99</v>
      </c>
      <c r="B208" s="19" t="s">
        <v>77</v>
      </c>
      <c r="C208" s="19" t="s">
        <v>27</v>
      </c>
      <c r="D208" s="19" t="s">
        <v>39</v>
      </c>
      <c r="E208" s="19" t="s">
        <v>6</v>
      </c>
      <c r="F208" s="20">
        <v>-20.52</v>
      </c>
      <c r="G208" s="19" t="s">
        <v>100</v>
      </c>
    </row>
    <row r="209" spans="1:7" s="18" customFormat="1" ht="15" customHeight="1">
      <c r="A209" s="19" t="s">
        <v>99</v>
      </c>
      <c r="B209" s="19" t="s">
        <v>91</v>
      </c>
      <c r="C209" s="19" t="s">
        <v>19</v>
      </c>
      <c r="D209" s="19" t="s">
        <v>39</v>
      </c>
      <c r="E209" s="19" t="s">
        <v>5</v>
      </c>
      <c r="F209" s="20">
        <v>2306.35</v>
      </c>
      <c r="G209" s="19" t="s">
        <v>100</v>
      </c>
    </row>
    <row r="210" spans="1:7" s="18" customFormat="1" ht="15" customHeight="1">
      <c r="A210" s="19" t="s">
        <v>99</v>
      </c>
      <c r="B210" s="19" t="s">
        <v>91</v>
      </c>
      <c r="C210" s="19" t="s">
        <v>19</v>
      </c>
      <c r="D210" s="19" t="s">
        <v>39</v>
      </c>
      <c r="E210" s="19" t="s">
        <v>6</v>
      </c>
      <c r="F210" s="20">
        <v>-47.39</v>
      </c>
      <c r="G210" s="19" t="s">
        <v>100</v>
      </c>
    </row>
    <row r="211" spans="1:7" s="18" customFormat="1" ht="15" customHeight="1">
      <c r="A211" s="19" t="s">
        <v>99</v>
      </c>
      <c r="B211" s="19" t="s">
        <v>92</v>
      </c>
      <c r="C211" s="19" t="s">
        <v>32</v>
      </c>
      <c r="D211" s="19" t="s">
        <v>39</v>
      </c>
      <c r="E211" s="19" t="s">
        <v>5</v>
      </c>
      <c r="F211" s="20">
        <v>-6149.93</v>
      </c>
      <c r="G211" s="19" t="s">
        <v>100</v>
      </c>
    </row>
    <row r="212" spans="1:7" s="18" customFormat="1" ht="15" customHeight="1">
      <c r="A212" s="19" t="s">
        <v>99</v>
      </c>
      <c r="B212" s="19" t="s">
        <v>92</v>
      </c>
      <c r="C212" s="19" t="s">
        <v>32</v>
      </c>
      <c r="D212" s="19" t="s">
        <v>39</v>
      </c>
      <c r="E212" s="19" t="s">
        <v>6</v>
      </c>
      <c r="F212" s="20">
        <v>-23.79</v>
      </c>
      <c r="G212" s="19" t="s">
        <v>100</v>
      </c>
    </row>
    <row r="213" spans="1:7" s="18" customFormat="1" ht="15" customHeight="1">
      <c r="A213" s="19" t="s">
        <v>99</v>
      </c>
      <c r="B213" s="19" t="s">
        <v>92</v>
      </c>
      <c r="C213" s="19" t="s">
        <v>32</v>
      </c>
      <c r="D213" s="19" t="s">
        <v>39</v>
      </c>
      <c r="E213" s="19" t="s">
        <v>129</v>
      </c>
      <c r="F213" s="20">
        <v>-19.79</v>
      </c>
      <c r="G213" s="19" t="s">
        <v>100</v>
      </c>
    </row>
    <row r="214" spans="1:7" s="18" customFormat="1" ht="15" customHeight="1">
      <c r="A214" s="19" t="s">
        <v>99</v>
      </c>
      <c r="B214" s="19" t="s">
        <v>93</v>
      </c>
      <c r="C214" s="19" t="s">
        <v>31</v>
      </c>
      <c r="D214" s="19" t="s">
        <v>39</v>
      </c>
      <c r="E214" s="19" t="s">
        <v>5</v>
      </c>
      <c r="F214" s="20">
        <v>-17298.47</v>
      </c>
      <c r="G214" s="19" t="s">
        <v>100</v>
      </c>
    </row>
    <row r="215" spans="1:7" s="18" customFormat="1" ht="15" customHeight="1">
      <c r="A215" s="19" t="s">
        <v>99</v>
      </c>
      <c r="B215" s="19" t="s">
        <v>93</v>
      </c>
      <c r="C215" s="19" t="s">
        <v>31</v>
      </c>
      <c r="D215" s="19" t="s">
        <v>39</v>
      </c>
      <c r="E215" s="19" t="s">
        <v>6</v>
      </c>
      <c r="F215" s="20">
        <v>-7.1</v>
      </c>
      <c r="G215" s="19" t="s">
        <v>100</v>
      </c>
    </row>
    <row r="216" spans="1:7" s="18" customFormat="1" ht="15" customHeight="1">
      <c r="A216" s="19" t="s">
        <v>99</v>
      </c>
      <c r="B216" s="19" t="s">
        <v>93</v>
      </c>
      <c r="C216" s="19" t="s">
        <v>31</v>
      </c>
      <c r="D216" s="19" t="s">
        <v>39</v>
      </c>
      <c r="E216" s="19" t="s">
        <v>129</v>
      </c>
      <c r="F216" s="20">
        <v>-83.51</v>
      </c>
      <c r="G216" s="19" t="s">
        <v>100</v>
      </c>
    </row>
    <row r="217" spans="1:7" s="18" customFormat="1" ht="15" customHeight="1">
      <c r="A217" s="19" t="s">
        <v>99</v>
      </c>
      <c r="B217" s="19" t="s">
        <v>94</v>
      </c>
      <c r="C217" s="19" t="s">
        <v>21</v>
      </c>
      <c r="D217" s="19" t="s">
        <v>39</v>
      </c>
      <c r="E217" s="19" t="s">
        <v>5</v>
      </c>
      <c r="F217" s="20">
        <v>-1323.6</v>
      </c>
      <c r="G217" s="19" t="s">
        <v>100</v>
      </c>
    </row>
    <row r="218" spans="1:7" s="18" customFormat="1" ht="15" customHeight="1">
      <c r="A218" s="19" t="s">
        <v>99</v>
      </c>
      <c r="B218" s="19" t="s">
        <v>94</v>
      </c>
      <c r="C218" s="19" t="s">
        <v>21</v>
      </c>
      <c r="D218" s="19" t="s">
        <v>39</v>
      </c>
      <c r="E218" s="19" t="s">
        <v>6</v>
      </c>
      <c r="F218" s="20">
        <v>-7</v>
      </c>
      <c r="G218" s="19" t="s">
        <v>100</v>
      </c>
    </row>
    <row r="219" spans="1:7" s="18" customFormat="1" ht="15" customHeight="1">
      <c r="A219" s="19" t="s">
        <v>99</v>
      </c>
      <c r="B219" s="19" t="s">
        <v>95</v>
      </c>
      <c r="C219" s="19" t="s">
        <v>13</v>
      </c>
      <c r="D219" s="19" t="s">
        <v>39</v>
      </c>
      <c r="E219" s="19" t="s">
        <v>5</v>
      </c>
      <c r="F219" s="20">
        <v>-10148.950000000001</v>
      </c>
      <c r="G219" s="19" t="s">
        <v>100</v>
      </c>
    </row>
    <row r="220" spans="1:7" s="18" customFormat="1" ht="15" customHeight="1">
      <c r="A220" s="19" t="s">
        <v>99</v>
      </c>
      <c r="B220" s="19" t="s">
        <v>95</v>
      </c>
      <c r="C220" s="19" t="s">
        <v>13</v>
      </c>
      <c r="D220" s="19" t="s">
        <v>39</v>
      </c>
      <c r="E220" s="19" t="s">
        <v>6</v>
      </c>
      <c r="F220" s="20">
        <v>-75.349999999999994</v>
      </c>
      <c r="G220" s="19" t="s">
        <v>100</v>
      </c>
    </row>
    <row r="221" spans="1:7" s="18" customFormat="1" ht="15" customHeight="1">
      <c r="A221" s="19" t="s">
        <v>99</v>
      </c>
      <c r="B221" s="19" t="s">
        <v>95</v>
      </c>
      <c r="C221" s="19" t="s">
        <v>13</v>
      </c>
      <c r="D221" s="19" t="s">
        <v>39</v>
      </c>
      <c r="E221" s="19" t="s">
        <v>129</v>
      </c>
      <c r="F221" s="20">
        <v>-47.82</v>
      </c>
      <c r="G221" s="19" t="s">
        <v>100</v>
      </c>
    </row>
    <row r="222" spans="1:7" s="18" customFormat="1" ht="15" customHeight="1">
      <c r="A222" s="19" t="s">
        <v>99</v>
      </c>
      <c r="B222" s="19" t="s">
        <v>96</v>
      </c>
      <c r="C222" s="19" t="s">
        <v>15</v>
      </c>
      <c r="D222" s="19" t="s">
        <v>39</v>
      </c>
      <c r="E222" s="19" t="s">
        <v>129</v>
      </c>
      <c r="F222" s="20">
        <v>-2.44</v>
      </c>
      <c r="G222" s="19" t="s">
        <v>109</v>
      </c>
    </row>
    <row r="223" spans="1:7" s="18" customFormat="1" ht="15" customHeight="1">
      <c r="A223" s="19" t="s">
        <v>99</v>
      </c>
      <c r="B223" s="19" t="s">
        <v>97</v>
      </c>
      <c r="C223" s="19" t="s">
        <v>18</v>
      </c>
      <c r="D223" s="19" t="s">
        <v>39</v>
      </c>
      <c r="E223" s="19" t="s">
        <v>5</v>
      </c>
      <c r="F223" s="20">
        <v>684</v>
      </c>
      <c r="G223" s="19" t="s">
        <v>100</v>
      </c>
    </row>
    <row r="224" spans="1:7" s="18" customFormat="1" ht="15" customHeight="1">
      <c r="A224" s="19" t="s">
        <v>99</v>
      </c>
      <c r="B224" s="19" t="s">
        <v>97</v>
      </c>
      <c r="C224" s="19" t="s">
        <v>18</v>
      </c>
      <c r="D224" s="19" t="s">
        <v>39</v>
      </c>
      <c r="E224" s="19" t="s">
        <v>6</v>
      </c>
      <c r="F224" s="20">
        <v>-16.59</v>
      </c>
      <c r="G224" s="19" t="s">
        <v>100</v>
      </c>
    </row>
    <row r="225" spans="1:7" s="18" customFormat="1" ht="15" customHeight="1">
      <c r="A225" s="19" t="s">
        <v>99</v>
      </c>
      <c r="B225" s="19" t="s">
        <v>107</v>
      </c>
      <c r="C225" s="19" t="s">
        <v>17</v>
      </c>
      <c r="D225" s="19" t="s">
        <v>39</v>
      </c>
      <c r="E225" s="19" t="s">
        <v>5</v>
      </c>
      <c r="F225" s="20">
        <v>-12242</v>
      </c>
      <c r="G225" s="19" t="s">
        <v>100</v>
      </c>
    </row>
    <row r="226" spans="1:7" s="18" customFormat="1" ht="15" customHeight="1">
      <c r="A226" s="19" t="s">
        <v>99</v>
      </c>
      <c r="B226" s="19" t="s">
        <v>107</v>
      </c>
      <c r="C226" s="19" t="s">
        <v>17</v>
      </c>
      <c r="D226" s="19" t="s">
        <v>39</v>
      </c>
      <c r="E226" s="19" t="s">
        <v>6</v>
      </c>
      <c r="F226" s="20">
        <v>-11.85</v>
      </c>
      <c r="G226" s="19" t="s">
        <v>100</v>
      </c>
    </row>
    <row r="227" spans="1:7" s="18" customFormat="1" ht="15" customHeight="1">
      <c r="A227" s="19" t="s">
        <v>99</v>
      </c>
      <c r="B227" s="19" t="s">
        <v>107</v>
      </c>
      <c r="C227" s="19" t="s">
        <v>17</v>
      </c>
      <c r="D227" s="19" t="s">
        <v>39</v>
      </c>
      <c r="E227" s="19" t="s">
        <v>129</v>
      </c>
      <c r="F227" s="20">
        <v>-23.19</v>
      </c>
      <c r="G227" s="19" t="s">
        <v>100</v>
      </c>
    </row>
    <row r="228" spans="1:7" s="18" customFormat="1" ht="15" customHeight="1">
      <c r="A228" s="19" t="s">
        <v>99</v>
      </c>
      <c r="B228" s="19" t="s">
        <v>98</v>
      </c>
      <c r="C228" s="19" t="s">
        <v>12</v>
      </c>
      <c r="D228" s="19" t="s">
        <v>43</v>
      </c>
      <c r="E228" s="19" t="s">
        <v>5</v>
      </c>
      <c r="F228" s="20">
        <v>4.17</v>
      </c>
      <c r="G228" s="19" t="s">
        <v>100</v>
      </c>
    </row>
    <row r="229" spans="1:7" s="18" customFormat="1" ht="15" customHeight="1">
      <c r="A229" s="19" t="s">
        <v>99</v>
      </c>
      <c r="B229" s="19" t="s">
        <v>98</v>
      </c>
      <c r="C229" s="19" t="s">
        <v>12</v>
      </c>
      <c r="D229" s="19" t="s">
        <v>43</v>
      </c>
      <c r="E229" s="19" t="s">
        <v>6</v>
      </c>
      <c r="F229" s="20">
        <v>-3.64</v>
      </c>
      <c r="G229" s="19" t="s">
        <v>100</v>
      </c>
    </row>
    <row r="230" spans="1:7" s="18" customFormat="1" ht="15" customHeight="1">
      <c r="A230" s="19" t="s">
        <v>99</v>
      </c>
      <c r="B230" s="19"/>
      <c r="C230" s="19" t="s">
        <v>125</v>
      </c>
      <c r="D230" s="19" t="s">
        <v>111</v>
      </c>
      <c r="E230" s="19" t="s">
        <v>111</v>
      </c>
      <c r="F230" s="20">
        <v>-761.26</v>
      </c>
      <c r="G230" s="19" t="s">
        <v>126</v>
      </c>
    </row>
    <row r="231" spans="1:7" s="18" customFormat="1" ht="15" customHeight="1">
      <c r="A231" s="19" t="s">
        <v>99</v>
      </c>
      <c r="B231" s="19"/>
      <c r="C231" s="19" t="s">
        <v>127</v>
      </c>
      <c r="D231" s="19" t="s">
        <v>111</v>
      </c>
      <c r="E231" s="19" t="s">
        <v>111</v>
      </c>
      <c r="F231" s="20">
        <v>-38.5</v>
      </c>
      <c r="G231" s="19" t="s">
        <v>126</v>
      </c>
    </row>
    <row r="232" spans="1:7" s="18" customFormat="1" ht="15" customHeight="1">
      <c r="A232" s="19" t="s">
        <v>79</v>
      </c>
      <c r="B232" s="19" t="s">
        <v>46</v>
      </c>
      <c r="C232" s="19" t="s">
        <v>10</v>
      </c>
      <c r="D232" s="19" t="s">
        <v>43</v>
      </c>
      <c r="E232" s="19" t="s">
        <v>5</v>
      </c>
      <c r="F232" s="20">
        <v>131075</v>
      </c>
      <c r="G232" s="19" t="s">
        <v>80</v>
      </c>
    </row>
    <row r="233" spans="1:7" s="18" customFormat="1" ht="15" customHeight="1">
      <c r="A233" s="19" t="s">
        <v>79</v>
      </c>
      <c r="B233" s="19" t="s">
        <v>46</v>
      </c>
      <c r="C233" s="19" t="s">
        <v>10</v>
      </c>
      <c r="D233" s="19" t="s">
        <v>43</v>
      </c>
      <c r="E233" s="19" t="s">
        <v>6</v>
      </c>
      <c r="F233" s="20">
        <v>-250.2</v>
      </c>
      <c r="G233" s="19" t="s">
        <v>80</v>
      </c>
    </row>
    <row r="234" spans="1:7" s="18" customFormat="1" ht="15" customHeight="1">
      <c r="A234" s="19" t="s">
        <v>79</v>
      </c>
      <c r="B234" s="19" t="s">
        <v>47</v>
      </c>
      <c r="C234" s="19" t="s">
        <v>10</v>
      </c>
      <c r="D234" s="19" t="s">
        <v>43</v>
      </c>
      <c r="E234" s="19" t="s">
        <v>5</v>
      </c>
      <c r="F234" s="20">
        <v>-130185</v>
      </c>
      <c r="G234" s="19" t="s">
        <v>80</v>
      </c>
    </row>
    <row r="235" spans="1:7" s="18" customFormat="1" ht="15" customHeight="1">
      <c r="A235" s="19" t="s">
        <v>79</v>
      </c>
      <c r="B235" s="19" t="s">
        <v>47</v>
      </c>
      <c r="C235" s="19" t="s">
        <v>10</v>
      </c>
      <c r="D235" s="19" t="s">
        <v>43</v>
      </c>
      <c r="E235" s="19" t="s">
        <v>6</v>
      </c>
      <c r="F235" s="20">
        <v>-225.18</v>
      </c>
      <c r="G235" s="19" t="s">
        <v>80</v>
      </c>
    </row>
    <row r="236" spans="1:7" s="18" customFormat="1" ht="15" customHeight="1">
      <c r="A236" s="19" t="s">
        <v>79</v>
      </c>
      <c r="B236" s="19" t="s">
        <v>57</v>
      </c>
      <c r="C236" s="19" t="s">
        <v>30</v>
      </c>
      <c r="D236" s="19" t="s">
        <v>39</v>
      </c>
      <c r="E236" s="19" t="s">
        <v>5</v>
      </c>
      <c r="F236" s="20">
        <v>3719.65</v>
      </c>
      <c r="G236" s="19" t="s">
        <v>80</v>
      </c>
    </row>
    <row r="237" spans="1:7" s="18" customFormat="1" ht="15" customHeight="1">
      <c r="A237" s="19" t="s">
        <v>79</v>
      </c>
      <c r="B237" s="19" t="s">
        <v>57</v>
      </c>
      <c r="C237" s="19" t="s">
        <v>30</v>
      </c>
      <c r="D237" s="19" t="s">
        <v>39</v>
      </c>
      <c r="E237" s="19" t="s">
        <v>6</v>
      </c>
      <c r="F237" s="20">
        <v>-49.01</v>
      </c>
      <c r="G237" s="19" t="s">
        <v>80</v>
      </c>
    </row>
    <row r="238" spans="1:7" s="18" customFormat="1" ht="15" customHeight="1">
      <c r="A238" s="19" t="s">
        <v>79</v>
      </c>
      <c r="B238" s="19" t="s">
        <v>57</v>
      </c>
      <c r="C238" s="19" t="s">
        <v>30</v>
      </c>
      <c r="D238" s="19" t="s">
        <v>39</v>
      </c>
      <c r="E238" s="19" t="s">
        <v>129</v>
      </c>
      <c r="F238" s="20">
        <v>-288.58</v>
      </c>
      <c r="G238" s="19" t="s">
        <v>80</v>
      </c>
    </row>
    <row r="239" spans="1:7" s="18" customFormat="1" ht="15" customHeight="1">
      <c r="A239" s="19" t="s">
        <v>79</v>
      </c>
      <c r="B239" s="19" t="s">
        <v>81</v>
      </c>
      <c r="C239" s="19" t="s">
        <v>19</v>
      </c>
      <c r="D239" s="19" t="s">
        <v>39</v>
      </c>
      <c r="E239" s="19" t="s">
        <v>5</v>
      </c>
      <c r="F239" s="20">
        <v>1046.4000000000001</v>
      </c>
      <c r="G239" s="19" t="s">
        <v>80</v>
      </c>
    </row>
    <row r="240" spans="1:7" s="18" customFormat="1" ht="15" customHeight="1">
      <c r="A240" s="19" t="s">
        <v>79</v>
      </c>
      <c r="B240" s="19" t="s">
        <v>81</v>
      </c>
      <c r="C240" s="19" t="s">
        <v>19</v>
      </c>
      <c r="D240" s="19" t="s">
        <v>39</v>
      </c>
      <c r="E240" s="19" t="s">
        <v>6</v>
      </c>
      <c r="F240" s="20">
        <v>-49.32</v>
      </c>
      <c r="G240" s="19" t="s">
        <v>80</v>
      </c>
    </row>
    <row r="241" spans="1:7" s="18" customFormat="1" ht="15" customHeight="1">
      <c r="A241" s="19" t="s">
        <v>79</v>
      </c>
      <c r="B241" s="19" t="s">
        <v>81</v>
      </c>
      <c r="C241" s="19" t="s">
        <v>19</v>
      </c>
      <c r="D241" s="19" t="s">
        <v>39</v>
      </c>
      <c r="E241" s="19" t="s">
        <v>129</v>
      </c>
      <c r="F241" s="20">
        <v>-58.18</v>
      </c>
      <c r="G241" s="19" t="s">
        <v>80</v>
      </c>
    </row>
    <row r="242" spans="1:7" s="18" customFormat="1" ht="15" customHeight="1">
      <c r="A242" s="19" t="s">
        <v>79</v>
      </c>
      <c r="B242" s="19" t="s">
        <v>82</v>
      </c>
      <c r="C242" s="19" t="s">
        <v>18</v>
      </c>
      <c r="D242" s="19" t="s">
        <v>39</v>
      </c>
      <c r="E242" s="19" t="s">
        <v>5</v>
      </c>
      <c r="F242" s="20">
        <v>1472.95</v>
      </c>
      <c r="G242" s="19" t="s">
        <v>80</v>
      </c>
    </row>
    <row r="243" spans="1:7" s="18" customFormat="1" ht="15" customHeight="1">
      <c r="A243" s="19" t="s">
        <v>79</v>
      </c>
      <c r="B243" s="19" t="s">
        <v>82</v>
      </c>
      <c r="C243" s="19" t="s">
        <v>18</v>
      </c>
      <c r="D243" s="19" t="s">
        <v>39</v>
      </c>
      <c r="E243" s="19" t="s">
        <v>6</v>
      </c>
      <c r="F243" s="20">
        <v>-26.19</v>
      </c>
      <c r="G243" s="19" t="s">
        <v>80</v>
      </c>
    </row>
    <row r="244" spans="1:7" s="18" customFormat="1" ht="15" customHeight="1">
      <c r="A244" s="19" t="s">
        <v>79</v>
      </c>
      <c r="B244" s="19" t="s">
        <v>82</v>
      </c>
      <c r="C244" s="19" t="s">
        <v>18</v>
      </c>
      <c r="D244" s="19" t="s">
        <v>39</v>
      </c>
      <c r="E244" s="19" t="s">
        <v>129</v>
      </c>
      <c r="F244" s="20">
        <v>-198.87</v>
      </c>
      <c r="G244" s="19" t="s">
        <v>80</v>
      </c>
    </row>
    <row r="245" spans="1:7" s="18" customFormat="1" ht="15" customHeight="1">
      <c r="A245" s="19" t="s">
        <v>79</v>
      </c>
      <c r="B245" s="19" t="s">
        <v>65</v>
      </c>
      <c r="C245" s="19" t="s">
        <v>30</v>
      </c>
      <c r="D245" s="19" t="s">
        <v>39</v>
      </c>
      <c r="E245" s="19" t="s">
        <v>5</v>
      </c>
      <c r="F245" s="20">
        <v>-3909.1</v>
      </c>
      <c r="G245" s="19" t="s">
        <v>80</v>
      </c>
    </row>
    <row r="246" spans="1:7" s="18" customFormat="1" ht="15" customHeight="1">
      <c r="A246" s="19" t="s">
        <v>79</v>
      </c>
      <c r="B246" s="19" t="s">
        <v>65</v>
      </c>
      <c r="C246" s="19" t="s">
        <v>30</v>
      </c>
      <c r="D246" s="19" t="s">
        <v>39</v>
      </c>
      <c r="E246" s="19" t="s">
        <v>6</v>
      </c>
      <c r="F246" s="20">
        <v>-26.78</v>
      </c>
      <c r="G246" s="19" t="s">
        <v>80</v>
      </c>
    </row>
    <row r="247" spans="1:7" s="18" customFormat="1" ht="15" customHeight="1">
      <c r="A247" s="19" t="s">
        <v>79</v>
      </c>
      <c r="B247" s="19" t="s">
        <v>83</v>
      </c>
      <c r="C247" s="19" t="s">
        <v>32</v>
      </c>
      <c r="D247" s="19" t="s">
        <v>39</v>
      </c>
      <c r="E247" s="19" t="s">
        <v>5</v>
      </c>
      <c r="F247" s="20">
        <v>-30166.25</v>
      </c>
      <c r="G247" s="19" t="s">
        <v>80</v>
      </c>
    </row>
    <row r="248" spans="1:7" s="18" customFormat="1" ht="15" customHeight="1">
      <c r="A248" s="19" t="s">
        <v>79</v>
      </c>
      <c r="B248" s="19" t="s">
        <v>83</v>
      </c>
      <c r="C248" s="19" t="s">
        <v>32</v>
      </c>
      <c r="D248" s="19" t="s">
        <v>39</v>
      </c>
      <c r="E248" s="19" t="s">
        <v>6</v>
      </c>
      <c r="F248" s="20">
        <v>-79.33</v>
      </c>
      <c r="G248" s="19" t="s">
        <v>80</v>
      </c>
    </row>
    <row r="249" spans="1:7" s="18" customFormat="1" ht="15" customHeight="1">
      <c r="A249" s="19" t="s">
        <v>79</v>
      </c>
      <c r="B249" s="19" t="s">
        <v>83</v>
      </c>
      <c r="C249" s="19" t="s">
        <v>32</v>
      </c>
      <c r="D249" s="19" t="s">
        <v>39</v>
      </c>
      <c r="E249" s="19" t="s">
        <v>7</v>
      </c>
      <c r="F249" s="20">
        <v>3541.53</v>
      </c>
      <c r="G249" s="19" t="s">
        <v>80</v>
      </c>
    </row>
    <row r="250" spans="1:7" s="18" customFormat="1" ht="15" customHeight="1">
      <c r="A250" s="19" t="s">
        <v>79</v>
      </c>
      <c r="B250" s="19" t="s">
        <v>84</v>
      </c>
      <c r="C250" s="19" t="s">
        <v>31</v>
      </c>
      <c r="D250" s="19" t="s">
        <v>39</v>
      </c>
      <c r="E250" s="19" t="s">
        <v>5</v>
      </c>
      <c r="F250" s="20">
        <v>-6241.3</v>
      </c>
      <c r="G250" s="19" t="s">
        <v>80</v>
      </c>
    </row>
    <row r="251" spans="1:7" s="18" customFormat="1" ht="15" customHeight="1">
      <c r="A251" s="19" t="s">
        <v>79</v>
      </c>
      <c r="B251" s="19" t="s">
        <v>84</v>
      </c>
      <c r="C251" s="19" t="s">
        <v>31</v>
      </c>
      <c r="D251" s="19" t="s">
        <v>39</v>
      </c>
      <c r="E251" s="19" t="s">
        <v>6</v>
      </c>
      <c r="F251" s="20">
        <v>-20.010000000000002</v>
      </c>
      <c r="G251" s="19" t="s">
        <v>80</v>
      </c>
    </row>
    <row r="252" spans="1:7" s="18" customFormat="1" ht="15" customHeight="1">
      <c r="A252" s="19" t="s">
        <v>79</v>
      </c>
      <c r="B252" s="19" t="s">
        <v>85</v>
      </c>
      <c r="C252" s="19" t="s">
        <v>21</v>
      </c>
      <c r="D252" s="19" t="s">
        <v>39</v>
      </c>
      <c r="E252" s="19" t="s">
        <v>5</v>
      </c>
      <c r="F252" s="20">
        <v>3097.85</v>
      </c>
      <c r="G252" s="19" t="s">
        <v>80</v>
      </c>
    </row>
    <row r="253" spans="1:7" s="18" customFormat="1" ht="15" customHeight="1">
      <c r="A253" s="19" t="s">
        <v>79</v>
      </c>
      <c r="B253" s="19" t="s">
        <v>85</v>
      </c>
      <c r="C253" s="19" t="s">
        <v>21</v>
      </c>
      <c r="D253" s="19" t="s">
        <v>39</v>
      </c>
      <c r="E253" s="19" t="s">
        <v>6</v>
      </c>
      <c r="F253" s="20">
        <v>-11.26</v>
      </c>
      <c r="G253" s="19" t="s">
        <v>80</v>
      </c>
    </row>
    <row r="254" spans="1:7" s="18" customFormat="1" ht="15" customHeight="1">
      <c r="A254" s="19" t="s">
        <v>79</v>
      </c>
      <c r="B254" s="19" t="s">
        <v>85</v>
      </c>
      <c r="C254" s="19" t="s">
        <v>21</v>
      </c>
      <c r="D254" s="19" t="s">
        <v>39</v>
      </c>
      <c r="E254" s="19" t="s">
        <v>129</v>
      </c>
      <c r="F254" s="20">
        <v>-154.43</v>
      </c>
      <c r="G254" s="19" t="s">
        <v>80</v>
      </c>
    </row>
    <row r="255" spans="1:7" s="18" customFormat="1" ht="15" customHeight="1">
      <c r="A255" s="19" t="s">
        <v>79</v>
      </c>
      <c r="B255" s="19" t="s">
        <v>85</v>
      </c>
      <c r="C255" s="19" t="s">
        <v>21</v>
      </c>
      <c r="D255" s="19" t="s">
        <v>39</v>
      </c>
      <c r="E255" s="19" t="s">
        <v>7</v>
      </c>
      <c r="F255" s="20">
        <v>-251.34</v>
      </c>
      <c r="G255" s="19" t="s">
        <v>80</v>
      </c>
    </row>
    <row r="256" spans="1:7" s="18" customFormat="1" ht="15" customHeight="1">
      <c r="A256" s="19" t="s">
        <v>79</v>
      </c>
      <c r="B256" s="19" t="s">
        <v>86</v>
      </c>
      <c r="C256" s="19" t="s">
        <v>15</v>
      </c>
      <c r="D256" s="19" t="s">
        <v>39</v>
      </c>
      <c r="E256" s="19" t="s">
        <v>5</v>
      </c>
      <c r="F256" s="20">
        <v>3183.9</v>
      </c>
      <c r="G256" s="19" t="s">
        <v>80</v>
      </c>
    </row>
    <row r="257" spans="1:7" s="18" customFormat="1" ht="15" customHeight="1">
      <c r="A257" s="19" t="s">
        <v>79</v>
      </c>
      <c r="B257" s="19" t="s">
        <v>86</v>
      </c>
      <c r="C257" s="19" t="s">
        <v>15</v>
      </c>
      <c r="D257" s="19" t="s">
        <v>39</v>
      </c>
      <c r="E257" s="19" t="s">
        <v>6</v>
      </c>
      <c r="F257" s="20">
        <v>-55.88</v>
      </c>
      <c r="G257" s="19" t="s">
        <v>80</v>
      </c>
    </row>
    <row r="258" spans="1:7" s="18" customFormat="1" ht="15" customHeight="1">
      <c r="A258" s="19" t="s">
        <v>79</v>
      </c>
      <c r="B258" s="19" t="s">
        <v>86</v>
      </c>
      <c r="C258" s="19" t="s">
        <v>15</v>
      </c>
      <c r="D258" s="19" t="s">
        <v>39</v>
      </c>
      <c r="E258" s="19" t="s">
        <v>129</v>
      </c>
      <c r="F258" s="20">
        <v>-513.12</v>
      </c>
      <c r="G258" s="19" t="s">
        <v>80</v>
      </c>
    </row>
    <row r="259" spans="1:7" s="18" customFormat="1" ht="15" customHeight="1">
      <c r="A259" s="19" t="s">
        <v>79</v>
      </c>
      <c r="B259" s="19" t="s">
        <v>86</v>
      </c>
      <c r="C259" s="19" t="s">
        <v>15</v>
      </c>
      <c r="D259" s="19" t="s">
        <v>39</v>
      </c>
      <c r="E259" s="19" t="s">
        <v>7</v>
      </c>
      <c r="F259" s="20">
        <v>-960.31</v>
      </c>
      <c r="G259" s="19" t="s">
        <v>80</v>
      </c>
    </row>
    <row r="260" spans="1:7" s="18" customFormat="1" ht="15" customHeight="1">
      <c r="A260" s="19" t="s">
        <v>79</v>
      </c>
      <c r="B260" s="19" t="s">
        <v>87</v>
      </c>
      <c r="C260" s="19" t="s">
        <v>13</v>
      </c>
      <c r="D260" s="19" t="s">
        <v>39</v>
      </c>
      <c r="E260" s="19" t="s">
        <v>5</v>
      </c>
      <c r="F260" s="20">
        <v>-81351.61</v>
      </c>
      <c r="G260" s="19" t="s">
        <v>80</v>
      </c>
    </row>
    <row r="261" spans="1:7" s="18" customFormat="1" ht="15" customHeight="1">
      <c r="A261" s="19" t="s">
        <v>79</v>
      </c>
      <c r="B261" s="19" t="s">
        <v>87</v>
      </c>
      <c r="C261" s="19" t="s">
        <v>13</v>
      </c>
      <c r="D261" s="19" t="s">
        <v>39</v>
      </c>
      <c r="E261" s="19" t="s">
        <v>6</v>
      </c>
      <c r="F261" s="20">
        <v>-144.69</v>
      </c>
      <c r="G261" s="19" t="s">
        <v>80</v>
      </c>
    </row>
    <row r="262" spans="1:7" s="18" customFormat="1" ht="15" customHeight="1">
      <c r="A262" s="19" t="s">
        <v>79</v>
      </c>
      <c r="B262" s="19" t="s">
        <v>87</v>
      </c>
      <c r="C262" s="19" t="s">
        <v>13</v>
      </c>
      <c r="D262" s="19" t="s">
        <v>39</v>
      </c>
      <c r="E262" s="19" t="s">
        <v>129</v>
      </c>
      <c r="F262" s="20">
        <v>-250.87</v>
      </c>
      <c r="G262" s="19" t="s">
        <v>80</v>
      </c>
    </row>
    <row r="263" spans="1:7" s="18" customFormat="1" ht="15" customHeight="1">
      <c r="A263" s="19" t="s">
        <v>79</v>
      </c>
      <c r="B263" s="19" t="s">
        <v>87</v>
      </c>
      <c r="C263" s="19" t="s">
        <v>13</v>
      </c>
      <c r="D263" s="19" t="s">
        <v>39</v>
      </c>
      <c r="E263" s="19" t="s">
        <v>7</v>
      </c>
      <c r="F263" s="20">
        <v>-202.67</v>
      </c>
      <c r="G263" s="19" t="s">
        <v>80</v>
      </c>
    </row>
    <row r="264" spans="1:7" s="18" customFormat="1" ht="15" customHeight="1">
      <c r="A264" s="19" t="s">
        <v>79</v>
      </c>
      <c r="B264" s="19" t="s">
        <v>88</v>
      </c>
      <c r="C264" s="19" t="s">
        <v>14</v>
      </c>
      <c r="D264" s="19" t="s">
        <v>39</v>
      </c>
      <c r="E264" s="19" t="s">
        <v>5</v>
      </c>
      <c r="F264" s="20">
        <v>7900</v>
      </c>
      <c r="G264" s="19" t="s">
        <v>80</v>
      </c>
    </row>
    <row r="265" spans="1:7" s="18" customFormat="1" ht="15" customHeight="1">
      <c r="A265" s="19" t="s">
        <v>79</v>
      </c>
      <c r="B265" s="19" t="s">
        <v>88</v>
      </c>
      <c r="C265" s="19" t="s">
        <v>14</v>
      </c>
      <c r="D265" s="19" t="s">
        <v>39</v>
      </c>
      <c r="E265" s="19" t="s">
        <v>6</v>
      </c>
      <c r="F265" s="20">
        <v>-32.659999999999997</v>
      </c>
      <c r="G265" s="19" t="s">
        <v>80</v>
      </c>
    </row>
    <row r="266" spans="1:7" s="18" customFormat="1" ht="15" customHeight="1">
      <c r="A266" s="19" t="s">
        <v>79</v>
      </c>
      <c r="B266" s="19" t="s">
        <v>88</v>
      </c>
      <c r="C266" s="19" t="s">
        <v>14</v>
      </c>
      <c r="D266" s="19" t="s">
        <v>39</v>
      </c>
      <c r="E266" s="19" t="s">
        <v>129</v>
      </c>
      <c r="F266" s="20">
        <v>-128.32</v>
      </c>
      <c r="G266" s="19" t="s">
        <v>80</v>
      </c>
    </row>
    <row r="267" spans="1:7" s="18" customFormat="1" ht="15" customHeight="1">
      <c r="A267" s="19" t="s">
        <v>79</v>
      </c>
      <c r="B267" s="19" t="s">
        <v>89</v>
      </c>
      <c r="C267" s="19" t="s">
        <v>14</v>
      </c>
      <c r="D267" s="19" t="s">
        <v>39</v>
      </c>
      <c r="E267" s="19" t="s">
        <v>5</v>
      </c>
      <c r="F267" s="20">
        <v>-6417</v>
      </c>
      <c r="G267" s="19" t="s">
        <v>80</v>
      </c>
    </row>
    <row r="268" spans="1:7" s="18" customFormat="1" ht="15" customHeight="1">
      <c r="A268" s="19" t="s">
        <v>79</v>
      </c>
      <c r="B268" s="19" t="s">
        <v>89</v>
      </c>
      <c r="C268" s="19" t="s">
        <v>14</v>
      </c>
      <c r="D268" s="19" t="s">
        <v>39</v>
      </c>
      <c r="E268" s="19" t="s">
        <v>6</v>
      </c>
      <c r="F268" s="20">
        <v>-17.84</v>
      </c>
      <c r="G268" s="19" t="s">
        <v>80</v>
      </c>
    </row>
    <row r="269" spans="1:7" s="18" customFormat="1" ht="15" customHeight="1">
      <c r="A269" s="19" t="s">
        <v>79</v>
      </c>
      <c r="B269" s="19" t="s">
        <v>67</v>
      </c>
      <c r="C269" s="19" t="s">
        <v>28</v>
      </c>
      <c r="D269" s="19" t="s">
        <v>39</v>
      </c>
      <c r="E269" s="19" t="s">
        <v>5</v>
      </c>
      <c r="F269" s="20">
        <v>3780</v>
      </c>
      <c r="G269" s="19" t="s">
        <v>80</v>
      </c>
    </row>
    <row r="270" spans="1:7" s="18" customFormat="1" ht="15" customHeight="1">
      <c r="A270" s="19" t="s">
        <v>79</v>
      </c>
      <c r="B270" s="19" t="s">
        <v>67</v>
      </c>
      <c r="C270" s="19" t="s">
        <v>28</v>
      </c>
      <c r="D270" s="19" t="s">
        <v>39</v>
      </c>
      <c r="E270" s="19" t="s">
        <v>6</v>
      </c>
      <c r="F270" s="20">
        <v>-24.65</v>
      </c>
      <c r="G270" s="19" t="s">
        <v>80</v>
      </c>
    </row>
    <row r="271" spans="1:7" s="18" customFormat="1" ht="15" customHeight="1">
      <c r="A271" s="19" t="s">
        <v>79</v>
      </c>
      <c r="B271" s="19" t="s">
        <v>67</v>
      </c>
      <c r="C271" s="19" t="s">
        <v>28</v>
      </c>
      <c r="D271" s="19" t="s">
        <v>39</v>
      </c>
      <c r="E271" s="19" t="s">
        <v>129</v>
      </c>
      <c r="F271" s="20">
        <v>-530.97</v>
      </c>
      <c r="G271" s="19" t="s">
        <v>80</v>
      </c>
    </row>
    <row r="272" spans="1:7" s="18" customFormat="1" ht="15" customHeight="1">
      <c r="A272" s="19" t="s">
        <v>79</v>
      </c>
      <c r="B272" s="19" t="s">
        <v>76</v>
      </c>
      <c r="C272" s="19" t="s">
        <v>27</v>
      </c>
      <c r="D272" s="19" t="s">
        <v>39</v>
      </c>
      <c r="E272" s="19" t="s">
        <v>5</v>
      </c>
      <c r="F272" s="20">
        <v>102</v>
      </c>
      <c r="G272" s="19" t="s">
        <v>80</v>
      </c>
    </row>
    <row r="273" spans="1:7" s="18" customFormat="1" ht="15" customHeight="1">
      <c r="A273" s="19" t="s">
        <v>79</v>
      </c>
      <c r="B273" s="19" t="s">
        <v>76</v>
      </c>
      <c r="C273" s="19" t="s">
        <v>27</v>
      </c>
      <c r="D273" s="19" t="s">
        <v>39</v>
      </c>
      <c r="E273" s="19" t="s">
        <v>6</v>
      </c>
      <c r="F273" s="20">
        <v>-18.38</v>
      </c>
      <c r="G273" s="19" t="s">
        <v>80</v>
      </c>
    </row>
    <row r="274" spans="1:7" s="18" customFormat="1" ht="15" customHeight="1">
      <c r="A274" s="19" t="s">
        <v>79</v>
      </c>
      <c r="B274" s="19" t="s">
        <v>76</v>
      </c>
      <c r="C274" s="19" t="s">
        <v>27</v>
      </c>
      <c r="D274" s="19" t="s">
        <v>39</v>
      </c>
      <c r="E274" s="19" t="s">
        <v>129</v>
      </c>
      <c r="F274" s="20">
        <v>-5.86</v>
      </c>
      <c r="G274" s="19" t="s">
        <v>80</v>
      </c>
    </row>
    <row r="275" spans="1:7" s="18" customFormat="1" ht="15" customHeight="1">
      <c r="A275" s="19" t="s">
        <v>79</v>
      </c>
      <c r="B275" s="19" t="s">
        <v>77</v>
      </c>
      <c r="C275" s="19" t="s">
        <v>27</v>
      </c>
      <c r="D275" s="19" t="s">
        <v>39</v>
      </c>
      <c r="E275" s="19" t="s">
        <v>5</v>
      </c>
      <c r="F275" s="20">
        <v>-112.2</v>
      </c>
      <c r="G275" s="19" t="s">
        <v>80</v>
      </c>
    </row>
    <row r="276" spans="1:7" s="18" customFormat="1" ht="15" customHeight="1">
      <c r="A276" s="19" t="s">
        <v>79</v>
      </c>
      <c r="B276" s="19" t="s">
        <v>77</v>
      </c>
      <c r="C276" s="19" t="s">
        <v>27</v>
      </c>
      <c r="D276" s="19" t="s">
        <v>39</v>
      </c>
      <c r="E276" s="19" t="s">
        <v>6</v>
      </c>
      <c r="F276" s="20">
        <v>-29.63</v>
      </c>
      <c r="G276" s="19" t="s">
        <v>80</v>
      </c>
    </row>
    <row r="277" spans="1:7" s="18" customFormat="1" ht="15" customHeight="1">
      <c r="A277" s="19" t="s">
        <v>79</v>
      </c>
      <c r="B277" s="19" t="s">
        <v>90</v>
      </c>
      <c r="C277" s="19" t="s">
        <v>28</v>
      </c>
      <c r="D277" s="19" t="s">
        <v>39</v>
      </c>
      <c r="E277" s="19" t="s">
        <v>5</v>
      </c>
      <c r="F277" s="20">
        <v>-4206.5</v>
      </c>
      <c r="G277" s="19" t="s">
        <v>80</v>
      </c>
    </row>
    <row r="278" spans="1:7" s="18" customFormat="1" ht="15" customHeight="1">
      <c r="A278" s="19" t="s">
        <v>79</v>
      </c>
      <c r="B278" s="19" t="s">
        <v>90</v>
      </c>
      <c r="C278" s="19" t="s">
        <v>28</v>
      </c>
      <c r="D278" s="19" t="s">
        <v>39</v>
      </c>
      <c r="E278" s="19" t="s">
        <v>6</v>
      </c>
      <c r="F278" s="20">
        <v>-52.09</v>
      </c>
      <c r="G278" s="19" t="s">
        <v>80</v>
      </c>
    </row>
    <row r="279" spans="1:7" s="18" customFormat="1" ht="15" customHeight="1">
      <c r="A279" s="19" t="s">
        <v>79</v>
      </c>
      <c r="B279" s="19" t="s">
        <v>91</v>
      </c>
      <c r="C279" s="19" t="s">
        <v>19</v>
      </c>
      <c r="D279" s="19" t="s">
        <v>39</v>
      </c>
      <c r="E279" s="19" t="s">
        <v>5</v>
      </c>
      <c r="F279" s="20">
        <v>-875</v>
      </c>
      <c r="G279" s="19" t="s">
        <v>80</v>
      </c>
    </row>
    <row r="280" spans="1:7" s="18" customFormat="1" ht="15" customHeight="1">
      <c r="A280" s="19" t="s">
        <v>79</v>
      </c>
      <c r="B280" s="19" t="s">
        <v>91</v>
      </c>
      <c r="C280" s="19" t="s">
        <v>19</v>
      </c>
      <c r="D280" s="19" t="s">
        <v>39</v>
      </c>
      <c r="E280" s="19" t="s">
        <v>6</v>
      </c>
      <c r="F280" s="20">
        <v>-30.32</v>
      </c>
      <c r="G280" s="19" t="s">
        <v>80</v>
      </c>
    </row>
    <row r="281" spans="1:7" s="18" customFormat="1" ht="15" customHeight="1">
      <c r="A281" s="19" t="s">
        <v>79</v>
      </c>
      <c r="B281" s="19" t="s">
        <v>92</v>
      </c>
      <c r="C281" s="19" t="s">
        <v>32</v>
      </c>
      <c r="D281" s="19" t="s">
        <v>39</v>
      </c>
      <c r="E281" s="19" t="s">
        <v>5</v>
      </c>
      <c r="F281" s="20">
        <v>28848.78</v>
      </c>
      <c r="G281" s="19" t="s">
        <v>80</v>
      </c>
    </row>
    <row r="282" spans="1:7" s="18" customFormat="1" ht="15" customHeight="1">
      <c r="A282" s="19" t="s">
        <v>79</v>
      </c>
      <c r="B282" s="19" t="s">
        <v>92</v>
      </c>
      <c r="C282" s="19" t="s">
        <v>32</v>
      </c>
      <c r="D282" s="19" t="s">
        <v>39</v>
      </c>
      <c r="E282" s="19" t="s">
        <v>6</v>
      </c>
      <c r="F282" s="20">
        <v>-91.46</v>
      </c>
      <c r="G282" s="19" t="s">
        <v>80</v>
      </c>
    </row>
    <row r="283" spans="1:7" s="18" customFormat="1" ht="15" customHeight="1">
      <c r="A283" s="19" t="s">
        <v>79</v>
      </c>
      <c r="B283" s="19" t="s">
        <v>92</v>
      </c>
      <c r="C283" s="19" t="s">
        <v>32</v>
      </c>
      <c r="D283" s="19" t="s">
        <v>39</v>
      </c>
      <c r="E283" s="19" t="s">
        <v>129</v>
      </c>
      <c r="F283" s="20">
        <v>-152.88</v>
      </c>
      <c r="G283" s="19" t="s">
        <v>80</v>
      </c>
    </row>
    <row r="284" spans="1:7" s="18" customFormat="1" ht="15" customHeight="1">
      <c r="A284" s="19" t="s">
        <v>79</v>
      </c>
      <c r="B284" s="19" t="s">
        <v>92</v>
      </c>
      <c r="C284" s="19" t="s">
        <v>32</v>
      </c>
      <c r="D284" s="19" t="s">
        <v>39</v>
      </c>
      <c r="E284" s="19" t="s">
        <v>7</v>
      </c>
      <c r="F284" s="20">
        <v>-3621.38</v>
      </c>
      <c r="G284" s="19" t="s">
        <v>80</v>
      </c>
    </row>
    <row r="285" spans="1:7" s="18" customFormat="1" ht="15" customHeight="1">
      <c r="A285" s="19" t="s">
        <v>79</v>
      </c>
      <c r="B285" s="19" t="s">
        <v>93</v>
      </c>
      <c r="C285" s="19" t="s">
        <v>31</v>
      </c>
      <c r="D285" s="19" t="s">
        <v>39</v>
      </c>
      <c r="E285" s="19" t="s">
        <v>5</v>
      </c>
      <c r="F285" s="20">
        <v>6716.6</v>
      </c>
      <c r="G285" s="19" t="s">
        <v>80</v>
      </c>
    </row>
    <row r="286" spans="1:7" s="18" customFormat="1" ht="15" customHeight="1">
      <c r="A286" s="19" t="s">
        <v>79</v>
      </c>
      <c r="B286" s="19" t="s">
        <v>93</v>
      </c>
      <c r="C286" s="19" t="s">
        <v>31</v>
      </c>
      <c r="D286" s="19" t="s">
        <v>39</v>
      </c>
      <c r="E286" s="19" t="s">
        <v>6</v>
      </c>
      <c r="F286" s="20">
        <v>-59.72</v>
      </c>
      <c r="G286" s="19" t="s">
        <v>80</v>
      </c>
    </row>
    <row r="287" spans="1:7" s="18" customFormat="1" ht="15" customHeight="1">
      <c r="A287" s="19" t="s">
        <v>79</v>
      </c>
      <c r="B287" s="19" t="s">
        <v>93</v>
      </c>
      <c r="C287" s="19" t="s">
        <v>31</v>
      </c>
      <c r="D287" s="19" t="s">
        <v>39</v>
      </c>
      <c r="E287" s="19" t="s">
        <v>129</v>
      </c>
      <c r="F287" s="20">
        <v>-9.0500000000000007</v>
      </c>
      <c r="G287" s="19" t="s">
        <v>80</v>
      </c>
    </row>
    <row r="288" spans="1:7" s="18" customFormat="1" ht="15" customHeight="1">
      <c r="A288" s="19" t="s">
        <v>79</v>
      </c>
      <c r="B288" s="19" t="s">
        <v>94</v>
      </c>
      <c r="C288" s="19" t="s">
        <v>21</v>
      </c>
      <c r="D288" s="19" t="s">
        <v>39</v>
      </c>
      <c r="E288" s="19" t="s">
        <v>5</v>
      </c>
      <c r="F288" s="20">
        <v>-2317.9499999999998</v>
      </c>
      <c r="G288" s="19" t="s">
        <v>80</v>
      </c>
    </row>
    <row r="289" spans="1:7" s="18" customFormat="1" ht="15" customHeight="1">
      <c r="A289" s="19" t="s">
        <v>79</v>
      </c>
      <c r="B289" s="19" t="s">
        <v>94</v>
      </c>
      <c r="C289" s="19" t="s">
        <v>21</v>
      </c>
      <c r="D289" s="19" t="s">
        <v>39</v>
      </c>
      <c r="E289" s="19" t="s">
        <v>6</v>
      </c>
      <c r="F289" s="20">
        <v>-10.48</v>
      </c>
      <c r="G289" s="19" t="s">
        <v>80</v>
      </c>
    </row>
    <row r="290" spans="1:7" s="18" customFormat="1" ht="15" customHeight="1">
      <c r="A290" s="19" t="s">
        <v>79</v>
      </c>
      <c r="B290" s="19" t="s">
        <v>95</v>
      </c>
      <c r="C290" s="19" t="s">
        <v>13</v>
      </c>
      <c r="D290" s="19" t="s">
        <v>39</v>
      </c>
      <c r="E290" s="19" t="s">
        <v>5</v>
      </c>
      <c r="F290" s="20">
        <v>91805.63</v>
      </c>
      <c r="G290" s="19" t="s">
        <v>80</v>
      </c>
    </row>
    <row r="291" spans="1:7" s="18" customFormat="1" ht="15" customHeight="1">
      <c r="A291" s="19" t="s">
        <v>79</v>
      </c>
      <c r="B291" s="19" t="s">
        <v>95</v>
      </c>
      <c r="C291" s="19" t="s">
        <v>13</v>
      </c>
      <c r="D291" s="19" t="s">
        <v>39</v>
      </c>
      <c r="E291" s="19" t="s">
        <v>6</v>
      </c>
      <c r="F291" s="20">
        <v>-176.81</v>
      </c>
      <c r="G291" s="19" t="s">
        <v>80</v>
      </c>
    </row>
    <row r="292" spans="1:7" s="18" customFormat="1" ht="15" customHeight="1">
      <c r="A292" s="19" t="s">
        <v>79</v>
      </c>
      <c r="B292" s="19" t="s">
        <v>95</v>
      </c>
      <c r="C292" s="19" t="s">
        <v>13</v>
      </c>
      <c r="D292" s="19" t="s">
        <v>39</v>
      </c>
      <c r="E292" s="19" t="s">
        <v>7</v>
      </c>
      <c r="F292" s="20">
        <v>1228.1199999999999</v>
      </c>
      <c r="G292" s="19" t="s">
        <v>80</v>
      </c>
    </row>
    <row r="293" spans="1:7" s="18" customFormat="1" ht="15" customHeight="1">
      <c r="A293" s="19" t="s">
        <v>79</v>
      </c>
      <c r="B293" s="19" t="s">
        <v>96</v>
      </c>
      <c r="C293" s="19" t="s">
        <v>15</v>
      </c>
      <c r="D293" s="19" t="s">
        <v>39</v>
      </c>
      <c r="E293" s="19" t="s">
        <v>5</v>
      </c>
      <c r="F293" s="20">
        <v>-1177.8</v>
      </c>
      <c r="G293" s="19" t="s">
        <v>80</v>
      </c>
    </row>
    <row r="294" spans="1:7">
      <c r="A294" s="22" t="s">
        <v>79</v>
      </c>
      <c r="B294" s="22" t="s">
        <v>96</v>
      </c>
      <c r="C294" s="22" t="s">
        <v>15</v>
      </c>
      <c r="D294" s="22" t="s">
        <v>39</v>
      </c>
      <c r="E294" s="22" t="s">
        <v>6</v>
      </c>
      <c r="F294" s="23">
        <v>-57.89</v>
      </c>
      <c r="G294" s="22" t="s">
        <v>80</v>
      </c>
    </row>
    <row r="295" spans="1:7">
      <c r="A295" s="22" t="s">
        <v>79</v>
      </c>
      <c r="B295" s="22" t="s">
        <v>96</v>
      </c>
      <c r="C295" s="22" t="s">
        <v>15</v>
      </c>
      <c r="D295" s="22" t="s">
        <v>39</v>
      </c>
      <c r="E295" s="22" t="s">
        <v>129</v>
      </c>
      <c r="F295" s="23">
        <v>-17.809999999999999</v>
      </c>
      <c r="G295" s="22" t="s">
        <v>80</v>
      </c>
    </row>
    <row r="296" spans="1:7">
      <c r="A296" s="22" t="s">
        <v>79</v>
      </c>
      <c r="B296" s="22" t="s">
        <v>97</v>
      </c>
      <c r="C296" s="22" t="s">
        <v>18</v>
      </c>
      <c r="D296" s="22" t="s">
        <v>39</v>
      </c>
      <c r="E296" s="22" t="s">
        <v>5</v>
      </c>
      <c r="F296" s="23">
        <v>-2033.13</v>
      </c>
      <c r="G296" s="22" t="s">
        <v>80</v>
      </c>
    </row>
    <row r="297" spans="1:7">
      <c r="A297" s="22" t="s">
        <v>79</v>
      </c>
      <c r="B297" s="22" t="s">
        <v>97</v>
      </c>
      <c r="C297" s="22" t="s">
        <v>18</v>
      </c>
      <c r="D297" s="22" t="s">
        <v>39</v>
      </c>
      <c r="E297" s="22" t="s">
        <v>6</v>
      </c>
      <c r="F297" s="23">
        <v>-48.08</v>
      </c>
      <c r="G297" s="22" t="s">
        <v>80</v>
      </c>
    </row>
    <row r="298" spans="1:7">
      <c r="A298" s="22" t="s">
        <v>79</v>
      </c>
      <c r="B298" s="22" t="s">
        <v>97</v>
      </c>
      <c r="C298" s="22" t="s">
        <v>18</v>
      </c>
      <c r="D298" s="22" t="s">
        <v>39</v>
      </c>
      <c r="E298" s="22" t="s">
        <v>7</v>
      </c>
      <c r="F298" s="23">
        <v>856.07</v>
      </c>
      <c r="G298" s="22" t="s">
        <v>80</v>
      </c>
    </row>
    <row r="299" spans="1:7">
      <c r="A299" s="22" t="s">
        <v>79</v>
      </c>
      <c r="B299" s="22" t="s">
        <v>73</v>
      </c>
      <c r="C299" s="22" t="s">
        <v>12</v>
      </c>
      <c r="D299" s="22" t="s">
        <v>43</v>
      </c>
      <c r="E299" s="22" t="s">
        <v>6</v>
      </c>
      <c r="F299" s="23">
        <v>-1.82</v>
      </c>
      <c r="G299" s="22" t="s">
        <v>80</v>
      </c>
    </row>
    <row r="300" spans="1:7">
      <c r="A300" s="22" t="s">
        <v>79</v>
      </c>
      <c r="B300" s="22" t="s">
        <v>98</v>
      </c>
      <c r="C300" s="22" t="s">
        <v>12</v>
      </c>
      <c r="D300" s="22" t="s">
        <v>43</v>
      </c>
      <c r="E300" s="22" t="s">
        <v>5</v>
      </c>
      <c r="F300" s="23">
        <v>-20.84</v>
      </c>
      <c r="G300" s="22" t="s">
        <v>80</v>
      </c>
    </row>
    <row r="301" spans="1:7">
      <c r="A301" s="22" t="s">
        <v>79</v>
      </c>
      <c r="B301" s="22" t="s">
        <v>98</v>
      </c>
      <c r="C301" s="22" t="s">
        <v>12</v>
      </c>
      <c r="D301" s="22" t="s">
        <v>43</v>
      </c>
      <c r="E301" s="22" t="s">
        <v>6</v>
      </c>
      <c r="F301" s="23">
        <v>-3.64</v>
      </c>
      <c r="G301" s="22" t="s">
        <v>80</v>
      </c>
    </row>
    <row r="302" spans="1:7">
      <c r="A302" s="22" t="s">
        <v>79</v>
      </c>
      <c r="B302" s="22"/>
      <c r="C302" s="22" t="s">
        <v>125</v>
      </c>
      <c r="D302" s="22" t="s">
        <v>111</v>
      </c>
      <c r="E302" s="22" t="s">
        <v>111</v>
      </c>
      <c r="F302" s="23">
        <v>-1177.3500000000004</v>
      </c>
      <c r="G302" s="22" t="s">
        <v>126</v>
      </c>
    </row>
    <row r="303" spans="1:7">
      <c r="A303" s="22" t="s">
        <v>79</v>
      </c>
      <c r="B303" s="22"/>
      <c r="C303" s="22" t="s">
        <v>127</v>
      </c>
      <c r="D303" s="22" t="s">
        <v>111</v>
      </c>
      <c r="E303" s="22" t="s">
        <v>111</v>
      </c>
      <c r="F303" s="23">
        <v>-9.5</v>
      </c>
      <c r="G303" s="22" t="s">
        <v>126</v>
      </c>
    </row>
    <row r="304" spans="1:7">
      <c r="A304" s="22"/>
      <c r="B304" s="22"/>
      <c r="C304" s="22"/>
      <c r="D304" s="22"/>
      <c r="E304" s="22"/>
      <c r="F304" s="23"/>
      <c r="G304" s="22"/>
    </row>
    <row r="305" spans="1:7">
      <c r="A305" s="22"/>
      <c r="B305" s="22"/>
      <c r="C305" s="22"/>
      <c r="D305" s="22"/>
      <c r="E305" s="22"/>
      <c r="F305" s="23"/>
      <c r="G305" s="22"/>
    </row>
    <row r="306" spans="1:7">
      <c r="A306" s="22"/>
      <c r="B306" s="22"/>
      <c r="C306" s="22"/>
      <c r="D306" s="22"/>
      <c r="E306" s="22"/>
      <c r="F306" s="23"/>
      <c r="G306" s="22"/>
    </row>
    <row r="307" spans="1:7">
      <c r="A307" s="22"/>
      <c r="B307" s="22"/>
      <c r="C307" s="22"/>
      <c r="D307" s="22"/>
      <c r="E307" s="22"/>
      <c r="F307" s="23"/>
      <c r="G307" s="22"/>
    </row>
    <row r="308" spans="1:7">
      <c r="A308" s="22"/>
      <c r="B308" s="22"/>
      <c r="C308" s="22"/>
      <c r="D308" s="22"/>
      <c r="E308" s="22"/>
      <c r="F308" s="23"/>
      <c r="G308" s="22"/>
    </row>
    <row r="309" spans="1:7">
      <c r="A309" s="22"/>
      <c r="B309" s="22"/>
      <c r="C309" s="22"/>
      <c r="D309" s="22"/>
      <c r="E309" s="22"/>
      <c r="F309" s="23"/>
      <c r="G309" s="22"/>
    </row>
    <row r="310" spans="1:7">
      <c r="A310" s="22"/>
      <c r="B310" s="22"/>
      <c r="C310" s="22"/>
      <c r="D310" s="22"/>
      <c r="E310" s="22"/>
      <c r="F310" s="23"/>
      <c r="G310" s="22"/>
    </row>
    <row r="311" spans="1:7">
      <c r="A311" s="22"/>
      <c r="B311" s="22"/>
      <c r="C311" s="22"/>
      <c r="D311" s="22"/>
      <c r="E311" s="22"/>
      <c r="F311" s="23"/>
      <c r="G311" s="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workbookViewId="0">
      <pane ySplit="1" topLeftCell="A2" activePane="bottomLeft" state="frozen"/>
      <selection pane="bottomLeft" activeCell="D28" sqref="D28"/>
    </sheetView>
  </sheetViews>
  <sheetFormatPr defaultRowHeight="14.25"/>
  <cols>
    <col min="1" max="1" width="17" customWidth="1"/>
    <col min="2" max="2" width="25" customWidth="1"/>
    <col min="3" max="3" width="16" customWidth="1"/>
  </cols>
  <sheetData>
    <row r="1" spans="1:3" ht="15" customHeight="1">
      <c r="A1" s="2" t="s">
        <v>35</v>
      </c>
      <c r="B1" s="2" t="s">
        <v>0</v>
      </c>
      <c r="C1" s="2" t="s">
        <v>36</v>
      </c>
    </row>
    <row r="2" spans="1:3" ht="15" customHeight="1">
      <c r="A2" s="1" t="s">
        <v>55</v>
      </c>
      <c r="B2" s="1" t="s">
        <v>25</v>
      </c>
      <c r="C2" s="1" t="s">
        <v>39</v>
      </c>
    </row>
    <row r="3" spans="1:3" ht="15" customHeight="1">
      <c r="A3" s="1" t="s">
        <v>63</v>
      </c>
      <c r="B3" s="1" t="s">
        <v>25</v>
      </c>
      <c r="C3" s="1" t="s">
        <v>39</v>
      </c>
    </row>
    <row r="4" spans="1:3" ht="15" customHeight="1">
      <c r="A4" s="1" t="s">
        <v>42</v>
      </c>
      <c r="B4" s="1" t="s">
        <v>10</v>
      </c>
      <c r="C4" s="1" t="s">
        <v>43</v>
      </c>
    </row>
    <row r="5" spans="1:3" ht="15" customHeight="1">
      <c r="A5" s="1" t="s">
        <v>44</v>
      </c>
      <c r="B5" s="1" t="s">
        <v>10</v>
      </c>
      <c r="C5" s="1" t="s">
        <v>43</v>
      </c>
    </row>
    <row r="6" spans="1:3" ht="15" customHeight="1">
      <c r="A6" s="1" t="s">
        <v>45</v>
      </c>
      <c r="B6" s="1" t="s">
        <v>10</v>
      </c>
      <c r="C6" s="1" t="s">
        <v>43</v>
      </c>
    </row>
    <row r="7" spans="1:3" ht="15" customHeight="1">
      <c r="A7" s="1" t="s">
        <v>46</v>
      </c>
      <c r="B7" s="1" t="s">
        <v>10</v>
      </c>
      <c r="C7" s="1" t="s">
        <v>43</v>
      </c>
    </row>
    <row r="8" spans="1:3" ht="15" customHeight="1">
      <c r="A8" s="1" t="s">
        <v>47</v>
      </c>
      <c r="B8" s="1" t="s">
        <v>10</v>
      </c>
      <c r="C8" s="1" t="s">
        <v>43</v>
      </c>
    </row>
    <row r="9" spans="1:3" ht="15" customHeight="1">
      <c r="A9" s="1" t="s">
        <v>108</v>
      </c>
      <c r="B9" s="1" t="s">
        <v>10</v>
      </c>
      <c r="C9" s="1" t="s">
        <v>43</v>
      </c>
    </row>
    <row r="10" spans="1:3" ht="15" customHeight="1">
      <c r="A10" s="1" t="s">
        <v>112</v>
      </c>
      <c r="B10" s="1" t="s">
        <v>10</v>
      </c>
      <c r="C10" s="1" t="s">
        <v>43</v>
      </c>
    </row>
    <row r="11" spans="1:3" ht="15" customHeight="1">
      <c r="A11" s="1" t="s">
        <v>52</v>
      </c>
      <c r="B11" s="1" t="s">
        <v>10</v>
      </c>
      <c r="C11" s="1" t="s">
        <v>43</v>
      </c>
    </row>
    <row r="12" spans="1:3" ht="15" customHeight="1">
      <c r="A12" s="1" t="s">
        <v>38</v>
      </c>
      <c r="B12" s="1" t="s">
        <v>9</v>
      </c>
      <c r="C12" s="1" t="s">
        <v>39</v>
      </c>
    </row>
    <row r="13" spans="1:3" ht="15" customHeight="1">
      <c r="A13" s="1" t="s">
        <v>41</v>
      </c>
      <c r="B13" s="1" t="s">
        <v>9</v>
      </c>
      <c r="C13" s="1" t="s">
        <v>39</v>
      </c>
    </row>
    <row r="14" spans="1:3" ht="15" customHeight="1">
      <c r="A14" s="1" t="s">
        <v>57</v>
      </c>
      <c r="B14" s="1" t="s">
        <v>30</v>
      </c>
      <c r="C14" s="1" t="s">
        <v>39</v>
      </c>
    </row>
    <row r="15" spans="1:3" ht="15" customHeight="1">
      <c r="A15" s="1" t="s">
        <v>65</v>
      </c>
      <c r="B15" s="1" t="s">
        <v>30</v>
      </c>
      <c r="C15" s="1" t="s">
        <v>39</v>
      </c>
    </row>
    <row r="16" spans="1:3" ht="15" customHeight="1">
      <c r="A16" s="1" t="s">
        <v>81</v>
      </c>
      <c r="B16" s="1" t="s">
        <v>19</v>
      </c>
      <c r="C16" s="1" t="s">
        <v>39</v>
      </c>
    </row>
    <row r="17" spans="1:3" ht="15" customHeight="1">
      <c r="A17" s="1" t="s">
        <v>91</v>
      </c>
      <c r="B17" s="1" t="s">
        <v>19</v>
      </c>
      <c r="C17" s="1" t="s">
        <v>39</v>
      </c>
    </row>
    <row r="18" spans="1:3" ht="15" customHeight="1">
      <c r="A18" s="1" t="s">
        <v>58</v>
      </c>
      <c r="B18" s="1" t="s">
        <v>29</v>
      </c>
      <c r="C18" s="1" t="s">
        <v>39</v>
      </c>
    </row>
    <row r="19" spans="1:3" ht="15" customHeight="1">
      <c r="A19" s="1" t="s">
        <v>66</v>
      </c>
      <c r="B19" s="1" t="s">
        <v>29</v>
      </c>
      <c r="C19" s="1" t="s">
        <v>39</v>
      </c>
    </row>
    <row r="20" spans="1:3" ht="15" customHeight="1">
      <c r="A20" s="1" t="s">
        <v>78</v>
      </c>
      <c r="B20" s="1" t="s">
        <v>29</v>
      </c>
      <c r="C20" s="1" t="s">
        <v>39</v>
      </c>
    </row>
    <row r="21" spans="1:3" ht="15" customHeight="1">
      <c r="A21" s="1" t="s">
        <v>59</v>
      </c>
      <c r="B21" s="1" t="s">
        <v>16</v>
      </c>
      <c r="C21" s="1" t="s">
        <v>39</v>
      </c>
    </row>
    <row r="22" spans="1:3" ht="15" customHeight="1">
      <c r="A22" s="1" t="s">
        <v>64</v>
      </c>
      <c r="B22" s="1" t="s">
        <v>16</v>
      </c>
      <c r="C22" s="1" t="s">
        <v>39</v>
      </c>
    </row>
    <row r="23" spans="1:3" ht="15" customHeight="1">
      <c r="A23" s="1" t="s">
        <v>60</v>
      </c>
      <c r="B23" s="1" t="s">
        <v>22</v>
      </c>
      <c r="C23" s="1" t="s">
        <v>39</v>
      </c>
    </row>
    <row r="24" spans="1:3" ht="15" customHeight="1">
      <c r="A24" s="1" t="s">
        <v>72</v>
      </c>
      <c r="B24" s="1" t="s">
        <v>22</v>
      </c>
      <c r="C24" s="1" t="s">
        <v>39</v>
      </c>
    </row>
    <row r="25" spans="1:3" ht="15" customHeight="1">
      <c r="A25" s="1" t="s">
        <v>61</v>
      </c>
      <c r="B25" s="1" t="s">
        <v>124</v>
      </c>
      <c r="C25" s="1" t="s">
        <v>39</v>
      </c>
    </row>
    <row r="26" spans="1:3" ht="15" customHeight="1">
      <c r="A26" s="1" t="s">
        <v>106</v>
      </c>
      <c r="B26" s="1" t="s">
        <v>124</v>
      </c>
      <c r="C26" s="1" t="s">
        <v>39</v>
      </c>
    </row>
    <row r="27" spans="1:3" ht="15" customHeight="1">
      <c r="A27" s="1" t="s">
        <v>68</v>
      </c>
      <c r="B27" s="1" t="s">
        <v>62</v>
      </c>
      <c r="C27" s="1" t="s">
        <v>39</v>
      </c>
    </row>
    <row r="28" spans="1:3" ht="15" customHeight="1">
      <c r="A28" s="1" t="s">
        <v>48</v>
      </c>
      <c r="B28" s="1" t="s">
        <v>11</v>
      </c>
      <c r="C28" s="1" t="s">
        <v>43</v>
      </c>
    </row>
    <row r="29" spans="1:3" ht="15" customHeight="1">
      <c r="A29" s="1" t="s">
        <v>49</v>
      </c>
      <c r="B29" s="1" t="s">
        <v>11</v>
      </c>
      <c r="C29" s="1" t="s">
        <v>43</v>
      </c>
    </row>
    <row r="30" spans="1:3" ht="15" customHeight="1">
      <c r="A30" s="1" t="s">
        <v>50</v>
      </c>
      <c r="B30" s="1" t="s">
        <v>11</v>
      </c>
      <c r="C30" s="1" t="s">
        <v>43</v>
      </c>
    </row>
    <row r="31" spans="1:3" ht="15" customHeight="1">
      <c r="A31" s="1" t="s">
        <v>51</v>
      </c>
      <c r="B31" s="1" t="s">
        <v>11</v>
      </c>
      <c r="C31" s="1" t="s">
        <v>43</v>
      </c>
    </row>
    <row r="32" spans="1:3" ht="15" customHeight="1">
      <c r="A32" s="1" t="s">
        <v>53</v>
      </c>
      <c r="B32" s="1" t="s">
        <v>12</v>
      </c>
      <c r="C32" s="1" t="s">
        <v>43</v>
      </c>
    </row>
    <row r="33" spans="1:3" ht="15" customHeight="1">
      <c r="A33" s="1" t="s">
        <v>73</v>
      </c>
      <c r="B33" s="1" t="s">
        <v>12</v>
      </c>
      <c r="C33" s="1" t="s">
        <v>43</v>
      </c>
    </row>
    <row r="34" spans="1:3" ht="15" customHeight="1">
      <c r="A34" s="1" t="s">
        <v>98</v>
      </c>
      <c r="B34" s="1" t="s">
        <v>12</v>
      </c>
      <c r="C34" s="1" t="s">
        <v>43</v>
      </c>
    </row>
    <row r="35" spans="1:3" ht="15" customHeight="1">
      <c r="A35" s="1" t="s">
        <v>101</v>
      </c>
      <c r="B35" s="1" t="s">
        <v>20</v>
      </c>
      <c r="C35" s="1" t="s">
        <v>39</v>
      </c>
    </row>
    <row r="36" spans="1:3" ht="15" customHeight="1">
      <c r="A36" s="1" t="s">
        <v>102</v>
      </c>
      <c r="B36" s="1" t="s">
        <v>20</v>
      </c>
      <c r="C36" s="1" t="s">
        <v>39</v>
      </c>
    </row>
    <row r="37" spans="1:3" ht="15" customHeight="1">
      <c r="A37" s="1" t="s">
        <v>82</v>
      </c>
      <c r="B37" s="1" t="s">
        <v>18</v>
      </c>
      <c r="C37" s="1" t="s">
        <v>39</v>
      </c>
    </row>
    <row r="38" spans="1:3" ht="15" customHeight="1">
      <c r="A38" s="1" t="s">
        <v>97</v>
      </c>
      <c r="B38" s="1" t="s">
        <v>18</v>
      </c>
      <c r="C38" s="1" t="s">
        <v>39</v>
      </c>
    </row>
    <row r="39" spans="1:3" ht="15" customHeight="1">
      <c r="A39" s="1" t="s">
        <v>83</v>
      </c>
      <c r="B39" s="1" t="s">
        <v>32</v>
      </c>
      <c r="C39" s="1" t="s">
        <v>39</v>
      </c>
    </row>
    <row r="40" spans="1:3" ht="15" customHeight="1">
      <c r="A40" s="1" t="s">
        <v>92</v>
      </c>
      <c r="B40" s="1" t="s">
        <v>32</v>
      </c>
      <c r="C40" s="1" t="s">
        <v>39</v>
      </c>
    </row>
    <row r="41" spans="1:3" ht="15" customHeight="1">
      <c r="A41" s="1" t="s">
        <v>84</v>
      </c>
      <c r="B41" s="1" t="s">
        <v>31</v>
      </c>
      <c r="C41" s="1" t="s">
        <v>39</v>
      </c>
    </row>
    <row r="42" spans="1:3" ht="15" customHeight="1">
      <c r="A42" s="1" t="s">
        <v>93</v>
      </c>
      <c r="B42" s="1" t="s">
        <v>31</v>
      </c>
      <c r="C42" s="1" t="s">
        <v>39</v>
      </c>
    </row>
    <row r="43" spans="1:3" ht="15" customHeight="1">
      <c r="A43" s="1" t="s">
        <v>103</v>
      </c>
      <c r="B43" s="1" t="s">
        <v>17</v>
      </c>
      <c r="C43" s="1" t="s">
        <v>39</v>
      </c>
    </row>
    <row r="44" spans="1:3" ht="15" customHeight="1">
      <c r="A44" s="1" t="s">
        <v>107</v>
      </c>
      <c r="B44" s="1" t="s">
        <v>17</v>
      </c>
      <c r="C44" s="1" t="s">
        <v>39</v>
      </c>
    </row>
    <row r="45" spans="1:3" ht="15" customHeight="1">
      <c r="A45" s="1" t="s">
        <v>85</v>
      </c>
      <c r="B45" s="1" t="s">
        <v>21</v>
      </c>
      <c r="C45" s="1" t="s">
        <v>39</v>
      </c>
    </row>
    <row r="46" spans="1:3" ht="15" customHeight="1">
      <c r="A46" s="1" t="s">
        <v>94</v>
      </c>
      <c r="B46" s="1" t="s">
        <v>21</v>
      </c>
      <c r="C46" s="1" t="s">
        <v>39</v>
      </c>
    </row>
    <row r="47" spans="1:3" ht="15" customHeight="1">
      <c r="A47" s="1" t="s">
        <v>86</v>
      </c>
      <c r="B47" s="1" t="s">
        <v>15</v>
      </c>
      <c r="C47" s="1" t="s">
        <v>39</v>
      </c>
    </row>
    <row r="48" spans="1:3" ht="15" customHeight="1">
      <c r="A48" s="1" t="s">
        <v>96</v>
      </c>
      <c r="B48" s="1" t="s">
        <v>15</v>
      </c>
      <c r="C48" s="1" t="s">
        <v>39</v>
      </c>
    </row>
    <row r="49" spans="1:3" ht="15" customHeight="1">
      <c r="A49" s="1" t="s">
        <v>87</v>
      </c>
      <c r="B49" s="1" t="s">
        <v>13</v>
      </c>
      <c r="C49" s="1" t="s">
        <v>39</v>
      </c>
    </row>
    <row r="50" spans="1:3" ht="15" customHeight="1">
      <c r="A50" s="1" t="s">
        <v>95</v>
      </c>
      <c r="B50" s="1" t="s">
        <v>13</v>
      </c>
      <c r="C50" s="1" t="s">
        <v>39</v>
      </c>
    </row>
    <row r="51" spans="1:3" ht="15" customHeight="1">
      <c r="A51" s="1" t="s">
        <v>88</v>
      </c>
      <c r="B51" s="1" t="s">
        <v>14</v>
      </c>
      <c r="C51" s="1" t="s">
        <v>39</v>
      </c>
    </row>
    <row r="52" spans="1:3" ht="15" customHeight="1">
      <c r="A52" s="1" t="s">
        <v>89</v>
      </c>
      <c r="B52" s="1" t="s">
        <v>14</v>
      </c>
      <c r="C52" s="1" t="s">
        <v>39</v>
      </c>
    </row>
    <row r="53" spans="1:3" ht="15" customHeight="1">
      <c r="A53" s="1" t="s">
        <v>104</v>
      </c>
      <c r="B53" s="1" t="s">
        <v>23</v>
      </c>
      <c r="C53" s="1" t="s">
        <v>39</v>
      </c>
    </row>
    <row r="54" spans="1:3" ht="15" customHeight="1">
      <c r="A54" s="1" t="s">
        <v>105</v>
      </c>
      <c r="B54" s="1" t="s">
        <v>23</v>
      </c>
      <c r="C54" s="1" t="s">
        <v>39</v>
      </c>
    </row>
    <row r="55" spans="1:3" ht="15" customHeight="1">
      <c r="A55" s="1" t="s">
        <v>67</v>
      </c>
      <c r="B55" s="1" t="s">
        <v>28</v>
      </c>
      <c r="C55" s="1" t="s">
        <v>39</v>
      </c>
    </row>
    <row r="56" spans="1:3" ht="15" customHeight="1">
      <c r="A56" s="1" t="s">
        <v>90</v>
      </c>
      <c r="B56" s="1" t="s">
        <v>28</v>
      </c>
      <c r="C56" s="1" t="s">
        <v>39</v>
      </c>
    </row>
    <row r="57" spans="1:3" ht="15" customHeight="1">
      <c r="A57" s="1" t="s">
        <v>71</v>
      </c>
      <c r="B57" s="1" t="s">
        <v>26</v>
      </c>
      <c r="C57" s="1" t="s">
        <v>39</v>
      </c>
    </row>
    <row r="58" spans="1:3" ht="15" customHeight="1">
      <c r="A58" s="1" t="s">
        <v>76</v>
      </c>
      <c r="B58" s="1" t="s">
        <v>27</v>
      </c>
      <c r="C58" s="1" t="s">
        <v>39</v>
      </c>
    </row>
    <row r="59" spans="1:3" ht="15" customHeight="1">
      <c r="A59" s="1" t="s">
        <v>77</v>
      </c>
      <c r="B59" s="1" t="s">
        <v>27</v>
      </c>
      <c r="C59" s="1" t="s">
        <v>39</v>
      </c>
    </row>
    <row r="60" spans="1:3" ht="15" customHeight="1">
      <c r="A60" s="1" t="s">
        <v>69</v>
      </c>
      <c r="B60" s="1" t="s">
        <v>24</v>
      </c>
      <c r="C60" s="1" t="s">
        <v>39</v>
      </c>
    </row>
    <row r="61" spans="1:3" ht="15" customHeight="1">
      <c r="A61" s="1" t="s">
        <v>70</v>
      </c>
      <c r="B61" s="1" t="s">
        <v>24</v>
      </c>
      <c r="C61" s="1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summary</vt:lpstr>
      <vt:lpstr>P&amp;L Table</vt:lpstr>
      <vt:lpstr>Pair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modified xsi:type="dcterms:W3CDTF">2026-10-24T20:12:41Z</dcterms:modified>
</cp:coreProperties>
</file>